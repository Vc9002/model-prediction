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22" headerRowCount="1">
  <autoFilter ref="A1:CQ22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COUNTA('Picks'!$A$2:$A$22)</f>
        <v/>
      </c>
      <c r="C4" s="6">
        <f>COUNTIF('Picks'!$U$2:$U$22,"open")</f>
        <v/>
      </c>
      <c r="E4" s="6">
        <f>COUNTIF('Picks'!$U$2:$U$22,"settled")</f>
        <v/>
      </c>
      <c r="G4" s="6">
        <f>IF(COUNTIFS('Picks'!$U$2:$U$22,"settled",'Picks'!$V$2:$V$22,"win")+COUNTIFS('Picks'!$U$2:$U$22,"settled",'Picks'!$V$2:$V$22,"loss")&gt;=$L$2,"Ready","Insufficient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COUNTIF('Picks'!$BX$2:$BX$22,"&gt;0")</f>
        <v/>
      </c>
      <c r="C7" s="6">
        <f>COUNTIFS('Picks'!$BX$2:$BX$22,"&gt;0",'Picks'!$V$2:$V$22,"win")&amp;"-"&amp;COUNTIFS('Picks'!$BX$2:$BX$22,"&gt;0",'Picks'!$V$2:$V$22,"loss")</f>
        <v/>
      </c>
      <c r="E7" s="7">
        <f>IFERROR(COUNTIFS('Picks'!$BX$2:$BX$22,"&gt;0",'Picks'!$V$2:$V$22,"win")/(COUNTIFS('Picks'!$BX$2:$BX$22,"&gt;0",'Picks'!$V$2:$V$22,"win")+COUNTIFS('Picks'!$BX$2:$BX$22,"&gt;0",'Picks'!$V$2:$V$22,"loss")),0)</f>
        <v/>
      </c>
      <c r="G7" s="7">
        <f>IFERROR(SUM('Picks'!$BY$2:$BY$22)/SUM('Picks'!$BX$2:$BX$22),0)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SUM('Picks'!$BY$2:$BY$22)</f>
        <v/>
      </c>
      <c r="C10" s="9">
        <f>IFERROR(AVERAGEIF('Picks'!$AB$2:$AB$22,"&lt;&gt;",'Picks'!$AB$2:$AB$22),0)</f>
        <v/>
      </c>
      <c r="E10" s="6">
        <f>COUNTIFS('Picks'!$AM$2:$AM$22,"QUALIFIED_SHADOW_CALL",'Picks'!$U$2:$U$22,"settled")</f>
        <v/>
      </c>
      <c r="G10" s="8">
        <f>SUMIFS('Picks'!$AC$2:$AC$22,'Picks'!$AM$2:$AM$22,"QUALIFIED_SHADOW_CALL")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COUNTIFS('Picks'!$H$2:$H$22,$A14,'Picks'!$U$2:$U$22,"settled")</f>
        <v/>
      </c>
      <c r="C14" s="13">
        <f>COUNTIFS('Picks'!$H$2:$H$22,$A14,'Picks'!$U$2:$U$22,"settled",'Picks'!$V$2:$V$22,"win")</f>
        <v/>
      </c>
      <c r="D14" s="13">
        <f>COUNTIFS('Picks'!$H$2:$H$22,$A14,'Picks'!$U$2:$U$22,"settled",'Picks'!$V$2:$V$22,"loss")</f>
        <v/>
      </c>
      <c r="E14" s="14">
        <f>IFERROR(C14/(C14+D14),0)</f>
        <v/>
      </c>
      <c r="F14" s="15">
        <f>SUMIFS('Picks'!$BY$2:$BY$22,'Picks'!$H$2:$H$22,$A14)</f>
        <v/>
      </c>
      <c r="G14" s="16">
        <f>IFERROR(AVERAGEIFS('Picks'!$AB$2:$AB$22,'Picks'!$H$2:$H$22,$A14,'Picks'!$U$2:$U$22,"settled"),0)</f>
        <v/>
      </c>
    </row>
    <row r="15">
      <c r="A15" s="17" t="inlineStr">
        <is>
          <t>spread</t>
        </is>
      </c>
      <c r="B15" s="18">
        <f>COUNTIFS('Picks'!$H$2:$H$22,$A15,'Picks'!$U$2:$U$22,"settled")</f>
        <v/>
      </c>
      <c r="C15" s="18">
        <f>COUNTIFS('Picks'!$H$2:$H$22,$A15,'Picks'!$U$2:$U$22,"settled",'Picks'!$V$2:$V$22,"win")</f>
        <v/>
      </c>
      <c r="D15" s="18">
        <f>COUNTIFS('Picks'!$H$2:$H$22,$A15,'Picks'!$U$2:$U$22,"settled",'Picks'!$V$2:$V$22,"loss")</f>
        <v/>
      </c>
      <c r="E15" s="19">
        <f>IFERROR(C15/(C15+D15),0)</f>
        <v/>
      </c>
      <c r="F15" s="20">
        <f>SUMIFS('Picks'!$BY$2:$BY$22,'Picks'!$H$2:$H$22,$A15)</f>
        <v/>
      </c>
      <c r="G15" s="21">
        <f>IFERROR(AVERAGEIFS('Picks'!$AB$2:$AB$22,'Picks'!$H$2:$H$22,$A15,'Picks'!$U$2:$U$22,"settled"),0)</f>
        <v/>
      </c>
    </row>
    <row r="16">
      <c r="A16" s="12" t="inlineStr">
        <is>
          <t>total</t>
        </is>
      </c>
      <c r="B16" s="13">
        <f>COUNTIFS('Picks'!$H$2:$H$22,$A16,'Picks'!$U$2:$U$22,"settled")</f>
        <v/>
      </c>
      <c r="C16" s="13">
        <f>COUNTIFS('Picks'!$H$2:$H$22,$A16,'Picks'!$U$2:$U$22,"settled",'Picks'!$V$2:$V$22,"win")</f>
        <v/>
      </c>
      <c r="D16" s="13">
        <f>COUNTIFS('Picks'!$H$2:$H$22,$A16,'Picks'!$U$2:$U$22,"settled",'Picks'!$V$2:$V$22,"loss")</f>
        <v/>
      </c>
      <c r="E16" s="14">
        <f>IFERROR(C16/(C16+D16),0)</f>
        <v/>
      </c>
      <c r="F16" s="15">
        <f>SUMIFS('Picks'!$BY$2:$BY$22,'Picks'!$H$2:$H$22,$A16)</f>
        <v/>
      </c>
      <c r="G16" s="16">
        <f>IFERROR(AVERAGEIFS('Picks'!$AB$2:$AB$22,'Picks'!$H$2:$H$22,$A16,'Picks'!$U$2:$U$22,"settled"),0)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7bb4334f68de4bcd</t>
        </is>
      </c>
      <c r="B2" s="24" t="inlineStr">
        <is>
          <t>2026-07-31T10:46:51.141594Z</t>
        </is>
      </c>
      <c r="C2" s="24" t="inlineStr">
        <is>
          <t>2026-07-31T11:00:00Z</t>
        </is>
      </c>
      <c r="D2" s="24" t="inlineStr">
        <is>
          <t>64817</t>
        </is>
      </c>
      <c r="E2" s="24" t="inlineStr">
        <is>
          <t>DOTA2</t>
        </is>
      </c>
      <c r="F2" s="24" t="inlineStr">
        <is>
          <t>REKONIX</t>
        </is>
      </c>
      <c r="G2" s="24" t="inlineStr">
        <is>
          <t>L1ga Team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133</v>
      </c>
      <c r="M2" s="27" t="n">
        <v>2.33</v>
      </c>
      <c r="N2" s="28" t="n">
        <v>0.429185</v>
      </c>
      <c r="O2" s="28" t="n">
        <v>0.528355</v>
      </c>
      <c r="P2" s="28" t="n"/>
      <c r="Q2" s="28" t="n">
        <v>0.09916999999999999</v>
      </c>
      <c r="R2" s="26" t="n">
        <v>70</v>
      </c>
      <c r="S2" s="29" t="n">
        <v>1</v>
      </c>
      <c r="T2" s="24" t="inlineStr">
        <is>
          <t>dota2-tiered-elo-v5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133</v>
      </c>
      <c r="AA2" s="28" t="n">
        <v>0.43</v>
      </c>
      <c r="AB2" s="28" t="n">
        <v>0.000815</v>
      </c>
      <c r="AC2" s="30" t="n">
        <v>-1</v>
      </c>
      <c r="AD2" s="24" t="inlineStr">
        <is>
          <t>2026-07-31T16:44:45.190822Z</t>
        </is>
      </c>
      <c r="AE2" s="31" t="inlineStr">
        <is>
          <t>Neutral Elo baseline; executable ask 0.4300 (market_slug=aec-dota2-l1ga-rnx-2026-07-31).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REKONIX</t>
        </is>
      </c>
      <c r="AQ2" s="24" t="inlineStr">
        <is>
          <t>REKONIX</t>
        </is>
      </c>
      <c r="AR2" s="24" t="inlineStr">
        <is>
          <t>REKONIX</t>
        </is>
      </c>
      <c r="AS2" s="24" t="inlineStr">
        <is>
          <t>L1ga Team</t>
        </is>
      </c>
      <c r="AT2" s="24" t="inlineStr">
        <is>
          <t>L1ga Team</t>
        </is>
      </c>
      <c r="AU2" s="24" t="inlineStr">
        <is>
          <t>L1ga Team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def433bd75610fad2e6504afeb97fc726ca47b86cda4e8e2a0e49fa44868309d</t>
        </is>
      </c>
      <c r="BB2" s="24" t="inlineStr">
        <is>
          <t>neutral_elo</t>
        </is>
      </c>
      <c r="BC2" s="24" t="inlineStr">
        <is>
          <t>dota2-tiered-elo-v5</t>
        </is>
      </c>
      <c r="BD2" s="24" t="inlineStr">
        <is>
          <t>def433bd75610fad2e6504afeb97fc726ca47b86cda4e8e2a0e49fa44868309d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dota2-tiered-elo-v5</t>
        </is>
      </c>
      <c r="BH2" s="24" t="inlineStr">
        <is>
          <t>2026-07-31T10:46:48.956138Z</t>
        </is>
      </c>
      <c r="BI2" s="24" t="inlineStr">
        <is>
          <t>["same_event","same_team_same_day","same_league_same_day"]</t>
        </is>
      </c>
      <c r="BJ2" s="25" t="n"/>
      <c r="BK2" s="26" t="n">
        <v>133</v>
      </c>
      <c r="BL2" s="27" t="n">
        <v>2.33</v>
      </c>
      <c r="BM2" s="28" t="n">
        <v>0.429185</v>
      </c>
      <c r="BN2" s="28" t="n"/>
      <c r="BO2" s="28" t="n"/>
      <c r="BP2" s="25" t="n"/>
      <c r="BQ2" s="27" t="n">
        <v>2.33</v>
      </c>
      <c r="BR2" s="28" t="n">
        <v>0.43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c26089390a3847c9</t>
        </is>
      </c>
      <c r="B3" s="24" t="inlineStr">
        <is>
          <t>2026-07-31T10:46:51.141594Z</t>
        </is>
      </c>
      <c r="C3" s="24" t="inlineStr">
        <is>
          <t>2026-07-31T11:00:00Z</t>
        </is>
      </c>
      <c r="D3" s="24" t="inlineStr">
        <is>
          <t>64818</t>
        </is>
      </c>
      <c r="E3" s="24" t="inlineStr">
        <is>
          <t>DOTA2</t>
        </is>
      </c>
      <c r="F3" s="24" t="inlineStr">
        <is>
          <t>GLYPH</t>
        </is>
      </c>
      <c r="G3" s="24" t="inlineStr">
        <is>
          <t>Enjoy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117</v>
      </c>
      <c r="M3" s="27" t="n">
        <v>2.17</v>
      </c>
      <c r="N3" s="28" t="n">
        <v>0.460829</v>
      </c>
      <c r="O3" s="28" t="n">
        <v>0.675115</v>
      </c>
      <c r="P3" s="28" t="n"/>
      <c r="Q3" s="28" t="n">
        <v>0.214286</v>
      </c>
      <c r="R3" s="26" t="n">
        <v>100</v>
      </c>
      <c r="S3" s="29" t="n">
        <v>2</v>
      </c>
      <c r="T3" s="24" t="inlineStr">
        <is>
          <t>dota2-tiered-elo-v5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117</v>
      </c>
      <c r="AA3" s="28" t="n">
        <v>0.46</v>
      </c>
      <c r="AB3" s="28" t="n">
        <v>-0.000829</v>
      </c>
      <c r="AC3" s="30" t="n">
        <v>2.34</v>
      </c>
      <c r="AD3" s="24" t="inlineStr">
        <is>
          <t>2026-07-31T16:44:46.440388Z</t>
        </is>
      </c>
      <c r="AE3" s="31" t="inlineStr">
        <is>
          <t>Neutral Elo baseline; executable ask 0.4600 (market_slug=aec-dota2-enjoy-glyph-2026-07-31).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GLYPH</t>
        </is>
      </c>
      <c r="AQ3" s="24" t="inlineStr">
        <is>
          <t>GLYPH</t>
        </is>
      </c>
      <c r="AR3" s="24" t="inlineStr">
        <is>
          <t>GLYPH</t>
        </is>
      </c>
      <c r="AS3" s="24" t="inlineStr">
        <is>
          <t>Enjoy</t>
        </is>
      </c>
      <c r="AT3" s="24" t="inlineStr">
        <is>
          <t>Enjoy</t>
        </is>
      </c>
      <c r="AU3" s="24" t="inlineStr">
        <is>
          <t>Enjoy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def433bd75610fad2e6504afeb97fc726ca47b86cda4e8e2a0e49fa44868309d</t>
        </is>
      </c>
      <c r="BB3" s="24" t="inlineStr">
        <is>
          <t>neutral_elo</t>
        </is>
      </c>
      <c r="BC3" s="24" t="inlineStr">
        <is>
          <t>dota2-tiered-elo-v5</t>
        </is>
      </c>
      <c r="BD3" s="24" t="inlineStr">
        <is>
          <t>def433bd75610fad2e6504afeb97fc726ca47b86cda4e8e2a0e49fa44868309d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dota2-tiered-elo-v5</t>
        </is>
      </c>
      <c r="BH3" s="24" t="inlineStr">
        <is>
          <t>2026-07-31T10:46:49.443966Z</t>
        </is>
      </c>
      <c r="BI3" s="24" t="inlineStr">
        <is>
          <t>["same_event","same_team_same_day","same_league_same_day"]</t>
        </is>
      </c>
      <c r="BJ3" s="25" t="n"/>
      <c r="BK3" s="26" t="n">
        <v>117</v>
      </c>
      <c r="BL3" s="27" t="n">
        <v>2.17</v>
      </c>
      <c r="BM3" s="28" t="n">
        <v>0.460829</v>
      </c>
      <c r="BN3" s="28" t="n"/>
      <c r="BO3" s="28" t="n"/>
      <c r="BP3" s="25" t="n"/>
      <c r="BQ3" s="27" t="n">
        <v>2.17</v>
      </c>
      <c r="BR3" s="28" t="n">
        <v>0.46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706d705e970c475e</t>
        </is>
      </c>
      <c r="B4" s="24" t="inlineStr">
        <is>
          <t>2026-07-31T11:11:38.723603Z</t>
        </is>
      </c>
      <c r="C4" s="24" t="inlineStr">
        <is>
          <t>2026-07-31T12:00:00Z</t>
        </is>
      </c>
      <c r="D4" s="24" t="inlineStr">
        <is>
          <t>66989</t>
        </is>
      </c>
      <c r="E4" s="24" t="inlineStr">
        <is>
          <t>DOTA2</t>
        </is>
      </c>
      <c r="F4" s="24" t="inlineStr">
        <is>
          <t>VooDooSh Team</t>
        </is>
      </c>
      <c r="G4" s="24" t="inlineStr">
        <is>
          <t>Travoman Team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-170</v>
      </c>
      <c r="M4" s="27" t="n">
        <v>1.588235</v>
      </c>
      <c r="N4" s="28" t="n">
        <v>0.62963</v>
      </c>
      <c r="O4" s="28" t="n">
        <v>0.592068</v>
      </c>
      <c r="P4" s="28" t="n"/>
      <c r="Q4" s="28" t="n">
        <v>-0.037562</v>
      </c>
      <c r="R4" s="26" t="n">
        <v>1</v>
      </c>
      <c r="S4" s="29" t="n">
        <v>1.25</v>
      </c>
      <c r="T4" s="24" t="inlineStr">
        <is>
          <t>dota2-tiered-elo-v5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-170</v>
      </c>
      <c r="AA4" s="28" t="n">
        <v>0.63</v>
      </c>
      <c r="AB4" s="28" t="n">
        <v>0.00037</v>
      </c>
      <c r="AC4" s="30" t="n">
        <v>0.7353</v>
      </c>
      <c r="AD4" s="24" t="inlineStr">
        <is>
          <t>2026-07-31T16:44:47.585797Z</t>
        </is>
      </c>
      <c r="AE4" s="31" t="inlineStr">
        <is>
          <t>Neutral Elo baseline; executable ask 0.6300 (market_slug=aec-dota2-tt-vds-2026-07-31).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VooDooSh Team</t>
        </is>
      </c>
      <c r="AQ4" s="24" t="inlineStr">
        <is>
          <t>VooDooSh Team</t>
        </is>
      </c>
      <c r="AR4" s="24" t="inlineStr">
        <is>
          <t>VooDooSh Team</t>
        </is>
      </c>
      <c r="AS4" s="24" t="inlineStr">
        <is>
          <t>Travoman Team</t>
        </is>
      </c>
      <c r="AT4" s="24" t="inlineStr">
        <is>
          <t>Travoman Team</t>
        </is>
      </c>
      <c r="AU4" s="24" t="inlineStr">
        <is>
          <t>Travoman Team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b23f7ad31351c726b3ccb9408d9601bd6e1b13a585cba9c6145c65f967bd5249</t>
        </is>
      </c>
      <c r="BB4" s="24" t="inlineStr">
        <is>
          <t>neutral_elo</t>
        </is>
      </c>
      <c r="BC4" s="24" t="inlineStr">
        <is>
          <t>dota2-tiered-elo-v5</t>
        </is>
      </c>
      <c r="BD4" s="24" t="inlineStr">
        <is>
          <t>b23f7ad31351c726b3ccb9408d9601bd6e1b13a585cba9c6145c65f967bd5249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dota2-tiered-elo-v5</t>
        </is>
      </c>
      <c r="BH4" s="24" t="inlineStr">
        <is>
          <t>2026-07-31T11:11:37.653061Z</t>
        </is>
      </c>
      <c r="BI4" s="24" t="inlineStr">
        <is>
          <t>["same_event","same_team_same_day","same_league_same_day"]</t>
        </is>
      </c>
      <c r="BJ4" s="25" t="n"/>
      <c r="BK4" s="26" t="n">
        <v>-170</v>
      </c>
      <c r="BL4" s="27" t="n">
        <v>1.588235</v>
      </c>
      <c r="BM4" s="28" t="n">
        <v>0.62963</v>
      </c>
      <c r="BN4" s="28" t="n"/>
      <c r="BO4" s="28" t="n"/>
      <c r="BP4" s="25" t="n"/>
      <c r="BQ4" s="27" t="n">
        <v>1.588235</v>
      </c>
      <c r="BR4" s="28" t="n">
        <v>0.63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5e5ddb150def4002</t>
        </is>
      </c>
      <c r="B5" s="24" t="inlineStr">
        <is>
          <t>2026-07-31T13:44:01.315844Z</t>
        </is>
      </c>
      <c r="C5" s="24" t="inlineStr">
        <is>
          <t>2026-07-31T14:00:00Z</t>
        </is>
      </c>
      <c r="D5" s="24" t="inlineStr">
        <is>
          <t>64929</t>
        </is>
      </c>
      <c r="E5" s="24" t="inlineStr">
        <is>
          <t>DOTA2</t>
        </is>
      </c>
      <c r="F5" s="24" t="inlineStr">
        <is>
          <t>Zero Tenacity</t>
        </is>
      </c>
      <c r="G5" s="24" t="inlineStr">
        <is>
          <t>Yakult Brothers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156</v>
      </c>
      <c r="M5" s="27" t="n">
        <v>2.56</v>
      </c>
      <c r="N5" s="28" t="n">
        <v>0.390625</v>
      </c>
      <c r="O5" s="28" t="n">
        <v>0.610359</v>
      </c>
      <c r="P5" s="28" t="n"/>
      <c r="Q5" s="28" t="n">
        <v>0.219734</v>
      </c>
      <c r="R5" s="26" t="n">
        <v>100</v>
      </c>
      <c r="S5" s="29" t="n">
        <v>1.5</v>
      </c>
      <c r="T5" s="24" t="inlineStr">
        <is>
          <t>dota2-tiered-elo-v5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>
        <v>156</v>
      </c>
      <c r="AA5" s="28" t="n">
        <v>0.39</v>
      </c>
      <c r="AB5" s="28" t="n">
        <v>-0.000625</v>
      </c>
      <c r="AC5" s="30" t="n">
        <v>2.34</v>
      </c>
      <c r="AD5" s="24" t="inlineStr">
        <is>
          <t>2026-07-31T19:51:09.070776Z</t>
        </is>
      </c>
      <c r="AE5" s="31" t="inlineStr">
        <is>
          <t>Neutral Elo baseline; executable ask 0.3900 (market_slug=aec-dota2-yb-z10-2026-07-31).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Zero Tenacity</t>
        </is>
      </c>
      <c r="AQ5" s="24" t="inlineStr">
        <is>
          <t>Zero Tenacity</t>
        </is>
      </c>
      <c r="AR5" s="24" t="inlineStr">
        <is>
          <t>Zero Tenacity</t>
        </is>
      </c>
      <c r="AS5" s="24" t="inlineStr">
        <is>
          <t>Yakult Brothers</t>
        </is>
      </c>
      <c r="AT5" s="24" t="inlineStr">
        <is>
          <t>Yakult Brothers</t>
        </is>
      </c>
      <c r="AU5" s="24" t="inlineStr">
        <is>
          <t>Yakult Brothers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b5798e8e2d651ab79c8db316f3ec8a564cab27653a02daab82555f6e9f330ac3</t>
        </is>
      </c>
      <c r="BB5" s="24" t="inlineStr">
        <is>
          <t>neutral_elo</t>
        </is>
      </c>
      <c r="BC5" s="24" t="inlineStr">
        <is>
          <t>dota2-tiered-elo-v5</t>
        </is>
      </c>
      <c r="BD5" s="24" t="inlineStr">
        <is>
          <t>b5798e8e2d651ab79c8db316f3ec8a564cab27653a02daab82555f6e9f330ac3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dota2-tiered-elo-v5</t>
        </is>
      </c>
      <c r="BH5" s="24" t="inlineStr">
        <is>
          <t>2026-07-31T13:43:57.933952Z</t>
        </is>
      </c>
      <c r="BI5" s="24" t="inlineStr">
        <is>
          <t>["same_event","same_team_same_day","same_league_same_day"]</t>
        </is>
      </c>
      <c r="BJ5" s="25" t="n"/>
      <c r="BK5" s="26" t="n">
        <v>156</v>
      </c>
      <c r="BL5" s="27" t="n">
        <v>2.56</v>
      </c>
      <c r="BM5" s="28" t="n">
        <v>0.390625</v>
      </c>
      <c r="BN5" s="28" t="n"/>
      <c r="BO5" s="28" t="n"/>
      <c r="BP5" s="25" t="n"/>
      <c r="BQ5" s="27" t="n">
        <v>2.56</v>
      </c>
      <c r="BR5" s="28" t="n">
        <v>0.39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a82473d0a2644fac</t>
        </is>
      </c>
      <c r="B6" s="24" t="inlineStr">
        <is>
          <t>2026-07-31T13:44:01.315844Z</t>
        </is>
      </c>
      <c r="C6" s="24" t="inlineStr">
        <is>
          <t>2026-07-31T14:00:00Z</t>
        </is>
      </c>
      <c r="D6" s="24" t="inlineStr">
        <is>
          <t>64928</t>
        </is>
      </c>
      <c r="E6" s="24" t="inlineStr">
        <is>
          <t>DOTA2</t>
        </is>
      </c>
      <c r="F6" s="24" t="inlineStr">
        <is>
          <t>LGD Gaming</t>
        </is>
      </c>
      <c r="G6" s="24" t="inlineStr">
        <is>
          <t>Xtreme Gaming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-127</v>
      </c>
      <c r="M6" s="27" t="n">
        <v>1.787402</v>
      </c>
      <c r="N6" s="28" t="n">
        <v>0.5594710000000001</v>
      </c>
      <c r="O6" s="28" t="n">
        <v>0.701925</v>
      </c>
      <c r="P6" s="28" t="n"/>
      <c r="Q6" s="28" t="n">
        <v>0.142454</v>
      </c>
      <c r="R6" s="26" t="n">
        <v>91</v>
      </c>
      <c r="S6" s="29" t="n">
        <v>2</v>
      </c>
      <c r="T6" s="24" t="inlineStr">
        <is>
          <t>dota2-tiered-elo-v5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1</v>
      </c>
      <c r="Y6" s="25" t="n"/>
      <c r="Z6" s="26" t="n">
        <v>-127</v>
      </c>
      <c r="AA6" s="28" t="n">
        <v>0.5600000000000001</v>
      </c>
      <c r="AB6" s="28" t="n">
        <v>0.000529</v>
      </c>
      <c r="AC6" s="30" t="n">
        <v>-2</v>
      </c>
      <c r="AD6" s="24" t="inlineStr">
        <is>
          <t>2026-07-31T23:28:36.259407Z</t>
        </is>
      </c>
      <c r="AE6" s="31" t="inlineStr">
        <is>
          <t>Neutral Elo baseline; executable ask 0.5600 (market_slug=aec-dota2-xtreme-lgd-2026-07-31).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LGD Gaming</t>
        </is>
      </c>
      <c r="AQ6" s="24" t="inlineStr">
        <is>
          <t>LGD Gaming</t>
        </is>
      </c>
      <c r="AR6" s="24" t="inlineStr">
        <is>
          <t>LGD Gaming</t>
        </is>
      </c>
      <c r="AS6" s="24" t="inlineStr">
        <is>
          <t>Xtreme Gaming</t>
        </is>
      </c>
      <c r="AT6" s="24" t="inlineStr">
        <is>
          <t>Xtreme Gaming</t>
        </is>
      </c>
      <c r="AU6" s="24" t="inlineStr">
        <is>
          <t>Xtreme Gaming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b5798e8e2d651ab79c8db316f3ec8a564cab27653a02daab82555f6e9f330ac3</t>
        </is>
      </c>
      <c r="BB6" s="24" t="inlineStr">
        <is>
          <t>neutral_elo</t>
        </is>
      </c>
      <c r="BC6" s="24" t="inlineStr">
        <is>
          <t>dota2-tiered-elo-v5</t>
        </is>
      </c>
      <c r="BD6" s="24" t="inlineStr">
        <is>
          <t>b5798e8e2d651ab79c8db316f3ec8a564cab27653a02daab82555f6e9f330ac3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dota2-tiered-elo-v5</t>
        </is>
      </c>
      <c r="BH6" s="24" t="inlineStr">
        <is>
          <t>2026-07-31T13:43:58.701955Z</t>
        </is>
      </c>
      <c r="BI6" s="24" t="inlineStr">
        <is>
          <t>["same_event","same_team_same_day","same_league_same_day"]</t>
        </is>
      </c>
      <c r="BJ6" s="25" t="n"/>
      <c r="BK6" s="26" t="n">
        <v>-127</v>
      </c>
      <c r="BL6" s="27" t="n">
        <v>1.787402</v>
      </c>
      <c r="BM6" s="28" t="n">
        <v>0.5594710000000001</v>
      </c>
      <c r="BN6" s="28" t="n"/>
      <c r="BO6" s="28" t="n"/>
      <c r="BP6" s="25" t="n"/>
      <c r="BQ6" s="27" t="n">
        <v>1.787402</v>
      </c>
      <c r="BR6" s="28" t="n">
        <v>0.5600000000000001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df4dae03d7544b1a</t>
        </is>
      </c>
      <c r="B7" s="24" t="inlineStr">
        <is>
          <t>2026-08-01T03:02:50.460010Z</t>
        </is>
      </c>
      <c r="C7" s="24" t="inlineStr">
        <is>
          <t>2026-08-01T05:00:00Z</t>
        </is>
      </c>
      <c r="D7" s="24" t="inlineStr">
        <is>
          <t>67524</t>
        </is>
      </c>
      <c r="E7" s="24" t="inlineStr">
        <is>
          <t>DOTA2</t>
        </is>
      </c>
      <c r="F7" s="24" t="inlineStr">
        <is>
          <t>Amaru Gaming</t>
        </is>
      </c>
      <c r="G7" s="24" t="inlineStr">
        <is>
          <t>Execration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-138</v>
      </c>
      <c r="M7" s="27" t="n">
        <v>1.724638</v>
      </c>
      <c r="N7" s="28" t="n">
        <v>0.579832</v>
      </c>
      <c r="O7" s="28" t="n">
        <v>0.5986399999999999</v>
      </c>
      <c r="P7" s="28" t="n"/>
      <c r="Q7" s="28" t="n">
        <v>0.018808</v>
      </c>
      <c r="R7" s="26" t="n">
        <v>29</v>
      </c>
      <c r="S7" s="29" t="n">
        <v>1.25</v>
      </c>
      <c r="T7" s="24" t="inlineStr">
        <is>
          <t>dota2-tiered-elo-v5</t>
        </is>
      </c>
      <c r="U7" s="24" t="inlineStr">
        <is>
          <t>settled</t>
        </is>
      </c>
      <c r="V7" s="24" t="inlineStr">
        <is>
          <t>win</t>
        </is>
      </c>
      <c r="W7" s="26" t="n">
        <v>0</v>
      </c>
      <c r="X7" s="26" t="n">
        <v>1</v>
      </c>
      <c r="Y7" s="25" t="n"/>
      <c r="Z7" s="26" t="n"/>
      <c r="AA7" s="28" t="n"/>
      <c r="AB7" s="28" t="n"/>
      <c r="AC7" s="30" t="n">
        <v>0.9058</v>
      </c>
      <c r="AD7" s="24" t="inlineStr">
        <is>
          <t>2026-08-01T10:15:49.684731Z</t>
        </is>
      </c>
      <c r="AE7" s="31" t="inlineStr">
        <is>
          <t>Neutral Elo baseline; executable ask 0.5800 (market_slug=aec-dota2-xctn-agm-2026-08-01).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Amaru Gaming</t>
        </is>
      </c>
      <c r="AQ7" s="24" t="inlineStr">
        <is>
          <t>Amaru Gaming</t>
        </is>
      </c>
      <c r="AR7" s="24" t="inlineStr">
        <is>
          <t>Amaru Gaming</t>
        </is>
      </c>
      <c r="AS7" s="24" t="inlineStr">
        <is>
          <t>Execration</t>
        </is>
      </c>
      <c r="AT7" s="24" t="inlineStr">
        <is>
          <t>Execration</t>
        </is>
      </c>
      <c r="AU7" s="24" t="inlineStr">
        <is>
          <t>Execration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70c4a9b222a6dac9c1b0737621af569fa1e0e955085795442f7ac4d19191488f</t>
        </is>
      </c>
      <c r="BB7" s="24" t="inlineStr">
        <is>
          <t>neutral_elo</t>
        </is>
      </c>
      <c r="BC7" s="24" t="inlineStr">
        <is>
          <t>dota2-tiered-elo-v5</t>
        </is>
      </c>
      <c r="BD7" s="24" t="inlineStr">
        <is>
          <t>70c4a9b222a6dac9c1b0737621af569fa1e0e955085795442f7ac4d19191488f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dota2-tiered-elo-v5</t>
        </is>
      </c>
      <c r="BH7" s="24" t="inlineStr">
        <is>
          <t>2026-08-01T03:02:44.715510Z</t>
        </is>
      </c>
      <c r="BI7" s="24" t="inlineStr">
        <is>
          <t>["same_event","same_team_same_day","same_league_same_day"]</t>
        </is>
      </c>
      <c r="BJ7" s="25" t="n"/>
      <c r="BK7" s="26" t="n">
        <v>-138</v>
      </c>
      <c r="BL7" s="27" t="n">
        <v>1.724638</v>
      </c>
      <c r="BM7" s="28" t="n">
        <v>0.579832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c81acb3ece574db8</t>
        </is>
      </c>
      <c r="B8" s="24" t="inlineStr">
        <is>
          <t>2026-08-01T03:02:50.460010Z</t>
        </is>
      </c>
      <c r="C8" s="24" t="inlineStr">
        <is>
          <t>2026-08-01T05:00:00Z</t>
        </is>
      </c>
      <c r="D8" s="24" t="inlineStr">
        <is>
          <t>67530</t>
        </is>
      </c>
      <c r="E8" s="24" t="inlineStr">
        <is>
          <t>DOTA2</t>
        </is>
      </c>
      <c r="F8" s="24" t="inlineStr">
        <is>
          <t>Team Resilience</t>
        </is>
      </c>
      <c r="G8" s="24" t="inlineStr">
        <is>
          <t>Midas Club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-150</v>
      </c>
      <c r="M8" s="27" t="n">
        <v>1.666667</v>
      </c>
      <c r="N8" s="28" t="n">
        <v>0.6</v>
      </c>
      <c r="O8" s="28" t="n">
        <v>0.630791</v>
      </c>
      <c r="P8" s="28" t="n"/>
      <c r="Q8" s="28" t="n">
        <v>0.030791</v>
      </c>
      <c r="R8" s="26" t="n">
        <v>35</v>
      </c>
      <c r="S8" s="29" t="n">
        <v>1.5</v>
      </c>
      <c r="T8" s="24" t="inlineStr">
        <is>
          <t>dota2-tiered-elo-v5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/>
      <c r="AA8" s="28" t="n"/>
      <c r="AB8" s="28" t="n"/>
      <c r="AC8" s="30" t="n">
        <v>1</v>
      </c>
      <c r="AD8" s="24" t="inlineStr">
        <is>
          <t>2026-08-01T10:15:50.858797Z</t>
        </is>
      </c>
      <c r="AE8" s="31" t="inlineStr">
        <is>
          <t>Neutral Elo baseline; executable ask 0.6000 (market_slug=aec-dota2-midas-tr-2026-08-01).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Team Resilience</t>
        </is>
      </c>
      <c r="AQ8" s="24" t="inlineStr">
        <is>
          <t>Team Resilience</t>
        </is>
      </c>
      <c r="AR8" s="24" t="inlineStr">
        <is>
          <t>Team Resilience</t>
        </is>
      </c>
      <c r="AS8" s="24" t="inlineStr">
        <is>
          <t>Midas Club</t>
        </is>
      </c>
      <c r="AT8" s="24" t="inlineStr">
        <is>
          <t>Midas Club</t>
        </is>
      </c>
      <c r="AU8" s="24" t="inlineStr">
        <is>
          <t>Midas Club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70c4a9b222a6dac9c1b0737621af569fa1e0e955085795442f7ac4d19191488f</t>
        </is>
      </c>
      <c r="BB8" s="24" t="inlineStr">
        <is>
          <t>neutral_elo</t>
        </is>
      </c>
      <c r="BC8" s="24" t="inlineStr">
        <is>
          <t>dota2-tiered-elo-v5</t>
        </is>
      </c>
      <c r="BD8" s="24" t="inlineStr">
        <is>
          <t>70c4a9b222a6dac9c1b0737621af569fa1e0e955085795442f7ac4d19191488f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dota2-tiered-elo-v5</t>
        </is>
      </c>
      <c r="BH8" s="24" t="inlineStr">
        <is>
          <t>2026-08-01T03:02:45.273136Z</t>
        </is>
      </c>
      <c r="BI8" s="24" t="inlineStr">
        <is>
          <t>["same_event","same_team_same_day","same_league_same_day"]</t>
        </is>
      </c>
      <c r="BJ8" s="25" t="n"/>
      <c r="BK8" s="26" t="n">
        <v>-150</v>
      </c>
      <c r="BL8" s="27" t="n">
        <v>1.666667</v>
      </c>
      <c r="BM8" s="28" t="n">
        <v>0.6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dc64bf31375749af</t>
        </is>
      </c>
      <c r="B9" s="24" t="inlineStr">
        <is>
          <t>2026-08-01T06:42:17.908342Z</t>
        </is>
      </c>
      <c r="C9" s="24" t="inlineStr">
        <is>
          <t>2026-08-01T08:00:00Z</t>
        </is>
      </c>
      <c r="D9" s="24" t="inlineStr">
        <is>
          <t>67531</t>
        </is>
      </c>
      <c r="E9" s="24" t="inlineStr">
        <is>
          <t>DOTA2</t>
        </is>
      </c>
      <c r="F9" s="24" t="inlineStr">
        <is>
          <t>PlayTime</t>
        </is>
      </c>
      <c r="G9" s="24" t="inlineStr">
        <is>
          <t>Rune Eaters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-178</v>
      </c>
      <c r="M9" s="27" t="n">
        <v>1.561798</v>
      </c>
      <c r="N9" s="28" t="n">
        <v>0.640288</v>
      </c>
      <c r="O9" s="28" t="n">
        <v>0.685333</v>
      </c>
      <c r="P9" s="28" t="n"/>
      <c r="Q9" s="28" t="n">
        <v>0.045045</v>
      </c>
      <c r="R9" s="26" t="n">
        <v>43</v>
      </c>
      <c r="S9" s="29" t="n">
        <v>2</v>
      </c>
      <c r="T9" s="24" t="inlineStr">
        <is>
          <t>dota2-tiered-elo-v5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-178</v>
      </c>
      <c r="AA9" s="28" t="n">
        <v>0.64</v>
      </c>
      <c r="AB9" s="28" t="n">
        <v>-0.000288</v>
      </c>
      <c r="AC9" s="30" t="n">
        <v>-2</v>
      </c>
      <c r="AD9" s="24" t="inlineStr">
        <is>
          <t>2026-08-01T13:41:04.579614Z</t>
        </is>
      </c>
      <c r="AE9" s="31" t="inlineStr">
        <is>
          <t>Neutral Elo baseline; executable ask 0.6400 (market_slug=aec-dota2-re-pla-2026-08-01).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PlayTime</t>
        </is>
      </c>
      <c r="AQ9" s="24" t="inlineStr">
        <is>
          <t>PlayTime</t>
        </is>
      </c>
      <c r="AR9" s="24" t="inlineStr">
        <is>
          <t>PlayTime</t>
        </is>
      </c>
      <c r="AS9" s="24" t="inlineStr">
        <is>
          <t>Rune Eaters</t>
        </is>
      </c>
      <c r="AT9" s="24" t="inlineStr">
        <is>
          <t>Rune Eaters</t>
        </is>
      </c>
      <c r="AU9" s="24" t="inlineStr">
        <is>
          <t>Rune Eaters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752abd49fc5066bbf6c0b57bc44412069a390e80fbe7ec7ad0c39f984fb62854</t>
        </is>
      </c>
      <c r="BB9" s="24" t="inlineStr">
        <is>
          <t>neutral_elo</t>
        </is>
      </c>
      <c r="BC9" s="24" t="inlineStr">
        <is>
          <t>dota2-tiered-elo-v5</t>
        </is>
      </c>
      <c r="BD9" s="24" t="inlineStr">
        <is>
          <t>752abd49fc5066bbf6c0b57bc44412069a390e80fbe7ec7ad0c39f984fb62854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dota2-tiered-elo-v5</t>
        </is>
      </c>
      <c r="BH9" s="24" t="inlineStr">
        <is>
          <t>2026-08-01T06:42:13.849047Z</t>
        </is>
      </c>
      <c r="BI9" s="24" t="inlineStr">
        <is>
          <t>["same_event","same_team_same_day","same_league_same_day"]</t>
        </is>
      </c>
      <c r="BJ9" s="25" t="n"/>
      <c r="BK9" s="26" t="n">
        <v>-178</v>
      </c>
      <c r="BL9" s="27" t="n">
        <v>1.561798</v>
      </c>
      <c r="BM9" s="28" t="n">
        <v>0.640288</v>
      </c>
      <c r="BN9" s="28" t="n"/>
      <c r="BO9" s="28" t="n"/>
      <c r="BP9" s="25" t="n"/>
      <c r="BQ9" s="27" t="n">
        <v>1.561798</v>
      </c>
      <c r="BR9" s="28" t="n">
        <v>0.64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baa07510ef7e4401</t>
        </is>
      </c>
      <c r="B10" s="24" t="inlineStr">
        <is>
          <t>2026-08-01T06:42:17.908342Z</t>
        </is>
      </c>
      <c r="C10" s="24" t="inlineStr">
        <is>
          <t>2026-08-01T09:00:00Z</t>
        </is>
      </c>
      <c r="D10" s="24" t="inlineStr">
        <is>
          <t>67990</t>
        </is>
      </c>
      <c r="E10" s="24" t="inlineStr">
        <is>
          <t>DOTA2</t>
        </is>
      </c>
      <c r="F10" s="24" t="inlineStr">
        <is>
          <t>avice Team</t>
        </is>
      </c>
      <c r="G10" s="24" t="inlineStr">
        <is>
          <t>Daxak Team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-127</v>
      </c>
      <c r="M10" s="27" t="n">
        <v>1.787402</v>
      </c>
      <c r="N10" s="28" t="n">
        <v>0.5594710000000001</v>
      </c>
      <c r="O10" s="28" t="n">
        <v>0.517054</v>
      </c>
      <c r="P10" s="28" t="n"/>
      <c r="Q10" s="28" t="n">
        <v>-0.042417</v>
      </c>
      <c r="R10" s="26" t="n">
        <v>0</v>
      </c>
      <c r="S10" s="29" t="n">
        <v>1</v>
      </c>
      <c r="T10" s="24" t="inlineStr">
        <is>
          <t>dota2-tiered-elo-v5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-127</v>
      </c>
      <c r="AA10" s="28" t="n">
        <v>0.5600000000000001</v>
      </c>
      <c r="AB10" s="28" t="n">
        <v>0.000529</v>
      </c>
      <c r="AC10" s="30" t="n">
        <v>-1</v>
      </c>
      <c r="AD10" s="24" t="inlineStr">
        <is>
          <t>2026-08-01T16:48:00.250076Z</t>
        </is>
      </c>
      <c r="AE10" s="31" t="inlineStr">
        <is>
          <t>Neutral Elo baseline; executable ask 0.5600 (market_slug=aec-dota2-dxk-avi-2026-08-01).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avice Team</t>
        </is>
      </c>
      <c r="AQ10" s="24" t="inlineStr">
        <is>
          <t>avice Team</t>
        </is>
      </c>
      <c r="AR10" s="24" t="inlineStr">
        <is>
          <t>avice Team</t>
        </is>
      </c>
      <c r="AS10" s="24" t="inlineStr">
        <is>
          <t>Daxak Team</t>
        </is>
      </c>
      <c r="AT10" s="24" t="inlineStr">
        <is>
          <t>Daxak Team</t>
        </is>
      </c>
      <c r="AU10" s="24" t="inlineStr">
        <is>
          <t>Daxak Team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752abd49fc5066bbf6c0b57bc44412069a390e80fbe7ec7ad0c39f984fb62854</t>
        </is>
      </c>
      <c r="BB10" s="24" t="inlineStr">
        <is>
          <t>neutral_elo</t>
        </is>
      </c>
      <c r="BC10" s="24" t="inlineStr">
        <is>
          <t>dota2-tiered-elo-v5</t>
        </is>
      </c>
      <c r="BD10" s="24" t="inlineStr">
        <is>
          <t>752abd49fc5066bbf6c0b57bc44412069a390e80fbe7ec7ad0c39f984fb62854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dota2-tiered-elo-v5</t>
        </is>
      </c>
      <c r="BH10" s="24" t="inlineStr">
        <is>
          <t>2026-08-01T06:42:14.892061Z</t>
        </is>
      </c>
      <c r="BI10" s="24" t="inlineStr">
        <is>
          <t>["same_event","same_team_same_day","same_league_same_day"]</t>
        </is>
      </c>
      <c r="BJ10" s="25" t="n"/>
      <c r="BK10" s="26" t="n">
        <v>-127</v>
      </c>
      <c r="BL10" s="27" t="n">
        <v>1.787402</v>
      </c>
      <c r="BM10" s="28" t="n">
        <v>0.5594710000000001</v>
      </c>
      <c r="BN10" s="28" t="n"/>
      <c r="BO10" s="28" t="n"/>
      <c r="BP10" s="25" t="n"/>
      <c r="BQ10" s="27" t="n">
        <v>1.787402</v>
      </c>
      <c r="BR10" s="28" t="n">
        <v>0.5600000000000001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 ht="36" customHeight="1">
      <c r="A11" s="24" t="inlineStr">
        <is>
          <t>4b69058c47604a38</t>
        </is>
      </c>
      <c r="B11" s="24" t="inlineStr">
        <is>
          <t>2026-08-01T10:23:10.624442Z</t>
        </is>
      </c>
      <c r="C11" s="24" t="inlineStr">
        <is>
          <t>2026-08-01T11:00:00Z</t>
        </is>
      </c>
      <c r="D11" s="24" t="inlineStr">
        <is>
          <t>67645</t>
        </is>
      </c>
      <c r="E11" s="24" t="inlineStr">
        <is>
          <t>DOTA2</t>
        </is>
      </c>
      <c r="F11" s="24" t="inlineStr">
        <is>
          <t>Yakult Brothers</t>
        </is>
      </c>
      <c r="G11" s="24" t="inlineStr">
        <is>
          <t>Enjoy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138</v>
      </c>
      <c r="M11" s="27" t="n">
        <v>2.38</v>
      </c>
      <c r="N11" s="28" t="n">
        <v>0.420168</v>
      </c>
      <c r="O11" s="28" t="n">
        <v>0.501304</v>
      </c>
      <c r="P11" s="28" t="n"/>
      <c r="Q11" s="28" t="n">
        <v>0.081136</v>
      </c>
      <c r="R11" s="26" t="n">
        <v>61</v>
      </c>
      <c r="S11" s="29" t="n">
        <v>1</v>
      </c>
      <c r="T11" s="24" t="inlineStr">
        <is>
          <t>dota2-tiered-elo-v5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138</v>
      </c>
      <c r="AA11" s="28" t="n">
        <v>0.42</v>
      </c>
      <c r="AB11" s="28" t="n">
        <v>-0.000168</v>
      </c>
      <c r="AC11" s="30" t="n">
        <v>1.38</v>
      </c>
      <c r="AD11" s="24" t="inlineStr">
        <is>
          <t>2026-08-01T16:48:01.379906Z</t>
        </is>
      </c>
      <c r="AE11" s="31" t="inlineStr">
        <is>
          <t>Neutral Elo baseline; executable ask 0.4200 (market_slug=aec-dota2-enjoy-yb-2026-08-01).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NO_CALL_LOW_EDGE</t>
        </is>
      </c>
      <c r="AP11" s="24" t="inlineStr">
        <is>
          <t>Yakult Brothers</t>
        </is>
      </c>
      <c r="AQ11" s="24" t="inlineStr">
        <is>
          <t>Yakult Brothers</t>
        </is>
      </c>
      <c r="AR11" s="24" t="inlineStr">
        <is>
          <t>Yakult Brothers</t>
        </is>
      </c>
      <c r="AS11" s="24" t="inlineStr">
        <is>
          <t>Enjoy</t>
        </is>
      </c>
      <c r="AT11" s="24" t="inlineStr">
        <is>
          <t>Enjoy</t>
        </is>
      </c>
      <c r="AU11" s="24" t="inlineStr">
        <is>
          <t>Enjoy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deda9eb37849d75abc167c468ca22f3b17af095f0b4080e2e6252b25fb3908be</t>
        </is>
      </c>
      <c r="BB11" s="24" t="inlineStr">
        <is>
          <t>neutral_elo</t>
        </is>
      </c>
      <c r="BC11" s="24" t="inlineStr">
        <is>
          <t>dota2-tiered-elo-v5</t>
        </is>
      </c>
      <c r="BD11" s="24" t="inlineStr">
        <is>
          <t>deda9eb37849d75abc167c468ca22f3b17af095f0b4080e2e6252b25fb3908be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dota2-tiered-elo-v5</t>
        </is>
      </c>
      <c r="BH11" s="24" t="inlineStr">
        <is>
          <t>2026-08-01T10:23:08.624845Z</t>
        </is>
      </c>
      <c r="BI11" s="24" t="inlineStr">
        <is>
          <t>["same_event","same_team_same_day","same_league_same_day"]</t>
        </is>
      </c>
      <c r="BJ11" s="25" t="n"/>
      <c r="BK11" s="26" t="n">
        <v>138</v>
      </c>
      <c r="BL11" s="27" t="n">
        <v>2.38</v>
      </c>
      <c r="BM11" s="28" t="n">
        <v>0.420168</v>
      </c>
      <c r="BN11" s="28" t="n"/>
      <c r="BO11" s="28" t="n"/>
      <c r="BP11" s="25" t="n"/>
      <c r="BQ11" s="27" t="n">
        <v>2.38</v>
      </c>
      <c r="BR11" s="28" t="n">
        <v>0.42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 ht="36" customHeight="1">
      <c r="A12" s="24" t="inlineStr">
        <is>
          <t>cc392b7a7e5d4e66</t>
        </is>
      </c>
      <c r="B12" s="24" t="inlineStr">
        <is>
          <t>2026-08-01T10:23:10.624442Z</t>
        </is>
      </c>
      <c r="C12" s="24" t="inlineStr">
        <is>
          <t>2026-08-01T12:00:00Z</t>
        </is>
      </c>
      <c r="D12" s="24" t="inlineStr">
        <is>
          <t>67992</t>
        </is>
      </c>
      <c r="E12" s="24" t="inlineStr">
        <is>
          <t>DOTA2</t>
        </is>
      </c>
      <c r="F12" s="24" t="inlineStr">
        <is>
          <t>VooDooSh Team</t>
        </is>
      </c>
      <c r="G12" s="24" t="inlineStr">
        <is>
          <t>NS Team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-138</v>
      </c>
      <c r="M12" s="27" t="n">
        <v>1.724638</v>
      </c>
      <c r="N12" s="28" t="n">
        <v>0.579832</v>
      </c>
      <c r="O12" s="28" t="n">
        <v>0.549255</v>
      </c>
      <c r="P12" s="28" t="n"/>
      <c r="Q12" s="28" t="n">
        <v>-0.030577</v>
      </c>
      <c r="R12" s="26" t="n">
        <v>5</v>
      </c>
      <c r="S12" s="29" t="n">
        <v>1</v>
      </c>
      <c r="T12" s="24" t="inlineStr">
        <is>
          <t>dota2-tiered-elo-v5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-138</v>
      </c>
      <c r="AA12" s="28" t="n">
        <v>0.58</v>
      </c>
      <c r="AB12" s="28" t="n">
        <v>0.000168</v>
      </c>
      <c r="AC12" s="30" t="n">
        <v>-1</v>
      </c>
      <c r="AD12" s="24" t="inlineStr">
        <is>
          <t>2026-08-01T18:35:23.071564Z</t>
        </is>
      </c>
      <c r="AE12" s="31" t="inlineStr">
        <is>
          <t>Neutral Elo baseline; executable ask 0.5800 (market_slug=aec-dota2-ns-vds-2026-08-01).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VooDooSh Team</t>
        </is>
      </c>
      <c r="AQ12" s="24" t="inlineStr">
        <is>
          <t>VooDooSh Team</t>
        </is>
      </c>
      <c r="AR12" s="24" t="inlineStr">
        <is>
          <t>VooDooSh Team</t>
        </is>
      </c>
      <c r="AS12" s="24" t="inlineStr">
        <is>
          <t>NS Team</t>
        </is>
      </c>
      <c r="AT12" s="24" t="inlineStr">
        <is>
          <t>NS Team</t>
        </is>
      </c>
      <c r="AU12" s="24" t="inlineStr">
        <is>
          <t>NS Team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deda9eb37849d75abc167c468ca22f3b17af095f0b4080e2e6252b25fb3908be</t>
        </is>
      </c>
      <c r="BB12" s="24" t="inlineStr">
        <is>
          <t>neutral_elo</t>
        </is>
      </c>
      <c r="BC12" s="24" t="inlineStr">
        <is>
          <t>dota2-tiered-elo-v5</t>
        </is>
      </c>
      <c r="BD12" s="24" t="inlineStr">
        <is>
          <t>deda9eb37849d75abc167c468ca22f3b17af095f0b4080e2e6252b25fb3908be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dota2-tiered-elo-v5</t>
        </is>
      </c>
      <c r="BH12" s="24" t="inlineStr">
        <is>
          <t>2026-08-01T10:23:09.203539Z</t>
        </is>
      </c>
      <c r="BI12" s="24" t="inlineStr">
        <is>
          <t>["same_event","same_team_same_day","same_league_same_day"]</t>
        </is>
      </c>
      <c r="BJ12" s="25" t="n"/>
      <c r="BK12" s="26" t="n">
        <v>-138</v>
      </c>
      <c r="BL12" s="27" t="n">
        <v>1.724638</v>
      </c>
      <c r="BM12" s="28" t="n">
        <v>0.579832</v>
      </c>
      <c r="BN12" s="28" t="n"/>
      <c r="BO12" s="28" t="n"/>
      <c r="BP12" s="25" t="n"/>
      <c r="BQ12" s="27" t="n">
        <v>1.724638</v>
      </c>
      <c r="BR12" s="28" t="n">
        <v>0.58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 ht="36" customHeight="1">
      <c r="A13" s="24" t="inlineStr">
        <is>
          <t>c31b3778fa1d4a2a</t>
        </is>
      </c>
      <c r="B13" s="24" t="inlineStr">
        <is>
          <t>2026-08-01T13:46:48.325440Z</t>
        </is>
      </c>
      <c r="C13" s="24" t="inlineStr">
        <is>
          <t>2026-08-01T14:00:00Z</t>
        </is>
      </c>
      <c r="D13" s="24" t="inlineStr">
        <is>
          <t>67647</t>
        </is>
      </c>
      <c r="E13" s="24" t="inlineStr">
        <is>
          <t>DOTA2</t>
        </is>
      </c>
      <c r="F13" s="24" t="inlineStr">
        <is>
          <t>Zero Tenacity</t>
        </is>
      </c>
      <c r="G13" s="24" t="inlineStr">
        <is>
          <t>GLYPH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0.56954</v>
      </c>
      <c r="P13" s="28" t="n"/>
      <c r="Q13" s="28" t="n">
        <v>0.010069</v>
      </c>
      <c r="R13" s="26" t="n">
        <v>25</v>
      </c>
      <c r="S13" s="29" t="n">
        <v>1.25</v>
      </c>
      <c r="T13" s="24" t="inlineStr">
        <is>
          <t>dota2-tiered-elo-v5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-127</v>
      </c>
      <c r="AA13" s="28" t="n">
        <v>0.5600000000000001</v>
      </c>
      <c r="AB13" s="28" t="n">
        <v>0.000529</v>
      </c>
      <c r="AC13" s="30" t="n">
        <v>0.9843</v>
      </c>
      <c r="AD13" s="24" t="inlineStr">
        <is>
          <t>2026-08-01T18:35:24.307034Z</t>
        </is>
      </c>
      <c r="AE13" s="31" t="inlineStr">
        <is>
          <t>Neutral Elo baseline; executable ask 0.5600 (market_slug=aec-dota2-glyph-z10-2026-08-01).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Zero Tenacity</t>
        </is>
      </c>
      <c r="AQ13" s="24" t="inlineStr">
        <is>
          <t>Zero Tenacity</t>
        </is>
      </c>
      <c r="AR13" s="24" t="inlineStr">
        <is>
          <t>Zero Tenacity</t>
        </is>
      </c>
      <c r="AS13" s="24" t="inlineStr">
        <is>
          <t>GLYPH</t>
        </is>
      </c>
      <c r="AT13" s="24" t="inlineStr">
        <is>
          <t>GLYPH</t>
        </is>
      </c>
      <c r="AU13" s="24" t="inlineStr">
        <is>
          <t>GLYPH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e9c5ed6e71791ea5be7f930d81f2276296bd4d18a6bc053f0b2a93d60ab25a74</t>
        </is>
      </c>
      <c r="BB13" s="24" t="inlineStr">
        <is>
          <t>neutral_elo</t>
        </is>
      </c>
      <c r="BC13" s="24" t="inlineStr">
        <is>
          <t>dota2-tiered-elo-v5</t>
        </is>
      </c>
      <c r="BD13" s="24" t="inlineStr">
        <is>
          <t>e9c5ed6e71791ea5be7f930d81f2276296bd4d18a6bc053f0b2a93d60ab25a74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dota2-tiered-elo-v5</t>
        </is>
      </c>
      <c r="BH13" s="24" t="inlineStr">
        <is>
          <t>2026-08-01T13:46:47.801537Z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>
        <v>1.787402</v>
      </c>
      <c r="BR13" s="28" t="n">
        <v>0.5600000000000001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 ht="36" customHeight="1">
      <c r="A14" s="24" t="inlineStr">
        <is>
          <t>b90b9623c89246cc</t>
        </is>
      </c>
      <c r="B14" s="24" t="inlineStr">
        <is>
          <t>2026-08-01T13:46:48.325440Z</t>
        </is>
      </c>
      <c r="C14" s="24" t="inlineStr">
        <is>
          <t>2026-08-01T15:00:00Z</t>
        </is>
      </c>
      <c r="D14" s="24" t="inlineStr">
        <is>
          <t>67941</t>
        </is>
      </c>
      <c r="E14" s="24" t="inlineStr">
        <is>
          <t>DOTA2</t>
        </is>
      </c>
      <c r="F14" s="24" t="inlineStr">
        <is>
          <t>Travoman Team</t>
        </is>
      </c>
      <c r="G14" s="24" t="inlineStr">
        <is>
          <t>Stray Team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-156</v>
      </c>
      <c r="M14" s="27" t="n">
        <v>1.641026</v>
      </c>
      <c r="N14" s="28" t="n">
        <v>0.609375</v>
      </c>
      <c r="O14" s="28" t="n">
        <v>0.546939</v>
      </c>
      <c r="P14" s="28" t="n"/>
      <c r="Q14" s="28" t="n">
        <v>-0.062436</v>
      </c>
      <c r="R14" s="26" t="n">
        <v>0</v>
      </c>
      <c r="S14" s="29" t="n">
        <v>1</v>
      </c>
      <c r="T14" s="24" t="inlineStr">
        <is>
          <t>dota2-tiered-elo-v5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0</v>
      </c>
      <c r="Y14" s="25" t="n"/>
      <c r="Z14" s="26" t="n">
        <v>-156</v>
      </c>
      <c r="AA14" s="28" t="n">
        <v>0.61</v>
      </c>
      <c r="AB14" s="28" t="n">
        <v>0.000625</v>
      </c>
      <c r="AC14" s="30" t="n">
        <v>0.641</v>
      </c>
      <c r="AD14" s="24" t="inlineStr">
        <is>
          <t>2026-08-01T21:25:24.126155Z</t>
        </is>
      </c>
      <c r="AE14" s="31" t="inlineStr">
        <is>
          <t>Neutral Elo baseline; executable ask 0.6100 (market_slug=aec-dota2-stray-tt-2026-08-01).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NO_CALL_LOW_EDGE</t>
        </is>
      </c>
      <c r="AP14" s="24" t="inlineStr">
        <is>
          <t>Travoman Team</t>
        </is>
      </c>
      <c r="AQ14" s="24" t="inlineStr">
        <is>
          <t>Travoman Team</t>
        </is>
      </c>
      <c r="AR14" s="24" t="inlineStr">
        <is>
          <t>Travoman Team</t>
        </is>
      </c>
      <c r="AS14" s="24" t="inlineStr">
        <is>
          <t>Stray Team</t>
        </is>
      </c>
      <c r="AT14" s="24" t="inlineStr">
        <is>
          <t>Stray Team</t>
        </is>
      </c>
      <c r="AU14" s="24" t="inlineStr">
        <is>
          <t>Stray Team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e9c5ed6e71791ea5be7f930d81f2276296bd4d18a6bc053f0b2a93d60ab25a74</t>
        </is>
      </c>
      <c r="BB14" s="24" t="inlineStr">
        <is>
          <t>neutral_elo</t>
        </is>
      </c>
      <c r="BC14" s="24" t="inlineStr">
        <is>
          <t>dota2-tiered-elo-v5</t>
        </is>
      </c>
      <c r="BD14" s="24" t="inlineStr">
        <is>
          <t>e9c5ed6e71791ea5be7f930d81f2276296bd4d18a6bc053f0b2a93d60ab25a74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dota2-tiered-elo-v5</t>
        </is>
      </c>
      <c r="BH14" s="24" t="inlineStr">
        <is>
          <t>2026-08-01T13:46:48.324209Z</t>
        </is>
      </c>
      <c r="BI14" s="24" t="inlineStr">
        <is>
          <t>["same_event","same_team_same_day","same_league_same_day"]</t>
        </is>
      </c>
      <c r="BJ14" s="25" t="n"/>
      <c r="BK14" s="26" t="n">
        <v>-156</v>
      </c>
      <c r="BL14" s="27" t="n">
        <v>1.641026</v>
      </c>
      <c r="BM14" s="28" t="n">
        <v>0.609375</v>
      </c>
      <c r="BN14" s="28" t="n"/>
      <c r="BO14" s="28" t="n"/>
      <c r="BP14" s="25" t="n"/>
      <c r="BQ14" s="27" t="n">
        <v>1.641026</v>
      </c>
      <c r="BR14" s="28" t="n">
        <v>0.61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</row>
    <row r="15" ht="36" customHeight="1">
      <c r="A15" s="24" t="inlineStr">
        <is>
          <t>961c76b983e44d0f</t>
        </is>
      </c>
      <c r="B15" s="24" t="inlineStr">
        <is>
          <t>2026-08-02T07:16:32.312595Z</t>
        </is>
      </c>
      <c r="C15" s="24" t="inlineStr">
        <is>
          <t>2026-08-02T08:00:00Z</t>
        </is>
      </c>
      <c r="D15" s="24" t="inlineStr">
        <is>
          <t>68446</t>
        </is>
      </c>
      <c r="E15" s="24" t="inlineStr">
        <is>
          <t>DOTA2</t>
        </is>
      </c>
      <c r="F15" s="24" t="inlineStr">
        <is>
          <t>Team Resilience</t>
        </is>
      </c>
      <c r="G15" s="24" t="inlineStr">
        <is>
          <t>Yellow Submarine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127</v>
      </c>
      <c r="M15" s="27" t="n">
        <v>2.27</v>
      </c>
      <c r="N15" s="28" t="n">
        <v>0.440529</v>
      </c>
      <c r="O15" s="28" t="n">
        <v>0.576085</v>
      </c>
      <c r="P15" s="28" t="n"/>
      <c r="Q15" s="28" t="n">
        <v>0.135556</v>
      </c>
      <c r="R15" s="26" t="n">
        <v>88</v>
      </c>
      <c r="S15" s="29" t="n">
        <v>1.25</v>
      </c>
      <c r="T15" s="24" t="inlineStr">
        <is>
          <t>dota2-tiered-elo-v5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127</v>
      </c>
      <c r="AA15" s="28" t="n">
        <v>0.44</v>
      </c>
      <c r="AB15" s="28" t="n">
        <v>-0.000529</v>
      </c>
      <c r="AC15" s="30" t="n">
        <v>-1.25</v>
      </c>
      <c r="AD15" s="24" t="inlineStr">
        <is>
          <t>2026-08-02T15:52:54.937176Z</t>
        </is>
      </c>
      <c r="AE15" s="31" t="inlineStr">
        <is>
          <t>Neutral Elo baseline; executable ask 0.4400 (market_slug=aec-dota2-yes-tr-2026-08-02).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Team Resilience</t>
        </is>
      </c>
      <c r="AQ15" s="24" t="inlineStr">
        <is>
          <t>Team Resilience</t>
        </is>
      </c>
      <c r="AR15" s="24" t="inlineStr">
        <is>
          <t>Team Resilience</t>
        </is>
      </c>
      <c r="AS15" s="24" t="inlineStr">
        <is>
          <t>Yellow Submarine</t>
        </is>
      </c>
      <c r="AT15" s="24" t="inlineStr">
        <is>
          <t>Yellow Submarine</t>
        </is>
      </c>
      <c r="AU15" s="24" t="inlineStr">
        <is>
          <t>Yellow Submarine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9e5f3e455da6fe4a2d8dcc8c9466846303c6541f69893fd12aeb76cf2c918868</t>
        </is>
      </c>
      <c r="BB15" s="24" t="inlineStr">
        <is>
          <t>neutral_elo</t>
        </is>
      </c>
      <c r="BC15" s="24" t="inlineStr">
        <is>
          <t>dota2-tiered-elo-v5</t>
        </is>
      </c>
      <c r="BD15" s="24" t="inlineStr">
        <is>
          <t>9e5f3e455da6fe4a2d8dcc8c9466846303c6541f69893fd12aeb76cf2c918868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dota2-tiered-elo-v5</t>
        </is>
      </c>
      <c r="BH15" s="24" t="inlineStr">
        <is>
          <t>2026-08-02T07:16:30.813424Z</t>
        </is>
      </c>
      <c r="BI15" s="24" t="inlineStr">
        <is>
          <t>["same_event","same_team_same_day","same_league_same_day"]</t>
        </is>
      </c>
      <c r="BJ15" s="25" t="n"/>
      <c r="BK15" s="26" t="n">
        <v>127</v>
      </c>
      <c r="BL15" s="27" t="n">
        <v>2.27</v>
      </c>
      <c r="BM15" s="28" t="n">
        <v>0.440529</v>
      </c>
      <c r="BN15" s="28" t="n"/>
      <c r="BO15" s="28" t="n"/>
      <c r="BP15" s="25" t="n"/>
      <c r="BQ15" s="27" t="n">
        <v>2.27</v>
      </c>
      <c r="BR15" s="28" t="n">
        <v>0.44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</row>
    <row r="16" ht="36" customHeight="1">
      <c r="A16" s="24" t="inlineStr">
        <is>
          <t>a66a28305cd640a1</t>
        </is>
      </c>
      <c r="B16" s="24" t="inlineStr">
        <is>
          <t>2026-08-02T10:00:11.648885Z</t>
        </is>
      </c>
      <c r="C16" s="24" t="inlineStr">
        <is>
          <t>2026-08-02T11:00:00Z</t>
        </is>
      </c>
      <c r="D16" s="24" t="inlineStr">
        <is>
          <t>69337</t>
        </is>
      </c>
      <c r="E16" s="24" t="inlineStr">
        <is>
          <t>DOTA2</t>
        </is>
      </c>
      <c r="F16" s="24" t="inlineStr">
        <is>
          <t>NS Team</t>
        </is>
      </c>
      <c r="G16" s="24" t="inlineStr">
        <is>
          <t>Stray Team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-156</v>
      </c>
      <c r="M16" s="27" t="n">
        <v>1.641026</v>
      </c>
      <c r="N16" s="28" t="n">
        <v>0.609375</v>
      </c>
      <c r="O16" s="28" t="n">
        <v>0.594749</v>
      </c>
      <c r="P16" s="28" t="n"/>
      <c r="Q16" s="28" t="n">
        <v>-0.014626</v>
      </c>
      <c r="R16" s="26" t="n">
        <v>13</v>
      </c>
      <c r="S16" s="29" t="n">
        <v>1.25</v>
      </c>
      <c r="T16" s="24" t="inlineStr">
        <is>
          <t>dota2-tiered-elo-v5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-156</v>
      </c>
      <c r="AA16" s="28" t="n">
        <v>0.61</v>
      </c>
      <c r="AB16" s="28" t="n">
        <v>0.000625</v>
      </c>
      <c r="AC16" s="30" t="n">
        <v>0.8013</v>
      </c>
      <c r="AD16" s="24" t="inlineStr">
        <is>
          <t>2026-08-02T15:52:56.184837Z</t>
        </is>
      </c>
      <c r="AE16" s="31" t="inlineStr">
        <is>
          <t>Neutral Elo baseline; executable ask 0.6100 (market_slug=aec-dota2-stray-ns-2026-08-02).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NS Team</t>
        </is>
      </c>
      <c r="AQ16" s="24" t="inlineStr">
        <is>
          <t>NS Team</t>
        </is>
      </c>
      <c r="AR16" s="24" t="inlineStr">
        <is>
          <t>NS Team</t>
        </is>
      </c>
      <c r="AS16" s="24" t="inlineStr">
        <is>
          <t>Stray Team</t>
        </is>
      </c>
      <c r="AT16" s="24" t="inlineStr">
        <is>
          <t>Stray Team</t>
        </is>
      </c>
      <c r="AU16" s="24" t="inlineStr">
        <is>
          <t>Stray Team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d60687e602976b4a2779a4ff6a5f8f825a178fa4df1e53dc8ee5e3eeffcc3d8b</t>
        </is>
      </c>
      <c r="BB16" s="24" t="inlineStr">
        <is>
          <t>neutral_elo</t>
        </is>
      </c>
      <c r="BC16" s="24" t="inlineStr">
        <is>
          <t>dota2-tiered-elo-v5</t>
        </is>
      </c>
      <c r="BD16" s="24" t="inlineStr">
        <is>
          <t>d60687e602976b4a2779a4ff6a5f8f825a178fa4df1e53dc8ee5e3eeffcc3d8b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dota2-tiered-elo-v5</t>
        </is>
      </c>
      <c r="BH16" s="24" t="inlineStr">
        <is>
          <t>2026-08-02T10:00:10.104239Z</t>
        </is>
      </c>
      <c r="BI16" s="24" t="inlineStr">
        <is>
          <t>["same_event","same_team_same_day","same_league_same_day"]</t>
        </is>
      </c>
      <c r="BJ16" s="25" t="n"/>
      <c r="BK16" s="26" t="n">
        <v>-156</v>
      </c>
      <c r="BL16" s="27" t="n">
        <v>1.641026</v>
      </c>
      <c r="BM16" s="28" t="n">
        <v>0.609375</v>
      </c>
      <c r="BN16" s="28" t="n"/>
      <c r="BO16" s="28" t="n"/>
      <c r="BP16" s="25" t="n"/>
      <c r="BQ16" s="27" t="n">
        <v>1.641026</v>
      </c>
      <c r="BR16" s="28" t="n">
        <v>0.61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</row>
    <row r="17" ht="36" customHeight="1">
      <c r="A17" s="24" t="inlineStr">
        <is>
          <t>32020a9dad6e4660</t>
        </is>
      </c>
      <c r="B17" s="24" t="inlineStr">
        <is>
          <t>2026-08-02T10:00:11.648885Z</t>
        </is>
      </c>
      <c r="C17" s="24" t="inlineStr">
        <is>
          <t>2026-08-02T11:00:00Z</t>
        </is>
      </c>
      <c r="D17" s="24" t="inlineStr">
        <is>
          <t>69232</t>
        </is>
      </c>
      <c r="E17" s="24" t="inlineStr">
        <is>
          <t>DOTA2</t>
        </is>
      </c>
      <c r="F17" s="24" t="inlineStr">
        <is>
          <t>Yakult Brothers</t>
        </is>
      </c>
      <c r="G17" s="24" t="inlineStr">
        <is>
          <t>REKONIX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104</v>
      </c>
      <c r="M17" s="27" t="n">
        <v>2.04</v>
      </c>
      <c r="N17" s="28" t="n">
        <v>0.490196</v>
      </c>
      <c r="O17" s="28" t="n">
        <v>0.702765</v>
      </c>
      <c r="P17" s="28" t="n"/>
      <c r="Q17" s="28" t="n">
        <v>0.212569</v>
      </c>
      <c r="R17" s="26" t="n">
        <v>100</v>
      </c>
      <c r="S17" s="29" t="n">
        <v>2</v>
      </c>
      <c r="T17" s="24" t="inlineStr">
        <is>
          <t>dota2-tiered-elo-v5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0</v>
      </c>
      <c r="Y17" s="25" t="n"/>
      <c r="Z17" s="26" t="n">
        <v>104</v>
      </c>
      <c r="AA17" s="28" t="n">
        <v>0.49</v>
      </c>
      <c r="AB17" s="28" t="n">
        <v>-0.000196</v>
      </c>
      <c r="AC17" s="30" t="n">
        <v>-2</v>
      </c>
      <c r="AD17" s="24" t="inlineStr">
        <is>
          <t>2026-08-02T19:26:45.633634Z</t>
        </is>
      </c>
      <c r="AE17" s="31" t="inlineStr">
        <is>
          <t>Neutral Elo baseline; executable ask 0.4900 (market_slug=aec-dota2-rnx-yb-2026-08-02).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Yakult Brothers</t>
        </is>
      </c>
      <c r="AQ17" s="24" t="inlineStr">
        <is>
          <t>Yakult Brothers</t>
        </is>
      </c>
      <c r="AR17" s="24" t="inlineStr">
        <is>
          <t>Yakult Brothers</t>
        </is>
      </c>
      <c r="AS17" s="24" t="inlineStr">
        <is>
          <t>REKONIX</t>
        </is>
      </c>
      <c r="AT17" s="24" t="inlineStr">
        <is>
          <t>REKONIX</t>
        </is>
      </c>
      <c r="AU17" s="24" t="inlineStr">
        <is>
          <t>REKONIX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d60687e602976b4a2779a4ff6a5f8f825a178fa4df1e53dc8ee5e3eeffcc3d8b</t>
        </is>
      </c>
      <c r="BB17" s="24" t="inlineStr">
        <is>
          <t>neutral_elo</t>
        </is>
      </c>
      <c r="BC17" s="24" t="inlineStr">
        <is>
          <t>dota2-tiered-elo-v5</t>
        </is>
      </c>
      <c r="BD17" s="24" t="inlineStr">
        <is>
          <t>d60687e602976b4a2779a4ff6a5f8f825a178fa4df1e53dc8ee5e3eeffcc3d8b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dota2-tiered-elo-v5</t>
        </is>
      </c>
      <c r="BH17" s="24" t="inlineStr">
        <is>
          <t>2026-08-02T10:00:10.645047Z</t>
        </is>
      </c>
      <c r="BI17" s="24" t="inlineStr">
        <is>
          <t>["same_event","same_team_same_day","same_league_same_day"]</t>
        </is>
      </c>
      <c r="BJ17" s="25" t="n"/>
      <c r="BK17" s="26" t="n">
        <v>104</v>
      </c>
      <c r="BL17" s="27" t="n">
        <v>2.04</v>
      </c>
      <c r="BM17" s="28" t="n">
        <v>0.490196</v>
      </c>
      <c r="BN17" s="28" t="n"/>
      <c r="BO17" s="28" t="n"/>
      <c r="BP17" s="25" t="n"/>
      <c r="BQ17" s="27" t="n">
        <v>2.04</v>
      </c>
      <c r="BR17" s="28" t="n">
        <v>0.49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</row>
    <row r="18" ht="36" customHeight="1">
      <c r="A18" s="24" t="inlineStr">
        <is>
          <t>3fd99efe9c6243da</t>
        </is>
      </c>
      <c r="B18" s="24" t="inlineStr">
        <is>
          <t>2026-08-03T04:20:25.162543Z</t>
        </is>
      </c>
      <c r="C18" s="24" t="inlineStr">
        <is>
          <t>2026-08-03T05:00:00Z</t>
        </is>
      </c>
      <c r="D18" s="24" t="inlineStr">
        <is>
          <t>69530</t>
        </is>
      </c>
      <c r="E18" s="24" t="inlineStr">
        <is>
          <t>DOTA2</t>
        </is>
      </c>
      <c r="F18" s="24" t="inlineStr">
        <is>
          <t>GLYPH</t>
        </is>
      </c>
      <c r="G18" s="24" t="inlineStr">
        <is>
          <t>PlayTime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-170</v>
      </c>
      <c r="M18" s="27" t="n">
        <v>1.588235</v>
      </c>
      <c r="N18" s="28" t="n">
        <v>0.62963</v>
      </c>
      <c r="O18" s="28" t="n">
        <v>0.688438</v>
      </c>
      <c r="P18" s="28" t="n"/>
      <c r="Q18" s="28" t="n">
        <v>0.058808</v>
      </c>
      <c r="R18" s="26" t="n">
        <v>49</v>
      </c>
      <c r="S18" s="29" t="n">
        <v>2</v>
      </c>
      <c r="T18" s="24" t="inlineStr">
        <is>
          <t>dota2-tiered-elo-v5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>
        <v>-170</v>
      </c>
      <c r="AA18" s="28" t="n">
        <v>0.63</v>
      </c>
      <c r="AB18" s="28" t="n">
        <v>0.00037</v>
      </c>
      <c r="AC18" s="30" t="n">
        <v>1.1765</v>
      </c>
      <c r="AD18" s="24" t="inlineStr">
        <is>
          <t>2026-08-03T10:06:42.804391Z</t>
        </is>
      </c>
      <c r="AE18" s="31" t="inlineStr">
        <is>
          <t>Neutral Elo baseline; executable ask 0.6300 (market_slug=aec-dota2-pla-glyph-2026-08-03).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GLYPH</t>
        </is>
      </c>
      <c r="AQ18" s="24" t="inlineStr">
        <is>
          <t>GLYPH</t>
        </is>
      </c>
      <c r="AR18" s="24" t="inlineStr">
        <is>
          <t>GLYPH</t>
        </is>
      </c>
      <c r="AS18" s="24" t="inlineStr">
        <is>
          <t>PlayTime</t>
        </is>
      </c>
      <c r="AT18" s="24" t="inlineStr">
        <is>
          <t>PlayTime</t>
        </is>
      </c>
      <c r="AU18" s="24" t="inlineStr">
        <is>
          <t>PlayTime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bf20998d8a70c3832fd09ea459020acc93ce47c0fe8f683c0d8face894c2cb28</t>
        </is>
      </c>
      <c r="BB18" s="24" t="inlineStr">
        <is>
          <t>neutral_elo</t>
        </is>
      </c>
      <c r="BC18" s="24" t="inlineStr">
        <is>
          <t>dota2-tiered-elo-v5</t>
        </is>
      </c>
      <c r="BD18" s="24" t="inlineStr">
        <is>
          <t>bf20998d8a70c3832fd09ea459020acc93ce47c0fe8f683c0d8face894c2cb28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dota2-tiered-elo-v5</t>
        </is>
      </c>
      <c r="BH18" s="24" t="inlineStr">
        <is>
          <t>2026-08-03T04:20:21.088131Z</t>
        </is>
      </c>
      <c r="BI18" s="24" t="inlineStr">
        <is>
          <t>["same_event","same_team_same_day","same_league_same_day"]</t>
        </is>
      </c>
      <c r="BJ18" s="25" t="n"/>
      <c r="BK18" s="26" t="n">
        <v>-170</v>
      </c>
      <c r="BL18" s="27" t="n">
        <v>1.588235</v>
      </c>
      <c r="BM18" s="28" t="n">
        <v>0.62963</v>
      </c>
      <c r="BN18" s="28" t="n"/>
      <c r="BO18" s="28" t="n"/>
      <c r="BP18" s="25" t="n"/>
      <c r="BQ18" s="27" t="n">
        <v>1.588235</v>
      </c>
      <c r="BR18" s="28" t="n">
        <v>0.63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inlineStr">
        <is>
          <t>True</t>
        </is>
      </c>
    </row>
    <row r="19" ht="36" customHeight="1">
      <c r="A19" s="24" t="inlineStr">
        <is>
          <t>6530d53c06454f44</t>
        </is>
      </c>
      <c r="B19" s="24" t="inlineStr">
        <is>
          <t>2026-08-03T06:32:33.049242Z</t>
        </is>
      </c>
      <c r="C19" s="24" t="inlineStr">
        <is>
          <t>2026-08-03T09:00:00Z</t>
        </is>
      </c>
      <c r="D19" s="24" t="inlineStr">
        <is>
          <t>70303</t>
        </is>
      </c>
      <c r="E19" s="24" t="inlineStr">
        <is>
          <t>DOTA2</t>
        </is>
      </c>
      <c r="F19" s="24" t="inlineStr">
        <is>
          <t>1win</t>
        </is>
      </c>
      <c r="G19" s="24" t="inlineStr">
        <is>
          <t>LGD Gaming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156</v>
      </c>
      <c r="M19" s="27" t="n">
        <v>2.56</v>
      </c>
      <c r="N19" s="28" t="n">
        <v>0.390625</v>
      </c>
      <c r="O19" s="28" t="n">
        <v>0.622594</v>
      </c>
      <c r="P19" s="28" t="n"/>
      <c r="Q19" s="28" t="n">
        <v>0.231969</v>
      </c>
      <c r="R19" s="26" t="n">
        <v>100</v>
      </c>
      <c r="S19" s="29" t="n">
        <v>1.5</v>
      </c>
      <c r="T19" s="24" t="inlineStr">
        <is>
          <t>dota2-tiered-elo-v5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>
        <v>156</v>
      </c>
      <c r="AA19" s="28" t="n">
        <v>0.39</v>
      </c>
      <c r="AB19" s="28" t="n">
        <v>-0.000625</v>
      </c>
      <c r="AC19" s="30" t="n">
        <v>-1.5</v>
      </c>
      <c r="AD19" s="24" t="inlineStr">
        <is>
          <t>2026-08-03T10:55:54.261507Z</t>
        </is>
      </c>
      <c r="AE19" s="31" t="inlineStr">
        <is>
          <t>Neutral Elo baseline; executable ask 0.3900 (market_slug=aec-dota2-lgd-1win-2026-08-03).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1win</t>
        </is>
      </c>
      <c r="AQ19" s="24" t="inlineStr">
        <is>
          <t>1win</t>
        </is>
      </c>
      <c r="AR19" s="24" t="inlineStr">
        <is>
          <t>1win</t>
        </is>
      </c>
      <c r="AS19" s="24" t="inlineStr">
        <is>
          <t>LGD Gaming</t>
        </is>
      </c>
      <c r="AT19" s="24" t="inlineStr">
        <is>
          <t>LGD Gaming</t>
        </is>
      </c>
      <c r="AU19" s="24" t="inlineStr">
        <is>
          <t>LGD Gaming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533fea08f6899886856a22c8b82fe2bc1d4c49576971024283434d4b7315bbc9</t>
        </is>
      </c>
      <c r="BB19" s="24" t="inlineStr">
        <is>
          <t>neutral_elo</t>
        </is>
      </c>
      <c r="BC19" s="24" t="inlineStr">
        <is>
          <t>dota2-tiered-elo-v5</t>
        </is>
      </c>
      <c r="BD19" s="24" t="inlineStr">
        <is>
          <t>533fea08f6899886856a22c8b82fe2bc1d4c49576971024283434d4b7315bbc9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dota2-tiered-elo-v5</t>
        </is>
      </c>
      <c r="BH19" s="24" t="inlineStr">
        <is>
          <t>2026-08-03T06:32:30.412423Z</t>
        </is>
      </c>
      <c r="BI19" s="24" t="inlineStr">
        <is>
          <t>["same_event","same_team_same_day","same_league_same_day"]</t>
        </is>
      </c>
      <c r="BJ19" s="25" t="n"/>
      <c r="BK19" s="26" t="n">
        <v>156</v>
      </c>
      <c r="BL19" s="27" t="n">
        <v>2.56</v>
      </c>
      <c r="BM19" s="28" t="n">
        <v>0.390625</v>
      </c>
      <c r="BN19" s="28" t="n"/>
      <c r="BO19" s="28" t="n"/>
      <c r="BP19" s="25" t="n"/>
      <c r="BQ19" s="27" t="n">
        <v>2.56</v>
      </c>
      <c r="BR19" s="28" t="n">
        <v>0.39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inlineStr">
        <is>
          <t>True</t>
        </is>
      </c>
    </row>
    <row r="20" ht="36" customHeight="1">
      <c r="A20" s="24" t="inlineStr">
        <is>
          <t>8e9037eabbdc48e1</t>
        </is>
      </c>
      <c r="B20" s="24" t="inlineStr">
        <is>
          <t>2026-08-03T10:59:43.802206Z</t>
        </is>
      </c>
      <c r="C20" s="24" t="inlineStr">
        <is>
          <t>2026-08-03T12:00:00Z</t>
        </is>
      </c>
      <c r="D20" s="24" t="inlineStr">
        <is>
          <t>70304</t>
        </is>
      </c>
      <c r="E20" s="24" t="inlineStr">
        <is>
          <t>DOTA2</t>
        </is>
      </c>
      <c r="F20" s="24" t="inlineStr">
        <is>
          <t>GamerLegion</t>
        </is>
      </c>
      <c r="G20" s="24" t="inlineStr">
        <is>
          <t>OG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-144</v>
      </c>
      <c r="M20" s="27" t="n">
        <v>1.694444</v>
      </c>
      <c r="N20" s="28" t="n">
        <v>0.590164</v>
      </c>
      <c r="O20" s="28" t="n">
        <v>0.557781</v>
      </c>
      <c r="P20" s="28" t="n"/>
      <c r="Q20" s="28" t="n">
        <v>-0.032383</v>
      </c>
      <c r="R20" s="26" t="n">
        <v>4</v>
      </c>
      <c r="S20" s="29" t="n">
        <v>1</v>
      </c>
      <c r="T20" s="24" t="inlineStr">
        <is>
          <t>dota2-tiered-elo-v5</t>
        </is>
      </c>
      <c r="U20" s="24" t="inlineStr">
        <is>
          <t>open</t>
        </is>
      </c>
      <c r="V20" s="24" t="n"/>
      <c r="W20" s="26" t="n"/>
      <c r="X20" s="26" t="n"/>
      <c r="Y20" s="25" t="n"/>
      <c r="Z20" s="26" t="n"/>
      <c r="AA20" s="28" t="n"/>
      <c r="AB20" s="28" t="n"/>
      <c r="AC20" s="30" t="n"/>
      <c r="AD20" s="24" t="n"/>
      <c r="AE20" s="31" t="inlineStr">
        <is>
          <t>Neutral Elo baseline; executable ask 0.5900 (market_slug=aec-dota2-og-gl-2026-08-03).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NO_CALL_LOW_EDGE</t>
        </is>
      </c>
      <c r="AP20" s="24" t="inlineStr">
        <is>
          <t>GamerLegion</t>
        </is>
      </c>
      <c r="AQ20" s="24" t="inlineStr">
        <is>
          <t>GamerLegion</t>
        </is>
      </c>
      <c r="AR20" s="24" t="inlineStr">
        <is>
          <t>GamerLegion</t>
        </is>
      </c>
      <c r="AS20" s="24" t="inlineStr">
        <is>
          <t>OG</t>
        </is>
      </c>
      <c r="AT20" s="24" t="inlineStr">
        <is>
          <t>OG</t>
        </is>
      </c>
      <c r="AU20" s="24" t="inlineStr">
        <is>
          <t>OG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528639205c5899c0cdf1bae7bf1adfb5d019bc11e79b9bc778f8eb3bb742ae6e</t>
        </is>
      </c>
      <c r="BB20" s="24" t="inlineStr">
        <is>
          <t>neutral_elo</t>
        </is>
      </c>
      <c r="BC20" s="24" t="inlineStr">
        <is>
          <t>dota2-tiered-elo-v5</t>
        </is>
      </c>
      <c r="BD20" s="24" t="inlineStr">
        <is>
          <t>528639205c5899c0cdf1bae7bf1adfb5d019bc11e79b9bc778f8eb3bb742ae6e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dota2-tiered-elo-v5</t>
        </is>
      </c>
      <c r="BH20" s="24" t="inlineStr">
        <is>
          <t>2026-08-03T10:59:42.011106Z</t>
        </is>
      </c>
      <c r="BI20" s="24" t="inlineStr">
        <is>
          <t>["same_event","same_team_same_day","same_league_same_day"]</t>
        </is>
      </c>
      <c r="BJ20" s="25" t="n"/>
      <c r="BK20" s="26" t="n">
        <v>-144</v>
      </c>
      <c r="BL20" s="27" t="n">
        <v>1.694444</v>
      </c>
      <c r="BM20" s="28" t="n">
        <v>0.590164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inlineStr">
        <is>
          <t>False</t>
        </is>
      </c>
    </row>
    <row r="21" ht="36" customHeight="1">
      <c r="A21" s="24" t="inlineStr">
        <is>
          <t>e4bdc99ea0824c30</t>
        </is>
      </c>
      <c r="B21" s="24" t="inlineStr">
        <is>
          <t>2026-08-03T13:30:35.070004Z</t>
        </is>
      </c>
      <c r="C21" s="24" t="inlineStr">
        <is>
          <t>2026-08-03T14:00:00Z</t>
        </is>
      </c>
      <c r="D21" s="24" t="inlineStr">
        <is>
          <t>70380</t>
        </is>
      </c>
      <c r="E21" s="24" t="inlineStr">
        <is>
          <t>DOTA2</t>
        </is>
      </c>
      <c r="F21" s="24" t="inlineStr">
        <is>
          <t>LGD Gaming</t>
        </is>
      </c>
      <c r="G21" s="24" t="inlineStr">
        <is>
          <t>Rune Eaters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-233</v>
      </c>
      <c r="M21" s="27" t="n">
        <v>1.429185</v>
      </c>
      <c r="N21" s="28" t="n">
        <v>0.6997</v>
      </c>
      <c r="O21" s="28" t="n">
        <v>0.75532</v>
      </c>
      <c r="P21" s="28" t="n"/>
      <c r="Q21" s="28" t="n">
        <v>0.05562</v>
      </c>
      <c r="R21" s="26" t="n">
        <v>48</v>
      </c>
      <c r="S21" s="29" t="n">
        <v>2</v>
      </c>
      <c r="T21" s="24" t="inlineStr">
        <is>
          <t>dota2-tiered-elo-v5</t>
        </is>
      </c>
      <c r="U21" s="24" t="inlineStr">
        <is>
          <t>open</t>
        </is>
      </c>
      <c r="V21" s="24" t="n"/>
      <c r="W21" s="26" t="n"/>
      <c r="X21" s="26" t="n"/>
      <c r="Y21" s="25" t="n"/>
      <c r="Z21" s="26" t="n"/>
      <c r="AA21" s="28" t="n"/>
      <c r="AB21" s="28" t="n"/>
      <c r="AC21" s="30" t="n"/>
      <c r="AD21" s="24" t="n"/>
      <c r="AE21" s="31" t="inlineStr">
        <is>
          <t>Neutral Elo baseline; executable ask 0.7000 (market_slug=aec-dota2-re-lgd-2026-08-03).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LGD Gaming</t>
        </is>
      </c>
      <c r="AQ21" s="24" t="inlineStr">
        <is>
          <t>LGD Gaming</t>
        </is>
      </c>
      <c r="AR21" s="24" t="inlineStr">
        <is>
          <t>LGD Gaming</t>
        </is>
      </c>
      <c r="AS21" s="24" t="inlineStr">
        <is>
          <t>Rune Eaters</t>
        </is>
      </c>
      <c r="AT21" s="24" t="inlineStr">
        <is>
          <t>Rune Eaters</t>
        </is>
      </c>
      <c r="AU21" s="24" t="inlineStr">
        <is>
          <t>Rune Eaters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9f83c860ce6adddad784676b2958b8c4421adf6e3abacd5545efbed1bb0cde1d</t>
        </is>
      </c>
      <c r="BB21" s="24" t="inlineStr">
        <is>
          <t>neutral_elo</t>
        </is>
      </c>
      <c r="BC21" s="24" t="inlineStr">
        <is>
          <t>dota2-tiered-elo-v5</t>
        </is>
      </c>
      <c r="BD21" s="24" t="inlineStr">
        <is>
          <t>9f83c860ce6adddad784676b2958b8c4421adf6e3abacd5545efbed1bb0cde1d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dota2-tiered-elo-v5</t>
        </is>
      </c>
      <c r="BH21" s="24" t="inlineStr">
        <is>
          <t>2026-08-03T13:30:33.121525Z</t>
        </is>
      </c>
      <c r="BI21" s="24" t="inlineStr">
        <is>
          <t>["same_event","same_team_same_day","same_league_same_day"]</t>
        </is>
      </c>
      <c r="BJ21" s="25" t="n"/>
      <c r="BK21" s="26" t="n">
        <v>-233</v>
      </c>
      <c r="BL21" s="27" t="n">
        <v>1.429185</v>
      </c>
      <c r="BM21" s="28" t="n">
        <v>0.6997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inlineStr">
        <is>
          <t>True</t>
        </is>
      </c>
    </row>
    <row r="22" ht="36" customHeight="1">
      <c r="A22" s="24" t="inlineStr">
        <is>
          <t>23f48a1e758d46b2</t>
        </is>
      </c>
      <c r="B22" s="24" t="inlineStr">
        <is>
          <t>2026-08-03T13:30:35.070004Z</t>
        </is>
      </c>
      <c r="C22" s="24" t="inlineStr">
        <is>
          <t>2026-08-03T15:00:00Z</t>
        </is>
      </c>
      <c r="D22" s="24" t="inlineStr">
        <is>
          <t>70305</t>
        </is>
      </c>
      <c r="E22" s="24" t="inlineStr">
        <is>
          <t>DOTA2</t>
        </is>
      </c>
      <c r="F22" s="24" t="inlineStr">
        <is>
          <t>BetBoom Team</t>
        </is>
      </c>
      <c r="G22" s="24" t="inlineStr">
        <is>
          <t>Team Falcons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-113</v>
      </c>
      <c r="M22" s="27" t="n">
        <v>1.884956</v>
      </c>
      <c r="N22" s="28" t="n">
        <v>0.530516</v>
      </c>
      <c r="O22" s="28" t="n">
        <v>0.571416</v>
      </c>
      <c r="P22" s="28" t="n"/>
      <c r="Q22" s="28" t="n">
        <v>0.0409</v>
      </c>
      <c r="R22" s="26" t="n">
        <v>40</v>
      </c>
      <c r="S22" s="29" t="n">
        <v>1.25</v>
      </c>
      <c r="T22" s="24" t="inlineStr">
        <is>
          <t>dota2-tiered-elo-v5</t>
        </is>
      </c>
      <c r="U22" s="24" t="inlineStr">
        <is>
          <t>open</t>
        </is>
      </c>
      <c r="V22" s="24" t="n"/>
      <c r="W22" s="26" t="n"/>
      <c r="X22" s="26" t="n"/>
      <c r="Y22" s="25" t="n"/>
      <c r="Z22" s="26" t="n"/>
      <c r="AA22" s="28" t="n"/>
      <c r="AB22" s="28" t="n"/>
      <c r="AC22" s="30" t="n"/>
      <c r="AD22" s="24" t="n"/>
      <c r="AE22" s="31" t="inlineStr">
        <is>
          <t>Neutral Elo baseline; executable ask 0.5300 (market_slug=aec-dota2-flc-bb-2026-08-03).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BetBoom Team</t>
        </is>
      </c>
      <c r="AQ22" s="24" t="inlineStr">
        <is>
          <t>BetBoom Team</t>
        </is>
      </c>
      <c r="AR22" s="24" t="inlineStr">
        <is>
          <t>BetBoom Team</t>
        </is>
      </c>
      <c r="AS22" s="24" t="inlineStr">
        <is>
          <t>Team Falcons</t>
        </is>
      </c>
      <c r="AT22" s="24" t="inlineStr">
        <is>
          <t>Team Falcons</t>
        </is>
      </c>
      <c r="AU22" s="24" t="inlineStr">
        <is>
          <t>Team Falcons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9f83c860ce6adddad784676b2958b8c4421adf6e3abacd5545efbed1bb0cde1d</t>
        </is>
      </c>
      <c r="BB22" s="24" t="inlineStr">
        <is>
          <t>neutral_elo</t>
        </is>
      </c>
      <c r="BC22" s="24" t="inlineStr">
        <is>
          <t>dota2-tiered-elo-v5</t>
        </is>
      </c>
      <c r="BD22" s="24" t="inlineStr">
        <is>
          <t>9f83c860ce6adddad784676b2958b8c4421adf6e3abacd5545efbed1bb0cde1d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dota2-tiered-elo-v5</t>
        </is>
      </c>
      <c r="BH22" s="24" t="inlineStr">
        <is>
          <t>2026-08-03T13:30:33.684542Z</t>
        </is>
      </c>
      <c r="BI22" s="24" t="inlineStr">
        <is>
          <t>["same_event","same_team_same_day","same_league_same_day"]</t>
        </is>
      </c>
      <c r="BJ22" s="25" t="n"/>
      <c r="BK22" s="26" t="n">
        <v>-113</v>
      </c>
      <c r="BL22" s="27" t="n">
        <v>1.884956</v>
      </c>
      <c r="BM22" s="28" t="n">
        <v>0.530516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2026-08-03T13:30:44Z</dcterms:created>
  <dcterms:modified xsi:type="dcterms:W3CDTF">2026-08-03T13:30:44Z</dcterms:modified>
</cp:coreProperties>
</file>