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0.0###"/>
    <numFmt numFmtId="167" formatCode="0.000000"/>
  </numFmts>
  <fonts count="10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4" fontId="6" fillId="5" borderId="0" applyAlignment="1" pivotButton="0" quotePrefix="0" xfId="0">
      <alignment vertical="center"/>
    </xf>
    <xf numFmtId="165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4" fontId="2" fillId="6" borderId="0" applyAlignment="1" pivotButton="0" quotePrefix="0" xfId="0">
      <alignment horizontal="right"/>
    </xf>
    <xf numFmtId="165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4" fontId="2" fillId="7" borderId="0" applyAlignment="1" pivotButton="0" quotePrefix="0" xfId="0">
      <alignment horizontal="right"/>
    </xf>
    <xf numFmtId="165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6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7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  <xf numFmtId="164" fontId="6" fillId="5" borderId="0" applyAlignment="1" pivotButton="0" quotePrefix="0" xfId="0">
      <alignment vertical="center"/>
    </xf>
    <xf numFmtId="165" fontId="6" fillId="5" borderId="0" applyAlignment="1" pivotButton="0" quotePrefix="0" xfId="0">
      <alignment vertical="center"/>
    </xf>
    <xf numFmtId="164" fontId="2" fillId="6" borderId="0" applyAlignment="1" pivotButton="0" quotePrefix="0" xfId="0">
      <alignment horizontal="right"/>
    </xf>
    <xf numFmtId="165" fontId="2" fillId="6" borderId="0" applyAlignment="1" pivotButton="0" quotePrefix="0" xfId="0">
      <alignment horizontal="right"/>
    </xf>
    <xf numFmtId="164" fontId="2" fillId="7" borderId="0" applyAlignment="1" pivotButton="0" quotePrefix="0" xfId="0">
      <alignment horizontal="right"/>
    </xf>
    <xf numFmtId="165" fontId="2" fillId="7" borderId="0" applyAlignment="1" pivotButton="0" quotePrefix="0" xfId="0">
      <alignment horizontal="right"/>
    </xf>
    <xf numFmtId="0" fontId="9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COUNTA('Picks'!$A$2:$A$117)</f>
        <v/>
      </c>
      <c r="C4" s="6">
        <f>COUNTIF('Picks'!$U$2:$U$117,"open")</f>
        <v/>
      </c>
      <c r="E4" s="6">
        <f>COUNTIF('Picks'!$U$2:$U$117,"settled")</f>
        <v/>
      </c>
      <c r="G4" s="6">
        <f>IF(COUNTIFS('Picks'!$U$2:$U$117,"settled",'Picks'!$V$2:$V$117,"win")+COUNTIFS('Picks'!$U$2:$U$117,"settled",'Picks'!$V$2:$V$117,"loss")&gt;=$L$2,"Ready","Insufficient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COUNTIF('Picks'!$BX$2:$BX$117,"&gt;0")</f>
        <v/>
      </c>
      <c r="C7" s="6">
        <f>COUNTIFS('Picks'!$BX$2:$BX$117,"&gt;0",'Picks'!$V$2:$V$117,"win")&amp;"-"&amp;COUNTIFS('Picks'!$BX$2:$BX$117,"&gt;0",'Picks'!$V$2:$V$117,"loss")</f>
        <v/>
      </c>
      <c r="E7" s="32">
        <f>IFERROR(COUNTIFS('Picks'!$BX$2:$BX$117,"&gt;0",'Picks'!$V$2:$V$117,"win")/(COUNTIFS('Picks'!$BX$2:$BX$117,"&gt;0",'Picks'!$V$2:$V$117,"win")+COUNTIFS('Picks'!$BX$2:$BX$117,"&gt;0",'Picks'!$V$2:$V$117,"loss")),0)</f>
        <v/>
      </c>
      <c r="G7" s="32">
        <f>IFERROR(SUM('Picks'!$BY$2:$BY$117)/SUM('Picks'!$BX$2:$BX$117),0)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33">
        <f>SUM('Picks'!$BY$2:$BY$117)</f>
        <v/>
      </c>
      <c r="C10" s="9">
        <f>IFERROR(AVERAGEIF('Picks'!$AB$2:$AB$117,"&lt;&gt;",'Picks'!$AB$2:$AB$117),0)</f>
        <v/>
      </c>
      <c r="E10" s="6">
        <f>COUNTIFS('Picks'!$AM$2:$AM$117,"QUALIFIED_SHADOW_CALL",'Picks'!$U$2:$U$117,"settled")</f>
        <v/>
      </c>
      <c r="G10" s="33">
        <f>SUMIFS('Picks'!$AC$2:$AC$117,'Picks'!$AM$2:$AM$117,"QUALIFIED_SHADOW_CALL")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COUNTIFS('Picks'!$H$2:$H$117,$A14,'Picks'!$U$2:$U$117,"settled")</f>
        <v/>
      </c>
      <c r="C14" s="13">
        <f>COUNTIFS('Picks'!$H$2:$H$117,$A14,'Picks'!$U$2:$U$117,"settled",'Picks'!$V$2:$V$117,"win")</f>
        <v/>
      </c>
      <c r="D14" s="13">
        <f>COUNTIFS('Picks'!$H$2:$H$117,$A14,'Picks'!$U$2:$U$117,"settled",'Picks'!$V$2:$V$117,"loss")</f>
        <v/>
      </c>
      <c r="E14" s="34">
        <f>IFERROR(C14/(C14+D14),0)</f>
        <v/>
      </c>
      <c r="F14" s="35">
        <f>SUMIFS('Picks'!$BY$2:$BY$117,'Picks'!$H$2:$H$117,$A14)</f>
        <v/>
      </c>
      <c r="G14" s="16">
        <f>IFERROR(AVERAGEIFS('Picks'!$AB$2:$AB$117,'Picks'!$H$2:$H$117,$A14,'Picks'!$U$2:$U$117,"settled"),0)</f>
        <v/>
      </c>
    </row>
    <row r="15">
      <c r="A15" s="17" t="inlineStr">
        <is>
          <t>spread</t>
        </is>
      </c>
      <c r="B15" s="18">
        <f>COUNTIFS('Picks'!$H$2:$H$117,$A15,'Picks'!$U$2:$U$117,"settled")</f>
        <v/>
      </c>
      <c r="C15" s="18">
        <f>COUNTIFS('Picks'!$H$2:$H$117,$A15,'Picks'!$U$2:$U$117,"settled",'Picks'!$V$2:$V$117,"win")</f>
        <v/>
      </c>
      <c r="D15" s="18">
        <f>COUNTIFS('Picks'!$H$2:$H$117,$A15,'Picks'!$U$2:$U$117,"settled",'Picks'!$V$2:$V$117,"loss")</f>
        <v/>
      </c>
      <c r="E15" s="36">
        <f>IFERROR(C15/(C15+D15),0)</f>
        <v/>
      </c>
      <c r="F15" s="37">
        <f>SUMIFS('Picks'!$BY$2:$BY$117,'Picks'!$H$2:$H$117,$A15)</f>
        <v/>
      </c>
      <c r="G15" s="21">
        <f>IFERROR(AVERAGEIFS('Picks'!$AB$2:$AB$117,'Picks'!$H$2:$H$117,$A15,'Picks'!$U$2:$U$117,"settled"),0)</f>
        <v/>
      </c>
    </row>
    <row r="16">
      <c r="A16" s="12" t="inlineStr">
        <is>
          <t>total</t>
        </is>
      </c>
      <c r="B16" s="13">
        <f>COUNTIFS('Picks'!$H$2:$H$117,$A16,'Picks'!$U$2:$U$117,"settled")</f>
        <v/>
      </c>
      <c r="C16" s="13">
        <f>COUNTIFS('Picks'!$H$2:$H$117,$A16,'Picks'!$U$2:$U$117,"settled",'Picks'!$V$2:$V$117,"win")</f>
        <v/>
      </c>
      <c r="D16" s="13">
        <f>COUNTIFS('Picks'!$H$2:$H$117,$A16,'Picks'!$U$2:$U$117,"settled",'Picks'!$V$2:$V$117,"loss")</f>
        <v/>
      </c>
      <c r="E16" s="34">
        <f>IFERROR(C16/(C16+D16),0)</f>
        <v/>
      </c>
      <c r="F16" s="35">
        <f>SUMIFS('Picks'!$BY$2:$BY$117,'Picks'!$H$2:$H$117,$A16)</f>
        <v/>
      </c>
      <c r="G16" s="16">
        <f>IFERROR(AVERAGEIFS('Picks'!$AB$2:$AB$117,'Picks'!$H$2:$H$117,$A16,'Picks'!$U$2:$U$117,"settled"),0)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pick_id</t>
        </is>
      </c>
      <c r="B1" s="38" t="inlineStr">
        <is>
          <t>created_at_utc</t>
        </is>
      </c>
      <c r="C1" s="38" t="inlineStr">
        <is>
          <t>event_start_utc</t>
        </is>
      </c>
      <c r="D1" s="38" t="inlineStr">
        <is>
          <t>event_id</t>
        </is>
      </c>
      <c r="E1" s="38" t="inlineStr">
        <is>
          <t>league</t>
        </is>
      </c>
      <c r="F1" s="38" t="inlineStr">
        <is>
          <t>away_team</t>
        </is>
      </c>
      <c r="G1" s="38" t="inlineStr">
        <is>
          <t>home_team</t>
        </is>
      </c>
      <c r="H1" s="38" t="inlineStr">
        <is>
          <t>market_type</t>
        </is>
      </c>
      <c r="I1" s="38" t="inlineStr">
        <is>
          <t>selection</t>
        </is>
      </c>
      <c r="J1" s="38" t="inlineStr">
        <is>
          <t>line</t>
        </is>
      </c>
      <c r="K1" s="38" t="inlineStr">
        <is>
          <t>sportsbook</t>
        </is>
      </c>
      <c r="L1" s="38" t="inlineStr">
        <is>
          <t>american_odds</t>
        </is>
      </c>
      <c r="M1" s="38" t="inlineStr">
        <is>
          <t>decimal_odds</t>
        </is>
      </c>
      <c r="N1" s="38" t="inlineStr">
        <is>
          <t>market_implied_probability</t>
        </is>
      </c>
      <c r="O1" s="38" t="inlineStr">
        <is>
          <t>model_probability</t>
        </is>
      </c>
      <c r="P1" s="38" t="inlineStr">
        <is>
          <t>model_uncertainty</t>
        </is>
      </c>
      <c r="Q1" s="38" t="inlineStr">
        <is>
          <t>edge</t>
        </is>
      </c>
      <c r="R1" s="38" t="inlineStr">
        <is>
          <t>confidence_score</t>
        </is>
      </c>
      <c r="S1" s="38" t="inlineStr">
        <is>
          <t>units</t>
        </is>
      </c>
      <c r="T1" s="38" t="inlineStr">
        <is>
          <t>model_version</t>
        </is>
      </c>
      <c r="U1" s="38" t="inlineStr">
        <is>
          <t>status</t>
        </is>
      </c>
      <c r="V1" s="38" t="inlineStr">
        <is>
          <t>result</t>
        </is>
      </c>
      <c r="W1" s="38" t="inlineStr">
        <is>
          <t>away_score</t>
        </is>
      </c>
      <c r="X1" s="38" t="inlineStr">
        <is>
          <t>home_score</t>
        </is>
      </c>
      <c r="Y1" s="38" t="inlineStr">
        <is>
          <t>closing_line</t>
        </is>
      </c>
      <c r="Z1" s="38" t="inlineStr">
        <is>
          <t>closing_american_odds</t>
        </is>
      </c>
      <c r="AA1" s="38" t="inlineStr">
        <is>
          <t>closing_implied_probability</t>
        </is>
      </c>
      <c r="AB1" s="38" t="inlineStr">
        <is>
          <t>probability_clv</t>
        </is>
      </c>
      <c r="AC1" s="38" t="inlineStr">
        <is>
          <t>pnl_units</t>
        </is>
      </c>
      <c r="AD1" s="38" t="inlineStr">
        <is>
          <t>settled_at_utc</t>
        </is>
      </c>
      <c r="AE1" s="38" t="inlineStr">
        <is>
          <t>rationale</t>
        </is>
      </c>
      <c r="AF1" s="38" t="inlineStr">
        <is>
          <t>risks</t>
        </is>
      </c>
      <c r="AG1" s="38" t="inlineStr">
        <is>
          <t>review_status</t>
        </is>
      </c>
      <c r="AH1" s="38" t="inlineStr">
        <is>
          <t>loss_classification</t>
        </is>
      </c>
      <c r="AI1" s="38" t="inlineStr">
        <is>
          <t>loss_cause</t>
        </is>
      </c>
      <c r="AJ1" s="38" t="inlineStr">
        <is>
          <t>corrective_action</t>
        </is>
      </c>
      <c r="AK1" s="38" t="inlineStr">
        <is>
          <t>call_type</t>
        </is>
      </c>
      <c r="AL1" s="38" t="inlineStr">
        <is>
          <t>ledger_schema_version</t>
        </is>
      </c>
      <c r="AM1" s="38" t="inlineStr">
        <is>
          <t>record_type</t>
        </is>
      </c>
      <c r="AN1" s="38" t="inlineStr">
        <is>
          <t>decision</t>
        </is>
      </c>
      <c r="AO1" s="38" t="inlineStr">
        <is>
          <t>reason_code</t>
        </is>
      </c>
      <c r="AP1" s="38" t="inlineStr">
        <is>
          <t>canonical_away_team_id</t>
        </is>
      </c>
      <c r="AQ1" s="38" t="inlineStr">
        <is>
          <t>canonical_away_team_name</t>
        </is>
      </c>
      <c r="AR1" s="38" t="inlineStr">
        <is>
          <t>original_away_team</t>
        </is>
      </c>
      <c r="AS1" s="38" t="inlineStr">
        <is>
          <t>canonical_home_team_id</t>
        </is>
      </c>
      <c r="AT1" s="38" t="inlineStr">
        <is>
          <t>canonical_home_team_name</t>
        </is>
      </c>
      <c r="AU1" s="38" t="inlineStr">
        <is>
          <t>original_home_team</t>
        </is>
      </c>
      <c r="AV1" s="38" t="inlineStr">
        <is>
          <t>banned_team_id</t>
        </is>
      </c>
      <c r="AW1" s="38" t="inlineStr">
        <is>
          <t>banned_team_name</t>
        </is>
      </c>
      <c r="AX1" s="38" t="inlineStr">
        <is>
          <t>model_origin</t>
        </is>
      </c>
      <c r="AY1" s="38" t="inlineStr">
        <is>
          <t>baseline_identifier</t>
        </is>
      </c>
      <c r="AZ1" s="38" t="inlineStr">
        <is>
          <t>model_state_at_decision</t>
        </is>
      </c>
      <c r="BA1" s="38" t="inlineStr">
        <is>
          <t>model_artifact_hash</t>
        </is>
      </c>
      <c r="BB1" s="38" t="inlineStr">
        <is>
          <t>calibration_method</t>
        </is>
      </c>
      <c r="BC1" s="38" t="inlineStr">
        <is>
          <t>calibration_version</t>
        </is>
      </c>
      <c r="BD1" s="38" t="inlineStr">
        <is>
          <t>calibration_artifact_hash</t>
        </is>
      </c>
      <c r="BE1" s="38" t="inlineStr">
        <is>
          <t>feature_schema_version</t>
        </is>
      </c>
      <c r="BF1" s="38" t="inlineStr">
        <is>
          <t>entity_map_version</t>
        </is>
      </c>
      <c r="BG1" s="38" t="inlineStr">
        <is>
          <t>code_revision</t>
        </is>
      </c>
      <c r="BH1" s="38" t="inlineStr">
        <is>
          <t>observed_at_utc</t>
        </is>
      </c>
      <c r="BI1" s="38" t="inlineStr">
        <is>
          <t>correlation_tags</t>
        </is>
      </c>
      <c r="BJ1" s="38" t="inlineStr">
        <is>
          <t>decision_line</t>
        </is>
      </c>
      <c r="BK1" s="38" t="inlineStr">
        <is>
          <t>decision_american_odds</t>
        </is>
      </c>
      <c r="BL1" s="38" t="inlineStr">
        <is>
          <t>decision_decimal_odds</t>
        </is>
      </c>
      <c r="BM1" s="38" t="inlineStr">
        <is>
          <t>decision_raw_implied_probability</t>
        </is>
      </c>
      <c r="BN1" s="38" t="inlineStr">
        <is>
          <t>decision_no_vig_probability</t>
        </is>
      </c>
      <c r="BO1" s="38" t="inlineStr">
        <is>
          <t>decision_consensus_probability</t>
        </is>
      </c>
      <c r="BP1" s="38" t="inlineStr">
        <is>
          <t>decision_consensus_line</t>
        </is>
      </c>
      <c r="BQ1" s="38" t="inlineStr">
        <is>
          <t>closing_decimal_odds</t>
        </is>
      </c>
      <c r="BR1" s="38" t="inlineStr">
        <is>
          <t>closing_raw_implied_probability</t>
        </is>
      </c>
      <c r="BS1" s="38" t="inlineStr">
        <is>
          <t>closing_no_vig_probability</t>
        </is>
      </c>
      <c r="BT1" s="38" t="inlineStr">
        <is>
          <t>closing_consensus_probability</t>
        </is>
      </c>
      <c r="BU1" s="38" t="inlineStr">
        <is>
          <t>closing_consensus_line</t>
        </is>
      </c>
      <c r="BV1" s="38" t="inlineStr">
        <is>
          <t>legacy_units</t>
        </is>
      </c>
      <c r="BW1" s="38" t="inlineStr">
        <is>
          <t>void_reason</t>
        </is>
      </c>
      <c r="BX1" s="38" t="inlineStr">
        <is>
          <t>research_score_units</t>
        </is>
      </c>
      <c r="BY1" s="38" t="inlineStr">
        <is>
          <t>research_pnl_units</t>
        </is>
      </c>
      <c r="BZ1" s="38" t="inlineStr">
        <is>
          <t>research_scored_at_utc</t>
        </is>
      </c>
      <c r="CA1" s="38" t="inlineStr">
        <is>
          <t>research_scoring_note</t>
        </is>
      </c>
      <c r="CB1" s="38" t="inlineStr">
        <is>
          <t>migrated_from_version</t>
        </is>
      </c>
      <c r="CC1" s="38" t="inlineStr">
        <is>
          <t>elo_probability</t>
        </is>
      </c>
      <c r="CD1" s="38" t="inlineStr">
        <is>
          <t>trend_gap</t>
        </is>
      </c>
      <c r="CE1" s="38" t="inlineStr">
        <is>
          <t>park_factor</t>
        </is>
      </c>
      <c r="CF1" s="38" t="inlineStr">
        <is>
          <t>weather_factor</t>
        </is>
      </c>
      <c r="CG1" s="38" t="inlineStr">
        <is>
          <t>pitcher_era_gap</t>
        </is>
      </c>
      <c r="CH1" s="38" t="inlineStr">
        <is>
          <t>probable_starter_era_gap</t>
        </is>
      </c>
      <c r="CI1" s="38" t="inlineStr">
        <is>
          <t>unavailable_features</t>
        </is>
      </c>
      <c r="CJ1" s="38" t="inlineStr">
        <is>
          <t>defensive_trend_gap</t>
        </is>
      </c>
      <c r="CK1" s="38" t="inlineStr">
        <is>
          <t>neutral_elo_rating_difference</t>
        </is>
      </c>
      <c r="CL1" s="38" t="inlineStr">
        <is>
          <t>rest_disparity</t>
        </is>
      </c>
      <c r="CM1" s="38" t="inlineStr">
        <is>
          <t>back_to_back_gap</t>
        </is>
      </c>
      <c r="CN1" s="38" t="inlineStr">
        <is>
          <t>games_last_7_gap</t>
        </is>
      </c>
      <c r="CO1" s="38" t="inlineStr">
        <is>
          <t>schedule_missingness</t>
        </is>
      </c>
      <c r="CP1" s="38" t="inlineStr">
        <is>
          <t>market_residual_probability</t>
        </is>
      </c>
      <c r="CQ1" s="38" t="inlineStr">
        <is>
          <t>trade_candidate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2026-08-02T16:51:56Z</dcterms:created>
  <dcterms:modified xsi:type="dcterms:W3CDTF">2026-08-02T17:25:05Z</dcterms:modified>
</cp:coreProperties>
</file>