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icks" sheetId="2" state="visible" r:id="rId2"/>
  </sheets>
  <definedNames>
    <definedName name="_xlnm.Print_Area" localSheetId="0">'Summary'!$A$1:$L$19</definedName>
    <definedName name="_xlnm.Print_Titles" localSheetId="1">'Picks'!$1:$1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###"/>
    <numFmt numFmtId="165" formatCode="0.000000"/>
    <numFmt numFmtId="166" formatCode="0.0000"/>
    <numFmt numFmtId="167" formatCode="0.0%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7"/>
      <sz val="10"/>
    </font>
    <font>
      <name val="Aptos Display"/>
      <b val="1"/>
      <color rgb="00FFFFFF"/>
      <sz val="18"/>
    </font>
    <font>
      <name val="Aptos"/>
      <b val="1"/>
      <color rgb="0017365D"/>
      <sz val="10"/>
    </font>
    <font>
      <name val="Aptos"/>
      <color rgb="00374151"/>
      <sz val="10"/>
    </font>
    <font>
      <name val="Aptos Display"/>
      <b val="1"/>
      <color rgb="00111827"/>
      <sz val="15"/>
    </font>
    <font>
      <name val="Aptos"/>
      <b val="1"/>
      <color rgb="00FFFFFF"/>
      <sz val="11"/>
    </font>
    <font>
      <name val="Aptos"/>
      <i val="1"/>
      <color rgb="007A4E00"/>
      <sz val="10"/>
    </font>
  </fonts>
  <fills count="9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7FAFC"/>
      </patternFill>
    </fill>
    <fill>
      <patternFill patternType="solid">
        <fgColor rgb="00FFFFFF"/>
      </patternFill>
    </fill>
    <fill>
      <patternFill patternType="solid">
        <fgColor rgb="00F3F6F9"/>
      </patternFill>
    </fill>
    <fill>
      <patternFill patternType="solid">
        <fgColor rgb="00FFF4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4" fillId="4" borderId="0" pivotButton="0" quotePrefix="0" xfId="0"/>
    <xf numFmtId="0" fontId="5" fillId="0" borderId="0" pivotButton="0" quotePrefix="0" xfId="0"/>
    <xf numFmtId="1" fontId="4" fillId="0" borderId="0" pivotButton="0" quotePrefix="0" xfId="0"/>
    <xf numFmtId="0" fontId="4" fillId="4" borderId="0" applyAlignment="1" pivotButton="0" quotePrefix="0" xfId="0">
      <alignment vertical="center"/>
    </xf>
    <xf numFmtId="0" fontId="6" fillId="5" borderId="0" applyAlignment="1" pivotButton="0" quotePrefix="0" xfId="0">
      <alignment vertical="center"/>
    </xf>
    <xf numFmtId="167" fontId="6" fillId="5" borderId="0" applyAlignment="1" pivotButton="0" quotePrefix="0" xfId="0">
      <alignment vertical="center"/>
    </xf>
    <xf numFmtId="166" fontId="6" fillId="5" borderId="0" applyAlignment="1" pivotButton="0" quotePrefix="0" xfId="0">
      <alignment vertical="center"/>
    </xf>
    <xf numFmtId="10" fontId="6" fillId="5" borderId="0" applyAlignment="1" pivotButton="0" quotePrefix="0" xfId="0">
      <alignment vertical="center"/>
    </xf>
    <xf numFmtId="0" fontId="7" fillId="3" borderId="0" pivotButton="0" quotePrefix="0" xfId="0"/>
    <xf numFmtId="0" fontId="4" fillId="4" borderId="0" applyAlignment="1" pivotButton="0" quotePrefix="0" xfId="0">
      <alignment horizontal="center"/>
    </xf>
    <xf numFmtId="0" fontId="2" fillId="6" borderId="0" applyAlignment="1" pivotButton="0" quotePrefix="0" xfId="0">
      <alignment horizontal="left"/>
    </xf>
    <xf numFmtId="0" fontId="2" fillId="6" borderId="0" applyAlignment="1" pivotButton="0" quotePrefix="0" xfId="0">
      <alignment horizontal="right"/>
    </xf>
    <xf numFmtId="167" fontId="2" fillId="6" borderId="0" applyAlignment="1" pivotButton="0" quotePrefix="0" xfId="0">
      <alignment horizontal="right"/>
    </xf>
    <xf numFmtId="166" fontId="2" fillId="6" borderId="0" applyAlignment="1" pivotButton="0" quotePrefix="0" xfId="0">
      <alignment horizontal="right"/>
    </xf>
    <xf numFmtId="10" fontId="2" fillId="6" borderId="0" applyAlignment="1" pivotButton="0" quotePrefix="0" xfId="0">
      <alignment horizontal="right"/>
    </xf>
    <xf numFmtId="0" fontId="2" fillId="7" borderId="0" applyAlignment="1" pivotButton="0" quotePrefix="0" xfId="0">
      <alignment horizontal="left"/>
    </xf>
    <xf numFmtId="0" fontId="2" fillId="7" borderId="0" applyAlignment="1" pivotButton="0" quotePrefix="0" xfId="0">
      <alignment horizontal="right"/>
    </xf>
    <xf numFmtId="167" fontId="2" fillId="7" borderId="0" applyAlignment="1" pivotButton="0" quotePrefix="0" xfId="0">
      <alignment horizontal="right"/>
    </xf>
    <xf numFmtId="166" fontId="2" fillId="7" borderId="0" applyAlignment="1" pivotButton="0" quotePrefix="0" xfId="0">
      <alignment horizontal="right"/>
    </xf>
    <xf numFmtId="10" fontId="2" fillId="7" borderId="0" applyAlignment="1" pivotButton="0" quotePrefix="0" xfId="0">
      <alignment horizontal="right"/>
    </xf>
    <xf numFmtId="0" fontId="8" fillId="8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left" vertical="top"/>
    </xf>
    <xf numFmtId="164" fontId="2" fillId="0" borderId="0" applyAlignment="1" pivotButton="0" quotePrefix="0" xfId="0">
      <alignment horizontal="right" vertical="top"/>
    </xf>
    <xf numFmtId="1" fontId="2" fillId="0" borderId="0" applyAlignment="1" pivotButton="0" quotePrefix="0" xfId="0">
      <alignment horizontal="right" vertical="top"/>
    </xf>
    <xf numFmtId="165" fontId="2" fillId="0" borderId="0" applyAlignment="1" pivotButton="0" quotePrefix="0" xfId="0">
      <alignment horizontal="right" vertical="top"/>
    </xf>
    <xf numFmtId="10" fontId="2" fillId="0" borderId="0" applyAlignment="1" pivotButton="0" quotePrefix="0" xfId="0">
      <alignment horizontal="right" vertical="top"/>
    </xf>
    <xf numFmtId="2" fontId="2" fillId="0" borderId="0" applyAlignment="1" pivotButton="0" quotePrefix="0" xfId="0">
      <alignment horizontal="right" vertical="top"/>
    </xf>
    <xf numFmtId="166" fontId="2" fillId="0" borderId="0" applyAlignment="1" pivotButton="0" quotePrefix="0" xfId="0">
      <alignment horizontal="right" vertical="top"/>
    </xf>
    <xf numFmtId="49" fontId="2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icksLedger" displayName="PicksLedger" ref="A1:CQ20" headerRowCount="1">
  <autoFilter ref="A1:CQ20"/>
  <tableColumns count="95">
    <tableColumn id="1" name="pick_id"/>
    <tableColumn id="2" name="created_at_utc"/>
    <tableColumn id="3" name="event_start_utc"/>
    <tableColumn id="4" name="event_id"/>
    <tableColumn id="5" name="league"/>
    <tableColumn id="6" name="away_team"/>
    <tableColumn id="7" name="home_team"/>
    <tableColumn id="8" name="market_type"/>
    <tableColumn id="9" name="selection"/>
    <tableColumn id="10" name="line"/>
    <tableColumn id="11" name="sportsbook"/>
    <tableColumn id="12" name="american_odds"/>
    <tableColumn id="13" name="decimal_odds"/>
    <tableColumn id="14" name="market_implied_probability"/>
    <tableColumn id="15" name="model_probability"/>
    <tableColumn id="16" name="model_uncertainty"/>
    <tableColumn id="17" name="edge"/>
    <tableColumn id="18" name="confidence_score"/>
    <tableColumn id="19" name="units"/>
    <tableColumn id="20" name="model_version"/>
    <tableColumn id="21" name="status"/>
    <tableColumn id="22" name="result"/>
    <tableColumn id="23" name="away_score"/>
    <tableColumn id="24" name="home_score"/>
    <tableColumn id="25" name="closing_line"/>
    <tableColumn id="26" name="closing_american_odds"/>
    <tableColumn id="27" name="closing_implied_probability"/>
    <tableColumn id="28" name="probability_clv"/>
    <tableColumn id="29" name="pnl_units"/>
    <tableColumn id="30" name="settled_at_utc"/>
    <tableColumn id="31" name="rationale"/>
    <tableColumn id="32" name="risks"/>
    <tableColumn id="33" name="review_status"/>
    <tableColumn id="34" name="loss_classification"/>
    <tableColumn id="35" name="loss_cause"/>
    <tableColumn id="36" name="corrective_action"/>
    <tableColumn id="37" name="call_type"/>
    <tableColumn id="38" name="ledger_schema_version"/>
    <tableColumn id="39" name="record_type"/>
    <tableColumn id="40" name="decision"/>
    <tableColumn id="41" name="reason_code"/>
    <tableColumn id="42" name="canonical_away_team_id"/>
    <tableColumn id="43" name="canonical_away_team_name"/>
    <tableColumn id="44" name="original_away_team"/>
    <tableColumn id="45" name="canonical_home_team_id"/>
    <tableColumn id="46" name="canonical_home_team_name"/>
    <tableColumn id="47" name="original_home_team"/>
    <tableColumn id="48" name="banned_team_id"/>
    <tableColumn id="49" name="banned_team_name"/>
    <tableColumn id="50" name="model_origin"/>
    <tableColumn id="51" name="baseline_identifier"/>
    <tableColumn id="52" name="model_state_at_decision"/>
    <tableColumn id="53" name="model_artifact_hash"/>
    <tableColumn id="54" name="calibration_method"/>
    <tableColumn id="55" name="calibration_version"/>
    <tableColumn id="56" name="calibration_artifact_hash"/>
    <tableColumn id="57" name="feature_schema_version"/>
    <tableColumn id="58" name="entity_map_version"/>
    <tableColumn id="59" name="code_revision"/>
    <tableColumn id="60" name="observed_at_utc"/>
    <tableColumn id="61" name="correlation_tags"/>
    <tableColumn id="62" name="decision_line"/>
    <tableColumn id="63" name="decision_american_odds"/>
    <tableColumn id="64" name="decision_decimal_odds"/>
    <tableColumn id="65" name="decision_raw_implied_probability"/>
    <tableColumn id="66" name="decision_no_vig_probability"/>
    <tableColumn id="67" name="decision_consensus_probability"/>
    <tableColumn id="68" name="decision_consensus_line"/>
    <tableColumn id="69" name="closing_decimal_odds"/>
    <tableColumn id="70" name="closing_raw_implied_probability"/>
    <tableColumn id="71" name="closing_no_vig_probability"/>
    <tableColumn id="72" name="closing_consensus_probability"/>
    <tableColumn id="73" name="closing_consensus_line"/>
    <tableColumn id="74" name="legacy_units"/>
    <tableColumn id="75" name="void_reason"/>
    <tableColumn id="76" name="research_score_units"/>
    <tableColumn id="77" name="research_pnl_units"/>
    <tableColumn id="78" name="research_scored_at_utc"/>
    <tableColumn id="79" name="research_scoring_note"/>
    <tableColumn id="80" name="migrated_from_version"/>
    <tableColumn id="81" name="elo_probability"/>
    <tableColumn id="82" name="trend_gap"/>
    <tableColumn id="83" name="park_factor"/>
    <tableColumn id="84" name="weather_factor"/>
    <tableColumn id="85" name="pitcher_era_gap"/>
    <tableColumn id="86" name="probable_starter_era_gap"/>
    <tableColumn id="87" name="unavailable_features"/>
    <tableColumn id="88" name="defensive_trend_gap"/>
    <tableColumn id="89" name="neutral_elo_rating_difference"/>
    <tableColumn id="90" name="rest_disparity"/>
    <tableColumn id="91" name="back_to_back_gap"/>
    <tableColumn id="92" name="games_last_7_gap"/>
    <tableColumn id="93" name="schedule_missingness"/>
    <tableColumn id="94" name="market_residual_probability"/>
    <tableColumn id="95" name="trade_candi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7" customWidth="1" min="10" max="10"/>
    <col width="4" customWidth="1" min="11" max="11"/>
    <col width="12" customWidth="1" min="12" max="12"/>
  </cols>
  <sheetData>
    <row r="1" ht="34" customHeight="1">
      <c r="A1" s="1" t="inlineStr">
        <is>
          <t>MODEL PREDICTION — PICKS LEDGER</t>
        </is>
      </c>
      <c r="J1" s="2" t="inlineStr">
        <is>
          <t>METRIC CONTROL</t>
        </is>
      </c>
    </row>
    <row r="2">
      <c r="J2" s="3" t="inlineStr">
        <is>
          <t>Minimum calibration sample</t>
        </is>
      </c>
      <c r="L2" s="4" t="n">
        <v>30</v>
      </c>
    </row>
    <row r="3" ht="20" customHeight="1">
      <c r="A3" s="5" t="inlineStr">
        <is>
          <t>Total records</t>
        </is>
      </c>
      <c r="C3" s="5" t="inlineStr">
        <is>
          <t>Open records</t>
        </is>
      </c>
      <c r="E3" s="5" t="inlineStr">
        <is>
          <t>Settled records</t>
        </is>
      </c>
      <c r="G3" s="5" t="inlineStr">
        <is>
          <t>Calibration status</t>
        </is>
      </c>
    </row>
    <row r="4" ht="28" customHeight="1">
      <c r="A4" s="6">
        <f>COUNTA('Picks'!$A$2:$A$20)</f>
        <v/>
      </c>
      <c r="C4" s="6">
        <f>COUNTIF('Picks'!$U$2:$U$20,"open")</f>
        <v/>
      </c>
      <c r="E4" s="6">
        <f>COUNTIF('Picks'!$U$2:$U$20,"settled")</f>
        <v/>
      </c>
      <c r="G4" s="6">
        <f>IF(COUNTIFS('Picks'!$U$2:$U$20,"settled",'Picks'!$V$2:$V$20,"win")+COUNTIFS('Picks'!$U$2:$U$20,"settled",'Picks'!$V$2:$V$20,"loss")&gt;=$L$2,"Ready","Insufficient sample")</f>
        <v/>
      </c>
    </row>
    <row r="6" ht="20" customHeight="1">
      <c r="A6" s="5" t="inlineStr">
        <is>
          <t>Research scored</t>
        </is>
      </c>
      <c r="C6" s="5" t="inlineStr">
        <is>
          <t>Research record</t>
        </is>
      </c>
      <c r="E6" s="5" t="inlineStr">
        <is>
          <t>Research accuracy</t>
        </is>
      </c>
      <c r="G6" s="5" t="inlineStr">
        <is>
          <t>Research ROI</t>
        </is>
      </c>
    </row>
    <row r="7" ht="28" customHeight="1">
      <c r="A7" s="6">
        <f>COUNTIF('Picks'!$BX$2:$BX$20,"&gt;0")</f>
        <v/>
      </c>
      <c r="C7" s="6">
        <f>COUNTIFS('Picks'!$BX$2:$BX$20,"&gt;0",'Picks'!$V$2:$V$20,"win")&amp;"-"&amp;COUNTIFS('Picks'!$BX$2:$BX$20,"&gt;0",'Picks'!$V$2:$V$20,"loss")</f>
        <v/>
      </c>
      <c r="E7" s="7">
        <f>IFERROR(COUNTIFS('Picks'!$BX$2:$BX$20,"&gt;0",'Picks'!$V$2:$V$20,"win")/(COUNTIFS('Picks'!$BX$2:$BX$20,"&gt;0",'Picks'!$V$2:$V$20,"win")+COUNTIFS('Picks'!$BX$2:$BX$20,"&gt;0",'Picks'!$V$2:$V$20,"loss")),0)</f>
        <v/>
      </c>
      <c r="G7" s="7">
        <f>IFERROR(SUM('Picks'!$BY$2:$BY$20)/SUM('Picks'!$BX$2:$BX$20),0)</f>
        <v/>
      </c>
    </row>
    <row r="9" ht="20" customHeight="1">
      <c r="A9" s="5" t="inlineStr">
        <is>
          <t>Research P&amp;L</t>
        </is>
      </c>
      <c r="C9" s="5" t="inlineStr">
        <is>
          <t>Mean raw-probability CLV</t>
        </is>
      </c>
      <c r="E9" s="5" t="inlineStr">
        <is>
          <t>Qualified calls</t>
        </is>
      </c>
      <c r="G9" s="5" t="inlineStr">
        <is>
          <t>Qualified P&amp;L</t>
        </is>
      </c>
    </row>
    <row r="10" ht="28" customHeight="1">
      <c r="A10" s="8">
        <f>SUM('Picks'!$BY$2:$BY$20)</f>
        <v/>
      </c>
      <c r="C10" s="9">
        <f>IFERROR(AVERAGEIF('Picks'!$AB$2:$AB$20,"&lt;&gt;",'Picks'!$AB$2:$AB$20),0)</f>
        <v/>
      </c>
      <c r="E10" s="6">
        <f>COUNTIFS('Picks'!$AM$2:$AM$20,"QUALIFIED_SHADOW_CALL",'Picks'!$U$2:$U$20,"settled")</f>
        <v/>
      </c>
      <c r="G10" s="8">
        <f>SUMIFS('Picks'!$AC$2:$AC$20,'Picks'!$AM$2:$AM$20,"QUALIFIED_SHADOW_CALL")</f>
        <v/>
      </c>
    </row>
    <row r="12">
      <c r="A12" s="10" t="inlineStr">
        <is>
          <t>SETTLED ACCURACY BY MARKET</t>
        </is>
      </c>
    </row>
    <row r="13">
      <c r="A13" s="11" t="inlineStr">
        <is>
          <t>Market</t>
        </is>
      </c>
      <c r="B13" s="11" t="inlineStr">
        <is>
          <t>Settled</t>
        </is>
      </c>
      <c r="C13" s="11" t="inlineStr">
        <is>
          <t>Wins</t>
        </is>
      </c>
      <c r="D13" s="11" t="inlineStr">
        <is>
          <t>Losses</t>
        </is>
      </c>
      <c r="E13" s="11" t="inlineStr">
        <is>
          <t>Accuracy</t>
        </is>
      </c>
      <c r="F13" s="11" t="inlineStr">
        <is>
          <t>Research P&amp;L</t>
        </is>
      </c>
      <c r="G13" s="11" t="inlineStr">
        <is>
          <t>Mean CLV</t>
        </is>
      </c>
    </row>
    <row r="14">
      <c r="A14" s="12" t="inlineStr">
        <is>
          <t>moneyline</t>
        </is>
      </c>
      <c r="B14" s="13">
        <f>COUNTIFS('Picks'!$H$2:$H$20,$A14,'Picks'!$U$2:$U$20,"settled")</f>
        <v/>
      </c>
      <c r="C14" s="13">
        <f>COUNTIFS('Picks'!$H$2:$H$20,$A14,'Picks'!$U$2:$U$20,"settled",'Picks'!$V$2:$V$20,"win")</f>
        <v/>
      </c>
      <c r="D14" s="13">
        <f>COUNTIFS('Picks'!$H$2:$H$20,$A14,'Picks'!$U$2:$U$20,"settled",'Picks'!$V$2:$V$20,"loss")</f>
        <v/>
      </c>
      <c r="E14" s="14">
        <f>IFERROR(C14/(C14+D14),0)</f>
        <v/>
      </c>
      <c r="F14" s="15">
        <f>SUMIFS('Picks'!$BY$2:$BY$20,'Picks'!$H$2:$H$20,$A14)</f>
        <v/>
      </c>
      <c r="G14" s="16">
        <f>IFERROR(AVERAGEIFS('Picks'!$AB$2:$AB$20,'Picks'!$H$2:$H$20,$A14,'Picks'!$U$2:$U$20,"settled"),0)</f>
        <v/>
      </c>
    </row>
    <row r="15">
      <c r="A15" s="17" t="inlineStr">
        <is>
          <t>spread</t>
        </is>
      </c>
      <c r="B15" s="18">
        <f>COUNTIFS('Picks'!$H$2:$H$20,$A15,'Picks'!$U$2:$U$20,"settled")</f>
        <v/>
      </c>
      <c r="C15" s="18">
        <f>COUNTIFS('Picks'!$H$2:$H$20,$A15,'Picks'!$U$2:$U$20,"settled",'Picks'!$V$2:$V$20,"win")</f>
        <v/>
      </c>
      <c r="D15" s="18">
        <f>COUNTIFS('Picks'!$H$2:$H$20,$A15,'Picks'!$U$2:$U$20,"settled",'Picks'!$V$2:$V$20,"loss")</f>
        <v/>
      </c>
      <c r="E15" s="19">
        <f>IFERROR(C15/(C15+D15),0)</f>
        <v/>
      </c>
      <c r="F15" s="20">
        <f>SUMIFS('Picks'!$BY$2:$BY$20,'Picks'!$H$2:$H$20,$A15)</f>
        <v/>
      </c>
      <c r="G15" s="21">
        <f>IFERROR(AVERAGEIFS('Picks'!$AB$2:$AB$20,'Picks'!$H$2:$H$20,$A15,'Picks'!$U$2:$U$20,"settled"),0)</f>
        <v/>
      </c>
    </row>
    <row r="16">
      <c r="A16" s="12" t="inlineStr">
        <is>
          <t>total</t>
        </is>
      </c>
      <c r="B16" s="13">
        <f>COUNTIFS('Picks'!$H$2:$H$20,$A16,'Picks'!$U$2:$U$20,"settled")</f>
        <v/>
      </c>
      <c r="C16" s="13">
        <f>COUNTIFS('Picks'!$H$2:$H$20,$A16,'Picks'!$U$2:$U$20,"settled",'Picks'!$V$2:$V$20,"win")</f>
        <v/>
      </c>
      <c r="D16" s="13">
        <f>COUNTIFS('Picks'!$H$2:$H$20,$A16,'Picks'!$U$2:$U$20,"settled",'Picks'!$V$2:$V$20,"loss")</f>
        <v/>
      </c>
      <c r="E16" s="14">
        <f>IFERROR(C16/(C16+D16),0)</f>
        <v/>
      </c>
      <c r="F16" s="15">
        <f>SUMIFS('Picks'!$BY$2:$BY$20,'Picks'!$H$2:$H$20,$A16)</f>
        <v/>
      </c>
      <c r="G16" s="16">
        <f>IFERROR(AVERAGEIFS('Picks'!$AB$2:$AB$20,'Picks'!$H$2:$H$20,$A16,'Picks'!$U$2:$U$20,"settled"),0)</f>
        <v/>
      </c>
    </row>
    <row r="18">
      <c r="A18" s="22" t="inlineStr">
        <is>
          <t>Descriptive only—not evidence of profitability. Calibration needs 30 settled binary picks.</t>
        </is>
      </c>
    </row>
    <row r="19"/>
  </sheetData>
  <mergeCells count="3">
    <mergeCell ref="A18:L19"/>
    <mergeCell ref="A12:G12"/>
    <mergeCell ref="A1:H1"/>
  </mergeCells>
  <pageMargins left="0.75" right="0.75" top="1" bottom="1" header="0.5" footer="0.5"/>
  <pageSetup orientation="landscape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Q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25" customWidth="1" min="3" max="3"/>
    <col width="18" customWidth="1" min="4" max="4"/>
    <col width="12" customWidth="1" min="5" max="5"/>
    <col width="24" customWidth="1" min="6" max="6"/>
    <col width="24" customWidth="1" min="7" max="7"/>
    <col width="13" customWidth="1" min="8" max="8"/>
    <col width="12" customWidth="1" min="9" max="9"/>
    <col width="15" customWidth="1" min="10" max="10"/>
    <col width="24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24" customWidth="1" min="20" max="20"/>
    <col width="12" customWidth="1" min="21" max="21"/>
    <col width="12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25" customWidth="1" min="30" max="30"/>
    <col width="48" customWidth="1" min="31" max="31"/>
    <col width="48" customWidth="1" min="32" max="32"/>
    <col width="15" customWidth="1" min="33" max="33"/>
    <col width="21" customWidth="1" min="34" max="34"/>
    <col width="48" customWidth="1" min="35" max="35"/>
    <col width="48" customWidth="1" min="36" max="36"/>
    <col width="12" customWidth="1" min="37" max="37"/>
    <col width="15" customWidth="1" min="38" max="38"/>
    <col width="13" customWidth="1" min="39" max="39"/>
    <col width="12" customWidth="1" min="40" max="40"/>
    <col width="24" customWidth="1" min="41" max="41"/>
    <col width="18" customWidth="1" min="42" max="42"/>
    <col width="22" customWidth="1" min="43" max="43"/>
    <col width="22" customWidth="1" min="44" max="44"/>
    <col width="18" customWidth="1" min="45" max="45"/>
    <col width="22" customWidth="1" min="46" max="46"/>
    <col width="22" customWidth="1" min="47" max="47"/>
    <col width="18" customWidth="1" min="48" max="48"/>
    <col width="22" customWidth="1" min="49" max="49"/>
    <col width="14" customWidth="1" min="50" max="50"/>
    <col width="21" customWidth="1" min="51" max="51"/>
    <col width="22" customWidth="1" min="52" max="52"/>
    <col width="20" customWidth="1" min="53" max="53"/>
    <col width="20" customWidth="1" min="54" max="54"/>
    <col width="21" customWidth="1" min="55" max="55"/>
    <col width="20" customWidth="1" min="56" max="56"/>
    <col width="22" customWidth="1" min="57" max="57"/>
    <col width="20" customWidth="1" min="58" max="58"/>
    <col width="15" customWidth="1" min="59" max="59"/>
    <col width="25" customWidth="1" min="60" max="60"/>
    <col width="18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3" customWidth="1" min="75" max="75"/>
    <col width="15" customWidth="1" min="76" max="76"/>
    <col width="15" customWidth="1" min="77" max="77"/>
    <col width="25" customWidth="1" min="78" max="78"/>
    <col width="48" customWidth="1" min="79" max="79"/>
    <col width="22" customWidth="1" min="80" max="80"/>
    <col width="17" customWidth="1" min="81" max="81"/>
    <col width="12" customWidth="1" min="82" max="82"/>
    <col width="13" customWidth="1" min="83" max="83"/>
    <col width="16" customWidth="1" min="84" max="84"/>
    <col width="17" customWidth="1" min="85" max="85"/>
    <col width="22" customWidth="1" min="86" max="86"/>
    <col width="22" customWidth="1" min="87" max="87"/>
    <col width="21" customWidth="1" min="88" max="88"/>
    <col width="22" customWidth="1" min="89" max="89"/>
    <col width="16" customWidth="1" min="90" max="90"/>
    <col width="18" customWidth="1" min="91" max="91"/>
    <col width="18" customWidth="1" min="92" max="92"/>
    <col width="22" customWidth="1" min="93" max="93"/>
    <col width="22" customWidth="1" min="94" max="94"/>
    <col width="17" customWidth="1" min="95" max="95"/>
  </cols>
  <sheetData>
    <row r="1" ht="32" customHeight="1">
      <c r="A1" s="23" t="inlineStr">
        <is>
          <t>pick_id</t>
        </is>
      </c>
      <c r="B1" s="23" t="inlineStr">
        <is>
          <t>created_at_utc</t>
        </is>
      </c>
      <c r="C1" s="23" t="inlineStr">
        <is>
          <t>event_start_utc</t>
        </is>
      </c>
      <c r="D1" s="23" t="inlineStr">
        <is>
          <t>event_id</t>
        </is>
      </c>
      <c r="E1" s="23" t="inlineStr">
        <is>
          <t>league</t>
        </is>
      </c>
      <c r="F1" s="23" t="inlineStr">
        <is>
          <t>away_team</t>
        </is>
      </c>
      <c r="G1" s="23" t="inlineStr">
        <is>
          <t>home_team</t>
        </is>
      </c>
      <c r="H1" s="23" t="inlineStr">
        <is>
          <t>market_type</t>
        </is>
      </c>
      <c r="I1" s="23" t="inlineStr">
        <is>
          <t>selection</t>
        </is>
      </c>
      <c r="J1" s="23" t="inlineStr">
        <is>
          <t>line</t>
        </is>
      </c>
      <c r="K1" s="23" t="inlineStr">
        <is>
          <t>sportsbook</t>
        </is>
      </c>
      <c r="L1" s="23" t="inlineStr">
        <is>
          <t>american_odds</t>
        </is>
      </c>
      <c r="M1" s="23" t="inlineStr">
        <is>
          <t>decimal_odds</t>
        </is>
      </c>
      <c r="N1" s="23" t="inlineStr">
        <is>
          <t>market_implied_probability</t>
        </is>
      </c>
      <c r="O1" s="23" t="inlineStr">
        <is>
          <t>model_probability</t>
        </is>
      </c>
      <c r="P1" s="23" t="inlineStr">
        <is>
          <t>model_uncertainty</t>
        </is>
      </c>
      <c r="Q1" s="23" t="inlineStr">
        <is>
          <t>edge</t>
        </is>
      </c>
      <c r="R1" s="23" t="inlineStr">
        <is>
          <t>confidence_score</t>
        </is>
      </c>
      <c r="S1" s="23" t="inlineStr">
        <is>
          <t>units</t>
        </is>
      </c>
      <c r="T1" s="23" t="inlineStr">
        <is>
          <t>model_version</t>
        </is>
      </c>
      <c r="U1" s="23" t="inlineStr">
        <is>
          <t>status</t>
        </is>
      </c>
      <c r="V1" s="23" t="inlineStr">
        <is>
          <t>result</t>
        </is>
      </c>
      <c r="W1" s="23" t="inlineStr">
        <is>
          <t>away_score</t>
        </is>
      </c>
      <c r="X1" s="23" t="inlineStr">
        <is>
          <t>home_score</t>
        </is>
      </c>
      <c r="Y1" s="23" t="inlineStr">
        <is>
          <t>closing_line</t>
        </is>
      </c>
      <c r="Z1" s="23" t="inlineStr">
        <is>
          <t>closing_american_odds</t>
        </is>
      </c>
      <c r="AA1" s="23" t="inlineStr">
        <is>
          <t>closing_implied_probability</t>
        </is>
      </c>
      <c r="AB1" s="23" t="inlineStr">
        <is>
          <t>probability_clv</t>
        </is>
      </c>
      <c r="AC1" s="23" t="inlineStr">
        <is>
          <t>pnl_units</t>
        </is>
      </c>
      <c r="AD1" s="23" t="inlineStr">
        <is>
          <t>settled_at_utc</t>
        </is>
      </c>
      <c r="AE1" s="23" t="inlineStr">
        <is>
          <t>rationale</t>
        </is>
      </c>
      <c r="AF1" s="23" t="inlineStr">
        <is>
          <t>risks</t>
        </is>
      </c>
      <c r="AG1" s="23" t="inlineStr">
        <is>
          <t>review_status</t>
        </is>
      </c>
      <c r="AH1" s="23" t="inlineStr">
        <is>
          <t>loss_classification</t>
        </is>
      </c>
      <c r="AI1" s="23" t="inlineStr">
        <is>
          <t>loss_cause</t>
        </is>
      </c>
      <c r="AJ1" s="23" t="inlineStr">
        <is>
          <t>corrective_action</t>
        </is>
      </c>
      <c r="AK1" s="23" t="inlineStr">
        <is>
          <t>call_type</t>
        </is>
      </c>
      <c r="AL1" s="23" t="inlineStr">
        <is>
          <t>ledger_schema_version</t>
        </is>
      </c>
      <c r="AM1" s="23" t="inlineStr">
        <is>
          <t>record_type</t>
        </is>
      </c>
      <c r="AN1" s="23" t="inlineStr">
        <is>
          <t>decision</t>
        </is>
      </c>
      <c r="AO1" s="23" t="inlineStr">
        <is>
          <t>reason_code</t>
        </is>
      </c>
      <c r="AP1" s="23" t="inlineStr">
        <is>
          <t>canonical_away_team_id</t>
        </is>
      </c>
      <c r="AQ1" s="23" t="inlineStr">
        <is>
          <t>canonical_away_team_name</t>
        </is>
      </c>
      <c r="AR1" s="23" t="inlineStr">
        <is>
          <t>original_away_team</t>
        </is>
      </c>
      <c r="AS1" s="23" t="inlineStr">
        <is>
          <t>canonical_home_team_id</t>
        </is>
      </c>
      <c r="AT1" s="23" t="inlineStr">
        <is>
          <t>canonical_home_team_name</t>
        </is>
      </c>
      <c r="AU1" s="23" t="inlineStr">
        <is>
          <t>original_home_team</t>
        </is>
      </c>
      <c r="AV1" s="23" t="inlineStr">
        <is>
          <t>banned_team_id</t>
        </is>
      </c>
      <c r="AW1" s="23" t="inlineStr">
        <is>
          <t>banned_team_name</t>
        </is>
      </c>
      <c r="AX1" s="23" t="inlineStr">
        <is>
          <t>model_origin</t>
        </is>
      </c>
      <c r="AY1" s="23" t="inlineStr">
        <is>
          <t>baseline_identifier</t>
        </is>
      </c>
      <c r="AZ1" s="23" t="inlineStr">
        <is>
          <t>model_state_at_decision</t>
        </is>
      </c>
      <c r="BA1" s="23" t="inlineStr">
        <is>
          <t>model_artifact_hash</t>
        </is>
      </c>
      <c r="BB1" s="23" t="inlineStr">
        <is>
          <t>calibration_method</t>
        </is>
      </c>
      <c r="BC1" s="23" t="inlineStr">
        <is>
          <t>calibration_version</t>
        </is>
      </c>
      <c r="BD1" s="23" t="inlineStr">
        <is>
          <t>calibration_artifact_hash</t>
        </is>
      </c>
      <c r="BE1" s="23" t="inlineStr">
        <is>
          <t>feature_schema_version</t>
        </is>
      </c>
      <c r="BF1" s="23" t="inlineStr">
        <is>
          <t>entity_map_version</t>
        </is>
      </c>
      <c r="BG1" s="23" t="inlineStr">
        <is>
          <t>code_revision</t>
        </is>
      </c>
      <c r="BH1" s="23" t="inlineStr">
        <is>
          <t>observed_at_utc</t>
        </is>
      </c>
      <c r="BI1" s="23" t="inlineStr">
        <is>
          <t>correlation_tags</t>
        </is>
      </c>
      <c r="BJ1" s="23" t="inlineStr">
        <is>
          <t>decision_line</t>
        </is>
      </c>
      <c r="BK1" s="23" t="inlineStr">
        <is>
          <t>decision_american_odds</t>
        </is>
      </c>
      <c r="BL1" s="23" t="inlineStr">
        <is>
          <t>decision_decimal_odds</t>
        </is>
      </c>
      <c r="BM1" s="23" t="inlineStr">
        <is>
          <t>decision_raw_implied_probability</t>
        </is>
      </c>
      <c r="BN1" s="23" t="inlineStr">
        <is>
          <t>decision_no_vig_probability</t>
        </is>
      </c>
      <c r="BO1" s="23" t="inlineStr">
        <is>
          <t>decision_consensus_probability</t>
        </is>
      </c>
      <c r="BP1" s="23" t="inlineStr">
        <is>
          <t>decision_consensus_line</t>
        </is>
      </c>
      <c r="BQ1" s="23" t="inlineStr">
        <is>
          <t>closing_decimal_odds</t>
        </is>
      </c>
      <c r="BR1" s="23" t="inlineStr">
        <is>
          <t>closing_raw_implied_probability</t>
        </is>
      </c>
      <c r="BS1" s="23" t="inlineStr">
        <is>
          <t>closing_no_vig_probability</t>
        </is>
      </c>
      <c r="BT1" s="23" t="inlineStr">
        <is>
          <t>closing_consensus_probability</t>
        </is>
      </c>
      <c r="BU1" s="23" t="inlineStr">
        <is>
          <t>closing_consensus_line</t>
        </is>
      </c>
      <c r="BV1" s="23" t="inlineStr">
        <is>
          <t>legacy_units</t>
        </is>
      </c>
      <c r="BW1" s="23" t="inlineStr">
        <is>
          <t>void_reason</t>
        </is>
      </c>
      <c r="BX1" s="23" t="inlineStr">
        <is>
          <t>research_score_units</t>
        </is>
      </c>
      <c r="BY1" s="23" t="inlineStr">
        <is>
          <t>research_pnl_units</t>
        </is>
      </c>
      <c r="BZ1" s="23" t="inlineStr">
        <is>
          <t>research_scored_at_utc</t>
        </is>
      </c>
      <c r="CA1" s="23" t="inlineStr">
        <is>
          <t>research_scoring_note</t>
        </is>
      </c>
      <c r="CB1" s="23" t="inlineStr">
        <is>
          <t>migrated_from_version</t>
        </is>
      </c>
      <c r="CC1" s="23" t="inlineStr">
        <is>
          <t>elo_probability</t>
        </is>
      </c>
      <c r="CD1" s="23" t="inlineStr">
        <is>
          <t>trend_gap</t>
        </is>
      </c>
      <c r="CE1" s="23" t="inlineStr">
        <is>
          <t>park_factor</t>
        </is>
      </c>
      <c r="CF1" s="23" t="inlineStr">
        <is>
          <t>weather_factor</t>
        </is>
      </c>
      <c r="CG1" s="23" t="inlineStr">
        <is>
          <t>pitcher_era_gap</t>
        </is>
      </c>
      <c r="CH1" s="23" t="inlineStr">
        <is>
          <t>probable_starter_era_gap</t>
        </is>
      </c>
      <c r="CI1" s="23" t="inlineStr">
        <is>
          <t>unavailable_features</t>
        </is>
      </c>
      <c r="CJ1" s="23" t="inlineStr">
        <is>
          <t>defensive_trend_gap</t>
        </is>
      </c>
      <c r="CK1" s="23" t="inlineStr">
        <is>
          <t>neutral_elo_rating_difference</t>
        </is>
      </c>
      <c r="CL1" s="23" t="inlineStr">
        <is>
          <t>rest_disparity</t>
        </is>
      </c>
      <c r="CM1" s="23" t="inlineStr">
        <is>
          <t>back_to_back_gap</t>
        </is>
      </c>
      <c r="CN1" s="23" t="inlineStr">
        <is>
          <t>games_last_7_gap</t>
        </is>
      </c>
      <c r="CO1" s="23" t="inlineStr">
        <is>
          <t>schedule_missingness</t>
        </is>
      </c>
      <c r="CP1" s="23" t="inlineStr">
        <is>
          <t>market_residual_probability</t>
        </is>
      </c>
      <c r="CQ1" s="23" t="inlineStr">
        <is>
          <t>trade_candidate</t>
        </is>
      </c>
    </row>
    <row r="2" ht="36" customHeight="1">
      <c r="A2" s="24" t="inlineStr">
        <is>
          <t>0c9b461f54a54b67</t>
        </is>
      </c>
      <c r="B2" s="24" t="inlineStr">
        <is>
          <t>2026-07-31T10:46:58.818420Z</t>
        </is>
      </c>
      <c r="C2" s="24" t="inlineStr">
        <is>
          <t>2026-07-31T11:00:00Z</t>
        </is>
      </c>
      <c r="D2" s="24" t="inlineStr">
        <is>
          <t>64807</t>
        </is>
      </c>
      <c r="E2" s="24" t="inlineStr">
        <is>
          <t>VALORANT</t>
        </is>
      </c>
      <c r="F2" s="24" t="inlineStr">
        <is>
          <t>Gen.G Esports</t>
        </is>
      </c>
      <c r="G2" s="24" t="inlineStr">
        <is>
          <t>Global Esports</t>
        </is>
      </c>
      <c r="H2" s="24" t="inlineStr">
        <is>
          <t>moneyline</t>
        </is>
      </c>
      <c r="I2" s="24" t="inlineStr">
        <is>
          <t>away</t>
        </is>
      </c>
      <c r="J2" s="25" t="n"/>
      <c r="K2" s="24" t="inlineStr">
        <is>
          <t>polymarket_us</t>
        </is>
      </c>
      <c r="L2" s="26" t="n">
        <v>203</v>
      </c>
      <c r="M2" s="27" t="n">
        <v>3.03</v>
      </c>
      <c r="N2" s="28" t="n">
        <v>0.330033</v>
      </c>
      <c r="O2" s="28" t="n">
        <v>0.574963</v>
      </c>
      <c r="P2" s="28" t="n"/>
      <c r="Q2" s="28" t="n">
        <v>0.24493</v>
      </c>
      <c r="R2" s="26" t="n">
        <v>100</v>
      </c>
      <c r="S2" s="29" t="n">
        <v>1.25</v>
      </c>
      <c r="T2" s="24" t="inlineStr">
        <is>
          <t>valorant-tiered-elo-v5</t>
        </is>
      </c>
      <c r="U2" s="24" t="inlineStr">
        <is>
          <t>settled</t>
        </is>
      </c>
      <c r="V2" s="24" t="inlineStr">
        <is>
          <t>win</t>
        </is>
      </c>
      <c r="W2" s="26" t="n">
        <v>1</v>
      </c>
      <c r="X2" s="26" t="n">
        <v>0</v>
      </c>
      <c r="Y2" s="25" t="n"/>
      <c r="Z2" s="26" t="n">
        <v>194</v>
      </c>
      <c r="AA2" s="28" t="n">
        <v>0.34</v>
      </c>
      <c r="AB2" s="28" t="n">
        <v>0.009967</v>
      </c>
      <c r="AC2" s="30" t="n">
        <v>2.5375</v>
      </c>
      <c r="AD2" s="24" t="inlineStr">
        <is>
          <t>2026-07-31T13:38:58.560220Z</t>
        </is>
      </c>
      <c r="AE2" s="31" t="inlineStr">
        <is>
          <t>Neutral Elo baseline; executable ask 0.3300 (market_slug=aec-valorant-ge-geng-2026-07-31).</t>
        </is>
      </c>
      <c r="AF2" s="31" t="inlineStr">
        <is>
          <t>Config-promoted esports baseline; gates enforced at log time.</t>
        </is>
      </c>
      <c r="AG2" s="24" t="inlineStr">
        <is>
          <t>not_applicable</t>
        </is>
      </c>
      <c r="AH2" s="24" t="n"/>
      <c r="AI2" s="31" t="n"/>
      <c r="AJ2" s="31" t="n"/>
      <c r="AK2" s="24" t="inlineStr">
        <is>
          <t>model_qualified</t>
        </is>
      </c>
      <c r="AL2" s="26" t="n">
        <v>3</v>
      </c>
      <c r="AM2" s="24" t="inlineStr">
        <is>
          <t>QUALIFIED_SHADOW_CALL</t>
        </is>
      </c>
      <c r="AN2" s="24" t="inlineStr">
        <is>
          <t>CALL</t>
        </is>
      </c>
      <c r="AO2" s="24" t="inlineStr">
        <is>
          <t>QUALIFIED</t>
        </is>
      </c>
      <c r="AP2" s="24" t="inlineStr">
        <is>
          <t>Gen.G Esports</t>
        </is>
      </c>
      <c r="AQ2" s="24" t="inlineStr">
        <is>
          <t>Gen.G Esports</t>
        </is>
      </c>
      <c r="AR2" s="24" t="inlineStr">
        <is>
          <t>Gen.G Esports</t>
        </is>
      </c>
      <c r="AS2" s="24" t="inlineStr">
        <is>
          <t>Global Esports</t>
        </is>
      </c>
      <c r="AT2" s="24" t="inlineStr">
        <is>
          <t>Global Esports</t>
        </is>
      </c>
      <c r="AU2" s="24" t="inlineStr">
        <is>
          <t>Global Esports</t>
        </is>
      </c>
      <c r="AV2" s="24" t="n"/>
      <c r="AW2" s="24" t="n"/>
      <c r="AX2" s="24" t="inlineStr">
        <is>
          <t>statistical_model</t>
        </is>
      </c>
      <c r="AY2" s="24" t="n"/>
      <c r="AZ2" s="24" t="inlineStr">
        <is>
          <t>shadow_qualified</t>
        </is>
      </c>
      <c r="BA2" s="24" t="inlineStr">
        <is>
          <t>316f14757ba7b67513d2e43f0e5432e02d1d1af04a03ed2b8a0b070efbf6c94e</t>
        </is>
      </c>
      <c r="BB2" s="24" t="inlineStr">
        <is>
          <t>neutral_elo</t>
        </is>
      </c>
      <c r="BC2" s="24" t="inlineStr">
        <is>
          <t>valorant-tiered-elo-v5</t>
        </is>
      </c>
      <c r="BD2" s="24" t="inlineStr">
        <is>
          <t>316f14757ba7b67513d2e43f0e5432e02d1d1af04a03ed2b8a0b070efbf6c94e</t>
        </is>
      </c>
      <c r="BE2" s="24" t="inlineStr">
        <is>
          <t>1</t>
        </is>
      </c>
      <c r="BF2" s="24" t="inlineStr">
        <is>
          <t>1</t>
        </is>
      </c>
      <c r="BG2" s="24" t="inlineStr">
        <is>
          <t>valorant-tiered-elo-v5</t>
        </is>
      </c>
      <c r="BH2" s="24" t="inlineStr">
        <is>
          <t>2026-07-31T10:46:53.940374Z</t>
        </is>
      </c>
      <c r="BI2" s="24" t="inlineStr">
        <is>
          <t>["same_event","same_team_same_day","same_league_same_day"]</t>
        </is>
      </c>
      <c r="BJ2" s="25" t="n"/>
      <c r="BK2" s="26" t="n">
        <v>203</v>
      </c>
      <c r="BL2" s="27" t="n">
        <v>3.03</v>
      </c>
      <c r="BM2" s="28" t="n">
        <v>0.330033</v>
      </c>
      <c r="BN2" s="28" t="n"/>
      <c r="BO2" s="28" t="n"/>
      <c r="BP2" s="25" t="n"/>
      <c r="BQ2" s="27" t="n">
        <v>2.94</v>
      </c>
      <c r="BR2" s="28" t="n">
        <v>0.34</v>
      </c>
      <c r="BS2" s="28" t="n"/>
      <c r="BT2" s="28" t="n"/>
      <c r="BU2" s="25" t="n"/>
      <c r="BV2" s="29" t="n"/>
      <c r="BW2" s="24" t="n"/>
      <c r="BX2" s="30" t="n"/>
      <c r="BY2" s="27" t="n"/>
      <c r="BZ2" s="24" t="n"/>
      <c r="CA2" s="31" t="n"/>
      <c r="CB2" s="24" t="n"/>
      <c r="CC2" s="24" t="n"/>
      <c r="CD2" s="24" t="n"/>
      <c r="CE2" s="24" t="n"/>
      <c r="CF2" s="24" t="n"/>
      <c r="CG2" s="24" t="n"/>
      <c r="CH2" s="24" t="n"/>
      <c r="CI2" s="24" t="n"/>
      <c r="CJ2" s="24" t="n"/>
      <c r="CK2" s="24" t="n"/>
      <c r="CL2" s="24" t="n"/>
      <c r="CM2" s="24" t="n"/>
      <c r="CN2" s="24" t="n"/>
      <c r="CO2" s="24" t="n"/>
      <c r="CP2" s="24" t="n"/>
      <c r="CQ2" s="24" t="n"/>
    </row>
    <row r="3" ht="36" customHeight="1">
      <c r="A3" s="24" t="inlineStr">
        <is>
          <t>0e9f1583a76a4fd2</t>
        </is>
      </c>
      <c r="B3" s="24" t="inlineStr">
        <is>
          <t>2026-07-31T13:44:08.052962Z</t>
        </is>
      </c>
      <c r="C3" s="24" t="inlineStr">
        <is>
          <t>2026-07-31T15:00:00Z</t>
        </is>
      </c>
      <c r="D3" s="24" t="inlineStr">
        <is>
          <t>64940</t>
        </is>
      </c>
      <c r="E3" s="24" t="inlineStr">
        <is>
          <t>VALORANT</t>
        </is>
      </c>
      <c r="F3" s="24" t="inlineStr">
        <is>
          <t>Gentle Mates</t>
        </is>
      </c>
      <c r="G3" s="24" t="inlineStr">
        <is>
          <t>BBL Esports</t>
        </is>
      </c>
      <c r="H3" s="24" t="inlineStr">
        <is>
          <t>moneyline</t>
        </is>
      </c>
      <c r="I3" s="24" t="inlineStr">
        <is>
          <t>home</t>
        </is>
      </c>
      <c r="J3" s="25" t="n"/>
      <c r="K3" s="24" t="inlineStr">
        <is>
          <t>polymarket_us</t>
        </is>
      </c>
      <c r="L3" s="26" t="n">
        <v>-127</v>
      </c>
      <c r="M3" s="27" t="n">
        <v>1.787402</v>
      </c>
      <c r="N3" s="28" t="n">
        <v>0.5594710000000001</v>
      </c>
      <c r="O3" s="28" t="n">
        <v>0.589785</v>
      </c>
      <c r="P3" s="28" t="n"/>
      <c r="Q3" s="28" t="n">
        <v>0.030314</v>
      </c>
      <c r="R3" s="26" t="n">
        <v>35</v>
      </c>
      <c r="S3" s="29" t="n">
        <v>1.25</v>
      </c>
      <c r="T3" s="24" t="inlineStr">
        <is>
          <t>valorant-tiered-elo-v5</t>
        </is>
      </c>
      <c r="U3" s="24" t="inlineStr">
        <is>
          <t>settled</t>
        </is>
      </c>
      <c r="V3" s="24" t="inlineStr">
        <is>
          <t>win</t>
        </is>
      </c>
      <c r="W3" s="26" t="n">
        <v>0</v>
      </c>
      <c r="X3" s="26" t="n">
        <v>1</v>
      </c>
      <c r="Y3" s="25" t="n"/>
      <c r="Z3" s="26" t="n">
        <v>-127</v>
      </c>
      <c r="AA3" s="28" t="n">
        <v>0.5600000000000001</v>
      </c>
      <c r="AB3" s="28" t="n">
        <v>0.000529</v>
      </c>
      <c r="AC3" s="30" t="n">
        <v>0.9843</v>
      </c>
      <c r="AD3" s="24" t="inlineStr">
        <is>
          <t>2026-07-31T19:51:22.532394Z</t>
        </is>
      </c>
      <c r="AE3" s="31" t="inlineStr">
        <is>
          <t>Neutral Elo baseline; executable ask 0.5600 (market_slug=aec-valorant-bbl-gm-2026-07-31).</t>
        </is>
      </c>
      <c r="AF3" s="31" t="inlineStr">
        <is>
          <t>Config-promoted esports baseline; gates enforced at log time.</t>
        </is>
      </c>
      <c r="AG3" s="24" t="inlineStr">
        <is>
          <t>not_applicable</t>
        </is>
      </c>
      <c r="AH3" s="24" t="n"/>
      <c r="AI3" s="31" t="n"/>
      <c r="AJ3" s="31" t="n"/>
      <c r="AK3" s="24" t="inlineStr">
        <is>
          <t>model_qualified</t>
        </is>
      </c>
      <c r="AL3" s="26" t="n">
        <v>3</v>
      </c>
      <c r="AM3" s="24" t="inlineStr">
        <is>
          <t>QUALIFIED_SHADOW_CALL</t>
        </is>
      </c>
      <c r="AN3" s="24" t="inlineStr">
        <is>
          <t>CALL</t>
        </is>
      </c>
      <c r="AO3" s="24" t="inlineStr">
        <is>
          <t>QUALIFIED</t>
        </is>
      </c>
      <c r="AP3" s="24" t="inlineStr">
        <is>
          <t>Gentle Mates</t>
        </is>
      </c>
      <c r="AQ3" s="24" t="inlineStr">
        <is>
          <t>Gentle Mates</t>
        </is>
      </c>
      <c r="AR3" s="24" t="inlineStr">
        <is>
          <t>Gentle Mates</t>
        </is>
      </c>
      <c r="AS3" s="24" t="inlineStr">
        <is>
          <t>BBL Esports</t>
        </is>
      </c>
      <c r="AT3" s="24" t="inlineStr">
        <is>
          <t>BBL Esports</t>
        </is>
      </c>
      <c r="AU3" s="24" t="inlineStr">
        <is>
          <t>BBL Esports</t>
        </is>
      </c>
      <c r="AV3" s="24" t="n"/>
      <c r="AW3" s="24" t="n"/>
      <c r="AX3" s="24" t="inlineStr">
        <is>
          <t>statistical_model</t>
        </is>
      </c>
      <c r="AY3" s="24" t="n"/>
      <c r="AZ3" s="24" t="inlineStr">
        <is>
          <t>shadow_qualified</t>
        </is>
      </c>
      <c r="BA3" s="24" t="inlineStr">
        <is>
          <t>139f8fd81efcd2fb54fc3e158052d3e9c04fc7442a0b372b18e645e84996b74c</t>
        </is>
      </c>
      <c r="BB3" s="24" t="inlineStr">
        <is>
          <t>neutral_elo</t>
        </is>
      </c>
      <c r="BC3" s="24" t="inlineStr">
        <is>
          <t>valorant-tiered-elo-v5</t>
        </is>
      </c>
      <c r="BD3" s="24" t="inlineStr">
        <is>
          <t>139f8fd81efcd2fb54fc3e158052d3e9c04fc7442a0b372b18e645e84996b74c</t>
        </is>
      </c>
      <c r="BE3" s="24" t="inlineStr">
        <is>
          <t>1</t>
        </is>
      </c>
      <c r="BF3" s="24" t="inlineStr">
        <is>
          <t>1</t>
        </is>
      </c>
      <c r="BG3" s="24" t="inlineStr">
        <is>
          <t>valorant-tiered-elo-v5</t>
        </is>
      </c>
      <c r="BH3" s="24" t="inlineStr">
        <is>
          <t>2026-07-31T13:44:03.465992Z</t>
        </is>
      </c>
      <c r="BI3" s="24" t="inlineStr">
        <is>
          <t>["same_event","same_team_same_day","same_league_same_day"]</t>
        </is>
      </c>
      <c r="BJ3" s="25" t="n"/>
      <c r="BK3" s="26" t="n">
        <v>-127</v>
      </c>
      <c r="BL3" s="27" t="n">
        <v>1.787402</v>
      </c>
      <c r="BM3" s="28" t="n">
        <v>0.5594710000000001</v>
      </c>
      <c r="BN3" s="28" t="n"/>
      <c r="BO3" s="28" t="n"/>
      <c r="BP3" s="25" t="n"/>
      <c r="BQ3" s="27" t="n">
        <v>1.787402</v>
      </c>
      <c r="BR3" s="28" t="n">
        <v>0.5600000000000001</v>
      </c>
      <c r="BS3" s="28" t="n"/>
      <c r="BT3" s="28" t="n"/>
      <c r="BU3" s="25" t="n"/>
      <c r="BV3" s="29" t="n"/>
      <c r="BW3" s="24" t="n"/>
      <c r="BX3" s="30" t="n"/>
      <c r="BY3" s="27" t="n"/>
      <c r="BZ3" s="24" t="n"/>
      <c r="CA3" s="31" t="n"/>
      <c r="CB3" s="24" t="n"/>
      <c r="CC3" s="24" t="n"/>
      <c r="CD3" s="24" t="n"/>
      <c r="CE3" s="24" t="n"/>
      <c r="CF3" s="24" t="n"/>
      <c r="CG3" s="24" t="n"/>
      <c r="CH3" s="24" t="n"/>
      <c r="CI3" s="24" t="n"/>
      <c r="CJ3" s="24" t="n"/>
      <c r="CK3" s="24" t="n"/>
      <c r="CL3" s="24" t="n"/>
      <c r="CM3" s="24" t="n"/>
      <c r="CN3" s="24" t="n"/>
      <c r="CO3" s="24" t="n"/>
      <c r="CP3" s="24" t="n"/>
      <c r="CQ3" s="24" t="n"/>
    </row>
    <row r="4" ht="36" customHeight="1">
      <c r="A4" s="24" t="inlineStr">
        <is>
          <t>992f00d317164d2a</t>
        </is>
      </c>
      <c r="B4" s="24" t="inlineStr">
        <is>
          <t>2026-07-31T19:57:00.316597Z</t>
        </is>
      </c>
      <c r="C4" s="24" t="inlineStr">
        <is>
          <t>2026-07-31T21:00:00Z</t>
        </is>
      </c>
      <c r="D4" s="24" t="inlineStr">
        <is>
          <t>65506</t>
        </is>
      </c>
      <c r="E4" s="24" t="inlineStr">
        <is>
          <t>VALORANT</t>
        </is>
      </c>
      <c r="F4" s="24" t="inlineStr">
        <is>
          <t>LOUD</t>
        </is>
      </c>
      <c r="G4" s="24" t="inlineStr">
        <is>
          <t>Cloud9</t>
        </is>
      </c>
      <c r="H4" s="24" t="inlineStr">
        <is>
          <t>moneyline</t>
        </is>
      </c>
      <c r="I4" s="24" t="inlineStr">
        <is>
          <t>away</t>
        </is>
      </c>
      <c r="J4" s="25" t="n"/>
      <c r="K4" s="24" t="inlineStr">
        <is>
          <t>polymarket_us</t>
        </is>
      </c>
      <c r="L4" s="26" t="n">
        <v>-122</v>
      </c>
      <c r="M4" s="27" t="n">
        <v>1.819672</v>
      </c>
      <c r="N4" s="28" t="n">
        <v>0.54955</v>
      </c>
      <c r="O4" s="28" t="n">
        <v>0.558389</v>
      </c>
      <c r="P4" s="28" t="n"/>
      <c r="Q4" s="28" t="n">
        <v>0.008839</v>
      </c>
      <c r="R4" s="26" t="n">
        <v>24</v>
      </c>
      <c r="S4" s="29" t="n">
        <v>1</v>
      </c>
      <c r="T4" s="24" t="inlineStr">
        <is>
          <t>valorant-tiered-elo-v5</t>
        </is>
      </c>
      <c r="U4" s="24" t="inlineStr">
        <is>
          <t>settled</t>
        </is>
      </c>
      <c r="V4" s="24" t="inlineStr">
        <is>
          <t>win</t>
        </is>
      </c>
      <c r="W4" s="26" t="n">
        <v>1</v>
      </c>
      <c r="X4" s="26" t="n">
        <v>0</v>
      </c>
      <c r="Y4" s="25" t="n"/>
      <c r="Z4" s="26" t="n">
        <v>-122</v>
      </c>
      <c r="AA4" s="28" t="n">
        <v>0.55</v>
      </c>
      <c r="AB4" s="28" t="n">
        <v>0.00045</v>
      </c>
      <c r="AC4" s="30" t="n">
        <v>0.8197</v>
      </c>
      <c r="AD4" s="24" t="inlineStr">
        <is>
          <t>2026-08-01T03:00:18.104800Z</t>
        </is>
      </c>
      <c r="AE4" s="31" t="inlineStr">
        <is>
          <t>Neutral Elo baseline; executable ask 0.5500 (market_slug=aec-valorant-c9-loud-2026-07-31).</t>
        </is>
      </c>
      <c r="AF4" s="31" t="inlineStr">
        <is>
          <t>Config-promoted esports baseline; gates enforced at log time.</t>
        </is>
      </c>
      <c r="AG4" s="24" t="inlineStr">
        <is>
          <t>not_applicable</t>
        </is>
      </c>
      <c r="AH4" s="24" t="n"/>
      <c r="AI4" s="31" t="n"/>
      <c r="AJ4" s="31" t="n"/>
      <c r="AK4" s="24" t="inlineStr">
        <is>
          <t>research_observation</t>
        </is>
      </c>
      <c r="AL4" s="26" t="n">
        <v>3</v>
      </c>
      <c r="AM4" s="24" t="inlineStr">
        <is>
          <t>RESEARCH_OBSERVATION</t>
        </is>
      </c>
      <c r="AN4" s="24" t="inlineStr">
        <is>
          <t>NO_CALL</t>
        </is>
      </c>
      <c r="AO4" s="24" t="inlineStr">
        <is>
          <t>NO_CALL_LOW_EDGE</t>
        </is>
      </c>
      <c r="AP4" s="24" t="inlineStr">
        <is>
          <t>LOUD</t>
        </is>
      </c>
      <c r="AQ4" s="24" t="inlineStr">
        <is>
          <t>LOUD</t>
        </is>
      </c>
      <c r="AR4" s="24" t="inlineStr">
        <is>
          <t>LOUD</t>
        </is>
      </c>
      <c r="AS4" s="24" t="inlineStr">
        <is>
          <t>Cloud9</t>
        </is>
      </c>
      <c r="AT4" s="24" t="inlineStr">
        <is>
          <t>Cloud9</t>
        </is>
      </c>
      <c r="AU4" s="24" t="inlineStr">
        <is>
          <t>Cloud9</t>
        </is>
      </c>
      <c r="AV4" s="24" t="n"/>
      <c r="AW4" s="24" t="n"/>
      <c r="AX4" s="24" t="inlineStr">
        <is>
          <t>statistical_model</t>
        </is>
      </c>
      <c r="AY4" s="24" t="n"/>
      <c r="AZ4" s="24" t="inlineStr">
        <is>
          <t>shadow_qualified</t>
        </is>
      </c>
      <c r="BA4" s="24" t="inlineStr">
        <is>
          <t>c495285eb3dce15d5f7b197559c746544440f7a87fe5550e2c24625e309d8dd6</t>
        </is>
      </c>
      <c r="BB4" s="24" t="inlineStr">
        <is>
          <t>neutral_elo</t>
        </is>
      </c>
      <c r="BC4" s="24" t="inlineStr">
        <is>
          <t>valorant-tiered-elo-v5</t>
        </is>
      </c>
      <c r="BD4" s="24" t="inlineStr">
        <is>
          <t>c495285eb3dce15d5f7b197559c746544440f7a87fe5550e2c24625e309d8dd6</t>
        </is>
      </c>
      <c r="BE4" s="24" t="inlineStr">
        <is>
          <t>1</t>
        </is>
      </c>
      <c r="BF4" s="24" t="inlineStr">
        <is>
          <t>1</t>
        </is>
      </c>
      <c r="BG4" s="24" t="inlineStr">
        <is>
          <t>valorant-tiered-elo-v5</t>
        </is>
      </c>
      <c r="BH4" s="24" t="inlineStr">
        <is>
          <t>2026-07-31T19:56:56.353476Z</t>
        </is>
      </c>
      <c r="BI4" s="24" t="inlineStr">
        <is>
          <t>["same_event","same_team_same_day","same_league_same_day"]</t>
        </is>
      </c>
      <c r="BJ4" s="25" t="n"/>
      <c r="BK4" s="26" t="n">
        <v>-122</v>
      </c>
      <c r="BL4" s="27" t="n">
        <v>1.819672</v>
      </c>
      <c r="BM4" s="28" t="n">
        <v>0.54955</v>
      </c>
      <c r="BN4" s="28" t="n"/>
      <c r="BO4" s="28" t="n"/>
      <c r="BP4" s="25" t="n"/>
      <c r="BQ4" s="27" t="n">
        <v>1.819672</v>
      </c>
      <c r="BR4" s="28" t="n">
        <v>0.55</v>
      </c>
      <c r="BS4" s="28" t="n"/>
      <c r="BT4" s="28" t="n"/>
      <c r="BU4" s="25" t="n"/>
      <c r="BV4" s="29" t="n"/>
      <c r="BW4" s="24" t="n"/>
      <c r="BX4" s="30" t="n"/>
      <c r="BY4" s="27" t="n"/>
      <c r="BZ4" s="24" t="n"/>
      <c r="CA4" s="31" t="n"/>
      <c r="CB4" s="24" t="n"/>
      <c r="CC4" s="24" t="n"/>
      <c r="CD4" s="24" t="n"/>
      <c r="CE4" s="24" t="n"/>
      <c r="CF4" s="24" t="n"/>
      <c r="CG4" s="24" t="n"/>
      <c r="CH4" s="24" t="n"/>
      <c r="CI4" s="24" t="n"/>
      <c r="CJ4" s="24" t="n"/>
      <c r="CK4" s="24" t="n"/>
      <c r="CL4" s="24" t="n"/>
      <c r="CM4" s="24" t="n"/>
      <c r="CN4" s="24" t="n"/>
      <c r="CO4" s="24" t="n"/>
      <c r="CP4" s="24" t="n"/>
      <c r="CQ4" s="24" t="n"/>
    </row>
    <row r="5" ht="36" customHeight="1">
      <c r="A5" s="24" t="inlineStr">
        <is>
          <t>3e99dffb22ef4292</t>
        </is>
      </c>
      <c r="B5" s="24" t="inlineStr">
        <is>
          <t>2026-08-01T10:23:18.378580Z</t>
        </is>
      </c>
      <c r="C5" s="24" t="inlineStr">
        <is>
          <t>2026-08-01T11:00:00Z</t>
        </is>
      </c>
      <c r="D5" s="24" t="inlineStr">
        <is>
          <t>65894</t>
        </is>
      </c>
      <c r="E5" s="24" t="inlineStr">
        <is>
          <t>VALORANT</t>
        </is>
      </c>
      <c r="F5" s="24" t="inlineStr">
        <is>
          <t>Rex Regum Qeon</t>
        </is>
      </c>
      <c r="G5" s="24" t="inlineStr">
        <is>
          <t>FULL SENSE</t>
        </is>
      </c>
      <c r="H5" s="24" t="inlineStr">
        <is>
          <t>moneyline</t>
        </is>
      </c>
      <c r="I5" s="24" t="inlineStr">
        <is>
          <t>home</t>
        </is>
      </c>
      <c r="J5" s="25" t="n"/>
      <c r="K5" s="24" t="inlineStr">
        <is>
          <t>polymarket_us</t>
        </is>
      </c>
      <c r="L5" s="26" t="n">
        <v>-150</v>
      </c>
      <c r="M5" s="27" t="n">
        <v>1.666667</v>
      </c>
      <c r="N5" s="28" t="n">
        <v>0.6</v>
      </c>
      <c r="O5" s="28" t="n">
        <v>0.552961</v>
      </c>
      <c r="P5" s="28" t="n"/>
      <c r="Q5" s="28" t="n">
        <v>-0.047039</v>
      </c>
      <c r="R5" s="26" t="n">
        <v>0</v>
      </c>
      <c r="S5" s="29" t="n">
        <v>1</v>
      </c>
      <c r="T5" s="24" t="inlineStr">
        <is>
          <t>valorant-tiered-elo-v5</t>
        </is>
      </c>
      <c r="U5" s="24" t="inlineStr">
        <is>
          <t>settled</t>
        </is>
      </c>
      <c r="V5" s="24" t="inlineStr">
        <is>
          <t>loss</t>
        </is>
      </c>
      <c r="W5" s="26" t="n">
        <v>1</v>
      </c>
      <c r="X5" s="26" t="n">
        <v>0</v>
      </c>
      <c r="Y5" s="25" t="n"/>
      <c r="Z5" s="26" t="n">
        <v>-150</v>
      </c>
      <c r="AA5" s="28" t="n">
        <v>0.6</v>
      </c>
      <c r="AB5" s="28" t="n">
        <v>0</v>
      </c>
      <c r="AC5" s="30" t="n">
        <v>-1</v>
      </c>
      <c r="AD5" s="24" t="inlineStr">
        <is>
          <t>2026-08-01T16:48:17.244830Z</t>
        </is>
      </c>
      <c r="AE5" s="31" t="inlineStr">
        <is>
          <t>Neutral Elo baseline; executable ask 0.6000 (market_slug=aec-valorant-fs-rrq-2026-08-01).</t>
        </is>
      </c>
      <c r="AF5" s="31" t="inlineStr">
        <is>
          <t>Config-promoted esports baseline; gates enforced at log time.</t>
        </is>
      </c>
      <c r="AG5" s="24" t="inlineStr">
        <is>
          <t>review_required</t>
        </is>
      </c>
      <c r="AH5" s="24" t="n"/>
      <c r="AI5" s="31" t="n"/>
      <c r="AJ5" s="31" t="n"/>
      <c r="AK5" s="24" t="inlineStr">
        <is>
          <t>research_observation</t>
        </is>
      </c>
      <c r="AL5" s="26" t="n">
        <v>3</v>
      </c>
      <c r="AM5" s="24" t="inlineStr">
        <is>
          <t>RESEARCH_OBSERVATION</t>
        </is>
      </c>
      <c r="AN5" s="24" t="inlineStr">
        <is>
          <t>NO_CALL</t>
        </is>
      </c>
      <c r="AO5" s="24" t="inlineStr">
        <is>
          <t>NO_CALL_LOW_EDGE</t>
        </is>
      </c>
      <c r="AP5" s="24" t="inlineStr">
        <is>
          <t>Rex Regum Qeon</t>
        </is>
      </c>
      <c r="AQ5" s="24" t="inlineStr">
        <is>
          <t>Rex Regum Qeon</t>
        </is>
      </c>
      <c r="AR5" s="24" t="inlineStr">
        <is>
          <t>Rex Regum Qeon</t>
        </is>
      </c>
      <c r="AS5" s="24" t="inlineStr">
        <is>
          <t>FULL SENSE</t>
        </is>
      </c>
      <c r="AT5" s="24" t="inlineStr">
        <is>
          <t>FULL SENSE</t>
        </is>
      </c>
      <c r="AU5" s="24" t="inlineStr">
        <is>
          <t>FULL SENSE</t>
        </is>
      </c>
      <c r="AV5" s="24" t="n"/>
      <c r="AW5" s="24" t="n"/>
      <c r="AX5" s="24" t="inlineStr">
        <is>
          <t>statistical_model</t>
        </is>
      </c>
      <c r="AY5" s="24" t="n"/>
      <c r="AZ5" s="24" t="inlineStr">
        <is>
          <t>shadow_qualified</t>
        </is>
      </c>
      <c r="BA5" s="24" t="inlineStr">
        <is>
          <t>8b020a3d72d15d0d6b9a3580f54f87b4bba53a58d9087c0149f9da2085413676</t>
        </is>
      </c>
      <c r="BB5" s="24" t="inlineStr">
        <is>
          <t>neutral_elo</t>
        </is>
      </c>
      <c r="BC5" s="24" t="inlineStr">
        <is>
          <t>valorant-tiered-elo-v5</t>
        </is>
      </c>
      <c r="BD5" s="24" t="inlineStr">
        <is>
          <t>8b020a3d72d15d0d6b9a3580f54f87b4bba53a58d9087c0149f9da2085413676</t>
        </is>
      </c>
      <c r="BE5" s="24" t="inlineStr">
        <is>
          <t>1</t>
        </is>
      </c>
      <c r="BF5" s="24" t="inlineStr">
        <is>
          <t>1</t>
        </is>
      </c>
      <c r="BG5" s="24" t="inlineStr">
        <is>
          <t>valorant-tiered-elo-v5</t>
        </is>
      </c>
      <c r="BH5" s="24" t="inlineStr">
        <is>
          <t>2026-08-01T10:23:13.032551Z</t>
        </is>
      </c>
      <c r="BI5" s="24" t="inlineStr">
        <is>
          <t>["same_event","same_team_same_day","same_league_same_day"]</t>
        </is>
      </c>
      <c r="BJ5" s="25" t="n"/>
      <c r="BK5" s="26" t="n">
        <v>-150</v>
      </c>
      <c r="BL5" s="27" t="n">
        <v>1.666667</v>
      </c>
      <c r="BM5" s="28" t="n">
        <v>0.6</v>
      </c>
      <c r="BN5" s="28" t="n"/>
      <c r="BO5" s="28" t="n"/>
      <c r="BP5" s="25" t="n"/>
      <c r="BQ5" s="27" t="n">
        <v>1.666667</v>
      </c>
      <c r="BR5" s="28" t="n">
        <v>0.6</v>
      </c>
      <c r="BS5" s="28" t="n"/>
      <c r="BT5" s="28" t="n"/>
      <c r="BU5" s="25" t="n"/>
      <c r="BV5" s="29" t="n"/>
      <c r="BW5" s="24" t="n"/>
      <c r="BX5" s="30" t="n"/>
      <c r="BY5" s="27" t="n"/>
      <c r="BZ5" s="24" t="n"/>
      <c r="CA5" s="31" t="n"/>
      <c r="CB5" s="24" t="n"/>
      <c r="CC5" s="24" t="n"/>
      <c r="CD5" s="24" t="n"/>
      <c r="CE5" s="24" t="n"/>
      <c r="CF5" s="24" t="n"/>
      <c r="CG5" s="24" t="n"/>
      <c r="CH5" s="24" t="n"/>
      <c r="CI5" s="24" t="n"/>
      <c r="CJ5" s="24" t="n"/>
      <c r="CK5" s="24" t="n"/>
      <c r="CL5" s="24" t="n"/>
      <c r="CM5" s="24" t="n"/>
      <c r="CN5" s="24" t="n"/>
      <c r="CO5" s="24" t="n"/>
      <c r="CP5" s="24" t="n"/>
      <c r="CQ5" s="24" t="n"/>
    </row>
    <row r="6" ht="36" customHeight="1">
      <c r="A6" s="24" t="inlineStr">
        <is>
          <t>67352456a8884132</t>
        </is>
      </c>
      <c r="B6" s="24" t="inlineStr">
        <is>
          <t>2026-08-01T13:46:54.819019Z</t>
        </is>
      </c>
      <c r="C6" s="24" t="inlineStr">
        <is>
          <t>2026-08-01T15:00:00Z</t>
        </is>
      </c>
      <c r="D6" s="24" t="inlineStr">
        <is>
          <t>65953</t>
        </is>
      </c>
      <c r="E6" s="24" t="inlineStr">
        <is>
          <t>VALORANT</t>
        </is>
      </c>
      <c r="F6" s="24" t="inlineStr">
        <is>
          <t>Team Vitality</t>
        </is>
      </c>
      <c r="G6" s="24" t="inlineStr">
        <is>
          <t>FUT Esports</t>
        </is>
      </c>
      <c r="H6" s="24" t="inlineStr">
        <is>
          <t>moneyline</t>
        </is>
      </c>
      <c r="I6" s="24" t="inlineStr">
        <is>
          <t>away</t>
        </is>
      </c>
      <c r="J6" s="25" t="n"/>
      <c r="K6" s="24" t="inlineStr">
        <is>
          <t>polymarket_us</t>
        </is>
      </c>
      <c r="L6" s="26" t="n">
        <v>-194</v>
      </c>
      <c r="M6" s="27" t="n">
        <v>1.515464</v>
      </c>
      <c r="N6" s="28" t="n">
        <v>0.659864</v>
      </c>
      <c r="O6" s="28" t="n">
        <v>0.566738</v>
      </c>
      <c r="P6" s="28" t="n"/>
      <c r="Q6" s="28" t="n">
        <v>-0.093126</v>
      </c>
      <c r="R6" s="26" t="n">
        <v>0</v>
      </c>
      <c r="S6" s="29" t="n">
        <v>1</v>
      </c>
      <c r="T6" s="24" t="inlineStr">
        <is>
          <t>valorant-tiered-elo-v5</t>
        </is>
      </c>
      <c r="U6" s="24" t="inlineStr">
        <is>
          <t>settled</t>
        </is>
      </c>
      <c r="V6" s="24" t="inlineStr">
        <is>
          <t>win</t>
        </is>
      </c>
      <c r="W6" s="26" t="n">
        <v>1</v>
      </c>
      <c r="X6" s="26" t="n">
        <v>0</v>
      </c>
      <c r="Y6" s="25" t="n"/>
      <c r="Z6" s="26" t="n">
        <v>-194</v>
      </c>
      <c r="AA6" s="28" t="n">
        <v>0.66</v>
      </c>
      <c r="AB6" s="28" t="n">
        <v>0.000136</v>
      </c>
      <c r="AC6" s="30" t="n">
        <v>0.5155</v>
      </c>
      <c r="AD6" s="24" t="inlineStr">
        <is>
          <t>2026-08-01T18:35:40.219599Z</t>
        </is>
      </c>
      <c r="AE6" s="31" t="inlineStr">
        <is>
          <t>Neutral Elo baseline; executable ask 0.6600 (market_slug=aec-valorant-fut-vit-2026-08-01).</t>
        </is>
      </c>
      <c r="AF6" s="31" t="inlineStr">
        <is>
          <t>Config-promoted esports baseline; gates enforced at log time.</t>
        </is>
      </c>
      <c r="AG6" s="24" t="inlineStr">
        <is>
          <t>not_applicable</t>
        </is>
      </c>
      <c r="AH6" s="24" t="n"/>
      <c r="AI6" s="31" t="n"/>
      <c r="AJ6" s="31" t="n"/>
      <c r="AK6" s="24" t="inlineStr">
        <is>
          <t>research_observation</t>
        </is>
      </c>
      <c r="AL6" s="26" t="n">
        <v>3</v>
      </c>
      <c r="AM6" s="24" t="inlineStr">
        <is>
          <t>RESEARCH_OBSERVATION</t>
        </is>
      </c>
      <c r="AN6" s="24" t="inlineStr">
        <is>
          <t>NO_CALL</t>
        </is>
      </c>
      <c r="AO6" s="24" t="inlineStr">
        <is>
          <t>NO_CALL_LOW_EDGE</t>
        </is>
      </c>
      <c r="AP6" s="24" t="inlineStr">
        <is>
          <t>Team Vitality</t>
        </is>
      </c>
      <c r="AQ6" s="24" t="inlineStr">
        <is>
          <t>Team Vitality</t>
        </is>
      </c>
      <c r="AR6" s="24" t="inlineStr">
        <is>
          <t>Team Vitality</t>
        </is>
      </c>
      <c r="AS6" s="24" t="inlineStr">
        <is>
          <t>FUT Esports</t>
        </is>
      </c>
      <c r="AT6" s="24" t="inlineStr">
        <is>
          <t>FUT Esports</t>
        </is>
      </c>
      <c r="AU6" s="24" t="inlineStr">
        <is>
          <t>FUT Esports</t>
        </is>
      </c>
      <c r="AV6" s="24" t="n"/>
      <c r="AW6" s="24" t="n"/>
      <c r="AX6" s="24" t="inlineStr">
        <is>
          <t>statistical_model</t>
        </is>
      </c>
      <c r="AY6" s="24" t="n"/>
      <c r="AZ6" s="24" t="inlineStr">
        <is>
          <t>shadow_qualified</t>
        </is>
      </c>
      <c r="BA6" s="24" t="inlineStr">
        <is>
          <t>5f7adb9e3af3e4b9370360107475e66be29da0c570d1ec14af5f7846257b6ab8</t>
        </is>
      </c>
      <c r="BB6" s="24" t="inlineStr">
        <is>
          <t>neutral_elo</t>
        </is>
      </c>
      <c r="BC6" s="24" t="inlineStr">
        <is>
          <t>valorant-tiered-elo-v5</t>
        </is>
      </c>
      <c r="BD6" s="24" t="inlineStr">
        <is>
          <t>5f7adb9e3af3e4b9370360107475e66be29da0c570d1ec14af5f7846257b6ab8</t>
        </is>
      </c>
      <c r="BE6" s="24" t="inlineStr">
        <is>
          <t>1</t>
        </is>
      </c>
      <c r="BF6" s="24" t="inlineStr">
        <is>
          <t>1</t>
        </is>
      </c>
      <c r="BG6" s="24" t="inlineStr">
        <is>
          <t>valorant-tiered-elo-v5</t>
        </is>
      </c>
      <c r="BH6" s="24" t="inlineStr">
        <is>
          <t>2026-08-01T13:46:50.499962Z</t>
        </is>
      </c>
      <c r="BI6" s="24" t="inlineStr">
        <is>
          <t>["same_event","same_team_same_day","same_league_same_day"]</t>
        </is>
      </c>
      <c r="BJ6" s="25" t="n"/>
      <c r="BK6" s="26" t="n">
        <v>-194</v>
      </c>
      <c r="BL6" s="27" t="n">
        <v>1.515464</v>
      </c>
      <c r="BM6" s="28" t="n">
        <v>0.659864</v>
      </c>
      <c r="BN6" s="28" t="n"/>
      <c r="BO6" s="28" t="n"/>
      <c r="BP6" s="25" t="n"/>
      <c r="BQ6" s="27" t="n">
        <v>1.515464</v>
      </c>
      <c r="BR6" s="28" t="n">
        <v>0.66</v>
      </c>
      <c r="BS6" s="28" t="n"/>
      <c r="BT6" s="28" t="n"/>
      <c r="BU6" s="25" t="n"/>
      <c r="BV6" s="29" t="n"/>
      <c r="BW6" s="24" t="n"/>
      <c r="BX6" s="30" t="n"/>
      <c r="BY6" s="27" t="n"/>
      <c r="BZ6" s="24" t="n"/>
      <c r="CA6" s="31" t="n"/>
      <c r="CB6" s="24" t="n"/>
      <c r="CC6" s="24" t="n"/>
      <c r="CD6" s="24" t="n"/>
      <c r="CE6" s="24" t="n"/>
      <c r="CF6" s="24" t="n"/>
      <c r="CG6" s="24" t="n"/>
      <c r="CH6" s="24" t="n"/>
      <c r="CI6" s="24" t="n"/>
      <c r="CJ6" s="24" t="n"/>
      <c r="CK6" s="24" t="n"/>
      <c r="CL6" s="24" t="n"/>
      <c r="CM6" s="24" t="n"/>
      <c r="CN6" s="24" t="n"/>
      <c r="CO6" s="24" t="n"/>
      <c r="CP6" s="24" t="n"/>
      <c r="CQ6" s="24" t="n"/>
    </row>
    <row r="7" ht="36" customHeight="1">
      <c r="A7" s="24" t="inlineStr">
        <is>
          <t>49d2571015064442</t>
        </is>
      </c>
      <c r="B7" s="24" t="inlineStr">
        <is>
          <t>2026-08-01T16:54:19.279565Z</t>
        </is>
      </c>
      <c r="C7" s="24" t="inlineStr">
        <is>
          <t>2026-08-01T18:00:00Z</t>
        </is>
      </c>
      <c r="D7" s="24" t="inlineStr">
        <is>
          <t>66138</t>
        </is>
      </c>
      <c r="E7" s="24" t="inlineStr">
        <is>
          <t>VALORANT</t>
        </is>
      </c>
      <c r="F7" s="24" t="inlineStr">
        <is>
          <t>Team Liquid</t>
        </is>
      </c>
      <c r="G7" s="24" t="inlineStr">
        <is>
          <t>Karmine Corp</t>
        </is>
      </c>
      <c r="H7" s="24" t="inlineStr">
        <is>
          <t>moneyline</t>
        </is>
      </c>
      <c r="I7" s="24" t="inlineStr">
        <is>
          <t>away</t>
        </is>
      </c>
      <c r="J7" s="25" t="n"/>
      <c r="K7" s="24" t="inlineStr">
        <is>
          <t>polymarket_us</t>
        </is>
      </c>
      <c r="L7" s="26" t="n">
        <v>-113</v>
      </c>
      <c r="M7" s="27" t="n">
        <v>1.884956</v>
      </c>
      <c r="N7" s="28" t="n">
        <v>0.530516</v>
      </c>
      <c r="O7" s="28" t="n">
        <v>0.500941</v>
      </c>
      <c r="P7" s="28" t="n"/>
      <c r="Q7" s="28" t="n">
        <v>-0.029575</v>
      </c>
      <c r="R7" s="26" t="n">
        <v>5</v>
      </c>
      <c r="S7" s="29" t="n">
        <v>1</v>
      </c>
      <c r="T7" s="24" t="inlineStr">
        <is>
          <t>valorant-tiered-elo-v5</t>
        </is>
      </c>
      <c r="U7" s="24" t="inlineStr">
        <is>
          <t>settled</t>
        </is>
      </c>
      <c r="V7" s="24" t="inlineStr">
        <is>
          <t>loss</t>
        </is>
      </c>
      <c r="W7" s="26" t="n">
        <v>0</v>
      </c>
      <c r="X7" s="26" t="n">
        <v>1</v>
      </c>
      <c r="Y7" s="25" t="n"/>
      <c r="Z7" s="26" t="n">
        <v>-113</v>
      </c>
      <c r="AA7" s="28" t="n">
        <v>0.53</v>
      </c>
      <c r="AB7" s="28" t="n">
        <v>-0.000516</v>
      </c>
      <c r="AC7" s="30" t="n">
        <v>-1</v>
      </c>
      <c r="AD7" s="24" t="inlineStr">
        <is>
          <t>2026-08-01T21:41:01.737935Z</t>
        </is>
      </c>
      <c r="AE7" s="31" t="inlineStr">
        <is>
          <t>Neutral Elo baseline; executable ask 0.5300 (market_slug=aec-valorant-kc-tl-2026-08-01).</t>
        </is>
      </c>
      <c r="AF7" s="31" t="inlineStr">
        <is>
          <t>Config-promoted esports baseline; gates enforced at log time.</t>
        </is>
      </c>
      <c r="AG7" s="24" t="inlineStr">
        <is>
          <t>review_required</t>
        </is>
      </c>
      <c r="AH7" s="24" t="n"/>
      <c r="AI7" s="31" t="n"/>
      <c r="AJ7" s="31" t="n"/>
      <c r="AK7" s="24" t="inlineStr">
        <is>
          <t>research_observation</t>
        </is>
      </c>
      <c r="AL7" s="26" t="n">
        <v>3</v>
      </c>
      <c r="AM7" s="24" t="inlineStr">
        <is>
          <t>RESEARCH_OBSERVATION</t>
        </is>
      </c>
      <c r="AN7" s="24" t="inlineStr">
        <is>
          <t>NO_CALL</t>
        </is>
      </c>
      <c r="AO7" s="24" t="inlineStr">
        <is>
          <t>NO_CALL_LOW_EDGE</t>
        </is>
      </c>
      <c r="AP7" s="24" t="inlineStr">
        <is>
          <t>Team Liquid</t>
        </is>
      </c>
      <c r="AQ7" s="24" t="inlineStr">
        <is>
          <t>Team Liquid</t>
        </is>
      </c>
      <c r="AR7" s="24" t="inlineStr">
        <is>
          <t>Team Liquid</t>
        </is>
      </c>
      <c r="AS7" s="24" t="inlineStr">
        <is>
          <t>Karmine Corp</t>
        </is>
      </c>
      <c r="AT7" s="24" t="inlineStr">
        <is>
          <t>Karmine Corp</t>
        </is>
      </c>
      <c r="AU7" s="24" t="inlineStr">
        <is>
          <t>Karmine Corp</t>
        </is>
      </c>
      <c r="AV7" s="24" t="n"/>
      <c r="AW7" s="24" t="n"/>
      <c r="AX7" s="24" t="inlineStr">
        <is>
          <t>statistical_model</t>
        </is>
      </c>
      <c r="AY7" s="24" t="n"/>
      <c r="AZ7" s="24" t="inlineStr">
        <is>
          <t>shadow_qualified</t>
        </is>
      </c>
      <c r="BA7" s="24" t="inlineStr">
        <is>
          <t>de211ba59b87f7f994811cc2b95e7fa0909c8c2bfb3ba4be0f9ef98b999ead5f</t>
        </is>
      </c>
      <c r="BB7" s="24" t="inlineStr">
        <is>
          <t>neutral_elo</t>
        </is>
      </c>
      <c r="BC7" s="24" t="inlineStr">
        <is>
          <t>valorant-tiered-elo-v5</t>
        </is>
      </c>
      <c r="BD7" s="24" t="inlineStr">
        <is>
          <t>de211ba59b87f7f994811cc2b95e7fa0909c8c2bfb3ba4be0f9ef98b999ead5f</t>
        </is>
      </c>
      <c r="BE7" s="24" t="inlineStr">
        <is>
          <t>1</t>
        </is>
      </c>
      <c r="BF7" s="24" t="inlineStr">
        <is>
          <t>1</t>
        </is>
      </c>
      <c r="BG7" s="24" t="inlineStr">
        <is>
          <t>valorant-tiered-elo-v5</t>
        </is>
      </c>
      <c r="BH7" s="24" t="inlineStr">
        <is>
          <t>2026-08-01T16:54:15.399177Z</t>
        </is>
      </c>
      <c r="BI7" s="24" t="inlineStr">
        <is>
          <t>["same_event","same_team_same_day","same_league_same_day"]</t>
        </is>
      </c>
      <c r="BJ7" s="25" t="n"/>
      <c r="BK7" s="26" t="n">
        <v>-113</v>
      </c>
      <c r="BL7" s="27" t="n">
        <v>1.884956</v>
      </c>
      <c r="BM7" s="28" t="n">
        <v>0.530516</v>
      </c>
      <c r="BN7" s="28" t="n"/>
      <c r="BO7" s="28" t="n"/>
      <c r="BP7" s="25" t="n"/>
      <c r="BQ7" s="27" t="n">
        <v>1.884956</v>
      </c>
      <c r="BR7" s="28" t="n">
        <v>0.53</v>
      </c>
      <c r="BS7" s="28" t="n"/>
      <c r="BT7" s="28" t="n"/>
      <c r="BU7" s="25" t="n"/>
      <c r="BV7" s="29" t="n"/>
      <c r="BW7" s="24" t="n"/>
      <c r="BX7" s="30" t="n"/>
      <c r="BY7" s="27" t="n"/>
      <c r="BZ7" s="24" t="n"/>
      <c r="CA7" s="31" t="n"/>
      <c r="CB7" s="24" t="n"/>
      <c r="CC7" s="24" t="n"/>
      <c r="CD7" s="24" t="n"/>
      <c r="CE7" s="24" t="n"/>
      <c r="CF7" s="24" t="n"/>
      <c r="CG7" s="24" t="n"/>
      <c r="CH7" s="24" t="n"/>
      <c r="CI7" s="24" t="n"/>
      <c r="CJ7" s="24" t="n"/>
      <c r="CK7" s="24" t="n"/>
      <c r="CL7" s="24" t="n"/>
      <c r="CM7" s="24" t="n"/>
      <c r="CN7" s="24" t="n"/>
      <c r="CO7" s="24" t="n"/>
      <c r="CP7" s="24" t="n"/>
      <c r="CQ7" s="24" t="n"/>
    </row>
    <row r="8" ht="36" customHeight="1">
      <c r="A8" s="24" t="inlineStr">
        <is>
          <t>f24cec6b572d41e6</t>
        </is>
      </c>
      <c r="B8" s="24" t="inlineStr">
        <is>
          <t>2026-08-01T23:55:04.278999Z</t>
        </is>
      </c>
      <c r="C8" s="24" t="inlineStr">
        <is>
          <t>2026-08-02T00:00:00Z</t>
        </is>
      </c>
      <c r="D8" s="24" t="inlineStr">
        <is>
          <t>66659</t>
        </is>
      </c>
      <c r="E8" s="24" t="inlineStr">
        <is>
          <t>VALORANT</t>
        </is>
      </c>
      <c r="F8" s="24" t="inlineStr">
        <is>
          <t>NRG</t>
        </is>
      </c>
      <c r="G8" s="24" t="inlineStr">
        <is>
          <t>Leviatán Esports</t>
        </is>
      </c>
      <c r="H8" s="24" t="inlineStr">
        <is>
          <t>moneyline</t>
        </is>
      </c>
      <c r="I8" s="24" t="inlineStr">
        <is>
          <t>home</t>
        </is>
      </c>
      <c r="J8" s="25" t="n"/>
      <c r="K8" s="24" t="inlineStr">
        <is>
          <t>polymarket_us</t>
        </is>
      </c>
      <c r="L8" s="26" t="n">
        <v>-138</v>
      </c>
      <c r="M8" s="27" t="n">
        <v>1.724638</v>
      </c>
      <c r="N8" s="28" t="n">
        <v>0.579832</v>
      </c>
      <c r="O8" s="28" t="n">
        <v>0.608104</v>
      </c>
      <c r="P8" s="28" t="n"/>
      <c r="Q8" s="28" t="n">
        <v>0.028272</v>
      </c>
      <c r="R8" s="26" t="n">
        <v>34</v>
      </c>
      <c r="S8" s="29" t="n">
        <v>1.5</v>
      </c>
      <c r="T8" s="24" t="inlineStr">
        <is>
          <t>valorant-tiered-elo-v5</t>
        </is>
      </c>
      <c r="U8" s="24" t="inlineStr">
        <is>
          <t>settled</t>
        </is>
      </c>
      <c r="V8" s="24" t="inlineStr">
        <is>
          <t>loss</t>
        </is>
      </c>
      <c r="W8" s="26" t="n">
        <v>1</v>
      </c>
      <c r="X8" s="26" t="n">
        <v>0</v>
      </c>
      <c r="Y8" s="25" t="n"/>
      <c r="Z8" s="26" t="n">
        <v>-138</v>
      </c>
      <c r="AA8" s="28" t="n">
        <v>0.58</v>
      </c>
      <c r="AB8" s="28" t="n">
        <v>0.000168</v>
      </c>
      <c r="AC8" s="30" t="n">
        <v>-1.5</v>
      </c>
      <c r="AD8" s="24" t="inlineStr">
        <is>
          <t>2026-08-02T04:26:23.368285Z</t>
        </is>
      </c>
      <c r="AE8" s="31" t="inlineStr">
        <is>
          <t>Neutral Elo baseline; executable ask 0.5800 (market_slug=aec-valorant-lev-nrg-2026-08-02).</t>
        </is>
      </c>
      <c r="AF8" s="31" t="inlineStr">
        <is>
          <t>Config-promoted esports baseline; gates enforced at log time.</t>
        </is>
      </c>
      <c r="AG8" s="24" t="inlineStr">
        <is>
          <t>review_required</t>
        </is>
      </c>
      <c r="AH8" s="24" t="n"/>
      <c r="AI8" s="31" t="n"/>
      <c r="AJ8" s="31" t="n"/>
      <c r="AK8" s="24" t="inlineStr">
        <is>
          <t>model_qualified</t>
        </is>
      </c>
      <c r="AL8" s="26" t="n">
        <v>3</v>
      </c>
      <c r="AM8" s="24" t="inlineStr">
        <is>
          <t>QUALIFIED_SHADOW_CALL</t>
        </is>
      </c>
      <c r="AN8" s="24" t="inlineStr">
        <is>
          <t>CALL</t>
        </is>
      </c>
      <c r="AO8" s="24" t="inlineStr">
        <is>
          <t>QUALIFIED</t>
        </is>
      </c>
      <c r="AP8" s="24" t="inlineStr">
        <is>
          <t>NRG</t>
        </is>
      </c>
      <c r="AQ8" s="24" t="inlineStr">
        <is>
          <t>NRG</t>
        </is>
      </c>
      <c r="AR8" s="24" t="inlineStr">
        <is>
          <t>NRG</t>
        </is>
      </c>
      <c r="AS8" s="24" t="inlineStr">
        <is>
          <t>Leviatán Esports</t>
        </is>
      </c>
      <c r="AT8" s="24" t="inlineStr">
        <is>
          <t>Leviatán Esports</t>
        </is>
      </c>
      <c r="AU8" s="24" t="inlineStr">
        <is>
          <t>Leviatán Esports</t>
        </is>
      </c>
      <c r="AV8" s="24" t="n"/>
      <c r="AW8" s="24" t="n"/>
      <c r="AX8" s="24" t="inlineStr">
        <is>
          <t>statistical_model</t>
        </is>
      </c>
      <c r="AY8" s="24" t="n"/>
      <c r="AZ8" s="24" t="inlineStr">
        <is>
          <t>shadow_qualified</t>
        </is>
      </c>
      <c r="BA8" s="24" t="inlineStr">
        <is>
          <t>4e9833fa3108f9876de728871233bbb749924096e4b6984ae7ee11ff9d8be0d1</t>
        </is>
      </c>
      <c r="BB8" s="24" t="inlineStr">
        <is>
          <t>neutral_elo</t>
        </is>
      </c>
      <c r="BC8" s="24" t="inlineStr">
        <is>
          <t>valorant-tiered-elo-v5</t>
        </is>
      </c>
      <c r="BD8" s="24" t="inlineStr">
        <is>
          <t>4e9833fa3108f9876de728871233bbb749924096e4b6984ae7ee11ff9d8be0d1</t>
        </is>
      </c>
      <c r="BE8" s="24" t="inlineStr">
        <is>
          <t>1</t>
        </is>
      </c>
      <c r="BF8" s="24" t="inlineStr">
        <is>
          <t>1</t>
        </is>
      </c>
      <c r="BG8" s="24" t="inlineStr">
        <is>
          <t>valorant-tiered-elo-v5</t>
        </is>
      </c>
      <c r="BH8" s="24" t="inlineStr">
        <is>
          <t>2026-08-01T23:55:01.262855Z</t>
        </is>
      </c>
      <c r="BI8" s="24" t="inlineStr">
        <is>
          <t>["same_event","same_team_same_day","same_league_same_day"]</t>
        </is>
      </c>
      <c r="BJ8" s="25" t="n"/>
      <c r="BK8" s="26" t="n">
        <v>-138</v>
      </c>
      <c r="BL8" s="27" t="n">
        <v>1.724638</v>
      </c>
      <c r="BM8" s="28" t="n">
        <v>0.579832</v>
      </c>
      <c r="BN8" s="28" t="n"/>
      <c r="BO8" s="28" t="n"/>
      <c r="BP8" s="25" t="n"/>
      <c r="BQ8" s="27" t="n">
        <v>1.724638</v>
      </c>
      <c r="BR8" s="28" t="n">
        <v>0.58</v>
      </c>
      <c r="BS8" s="28" t="n"/>
      <c r="BT8" s="28" t="n"/>
      <c r="BU8" s="25" t="n"/>
      <c r="BV8" s="29" t="n"/>
      <c r="BW8" s="24" t="n"/>
      <c r="BX8" s="30" t="n"/>
      <c r="BY8" s="27" t="n"/>
      <c r="BZ8" s="24" t="n"/>
      <c r="CA8" s="31" t="n"/>
      <c r="CB8" s="24" t="n"/>
      <c r="CC8" s="24" t="n"/>
      <c r="CD8" s="24" t="n"/>
      <c r="CE8" s="24" t="n"/>
      <c r="CF8" s="24" t="n"/>
      <c r="CG8" s="24" t="n"/>
      <c r="CH8" s="24" t="n"/>
      <c r="CI8" s="24" t="n"/>
      <c r="CJ8" s="24" t="n"/>
      <c r="CK8" s="24" t="n"/>
      <c r="CL8" s="24" t="n"/>
      <c r="CM8" s="24" t="n"/>
      <c r="CN8" s="24" t="n"/>
      <c r="CO8" s="24" t="n"/>
      <c r="CP8" s="24" t="n"/>
      <c r="CQ8" s="24" t="n"/>
    </row>
    <row r="9" ht="36" customHeight="1">
      <c r="A9" s="24" t="inlineStr">
        <is>
          <t>f5ae220015ea4850</t>
        </is>
      </c>
      <c r="B9" s="24" t="inlineStr">
        <is>
          <t>2026-08-02T07:16:42.752833Z</t>
        </is>
      </c>
      <c r="C9" s="24" t="inlineStr">
        <is>
          <t>2026-08-02T08:00:00Z</t>
        </is>
      </c>
      <c r="D9" s="24" t="inlineStr">
        <is>
          <t>66788</t>
        </is>
      </c>
      <c r="E9" s="24" t="inlineStr">
        <is>
          <t>VALORANT</t>
        </is>
      </c>
      <c r="F9" s="24" t="inlineStr">
        <is>
          <t>Kiwoom DRX</t>
        </is>
      </c>
      <c r="G9" s="24" t="inlineStr">
        <is>
          <t>VARREL</t>
        </is>
      </c>
      <c r="H9" s="24" t="inlineStr">
        <is>
          <t>moneyline</t>
        </is>
      </c>
      <c r="I9" s="24" t="inlineStr">
        <is>
          <t>away</t>
        </is>
      </c>
      <c r="J9" s="25" t="n"/>
      <c r="K9" s="24" t="inlineStr">
        <is>
          <t>polymarket_us</t>
        </is>
      </c>
      <c r="L9" s="26" t="n">
        <v>-150</v>
      </c>
      <c r="M9" s="27" t="n">
        <v>1.666667</v>
      </c>
      <c r="N9" s="28" t="n">
        <v>0.6</v>
      </c>
      <c r="O9" s="28" t="n">
        <v>0.676998</v>
      </c>
      <c r="P9" s="28" t="n"/>
      <c r="Q9" s="28" t="n">
        <v>0.076998</v>
      </c>
      <c r="R9" s="26" t="n">
        <v>58</v>
      </c>
      <c r="S9" s="29" t="n">
        <v>1.75</v>
      </c>
      <c r="T9" s="24" t="inlineStr">
        <is>
          <t>valorant-tiered-elo-v5</t>
        </is>
      </c>
      <c r="U9" s="24" t="inlineStr">
        <is>
          <t>settled</t>
        </is>
      </c>
      <c r="V9" s="24" t="inlineStr">
        <is>
          <t>loss</t>
        </is>
      </c>
      <c r="W9" s="26" t="n">
        <v>0</v>
      </c>
      <c r="X9" s="26" t="n">
        <v>1</v>
      </c>
      <c r="Y9" s="25" t="n"/>
      <c r="Z9" s="26" t="n">
        <v>-150</v>
      </c>
      <c r="AA9" s="28" t="n">
        <v>0.6</v>
      </c>
      <c r="AB9" s="28" t="n">
        <v>0</v>
      </c>
      <c r="AC9" s="30" t="n">
        <v>-1.75</v>
      </c>
      <c r="AD9" s="24" t="inlineStr">
        <is>
          <t>2026-08-02T11:45:29.283046Z</t>
        </is>
      </c>
      <c r="AE9" s="31" t="inlineStr">
        <is>
          <t>Neutral Elo baseline; executable ask 0.6000 (market_slug=aec-valorant-var-krx-2026-08-02).</t>
        </is>
      </c>
      <c r="AF9" s="31" t="inlineStr">
        <is>
          <t>Config-promoted esports baseline; gates enforced at log time.</t>
        </is>
      </c>
      <c r="AG9" s="24" t="inlineStr">
        <is>
          <t>review_required</t>
        </is>
      </c>
      <c r="AH9" s="24" t="n"/>
      <c r="AI9" s="31" t="n"/>
      <c r="AJ9" s="31" t="n"/>
      <c r="AK9" s="24" t="inlineStr">
        <is>
          <t>model_qualified</t>
        </is>
      </c>
      <c r="AL9" s="26" t="n">
        <v>3</v>
      </c>
      <c r="AM9" s="24" t="inlineStr">
        <is>
          <t>QUALIFIED_SHADOW_CALL</t>
        </is>
      </c>
      <c r="AN9" s="24" t="inlineStr">
        <is>
          <t>CALL</t>
        </is>
      </c>
      <c r="AO9" s="24" t="inlineStr">
        <is>
          <t>QUALIFIED</t>
        </is>
      </c>
      <c r="AP9" s="24" t="inlineStr">
        <is>
          <t>Kiwoom DRX</t>
        </is>
      </c>
      <c r="AQ9" s="24" t="inlineStr">
        <is>
          <t>Kiwoom DRX</t>
        </is>
      </c>
      <c r="AR9" s="24" t="inlineStr">
        <is>
          <t>Kiwoom DRX</t>
        </is>
      </c>
      <c r="AS9" s="24" t="inlineStr">
        <is>
          <t>VARREL</t>
        </is>
      </c>
      <c r="AT9" s="24" t="inlineStr">
        <is>
          <t>VARREL</t>
        </is>
      </c>
      <c r="AU9" s="24" t="inlineStr">
        <is>
          <t>VARREL</t>
        </is>
      </c>
      <c r="AV9" s="24" t="n"/>
      <c r="AW9" s="24" t="n"/>
      <c r="AX9" s="24" t="inlineStr">
        <is>
          <t>statistical_model</t>
        </is>
      </c>
      <c r="AY9" s="24" t="n"/>
      <c r="AZ9" s="24" t="inlineStr">
        <is>
          <t>shadow_qualified</t>
        </is>
      </c>
      <c r="BA9" s="24" t="inlineStr">
        <is>
          <t>f7ffe38e2a3b5170b3b9b10a398835b3cdb1a4df5cfd051a3ffa836bf9de2c76</t>
        </is>
      </c>
      <c r="BB9" s="24" t="inlineStr">
        <is>
          <t>neutral_elo</t>
        </is>
      </c>
      <c r="BC9" s="24" t="inlineStr">
        <is>
          <t>valorant-tiered-elo-v5</t>
        </is>
      </c>
      <c r="BD9" s="24" t="inlineStr">
        <is>
          <t>f7ffe38e2a3b5170b3b9b10a398835b3cdb1a4df5cfd051a3ffa836bf9de2c76</t>
        </is>
      </c>
      <c r="BE9" s="24" t="inlineStr">
        <is>
          <t>1</t>
        </is>
      </c>
      <c r="BF9" s="24" t="inlineStr">
        <is>
          <t>1</t>
        </is>
      </c>
      <c r="BG9" s="24" t="inlineStr">
        <is>
          <t>valorant-tiered-elo-v5</t>
        </is>
      </c>
      <c r="BH9" s="24" t="inlineStr">
        <is>
          <t>2026-08-02T07:16:34.729300Z</t>
        </is>
      </c>
      <c r="BI9" s="24" t="inlineStr">
        <is>
          <t>["same_event","same_team_same_day","same_league_same_day"]</t>
        </is>
      </c>
      <c r="BJ9" s="25" t="n"/>
      <c r="BK9" s="26" t="n">
        <v>-150</v>
      </c>
      <c r="BL9" s="27" t="n">
        <v>1.666667</v>
      </c>
      <c r="BM9" s="28" t="n">
        <v>0.6</v>
      </c>
      <c r="BN9" s="28" t="n"/>
      <c r="BO9" s="28" t="n"/>
      <c r="BP9" s="25" t="n"/>
      <c r="BQ9" s="27" t="n">
        <v>1.666667</v>
      </c>
      <c r="BR9" s="28" t="n">
        <v>0.6</v>
      </c>
      <c r="BS9" s="28" t="n"/>
      <c r="BT9" s="28" t="n"/>
      <c r="BU9" s="25" t="n"/>
      <c r="BV9" s="29" t="n"/>
      <c r="BW9" s="24" t="n"/>
      <c r="BX9" s="30" t="n"/>
      <c r="BY9" s="27" t="n"/>
      <c r="BZ9" s="24" t="n"/>
      <c r="CA9" s="31" t="n"/>
      <c r="CB9" s="24" t="n"/>
      <c r="CC9" s="24" t="n"/>
      <c r="CD9" s="24" t="n"/>
      <c r="CE9" s="24" t="n"/>
      <c r="CF9" s="24" t="n"/>
      <c r="CG9" s="24" t="n"/>
      <c r="CH9" s="24" t="n"/>
      <c r="CI9" s="24" t="n"/>
      <c r="CJ9" s="24" t="n"/>
      <c r="CK9" s="24" t="n"/>
      <c r="CL9" s="24" t="n"/>
      <c r="CM9" s="24" t="n"/>
      <c r="CN9" s="24" t="n"/>
      <c r="CO9" s="24" t="n"/>
      <c r="CP9" s="24" t="n"/>
      <c r="CQ9" s="24" t="n"/>
    </row>
    <row r="10" ht="36" customHeight="1">
      <c r="A10" s="24" t="inlineStr">
        <is>
          <t>94ceb126079549cb</t>
        </is>
      </c>
      <c r="B10" s="24" t="inlineStr">
        <is>
          <t>2026-08-02T17:48:56.490286Z</t>
        </is>
      </c>
      <c r="C10" s="24" t="inlineStr">
        <is>
          <t>2026-08-02T18:00:00Z</t>
        </is>
      </c>
      <c r="D10" s="24" t="inlineStr">
        <is>
          <t>66957</t>
        </is>
      </c>
      <c r="E10" s="24" t="inlineStr">
        <is>
          <t>VALORANT</t>
        </is>
      </c>
      <c r="F10" s="24" t="inlineStr">
        <is>
          <t>Team Heretics</t>
        </is>
      </c>
      <c r="G10" s="24" t="inlineStr">
        <is>
          <t>Fnatic</t>
        </is>
      </c>
      <c r="H10" s="24" t="inlineStr">
        <is>
          <t>moneyline</t>
        </is>
      </c>
      <c r="I10" s="24" t="inlineStr">
        <is>
          <t>away</t>
        </is>
      </c>
      <c r="J10" s="25" t="n"/>
      <c r="K10" s="24" t="inlineStr">
        <is>
          <t>polymarket_us</t>
        </is>
      </c>
      <c r="L10" s="26" t="n">
        <v>-127</v>
      </c>
      <c r="M10" s="27" t="n">
        <v>1.787402</v>
      </c>
      <c r="N10" s="28" t="n">
        <v>0.5594710000000001</v>
      </c>
      <c r="O10" s="28" t="n">
        <v>0.537865</v>
      </c>
      <c r="P10" s="28" t="n"/>
      <c r="Q10" s="28" t="n">
        <v>-0.021606</v>
      </c>
      <c r="R10" s="26" t="n">
        <v>9</v>
      </c>
      <c r="S10" s="29" t="n">
        <v>1</v>
      </c>
      <c r="T10" s="24" t="inlineStr">
        <is>
          <t>valorant-tiered-elo-v5</t>
        </is>
      </c>
      <c r="U10" s="24" t="inlineStr">
        <is>
          <t>settled</t>
        </is>
      </c>
      <c r="V10" s="24" t="inlineStr">
        <is>
          <t>win</t>
        </is>
      </c>
      <c r="W10" s="26" t="n">
        <v>1</v>
      </c>
      <c r="X10" s="26" t="n">
        <v>0</v>
      </c>
      <c r="Y10" s="25" t="n"/>
      <c r="Z10" s="26" t="n">
        <v>-127</v>
      </c>
      <c r="AA10" s="28" t="n">
        <v>0.5600000000000001</v>
      </c>
      <c r="AB10" s="28" t="n">
        <v>0.000529</v>
      </c>
      <c r="AC10" s="30" t="n">
        <v>0.7874</v>
      </c>
      <c r="AD10" s="24" t="inlineStr">
        <is>
          <t>2026-08-02T23:13:22.740323Z</t>
        </is>
      </c>
      <c r="AE10" s="31" t="inlineStr">
        <is>
          <t>Neutral Elo baseline; executable ask 0.5600 (market_slug=aec-valorant-fnc-th-2026-08-02).</t>
        </is>
      </c>
      <c r="AF10" s="31" t="inlineStr">
        <is>
          <t>Config-promoted esports baseline; gates enforced at log time.</t>
        </is>
      </c>
      <c r="AG10" s="24" t="inlineStr">
        <is>
          <t>not_applicable</t>
        </is>
      </c>
      <c r="AH10" s="24" t="n"/>
      <c r="AI10" s="31" t="n"/>
      <c r="AJ10" s="31" t="n"/>
      <c r="AK10" s="24" t="inlineStr">
        <is>
          <t>research_observation</t>
        </is>
      </c>
      <c r="AL10" s="26" t="n">
        <v>3</v>
      </c>
      <c r="AM10" s="24" t="inlineStr">
        <is>
          <t>RESEARCH_OBSERVATION</t>
        </is>
      </c>
      <c r="AN10" s="24" t="inlineStr">
        <is>
          <t>NO_CALL</t>
        </is>
      </c>
      <c r="AO10" s="24" t="inlineStr">
        <is>
          <t>NO_CALL_LOW_EDGE</t>
        </is>
      </c>
      <c r="AP10" s="24" t="inlineStr">
        <is>
          <t>Team Heretics</t>
        </is>
      </c>
      <c r="AQ10" s="24" t="inlineStr">
        <is>
          <t>Team Heretics</t>
        </is>
      </c>
      <c r="AR10" s="24" t="inlineStr">
        <is>
          <t>Team Heretics</t>
        </is>
      </c>
      <c r="AS10" s="24" t="inlineStr">
        <is>
          <t>Fnatic</t>
        </is>
      </c>
      <c r="AT10" s="24" t="inlineStr">
        <is>
          <t>Fnatic</t>
        </is>
      </c>
      <c r="AU10" s="24" t="inlineStr">
        <is>
          <t>Fnatic</t>
        </is>
      </c>
      <c r="AV10" s="24" t="n"/>
      <c r="AW10" s="24" t="n"/>
      <c r="AX10" s="24" t="inlineStr">
        <is>
          <t>statistical_model</t>
        </is>
      </c>
      <c r="AY10" s="24" t="n"/>
      <c r="AZ10" s="24" t="inlineStr">
        <is>
          <t>shadow_qualified</t>
        </is>
      </c>
      <c r="BA10" s="24" t="inlineStr">
        <is>
          <t>58e5b3721cf8906aae10d08de8cbb41fd662d66dfb5fe49c8d3ab04bb0741ed6</t>
        </is>
      </c>
      <c r="BB10" s="24" t="inlineStr">
        <is>
          <t>neutral_elo</t>
        </is>
      </c>
      <c r="BC10" s="24" t="inlineStr">
        <is>
          <t>valorant-tiered-elo-v5</t>
        </is>
      </c>
      <c r="BD10" s="24" t="inlineStr">
        <is>
          <t>58e5b3721cf8906aae10d08de8cbb41fd662d66dfb5fe49c8d3ab04bb0741ed6</t>
        </is>
      </c>
      <c r="BE10" s="24" t="inlineStr">
        <is>
          <t>1</t>
        </is>
      </c>
      <c r="BF10" s="24" t="inlineStr">
        <is>
          <t>1</t>
        </is>
      </c>
      <c r="BG10" s="24" t="inlineStr">
        <is>
          <t>valorant-tiered-elo-v5</t>
        </is>
      </c>
      <c r="BH10" s="24" t="inlineStr">
        <is>
          <t>2026-08-02T17:48:49.680825Z</t>
        </is>
      </c>
      <c r="BI10" s="24" t="inlineStr">
        <is>
          <t>["same_event","same_team_same_day","same_league_same_day"]</t>
        </is>
      </c>
      <c r="BJ10" s="25" t="n"/>
      <c r="BK10" s="26" t="n">
        <v>-127</v>
      </c>
      <c r="BL10" s="27" t="n">
        <v>1.787402</v>
      </c>
      <c r="BM10" s="28" t="n">
        <v>0.5594710000000001</v>
      </c>
      <c r="BN10" s="28" t="n"/>
      <c r="BO10" s="28" t="n"/>
      <c r="BP10" s="25" t="n"/>
      <c r="BQ10" s="27" t="n">
        <v>1.787402</v>
      </c>
      <c r="BR10" s="28" t="n">
        <v>0.5600000000000001</v>
      </c>
      <c r="BS10" s="28" t="n"/>
      <c r="BT10" s="28" t="n"/>
      <c r="BU10" s="25" t="n"/>
      <c r="BV10" s="29" t="n"/>
      <c r="BW10" s="24" t="n"/>
      <c r="BX10" s="30" t="n"/>
      <c r="BY10" s="27" t="n"/>
      <c r="BZ10" s="24" t="n"/>
      <c r="CA10" s="31" t="n"/>
      <c r="CB10" s="24" t="n"/>
      <c r="CC10" s="24" t="n"/>
      <c r="CD10" s="24" t="n"/>
      <c r="CE10" s="24" t="n"/>
      <c r="CF10" s="24" t="n"/>
      <c r="CG10" s="24" t="n"/>
      <c r="CH10" s="24" t="n"/>
      <c r="CI10" s="24" t="n"/>
      <c r="CJ10" s="24" t="n"/>
      <c r="CK10" s="24" t="n"/>
      <c r="CL10" s="24" t="n"/>
      <c r="CM10" s="24" t="n"/>
      <c r="CN10" s="24" t="n"/>
      <c r="CO10" s="24" t="n"/>
      <c r="CP10" s="24" t="n"/>
      <c r="CQ10" s="24" t="inlineStr">
        <is>
          <t>False</t>
        </is>
      </c>
    </row>
    <row r="11" ht="36" customHeight="1">
      <c r="A11" s="24" t="inlineStr">
        <is>
          <t>97e1abd6e51442d7</t>
        </is>
      </c>
      <c r="B11" s="24" t="inlineStr">
        <is>
          <t>2026-08-02T19:32:17.298754Z</t>
        </is>
      </c>
      <c r="C11" s="24" t="inlineStr">
        <is>
          <t>2026-08-02T21:00:00Z</t>
        </is>
      </c>
      <c r="D11" s="24" t="inlineStr">
        <is>
          <t>67311</t>
        </is>
      </c>
      <c r="E11" s="24" t="inlineStr">
        <is>
          <t>VALORANT</t>
        </is>
      </c>
      <c r="F11" s="24" t="inlineStr">
        <is>
          <t>KRÜ Esports</t>
        </is>
      </c>
      <c r="G11" s="24" t="inlineStr">
        <is>
          <t>Cloud9</t>
        </is>
      </c>
      <c r="H11" s="24" t="inlineStr">
        <is>
          <t>moneyline</t>
        </is>
      </c>
      <c r="I11" s="24" t="inlineStr">
        <is>
          <t>home</t>
        </is>
      </c>
      <c r="J11" s="25" t="n"/>
      <c r="K11" s="24" t="inlineStr">
        <is>
          <t>polymarket_us</t>
        </is>
      </c>
      <c r="L11" s="26" t="n">
        <v>144</v>
      </c>
      <c r="M11" s="27" t="n">
        <v>2.44</v>
      </c>
      <c r="N11" s="28" t="n">
        <v>0.409836</v>
      </c>
      <c r="O11" s="28" t="n">
        <v>0.518775</v>
      </c>
      <c r="P11" s="28" t="n"/>
      <c r="Q11" s="28" t="n">
        <v>0.108939</v>
      </c>
      <c r="R11" s="26" t="n">
        <v>74</v>
      </c>
      <c r="S11" s="29" t="n">
        <v>1</v>
      </c>
      <c r="T11" s="24" t="inlineStr">
        <is>
          <t>valorant-tiered-elo-v5</t>
        </is>
      </c>
      <c r="U11" s="24" t="inlineStr">
        <is>
          <t>settled</t>
        </is>
      </c>
      <c r="V11" s="24" t="inlineStr">
        <is>
          <t>win</t>
        </is>
      </c>
      <c r="W11" s="26" t="n">
        <v>0</v>
      </c>
      <c r="X11" s="26" t="n">
        <v>1</v>
      </c>
      <c r="Y11" s="25" t="n"/>
      <c r="Z11" s="26" t="n">
        <v>144</v>
      </c>
      <c r="AA11" s="28" t="n">
        <v>0.41</v>
      </c>
      <c r="AB11" s="28" t="n">
        <v>0.000164</v>
      </c>
      <c r="AC11" s="30" t="n">
        <v>1.44</v>
      </c>
      <c r="AD11" s="24" t="inlineStr">
        <is>
          <t>2026-08-02T23:13:23.977752Z</t>
        </is>
      </c>
      <c r="AE11" s="31" t="inlineStr">
        <is>
          <t>Neutral Elo baseline; executable ask 0.4100 (market_slug=aec-valorant-c9-kr-2026-08-02).</t>
        </is>
      </c>
      <c r="AF11" s="31" t="inlineStr">
        <is>
          <t>Config-promoted esports baseline; gates enforced at log time.</t>
        </is>
      </c>
      <c r="AG11" s="24" t="inlineStr">
        <is>
          <t>not_applicable</t>
        </is>
      </c>
      <c r="AH11" s="24" t="n"/>
      <c r="AI11" s="31" t="n"/>
      <c r="AJ11" s="31" t="n"/>
      <c r="AK11" s="24" t="inlineStr">
        <is>
          <t>research_observation</t>
        </is>
      </c>
      <c r="AL11" s="26" t="n">
        <v>3</v>
      </c>
      <c r="AM11" s="24" t="inlineStr">
        <is>
          <t>RESEARCH_OBSERVATION</t>
        </is>
      </c>
      <c r="AN11" s="24" t="inlineStr">
        <is>
          <t>NO_CALL</t>
        </is>
      </c>
      <c r="AO11" s="24" t="inlineStr">
        <is>
          <t>NO_CALL_LOW_EDGE</t>
        </is>
      </c>
      <c r="AP11" s="24" t="inlineStr">
        <is>
          <t>KRÜ Esports</t>
        </is>
      </c>
      <c r="AQ11" s="24" t="inlineStr">
        <is>
          <t>KRÜ Esports</t>
        </is>
      </c>
      <c r="AR11" s="24" t="inlineStr">
        <is>
          <t>KRÜ Esports</t>
        </is>
      </c>
      <c r="AS11" s="24" t="inlineStr">
        <is>
          <t>Cloud9</t>
        </is>
      </c>
      <c r="AT11" s="24" t="inlineStr">
        <is>
          <t>Cloud9</t>
        </is>
      </c>
      <c r="AU11" s="24" t="inlineStr">
        <is>
          <t>Cloud9</t>
        </is>
      </c>
      <c r="AV11" s="24" t="n"/>
      <c r="AW11" s="24" t="n"/>
      <c r="AX11" s="24" t="inlineStr">
        <is>
          <t>statistical_model</t>
        </is>
      </c>
      <c r="AY11" s="24" t="n"/>
      <c r="AZ11" s="24" t="inlineStr">
        <is>
          <t>shadow_qualified</t>
        </is>
      </c>
      <c r="BA11" s="24" t="inlineStr">
        <is>
          <t>c4c53479d60e7fd116280c4ec0788bb856af372afb2da0dd70796fd41ac0b643</t>
        </is>
      </c>
      <c r="BB11" s="24" t="inlineStr">
        <is>
          <t>neutral_elo</t>
        </is>
      </c>
      <c r="BC11" s="24" t="inlineStr">
        <is>
          <t>valorant-tiered-elo-v5</t>
        </is>
      </c>
      <c r="BD11" s="24" t="inlineStr">
        <is>
          <t>c4c53479d60e7fd116280c4ec0788bb856af372afb2da0dd70796fd41ac0b643</t>
        </is>
      </c>
      <c r="BE11" s="24" t="inlineStr">
        <is>
          <t>1</t>
        </is>
      </c>
      <c r="BF11" s="24" t="inlineStr">
        <is>
          <t>1</t>
        </is>
      </c>
      <c r="BG11" s="24" t="inlineStr">
        <is>
          <t>valorant-tiered-elo-v5</t>
        </is>
      </c>
      <c r="BH11" s="24" t="inlineStr">
        <is>
          <t>2026-08-02T19:32:11.428763Z</t>
        </is>
      </c>
      <c r="BI11" s="24" t="inlineStr">
        <is>
          <t>["same_event","same_team_same_day","same_league_same_day"]</t>
        </is>
      </c>
      <c r="BJ11" s="25" t="n"/>
      <c r="BK11" s="26" t="n">
        <v>144</v>
      </c>
      <c r="BL11" s="27" t="n">
        <v>2.44</v>
      </c>
      <c r="BM11" s="28" t="n">
        <v>0.409836</v>
      </c>
      <c r="BN11" s="28" t="n"/>
      <c r="BO11" s="28" t="n"/>
      <c r="BP11" s="25" t="n"/>
      <c r="BQ11" s="27" t="n">
        <v>2.44</v>
      </c>
      <c r="BR11" s="28" t="n">
        <v>0.41</v>
      </c>
      <c r="BS11" s="28" t="n"/>
      <c r="BT11" s="28" t="n"/>
      <c r="BU11" s="25" t="n"/>
      <c r="BV11" s="29" t="n"/>
      <c r="BW11" s="24" t="n"/>
      <c r="BX11" s="30" t="n"/>
      <c r="BY11" s="27" t="n"/>
      <c r="BZ11" s="24" t="n"/>
      <c r="CA11" s="31" t="n"/>
      <c r="CB11" s="24" t="n"/>
      <c r="CC11" s="24" t="n"/>
      <c r="CD11" s="24" t="n"/>
      <c r="CE11" s="24" t="n"/>
      <c r="CF11" s="24" t="n"/>
      <c r="CG11" s="24" t="n"/>
      <c r="CH11" s="24" t="n"/>
      <c r="CI11" s="24" t="n"/>
      <c r="CJ11" s="24" t="n"/>
      <c r="CK11" s="24" t="n"/>
      <c r="CL11" s="24" t="n"/>
      <c r="CM11" s="24" t="n"/>
      <c r="CN11" s="24" t="n"/>
      <c r="CO11" s="24" t="n"/>
      <c r="CP11" s="24" t="n"/>
      <c r="CQ11" s="24" t="inlineStr">
        <is>
          <t>True</t>
        </is>
      </c>
    </row>
    <row r="12" ht="36" customHeight="1">
      <c r="A12" s="24" t="inlineStr">
        <is>
          <t>f523171e5677438d</t>
        </is>
      </c>
      <c r="B12" s="24" t="inlineStr">
        <is>
          <t>2026-08-02T23:17:28.942888Z</t>
        </is>
      </c>
      <c r="C12" s="24" t="inlineStr">
        <is>
          <t>2026-08-03T00:00:00Z</t>
        </is>
      </c>
      <c r="D12" s="24" t="inlineStr">
        <is>
          <t>67386</t>
        </is>
      </c>
      <c r="E12" s="24" t="inlineStr">
        <is>
          <t>VALORANT</t>
        </is>
      </c>
      <c r="F12" s="24" t="inlineStr">
        <is>
          <t>Sentinels</t>
        </is>
      </c>
      <c r="G12" s="24" t="inlineStr">
        <is>
          <t>G2 Esports</t>
        </is>
      </c>
      <c r="H12" s="24" t="inlineStr">
        <is>
          <t>moneyline</t>
        </is>
      </c>
      <c r="I12" s="24" t="inlineStr">
        <is>
          <t>home</t>
        </is>
      </c>
      <c r="J12" s="25" t="n"/>
      <c r="K12" s="24" t="inlineStr">
        <is>
          <t>polymarket_us</t>
        </is>
      </c>
      <c r="L12" s="26" t="n">
        <v>-170</v>
      </c>
      <c r="M12" s="27" t="n">
        <v>1.588235</v>
      </c>
      <c r="N12" s="28" t="n">
        <v>0.62963</v>
      </c>
      <c r="O12" s="28" t="n">
        <v>0.626789</v>
      </c>
      <c r="P12" s="28" t="n"/>
      <c r="Q12" s="28" t="n">
        <v>-0.002841</v>
      </c>
      <c r="R12" s="26" t="n">
        <v>19</v>
      </c>
      <c r="S12" s="29" t="n">
        <v>1.5</v>
      </c>
      <c r="T12" s="24" t="inlineStr">
        <is>
          <t>valorant-tiered-elo-v5</t>
        </is>
      </c>
      <c r="U12" s="24" t="inlineStr">
        <is>
          <t>settled</t>
        </is>
      </c>
      <c r="V12" s="24" t="inlineStr">
        <is>
          <t>win</t>
        </is>
      </c>
      <c r="W12" s="26" t="n">
        <v>0</v>
      </c>
      <c r="X12" s="26" t="n">
        <v>1</v>
      </c>
      <c r="Y12" s="25" t="n"/>
      <c r="Z12" s="26" t="n">
        <v>-223</v>
      </c>
      <c r="AA12" s="28" t="n">
        <v>0.6899999999999999</v>
      </c>
      <c r="AB12" s="28" t="n">
        <v>0.06037</v>
      </c>
      <c r="AC12" s="30" t="n">
        <v>0.8824</v>
      </c>
      <c r="AD12" s="24" t="inlineStr">
        <is>
          <t>2026-08-03T02:34:46.902850Z</t>
        </is>
      </c>
      <c r="AE12" s="31" t="inlineStr">
        <is>
          <t>Neutral Elo baseline; executable ask 0.6300 (market_slug=aec-valorant-g2-sen-2026-08-03).</t>
        </is>
      </c>
      <c r="AF12" s="31" t="inlineStr">
        <is>
          <t>Config-promoted esports baseline; gates enforced at log time.</t>
        </is>
      </c>
      <c r="AG12" s="24" t="inlineStr">
        <is>
          <t>not_applicable</t>
        </is>
      </c>
      <c r="AH12" s="24" t="n"/>
      <c r="AI12" s="31" t="n"/>
      <c r="AJ12" s="31" t="n"/>
      <c r="AK12" s="24" t="inlineStr">
        <is>
          <t>research_observation</t>
        </is>
      </c>
      <c r="AL12" s="26" t="n">
        <v>3</v>
      </c>
      <c r="AM12" s="24" t="inlineStr">
        <is>
          <t>RESEARCH_OBSERVATION</t>
        </is>
      </c>
      <c r="AN12" s="24" t="inlineStr">
        <is>
          <t>NO_CALL</t>
        </is>
      </c>
      <c r="AO12" s="24" t="inlineStr">
        <is>
          <t>NO_CALL_LOW_EDGE</t>
        </is>
      </c>
      <c r="AP12" s="24" t="inlineStr">
        <is>
          <t>Sentinels</t>
        </is>
      </c>
      <c r="AQ12" s="24" t="inlineStr">
        <is>
          <t>Sentinels</t>
        </is>
      </c>
      <c r="AR12" s="24" t="inlineStr">
        <is>
          <t>Sentinels</t>
        </is>
      </c>
      <c r="AS12" s="24" t="inlineStr">
        <is>
          <t>G2 Esports</t>
        </is>
      </c>
      <c r="AT12" s="24" t="inlineStr">
        <is>
          <t>G2 Esports</t>
        </is>
      </c>
      <c r="AU12" s="24" t="inlineStr">
        <is>
          <t>G2 Esports</t>
        </is>
      </c>
      <c r="AV12" s="24" t="n"/>
      <c r="AW12" s="24" t="n"/>
      <c r="AX12" s="24" t="inlineStr">
        <is>
          <t>statistical_model</t>
        </is>
      </c>
      <c r="AY12" s="24" t="n"/>
      <c r="AZ12" s="24" t="inlineStr">
        <is>
          <t>shadow_qualified</t>
        </is>
      </c>
      <c r="BA12" s="24" t="inlineStr">
        <is>
          <t>b8ad95e67a1d231f7c1456f640a0121faebeb1a345256cde26610e3b0d16a846</t>
        </is>
      </c>
      <c r="BB12" s="24" t="inlineStr">
        <is>
          <t>neutral_elo</t>
        </is>
      </c>
      <c r="BC12" s="24" t="inlineStr">
        <is>
          <t>valorant-tiered-elo-v5</t>
        </is>
      </c>
      <c r="BD12" s="24" t="inlineStr">
        <is>
          <t>b8ad95e67a1d231f7c1456f640a0121faebeb1a345256cde26610e3b0d16a846</t>
        </is>
      </c>
      <c r="BE12" s="24" t="inlineStr">
        <is>
          <t>1</t>
        </is>
      </c>
      <c r="BF12" s="24" t="inlineStr">
        <is>
          <t>1</t>
        </is>
      </c>
      <c r="BG12" s="24" t="inlineStr">
        <is>
          <t>valorant-tiered-elo-v5</t>
        </is>
      </c>
      <c r="BH12" s="24" t="inlineStr">
        <is>
          <t>2026-08-02T23:17:23.058724Z</t>
        </is>
      </c>
      <c r="BI12" s="24" t="inlineStr">
        <is>
          <t>["same_event","same_team_same_day","same_league_same_day"]</t>
        </is>
      </c>
      <c r="BJ12" s="25" t="n"/>
      <c r="BK12" s="26" t="n">
        <v>-170</v>
      </c>
      <c r="BL12" s="27" t="n">
        <v>1.588235</v>
      </c>
      <c r="BM12" s="28" t="n">
        <v>0.62963</v>
      </c>
      <c r="BN12" s="28" t="n"/>
      <c r="BO12" s="28" t="n"/>
      <c r="BP12" s="25" t="n"/>
      <c r="BQ12" s="27" t="n">
        <v>1.44843</v>
      </c>
      <c r="BR12" s="28" t="n">
        <v>0.6899999999999999</v>
      </c>
      <c r="BS12" s="28" t="n"/>
      <c r="BT12" s="28" t="n"/>
      <c r="BU12" s="25" t="n"/>
      <c r="BV12" s="29" t="n"/>
      <c r="BW12" s="24" t="n"/>
      <c r="BX12" s="30" t="n"/>
      <c r="BY12" s="27" t="n"/>
      <c r="BZ12" s="24" t="n"/>
      <c r="CA12" s="31" t="n"/>
      <c r="CB12" s="24" t="n"/>
      <c r="CC12" s="24" t="n"/>
      <c r="CD12" s="24" t="n"/>
      <c r="CE12" s="24" t="n"/>
      <c r="CF12" s="24" t="n"/>
      <c r="CG12" s="24" t="n"/>
      <c r="CH12" s="24" t="n"/>
      <c r="CI12" s="24" t="n"/>
      <c r="CJ12" s="24" t="n"/>
      <c r="CK12" s="24" t="n"/>
      <c r="CL12" s="24" t="n"/>
      <c r="CM12" s="24" t="n"/>
      <c r="CN12" s="24" t="n"/>
      <c r="CO12" s="24" t="n"/>
      <c r="CP12" s="24" t="n"/>
      <c r="CQ12" s="24" t="inlineStr">
        <is>
          <t>False</t>
        </is>
      </c>
    </row>
    <row r="13" ht="36" customHeight="1">
      <c r="A13" s="24" t="inlineStr">
        <is>
          <t>e166706ca9c144b5</t>
        </is>
      </c>
      <c r="B13" s="24" t="inlineStr">
        <is>
          <t>2026-08-03T13:30:41.417037Z</t>
        </is>
      </c>
      <c r="C13" s="24" t="inlineStr">
        <is>
          <t>2026-08-03T15:00:00Z</t>
        </is>
      </c>
      <c r="D13" s="24" t="inlineStr">
        <is>
          <t>67569</t>
        </is>
      </c>
      <c r="E13" s="24" t="inlineStr">
        <is>
          <t>VALORANT</t>
        </is>
      </c>
      <c r="F13" s="24" t="inlineStr">
        <is>
          <t>FOKUS Sakura</t>
        </is>
      </c>
      <c r="G13" s="24" t="inlineStr">
        <is>
          <t>SK Nebula</t>
        </is>
      </c>
      <c r="H13" s="24" t="inlineStr">
        <is>
          <t>moneyline</t>
        </is>
      </c>
      <c r="I13" s="24" t="inlineStr">
        <is>
          <t>home</t>
        </is>
      </c>
      <c r="J13" s="25" t="n"/>
      <c r="K13" s="24" t="inlineStr">
        <is>
          <t>polymarket_us</t>
        </is>
      </c>
      <c r="L13" s="26" t="n">
        <v>-163</v>
      </c>
      <c r="M13" s="27" t="n">
        <v>1.613497</v>
      </c>
      <c r="N13" s="28" t="n">
        <v>0.619772</v>
      </c>
      <c r="O13" s="28" t="n">
        <v>0.765423</v>
      </c>
      <c r="P13" s="28" t="n"/>
      <c r="Q13" s="28" t="n">
        <v>0.145651</v>
      </c>
      <c r="R13" s="26" t="n">
        <v>93</v>
      </c>
      <c r="S13" s="29" t="n">
        <v>2</v>
      </c>
      <c r="T13" s="24" t="inlineStr">
        <is>
          <t>valorant-tiered-elo-v5</t>
        </is>
      </c>
      <c r="U13" s="24" t="inlineStr">
        <is>
          <t>open</t>
        </is>
      </c>
      <c r="V13" s="24" t="n"/>
      <c r="W13" s="26" t="n"/>
      <c r="X13" s="26" t="n"/>
      <c r="Y13" s="25" t="n"/>
      <c r="Z13" s="26" t="n"/>
      <c r="AA13" s="28" t="n"/>
      <c r="AB13" s="28" t="n"/>
      <c r="AC13" s="30" t="n"/>
      <c r="AD13" s="24" t="n"/>
      <c r="AE13" s="31" t="inlineStr">
        <is>
          <t>Neutral Elo baseline; executable ask 0.6200 (market_slug=aec-valorant-skn-fso-2026-08-03).</t>
        </is>
      </c>
      <c r="AF13" s="31" t="inlineStr">
        <is>
          <t>Config-promoted esports baseline; gates enforced at log time.</t>
        </is>
      </c>
      <c r="AG13" s="24" t="inlineStr">
        <is>
          <t>not_applicable</t>
        </is>
      </c>
      <c r="AH13" s="24" t="n"/>
      <c r="AI13" s="31" t="n"/>
      <c r="AJ13" s="31" t="n"/>
      <c r="AK13" s="24" t="inlineStr">
        <is>
          <t>model_qualified</t>
        </is>
      </c>
      <c r="AL13" s="26" t="n">
        <v>3</v>
      </c>
      <c r="AM13" s="24" t="inlineStr">
        <is>
          <t>QUALIFIED_SHADOW_CALL</t>
        </is>
      </c>
      <c r="AN13" s="24" t="inlineStr">
        <is>
          <t>CALL</t>
        </is>
      </c>
      <c r="AO13" s="24" t="inlineStr">
        <is>
          <t>QUALIFIED</t>
        </is>
      </c>
      <c r="AP13" s="24" t="inlineStr">
        <is>
          <t>FOKUS Sakura</t>
        </is>
      </c>
      <c r="AQ13" s="24" t="inlineStr">
        <is>
          <t>FOKUS Sakura</t>
        </is>
      </c>
      <c r="AR13" s="24" t="inlineStr">
        <is>
          <t>FOKUS Sakura</t>
        </is>
      </c>
      <c r="AS13" s="24" t="inlineStr">
        <is>
          <t>SK Nebula</t>
        </is>
      </c>
      <c r="AT13" s="24" t="inlineStr">
        <is>
          <t>SK Nebula</t>
        </is>
      </c>
      <c r="AU13" s="24" t="inlineStr">
        <is>
          <t>SK Nebula</t>
        </is>
      </c>
      <c r="AV13" s="24" t="n"/>
      <c r="AW13" s="24" t="n"/>
      <c r="AX13" s="24" t="inlineStr">
        <is>
          <t>statistical_model</t>
        </is>
      </c>
      <c r="AY13" s="24" t="n"/>
      <c r="AZ13" s="24" t="inlineStr">
        <is>
          <t>shadow_qualified</t>
        </is>
      </c>
      <c r="BA13" s="24" t="inlineStr">
        <is>
          <t>afe2fffd3c666e0d8f9040dcc6dedae587629fd14dee7043c87557d9d9d9e6e5</t>
        </is>
      </c>
      <c r="BB13" s="24" t="inlineStr">
        <is>
          <t>neutral_elo</t>
        </is>
      </c>
      <c r="BC13" s="24" t="inlineStr">
        <is>
          <t>valorant-tiered-elo-v5</t>
        </is>
      </c>
      <c r="BD13" s="24" t="inlineStr">
        <is>
          <t>afe2fffd3c666e0d8f9040dcc6dedae587629fd14dee7043c87557d9d9d9e6e5</t>
        </is>
      </c>
      <c r="BE13" s="24" t="inlineStr">
        <is>
          <t>1</t>
        </is>
      </c>
      <c r="BF13" s="24" t="inlineStr">
        <is>
          <t>1</t>
        </is>
      </c>
      <c r="BG13" s="24" t="inlineStr">
        <is>
          <t>valorant-tiered-elo-v5</t>
        </is>
      </c>
      <c r="BH13" s="24" t="inlineStr">
        <is>
          <t>2026-08-03T13:30:33.637118Z</t>
        </is>
      </c>
      <c r="BI13" s="24" t="inlineStr">
        <is>
          <t>["same_event","same_team_same_day","same_league_same_day"]</t>
        </is>
      </c>
      <c r="BJ13" s="25" t="n"/>
      <c r="BK13" s="26" t="n">
        <v>-163</v>
      </c>
      <c r="BL13" s="27" t="n">
        <v>1.613497</v>
      </c>
      <c r="BM13" s="28" t="n">
        <v>0.619772</v>
      </c>
      <c r="BN13" s="28" t="n"/>
      <c r="BO13" s="28" t="n"/>
      <c r="BP13" s="25" t="n"/>
      <c r="BQ13" s="27" t="n"/>
      <c r="BR13" s="28" t="n"/>
      <c r="BS13" s="28" t="n"/>
      <c r="BT13" s="28" t="n"/>
      <c r="BU13" s="25" t="n"/>
      <c r="BV13" s="29" t="n"/>
      <c r="BW13" s="24" t="n"/>
      <c r="BX13" s="30" t="n"/>
      <c r="BY13" s="27" t="n"/>
      <c r="BZ13" s="24" t="n"/>
      <c r="CA13" s="31" t="n"/>
      <c r="CB13" s="24" t="n"/>
      <c r="CC13" s="24" t="n"/>
      <c r="CD13" s="24" t="n"/>
      <c r="CE13" s="24" t="n"/>
      <c r="CF13" s="24" t="n"/>
      <c r="CG13" s="24" t="n"/>
      <c r="CH13" s="24" t="n"/>
      <c r="CI13" s="24" t="n"/>
      <c r="CJ13" s="24" t="n"/>
      <c r="CK13" s="24" t="n"/>
      <c r="CL13" s="24" t="n"/>
      <c r="CM13" s="24" t="n"/>
      <c r="CN13" s="24" t="n"/>
      <c r="CO13" s="24" t="n"/>
      <c r="CP13" s="24" t="n"/>
      <c r="CQ13" s="24" t="inlineStr">
        <is>
          <t>True</t>
        </is>
      </c>
    </row>
    <row r="14" ht="36" customHeight="1">
      <c r="A14" s="24" t="inlineStr">
        <is>
          <t>4dd606b469684741</t>
        </is>
      </c>
      <c r="B14" s="24" t="inlineStr">
        <is>
          <t>2026-08-03T13:30:41.417037Z</t>
        </is>
      </c>
      <c r="C14" s="24" t="inlineStr">
        <is>
          <t>2026-08-03T18:00:00Z</t>
        </is>
      </c>
      <c r="D14" s="24" t="inlineStr">
        <is>
          <t>67658</t>
        </is>
      </c>
      <c r="E14" s="24" t="inlineStr">
        <is>
          <t>VALORANT</t>
        </is>
      </c>
      <c r="F14" s="24" t="inlineStr">
        <is>
          <t>Barça eSports GC</t>
        </is>
      </c>
      <c r="G14" s="24" t="inlineStr">
        <is>
          <t>Twisted Minds Orchid</t>
        </is>
      </c>
      <c r="H14" s="24" t="inlineStr">
        <is>
          <t>moneyline</t>
        </is>
      </c>
      <c r="I14" s="24" t="inlineStr">
        <is>
          <t>home</t>
        </is>
      </c>
      <c r="J14" s="25" t="n"/>
      <c r="K14" s="24" t="inlineStr">
        <is>
          <t>polymarket_us</t>
        </is>
      </c>
      <c r="L14" s="26" t="n">
        <v>-223</v>
      </c>
      <c r="M14" s="27" t="n">
        <v>1.44843</v>
      </c>
      <c r="N14" s="28" t="n">
        <v>0.690402</v>
      </c>
      <c r="O14" s="28" t="n">
        <v>0.692397</v>
      </c>
      <c r="P14" s="28" t="n"/>
      <c r="Q14" s="28" t="n">
        <v>0.001995</v>
      </c>
      <c r="R14" s="26" t="n">
        <v>21</v>
      </c>
      <c r="S14" s="29" t="n">
        <v>2</v>
      </c>
      <c r="T14" s="24" t="inlineStr">
        <is>
          <t>valorant-tiered-elo-v5</t>
        </is>
      </c>
      <c r="U14" s="24" t="inlineStr">
        <is>
          <t>open</t>
        </is>
      </c>
      <c r="V14" s="24" t="n"/>
      <c r="W14" s="26" t="n"/>
      <c r="X14" s="26" t="n"/>
      <c r="Y14" s="25" t="n"/>
      <c r="Z14" s="26" t="n"/>
      <c r="AA14" s="28" t="n"/>
      <c r="AB14" s="28" t="n"/>
      <c r="AC14" s="30" t="n"/>
      <c r="AD14" s="24" t="n"/>
      <c r="AE14" s="31" t="inlineStr">
        <is>
          <t>Neutral Elo baseline; executable ask 0.6900 (market_slug=aec-valorant-tmo-beg-2026-08-03).</t>
        </is>
      </c>
      <c r="AF14" s="31" t="inlineStr">
        <is>
          <t>Config-promoted esports baseline; gates enforced at log time.</t>
        </is>
      </c>
      <c r="AG14" s="24" t="inlineStr">
        <is>
          <t>not_applicable</t>
        </is>
      </c>
      <c r="AH14" s="24" t="n"/>
      <c r="AI14" s="31" t="n"/>
      <c r="AJ14" s="31" t="n"/>
      <c r="AK14" s="24" t="inlineStr">
        <is>
          <t>research_observation</t>
        </is>
      </c>
      <c r="AL14" s="26" t="n">
        <v>3</v>
      </c>
      <c r="AM14" s="24" t="inlineStr">
        <is>
          <t>RESEARCH_OBSERVATION</t>
        </is>
      </c>
      <c r="AN14" s="24" t="inlineStr">
        <is>
          <t>NO_CALL</t>
        </is>
      </c>
      <c r="AO14" s="24" t="inlineStr">
        <is>
          <t>NO_CALL_LOW_EDGE</t>
        </is>
      </c>
      <c r="AP14" s="24" t="inlineStr">
        <is>
          <t>Barça eSports GC</t>
        </is>
      </c>
      <c r="AQ14" s="24" t="inlineStr">
        <is>
          <t>Barça eSports GC</t>
        </is>
      </c>
      <c r="AR14" s="24" t="inlineStr">
        <is>
          <t>Barça eSports GC</t>
        </is>
      </c>
      <c r="AS14" s="24" t="inlineStr">
        <is>
          <t>Twisted Minds Orchid</t>
        </is>
      </c>
      <c r="AT14" s="24" t="inlineStr">
        <is>
          <t>Twisted Minds Orchid</t>
        </is>
      </c>
      <c r="AU14" s="24" t="inlineStr">
        <is>
          <t>Twisted Minds Orchid</t>
        </is>
      </c>
      <c r="AV14" s="24" t="n"/>
      <c r="AW14" s="24" t="n"/>
      <c r="AX14" s="24" t="inlineStr">
        <is>
          <t>statistical_model</t>
        </is>
      </c>
      <c r="AY14" s="24" t="n"/>
      <c r="AZ14" s="24" t="inlineStr">
        <is>
          <t>shadow_qualified</t>
        </is>
      </c>
      <c r="BA14" s="24" t="inlineStr">
        <is>
          <t>afe2fffd3c666e0d8f9040dcc6dedae587629fd14dee7043c87557d9d9d9e6e5</t>
        </is>
      </c>
      <c r="BB14" s="24" t="inlineStr">
        <is>
          <t>neutral_elo</t>
        </is>
      </c>
      <c r="BC14" s="24" t="inlineStr">
        <is>
          <t>valorant-tiered-elo-v5</t>
        </is>
      </c>
      <c r="BD14" s="24" t="inlineStr">
        <is>
          <t>afe2fffd3c666e0d8f9040dcc6dedae587629fd14dee7043c87557d9d9d9e6e5</t>
        </is>
      </c>
      <c r="BE14" s="24" t="inlineStr">
        <is>
          <t>1</t>
        </is>
      </c>
      <c r="BF14" s="24" t="inlineStr">
        <is>
          <t>1</t>
        </is>
      </c>
      <c r="BG14" s="24" t="inlineStr">
        <is>
          <t>valorant-tiered-elo-v5</t>
        </is>
      </c>
      <c r="BH14" s="24" t="inlineStr">
        <is>
          <t>2026-08-03T13:30:34.784703Z</t>
        </is>
      </c>
      <c r="BI14" s="24" t="inlineStr">
        <is>
          <t>["same_event","same_team_same_day","same_league_same_day"]</t>
        </is>
      </c>
      <c r="BJ14" s="25" t="n"/>
      <c r="BK14" s="26" t="n">
        <v>-223</v>
      </c>
      <c r="BL14" s="27" t="n">
        <v>1.44843</v>
      </c>
      <c r="BM14" s="28" t="n">
        <v>0.690402</v>
      </c>
      <c r="BN14" s="28" t="n"/>
      <c r="BO14" s="28" t="n"/>
      <c r="BP14" s="25" t="n"/>
      <c r="BQ14" s="27" t="n"/>
      <c r="BR14" s="28" t="n"/>
      <c r="BS14" s="28" t="n"/>
      <c r="BT14" s="28" t="n"/>
      <c r="BU14" s="25" t="n"/>
      <c r="BV14" s="29" t="n"/>
      <c r="BW14" s="24" t="n"/>
      <c r="BX14" s="30" t="n"/>
      <c r="BY14" s="27" t="n"/>
      <c r="BZ14" s="24" t="n"/>
      <c r="CA14" s="31" t="n"/>
      <c r="CB14" s="24" t="n"/>
      <c r="CC14" s="24" t="n"/>
      <c r="CD14" s="24" t="n"/>
      <c r="CE14" s="24" t="n"/>
      <c r="CF14" s="24" t="n"/>
      <c r="CG14" s="24" t="n"/>
      <c r="CH14" s="24" t="n"/>
      <c r="CI14" s="24" t="n"/>
      <c r="CJ14" s="24" t="n"/>
      <c r="CK14" s="24" t="n"/>
      <c r="CL14" s="24" t="n"/>
      <c r="CM14" s="24" t="n"/>
      <c r="CN14" s="24" t="n"/>
      <c r="CO14" s="24" t="n"/>
      <c r="CP14" s="24" t="n"/>
      <c r="CQ14" s="24" t="inlineStr">
        <is>
          <t>True</t>
        </is>
      </c>
    </row>
    <row r="15" ht="36" customHeight="1">
      <c r="A15" s="24" t="inlineStr">
        <is>
          <t>33592c72116f44b7</t>
        </is>
      </c>
      <c r="B15" s="24" t="inlineStr">
        <is>
          <t>2026-08-03T13:30:41.417037Z</t>
        </is>
      </c>
      <c r="C15" s="24" t="inlineStr">
        <is>
          <t>2026-08-03T21:00:00Z</t>
        </is>
      </c>
      <c r="D15" s="24" t="inlineStr">
        <is>
          <t>67987</t>
        </is>
      </c>
      <c r="E15" s="24" t="inlineStr">
        <is>
          <t>VALORANT</t>
        </is>
      </c>
      <c r="F15" s="24" t="inlineStr">
        <is>
          <t>The Spiders</t>
        </is>
      </c>
      <c r="G15" s="24" t="inlineStr">
        <is>
          <t>HIMMERS</t>
        </is>
      </c>
      <c r="H15" s="24" t="inlineStr">
        <is>
          <t>moneyline</t>
        </is>
      </c>
      <c r="I15" s="24" t="inlineStr">
        <is>
          <t>home</t>
        </is>
      </c>
      <c r="J15" s="25" t="n"/>
      <c r="K15" s="24" t="inlineStr">
        <is>
          <t>polymarket_us</t>
        </is>
      </c>
      <c r="L15" s="26" t="n">
        <v>108</v>
      </c>
      <c r="M15" s="27" t="n">
        <v>2.08</v>
      </c>
      <c r="N15" s="28" t="n">
        <v>0.480769</v>
      </c>
      <c r="O15" s="28" t="n">
        <v>0.520977</v>
      </c>
      <c r="P15" s="28" t="n"/>
      <c r="Q15" s="28" t="n">
        <v>0.040208</v>
      </c>
      <c r="R15" s="26" t="n">
        <v>40</v>
      </c>
      <c r="S15" s="29" t="n">
        <v>1</v>
      </c>
      <c r="T15" s="24" t="inlineStr">
        <is>
          <t>valorant-tiered-elo-v5</t>
        </is>
      </c>
      <c r="U15" s="24" t="inlineStr">
        <is>
          <t>open</t>
        </is>
      </c>
      <c r="V15" s="24" t="n"/>
      <c r="W15" s="26" t="n"/>
      <c r="X15" s="26" t="n"/>
      <c r="Y15" s="25" t="n"/>
      <c r="Z15" s="26" t="n"/>
      <c r="AA15" s="28" t="n"/>
      <c r="AB15" s="28" t="n"/>
      <c r="AC15" s="30" t="n"/>
      <c r="AD15" s="24" t="n"/>
      <c r="AE15" s="31" t="inlineStr">
        <is>
          <t>Neutral Elo baseline; executable ask 0.4800 (market_slug=aec-valorant-him-spi-2026-08-03).</t>
        </is>
      </c>
      <c r="AF15" s="31" t="inlineStr">
        <is>
          <t>Config-promoted esports baseline; gates enforced at log time.</t>
        </is>
      </c>
      <c r="AG15" s="24" t="inlineStr">
        <is>
          <t>not_applicable</t>
        </is>
      </c>
      <c r="AH15" s="24" t="n"/>
      <c r="AI15" s="31" t="n"/>
      <c r="AJ15" s="31" t="n"/>
      <c r="AK15" s="24" t="inlineStr">
        <is>
          <t>research_observation</t>
        </is>
      </c>
      <c r="AL15" s="26" t="n">
        <v>3</v>
      </c>
      <c r="AM15" s="24" t="inlineStr">
        <is>
          <t>RESEARCH_OBSERVATION</t>
        </is>
      </c>
      <c r="AN15" s="24" t="inlineStr">
        <is>
          <t>NO_CALL</t>
        </is>
      </c>
      <c r="AO15" s="24" t="inlineStr">
        <is>
          <t>NO_CALL_LOW_EDGE</t>
        </is>
      </c>
      <c r="AP15" s="24" t="inlineStr">
        <is>
          <t>The Spiders</t>
        </is>
      </c>
      <c r="AQ15" s="24" t="inlineStr">
        <is>
          <t>The Spiders</t>
        </is>
      </c>
      <c r="AR15" s="24" t="inlineStr">
        <is>
          <t>The Spiders</t>
        </is>
      </c>
      <c r="AS15" s="24" t="inlineStr">
        <is>
          <t>HIMMERS</t>
        </is>
      </c>
      <c r="AT15" s="24" t="inlineStr">
        <is>
          <t>HIMMERS</t>
        </is>
      </c>
      <c r="AU15" s="24" t="inlineStr">
        <is>
          <t>HIMMERS</t>
        </is>
      </c>
      <c r="AV15" s="24" t="n"/>
      <c r="AW15" s="24" t="n"/>
      <c r="AX15" s="24" t="inlineStr">
        <is>
          <t>statistical_model</t>
        </is>
      </c>
      <c r="AY15" s="24" t="n"/>
      <c r="AZ15" s="24" t="inlineStr">
        <is>
          <t>shadow_qualified</t>
        </is>
      </c>
      <c r="BA15" s="24" t="inlineStr">
        <is>
          <t>afe2fffd3c666e0d8f9040dcc6dedae587629fd14dee7043c87557d9d9d9e6e5</t>
        </is>
      </c>
      <c r="BB15" s="24" t="inlineStr">
        <is>
          <t>neutral_elo</t>
        </is>
      </c>
      <c r="BC15" s="24" t="inlineStr">
        <is>
          <t>valorant-tiered-elo-v5</t>
        </is>
      </c>
      <c r="BD15" s="24" t="inlineStr">
        <is>
          <t>afe2fffd3c666e0d8f9040dcc6dedae587629fd14dee7043c87557d9d9d9e6e5</t>
        </is>
      </c>
      <c r="BE15" s="24" t="inlineStr">
        <is>
          <t>1</t>
        </is>
      </c>
      <c r="BF15" s="24" t="inlineStr">
        <is>
          <t>1</t>
        </is>
      </c>
      <c r="BG15" s="24" t="inlineStr">
        <is>
          <t>valorant-tiered-elo-v5</t>
        </is>
      </c>
      <c r="BH15" s="24" t="inlineStr">
        <is>
          <t>2026-08-03T13:30:35.277840Z</t>
        </is>
      </c>
      <c r="BI15" s="24" t="inlineStr">
        <is>
          <t>["same_event","same_team_same_day","same_league_same_day"]</t>
        </is>
      </c>
      <c r="BJ15" s="25" t="n"/>
      <c r="BK15" s="26" t="n">
        <v>108</v>
      </c>
      <c r="BL15" s="27" t="n">
        <v>2.08</v>
      </c>
      <c r="BM15" s="28" t="n">
        <v>0.480769</v>
      </c>
      <c r="BN15" s="28" t="n"/>
      <c r="BO15" s="28" t="n"/>
      <c r="BP15" s="25" t="n"/>
      <c r="BQ15" s="27" t="n"/>
      <c r="BR15" s="28" t="n"/>
      <c r="BS15" s="28" t="n"/>
      <c r="BT15" s="28" t="n"/>
      <c r="BU15" s="25" t="n"/>
      <c r="BV15" s="29" t="n"/>
      <c r="BW15" s="24" t="n"/>
      <c r="BX15" s="30" t="n"/>
      <c r="BY15" s="27" t="n"/>
      <c r="BZ15" s="24" t="n"/>
      <c r="CA15" s="31" t="n"/>
      <c r="CB15" s="24" t="n"/>
      <c r="CC15" s="24" t="n"/>
      <c r="CD15" s="24" t="n"/>
      <c r="CE15" s="24" t="n"/>
      <c r="CF15" s="24" t="n"/>
      <c r="CG15" s="24" t="n"/>
      <c r="CH15" s="24" t="n"/>
      <c r="CI15" s="24" t="n"/>
      <c r="CJ15" s="24" t="n"/>
      <c r="CK15" s="24" t="n"/>
      <c r="CL15" s="24" t="n"/>
      <c r="CM15" s="24" t="n"/>
      <c r="CN15" s="24" t="n"/>
      <c r="CO15" s="24" t="n"/>
      <c r="CP15" s="24" t="n"/>
      <c r="CQ15" s="24" t="inlineStr">
        <is>
          <t>True</t>
        </is>
      </c>
    </row>
    <row r="16" ht="36" customHeight="1">
      <c r="A16" s="24" t="inlineStr">
        <is>
          <t>5ad42bc1443641a2</t>
        </is>
      </c>
      <c r="B16" s="24" t="inlineStr">
        <is>
          <t>2026-08-03T13:30:41.417037Z</t>
        </is>
      </c>
      <c r="C16" s="24" t="inlineStr">
        <is>
          <t>2026-08-03T23:30:00Z</t>
        </is>
      </c>
      <c r="D16" s="24" t="inlineStr">
        <is>
          <t>68094</t>
        </is>
      </c>
      <c r="E16" s="24" t="inlineStr">
        <is>
          <t>VALORANT</t>
        </is>
      </c>
      <c r="F16" s="24" t="inlineStr">
        <is>
          <t>SaD GC</t>
        </is>
      </c>
      <c r="G16" s="24" t="inlineStr">
        <is>
          <t>Los Chudeles</t>
        </is>
      </c>
      <c r="H16" s="24" t="inlineStr">
        <is>
          <t>moneyline</t>
        </is>
      </c>
      <c r="I16" s="24" t="inlineStr">
        <is>
          <t>home</t>
        </is>
      </c>
      <c r="J16" s="25" t="n"/>
      <c r="K16" s="24" t="inlineStr">
        <is>
          <t>polymarket_us</t>
        </is>
      </c>
      <c r="L16" s="26" t="n">
        <v>-138</v>
      </c>
      <c r="M16" s="27" t="n">
        <v>1.724638</v>
      </c>
      <c r="N16" s="28" t="n">
        <v>0.579832</v>
      </c>
      <c r="O16" s="28" t="n">
        <v>0.50307</v>
      </c>
      <c r="P16" s="28" t="n"/>
      <c r="Q16" s="28" t="n">
        <v>-0.076762</v>
      </c>
      <c r="R16" s="26" t="n">
        <v>0</v>
      </c>
      <c r="S16" s="29" t="n">
        <v>1</v>
      </c>
      <c r="T16" s="24" t="inlineStr">
        <is>
          <t>valorant-tiered-elo-v5</t>
        </is>
      </c>
      <c r="U16" s="24" t="inlineStr">
        <is>
          <t>open</t>
        </is>
      </c>
      <c r="V16" s="24" t="n"/>
      <c r="W16" s="26" t="n"/>
      <c r="X16" s="26" t="n"/>
      <c r="Y16" s="25" t="n"/>
      <c r="Z16" s="26" t="n"/>
      <c r="AA16" s="28" t="n"/>
      <c r="AB16" s="28" t="n"/>
      <c r="AC16" s="30" t="n"/>
      <c r="AD16" s="24" t="n"/>
      <c r="AE16" s="31" t="inlineStr">
        <is>
          <t>Neutral Elo baseline; executable ask 0.5800 (market_slug=aec-valorant-lcd-sga-2026-08-03).</t>
        </is>
      </c>
      <c r="AF16" s="31" t="inlineStr">
        <is>
          <t>Config-promoted esports baseline; gates enforced at log time.</t>
        </is>
      </c>
      <c r="AG16" s="24" t="inlineStr">
        <is>
          <t>not_applicable</t>
        </is>
      </c>
      <c r="AH16" s="24" t="n"/>
      <c r="AI16" s="31" t="n"/>
      <c r="AJ16" s="31" t="n"/>
      <c r="AK16" s="24" t="inlineStr">
        <is>
          <t>research_observation</t>
        </is>
      </c>
      <c r="AL16" s="26" t="n">
        <v>3</v>
      </c>
      <c r="AM16" s="24" t="inlineStr">
        <is>
          <t>RESEARCH_OBSERVATION</t>
        </is>
      </c>
      <c r="AN16" s="24" t="inlineStr">
        <is>
          <t>NO_CALL</t>
        </is>
      </c>
      <c r="AO16" s="24" t="inlineStr">
        <is>
          <t>NO_CALL_LOW_EDGE</t>
        </is>
      </c>
      <c r="AP16" s="24" t="inlineStr">
        <is>
          <t>SaD GC</t>
        </is>
      </c>
      <c r="AQ16" s="24" t="inlineStr">
        <is>
          <t>SaD GC</t>
        </is>
      </c>
      <c r="AR16" s="24" t="inlineStr">
        <is>
          <t>SaD GC</t>
        </is>
      </c>
      <c r="AS16" s="24" t="inlineStr">
        <is>
          <t>Los Chudeles</t>
        </is>
      </c>
      <c r="AT16" s="24" t="inlineStr">
        <is>
          <t>Los Chudeles</t>
        </is>
      </c>
      <c r="AU16" s="24" t="inlineStr">
        <is>
          <t>Los Chudeles</t>
        </is>
      </c>
      <c r="AV16" s="24" t="n"/>
      <c r="AW16" s="24" t="n"/>
      <c r="AX16" s="24" t="inlineStr">
        <is>
          <t>statistical_model</t>
        </is>
      </c>
      <c r="AY16" s="24" t="n"/>
      <c r="AZ16" s="24" t="inlineStr">
        <is>
          <t>shadow_qualified</t>
        </is>
      </c>
      <c r="BA16" s="24" t="inlineStr">
        <is>
          <t>afe2fffd3c666e0d8f9040dcc6dedae587629fd14dee7043c87557d9d9d9e6e5</t>
        </is>
      </c>
      <c r="BB16" s="24" t="inlineStr">
        <is>
          <t>neutral_elo</t>
        </is>
      </c>
      <c r="BC16" s="24" t="inlineStr">
        <is>
          <t>valorant-tiered-elo-v5</t>
        </is>
      </c>
      <c r="BD16" s="24" t="inlineStr">
        <is>
          <t>afe2fffd3c666e0d8f9040dcc6dedae587629fd14dee7043c87557d9d9d9e6e5</t>
        </is>
      </c>
      <c r="BE16" s="24" t="inlineStr">
        <is>
          <t>1</t>
        </is>
      </c>
      <c r="BF16" s="24" t="inlineStr">
        <is>
          <t>1</t>
        </is>
      </c>
      <c r="BG16" s="24" t="inlineStr">
        <is>
          <t>valorant-tiered-elo-v5</t>
        </is>
      </c>
      <c r="BH16" s="24" t="inlineStr">
        <is>
          <t>2026-08-03T13:30:36.951568Z</t>
        </is>
      </c>
      <c r="BI16" s="24" t="inlineStr">
        <is>
          <t>["same_event","same_team_same_day","same_league_same_day"]</t>
        </is>
      </c>
      <c r="BJ16" s="25" t="n"/>
      <c r="BK16" s="26" t="n">
        <v>-138</v>
      </c>
      <c r="BL16" s="27" t="n">
        <v>1.724638</v>
      </c>
      <c r="BM16" s="28" t="n">
        <v>0.579832</v>
      </c>
      <c r="BN16" s="28" t="n"/>
      <c r="BO16" s="28" t="n"/>
      <c r="BP16" s="25" t="n"/>
      <c r="BQ16" s="27" t="n"/>
      <c r="BR16" s="28" t="n"/>
      <c r="BS16" s="28" t="n"/>
      <c r="BT16" s="28" t="n"/>
      <c r="BU16" s="25" t="n"/>
      <c r="BV16" s="29" t="n"/>
      <c r="BW16" s="24" t="n"/>
      <c r="BX16" s="30" t="n"/>
      <c r="BY16" s="27" t="n"/>
      <c r="BZ16" s="24" t="n"/>
      <c r="CA16" s="31" t="n"/>
      <c r="CB16" s="24" t="n"/>
      <c r="CC16" s="24" t="n"/>
      <c r="CD16" s="24" t="n"/>
      <c r="CE16" s="24" t="n"/>
      <c r="CF16" s="24" t="n"/>
      <c r="CG16" s="24" t="n"/>
      <c r="CH16" s="24" t="n"/>
      <c r="CI16" s="24" t="n"/>
      <c r="CJ16" s="24" t="n"/>
      <c r="CK16" s="24" t="n"/>
      <c r="CL16" s="24" t="n"/>
      <c r="CM16" s="24" t="n"/>
      <c r="CN16" s="24" t="n"/>
      <c r="CO16" s="24" t="n"/>
      <c r="CP16" s="24" t="n"/>
      <c r="CQ16" s="24" t="inlineStr">
        <is>
          <t>False</t>
        </is>
      </c>
    </row>
    <row r="17" ht="36" customHeight="1">
      <c r="A17" s="24" t="inlineStr">
        <is>
          <t>f075dbe7c66f4c3d</t>
        </is>
      </c>
      <c r="B17" s="24" t="inlineStr">
        <is>
          <t>2026-08-03T13:30:41.417037Z</t>
        </is>
      </c>
      <c r="C17" s="24" t="inlineStr">
        <is>
          <t>2026-08-03T23:30:00Z</t>
        </is>
      </c>
      <c r="D17" s="24" t="inlineStr">
        <is>
          <t>68095</t>
        </is>
      </c>
      <c r="E17" s="24" t="inlineStr">
        <is>
          <t>VALORANT</t>
        </is>
      </c>
      <c r="F17" s="24" t="inlineStr">
        <is>
          <t>MVSK Secret</t>
        </is>
      </c>
      <c r="G17" s="24" t="inlineStr">
        <is>
          <t>ROSO GC</t>
        </is>
      </c>
      <c r="H17" s="24" t="inlineStr">
        <is>
          <t>moneyline</t>
        </is>
      </c>
      <c r="I17" s="24" t="inlineStr">
        <is>
          <t>home</t>
        </is>
      </c>
      <c r="J17" s="25" t="n"/>
      <c r="K17" s="24" t="inlineStr">
        <is>
          <t>polymarket_us</t>
        </is>
      </c>
      <c r="L17" s="26" t="n">
        <v>163</v>
      </c>
      <c r="M17" s="27" t="n">
        <v>2.63</v>
      </c>
      <c r="N17" s="28" t="n">
        <v>0.380228</v>
      </c>
      <c r="O17" s="28" t="n">
        <v>0.520109</v>
      </c>
      <c r="P17" s="28" t="n"/>
      <c r="Q17" s="28" t="n">
        <v>0.139881</v>
      </c>
      <c r="R17" s="26" t="n">
        <v>90</v>
      </c>
      <c r="S17" s="29" t="n">
        <v>1</v>
      </c>
      <c r="T17" s="24" t="inlineStr">
        <is>
          <t>valorant-tiered-elo-v5</t>
        </is>
      </c>
      <c r="U17" s="24" t="inlineStr">
        <is>
          <t>open</t>
        </is>
      </c>
      <c r="V17" s="24" t="n"/>
      <c r="W17" s="26" t="n"/>
      <c r="X17" s="26" t="n"/>
      <c r="Y17" s="25" t="n"/>
      <c r="Z17" s="26" t="n"/>
      <c r="AA17" s="28" t="n"/>
      <c r="AB17" s="28" t="n"/>
      <c r="AC17" s="30" t="n"/>
      <c r="AD17" s="24" t="n"/>
      <c r="AE17" s="31" t="inlineStr">
        <is>
          <t>Neutral Elo baseline; executable ask 0.3800 (market_slug=aec-valorant-roso-mvs-2026-08-03).</t>
        </is>
      </c>
      <c r="AF17" s="31" t="inlineStr">
        <is>
          <t>Config-promoted esports baseline; gates enforced at log time.</t>
        </is>
      </c>
      <c r="AG17" s="24" t="inlineStr">
        <is>
          <t>not_applicable</t>
        </is>
      </c>
      <c r="AH17" s="24" t="n"/>
      <c r="AI17" s="31" t="n"/>
      <c r="AJ17" s="31" t="n"/>
      <c r="AK17" s="24" t="inlineStr">
        <is>
          <t>research_observation</t>
        </is>
      </c>
      <c r="AL17" s="26" t="n">
        <v>3</v>
      </c>
      <c r="AM17" s="24" t="inlineStr">
        <is>
          <t>RESEARCH_OBSERVATION</t>
        </is>
      </c>
      <c r="AN17" s="24" t="inlineStr">
        <is>
          <t>NO_CALL</t>
        </is>
      </c>
      <c r="AO17" s="24" t="inlineStr">
        <is>
          <t>NO_CALL_LOW_EDGE</t>
        </is>
      </c>
      <c r="AP17" s="24" t="inlineStr">
        <is>
          <t>MVSK Secret</t>
        </is>
      </c>
      <c r="AQ17" s="24" t="inlineStr">
        <is>
          <t>MVSK Secret</t>
        </is>
      </c>
      <c r="AR17" s="24" t="inlineStr">
        <is>
          <t>MVSK Secret</t>
        </is>
      </c>
      <c r="AS17" s="24" t="inlineStr">
        <is>
          <t>ROSO GC</t>
        </is>
      </c>
      <c r="AT17" s="24" t="inlineStr">
        <is>
          <t>ROSO GC</t>
        </is>
      </c>
      <c r="AU17" s="24" t="inlineStr">
        <is>
          <t>ROSO GC</t>
        </is>
      </c>
      <c r="AV17" s="24" t="n"/>
      <c r="AW17" s="24" t="n"/>
      <c r="AX17" s="24" t="inlineStr">
        <is>
          <t>statistical_model</t>
        </is>
      </c>
      <c r="AY17" s="24" t="n"/>
      <c r="AZ17" s="24" t="inlineStr">
        <is>
          <t>shadow_qualified</t>
        </is>
      </c>
      <c r="BA17" s="24" t="inlineStr">
        <is>
          <t>afe2fffd3c666e0d8f9040dcc6dedae587629fd14dee7043c87557d9d9d9e6e5</t>
        </is>
      </c>
      <c r="BB17" s="24" t="inlineStr">
        <is>
          <t>neutral_elo</t>
        </is>
      </c>
      <c r="BC17" s="24" t="inlineStr">
        <is>
          <t>valorant-tiered-elo-v5</t>
        </is>
      </c>
      <c r="BD17" s="24" t="inlineStr">
        <is>
          <t>afe2fffd3c666e0d8f9040dcc6dedae587629fd14dee7043c87557d9d9d9e6e5</t>
        </is>
      </c>
      <c r="BE17" s="24" t="inlineStr">
        <is>
          <t>1</t>
        </is>
      </c>
      <c r="BF17" s="24" t="inlineStr">
        <is>
          <t>1</t>
        </is>
      </c>
      <c r="BG17" s="24" t="inlineStr">
        <is>
          <t>valorant-tiered-elo-v5</t>
        </is>
      </c>
      <c r="BH17" s="24" t="inlineStr">
        <is>
          <t>2026-08-03T13:30:37.769993Z</t>
        </is>
      </c>
      <c r="BI17" s="24" t="inlineStr">
        <is>
          <t>["same_event","same_team_same_day","same_league_same_day"]</t>
        </is>
      </c>
      <c r="BJ17" s="25" t="n"/>
      <c r="BK17" s="26" t="n">
        <v>163</v>
      </c>
      <c r="BL17" s="27" t="n">
        <v>2.63</v>
      </c>
      <c r="BM17" s="28" t="n">
        <v>0.380228</v>
      </c>
      <c r="BN17" s="28" t="n"/>
      <c r="BO17" s="28" t="n"/>
      <c r="BP17" s="25" t="n"/>
      <c r="BQ17" s="27" t="n"/>
      <c r="BR17" s="28" t="n"/>
      <c r="BS17" s="28" t="n"/>
      <c r="BT17" s="28" t="n"/>
      <c r="BU17" s="25" t="n"/>
      <c r="BV17" s="29" t="n"/>
      <c r="BW17" s="24" t="n"/>
      <c r="BX17" s="30" t="n"/>
      <c r="BY17" s="27" t="n"/>
      <c r="BZ17" s="24" t="n"/>
      <c r="CA17" s="31" t="n"/>
      <c r="CB17" s="24" t="n"/>
      <c r="CC17" s="24" t="n"/>
      <c r="CD17" s="24" t="n"/>
      <c r="CE17" s="24" t="n"/>
      <c r="CF17" s="24" t="n"/>
      <c r="CG17" s="24" t="n"/>
      <c r="CH17" s="24" t="n"/>
      <c r="CI17" s="24" t="n"/>
      <c r="CJ17" s="24" t="n"/>
      <c r="CK17" s="24" t="n"/>
      <c r="CL17" s="24" t="n"/>
      <c r="CM17" s="24" t="n"/>
      <c r="CN17" s="24" t="n"/>
      <c r="CO17" s="24" t="n"/>
      <c r="CP17" s="24" t="n"/>
      <c r="CQ17" s="24" t="inlineStr">
        <is>
          <t>True</t>
        </is>
      </c>
    </row>
    <row r="18" ht="36" customHeight="1">
      <c r="A18" s="24" t="inlineStr">
        <is>
          <t>01f29585b76e45a6</t>
        </is>
      </c>
      <c r="B18" s="24" t="inlineStr">
        <is>
          <t>2026-08-03T13:30:41.417037Z</t>
        </is>
      </c>
      <c r="C18" s="24" t="inlineStr">
        <is>
          <t>2026-08-03T23:30:00Z</t>
        </is>
      </c>
      <c r="D18" s="24" t="inlineStr">
        <is>
          <t>68096</t>
        </is>
      </c>
      <c r="E18" s="24" t="inlineStr">
        <is>
          <t>VALORANT</t>
        </is>
      </c>
      <c r="F18" s="24" t="inlineStr">
        <is>
          <t>:3</t>
        </is>
      </c>
      <c r="G18" s="24" t="inlineStr">
        <is>
          <t>Cloud9 GC</t>
        </is>
      </c>
      <c r="H18" s="24" t="inlineStr">
        <is>
          <t>moneyline</t>
        </is>
      </c>
      <c r="I18" s="24" t="inlineStr">
        <is>
          <t>home</t>
        </is>
      </c>
      <c r="J18" s="25" t="n"/>
      <c r="K18" s="24" t="inlineStr">
        <is>
          <t>polymarket_us</t>
        </is>
      </c>
      <c r="L18" s="26" t="n">
        <v>-213</v>
      </c>
      <c r="M18" s="27" t="n">
        <v>1.469484</v>
      </c>
      <c r="N18" s="28" t="n">
        <v>0.680511</v>
      </c>
      <c r="O18" s="28" t="n">
        <v>0.526299</v>
      </c>
      <c r="P18" s="28" t="n"/>
      <c r="Q18" s="28" t="n">
        <v>-0.154212</v>
      </c>
      <c r="R18" s="26" t="n">
        <v>0</v>
      </c>
      <c r="S18" s="29" t="n">
        <v>1</v>
      </c>
      <c r="T18" s="24" t="inlineStr">
        <is>
          <t>valorant-tiered-elo-v5</t>
        </is>
      </c>
      <c r="U18" s="24" t="inlineStr">
        <is>
          <t>open</t>
        </is>
      </c>
      <c r="V18" s="24" t="n"/>
      <c r="W18" s="26" t="n"/>
      <c r="X18" s="26" t="n"/>
      <c r="Y18" s="25" t="n"/>
      <c r="Z18" s="26" t="n"/>
      <c r="AA18" s="28" t="n"/>
      <c r="AB18" s="28" t="n"/>
      <c r="AC18" s="30" t="n"/>
      <c r="AD18" s="24" t="n"/>
      <c r="AE18" s="31" t="inlineStr">
        <is>
          <t>Neutral Elo baseline; executable ask 0.6800 (market_slug=aec-valorant-c9gc-meow-2026-08-03).</t>
        </is>
      </c>
      <c r="AF18" s="31" t="inlineStr">
        <is>
          <t>Config-promoted esports baseline; gates enforced at log time.</t>
        </is>
      </c>
      <c r="AG18" s="24" t="inlineStr">
        <is>
          <t>not_applicable</t>
        </is>
      </c>
      <c r="AH18" s="24" t="n"/>
      <c r="AI18" s="31" t="n"/>
      <c r="AJ18" s="31" t="n"/>
      <c r="AK18" s="24" t="inlineStr">
        <is>
          <t>research_observation</t>
        </is>
      </c>
      <c r="AL18" s="26" t="n">
        <v>3</v>
      </c>
      <c r="AM18" s="24" t="inlineStr">
        <is>
          <t>RESEARCH_OBSERVATION</t>
        </is>
      </c>
      <c r="AN18" s="24" t="inlineStr">
        <is>
          <t>NO_CALL</t>
        </is>
      </c>
      <c r="AO18" s="24" t="inlineStr">
        <is>
          <t>NO_CALL_LOW_EDGE</t>
        </is>
      </c>
      <c r="AP18" s="24" t="inlineStr">
        <is>
          <t>:3</t>
        </is>
      </c>
      <c r="AQ18" s="24" t="inlineStr">
        <is>
          <t>:3</t>
        </is>
      </c>
      <c r="AR18" s="24" t="inlineStr">
        <is>
          <t>:3</t>
        </is>
      </c>
      <c r="AS18" s="24" t="inlineStr">
        <is>
          <t>Cloud9 GC</t>
        </is>
      </c>
      <c r="AT18" s="24" t="inlineStr">
        <is>
          <t>Cloud9 GC</t>
        </is>
      </c>
      <c r="AU18" s="24" t="inlineStr">
        <is>
          <t>Cloud9 GC</t>
        </is>
      </c>
      <c r="AV18" s="24" t="n"/>
      <c r="AW18" s="24" t="n"/>
      <c r="AX18" s="24" t="inlineStr">
        <is>
          <t>statistical_model</t>
        </is>
      </c>
      <c r="AY18" s="24" t="n"/>
      <c r="AZ18" s="24" t="inlineStr">
        <is>
          <t>shadow_qualified</t>
        </is>
      </c>
      <c r="BA18" s="24" t="inlineStr">
        <is>
          <t>afe2fffd3c666e0d8f9040dcc6dedae587629fd14dee7043c87557d9d9d9e6e5</t>
        </is>
      </c>
      <c r="BB18" s="24" t="inlineStr">
        <is>
          <t>neutral_elo</t>
        </is>
      </c>
      <c r="BC18" s="24" t="inlineStr">
        <is>
          <t>valorant-tiered-elo-v5</t>
        </is>
      </c>
      <c r="BD18" s="24" t="inlineStr">
        <is>
          <t>afe2fffd3c666e0d8f9040dcc6dedae587629fd14dee7043c87557d9d9d9e6e5</t>
        </is>
      </c>
      <c r="BE18" s="24" t="inlineStr">
        <is>
          <t>1</t>
        </is>
      </c>
      <c r="BF18" s="24" t="inlineStr">
        <is>
          <t>1</t>
        </is>
      </c>
      <c r="BG18" s="24" t="inlineStr">
        <is>
          <t>valorant-tiered-elo-v5</t>
        </is>
      </c>
      <c r="BH18" s="24" t="inlineStr">
        <is>
          <t>2026-08-03T13:30:38.405981Z</t>
        </is>
      </c>
      <c r="BI18" s="24" t="inlineStr">
        <is>
          <t>["same_event","same_team_same_day","same_league_same_day"]</t>
        </is>
      </c>
      <c r="BJ18" s="25" t="n"/>
      <c r="BK18" s="26" t="n">
        <v>-213</v>
      </c>
      <c r="BL18" s="27" t="n">
        <v>1.469484</v>
      </c>
      <c r="BM18" s="28" t="n">
        <v>0.680511</v>
      </c>
      <c r="BN18" s="28" t="n"/>
      <c r="BO18" s="28" t="n"/>
      <c r="BP18" s="25" t="n"/>
      <c r="BQ18" s="27" t="n"/>
      <c r="BR18" s="28" t="n"/>
      <c r="BS18" s="28" t="n"/>
      <c r="BT18" s="28" t="n"/>
      <c r="BU18" s="25" t="n"/>
      <c r="BV18" s="29" t="n"/>
      <c r="BW18" s="24" t="n"/>
      <c r="BX18" s="30" t="n"/>
      <c r="BY18" s="27" t="n"/>
      <c r="BZ18" s="24" t="n"/>
      <c r="CA18" s="31" t="n"/>
      <c r="CB18" s="24" t="n"/>
      <c r="CC18" s="24" t="n"/>
      <c r="CD18" s="24" t="n"/>
      <c r="CE18" s="24" t="n"/>
      <c r="CF18" s="24" t="n"/>
      <c r="CG18" s="24" t="n"/>
      <c r="CH18" s="24" t="n"/>
      <c r="CI18" s="24" t="n"/>
      <c r="CJ18" s="24" t="n"/>
      <c r="CK18" s="24" t="n"/>
      <c r="CL18" s="24" t="n"/>
      <c r="CM18" s="24" t="n"/>
      <c r="CN18" s="24" t="n"/>
      <c r="CO18" s="24" t="n"/>
      <c r="CP18" s="24" t="n"/>
      <c r="CQ18" s="24" t="inlineStr">
        <is>
          <t>False</t>
        </is>
      </c>
    </row>
    <row r="19" ht="36" customHeight="1">
      <c r="A19" s="24" t="inlineStr">
        <is>
          <t>2c58028321984b54</t>
        </is>
      </c>
      <c r="B19" s="24" t="inlineStr">
        <is>
          <t>2026-08-03T13:30:41.417037Z</t>
        </is>
      </c>
      <c r="C19" s="24" t="inlineStr">
        <is>
          <t>2026-08-03T23:30:00Z</t>
        </is>
      </c>
      <c r="D19" s="24" t="inlineStr">
        <is>
          <t>68097</t>
        </is>
      </c>
      <c r="E19" s="24" t="inlineStr">
        <is>
          <t>VALORANT</t>
        </is>
      </c>
      <c r="F19" s="24" t="inlineStr">
        <is>
          <t>Revitalize GC</t>
        </is>
      </c>
      <c r="G19" s="24" t="inlineStr">
        <is>
          <t>Eternal Focus Amethyst</t>
        </is>
      </c>
      <c r="H19" s="24" t="inlineStr">
        <is>
          <t>moneyline</t>
        </is>
      </c>
      <c r="I19" s="24" t="inlineStr">
        <is>
          <t>away</t>
        </is>
      </c>
      <c r="J19" s="25" t="n"/>
      <c r="K19" s="24" t="inlineStr">
        <is>
          <t>polymarket_us</t>
        </is>
      </c>
      <c r="L19" s="26" t="n">
        <v>-150</v>
      </c>
      <c r="M19" s="27" t="n">
        <v>1.666667</v>
      </c>
      <c r="N19" s="28" t="n">
        <v>0.6</v>
      </c>
      <c r="O19" s="28" t="n">
        <v>0.562827</v>
      </c>
      <c r="P19" s="28" t="n"/>
      <c r="Q19" s="28" t="n">
        <v>-0.037173</v>
      </c>
      <c r="R19" s="26" t="n">
        <v>1</v>
      </c>
      <c r="S19" s="29" t="n">
        <v>1</v>
      </c>
      <c r="T19" s="24" t="inlineStr">
        <is>
          <t>valorant-tiered-elo-v5</t>
        </is>
      </c>
      <c r="U19" s="24" t="inlineStr">
        <is>
          <t>open</t>
        </is>
      </c>
      <c r="V19" s="24" t="n"/>
      <c r="W19" s="26" t="n"/>
      <c r="X19" s="26" t="n"/>
      <c r="Y19" s="25" t="n"/>
      <c r="Z19" s="26" t="n"/>
      <c r="AA19" s="28" t="n"/>
      <c r="AB19" s="28" t="n"/>
      <c r="AC19" s="30" t="n"/>
      <c r="AD19" s="24" t="n"/>
      <c r="AE19" s="31" t="inlineStr">
        <is>
          <t>Neutral Elo baseline; executable ask 0.6000 (market_slug=aec-valorant-efa-rev-2026-08-03).</t>
        </is>
      </c>
      <c r="AF19" s="31" t="inlineStr">
        <is>
          <t>Config-promoted esports baseline; gates enforced at log time.</t>
        </is>
      </c>
      <c r="AG19" s="24" t="inlineStr">
        <is>
          <t>not_applicable</t>
        </is>
      </c>
      <c r="AH19" s="24" t="n"/>
      <c r="AI19" s="31" t="n"/>
      <c r="AJ19" s="31" t="n"/>
      <c r="AK19" s="24" t="inlineStr">
        <is>
          <t>research_observation</t>
        </is>
      </c>
      <c r="AL19" s="26" t="n">
        <v>3</v>
      </c>
      <c r="AM19" s="24" t="inlineStr">
        <is>
          <t>RESEARCH_OBSERVATION</t>
        </is>
      </c>
      <c r="AN19" s="24" t="inlineStr">
        <is>
          <t>NO_CALL</t>
        </is>
      </c>
      <c r="AO19" s="24" t="inlineStr">
        <is>
          <t>NO_CALL_MODEL_UNVALIDATED</t>
        </is>
      </c>
      <c r="AP19" s="24" t="inlineStr">
        <is>
          <t>Revitalize GC</t>
        </is>
      </c>
      <c r="AQ19" s="24" t="inlineStr">
        <is>
          <t>Revitalize GC</t>
        </is>
      </c>
      <c r="AR19" s="24" t="inlineStr">
        <is>
          <t>Revitalize GC</t>
        </is>
      </c>
      <c r="AS19" s="24" t="inlineStr">
        <is>
          <t>Eternal Focus Amethyst</t>
        </is>
      </c>
      <c r="AT19" s="24" t="inlineStr">
        <is>
          <t>Eternal Focus Amethyst</t>
        </is>
      </c>
      <c r="AU19" s="24" t="inlineStr">
        <is>
          <t>Eternal Focus Amethyst</t>
        </is>
      </c>
      <c r="AV19" s="24" t="n"/>
      <c r="AW19" s="24" t="n"/>
      <c r="AX19" s="24" t="inlineStr">
        <is>
          <t>statistical_model</t>
        </is>
      </c>
      <c r="AY19" s="24" t="n"/>
      <c r="AZ19" s="24" t="inlineStr">
        <is>
          <t>shadow_qualified</t>
        </is>
      </c>
      <c r="BA19" s="24" t="inlineStr">
        <is>
          <t>afe2fffd3c666e0d8f9040dcc6dedae587629fd14dee7043c87557d9d9d9e6e5</t>
        </is>
      </c>
      <c r="BB19" s="24" t="inlineStr">
        <is>
          <t>neutral_elo</t>
        </is>
      </c>
      <c r="BC19" s="24" t="inlineStr">
        <is>
          <t>valorant-tiered-elo-v5</t>
        </is>
      </c>
      <c r="BD19" s="24" t="inlineStr">
        <is>
          <t>afe2fffd3c666e0d8f9040dcc6dedae587629fd14dee7043c87557d9d9d9e6e5</t>
        </is>
      </c>
      <c r="BE19" s="24" t="inlineStr">
        <is>
          <t>1</t>
        </is>
      </c>
      <c r="BF19" s="24" t="inlineStr">
        <is>
          <t>1</t>
        </is>
      </c>
      <c r="BG19" s="24" t="inlineStr">
        <is>
          <t>valorant-tiered-elo-v5</t>
        </is>
      </c>
      <c r="BH19" s="24" t="inlineStr">
        <is>
          <t>2026-08-03T13:30:39.024596Z</t>
        </is>
      </c>
      <c r="BI19" s="24" t="inlineStr">
        <is>
          <t>["same_event","same_team_same_day","same_league_same_day"]</t>
        </is>
      </c>
      <c r="BJ19" s="25" t="n"/>
      <c r="BK19" s="26" t="n">
        <v>-150</v>
      </c>
      <c r="BL19" s="27" t="n">
        <v>1.666667</v>
      </c>
      <c r="BM19" s="28" t="n">
        <v>0.6</v>
      </c>
      <c r="BN19" s="28" t="n"/>
      <c r="BO19" s="28" t="n"/>
      <c r="BP19" s="25" t="n"/>
      <c r="BQ19" s="27" t="n"/>
      <c r="BR19" s="28" t="n"/>
      <c r="BS19" s="28" t="n"/>
      <c r="BT19" s="28" t="n"/>
      <c r="BU19" s="25" t="n"/>
      <c r="BV19" s="29" t="n"/>
      <c r="BW19" s="24" t="n"/>
      <c r="BX19" s="30" t="n"/>
      <c r="BY19" s="27" t="n"/>
      <c r="BZ19" s="24" t="n"/>
      <c r="CA19" s="31" t="n"/>
      <c r="CB19" s="24" t="n"/>
      <c r="CC19" s="24" t="n"/>
      <c r="CD19" s="24" t="n"/>
      <c r="CE19" s="24" t="n"/>
      <c r="CF19" s="24" t="n"/>
      <c r="CG19" s="24" t="n"/>
      <c r="CH19" s="24" t="n"/>
      <c r="CI19" s="24" t="n"/>
      <c r="CJ19" s="24" t="n"/>
      <c r="CK19" s="24" t="n"/>
      <c r="CL19" s="24" t="n"/>
      <c r="CM19" s="24" t="n"/>
      <c r="CN19" s="24" t="n"/>
      <c r="CO19" s="24" t="n"/>
      <c r="CP19" s="24" t="n"/>
      <c r="CQ19" s="24" t="inlineStr">
        <is>
          <t>False</t>
        </is>
      </c>
    </row>
    <row r="20" ht="36" customHeight="1">
      <c r="A20" s="24" t="inlineStr">
        <is>
          <t>c006882bd08b4782</t>
        </is>
      </c>
      <c r="B20" s="24" t="inlineStr">
        <is>
          <t>2026-08-03T13:30:41.417037Z</t>
        </is>
      </c>
      <c r="C20" s="24" t="inlineStr">
        <is>
          <t>2026-08-04T15:00:00Z</t>
        </is>
      </c>
      <c r="D20" s="24" t="inlineStr">
        <is>
          <t>68481</t>
        </is>
      </c>
      <c r="E20" s="24" t="inlineStr">
        <is>
          <t>VALORANT</t>
        </is>
      </c>
      <c r="F20" s="24" t="inlineStr">
        <is>
          <t>FOKUS Sakura</t>
        </is>
      </c>
      <c r="G20" s="24" t="inlineStr">
        <is>
          <t>Karmine Corp GC</t>
        </is>
      </c>
      <c r="H20" s="24" t="inlineStr">
        <is>
          <t>moneyline</t>
        </is>
      </c>
      <c r="I20" s="24" t="inlineStr">
        <is>
          <t>home</t>
        </is>
      </c>
      <c r="J20" s="25" t="n"/>
      <c r="K20" s="24" t="inlineStr">
        <is>
          <t>polymarket_us</t>
        </is>
      </c>
      <c r="L20" s="26" t="n">
        <v>163</v>
      </c>
      <c r="M20" s="27" t="n">
        <v>2.63</v>
      </c>
      <c r="N20" s="28" t="n">
        <v>0.380228</v>
      </c>
      <c r="O20" s="28" t="n">
        <v>0.521147</v>
      </c>
      <c r="P20" s="28" t="n"/>
      <c r="Q20" s="28" t="n">
        <v>0.140919</v>
      </c>
      <c r="R20" s="26" t="n">
        <v>90</v>
      </c>
      <c r="S20" s="29" t="n">
        <v>1</v>
      </c>
      <c r="T20" s="24" t="inlineStr">
        <is>
          <t>valorant-tiered-elo-v5</t>
        </is>
      </c>
      <c r="U20" s="24" t="inlineStr">
        <is>
          <t>open</t>
        </is>
      </c>
      <c r="V20" s="24" t="n"/>
      <c r="W20" s="26" t="n"/>
      <c r="X20" s="26" t="n"/>
      <c r="Y20" s="25" t="n"/>
      <c r="Z20" s="26" t="n"/>
      <c r="AA20" s="28" t="n"/>
      <c r="AB20" s="28" t="n"/>
      <c r="AC20" s="30" t="n"/>
      <c r="AD20" s="24" t="n"/>
      <c r="AE20" s="31" t="inlineStr">
        <is>
          <t>Neutral Elo baseline; executable ask 0.3800 (market_slug=aec-valorant-kcg-fso-2026-08-04).</t>
        </is>
      </c>
      <c r="AF20" s="31" t="inlineStr">
        <is>
          <t>Config-promoted esports baseline; gates enforced at log time.</t>
        </is>
      </c>
      <c r="AG20" s="24" t="inlineStr">
        <is>
          <t>not_applicable</t>
        </is>
      </c>
      <c r="AH20" s="24" t="n"/>
      <c r="AI20" s="31" t="n"/>
      <c r="AJ20" s="31" t="n"/>
      <c r="AK20" s="24" t="inlineStr">
        <is>
          <t>research_observation</t>
        </is>
      </c>
      <c r="AL20" s="26" t="n">
        <v>3</v>
      </c>
      <c r="AM20" s="24" t="inlineStr">
        <is>
          <t>RESEARCH_OBSERVATION</t>
        </is>
      </c>
      <c r="AN20" s="24" t="inlineStr">
        <is>
          <t>NO_CALL</t>
        </is>
      </c>
      <c r="AO20" s="24" t="inlineStr">
        <is>
          <t>NO_CALL_LOW_EDGE</t>
        </is>
      </c>
      <c r="AP20" s="24" t="inlineStr">
        <is>
          <t>FOKUS Sakura</t>
        </is>
      </c>
      <c r="AQ20" s="24" t="inlineStr">
        <is>
          <t>FOKUS Sakura</t>
        </is>
      </c>
      <c r="AR20" s="24" t="inlineStr">
        <is>
          <t>FOKUS Sakura</t>
        </is>
      </c>
      <c r="AS20" s="24" t="inlineStr">
        <is>
          <t>Karmine Corp GC</t>
        </is>
      </c>
      <c r="AT20" s="24" t="inlineStr">
        <is>
          <t>Karmine Corp GC</t>
        </is>
      </c>
      <c r="AU20" s="24" t="inlineStr">
        <is>
          <t>Karmine Corp GC</t>
        </is>
      </c>
      <c r="AV20" s="24" t="n"/>
      <c r="AW20" s="24" t="n"/>
      <c r="AX20" s="24" t="inlineStr">
        <is>
          <t>statistical_model</t>
        </is>
      </c>
      <c r="AY20" s="24" t="n"/>
      <c r="AZ20" s="24" t="inlineStr">
        <is>
          <t>shadow_qualified</t>
        </is>
      </c>
      <c r="BA20" s="24" t="inlineStr">
        <is>
          <t>afe2fffd3c666e0d8f9040dcc6dedae587629fd14dee7043c87557d9d9d9e6e5</t>
        </is>
      </c>
      <c r="BB20" s="24" t="inlineStr">
        <is>
          <t>neutral_elo</t>
        </is>
      </c>
      <c r="BC20" s="24" t="inlineStr">
        <is>
          <t>valorant-tiered-elo-v5</t>
        </is>
      </c>
      <c r="BD20" s="24" t="inlineStr">
        <is>
          <t>afe2fffd3c666e0d8f9040dcc6dedae587629fd14dee7043c87557d9d9d9e6e5</t>
        </is>
      </c>
      <c r="BE20" s="24" t="inlineStr">
        <is>
          <t>1</t>
        </is>
      </c>
      <c r="BF20" s="24" t="inlineStr">
        <is>
          <t>1</t>
        </is>
      </c>
      <c r="BG20" s="24" t="inlineStr">
        <is>
          <t>valorant-tiered-elo-v5</t>
        </is>
      </c>
      <c r="BH20" s="24" t="inlineStr">
        <is>
          <t>2026-08-03T13:30:40.149656Z</t>
        </is>
      </c>
      <c r="BI20" s="24" t="inlineStr">
        <is>
          <t>["same_event","same_team_same_day","same_league_same_day"]</t>
        </is>
      </c>
      <c r="BJ20" s="25" t="n"/>
      <c r="BK20" s="26" t="n">
        <v>163</v>
      </c>
      <c r="BL20" s="27" t="n">
        <v>2.63</v>
      </c>
      <c r="BM20" s="28" t="n">
        <v>0.380228</v>
      </c>
      <c r="BN20" s="28" t="n"/>
      <c r="BO20" s="28" t="n"/>
      <c r="BP20" s="25" t="n"/>
      <c r="BQ20" s="27" t="n"/>
      <c r="BR20" s="28" t="n"/>
      <c r="BS20" s="28" t="n"/>
      <c r="BT20" s="28" t="n"/>
      <c r="BU20" s="25" t="n"/>
      <c r="BV20" s="29" t="n"/>
      <c r="BW20" s="24" t="n"/>
      <c r="BX20" s="30" t="n"/>
      <c r="BY20" s="27" t="n"/>
      <c r="BZ20" s="24" t="n"/>
      <c r="CA20" s="31" t="n"/>
      <c r="CB20" s="24" t="n"/>
      <c r="CC20" s="24" t="n"/>
      <c r="CD20" s="24" t="n"/>
      <c r="CE20" s="24" t="n"/>
      <c r="CF20" s="24" t="n"/>
      <c r="CG20" s="24" t="n"/>
      <c r="CH20" s="24" t="n"/>
      <c r="CI20" s="24" t="n"/>
      <c r="CJ20" s="24" t="n"/>
      <c r="CK20" s="24" t="n"/>
      <c r="CL20" s="24" t="n"/>
      <c r="CM20" s="24" t="n"/>
      <c r="CN20" s="24" t="n"/>
      <c r="CO20" s="24" t="n"/>
      <c r="CP20" s="24" t="n"/>
      <c r="CQ20" s="24" t="inlineStr">
        <is>
          <t>True</t>
        </is>
      </c>
    </row>
  </sheetData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Model Prediction</dc:creator>
  <dc:title>Model Prediction Picks Ledger</dc:title>
  <dc:subject>Shadow-only sports forecasting research ledger</dc:subject>
  <dcterms:created xsi:type="dcterms:W3CDTF">2026-08-03T13:31:26Z</dcterms:created>
  <dcterms:modified xsi:type="dcterms:W3CDTF">2026-08-03T13:31:26Z</dcterms:modified>
</cp:coreProperties>
</file>