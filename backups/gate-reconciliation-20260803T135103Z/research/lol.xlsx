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37" headerRowCount="1">
  <autoFilter ref="A1:CQ37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COUNTA('Picks'!$A$2:$A$37)</f>
        <v/>
      </c>
      <c r="C4" s="6">
        <f>COUNTIF('Picks'!$U$2:$U$37,"open")</f>
        <v/>
      </c>
      <c r="E4" s="6">
        <f>COUNTIF('Picks'!$U$2:$U$37,"settled")</f>
        <v/>
      </c>
      <c r="G4" s="6">
        <f>IF(COUNTIFS('Picks'!$U$2:$U$37,"settled",'Picks'!$V$2:$V$37,"win")+COUNTIFS('Picks'!$U$2:$U$37,"settled",'Picks'!$V$2:$V$37,"loss")&gt;=$L$2,"Ready","Insufficient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COUNTIF('Picks'!$BX$2:$BX$37,"&gt;0")</f>
        <v/>
      </c>
      <c r="C7" s="6">
        <f>COUNTIFS('Picks'!$BX$2:$BX$37,"&gt;0",'Picks'!$V$2:$V$37,"win")&amp;"-"&amp;COUNTIFS('Picks'!$BX$2:$BX$37,"&gt;0",'Picks'!$V$2:$V$37,"loss")</f>
        <v/>
      </c>
      <c r="E7" s="7">
        <f>IFERROR(COUNTIFS('Picks'!$BX$2:$BX$37,"&gt;0",'Picks'!$V$2:$V$37,"win")/(COUNTIFS('Picks'!$BX$2:$BX$37,"&gt;0",'Picks'!$V$2:$V$37,"win")+COUNTIFS('Picks'!$BX$2:$BX$37,"&gt;0",'Picks'!$V$2:$V$37,"loss")),0)</f>
        <v/>
      </c>
      <c r="G7" s="7">
        <f>IFERROR(SUM('Picks'!$BY$2:$BY$37)/SUM('Picks'!$BX$2:$BX$37),0)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SUM('Picks'!$BY$2:$BY$37)</f>
        <v/>
      </c>
      <c r="C10" s="9">
        <f>IFERROR(AVERAGEIF('Picks'!$AB$2:$AB$37,"&lt;&gt;",'Picks'!$AB$2:$AB$37),0)</f>
        <v/>
      </c>
      <c r="E10" s="6">
        <f>COUNTIFS('Picks'!$AM$2:$AM$37,"QUALIFIED_SHADOW_CALL",'Picks'!$U$2:$U$37,"settled")</f>
        <v/>
      </c>
      <c r="G10" s="8">
        <f>SUMIFS('Picks'!$AC$2:$AC$37,'Picks'!$AM$2:$AM$37,"QUALIFIED_SHADOW_CALL")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COUNTIFS('Picks'!$H$2:$H$37,$A14,'Picks'!$U$2:$U$37,"settled")</f>
        <v/>
      </c>
      <c r="C14" s="13">
        <f>COUNTIFS('Picks'!$H$2:$H$37,$A14,'Picks'!$U$2:$U$37,"settled",'Picks'!$V$2:$V$37,"win")</f>
        <v/>
      </c>
      <c r="D14" s="13">
        <f>COUNTIFS('Picks'!$H$2:$H$37,$A14,'Picks'!$U$2:$U$37,"settled",'Picks'!$V$2:$V$37,"loss")</f>
        <v/>
      </c>
      <c r="E14" s="14">
        <f>IFERROR(C14/(C14+D14),0)</f>
        <v/>
      </c>
      <c r="F14" s="15">
        <f>SUMIFS('Picks'!$BY$2:$BY$37,'Picks'!$H$2:$H$37,$A14)</f>
        <v/>
      </c>
      <c r="G14" s="16">
        <f>IFERROR(AVERAGEIFS('Picks'!$AB$2:$AB$37,'Picks'!$H$2:$H$37,$A14,'Picks'!$U$2:$U$37,"settled"),0)</f>
        <v/>
      </c>
    </row>
    <row r="15">
      <c r="A15" s="17" t="inlineStr">
        <is>
          <t>spread</t>
        </is>
      </c>
      <c r="B15" s="18">
        <f>COUNTIFS('Picks'!$H$2:$H$37,$A15,'Picks'!$U$2:$U$37,"settled")</f>
        <v/>
      </c>
      <c r="C15" s="18">
        <f>COUNTIFS('Picks'!$H$2:$H$37,$A15,'Picks'!$U$2:$U$37,"settled",'Picks'!$V$2:$V$37,"win")</f>
        <v/>
      </c>
      <c r="D15" s="18">
        <f>COUNTIFS('Picks'!$H$2:$H$37,$A15,'Picks'!$U$2:$U$37,"settled",'Picks'!$V$2:$V$37,"loss")</f>
        <v/>
      </c>
      <c r="E15" s="19">
        <f>IFERROR(C15/(C15+D15),0)</f>
        <v/>
      </c>
      <c r="F15" s="20">
        <f>SUMIFS('Picks'!$BY$2:$BY$37,'Picks'!$H$2:$H$37,$A15)</f>
        <v/>
      </c>
      <c r="G15" s="21">
        <f>IFERROR(AVERAGEIFS('Picks'!$AB$2:$AB$37,'Picks'!$H$2:$H$37,$A15,'Picks'!$U$2:$U$37,"settled"),0)</f>
        <v/>
      </c>
    </row>
    <row r="16">
      <c r="A16" s="12" t="inlineStr">
        <is>
          <t>total</t>
        </is>
      </c>
      <c r="B16" s="13">
        <f>COUNTIFS('Picks'!$H$2:$H$37,$A16,'Picks'!$U$2:$U$37,"settled")</f>
        <v/>
      </c>
      <c r="C16" s="13">
        <f>COUNTIFS('Picks'!$H$2:$H$37,$A16,'Picks'!$U$2:$U$37,"settled",'Picks'!$V$2:$V$37,"win")</f>
        <v/>
      </c>
      <c r="D16" s="13">
        <f>COUNTIFS('Picks'!$H$2:$H$37,$A16,'Picks'!$U$2:$U$37,"settled",'Picks'!$V$2:$V$37,"loss")</f>
        <v/>
      </c>
      <c r="E16" s="14">
        <f>IFERROR(C16/(C16+D16),0)</f>
        <v/>
      </c>
      <c r="F16" s="15">
        <f>SUMIFS('Picks'!$BY$2:$BY$37,'Picks'!$H$2:$H$37,$A16)</f>
        <v/>
      </c>
      <c r="G16" s="16">
        <f>IFERROR(AVERAGEIFS('Picks'!$AB$2:$AB$37,'Picks'!$H$2:$H$37,$A16,'Picks'!$U$2:$U$37,"settled"),0)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036695e0425c40b1</t>
        </is>
      </c>
      <c r="B2" s="24" t="inlineStr">
        <is>
          <t>2026-07-31T11:11:14.446863Z</t>
        </is>
      </c>
      <c r="C2" s="24" t="inlineStr">
        <is>
          <t>2026-07-31T11:30:00Z</t>
        </is>
      </c>
      <c r="D2" s="24" t="inlineStr">
        <is>
          <t>64844</t>
        </is>
      </c>
      <c r="E2" s="24" t="inlineStr">
        <is>
          <t>LOL</t>
        </is>
      </c>
      <c r="F2" s="24" t="inlineStr">
        <is>
          <t>GAM Esports</t>
        </is>
      </c>
      <c r="G2" s="24" t="inlineStr">
        <is>
          <t>CTBC Flying Oyster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-186</v>
      </c>
      <c r="M2" s="27" t="n">
        <v>1.537634</v>
      </c>
      <c r="N2" s="28" t="n">
        <v>0.65035</v>
      </c>
      <c r="O2" s="28" t="n">
        <v>0.580358</v>
      </c>
      <c r="P2" s="28" t="n"/>
      <c r="Q2" s="28" t="n">
        <v>-0.069992</v>
      </c>
      <c r="R2" s="26" t="n">
        <v>0</v>
      </c>
      <c r="S2" s="29" t="n">
        <v>1.25</v>
      </c>
      <c r="T2" s="24" t="inlineStr">
        <is>
          <t>lol-tiered-elo-v5</t>
        </is>
      </c>
      <c r="U2" s="24" t="inlineStr">
        <is>
          <t>settled</t>
        </is>
      </c>
      <c r="V2" s="24" t="inlineStr">
        <is>
          <t>loss</t>
        </is>
      </c>
      <c r="W2" s="26" t="n">
        <v>0</v>
      </c>
      <c r="X2" s="26" t="n">
        <v>1</v>
      </c>
      <c r="Y2" s="25" t="n"/>
      <c r="Z2" s="26" t="n">
        <v>-186</v>
      </c>
      <c r="AA2" s="28" t="n">
        <v>0.65</v>
      </c>
      <c r="AB2" s="28" t="n">
        <v>-0.00035</v>
      </c>
      <c r="AC2" s="30" t="n">
        <v>-1.25</v>
      </c>
      <c r="AD2" s="24" t="inlineStr">
        <is>
          <t>2026-07-31T16:44:50.905472Z</t>
        </is>
      </c>
      <c r="AE2" s="31" t="inlineStr">
        <is>
          <t>Neutral Elo baseline; executable ask 0.6500 (market_slug=aec-lol-cfo-gam-2026-07-31).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GAM Esports</t>
        </is>
      </c>
      <c r="AQ2" s="24" t="inlineStr">
        <is>
          <t>GAM Esports</t>
        </is>
      </c>
      <c r="AR2" s="24" t="inlineStr">
        <is>
          <t>GAM Esports</t>
        </is>
      </c>
      <c r="AS2" s="24" t="inlineStr">
        <is>
          <t>CTBC Flying Oyster</t>
        </is>
      </c>
      <c r="AT2" s="24" t="inlineStr">
        <is>
          <t>CTBC Flying Oyster</t>
        </is>
      </c>
      <c r="AU2" s="24" t="inlineStr">
        <is>
          <t>CTBC Flying Oyster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2a7cdeadeb467f851aeb01c3b6a4d0d2edb85063547e6182022a9f1dcab6af1f</t>
        </is>
      </c>
      <c r="BB2" s="24" t="inlineStr">
        <is>
          <t>neutral_elo</t>
        </is>
      </c>
      <c r="BC2" s="24" t="inlineStr">
        <is>
          <t>lol-tiered-elo-v5</t>
        </is>
      </c>
      <c r="BD2" s="24" t="inlineStr">
        <is>
          <t>2a7cdeadeb467f851aeb01c3b6a4d0d2edb85063547e6182022a9f1dcab6af1f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lol-tiered-elo-v5</t>
        </is>
      </c>
      <c r="BH2" s="24" t="inlineStr">
        <is>
          <t>2026-07-31T11:11:02.174606Z</t>
        </is>
      </c>
      <c r="BI2" s="24" t="inlineStr">
        <is>
          <t>["same_event","same_team_same_day","same_league_same_day"]</t>
        </is>
      </c>
      <c r="BJ2" s="25" t="n"/>
      <c r="BK2" s="26" t="n">
        <v>-186</v>
      </c>
      <c r="BL2" s="27" t="n">
        <v>1.537634</v>
      </c>
      <c r="BM2" s="28" t="n">
        <v>0.65035</v>
      </c>
      <c r="BN2" s="28" t="n"/>
      <c r="BO2" s="28" t="n"/>
      <c r="BP2" s="25" t="n"/>
      <c r="BQ2" s="27" t="n">
        <v>1.537634</v>
      </c>
      <c r="BR2" s="28" t="n">
        <v>0.65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98e3e62a5e364cf6</t>
        </is>
      </c>
      <c r="B3" s="24" t="inlineStr">
        <is>
          <t>2026-07-31T13:43:35.049398Z</t>
        </is>
      </c>
      <c r="C3" s="24" t="inlineStr">
        <is>
          <t>2026-07-31T16:00:00Z</t>
        </is>
      </c>
      <c r="D3" s="24" t="inlineStr">
        <is>
          <t>65014</t>
        </is>
      </c>
      <c r="E3" s="24" t="inlineStr">
        <is>
          <t>LOL</t>
        </is>
      </c>
      <c r="F3" s="24" t="inlineStr">
        <is>
          <t>GMBLERS ESPORTS</t>
        </is>
      </c>
      <c r="G3" s="24" t="inlineStr">
        <is>
          <t>EKO Esports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-203</v>
      </c>
      <c r="M3" s="27" t="n">
        <v>1.492611</v>
      </c>
      <c r="N3" s="28" t="n">
        <v>0.669967</v>
      </c>
      <c r="O3" s="28" t="n">
        <v>0.590657</v>
      </c>
      <c r="P3" s="28" t="n"/>
      <c r="Q3" s="28" t="n">
        <v>-0.07931000000000001</v>
      </c>
      <c r="R3" s="26" t="n">
        <v>0</v>
      </c>
      <c r="S3" s="29" t="n">
        <v>1.25</v>
      </c>
      <c r="T3" s="24" t="inlineStr">
        <is>
          <t>lol-tiered-elo-v5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-203</v>
      </c>
      <c r="AA3" s="28" t="n">
        <v>0.67</v>
      </c>
      <c r="AB3" s="28" t="n">
        <v>3.3e-05</v>
      </c>
      <c r="AC3" s="30" t="n">
        <v>0.6158</v>
      </c>
      <c r="AD3" s="24" t="inlineStr">
        <is>
          <t>2026-07-31T19:51:11.567292Z</t>
        </is>
      </c>
      <c r="AE3" s="31" t="inlineStr">
        <is>
          <t>Neutral Elo baseline; executable ask 0.6700 (market_slug=aec-lol-eko-gmb-2026-07-31).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NO_CALL_LOW_EDGE</t>
        </is>
      </c>
      <c r="AP3" s="24" t="inlineStr">
        <is>
          <t>GMBLERS ESPORTS</t>
        </is>
      </c>
      <c r="AQ3" s="24" t="inlineStr">
        <is>
          <t>GMBLERS ESPORTS</t>
        </is>
      </c>
      <c r="AR3" s="24" t="inlineStr">
        <is>
          <t>GMBLERS ESPORTS</t>
        </is>
      </c>
      <c r="AS3" s="24" t="inlineStr">
        <is>
          <t>EKO Esports</t>
        </is>
      </c>
      <c r="AT3" s="24" t="inlineStr">
        <is>
          <t>EKO Esports</t>
        </is>
      </c>
      <c r="AU3" s="24" t="inlineStr">
        <is>
          <t>EKO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7e4c94e150f0de14fffb0002cc9d1aa3c0cfeb50f202a4fecc0131c004b46275</t>
        </is>
      </c>
      <c r="BB3" s="24" t="inlineStr">
        <is>
          <t>neutral_elo</t>
        </is>
      </c>
      <c r="BC3" s="24" t="inlineStr">
        <is>
          <t>lol-tiered-elo-v5</t>
        </is>
      </c>
      <c r="BD3" s="24" t="inlineStr">
        <is>
          <t>7e4c94e150f0de14fffb0002cc9d1aa3c0cfeb50f202a4fecc0131c004b46275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lol-tiered-elo-v5</t>
        </is>
      </c>
      <c r="BH3" s="24" t="inlineStr">
        <is>
          <t>2026-07-31T13:43:24.176689Z</t>
        </is>
      </c>
      <c r="BI3" s="24" t="inlineStr">
        <is>
          <t>["same_event","same_team_same_day","same_league_same_day"]</t>
        </is>
      </c>
      <c r="BJ3" s="25" t="n"/>
      <c r="BK3" s="26" t="n">
        <v>-203</v>
      </c>
      <c r="BL3" s="27" t="n">
        <v>1.492611</v>
      </c>
      <c r="BM3" s="28" t="n">
        <v>0.669967</v>
      </c>
      <c r="BN3" s="28" t="n"/>
      <c r="BO3" s="28" t="n"/>
      <c r="BP3" s="25" t="n"/>
      <c r="BQ3" s="27" t="n">
        <v>1.492611</v>
      </c>
      <c r="BR3" s="28" t="n">
        <v>0.67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4b91a1ca29d14572</t>
        </is>
      </c>
      <c r="B4" s="24" t="inlineStr">
        <is>
          <t>2026-07-31T16:49:55.389963Z</t>
        </is>
      </c>
      <c r="C4" s="24" t="inlineStr">
        <is>
          <t>2026-07-31T19:00:00Z</t>
        </is>
      </c>
      <c r="D4" s="24" t="inlineStr">
        <is>
          <t>65154</t>
        </is>
      </c>
      <c r="E4" s="24" t="inlineStr">
        <is>
          <t>LOL</t>
        </is>
      </c>
      <c r="F4" s="24" t="inlineStr">
        <is>
          <t>TITANS</t>
        </is>
      </c>
      <c r="G4" s="24" t="inlineStr">
        <is>
          <t>Zena Esports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-178</v>
      </c>
      <c r="M4" s="27" t="n">
        <v>1.561798</v>
      </c>
      <c r="N4" s="28" t="n">
        <v>0.640288</v>
      </c>
      <c r="O4" s="28" t="n">
        <v>0.551378</v>
      </c>
      <c r="P4" s="28" t="n"/>
      <c r="Q4" s="28" t="n">
        <v>-0.08891</v>
      </c>
      <c r="R4" s="26" t="n">
        <v>0</v>
      </c>
      <c r="S4" s="29" t="n">
        <v>1</v>
      </c>
      <c r="T4" s="24" t="inlineStr">
        <is>
          <t>lol-tiered-elo-v5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-178</v>
      </c>
      <c r="AA4" s="28" t="n">
        <v>0.64</v>
      </c>
      <c r="AB4" s="28" t="n">
        <v>-0.000288</v>
      </c>
      <c r="AC4" s="30" t="n">
        <v>0.5618</v>
      </c>
      <c r="AD4" s="24" t="inlineStr">
        <is>
          <t>2026-07-31T21:03:28.790314Z</t>
        </is>
      </c>
      <c r="AE4" s="31" t="inlineStr">
        <is>
          <t>Neutral Elo baseline; executable ask 0.6400 (market_slug=aec-lol-zena-tts-2026-07-31).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TITANS</t>
        </is>
      </c>
      <c r="AQ4" s="24" t="inlineStr">
        <is>
          <t>TITANS</t>
        </is>
      </c>
      <c r="AR4" s="24" t="inlineStr">
        <is>
          <t>TITANS</t>
        </is>
      </c>
      <c r="AS4" s="24" t="inlineStr">
        <is>
          <t>Zena Esports</t>
        </is>
      </c>
      <c r="AT4" s="24" t="inlineStr">
        <is>
          <t>Zena Esports</t>
        </is>
      </c>
      <c r="AU4" s="24" t="inlineStr">
        <is>
          <t>Zena Esports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233c5d9b27f5ad8038707b95edcc94c8b80ac00bcd61ef8cbf18d92fd09abe82</t>
        </is>
      </c>
      <c r="BB4" s="24" t="inlineStr">
        <is>
          <t>neutral_elo</t>
        </is>
      </c>
      <c r="BC4" s="24" t="inlineStr">
        <is>
          <t>lol-tiered-elo-v5</t>
        </is>
      </c>
      <c r="BD4" s="24" t="inlineStr">
        <is>
          <t>233c5d9b27f5ad8038707b95edcc94c8b80ac00bcd61ef8cbf18d92fd09abe82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lol-tiered-elo-v5</t>
        </is>
      </c>
      <c r="BH4" s="24" t="inlineStr">
        <is>
          <t>2026-07-31T16:49:44.453394Z</t>
        </is>
      </c>
      <c r="BI4" s="24" t="inlineStr">
        <is>
          <t>["same_event","same_team_same_day","same_league_same_day"]</t>
        </is>
      </c>
      <c r="BJ4" s="25" t="n"/>
      <c r="BK4" s="26" t="n">
        <v>-178</v>
      </c>
      <c r="BL4" s="27" t="n">
        <v>1.561798</v>
      </c>
      <c r="BM4" s="28" t="n">
        <v>0.640288</v>
      </c>
      <c r="BN4" s="28" t="n"/>
      <c r="BO4" s="28" t="n"/>
      <c r="BP4" s="25" t="n"/>
      <c r="BQ4" s="27" t="n">
        <v>1.561798</v>
      </c>
      <c r="BR4" s="28" t="n">
        <v>0.64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440106cd51864db1</t>
        </is>
      </c>
      <c r="B5" s="24" t="inlineStr">
        <is>
          <t>2026-07-31T19:56:30.996664Z</t>
        </is>
      </c>
      <c r="C5" s="24" t="inlineStr">
        <is>
          <t>2026-07-31T21:00:00Z</t>
        </is>
      </c>
      <c r="D5" s="24" t="inlineStr">
        <is>
          <t>65517</t>
        </is>
      </c>
      <c r="E5" s="24" t="inlineStr">
        <is>
          <t>LOL</t>
        </is>
      </c>
      <c r="F5" s="24" t="inlineStr">
        <is>
          <t>Cupid Esports</t>
        </is>
      </c>
      <c r="G5" s="24" t="inlineStr">
        <is>
          <t>Maryville University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144</v>
      </c>
      <c r="M5" s="27" t="n">
        <v>2.44</v>
      </c>
      <c r="N5" s="28" t="n">
        <v>0.409836</v>
      </c>
      <c r="O5" s="28" t="n">
        <v>0.539832</v>
      </c>
      <c r="P5" s="28" t="n"/>
      <c r="Q5" s="28" t="n">
        <v>0.129996</v>
      </c>
      <c r="R5" s="26" t="n">
        <v>85</v>
      </c>
      <c r="S5" s="29" t="n">
        <v>1</v>
      </c>
      <c r="T5" s="24" t="inlineStr">
        <is>
          <t>lol-tiered-elo-v5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144</v>
      </c>
      <c r="AA5" s="28" t="n">
        <v>0.41</v>
      </c>
      <c r="AB5" s="28" t="n">
        <v>0.000164</v>
      </c>
      <c r="AC5" s="30" t="n">
        <v>-1</v>
      </c>
      <c r="AD5" s="24" t="inlineStr">
        <is>
          <t>2026-07-31T23:28:37.444255Z</t>
        </is>
      </c>
      <c r="AE5" s="31" t="inlineStr">
        <is>
          <t>Neutral Elo baseline; executable ask 0.4100 (market_slug=aec-lol-mvu-cpd-2026-07-31).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NO_CALL_LOW_EDGE</t>
        </is>
      </c>
      <c r="AP5" s="24" t="inlineStr">
        <is>
          <t>Cupid Esports</t>
        </is>
      </c>
      <c r="AQ5" s="24" t="inlineStr">
        <is>
          <t>Cupid Esports</t>
        </is>
      </c>
      <c r="AR5" s="24" t="inlineStr">
        <is>
          <t>Cupid Esports</t>
        </is>
      </c>
      <c r="AS5" s="24" t="inlineStr">
        <is>
          <t>Maryville University</t>
        </is>
      </c>
      <c r="AT5" s="24" t="inlineStr">
        <is>
          <t>Maryville University</t>
        </is>
      </c>
      <c r="AU5" s="24" t="inlineStr">
        <is>
          <t>Maryville University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8351cdc7f5111d26d33629b081a9517f8dbccce1e120d273720dbe1d72080b31</t>
        </is>
      </c>
      <c r="BB5" s="24" t="inlineStr">
        <is>
          <t>neutral_elo</t>
        </is>
      </c>
      <c r="BC5" s="24" t="inlineStr">
        <is>
          <t>lol-tiered-elo-v5</t>
        </is>
      </c>
      <c r="BD5" s="24" t="inlineStr">
        <is>
          <t>8351cdc7f5111d26d33629b081a9517f8dbccce1e120d273720dbe1d72080b31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lol-tiered-elo-v5</t>
        </is>
      </c>
      <c r="BH5" s="24" t="inlineStr">
        <is>
          <t>2026-07-31T19:56:21.312923Z</t>
        </is>
      </c>
      <c r="BI5" s="24" t="inlineStr">
        <is>
          <t>["same_event","same_team_same_day","same_league_same_day"]</t>
        </is>
      </c>
      <c r="BJ5" s="25" t="n"/>
      <c r="BK5" s="26" t="n">
        <v>144</v>
      </c>
      <c r="BL5" s="27" t="n">
        <v>2.44</v>
      </c>
      <c r="BM5" s="28" t="n">
        <v>0.409836</v>
      </c>
      <c r="BN5" s="28" t="n"/>
      <c r="BO5" s="28" t="n"/>
      <c r="BP5" s="25" t="n"/>
      <c r="BQ5" s="27" t="n">
        <v>2.44</v>
      </c>
      <c r="BR5" s="28" t="n">
        <v>0.41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bc326a74e51b42e3</t>
        </is>
      </c>
      <c r="B6" s="24" t="inlineStr">
        <is>
          <t>2026-08-01T06:41:46.814528Z</t>
        </is>
      </c>
      <c r="C6" s="24" t="inlineStr">
        <is>
          <t>2026-08-01T08:00:00Z</t>
        </is>
      </c>
      <c r="D6" s="24" t="inlineStr">
        <is>
          <t>65819</t>
        </is>
      </c>
      <c r="E6" s="24" t="inlineStr">
        <is>
          <t>LOL</t>
        </is>
      </c>
      <c r="F6" s="24" t="inlineStr">
        <is>
          <t>BNK FEARX</t>
        </is>
      </c>
      <c r="G6" s="24" t="inlineStr">
        <is>
          <t>Nongshim Red Force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117</v>
      </c>
      <c r="M6" s="27" t="n">
        <v>2.17</v>
      </c>
      <c r="N6" s="28" t="n">
        <v>0.460829</v>
      </c>
      <c r="O6" s="28" t="n">
        <v>0.556975</v>
      </c>
      <c r="P6" s="28" t="n"/>
      <c r="Q6" s="28" t="n">
        <v>0.096146</v>
      </c>
      <c r="R6" s="26" t="n">
        <v>68</v>
      </c>
      <c r="S6" s="29" t="n">
        <v>1</v>
      </c>
      <c r="T6" s="24" t="inlineStr">
        <is>
          <t>lol-tiered-elo-v5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117</v>
      </c>
      <c r="AA6" s="28" t="n">
        <v>0.46</v>
      </c>
      <c r="AB6" s="28" t="n">
        <v>-0.000829</v>
      </c>
      <c r="AC6" s="30" t="n">
        <v>1.17</v>
      </c>
      <c r="AD6" s="24" t="inlineStr">
        <is>
          <t>2026-08-01T13:41:08.914662Z</t>
        </is>
      </c>
      <c r="AE6" s="31" t="inlineStr">
        <is>
          <t>Neutral Elo baseline; executable ask 0.4600 (market_slug=aec-lol-ns-bfx-2026-08-01).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BNK FEARX</t>
        </is>
      </c>
      <c r="AQ6" s="24" t="inlineStr">
        <is>
          <t>BNK FEARX</t>
        </is>
      </c>
      <c r="AR6" s="24" t="inlineStr">
        <is>
          <t>BNK FEARX</t>
        </is>
      </c>
      <c r="AS6" s="24" t="inlineStr">
        <is>
          <t>Nongshim Red Force</t>
        </is>
      </c>
      <c r="AT6" s="24" t="inlineStr">
        <is>
          <t>Nongshim Red Force</t>
        </is>
      </c>
      <c r="AU6" s="24" t="inlineStr">
        <is>
          <t>Nongshim Red Force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c61cc9d3c53952a2d4111be692cacdf7a1a440dd2df7c5d30197b2be280180db</t>
        </is>
      </c>
      <c r="BB6" s="24" t="inlineStr">
        <is>
          <t>neutral_elo</t>
        </is>
      </c>
      <c r="BC6" s="24" t="inlineStr">
        <is>
          <t>lol-tiered-elo-v5</t>
        </is>
      </c>
      <c r="BD6" s="24" t="inlineStr">
        <is>
          <t>c61cc9d3c53952a2d4111be692cacdf7a1a440dd2df7c5d30197b2be280180db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lol-tiered-elo-v5</t>
        </is>
      </c>
      <c r="BH6" s="24" t="inlineStr">
        <is>
          <t>2026-08-01T06:41:28.116348Z</t>
        </is>
      </c>
      <c r="BI6" s="24" t="inlineStr">
        <is>
          <t>["same_event","same_team_same_day","same_league_same_day"]</t>
        </is>
      </c>
      <c r="BJ6" s="25" t="n"/>
      <c r="BK6" s="26" t="n">
        <v>117</v>
      </c>
      <c r="BL6" s="27" t="n">
        <v>2.17</v>
      </c>
      <c r="BM6" s="28" t="n">
        <v>0.460829</v>
      </c>
      <c r="BN6" s="28" t="n"/>
      <c r="BO6" s="28" t="n"/>
      <c r="BP6" s="25" t="n"/>
      <c r="BQ6" s="27" t="n">
        <v>2.17</v>
      </c>
      <c r="BR6" s="28" t="n">
        <v>0.46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7114c28c1bc4422a</t>
        </is>
      </c>
      <c r="B7" s="24" t="inlineStr">
        <is>
          <t>2026-08-01T06:41:46.814528Z</t>
        </is>
      </c>
      <c r="C7" s="24" t="inlineStr">
        <is>
          <t>2026-08-01T10:00:00Z</t>
        </is>
      </c>
      <c r="D7" s="24" t="inlineStr">
        <is>
          <t>65869</t>
        </is>
      </c>
      <c r="E7" s="24" t="inlineStr">
        <is>
          <t>LOL</t>
        </is>
      </c>
      <c r="F7" s="24" t="inlineStr">
        <is>
          <t>Lausanne-Sport Esports</t>
        </is>
      </c>
      <c r="G7" s="24" t="inlineStr">
        <is>
          <t>Caldya Esport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223</v>
      </c>
      <c r="M7" s="27" t="n">
        <v>3.23</v>
      </c>
      <c r="N7" s="28" t="n">
        <v>0.309598</v>
      </c>
      <c r="O7" s="28" t="n">
        <v>0.51205</v>
      </c>
      <c r="P7" s="28" t="n"/>
      <c r="Q7" s="28" t="n">
        <v>0.202452</v>
      </c>
      <c r="R7" s="26" t="n">
        <v>100</v>
      </c>
      <c r="S7" s="29" t="n">
        <v>1</v>
      </c>
      <c r="T7" s="24" t="inlineStr">
        <is>
          <t>lol-tiered-elo-v5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223</v>
      </c>
      <c r="AA7" s="28" t="n">
        <v>0.31</v>
      </c>
      <c r="AB7" s="28" t="n">
        <v>0.000402</v>
      </c>
      <c r="AC7" s="30" t="n">
        <v>-1</v>
      </c>
      <c r="AD7" s="24" t="inlineStr">
        <is>
          <t>2026-08-01T13:41:10.080254Z</t>
        </is>
      </c>
      <c r="AE7" s="31" t="inlineStr">
        <is>
          <t>Neutral Elo baseline; executable ask 0.3100 (market_slug=aec-lol-cla-els-2026-08-01).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Lausanne-Sport Esports</t>
        </is>
      </c>
      <c r="AQ7" s="24" t="inlineStr">
        <is>
          <t>Lausanne-Sport Esports</t>
        </is>
      </c>
      <c r="AR7" s="24" t="inlineStr">
        <is>
          <t>Lausanne-Sport Esports</t>
        </is>
      </c>
      <c r="AS7" s="24" t="inlineStr">
        <is>
          <t>Caldya Esport</t>
        </is>
      </c>
      <c r="AT7" s="24" t="inlineStr">
        <is>
          <t>Caldya Esport</t>
        </is>
      </c>
      <c r="AU7" s="24" t="inlineStr">
        <is>
          <t>Caldya Esport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c61cc9d3c53952a2d4111be692cacdf7a1a440dd2df7c5d30197b2be280180db</t>
        </is>
      </c>
      <c r="BB7" s="24" t="inlineStr">
        <is>
          <t>neutral_elo</t>
        </is>
      </c>
      <c r="BC7" s="24" t="inlineStr">
        <is>
          <t>lol-tiered-elo-v5</t>
        </is>
      </c>
      <c r="BD7" s="24" t="inlineStr">
        <is>
          <t>c61cc9d3c53952a2d4111be692cacdf7a1a440dd2df7c5d30197b2be280180db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lol-tiered-elo-v5</t>
        </is>
      </c>
      <c r="BH7" s="24" t="inlineStr">
        <is>
          <t>2026-08-01T06:41:29.714672Z</t>
        </is>
      </c>
      <c r="BI7" s="24" t="inlineStr">
        <is>
          <t>["same_event","same_team_same_day","same_league_same_day"]</t>
        </is>
      </c>
      <c r="BJ7" s="25" t="n"/>
      <c r="BK7" s="26" t="n">
        <v>223</v>
      </c>
      <c r="BL7" s="27" t="n">
        <v>3.23</v>
      </c>
      <c r="BM7" s="28" t="n">
        <v>0.309598</v>
      </c>
      <c r="BN7" s="28" t="n"/>
      <c r="BO7" s="28" t="n"/>
      <c r="BP7" s="25" t="n"/>
      <c r="BQ7" s="27" t="n">
        <v>3.23</v>
      </c>
      <c r="BR7" s="28" t="n">
        <v>0.31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1a9f21206f254f14</t>
        </is>
      </c>
      <c r="B8" s="24" t="inlineStr">
        <is>
          <t>2026-08-01T06:41:46.814528Z</t>
        </is>
      </c>
      <c r="C8" s="24" t="inlineStr">
        <is>
          <t>2026-08-01T10:00:00Z</t>
        </is>
      </c>
      <c r="D8" s="24" t="inlineStr">
        <is>
          <t>65870</t>
        </is>
      </c>
      <c r="E8" s="24" t="inlineStr">
        <is>
          <t>LOL</t>
        </is>
      </c>
      <c r="F8" s="24" t="inlineStr">
        <is>
          <t>Dplus KIA</t>
        </is>
      </c>
      <c r="G8" s="24" t="inlineStr">
        <is>
          <t>Gen.G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-186</v>
      </c>
      <c r="M8" s="27" t="n">
        <v>1.537634</v>
      </c>
      <c r="N8" s="28" t="n">
        <v>0.65035</v>
      </c>
      <c r="O8" s="28" t="n">
        <v>0.635659</v>
      </c>
      <c r="P8" s="28" t="n"/>
      <c r="Q8" s="28" t="n">
        <v>-0.014691</v>
      </c>
      <c r="R8" s="26" t="n">
        <v>13</v>
      </c>
      <c r="S8" s="29" t="n">
        <v>1.5</v>
      </c>
      <c r="T8" s="24" t="inlineStr">
        <is>
          <t>lol-tiered-elo-v5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-186</v>
      </c>
      <c r="AA8" s="28" t="n">
        <v>0.65</v>
      </c>
      <c r="AB8" s="28" t="n">
        <v>-0.00035</v>
      </c>
      <c r="AC8" s="30" t="n">
        <v>-1.5</v>
      </c>
      <c r="AD8" s="24" t="inlineStr">
        <is>
          <t>2026-08-01T13:41:11.187095Z</t>
        </is>
      </c>
      <c r="AE8" s="31" t="inlineStr">
        <is>
          <t>Neutral Elo baseline; executable ask 0.6500 (market_slug=aec-lol-gen-dk-2026-08-01).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NO_CALL_LOW_EDGE</t>
        </is>
      </c>
      <c r="AP8" s="24" t="inlineStr">
        <is>
          <t>Dplus KIA</t>
        </is>
      </c>
      <c r="AQ8" s="24" t="inlineStr">
        <is>
          <t>Dplus KIA</t>
        </is>
      </c>
      <c r="AR8" s="24" t="inlineStr">
        <is>
          <t>Dplus KIA</t>
        </is>
      </c>
      <c r="AS8" s="24" t="inlineStr">
        <is>
          <t>Gen.G</t>
        </is>
      </c>
      <c r="AT8" s="24" t="inlineStr">
        <is>
          <t>Gen.G</t>
        </is>
      </c>
      <c r="AU8" s="24" t="inlineStr">
        <is>
          <t>Gen.G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c61cc9d3c53952a2d4111be692cacdf7a1a440dd2df7c5d30197b2be280180db</t>
        </is>
      </c>
      <c r="BB8" s="24" t="inlineStr">
        <is>
          <t>neutral_elo</t>
        </is>
      </c>
      <c r="BC8" s="24" t="inlineStr">
        <is>
          <t>lol-tiered-elo-v5</t>
        </is>
      </c>
      <c r="BD8" s="24" t="inlineStr">
        <is>
          <t>c61cc9d3c53952a2d4111be692cacdf7a1a440dd2df7c5d30197b2be280180db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lol-tiered-elo-v5</t>
        </is>
      </c>
      <c r="BH8" s="24" t="inlineStr">
        <is>
          <t>2026-08-01T06:41:30.212062Z</t>
        </is>
      </c>
      <c r="BI8" s="24" t="inlineStr">
        <is>
          <t>["same_event","same_team_same_day","same_league_same_day"]</t>
        </is>
      </c>
      <c r="BJ8" s="25" t="n"/>
      <c r="BK8" s="26" t="n">
        <v>-186</v>
      </c>
      <c r="BL8" s="27" t="n">
        <v>1.537634</v>
      </c>
      <c r="BM8" s="28" t="n">
        <v>0.65035</v>
      </c>
      <c r="BN8" s="28" t="n"/>
      <c r="BO8" s="28" t="n"/>
      <c r="BP8" s="25" t="n"/>
      <c r="BQ8" s="27" t="n">
        <v>1.537634</v>
      </c>
      <c r="BR8" s="28" t="n">
        <v>0.65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12ffb87b627f41e6</t>
        </is>
      </c>
      <c r="B9" s="24" t="inlineStr">
        <is>
          <t>2026-08-01T10:22:41.976938Z</t>
        </is>
      </c>
      <c r="C9" s="24" t="inlineStr">
        <is>
          <t>2026-08-01T11:30:00Z</t>
        </is>
      </c>
      <c r="D9" s="24" t="inlineStr">
        <is>
          <t>67590</t>
        </is>
      </c>
      <c r="E9" s="24" t="inlineStr">
        <is>
          <t>LOL</t>
        </is>
      </c>
      <c r="F9" s="24" t="inlineStr">
        <is>
          <t>GAM Esports</t>
        </is>
      </c>
      <c r="G9" s="24" t="inlineStr">
        <is>
          <t>MVK Esports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-186</v>
      </c>
      <c r="M9" s="27" t="n">
        <v>1.537634</v>
      </c>
      <c r="N9" s="28" t="n">
        <v>0.65035</v>
      </c>
      <c r="O9" s="28" t="n">
        <v>0.557124</v>
      </c>
      <c r="P9" s="28" t="n"/>
      <c r="Q9" s="28" t="n">
        <v>-0.093226</v>
      </c>
      <c r="R9" s="26" t="n">
        <v>0</v>
      </c>
      <c r="S9" s="29" t="n">
        <v>1</v>
      </c>
      <c r="T9" s="24" t="inlineStr">
        <is>
          <t>lol-tiered-elo-v5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-186</v>
      </c>
      <c r="AA9" s="28" t="n">
        <v>0.65</v>
      </c>
      <c r="AB9" s="28" t="n">
        <v>-0.00035</v>
      </c>
      <c r="AC9" s="30" t="n">
        <v>-1</v>
      </c>
      <c r="AD9" s="24" t="inlineStr">
        <is>
          <t>2026-08-01T13:41:12.337711Z</t>
        </is>
      </c>
      <c r="AE9" s="31" t="inlineStr">
        <is>
          <t>Neutral Elo baseline; executable ask 0.6500 (market_slug=aec-lol-mvk-gam-2026-08-01).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NO_CALL_LOW_EDGE</t>
        </is>
      </c>
      <c r="AP9" s="24" t="inlineStr">
        <is>
          <t>GAM Esports</t>
        </is>
      </c>
      <c r="AQ9" s="24" t="inlineStr">
        <is>
          <t>GAM Esports</t>
        </is>
      </c>
      <c r="AR9" s="24" t="inlineStr">
        <is>
          <t>GAM Esports</t>
        </is>
      </c>
      <c r="AS9" s="24" t="inlineStr">
        <is>
          <t>MVK Esports</t>
        </is>
      </c>
      <c r="AT9" s="24" t="inlineStr">
        <is>
          <t>MVK Esports</t>
        </is>
      </c>
      <c r="AU9" s="24" t="inlineStr">
        <is>
          <t>MVK Esports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1939003d0ba105d680a79267a9c0fb51148b6975fd072ef4235d6f4dfc8689b8</t>
        </is>
      </c>
      <c r="BB9" s="24" t="inlineStr">
        <is>
          <t>neutral_elo</t>
        </is>
      </c>
      <c r="BC9" s="24" t="inlineStr">
        <is>
          <t>lol-tiered-elo-v5</t>
        </is>
      </c>
      <c r="BD9" s="24" t="inlineStr">
        <is>
          <t>1939003d0ba105d680a79267a9c0fb51148b6975fd072ef4235d6f4dfc8689b8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lol-tiered-elo-v5</t>
        </is>
      </c>
      <c r="BH9" s="24" t="inlineStr">
        <is>
          <t>2026-08-01T10:22:28.482874Z</t>
        </is>
      </c>
      <c r="BI9" s="24" t="inlineStr">
        <is>
          <t>["same_event","same_team_same_day","same_league_same_day"]</t>
        </is>
      </c>
      <c r="BJ9" s="25" t="n"/>
      <c r="BK9" s="26" t="n">
        <v>-186</v>
      </c>
      <c r="BL9" s="27" t="n">
        <v>1.537634</v>
      </c>
      <c r="BM9" s="28" t="n">
        <v>0.65035</v>
      </c>
      <c r="BN9" s="28" t="n"/>
      <c r="BO9" s="28" t="n"/>
      <c r="BP9" s="25" t="n"/>
      <c r="BQ9" s="27" t="n">
        <v>1.537634</v>
      </c>
      <c r="BR9" s="28" t="n">
        <v>0.65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0ce6278f37764dc3</t>
        </is>
      </c>
      <c r="B10" s="24" t="inlineStr">
        <is>
          <t>2026-08-01T13:46:26.991370Z</t>
        </is>
      </c>
      <c r="C10" s="24" t="inlineStr">
        <is>
          <t>2026-08-01T14:00:00Z</t>
        </is>
      </c>
      <c r="D10" s="24" t="inlineStr">
        <is>
          <t>65943</t>
        </is>
      </c>
      <c r="E10" s="24" t="inlineStr">
        <is>
          <t>LOL</t>
        </is>
      </c>
      <c r="F10" s="24" t="inlineStr">
        <is>
          <t>Galions Sharks</t>
        </is>
      </c>
      <c r="G10" s="24" t="inlineStr">
        <is>
          <t>Lille Esport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-223</v>
      </c>
      <c r="M10" s="27" t="n">
        <v>1.44843</v>
      </c>
      <c r="N10" s="28" t="n">
        <v>0.690402</v>
      </c>
      <c r="O10" s="28" t="n">
        <v>0.642756</v>
      </c>
      <c r="P10" s="28" t="n"/>
      <c r="Q10" s="28" t="n">
        <v>-0.047646</v>
      </c>
      <c r="R10" s="26" t="n">
        <v>0</v>
      </c>
      <c r="S10" s="29" t="n">
        <v>1.5</v>
      </c>
      <c r="T10" s="24" t="inlineStr">
        <is>
          <t>lol-tiered-elo-v5</t>
        </is>
      </c>
      <c r="U10" s="24" t="inlineStr">
        <is>
          <t>settled</t>
        </is>
      </c>
      <c r="V10" s="24" t="inlineStr">
        <is>
          <t>win</t>
        </is>
      </c>
      <c r="W10" s="26" t="n">
        <v>1</v>
      </c>
      <c r="X10" s="26" t="n">
        <v>0</v>
      </c>
      <c r="Y10" s="25" t="n"/>
      <c r="Z10" s="26" t="n">
        <v>-223</v>
      </c>
      <c r="AA10" s="28" t="n">
        <v>0.6899999999999999</v>
      </c>
      <c r="AB10" s="28" t="n">
        <v>-0.000402</v>
      </c>
      <c r="AC10" s="30" t="n">
        <v>0.6726</v>
      </c>
      <c r="AD10" s="24" t="inlineStr">
        <is>
          <t>2026-08-01T16:48:05.888861Z</t>
        </is>
      </c>
      <c r="AE10" s="31" t="inlineStr">
        <is>
          <t>Neutral Elo baseline; executable ask 0.6900 (market_slug=aec-lol-lil-gls-2026-08-01).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Galions Sharks</t>
        </is>
      </c>
      <c r="AQ10" s="24" t="inlineStr">
        <is>
          <t>Galions Sharks</t>
        </is>
      </c>
      <c r="AR10" s="24" t="inlineStr">
        <is>
          <t>Galions Sharks</t>
        </is>
      </c>
      <c r="AS10" s="24" t="inlineStr">
        <is>
          <t>Lille Esport</t>
        </is>
      </c>
      <c r="AT10" s="24" t="inlineStr">
        <is>
          <t>Lille Esport</t>
        </is>
      </c>
      <c r="AU10" s="24" t="inlineStr">
        <is>
          <t>Lille Esport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a0225de77fed9ecff6db7a91aa1fb133fedb181174eece235a4505669cc54dc3</t>
        </is>
      </c>
      <c r="BB10" s="24" t="inlineStr">
        <is>
          <t>neutral_elo</t>
        </is>
      </c>
      <c r="BC10" s="24" t="inlineStr">
        <is>
          <t>lol-tiered-elo-v5</t>
        </is>
      </c>
      <c r="BD10" s="24" t="inlineStr">
        <is>
          <t>a0225de77fed9ecff6db7a91aa1fb133fedb181174eece235a4505669cc54dc3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lol-tiered-elo-v5</t>
        </is>
      </c>
      <c r="BH10" s="24" t="inlineStr">
        <is>
          <t>2026-08-01T13:46:14.706326Z</t>
        </is>
      </c>
      <c r="BI10" s="24" t="inlineStr">
        <is>
          <t>["same_event","same_team_same_day","same_league_same_day"]</t>
        </is>
      </c>
      <c r="BJ10" s="25" t="n"/>
      <c r="BK10" s="26" t="n">
        <v>-223</v>
      </c>
      <c r="BL10" s="27" t="n">
        <v>1.44843</v>
      </c>
      <c r="BM10" s="28" t="n">
        <v>0.690402</v>
      </c>
      <c r="BN10" s="28" t="n"/>
      <c r="BO10" s="28" t="n"/>
      <c r="BP10" s="25" t="n"/>
      <c r="BQ10" s="27" t="n">
        <v>1.44843</v>
      </c>
      <c r="BR10" s="28" t="n">
        <v>0.6899999999999999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</row>
    <row r="11" ht="36" customHeight="1">
      <c r="A11" s="24" t="inlineStr">
        <is>
          <t>3d6070f28de94bdc</t>
        </is>
      </c>
      <c r="B11" s="24" t="inlineStr">
        <is>
          <t>2026-08-01T13:46:26.991370Z</t>
        </is>
      </c>
      <c r="C11" s="24" t="inlineStr">
        <is>
          <t>2026-08-01T15:00:00Z</t>
        </is>
      </c>
      <c r="D11" s="24" t="inlineStr">
        <is>
          <t>65952</t>
        </is>
      </c>
      <c r="E11" s="24" t="inlineStr">
        <is>
          <t>LOL</t>
        </is>
      </c>
      <c r="F11" s="24" t="inlineStr">
        <is>
          <t>SK Gaming</t>
        </is>
      </c>
      <c r="G11" s="24" t="inlineStr">
        <is>
          <t>GIANTX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-186</v>
      </c>
      <c r="M11" s="27" t="n">
        <v>1.537634</v>
      </c>
      <c r="N11" s="28" t="n">
        <v>0.65035</v>
      </c>
      <c r="O11" s="28" t="n">
        <v>0.749744</v>
      </c>
      <c r="P11" s="28" t="n"/>
      <c r="Q11" s="28" t="n">
        <v>0.099394</v>
      </c>
      <c r="R11" s="26" t="n">
        <v>70</v>
      </c>
      <c r="S11" s="29" t="n">
        <v>2</v>
      </c>
      <c r="T11" s="24" t="inlineStr">
        <is>
          <t>lol-tiered-elo-v5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>
        <v>-186</v>
      </c>
      <c r="AA11" s="28" t="n">
        <v>0.65</v>
      </c>
      <c r="AB11" s="28" t="n">
        <v>-0.00035</v>
      </c>
      <c r="AC11" s="30" t="n">
        <v>-2</v>
      </c>
      <c r="AD11" s="24" t="inlineStr">
        <is>
          <t>2026-08-01T18:35:26.683413Z</t>
        </is>
      </c>
      <c r="AE11" s="31" t="inlineStr">
        <is>
          <t>Neutral Elo baseline; executable ask 0.6500 (market_slug=aec-lol-gx-sk-2026-08-01).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SK Gaming</t>
        </is>
      </c>
      <c r="AQ11" s="24" t="inlineStr">
        <is>
          <t>SK Gaming</t>
        </is>
      </c>
      <c r="AR11" s="24" t="inlineStr">
        <is>
          <t>SK Gaming</t>
        </is>
      </c>
      <c r="AS11" s="24" t="inlineStr">
        <is>
          <t>GIANTX</t>
        </is>
      </c>
      <c r="AT11" s="24" t="inlineStr">
        <is>
          <t>GIANTX</t>
        </is>
      </c>
      <c r="AU11" s="24" t="inlineStr">
        <is>
          <t>GIANTX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a0225de77fed9ecff6db7a91aa1fb133fedb181174eece235a4505669cc54dc3</t>
        </is>
      </c>
      <c r="BB11" s="24" t="inlineStr">
        <is>
          <t>neutral_elo</t>
        </is>
      </c>
      <c r="BC11" s="24" t="inlineStr">
        <is>
          <t>lol-tiered-elo-v5</t>
        </is>
      </c>
      <c r="BD11" s="24" t="inlineStr">
        <is>
          <t>a0225de77fed9ecff6db7a91aa1fb133fedb181174eece235a4505669cc54dc3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lol-tiered-elo-v5</t>
        </is>
      </c>
      <c r="BH11" s="24" t="inlineStr">
        <is>
          <t>2026-08-01T13:46:15.238583Z</t>
        </is>
      </c>
      <c r="BI11" s="24" t="inlineStr">
        <is>
          <t>["same_event","same_team_same_day","same_league_same_day"]</t>
        </is>
      </c>
      <c r="BJ11" s="25" t="n"/>
      <c r="BK11" s="26" t="n">
        <v>-186</v>
      </c>
      <c r="BL11" s="27" t="n">
        <v>1.537634</v>
      </c>
      <c r="BM11" s="28" t="n">
        <v>0.65035</v>
      </c>
      <c r="BN11" s="28" t="n"/>
      <c r="BO11" s="28" t="n"/>
      <c r="BP11" s="25" t="n"/>
      <c r="BQ11" s="27" t="n">
        <v>1.537634</v>
      </c>
      <c r="BR11" s="28" t="n">
        <v>0.65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</row>
    <row r="12" ht="36" customHeight="1">
      <c r="A12" s="24" t="inlineStr">
        <is>
          <t>336ec80f1d00414f</t>
        </is>
      </c>
      <c r="B12" s="24" t="inlineStr">
        <is>
          <t>2026-08-01T13:46:26.991370Z</t>
        </is>
      </c>
      <c r="C12" s="24" t="inlineStr">
        <is>
          <t>2026-08-01T16:00:00Z</t>
        </is>
      </c>
      <c r="D12" s="24" t="inlineStr">
        <is>
          <t>66008</t>
        </is>
      </c>
      <c r="E12" s="24" t="inlineStr">
        <is>
          <t>LOL</t>
        </is>
      </c>
      <c r="F12" s="24" t="inlineStr">
        <is>
          <t>FURIA Esports</t>
        </is>
      </c>
      <c r="G12" s="24" t="inlineStr">
        <is>
          <t>Vivo Keyd Stars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-113</v>
      </c>
      <c r="M12" s="27" t="n">
        <v>1.884956</v>
      </c>
      <c r="N12" s="28" t="n">
        <v>0.530516</v>
      </c>
      <c r="O12" s="28" t="n">
        <v>0.557751</v>
      </c>
      <c r="P12" s="28" t="n"/>
      <c r="Q12" s="28" t="n">
        <v>0.027235</v>
      </c>
      <c r="R12" s="26" t="n">
        <v>34</v>
      </c>
      <c r="S12" s="29" t="n">
        <v>1</v>
      </c>
      <c r="T12" s="24" t="inlineStr">
        <is>
          <t>lol-tiered-elo-v5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-113</v>
      </c>
      <c r="AA12" s="28" t="n">
        <v>0.53</v>
      </c>
      <c r="AB12" s="28" t="n">
        <v>-0.000516</v>
      </c>
      <c r="AC12" s="30" t="n">
        <v>-1</v>
      </c>
      <c r="AD12" s="24" t="inlineStr">
        <is>
          <t>2026-08-01T18:35:27.956072Z</t>
        </is>
      </c>
      <c r="AE12" s="31" t="inlineStr">
        <is>
          <t>Neutral Elo baseline; executable ask 0.5300 (market_slug=aec-lol-vks-fur-2026-08-01).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FURIA Esports</t>
        </is>
      </c>
      <c r="AQ12" s="24" t="inlineStr">
        <is>
          <t>FURIA Esports</t>
        </is>
      </c>
      <c r="AR12" s="24" t="inlineStr">
        <is>
          <t>FURIA Esports</t>
        </is>
      </c>
      <c r="AS12" s="24" t="inlineStr">
        <is>
          <t>Vivo Keyd Stars</t>
        </is>
      </c>
      <c r="AT12" s="24" t="inlineStr">
        <is>
          <t>Vivo Keyd Stars</t>
        </is>
      </c>
      <c r="AU12" s="24" t="inlineStr">
        <is>
          <t>Vivo Keyd Stars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a0225de77fed9ecff6db7a91aa1fb133fedb181174eece235a4505669cc54dc3</t>
        </is>
      </c>
      <c r="BB12" s="24" t="inlineStr">
        <is>
          <t>neutral_elo</t>
        </is>
      </c>
      <c r="BC12" s="24" t="inlineStr">
        <is>
          <t>lol-tiered-elo-v5</t>
        </is>
      </c>
      <c r="BD12" s="24" t="inlineStr">
        <is>
          <t>a0225de77fed9ecff6db7a91aa1fb133fedb181174eece235a4505669cc54dc3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lol-tiered-elo-v5</t>
        </is>
      </c>
      <c r="BH12" s="24" t="inlineStr">
        <is>
          <t>2026-08-01T13:46:15.747699Z</t>
        </is>
      </c>
      <c r="BI12" s="24" t="inlineStr">
        <is>
          <t>["same_event","same_team_same_day","same_league_same_day"]</t>
        </is>
      </c>
      <c r="BJ12" s="25" t="n"/>
      <c r="BK12" s="26" t="n">
        <v>-113</v>
      </c>
      <c r="BL12" s="27" t="n">
        <v>1.884956</v>
      </c>
      <c r="BM12" s="28" t="n">
        <v>0.530516</v>
      </c>
      <c r="BN12" s="28" t="n"/>
      <c r="BO12" s="28" t="n"/>
      <c r="BP12" s="25" t="n"/>
      <c r="BQ12" s="27" t="n">
        <v>1.884956</v>
      </c>
      <c r="BR12" s="28" t="n">
        <v>0.53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</row>
    <row r="13" ht="36" customHeight="1">
      <c r="A13" s="24" t="inlineStr">
        <is>
          <t>73f8433cce1a461e</t>
        </is>
      </c>
      <c r="B13" s="24" t="inlineStr">
        <is>
          <t>2026-08-02T06:51:56.046278Z</t>
        </is>
      </c>
      <c r="C13" s="24" t="inlineStr">
        <is>
          <t>2026-08-02T07:00:00Z</t>
        </is>
      </c>
      <c r="D13" s="24" t="inlineStr">
        <is>
          <t>66779</t>
        </is>
      </c>
      <c r="E13" s="24" t="inlineStr">
        <is>
          <t>LOL</t>
        </is>
      </c>
      <c r="F13" s="24" t="inlineStr">
        <is>
          <t>Team WE</t>
        </is>
      </c>
      <c r="G13" s="24" t="inlineStr">
        <is>
          <t>ThunderTalk Gaming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-233</v>
      </c>
      <c r="M13" s="27" t="n">
        <v>1.429185</v>
      </c>
      <c r="N13" s="28" t="n">
        <v>0.6997</v>
      </c>
      <c r="O13" s="28" t="n">
        <v>0.652554</v>
      </c>
      <c r="P13" s="28" t="n"/>
      <c r="Q13" s="28" t="n">
        <v>-0.047146</v>
      </c>
      <c r="R13" s="26" t="n">
        <v>0</v>
      </c>
      <c r="S13" s="29" t="n">
        <v>1.75</v>
      </c>
      <c r="T13" s="24" t="inlineStr">
        <is>
          <t>lol-tiered-elo-v5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1</v>
      </c>
      <c r="X13" s="26" t="n">
        <v>0</v>
      </c>
      <c r="Y13" s="25" t="n"/>
      <c r="Z13" s="26" t="n">
        <v>-233</v>
      </c>
      <c r="AA13" s="28" t="n">
        <v>0.7</v>
      </c>
      <c r="AB13" s="28" t="n">
        <v>0.0003</v>
      </c>
      <c r="AC13" s="30" t="n">
        <v>0.7511</v>
      </c>
      <c r="AD13" s="24" t="inlineStr">
        <is>
          <t>2026-08-02T09:53:38.533320Z</t>
        </is>
      </c>
      <c r="AE13" s="31" t="inlineStr">
        <is>
          <t>Neutral Elo baseline; executable ask 0.7000 (market_slug=aec-lol-tt-we-2026-08-02).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NO_CALL_LOW_EDGE</t>
        </is>
      </c>
      <c r="AP13" s="24" t="inlineStr">
        <is>
          <t>Team WE</t>
        </is>
      </c>
      <c r="AQ13" s="24" t="inlineStr">
        <is>
          <t>Team WE</t>
        </is>
      </c>
      <c r="AR13" s="24" t="inlineStr">
        <is>
          <t>Team WE</t>
        </is>
      </c>
      <c r="AS13" s="24" t="inlineStr">
        <is>
          <t>ThunderTalk Gaming</t>
        </is>
      </c>
      <c r="AT13" s="24" t="inlineStr">
        <is>
          <t>ThunderTalk Gaming</t>
        </is>
      </c>
      <c r="AU13" s="24" t="inlineStr">
        <is>
          <t>ThunderTalk Gaming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bdf823330923d145365ad4f6a02dd0ec337f4e55dcb78716824f971491f65d6e</t>
        </is>
      </c>
      <c r="BB13" s="24" t="inlineStr">
        <is>
          <t>neutral_elo</t>
        </is>
      </c>
      <c r="BC13" s="24" t="inlineStr">
        <is>
          <t>lol-tiered-elo-v5</t>
        </is>
      </c>
      <c r="BD13" s="24" t="inlineStr">
        <is>
          <t>bdf823330923d145365ad4f6a02dd0ec337f4e55dcb78716824f971491f65d6e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lol-tiered-elo-v5</t>
        </is>
      </c>
      <c r="BH13" s="24" t="inlineStr">
        <is>
          <t>2026-08-02T06:51:40.260979Z</t>
        </is>
      </c>
      <c r="BI13" s="24" t="inlineStr">
        <is>
          <t>["same_event","same_team_same_day","same_league_same_day"]</t>
        </is>
      </c>
      <c r="BJ13" s="25" t="n"/>
      <c r="BK13" s="26" t="n">
        <v>-233</v>
      </c>
      <c r="BL13" s="27" t="n">
        <v>1.429185</v>
      </c>
      <c r="BM13" s="28" t="n">
        <v>0.6997</v>
      </c>
      <c r="BN13" s="28" t="n"/>
      <c r="BO13" s="28" t="n"/>
      <c r="BP13" s="25" t="n"/>
      <c r="BQ13" s="27" t="n">
        <v>1.429185</v>
      </c>
      <c r="BR13" s="28" t="n">
        <v>0.7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</row>
    <row r="14" ht="36" customHeight="1">
      <c r="A14" s="24" t="inlineStr">
        <is>
          <t>33757bba99024f37</t>
        </is>
      </c>
      <c r="B14" s="24" t="inlineStr">
        <is>
          <t>2026-08-02T09:59:37.296167Z</t>
        </is>
      </c>
      <c r="C14" s="24" t="inlineStr">
        <is>
          <t>2026-08-02T10:00:00Z</t>
        </is>
      </c>
      <c r="D14" s="24" t="inlineStr">
        <is>
          <t>66811</t>
        </is>
      </c>
      <c r="E14" s="24" t="inlineStr">
        <is>
          <t>LOL</t>
        </is>
      </c>
      <c r="F14" s="24" t="inlineStr">
        <is>
          <t>Ancient Ones</t>
        </is>
      </c>
      <c r="G14" s="24" t="inlineStr">
        <is>
          <t>Crystal Rose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113</v>
      </c>
      <c r="M14" s="27" t="n">
        <v>2.13</v>
      </c>
      <c r="N14" s="28" t="n">
        <v>0.469484</v>
      </c>
      <c r="O14" s="28" t="n">
        <v>0.614494</v>
      </c>
      <c r="P14" s="28" t="n"/>
      <c r="Q14" s="28" t="n">
        <v>0.14501</v>
      </c>
      <c r="R14" s="26" t="n">
        <v>93</v>
      </c>
      <c r="S14" s="29" t="n">
        <v>1.5</v>
      </c>
      <c r="T14" s="24" t="inlineStr">
        <is>
          <t>lol-tiered-elo-v5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0</v>
      </c>
      <c r="Y14" s="25" t="n"/>
      <c r="Z14" s="26" t="n">
        <v>113</v>
      </c>
      <c r="AA14" s="28" t="n">
        <v>0.47</v>
      </c>
      <c r="AB14" s="28" t="n">
        <v>0.000516</v>
      </c>
      <c r="AC14" s="30" t="n">
        <v>1.695</v>
      </c>
      <c r="AD14" s="24" t="inlineStr">
        <is>
          <t>2026-08-02T11:45:14.956616Z</t>
        </is>
      </c>
      <c r="AE14" s="31" t="inlineStr">
        <is>
          <t>Neutral Elo baseline; executable ask 0.4700 (market_slug=aec-lol-cr-ao-2026-08-02).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Ancient Ones</t>
        </is>
      </c>
      <c r="AQ14" s="24" t="inlineStr">
        <is>
          <t>Ancient Ones</t>
        </is>
      </c>
      <c r="AR14" s="24" t="inlineStr">
        <is>
          <t>Ancient Ones</t>
        </is>
      </c>
      <c r="AS14" s="24" t="inlineStr">
        <is>
          <t>Crystal Rose</t>
        </is>
      </c>
      <c r="AT14" s="24" t="inlineStr">
        <is>
          <t>Crystal Rose</t>
        </is>
      </c>
      <c r="AU14" s="24" t="inlineStr">
        <is>
          <t>Crystal Rose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872990f5864d469e34c183f4364739fd3897540762b962f4ec2e55405665b2e8</t>
        </is>
      </c>
      <c r="BB14" s="24" t="inlineStr">
        <is>
          <t>neutral_elo</t>
        </is>
      </c>
      <c r="BC14" s="24" t="inlineStr">
        <is>
          <t>lol-tiered-elo-v5</t>
        </is>
      </c>
      <c r="BD14" s="24" t="inlineStr">
        <is>
          <t>872990f5864d469e34c183f4364739fd3897540762b962f4ec2e55405665b2e8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lol-tiered-elo-v5</t>
        </is>
      </c>
      <c r="BH14" s="24" t="inlineStr">
        <is>
          <t>2026-08-02T09:59:22.583724Z</t>
        </is>
      </c>
      <c r="BI14" s="24" t="inlineStr">
        <is>
          <t>["same_event","same_team_same_day","same_league_same_day"]</t>
        </is>
      </c>
      <c r="BJ14" s="25" t="n"/>
      <c r="BK14" s="26" t="n">
        <v>113</v>
      </c>
      <c r="BL14" s="27" t="n">
        <v>2.13</v>
      </c>
      <c r="BM14" s="28" t="n">
        <v>0.469484</v>
      </c>
      <c r="BN14" s="28" t="n"/>
      <c r="BO14" s="28" t="n"/>
      <c r="BP14" s="25" t="n"/>
      <c r="BQ14" s="27" t="n">
        <v>2.13</v>
      </c>
      <c r="BR14" s="28" t="n">
        <v>0.47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</row>
    <row r="15" ht="36" customHeight="1">
      <c r="A15" s="24" t="inlineStr">
        <is>
          <t>74461a45898a4a7d</t>
        </is>
      </c>
      <c r="B15" s="24" t="inlineStr">
        <is>
          <t>2026-08-02T09:59:37.296167Z</t>
        </is>
      </c>
      <c r="C15" s="24" t="inlineStr">
        <is>
          <t>2026-08-02T11:00:00Z</t>
        </is>
      </c>
      <c r="D15" s="24" t="inlineStr">
        <is>
          <t>66837</t>
        </is>
      </c>
      <c r="E15" s="24" t="inlineStr">
        <is>
          <t>LOL</t>
        </is>
      </c>
      <c r="F15" s="24" t="inlineStr">
        <is>
          <t>Lille Esport</t>
        </is>
      </c>
      <c r="G15" s="24" t="inlineStr">
        <is>
          <t>Lausanne-Sport Esports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100</v>
      </c>
      <c r="M15" s="27" t="n">
        <v>2</v>
      </c>
      <c r="N15" s="28" t="n">
        <v>0.5</v>
      </c>
      <c r="O15" s="28" t="n">
        <v>0.586093</v>
      </c>
      <c r="P15" s="28" t="n"/>
      <c r="Q15" s="28" t="n">
        <v>0.086093</v>
      </c>
      <c r="R15" s="26" t="n">
        <v>63</v>
      </c>
      <c r="S15" s="29" t="n">
        <v>1.25</v>
      </c>
      <c r="T15" s="24" t="inlineStr">
        <is>
          <t>lol-tiered-elo-v5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100</v>
      </c>
      <c r="AA15" s="28" t="n">
        <v>0.5</v>
      </c>
      <c r="AB15" s="28" t="n">
        <v>0</v>
      </c>
      <c r="AC15" s="30" t="n">
        <v>-1.25</v>
      </c>
      <c r="AD15" s="24" t="inlineStr">
        <is>
          <t>2026-08-02T11:45:16.142000Z</t>
        </is>
      </c>
      <c r="AE15" s="31" t="inlineStr">
        <is>
          <t>Neutral Elo baseline; executable ask 0.5000 (market_slug=aec-lol-els-lil-2026-08-02).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Lille Esport</t>
        </is>
      </c>
      <c r="AQ15" s="24" t="inlineStr">
        <is>
          <t>Lille Esport</t>
        </is>
      </c>
      <c r="AR15" s="24" t="inlineStr">
        <is>
          <t>Lille Esport</t>
        </is>
      </c>
      <c r="AS15" s="24" t="inlineStr">
        <is>
          <t>Lausanne-Sport Esports</t>
        </is>
      </c>
      <c r="AT15" s="24" t="inlineStr">
        <is>
          <t>Lausanne-Sport Esports</t>
        </is>
      </c>
      <c r="AU15" s="24" t="inlineStr">
        <is>
          <t>Lausanne-Sport Esports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872990f5864d469e34c183f4364739fd3897540762b962f4ec2e55405665b2e8</t>
        </is>
      </c>
      <c r="BB15" s="24" t="inlineStr">
        <is>
          <t>neutral_elo</t>
        </is>
      </c>
      <c r="BC15" s="24" t="inlineStr">
        <is>
          <t>lol-tiered-elo-v5</t>
        </is>
      </c>
      <c r="BD15" s="24" t="inlineStr">
        <is>
          <t>872990f5864d469e34c183f4364739fd3897540762b962f4ec2e55405665b2e8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lol-tiered-elo-v5</t>
        </is>
      </c>
      <c r="BH15" s="24" t="inlineStr">
        <is>
          <t>2026-08-02T09:59:23.587864Z</t>
        </is>
      </c>
      <c r="BI15" s="24" t="inlineStr">
        <is>
          <t>["same_event","same_team_same_day","same_league_same_day"]</t>
        </is>
      </c>
      <c r="BJ15" s="25" t="n"/>
      <c r="BK15" s="26" t="n">
        <v>100</v>
      </c>
      <c r="BL15" s="27" t="n">
        <v>2</v>
      </c>
      <c r="BM15" s="28" t="n">
        <v>0.5</v>
      </c>
      <c r="BN15" s="28" t="n"/>
      <c r="BO15" s="28" t="n"/>
      <c r="BP15" s="25" t="n"/>
      <c r="BQ15" s="27" t="n">
        <v>2</v>
      </c>
      <c r="BR15" s="28" t="n">
        <v>0.5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</row>
    <row r="16" ht="36" customHeight="1">
      <c r="A16" s="24" t="inlineStr">
        <is>
          <t>7b4139d22f3f4b67</t>
        </is>
      </c>
      <c r="B16" s="24" t="inlineStr">
        <is>
          <t>2026-08-02T09:59:37.296167Z</t>
        </is>
      </c>
      <c r="C16" s="24" t="inlineStr">
        <is>
          <t>2026-08-02T11:00:00Z</t>
        </is>
      </c>
      <c r="D16" s="24" t="inlineStr">
        <is>
          <t>66838</t>
        </is>
      </c>
      <c r="E16" s="24" t="inlineStr">
        <is>
          <t>LOL</t>
        </is>
      </c>
      <c r="F16" s="24" t="inlineStr">
        <is>
          <t>JD Gaming</t>
        </is>
      </c>
      <c r="G16" s="24" t="inlineStr">
        <is>
          <t>Top Esports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-117</v>
      </c>
      <c r="M16" s="27" t="n">
        <v>1.854701</v>
      </c>
      <c r="N16" s="28" t="n">
        <v>0.539171</v>
      </c>
      <c r="O16" s="28" t="n">
        <v>0.5497840000000001</v>
      </c>
      <c r="P16" s="28" t="n"/>
      <c r="Q16" s="28" t="n">
        <v>0.010613</v>
      </c>
      <c r="R16" s="26" t="n">
        <v>25</v>
      </c>
      <c r="S16" s="29" t="n">
        <v>1</v>
      </c>
      <c r="T16" s="24" t="inlineStr">
        <is>
          <t>lol-tiered-elo-v5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-117</v>
      </c>
      <c r="AA16" s="28" t="n">
        <v>0.54</v>
      </c>
      <c r="AB16" s="28" t="n">
        <v>0.000829</v>
      </c>
      <c r="AC16" s="30" t="n">
        <v>0.8547</v>
      </c>
      <c r="AD16" s="24" t="inlineStr">
        <is>
          <t>2026-08-02T15:53:03.900779Z</t>
        </is>
      </c>
      <c r="AE16" s="31" t="inlineStr">
        <is>
          <t>Neutral Elo baseline; executable ask 0.5400 (market_slug=aec-lol-tes-jdg-2026-08-02).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JD Gaming</t>
        </is>
      </c>
      <c r="AQ16" s="24" t="inlineStr">
        <is>
          <t>JD Gaming</t>
        </is>
      </c>
      <c r="AR16" s="24" t="inlineStr">
        <is>
          <t>JD Gaming</t>
        </is>
      </c>
      <c r="AS16" s="24" t="inlineStr">
        <is>
          <t>Top Esports</t>
        </is>
      </c>
      <c r="AT16" s="24" t="inlineStr">
        <is>
          <t>Top Esports</t>
        </is>
      </c>
      <c r="AU16" s="24" t="inlineStr">
        <is>
          <t>Top Esports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872990f5864d469e34c183f4364739fd3897540762b962f4ec2e55405665b2e8</t>
        </is>
      </c>
      <c r="BB16" s="24" t="inlineStr">
        <is>
          <t>neutral_elo</t>
        </is>
      </c>
      <c r="BC16" s="24" t="inlineStr">
        <is>
          <t>lol-tiered-elo-v5</t>
        </is>
      </c>
      <c r="BD16" s="24" t="inlineStr">
        <is>
          <t>872990f5864d469e34c183f4364739fd3897540762b962f4ec2e55405665b2e8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lol-tiered-elo-v5</t>
        </is>
      </c>
      <c r="BH16" s="24" t="inlineStr">
        <is>
          <t>2026-08-02T09:59:24.043094Z</t>
        </is>
      </c>
      <c r="BI16" s="24" t="inlineStr">
        <is>
          <t>["same_event","same_team_same_day","same_league_same_day"]</t>
        </is>
      </c>
      <c r="BJ16" s="25" t="n"/>
      <c r="BK16" s="26" t="n">
        <v>-117</v>
      </c>
      <c r="BL16" s="27" t="n">
        <v>1.854701</v>
      </c>
      <c r="BM16" s="28" t="n">
        <v>0.539171</v>
      </c>
      <c r="BN16" s="28" t="n"/>
      <c r="BO16" s="28" t="n"/>
      <c r="BP16" s="25" t="n"/>
      <c r="BQ16" s="27" t="n">
        <v>1.854701</v>
      </c>
      <c r="BR16" s="28" t="n">
        <v>0.54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</row>
    <row r="17" ht="36" customHeight="1">
      <c r="A17" s="24" t="inlineStr">
        <is>
          <t>d68cc80d286f41da</t>
        </is>
      </c>
      <c r="B17" s="24" t="inlineStr">
        <is>
          <t>2026-08-02T11:51:23.384049Z</t>
        </is>
      </c>
      <c r="C17" s="24" t="inlineStr">
        <is>
          <t>2026-08-02T12:00:00Z</t>
        </is>
      </c>
      <c r="D17" s="24" t="inlineStr">
        <is>
          <t>66847</t>
        </is>
      </c>
      <c r="E17" s="24" t="inlineStr">
        <is>
          <t>LOL</t>
        </is>
      </c>
      <c r="F17" s="24" t="inlineStr">
        <is>
          <t>Galions Sharks</t>
        </is>
      </c>
      <c r="G17" s="24" t="inlineStr">
        <is>
          <t>Karmine Corp Blue Stars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-213</v>
      </c>
      <c r="M17" s="27" t="n">
        <v>1.469484</v>
      </c>
      <c r="N17" s="28" t="n">
        <v>0.680511</v>
      </c>
      <c r="O17" s="28" t="n">
        <v>0.55445</v>
      </c>
      <c r="P17" s="28" t="n"/>
      <c r="Q17" s="28" t="n">
        <v>-0.126061</v>
      </c>
      <c r="R17" s="26" t="n">
        <v>0</v>
      </c>
      <c r="S17" s="29" t="n">
        <v>1</v>
      </c>
      <c r="T17" s="24" t="inlineStr">
        <is>
          <t>lol-tiered-elo-v5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-213</v>
      </c>
      <c r="AA17" s="28" t="n">
        <v>0.68</v>
      </c>
      <c r="AB17" s="28" t="n">
        <v>-0.000511</v>
      </c>
      <c r="AC17" s="30" t="n">
        <v>0.4695</v>
      </c>
      <c r="AD17" s="24" t="inlineStr">
        <is>
          <t>2026-08-02T13:01:29.241433Z</t>
        </is>
      </c>
      <c r="AE17" s="31" t="inlineStr">
        <is>
          <t>Neutral Elo baseline; executable ask 0.6800 (market_slug=aec-lol-kcbs-gls-2026-08-02).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Galions Sharks</t>
        </is>
      </c>
      <c r="AQ17" s="24" t="inlineStr">
        <is>
          <t>Galions Sharks</t>
        </is>
      </c>
      <c r="AR17" s="24" t="inlineStr">
        <is>
          <t>Galions Sharks</t>
        </is>
      </c>
      <c r="AS17" s="24" t="inlineStr">
        <is>
          <t>Karmine Corp Blue Stars</t>
        </is>
      </c>
      <c r="AT17" s="24" t="inlineStr">
        <is>
          <t>Karmine Corp Blue Stars</t>
        </is>
      </c>
      <c r="AU17" s="24" t="inlineStr">
        <is>
          <t>Karmine Corp Blue Stars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0b6e6d5c93b93c005802ef0c5f9541d5ee8d587023a9a0b60009a394291af476</t>
        </is>
      </c>
      <c r="BB17" s="24" t="inlineStr">
        <is>
          <t>neutral_elo</t>
        </is>
      </c>
      <c r="BC17" s="24" t="inlineStr">
        <is>
          <t>lol-tiered-elo-v5</t>
        </is>
      </c>
      <c r="BD17" s="24" t="inlineStr">
        <is>
          <t>0b6e6d5c93b93c005802ef0c5f9541d5ee8d587023a9a0b60009a394291af476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lol-tiered-elo-v5</t>
        </is>
      </c>
      <c r="BH17" s="24" t="inlineStr">
        <is>
          <t>2026-08-02T11:51:10.693295Z</t>
        </is>
      </c>
      <c r="BI17" s="24" t="inlineStr">
        <is>
          <t>["same_event","same_team_same_day","same_league_same_day"]</t>
        </is>
      </c>
      <c r="BJ17" s="25" t="n"/>
      <c r="BK17" s="26" t="n">
        <v>-213</v>
      </c>
      <c r="BL17" s="27" t="n">
        <v>1.469484</v>
      </c>
      <c r="BM17" s="28" t="n">
        <v>0.680511</v>
      </c>
      <c r="BN17" s="28" t="n"/>
      <c r="BO17" s="28" t="n"/>
      <c r="BP17" s="25" t="n"/>
      <c r="BQ17" s="27" t="n">
        <v>1.469484</v>
      </c>
      <c r="BR17" s="28" t="n">
        <v>0.68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</row>
    <row r="18" ht="36" customHeight="1">
      <c r="A18" s="24" t="inlineStr">
        <is>
          <t>2b83893e5c494a36</t>
        </is>
      </c>
      <c r="B18" s="24" t="inlineStr">
        <is>
          <t>2026-08-02T13:07:30.652675Z</t>
        </is>
      </c>
      <c r="C18" s="24" t="inlineStr">
        <is>
          <t>2026-08-02T14:00:00Z</t>
        </is>
      </c>
      <c r="D18" s="24" t="inlineStr">
        <is>
          <t>66876</t>
        </is>
      </c>
      <c r="E18" s="24" t="inlineStr">
        <is>
          <t>LOL</t>
        </is>
      </c>
      <c r="F18" s="24" t="inlineStr">
        <is>
          <t>Caldya Esport</t>
        </is>
      </c>
      <c r="G18" s="24" t="inlineStr">
        <is>
          <t>Zephyr Esport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186</v>
      </c>
      <c r="M18" s="27" t="n">
        <v>2.86</v>
      </c>
      <c r="N18" s="28" t="n">
        <v>0.34965</v>
      </c>
      <c r="O18" s="28" t="n">
        <v>0.526683</v>
      </c>
      <c r="P18" s="28" t="n"/>
      <c r="Q18" s="28" t="n">
        <v>0.177033</v>
      </c>
      <c r="R18" s="26" t="n">
        <v>100</v>
      </c>
      <c r="S18" s="29" t="n">
        <v>1</v>
      </c>
      <c r="T18" s="24" t="inlineStr">
        <is>
          <t>lol-tiered-elo-v5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>
        <v>186</v>
      </c>
      <c r="AA18" s="28" t="n">
        <v>0.35</v>
      </c>
      <c r="AB18" s="28" t="n">
        <v>0.00035</v>
      </c>
      <c r="AC18" s="30" t="n">
        <v>-1</v>
      </c>
      <c r="AD18" s="24" t="inlineStr">
        <is>
          <t>2026-08-02T15:53:05.143124Z</t>
        </is>
      </c>
      <c r="AE18" s="31" t="inlineStr">
        <is>
          <t>Neutral Elo baseline; executable ask 0.3500 (market_slug=aec-lol-zpr-cla-2026-08-02).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NO_CALL_LOW_EDGE</t>
        </is>
      </c>
      <c r="AP18" s="24" t="inlineStr">
        <is>
          <t>Caldya Esport</t>
        </is>
      </c>
      <c r="AQ18" s="24" t="inlineStr">
        <is>
          <t>Caldya Esport</t>
        </is>
      </c>
      <c r="AR18" s="24" t="inlineStr">
        <is>
          <t>Caldya Esport</t>
        </is>
      </c>
      <c r="AS18" s="24" t="inlineStr">
        <is>
          <t>Zephyr Esport</t>
        </is>
      </c>
      <c r="AT18" s="24" t="inlineStr">
        <is>
          <t>Zephyr Esport</t>
        </is>
      </c>
      <c r="AU18" s="24" t="inlineStr">
        <is>
          <t>Zephyr Esport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20de1d712cda0a66426c95ed103aa2e610c5fbde0bd61721abf492218cad1cd2</t>
        </is>
      </c>
      <c r="BB18" s="24" t="inlineStr">
        <is>
          <t>neutral_elo</t>
        </is>
      </c>
      <c r="BC18" s="24" t="inlineStr">
        <is>
          <t>lol-tiered-elo-v5</t>
        </is>
      </c>
      <c r="BD18" s="24" t="inlineStr">
        <is>
          <t>20de1d712cda0a66426c95ed103aa2e610c5fbde0bd61721abf492218cad1cd2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lol-tiered-elo-v5</t>
        </is>
      </c>
      <c r="BH18" s="24" t="inlineStr">
        <is>
          <t>2026-08-02T13:07:18.920620Z</t>
        </is>
      </c>
      <c r="BI18" s="24" t="inlineStr">
        <is>
          <t>["same_event","same_team_same_day","same_league_same_day"]</t>
        </is>
      </c>
      <c r="BJ18" s="25" t="n"/>
      <c r="BK18" s="26" t="n">
        <v>186</v>
      </c>
      <c r="BL18" s="27" t="n">
        <v>2.86</v>
      </c>
      <c r="BM18" s="28" t="n">
        <v>0.34965</v>
      </c>
      <c r="BN18" s="28" t="n"/>
      <c r="BO18" s="28" t="n"/>
      <c r="BP18" s="25" t="n"/>
      <c r="BQ18" s="27" t="n">
        <v>2.86</v>
      </c>
      <c r="BR18" s="28" t="n">
        <v>0.35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</row>
    <row r="19" ht="36" customHeight="1">
      <c r="A19" s="24" t="inlineStr">
        <is>
          <t>3afbf086a69f4a1f</t>
        </is>
      </c>
      <c r="B19" s="24" t="inlineStr">
        <is>
          <t>2026-08-02T15:51:19.985321Z</t>
        </is>
      </c>
      <c r="C19" s="24" t="inlineStr">
        <is>
          <t>2026-08-02T16:00:00Z</t>
        </is>
      </c>
      <c r="D19" s="24" t="inlineStr">
        <is>
          <t>66902</t>
        </is>
      </c>
      <c r="E19" s="24" t="inlineStr">
        <is>
          <t>LOL</t>
        </is>
      </c>
      <c r="F19" s="24" t="inlineStr">
        <is>
          <t>LOUD</t>
        </is>
      </c>
      <c r="G19" s="24" t="inlineStr">
        <is>
          <t>Fluxo W7M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-117</v>
      </c>
      <c r="M19" s="27" t="n">
        <v>1.854701</v>
      </c>
      <c r="N19" s="28" t="n">
        <v>0.539171</v>
      </c>
      <c r="O19" s="28" t="n">
        <v>0.558818</v>
      </c>
      <c r="P19" s="28" t="n"/>
      <c r="Q19" s="28" t="n">
        <v>0.019647</v>
      </c>
      <c r="R19" s="26" t="n">
        <v>30</v>
      </c>
      <c r="S19" s="29" t="n">
        <v>1</v>
      </c>
      <c r="T19" s="24" t="inlineStr">
        <is>
          <t>lol-tiered-elo-v5</t>
        </is>
      </c>
      <c r="U19" s="24" t="inlineStr">
        <is>
          <t>settled</t>
        </is>
      </c>
      <c r="V19" s="24" t="inlineStr">
        <is>
          <t>win</t>
        </is>
      </c>
      <c r="W19" s="26" t="n">
        <v>1</v>
      </c>
      <c r="X19" s="26" t="n">
        <v>0</v>
      </c>
      <c r="Y19" s="25" t="n"/>
      <c r="Z19" s="26" t="n">
        <v>-117</v>
      </c>
      <c r="AA19" s="28" t="n">
        <v>0.54</v>
      </c>
      <c r="AB19" s="28" t="n">
        <v>0.000829</v>
      </c>
      <c r="AC19" s="30" t="n">
        <v>0.8547</v>
      </c>
      <c r="AD19" s="24" t="inlineStr">
        <is>
          <t>2026-08-02T17:34:43.910160Z</t>
        </is>
      </c>
      <c r="AE19" s="31" t="inlineStr">
        <is>
          <t>Neutral Elo baseline; executable ask 0.5400 (market_slug=aec-lol-fxw7-lll-2026-08-02).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LOUD</t>
        </is>
      </c>
      <c r="AQ19" s="24" t="inlineStr">
        <is>
          <t>LOUD</t>
        </is>
      </c>
      <c r="AR19" s="24" t="inlineStr">
        <is>
          <t>LOUD</t>
        </is>
      </c>
      <c r="AS19" s="24" t="inlineStr">
        <is>
          <t>Fluxo W7M</t>
        </is>
      </c>
      <c r="AT19" s="24" t="inlineStr">
        <is>
          <t>Fluxo W7M</t>
        </is>
      </c>
      <c r="AU19" s="24" t="inlineStr">
        <is>
          <t>Fluxo W7M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4ef0b19fe97fa070abfaae40ffb41addfe8947e35583480b0b6feebe14b9f7ac</t>
        </is>
      </c>
      <c r="BB19" s="24" t="inlineStr">
        <is>
          <t>neutral_elo</t>
        </is>
      </c>
      <c r="BC19" s="24" t="inlineStr">
        <is>
          <t>lol-tiered-elo-v5</t>
        </is>
      </c>
      <c r="BD19" s="24" t="inlineStr">
        <is>
          <t>4ef0b19fe97fa070abfaae40ffb41addfe8947e35583480b0b6feebe14b9f7ac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lol-tiered-elo-v5</t>
        </is>
      </c>
      <c r="BH19" s="24" t="inlineStr">
        <is>
          <t>2026-08-02T15:51:09.199778Z</t>
        </is>
      </c>
      <c r="BI19" s="24" t="inlineStr">
        <is>
          <t>["same_event","same_team_same_day","same_league_same_day"]</t>
        </is>
      </c>
      <c r="BJ19" s="25" t="n"/>
      <c r="BK19" s="26" t="n">
        <v>-117</v>
      </c>
      <c r="BL19" s="27" t="n">
        <v>1.854701</v>
      </c>
      <c r="BM19" s="28" t="n">
        <v>0.539171</v>
      </c>
      <c r="BN19" s="28" t="n"/>
      <c r="BO19" s="28" t="n"/>
      <c r="BP19" s="25" t="n"/>
      <c r="BQ19" s="27" t="n">
        <v>1.854701</v>
      </c>
      <c r="BR19" s="28" t="n">
        <v>0.54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inlineStr">
        <is>
          <t>True</t>
        </is>
      </c>
    </row>
    <row r="20" ht="36" customHeight="1">
      <c r="A20" s="24" t="inlineStr">
        <is>
          <t>12fc8231d03748b7</t>
        </is>
      </c>
      <c r="B20" s="24" t="inlineStr">
        <is>
          <t>2026-08-02T16:53:11.967172Z</t>
        </is>
      </c>
      <c r="C20" s="24" t="inlineStr">
        <is>
          <t>2026-08-02T17:15:00Z</t>
        </is>
      </c>
      <c r="D20" s="24" t="inlineStr">
        <is>
          <t>66955</t>
        </is>
      </c>
      <c r="E20" s="24" t="inlineStr">
        <is>
          <t>LOL</t>
        </is>
      </c>
      <c r="F20" s="24" t="inlineStr">
        <is>
          <t>Movistar KOI</t>
        </is>
      </c>
      <c r="G20" s="24" t="inlineStr">
        <is>
          <t>Fnatic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-186</v>
      </c>
      <c r="M20" s="27" t="n">
        <v>1.537634</v>
      </c>
      <c r="N20" s="28" t="n">
        <v>0.65035</v>
      </c>
      <c r="O20" s="28" t="n">
        <v>0.592731</v>
      </c>
      <c r="P20" s="28" t="n"/>
      <c r="Q20" s="28" t="n">
        <v>-0.057619</v>
      </c>
      <c r="R20" s="26" t="n">
        <v>0</v>
      </c>
      <c r="S20" s="29" t="n">
        <v>1.25</v>
      </c>
      <c r="T20" s="24" t="inlineStr">
        <is>
          <t>lol-tiered-elo-v5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>
        <v>-186</v>
      </c>
      <c r="AA20" s="28" t="n">
        <v>0.65</v>
      </c>
      <c r="AB20" s="28" t="n">
        <v>-0.00035</v>
      </c>
      <c r="AC20" s="30" t="n">
        <v>0.672</v>
      </c>
      <c r="AD20" s="24" t="inlineStr">
        <is>
          <t>2026-08-02T23:13:21.369953Z</t>
        </is>
      </c>
      <c r="AE20" s="31" t="inlineStr">
        <is>
          <t>Neutral Elo baseline; executable ask 0.6500 (market_slug=aec-lol-fnc-mkoi-2026-08-02).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NO_CALL_LOW_EDGE</t>
        </is>
      </c>
      <c r="AP20" s="24" t="inlineStr">
        <is>
          <t>Movistar KOI</t>
        </is>
      </c>
      <c r="AQ20" s="24" t="inlineStr">
        <is>
          <t>Movistar KOI</t>
        </is>
      </c>
      <c r="AR20" s="24" t="inlineStr">
        <is>
          <t>Movistar KOI</t>
        </is>
      </c>
      <c r="AS20" s="24" t="inlineStr">
        <is>
          <t>Fnatic</t>
        </is>
      </c>
      <c r="AT20" s="24" t="inlineStr">
        <is>
          <t>Fnatic</t>
        </is>
      </c>
      <c r="AU20" s="24" t="inlineStr">
        <is>
          <t>Fnatic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7a524d830547b62f7f9c941aadbdf0fc52dbd67b16b701b974612cc0a7507dd8</t>
        </is>
      </c>
      <c r="BB20" s="24" t="inlineStr">
        <is>
          <t>neutral_elo</t>
        </is>
      </c>
      <c r="BC20" s="24" t="inlineStr">
        <is>
          <t>lol-tiered-elo-v5</t>
        </is>
      </c>
      <c r="BD20" s="24" t="inlineStr">
        <is>
          <t>7a524d830547b62f7f9c941aadbdf0fc52dbd67b16b701b974612cc0a7507dd8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lol-tiered-elo-v5</t>
        </is>
      </c>
      <c r="BH20" s="24" t="inlineStr">
        <is>
          <t>2026-08-02T16:53:02.304568Z</t>
        </is>
      </c>
      <c r="BI20" s="24" t="inlineStr">
        <is>
          <t>["same_event","same_team_same_day","same_league_same_day"]</t>
        </is>
      </c>
      <c r="BJ20" s="25" t="n"/>
      <c r="BK20" s="26" t="n">
        <v>-186</v>
      </c>
      <c r="BL20" s="27" t="n">
        <v>1.537634</v>
      </c>
      <c r="BM20" s="28" t="n">
        <v>0.65035</v>
      </c>
      <c r="BN20" s="28" t="n"/>
      <c r="BO20" s="28" t="n"/>
      <c r="BP20" s="25" t="n"/>
      <c r="BQ20" s="27" t="n">
        <v>1.537634</v>
      </c>
      <c r="BR20" s="28" t="n">
        <v>0.65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inlineStr">
        <is>
          <t>False</t>
        </is>
      </c>
    </row>
    <row r="21" ht="36" customHeight="1">
      <c r="A21" s="24" t="inlineStr">
        <is>
          <t>ec894d2a1ca74d47</t>
        </is>
      </c>
      <c r="B21" s="24" t="inlineStr">
        <is>
          <t>2026-08-03T06:30:34.654651Z</t>
        </is>
      </c>
      <c r="C21" s="24" t="inlineStr">
        <is>
          <t>2026-08-03T08:00:00Z</t>
        </is>
      </c>
      <c r="D21" s="24" t="inlineStr">
        <is>
          <t>67491</t>
        </is>
      </c>
      <c r="E21" s="24" t="inlineStr">
        <is>
          <t>LOL</t>
        </is>
      </c>
      <c r="F21" s="24" t="inlineStr">
        <is>
          <t>Hanwha Life Esports</t>
        </is>
      </c>
      <c r="G21" s="24" t="inlineStr">
        <is>
          <t>Gen.G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-113</v>
      </c>
      <c r="M21" s="27" t="n">
        <v>1.884956</v>
      </c>
      <c r="N21" s="28" t="n">
        <v>0.530516</v>
      </c>
      <c r="O21" s="28" t="n">
        <v>0.536423</v>
      </c>
      <c r="P21" s="28" t="n"/>
      <c r="Q21" s="28" t="n">
        <v>0.005907</v>
      </c>
      <c r="R21" s="26" t="n">
        <v>23</v>
      </c>
      <c r="S21" s="29" t="n">
        <v>1</v>
      </c>
      <c r="T21" s="24" t="inlineStr">
        <is>
          <t>lol-tiered-elo-v5</t>
        </is>
      </c>
      <c r="U21" s="24" t="inlineStr">
        <is>
          <t>settled</t>
        </is>
      </c>
      <c r="V21" s="24" t="inlineStr">
        <is>
          <t>win</t>
        </is>
      </c>
      <c r="W21" s="26" t="n">
        <v>1</v>
      </c>
      <c r="X21" s="26" t="n">
        <v>0</v>
      </c>
      <c r="Y21" s="25" t="n"/>
      <c r="Z21" s="26" t="n">
        <v>-113</v>
      </c>
      <c r="AA21" s="28" t="n">
        <v>0.53</v>
      </c>
      <c r="AB21" s="28" t="n">
        <v>-0.000516</v>
      </c>
      <c r="AC21" s="30" t="n">
        <v>0.885</v>
      </c>
      <c r="AD21" s="24" t="inlineStr">
        <is>
          <t>2026-08-03T10:06:50.751709Z</t>
        </is>
      </c>
      <c r="AE21" s="31" t="inlineStr">
        <is>
          <t>Neutral Elo baseline; executable ask 0.5300 (market_slug=aec-lol-gen-hle-2026-08-03).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NO_CALL_LOW_EDGE</t>
        </is>
      </c>
      <c r="AP21" s="24" t="inlineStr">
        <is>
          <t>Hanwha Life Esports</t>
        </is>
      </c>
      <c r="AQ21" s="24" t="inlineStr">
        <is>
          <t>Hanwha Life Esports</t>
        </is>
      </c>
      <c r="AR21" s="24" t="inlineStr">
        <is>
          <t>Hanwha Life Esports</t>
        </is>
      </c>
      <c r="AS21" s="24" t="inlineStr">
        <is>
          <t>Gen.G</t>
        </is>
      </c>
      <c r="AT21" s="24" t="inlineStr">
        <is>
          <t>Gen.G</t>
        </is>
      </c>
      <c r="AU21" s="24" t="inlineStr">
        <is>
          <t>Gen.G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ff2b770f59073a39e60976cbc1ae4f05ce9c0ac0477f1609e756119cbdd7431b</t>
        </is>
      </c>
      <c r="BB21" s="24" t="inlineStr">
        <is>
          <t>neutral_elo</t>
        </is>
      </c>
      <c r="BC21" s="24" t="inlineStr">
        <is>
          <t>lol-tiered-elo-v5</t>
        </is>
      </c>
      <c r="BD21" s="24" t="inlineStr">
        <is>
          <t>ff2b770f59073a39e60976cbc1ae4f05ce9c0ac0477f1609e756119cbdd7431b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lol-tiered-elo-v5</t>
        </is>
      </c>
      <c r="BH21" s="24" t="inlineStr">
        <is>
          <t>2026-08-03T06:30:12.139868Z</t>
        </is>
      </c>
      <c r="BI21" s="24" t="inlineStr">
        <is>
          <t>["same_event","same_team_same_day","same_league_same_day"]</t>
        </is>
      </c>
      <c r="BJ21" s="25" t="n"/>
      <c r="BK21" s="26" t="n">
        <v>-113</v>
      </c>
      <c r="BL21" s="27" t="n">
        <v>1.884956</v>
      </c>
      <c r="BM21" s="28" t="n">
        <v>0.530516</v>
      </c>
      <c r="BN21" s="28" t="n"/>
      <c r="BO21" s="28" t="n"/>
      <c r="BP21" s="25" t="n"/>
      <c r="BQ21" s="27" t="n">
        <v>1.884956</v>
      </c>
      <c r="BR21" s="28" t="n">
        <v>0.53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inlineStr">
        <is>
          <t>True</t>
        </is>
      </c>
    </row>
    <row r="22" ht="36" customHeight="1">
      <c r="A22" s="24" t="inlineStr">
        <is>
          <t>189c180a73404fa7</t>
        </is>
      </c>
      <c r="B22" s="24" t="inlineStr">
        <is>
          <t>2026-08-03T06:30:34.654651Z</t>
        </is>
      </c>
      <c r="C22" s="24" t="inlineStr">
        <is>
          <t>2026-08-03T10:00:00Z</t>
        </is>
      </c>
      <c r="D22" s="24" t="inlineStr">
        <is>
          <t>67511</t>
        </is>
      </c>
      <c r="E22" s="24" t="inlineStr">
        <is>
          <t>LOL</t>
        </is>
      </c>
      <c r="F22" s="24" t="inlineStr">
        <is>
          <t>Dplus KIA Challengers</t>
        </is>
      </c>
      <c r="G22" s="24" t="inlineStr">
        <is>
          <t>DN SOOPers Challengers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-170</v>
      </c>
      <c r="M22" s="27" t="n">
        <v>1.588235</v>
      </c>
      <c r="N22" s="28" t="n">
        <v>0.62963</v>
      </c>
      <c r="O22" s="28" t="n">
        <v>0.703892</v>
      </c>
      <c r="P22" s="28" t="n"/>
      <c r="Q22" s="28" t="n">
        <v>0.07426199999999999</v>
      </c>
      <c r="R22" s="26" t="n">
        <v>57</v>
      </c>
      <c r="S22" s="29" t="n">
        <v>2</v>
      </c>
      <c r="T22" s="24" t="inlineStr">
        <is>
          <t>lol-tiered-elo-v5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>
        <v>-170</v>
      </c>
      <c r="AA22" s="28" t="n">
        <v>0.63</v>
      </c>
      <c r="AB22" s="28" t="n">
        <v>0.00037</v>
      </c>
      <c r="AC22" s="30" t="n">
        <v>-2</v>
      </c>
      <c r="AD22" s="24" t="inlineStr">
        <is>
          <t>2026-08-03T13:27:30.699600Z</t>
        </is>
      </c>
      <c r="AE22" s="31" t="inlineStr">
        <is>
          <t>Neutral Elo baseline; executable ask 0.6300 (market_slug=aec-lol-dnsc-dkc-2026-08-03).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Dplus KIA Challengers</t>
        </is>
      </c>
      <c r="AQ22" s="24" t="inlineStr">
        <is>
          <t>Dplus KIA Challengers</t>
        </is>
      </c>
      <c r="AR22" s="24" t="inlineStr">
        <is>
          <t>Dplus KIA Challengers</t>
        </is>
      </c>
      <c r="AS22" s="24" t="inlineStr">
        <is>
          <t>DN SOOPers Challengers</t>
        </is>
      </c>
      <c r="AT22" s="24" t="inlineStr">
        <is>
          <t>DN SOOPers Challengers</t>
        </is>
      </c>
      <c r="AU22" s="24" t="inlineStr">
        <is>
          <t>DN SOOPers Challengers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ff2b770f59073a39e60976cbc1ae4f05ce9c0ac0477f1609e756119cbdd7431b</t>
        </is>
      </c>
      <c r="BB22" s="24" t="inlineStr">
        <is>
          <t>neutral_elo</t>
        </is>
      </c>
      <c r="BC22" s="24" t="inlineStr">
        <is>
          <t>lol-tiered-elo-v5</t>
        </is>
      </c>
      <c r="BD22" s="24" t="inlineStr">
        <is>
          <t>ff2b770f59073a39e60976cbc1ae4f05ce9c0ac0477f1609e756119cbdd7431b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lol-tiered-elo-v5</t>
        </is>
      </c>
      <c r="BH22" s="24" t="inlineStr">
        <is>
          <t>2026-08-03T06:30:13.245481Z</t>
        </is>
      </c>
      <c r="BI22" s="24" t="inlineStr">
        <is>
          <t>["same_event","same_team_same_day","same_league_same_day"]</t>
        </is>
      </c>
      <c r="BJ22" s="25" t="n"/>
      <c r="BK22" s="26" t="n">
        <v>-170</v>
      </c>
      <c r="BL22" s="27" t="n">
        <v>1.588235</v>
      </c>
      <c r="BM22" s="28" t="n">
        <v>0.62963</v>
      </c>
      <c r="BN22" s="28" t="n"/>
      <c r="BO22" s="28" t="n"/>
      <c r="BP22" s="25" t="n"/>
      <c r="BQ22" s="27" t="n">
        <v>1.588235</v>
      </c>
      <c r="BR22" s="28" t="n">
        <v>0.63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inlineStr">
        <is>
          <t>True</t>
        </is>
      </c>
    </row>
    <row r="23" ht="36" customHeight="1">
      <c r="A23" s="24" t="inlineStr">
        <is>
          <t>48604a24f80c46ae</t>
        </is>
      </c>
      <c r="B23" s="24" t="inlineStr">
        <is>
          <t>2026-08-03T13:30:58.881408Z</t>
        </is>
      </c>
      <c r="C23" s="24" t="inlineStr">
        <is>
          <t>2026-08-03T15:00:00Z</t>
        </is>
      </c>
      <c r="D23" s="24" t="inlineStr">
        <is>
          <t>67566</t>
        </is>
      </c>
      <c r="E23" s="24" t="inlineStr">
        <is>
          <t>LOL</t>
        </is>
      </c>
      <c r="F23" s="24" t="inlineStr">
        <is>
          <t>Shifters</t>
        </is>
      </c>
      <c r="G23" s="24" t="inlineStr">
        <is>
          <t>Natus Vincere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-223</v>
      </c>
      <c r="M23" s="27" t="n">
        <v>1.44843</v>
      </c>
      <c r="N23" s="28" t="n">
        <v>0.690402</v>
      </c>
      <c r="O23" s="28" t="n">
        <v>0.745478</v>
      </c>
      <c r="P23" s="28" t="n"/>
      <c r="Q23" s="28" t="n">
        <v>0.055076</v>
      </c>
      <c r="R23" s="26" t="n">
        <v>48</v>
      </c>
      <c r="S23" s="29" t="n">
        <v>2</v>
      </c>
      <c r="T23" s="24" t="inlineStr">
        <is>
          <t>lol-tiered-elo-v5</t>
        </is>
      </c>
      <c r="U23" s="24" t="inlineStr">
        <is>
          <t>open</t>
        </is>
      </c>
      <c r="V23" s="24" t="n"/>
      <c r="W23" s="26" t="n"/>
      <c r="X23" s="26" t="n"/>
      <c r="Y23" s="25" t="n"/>
      <c r="Z23" s="26" t="n"/>
      <c r="AA23" s="28" t="n"/>
      <c r="AB23" s="28" t="n"/>
      <c r="AC23" s="30" t="n"/>
      <c r="AD23" s="24" t="n"/>
      <c r="AE23" s="31" t="inlineStr">
        <is>
          <t>Neutral Elo baseline; executable ask 0.6900 (market_slug=aec-lol-navi-shft-2026-08-03).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Shifters</t>
        </is>
      </c>
      <c r="AQ23" s="24" t="inlineStr">
        <is>
          <t>Shifters</t>
        </is>
      </c>
      <c r="AR23" s="24" t="inlineStr">
        <is>
          <t>Shifters</t>
        </is>
      </c>
      <c r="AS23" s="24" t="inlineStr">
        <is>
          <t>Natus Vincere</t>
        </is>
      </c>
      <c r="AT23" s="24" t="inlineStr">
        <is>
          <t>Natus Vincere</t>
        </is>
      </c>
      <c r="AU23" s="24" t="inlineStr">
        <is>
          <t>Natus Vincere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8e100718c38982e9b6a67d6c835251aad775fa6c0f7d64cbcae66021f2cd7f9c</t>
        </is>
      </c>
      <c r="BB23" s="24" t="inlineStr">
        <is>
          <t>neutral_elo</t>
        </is>
      </c>
      <c r="BC23" s="24" t="inlineStr">
        <is>
          <t>lol-tiered-elo-v5</t>
        </is>
      </c>
      <c r="BD23" s="24" t="inlineStr">
        <is>
          <t>8e100718c38982e9b6a67d6c835251aad775fa6c0f7d64cbcae66021f2cd7f9c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lol-tiered-elo-v5</t>
        </is>
      </c>
      <c r="BH23" s="24" t="inlineStr">
        <is>
          <t>2026-08-03T13:30:33.645010Z</t>
        </is>
      </c>
      <c r="BI23" s="24" t="inlineStr">
        <is>
          <t>["same_event","same_team_same_day","same_league_same_day"]</t>
        </is>
      </c>
      <c r="BJ23" s="25" t="n"/>
      <c r="BK23" s="26" t="n">
        <v>-223</v>
      </c>
      <c r="BL23" s="27" t="n">
        <v>1.44843</v>
      </c>
      <c r="BM23" s="28" t="n">
        <v>0.690402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inlineStr">
        <is>
          <t>True</t>
        </is>
      </c>
    </row>
    <row r="24" ht="36" customHeight="1">
      <c r="A24" s="24" t="inlineStr">
        <is>
          <t>33725f9e4d564bea</t>
        </is>
      </c>
      <c r="B24" s="24" t="inlineStr">
        <is>
          <t>2026-08-03T13:30:58.881408Z</t>
        </is>
      </c>
      <c r="C24" s="24" t="inlineStr">
        <is>
          <t>2026-08-03T18:00:00Z</t>
        </is>
      </c>
      <c r="D24" s="24" t="inlineStr">
        <is>
          <t>67655</t>
        </is>
      </c>
      <c r="E24" s="24" t="inlineStr">
        <is>
          <t>LOL</t>
        </is>
      </c>
      <c r="F24" s="24" t="inlineStr">
        <is>
          <t>Lundqvist Lightside</t>
        </is>
      </c>
      <c r="G24" s="24" t="inlineStr">
        <is>
          <t>LEO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-122</v>
      </c>
      <c r="M24" s="27" t="n">
        <v>1.819672</v>
      </c>
      <c r="N24" s="28" t="n">
        <v>0.54955</v>
      </c>
      <c r="O24" s="28" t="n">
        <v>0.617946</v>
      </c>
      <c r="P24" s="28" t="n"/>
      <c r="Q24" s="28" t="n">
        <v>0.068396</v>
      </c>
      <c r="R24" s="26" t="n">
        <v>54</v>
      </c>
      <c r="S24" s="29" t="n">
        <v>1.5</v>
      </c>
      <c r="T24" s="24" t="inlineStr">
        <is>
          <t>lol-tiered-elo-v5</t>
        </is>
      </c>
      <c r="U24" s="24" t="inlineStr">
        <is>
          <t>open</t>
        </is>
      </c>
      <c r="V24" s="24" t="n"/>
      <c r="W24" s="26" t="n"/>
      <c r="X24" s="26" t="n"/>
      <c r="Y24" s="25" t="n"/>
      <c r="Z24" s="26" t="n"/>
      <c r="AA24" s="28" t="n"/>
      <c r="AB24" s="28" t="n"/>
      <c r="AC24" s="30" t="n"/>
      <c r="AD24" s="24" t="n"/>
      <c r="AE24" s="31" t="inlineStr">
        <is>
          <t>Neutral Elo baseline; executable ask 0.5500 (market_slug=aec-lol-leo-ll-2026-08-03).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Lundqvist Lightside</t>
        </is>
      </c>
      <c r="AQ24" s="24" t="inlineStr">
        <is>
          <t>Lundqvist Lightside</t>
        </is>
      </c>
      <c r="AR24" s="24" t="inlineStr">
        <is>
          <t>Lundqvist Lightside</t>
        </is>
      </c>
      <c r="AS24" s="24" t="inlineStr">
        <is>
          <t>LEO</t>
        </is>
      </c>
      <c r="AT24" s="24" t="inlineStr">
        <is>
          <t>LEO</t>
        </is>
      </c>
      <c r="AU24" s="24" t="inlineStr">
        <is>
          <t>LEO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8e100718c38982e9b6a67d6c835251aad775fa6c0f7d64cbcae66021f2cd7f9c</t>
        </is>
      </c>
      <c r="BB24" s="24" t="inlineStr">
        <is>
          <t>neutral_elo</t>
        </is>
      </c>
      <c r="BC24" s="24" t="inlineStr">
        <is>
          <t>lol-tiered-elo-v5</t>
        </is>
      </c>
      <c r="BD24" s="24" t="inlineStr">
        <is>
          <t>8e100718c38982e9b6a67d6c835251aad775fa6c0f7d64cbcae66021f2cd7f9c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lol-tiered-elo-v5</t>
        </is>
      </c>
      <c r="BH24" s="24" t="inlineStr">
        <is>
          <t>2026-08-03T13:30:35.946950Z</t>
        </is>
      </c>
      <c r="BI24" s="24" t="inlineStr">
        <is>
          <t>["same_event","same_team_same_day","same_league_same_day"]</t>
        </is>
      </c>
      <c r="BJ24" s="25" t="n"/>
      <c r="BK24" s="26" t="n">
        <v>-122</v>
      </c>
      <c r="BL24" s="27" t="n">
        <v>1.819672</v>
      </c>
      <c r="BM24" s="28" t="n">
        <v>0.54955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inlineStr">
        <is>
          <t>True</t>
        </is>
      </c>
    </row>
    <row r="25" ht="36" customHeight="1">
      <c r="A25" s="24" t="inlineStr">
        <is>
          <t>2955ddfd78c546a1</t>
        </is>
      </c>
      <c r="B25" s="24" t="inlineStr">
        <is>
          <t>2026-08-03T13:30:58.881408Z</t>
        </is>
      </c>
      <c r="C25" s="24" t="inlineStr">
        <is>
          <t>2026-08-03T18:00:00Z</t>
        </is>
      </c>
      <c r="D25" s="24" t="inlineStr">
        <is>
          <t>67656</t>
        </is>
      </c>
      <c r="E25" s="24" t="inlineStr">
        <is>
          <t>LOL</t>
        </is>
      </c>
      <c r="F25" s="24" t="inlineStr">
        <is>
          <t>Volda E-Sport</t>
        </is>
      </c>
      <c r="G25" s="24" t="inlineStr">
        <is>
          <t>B2U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-117</v>
      </c>
      <c r="M25" s="27" t="n">
        <v>1.854701</v>
      </c>
      <c r="N25" s="28" t="n">
        <v>0.539171</v>
      </c>
      <c r="O25" s="28" t="n">
        <v>0.526153</v>
      </c>
      <c r="P25" s="28" t="n"/>
      <c r="Q25" s="28" t="n">
        <v>-0.013018</v>
      </c>
      <c r="R25" s="26" t="n">
        <v>13</v>
      </c>
      <c r="S25" s="29" t="n">
        <v>1</v>
      </c>
      <c r="T25" s="24" t="inlineStr">
        <is>
          <t>lol-tiered-elo-v5</t>
        </is>
      </c>
      <c r="U25" s="24" t="inlineStr">
        <is>
          <t>open</t>
        </is>
      </c>
      <c r="V25" s="24" t="n"/>
      <c r="W25" s="26" t="n"/>
      <c r="X25" s="26" t="n"/>
      <c r="Y25" s="25" t="n"/>
      <c r="Z25" s="26" t="n"/>
      <c r="AA25" s="28" t="n"/>
      <c r="AB25" s="28" t="n"/>
      <c r="AC25" s="30" t="n"/>
      <c r="AD25" s="24" t="n"/>
      <c r="AE25" s="31" t="inlineStr">
        <is>
          <t>Neutral Elo baseline; executable ask 0.5400 (market_slug=aec-lol-b2u-ves-2026-08-03).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NO_CALL_LOW_EDGE</t>
        </is>
      </c>
      <c r="AP25" s="24" t="inlineStr">
        <is>
          <t>Volda E-Sport</t>
        </is>
      </c>
      <c r="AQ25" s="24" t="inlineStr">
        <is>
          <t>Volda E-Sport</t>
        </is>
      </c>
      <c r="AR25" s="24" t="inlineStr">
        <is>
          <t>Volda E-Sport</t>
        </is>
      </c>
      <c r="AS25" s="24" t="inlineStr">
        <is>
          <t>B2U</t>
        </is>
      </c>
      <c r="AT25" s="24" t="inlineStr">
        <is>
          <t>B2U</t>
        </is>
      </c>
      <c r="AU25" s="24" t="inlineStr">
        <is>
          <t>B2U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8e100718c38982e9b6a67d6c835251aad775fa6c0f7d64cbcae66021f2cd7f9c</t>
        </is>
      </c>
      <c r="BB25" s="24" t="inlineStr">
        <is>
          <t>neutral_elo</t>
        </is>
      </c>
      <c r="BC25" s="24" t="inlineStr">
        <is>
          <t>lol-tiered-elo-v5</t>
        </is>
      </c>
      <c r="BD25" s="24" t="inlineStr">
        <is>
          <t>8e100718c38982e9b6a67d6c835251aad775fa6c0f7d64cbcae66021f2cd7f9c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lol-tiered-elo-v5</t>
        </is>
      </c>
      <c r="BH25" s="24" t="inlineStr">
        <is>
          <t>2026-08-03T13:30:36.516806Z</t>
        </is>
      </c>
      <c r="BI25" s="24" t="inlineStr">
        <is>
          <t>["same_event","same_team_same_day","same_league_same_day"]</t>
        </is>
      </c>
      <c r="BJ25" s="25" t="n"/>
      <c r="BK25" s="26" t="n">
        <v>-117</v>
      </c>
      <c r="BL25" s="27" t="n">
        <v>1.854701</v>
      </c>
      <c r="BM25" s="28" t="n">
        <v>0.539171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inlineStr">
        <is>
          <t>False</t>
        </is>
      </c>
    </row>
    <row r="26" ht="36" customHeight="1">
      <c r="A26" s="24" t="inlineStr">
        <is>
          <t>c096f4e0360e493f</t>
        </is>
      </c>
      <c r="B26" s="24" t="inlineStr">
        <is>
          <t>2026-08-03T13:30:58.881408Z</t>
        </is>
      </c>
      <c r="C26" s="24" t="inlineStr">
        <is>
          <t>2026-08-03T19:00:00Z</t>
        </is>
      </c>
      <c r="D26" s="24" t="inlineStr">
        <is>
          <t>63451</t>
        </is>
      </c>
      <c r="E26" s="24" t="inlineStr">
        <is>
          <t>LOL</t>
        </is>
      </c>
      <c r="F26" s="24" t="inlineStr">
        <is>
          <t>Vivo Keyd Stars Academy</t>
        </is>
      </c>
      <c r="G26" s="24" t="inlineStr">
        <is>
          <t>Team Solid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-223</v>
      </c>
      <c r="M26" s="27" t="n">
        <v>1.44843</v>
      </c>
      <c r="N26" s="28" t="n">
        <v>0.690402</v>
      </c>
      <c r="O26" s="28" t="n">
        <v>0.727674</v>
      </c>
      <c r="P26" s="28" t="n"/>
      <c r="Q26" s="28" t="n">
        <v>0.037272</v>
      </c>
      <c r="R26" s="26" t="n">
        <v>39</v>
      </c>
      <c r="S26" s="29" t="n">
        <v>2</v>
      </c>
      <c r="T26" s="24" t="inlineStr">
        <is>
          <t>lol-tiered-elo-v5</t>
        </is>
      </c>
      <c r="U26" s="24" t="inlineStr">
        <is>
          <t>open</t>
        </is>
      </c>
      <c r="V26" s="24" t="n"/>
      <c r="W26" s="26" t="n"/>
      <c r="X26" s="26" t="n"/>
      <c r="Y26" s="25" t="n"/>
      <c r="Z26" s="26" t="n"/>
      <c r="AA26" s="28" t="n"/>
      <c r="AB26" s="28" t="n"/>
      <c r="AC26" s="30" t="n"/>
      <c r="AD26" s="24" t="n"/>
      <c r="AE26" s="31" t="inlineStr">
        <is>
          <t>Neutral Elo baseline; executable ask 0.6900 (market_slug=aec-lol-tse-vksa-2026-07-30).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Vivo Keyd Stars Academy</t>
        </is>
      </c>
      <c r="AQ26" s="24" t="inlineStr">
        <is>
          <t>Vivo Keyd Stars Academy</t>
        </is>
      </c>
      <c r="AR26" s="24" t="inlineStr">
        <is>
          <t>Vivo Keyd Stars Academy</t>
        </is>
      </c>
      <c r="AS26" s="24" t="inlineStr">
        <is>
          <t>Team Solid</t>
        </is>
      </c>
      <c r="AT26" s="24" t="inlineStr">
        <is>
          <t>Team Solid</t>
        </is>
      </c>
      <c r="AU26" s="24" t="inlineStr">
        <is>
          <t>Team Solid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8e100718c38982e9b6a67d6c835251aad775fa6c0f7d64cbcae66021f2cd7f9c</t>
        </is>
      </c>
      <c r="BB26" s="24" t="inlineStr">
        <is>
          <t>neutral_elo</t>
        </is>
      </c>
      <c r="BC26" s="24" t="inlineStr">
        <is>
          <t>lol-tiered-elo-v5</t>
        </is>
      </c>
      <c r="BD26" s="24" t="inlineStr">
        <is>
          <t>8e100718c38982e9b6a67d6c835251aad775fa6c0f7d64cbcae66021f2cd7f9c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lol-tiered-elo-v5</t>
        </is>
      </c>
      <c r="BH26" s="24" t="inlineStr">
        <is>
          <t>2026-08-03T13:30:36.997710Z</t>
        </is>
      </c>
      <c r="BI26" s="24" t="inlineStr">
        <is>
          <t>["same_event","same_team_same_day","same_league_same_day"]</t>
        </is>
      </c>
      <c r="BJ26" s="25" t="n"/>
      <c r="BK26" s="26" t="n">
        <v>-223</v>
      </c>
      <c r="BL26" s="27" t="n">
        <v>1.44843</v>
      </c>
      <c r="BM26" s="28" t="n">
        <v>0.690402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inlineStr">
        <is>
          <t>True</t>
        </is>
      </c>
    </row>
    <row r="27" ht="36" customHeight="1">
      <c r="A27" s="24" t="inlineStr">
        <is>
          <t>294eec81faf342b5</t>
        </is>
      </c>
      <c r="B27" s="24" t="inlineStr">
        <is>
          <t>2026-08-03T13:30:58.881408Z</t>
        </is>
      </c>
      <c r="C27" s="24" t="inlineStr">
        <is>
          <t>2026-08-03T20:00:00Z</t>
        </is>
      </c>
      <c r="D27" s="24" t="inlineStr">
        <is>
          <t>67937</t>
        </is>
      </c>
      <c r="E27" s="24" t="inlineStr">
        <is>
          <t>LOL</t>
        </is>
      </c>
      <c r="F27" s="24" t="inlineStr">
        <is>
          <t>Docta Esports</t>
        </is>
      </c>
      <c r="G27" s="24" t="inlineStr">
        <is>
          <t>Volticons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-203</v>
      </c>
      <c r="M27" s="27" t="n">
        <v>1.492611</v>
      </c>
      <c r="N27" s="28" t="n">
        <v>0.669967</v>
      </c>
      <c r="O27" s="28" t="n">
        <v>0.648061</v>
      </c>
      <c r="P27" s="28" t="n"/>
      <c r="Q27" s="28" t="n">
        <v>-0.021906</v>
      </c>
      <c r="R27" s="26" t="n">
        <v>9</v>
      </c>
      <c r="S27" s="29" t="n">
        <v>1.75</v>
      </c>
      <c r="T27" s="24" t="inlineStr">
        <is>
          <t>lol-tiered-elo-v5</t>
        </is>
      </c>
      <c r="U27" s="24" t="inlineStr">
        <is>
          <t>open</t>
        </is>
      </c>
      <c r="V27" s="24" t="n"/>
      <c r="W27" s="26" t="n"/>
      <c r="X27" s="26" t="n"/>
      <c r="Y27" s="25" t="n"/>
      <c r="Z27" s="26" t="n"/>
      <c r="AA27" s="28" t="n"/>
      <c r="AB27" s="28" t="n"/>
      <c r="AC27" s="30" t="n"/>
      <c r="AD27" s="24" t="n"/>
      <c r="AE27" s="31" t="inlineStr">
        <is>
          <t>Neutral Elo baseline; executable ask 0.6700 (market_slug=aec-lol-vtc-doh-2026-08-03).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NO_CALL_LOW_EDGE</t>
        </is>
      </c>
      <c r="AP27" s="24" t="inlineStr">
        <is>
          <t>Docta Esports</t>
        </is>
      </c>
      <c r="AQ27" s="24" t="inlineStr">
        <is>
          <t>Docta Esports</t>
        </is>
      </c>
      <c r="AR27" s="24" t="inlineStr">
        <is>
          <t>Docta Esports</t>
        </is>
      </c>
      <c r="AS27" s="24" t="inlineStr">
        <is>
          <t>Volticons</t>
        </is>
      </c>
      <c r="AT27" s="24" t="inlineStr">
        <is>
          <t>Volticons</t>
        </is>
      </c>
      <c r="AU27" s="24" t="inlineStr">
        <is>
          <t>Volticons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8e100718c38982e9b6a67d6c835251aad775fa6c0f7d64cbcae66021f2cd7f9c</t>
        </is>
      </c>
      <c r="BB27" s="24" t="inlineStr">
        <is>
          <t>neutral_elo</t>
        </is>
      </c>
      <c r="BC27" s="24" t="inlineStr">
        <is>
          <t>lol-tiered-elo-v5</t>
        </is>
      </c>
      <c r="BD27" s="24" t="inlineStr">
        <is>
          <t>8e100718c38982e9b6a67d6c835251aad775fa6c0f7d64cbcae66021f2cd7f9c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lol-tiered-elo-v5</t>
        </is>
      </c>
      <c r="BH27" s="24" t="inlineStr">
        <is>
          <t>2026-08-03T13:30:37.715334Z</t>
        </is>
      </c>
      <c r="BI27" s="24" t="inlineStr">
        <is>
          <t>["same_event","same_team_same_day","same_league_same_day"]</t>
        </is>
      </c>
      <c r="BJ27" s="25" t="n"/>
      <c r="BK27" s="26" t="n">
        <v>-203</v>
      </c>
      <c r="BL27" s="27" t="n">
        <v>1.492611</v>
      </c>
      <c r="BM27" s="28" t="n">
        <v>0.669967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inlineStr">
        <is>
          <t>False</t>
        </is>
      </c>
    </row>
    <row r="28" ht="36" customHeight="1">
      <c r="A28" s="24" t="inlineStr">
        <is>
          <t>2f892b93bd024c1a</t>
        </is>
      </c>
      <c r="B28" s="24" t="inlineStr">
        <is>
          <t>2026-08-03T13:30:58.881408Z</t>
        </is>
      </c>
      <c r="C28" s="24" t="inlineStr">
        <is>
          <t>2026-08-03T20:00:00Z</t>
        </is>
      </c>
      <c r="D28" s="24" t="inlineStr">
        <is>
          <t>67938</t>
        </is>
      </c>
      <c r="E28" s="24" t="inlineStr">
        <is>
          <t>LOL</t>
        </is>
      </c>
      <c r="F28" s="24" t="inlineStr">
        <is>
          <t>Ei Nerd Esports</t>
        </is>
      </c>
      <c r="G28" s="24" t="inlineStr">
        <is>
          <t>RMD Gaming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-233</v>
      </c>
      <c r="M28" s="27" t="n">
        <v>1.429185</v>
      </c>
      <c r="N28" s="28" t="n">
        <v>0.6997</v>
      </c>
      <c r="O28" s="28" t="n">
        <v>0.622895</v>
      </c>
      <c r="P28" s="28" t="n"/>
      <c r="Q28" s="28" t="n">
        <v>-0.076805</v>
      </c>
      <c r="R28" s="26" t="n">
        <v>0</v>
      </c>
      <c r="S28" s="29" t="n">
        <v>1.5</v>
      </c>
      <c r="T28" s="24" t="inlineStr">
        <is>
          <t>lol-tiered-elo-v5</t>
        </is>
      </c>
      <c r="U28" s="24" t="inlineStr">
        <is>
          <t>open</t>
        </is>
      </c>
      <c r="V28" s="24" t="n"/>
      <c r="W28" s="26" t="n"/>
      <c r="X28" s="26" t="n"/>
      <c r="Y28" s="25" t="n"/>
      <c r="Z28" s="26" t="n"/>
      <c r="AA28" s="28" t="n"/>
      <c r="AB28" s="28" t="n"/>
      <c r="AC28" s="30" t="n"/>
      <c r="AD28" s="24" t="n"/>
      <c r="AE28" s="31" t="inlineStr">
        <is>
          <t>Neutral Elo baseline; executable ask 0.7000 (market_slug=aec-lol-rmd-nerd-2026-08-03).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NO_CALL_LOW_EDGE</t>
        </is>
      </c>
      <c r="AP28" s="24" t="inlineStr">
        <is>
          <t>Ei Nerd Esports</t>
        </is>
      </c>
      <c r="AQ28" s="24" t="inlineStr">
        <is>
          <t>Ei Nerd Esports</t>
        </is>
      </c>
      <c r="AR28" s="24" t="inlineStr">
        <is>
          <t>Ei Nerd Esports</t>
        </is>
      </c>
      <c r="AS28" s="24" t="inlineStr">
        <is>
          <t>RMD Gaming</t>
        </is>
      </c>
      <c r="AT28" s="24" t="inlineStr">
        <is>
          <t>RMD Gaming</t>
        </is>
      </c>
      <c r="AU28" s="24" t="inlineStr">
        <is>
          <t>RMD Gaming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8e100718c38982e9b6a67d6c835251aad775fa6c0f7d64cbcae66021f2cd7f9c</t>
        </is>
      </c>
      <c r="BB28" s="24" t="inlineStr">
        <is>
          <t>neutral_elo</t>
        </is>
      </c>
      <c r="BC28" s="24" t="inlineStr">
        <is>
          <t>lol-tiered-elo-v5</t>
        </is>
      </c>
      <c r="BD28" s="24" t="inlineStr">
        <is>
          <t>8e100718c38982e9b6a67d6c835251aad775fa6c0f7d64cbcae66021f2cd7f9c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lol-tiered-elo-v5</t>
        </is>
      </c>
      <c r="BH28" s="24" t="inlineStr">
        <is>
          <t>2026-08-03T13:30:38.187970Z</t>
        </is>
      </c>
      <c r="BI28" s="24" t="inlineStr">
        <is>
          <t>["same_event","same_team_same_day","same_league_same_day"]</t>
        </is>
      </c>
      <c r="BJ28" s="25" t="n"/>
      <c r="BK28" s="26" t="n">
        <v>-233</v>
      </c>
      <c r="BL28" s="27" t="n">
        <v>1.429185</v>
      </c>
      <c r="BM28" s="28" t="n">
        <v>0.6997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inlineStr">
        <is>
          <t>False</t>
        </is>
      </c>
    </row>
    <row r="29" ht="36" customHeight="1">
      <c r="A29" s="24" t="inlineStr">
        <is>
          <t>54ee73789b4c4f5d</t>
        </is>
      </c>
      <c r="B29" s="24" t="inlineStr">
        <is>
          <t>2026-08-03T13:30:58.881408Z</t>
        </is>
      </c>
      <c r="C29" s="24" t="inlineStr">
        <is>
          <t>2026-08-03T22:00:00Z</t>
        </is>
      </c>
      <c r="D29" s="24" t="inlineStr">
        <is>
          <t>68011</t>
        </is>
      </c>
      <c r="E29" s="24" t="inlineStr">
        <is>
          <t>LOL</t>
        </is>
      </c>
      <c r="F29" s="24" t="inlineStr">
        <is>
          <t>Vivo Keyd Stars Academy</t>
        </is>
      </c>
      <c r="G29" s="24" t="inlineStr">
        <is>
          <t>paiN Gaming Academy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-104</v>
      </c>
      <c r="M29" s="27" t="n">
        <v>1.961538</v>
      </c>
      <c r="N29" s="28" t="n">
        <v>0.509804</v>
      </c>
      <c r="O29" s="28" t="n">
        <v>0.503932</v>
      </c>
      <c r="P29" s="28" t="n"/>
      <c r="Q29" s="28" t="n">
        <v>-0.005872</v>
      </c>
      <c r="R29" s="26" t="n">
        <v>17</v>
      </c>
      <c r="S29" s="29" t="n">
        <v>1</v>
      </c>
      <c r="T29" s="24" t="inlineStr">
        <is>
          <t>lol-tiered-elo-v5</t>
        </is>
      </c>
      <c r="U29" s="24" t="inlineStr">
        <is>
          <t>open</t>
        </is>
      </c>
      <c r="V29" s="24" t="n"/>
      <c r="W29" s="26" t="n"/>
      <c r="X29" s="26" t="n"/>
      <c r="Y29" s="25" t="n"/>
      <c r="Z29" s="26" t="n"/>
      <c r="AA29" s="28" t="n"/>
      <c r="AB29" s="28" t="n"/>
      <c r="AC29" s="30" t="n"/>
      <c r="AD29" s="24" t="n"/>
      <c r="AE29" s="31" t="inlineStr">
        <is>
          <t>Neutral Elo baseline; executable ask 0.5100 (market_slug=aec-lol-pnga-vksa-2026-08-03).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NO_CALL_LOW_EDGE</t>
        </is>
      </c>
      <c r="AP29" s="24" t="inlineStr">
        <is>
          <t>Vivo Keyd Stars Academy</t>
        </is>
      </c>
      <c r="AQ29" s="24" t="inlineStr">
        <is>
          <t>Vivo Keyd Stars Academy</t>
        </is>
      </c>
      <c r="AR29" s="24" t="inlineStr">
        <is>
          <t>Vivo Keyd Stars Academy</t>
        </is>
      </c>
      <c r="AS29" s="24" t="inlineStr">
        <is>
          <t>paiN Gaming Academy</t>
        </is>
      </c>
      <c r="AT29" s="24" t="inlineStr">
        <is>
          <t>paiN Gaming Academy</t>
        </is>
      </c>
      <c r="AU29" s="24" t="inlineStr">
        <is>
          <t>paiN Gaming Academy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8e100718c38982e9b6a67d6c835251aad775fa6c0f7d64cbcae66021f2cd7f9c</t>
        </is>
      </c>
      <c r="BB29" s="24" t="inlineStr">
        <is>
          <t>neutral_elo</t>
        </is>
      </c>
      <c r="BC29" s="24" t="inlineStr">
        <is>
          <t>lol-tiered-elo-v5</t>
        </is>
      </c>
      <c r="BD29" s="24" t="inlineStr">
        <is>
          <t>8e100718c38982e9b6a67d6c835251aad775fa6c0f7d64cbcae66021f2cd7f9c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lol-tiered-elo-v5</t>
        </is>
      </c>
      <c r="BH29" s="24" t="inlineStr">
        <is>
          <t>2026-08-03T13:30:39.522454Z</t>
        </is>
      </c>
      <c r="BI29" s="24" t="inlineStr">
        <is>
          <t>["same_event","same_team_same_day","same_league_same_day"]</t>
        </is>
      </c>
      <c r="BJ29" s="25" t="n"/>
      <c r="BK29" s="26" t="n">
        <v>-104</v>
      </c>
      <c r="BL29" s="27" t="n">
        <v>1.961538</v>
      </c>
      <c r="BM29" s="28" t="n">
        <v>0.509804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inlineStr">
        <is>
          <t>False</t>
        </is>
      </c>
    </row>
    <row r="30" ht="36" customHeight="1">
      <c r="A30" s="24" t="inlineStr">
        <is>
          <t>8cb3da751c53495a</t>
        </is>
      </c>
      <c r="B30" s="24" t="inlineStr">
        <is>
          <t>2026-08-03T13:30:58.881408Z</t>
        </is>
      </c>
      <c r="C30" s="24" t="inlineStr">
        <is>
          <t>2026-08-04T10:00:00Z</t>
        </is>
      </c>
      <c r="D30" s="24" t="inlineStr">
        <is>
          <t>68284</t>
        </is>
      </c>
      <c r="E30" s="24" t="inlineStr">
        <is>
          <t>LOL</t>
        </is>
      </c>
      <c r="F30" s="24" t="inlineStr">
        <is>
          <t>KT Rolster Challengers</t>
        </is>
      </c>
      <c r="G30" s="24" t="inlineStr">
        <is>
          <t>T1 Academy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-213</v>
      </c>
      <c r="M30" s="27" t="n">
        <v>1.469484</v>
      </c>
      <c r="N30" s="28" t="n">
        <v>0.680511</v>
      </c>
      <c r="O30" s="28" t="n">
        <v>0.613587</v>
      </c>
      <c r="P30" s="28" t="n"/>
      <c r="Q30" s="28" t="n">
        <v>-0.066924</v>
      </c>
      <c r="R30" s="26" t="n">
        <v>0</v>
      </c>
      <c r="S30" s="29" t="n">
        <v>1.5</v>
      </c>
      <c r="T30" s="24" t="inlineStr">
        <is>
          <t>lol-tiered-elo-v5</t>
        </is>
      </c>
      <c r="U30" s="24" t="inlineStr">
        <is>
          <t>open</t>
        </is>
      </c>
      <c r="V30" s="24" t="n"/>
      <c r="W30" s="26" t="n"/>
      <c r="X30" s="26" t="n"/>
      <c r="Y30" s="25" t="n"/>
      <c r="Z30" s="26" t="n"/>
      <c r="AA30" s="28" t="n"/>
      <c r="AB30" s="28" t="n"/>
      <c r="AC30" s="30" t="n"/>
      <c r="AD30" s="24" t="n"/>
      <c r="AE30" s="31" t="inlineStr">
        <is>
          <t>Neutral Elo baseline; executable ask 0.6800 (market_slug=aec-lol-t1a-ktc-2026-08-04).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NO_CALL_LOW_EDGE</t>
        </is>
      </c>
      <c r="AP30" s="24" t="inlineStr">
        <is>
          <t>KT Rolster Challengers</t>
        </is>
      </c>
      <c r="AQ30" s="24" t="inlineStr">
        <is>
          <t>KT Rolster Challengers</t>
        </is>
      </c>
      <c r="AR30" s="24" t="inlineStr">
        <is>
          <t>KT Rolster Challengers</t>
        </is>
      </c>
      <c r="AS30" s="24" t="inlineStr">
        <is>
          <t>T1 Academy</t>
        </is>
      </c>
      <c r="AT30" s="24" t="inlineStr">
        <is>
          <t>T1 Academy</t>
        </is>
      </c>
      <c r="AU30" s="24" t="inlineStr">
        <is>
          <t>T1 Academy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8e100718c38982e9b6a67d6c835251aad775fa6c0f7d64cbcae66021f2cd7f9c</t>
        </is>
      </c>
      <c r="BB30" s="24" t="inlineStr">
        <is>
          <t>neutral_elo</t>
        </is>
      </c>
      <c r="BC30" s="24" t="inlineStr">
        <is>
          <t>lol-tiered-elo-v5</t>
        </is>
      </c>
      <c r="BD30" s="24" t="inlineStr">
        <is>
          <t>8e100718c38982e9b6a67d6c835251aad775fa6c0f7d64cbcae66021f2cd7f9c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lol-tiered-elo-v5</t>
        </is>
      </c>
      <c r="BH30" s="24" t="inlineStr">
        <is>
          <t>2026-08-03T13:30:43.099969Z</t>
        </is>
      </c>
      <c r="BI30" s="24" t="inlineStr">
        <is>
          <t>["same_event","same_team_same_day","same_league_same_day"]</t>
        </is>
      </c>
      <c r="BJ30" s="25" t="n"/>
      <c r="BK30" s="26" t="n">
        <v>-213</v>
      </c>
      <c r="BL30" s="27" t="n">
        <v>1.469484</v>
      </c>
      <c r="BM30" s="28" t="n">
        <v>0.680511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inlineStr">
        <is>
          <t>False</t>
        </is>
      </c>
    </row>
    <row r="31" ht="36" customHeight="1">
      <c r="A31" s="24" t="inlineStr">
        <is>
          <t>1633c0cc29e14050</t>
        </is>
      </c>
      <c r="B31" s="24" t="inlineStr">
        <is>
          <t>2026-08-03T13:30:58.881408Z</t>
        </is>
      </c>
      <c r="C31" s="24" t="inlineStr">
        <is>
          <t>2026-08-04T10:30:00Z</t>
        </is>
      </c>
      <c r="D31" s="24" t="inlineStr">
        <is>
          <t>68295</t>
        </is>
      </c>
      <c r="E31" s="24" t="inlineStr">
        <is>
          <t>LOL</t>
        </is>
      </c>
      <c r="F31" s="24" t="inlineStr">
        <is>
          <t>Kiwoom DRX</t>
        </is>
      </c>
      <c r="G31" s="24" t="inlineStr">
        <is>
          <t>HANJIN BRION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-156</v>
      </c>
      <c r="M31" s="27" t="n">
        <v>1.641026</v>
      </c>
      <c r="N31" s="28" t="n">
        <v>0.609375</v>
      </c>
      <c r="O31" s="28" t="n">
        <v>0.578578</v>
      </c>
      <c r="P31" s="28" t="n"/>
      <c r="Q31" s="28" t="n">
        <v>-0.030797</v>
      </c>
      <c r="R31" s="26" t="n">
        <v>5</v>
      </c>
      <c r="S31" s="29" t="n">
        <v>1.25</v>
      </c>
      <c r="T31" s="24" t="inlineStr">
        <is>
          <t>lol-tiered-elo-v5</t>
        </is>
      </c>
      <c r="U31" s="24" t="inlineStr">
        <is>
          <t>open</t>
        </is>
      </c>
      <c r="V31" s="24" t="n"/>
      <c r="W31" s="26" t="n"/>
      <c r="X31" s="26" t="n"/>
      <c r="Y31" s="25" t="n"/>
      <c r="Z31" s="26" t="n"/>
      <c r="AA31" s="28" t="n"/>
      <c r="AB31" s="28" t="n"/>
      <c r="AC31" s="30" t="n"/>
      <c r="AD31" s="24" t="n"/>
      <c r="AE31" s="31" t="inlineStr">
        <is>
          <t>Neutral Elo baseline; executable ask 0.6100 (market_slug=aec-lol-bro-krx-2026-08-04).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NO_CALL_LOW_EDGE</t>
        </is>
      </c>
      <c r="AP31" s="24" t="inlineStr">
        <is>
          <t>Kiwoom DRX</t>
        </is>
      </c>
      <c r="AQ31" s="24" t="inlineStr">
        <is>
          <t>Kiwoom DRX</t>
        </is>
      </c>
      <c r="AR31" s="24" t="inlineStr">
        <is>
          <t>Kiwoom DRX</t>
        </is>
      </c>
      <c r="AS31" s="24" t="inlineStr">
        <is>
          <t>HANJIN BRION</t>
        </is>
      </c>
      <c r="AT31" s="24" t="inlineStr">
        <is>
          <t>HANJIN BRION</t>
        </is>
      </c>
      <c r="AU31" s="24" t="inlineStr">
        <is>
          <t>HANJIN BRION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8e100718c38982e9b6a67d6c835251aad775fa6c0f7d64cbcae66021f2cd7f9c</t>
        </is>
      </c>
      <c r="BB31" s="24" t="inlineStr">
        <is>
          <t>neutral_elo</t>
        </is>
      </c>
      <c r="BC31" s="24" t="inlineStr">
        <is>
          <t>lol-tiered-elo-v5</t>
        </is>
      </c>
      <c r="BD31" s="24" t="inlineStr">
        <is>
          <t>8e100718c38982e9b6a67d6c835251aad775fa6c0f7d64cbcae66021f2cd7f9c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lol-tiered-elo-v5</t>
        </is>
      </c>
      <c r="BH31" s="24" t="inlineStr">
        <is>
          <t>2026-08-03T13:30:43.589028Z</t>
        </is>
      </c>
      <c r="BI31" s="24" t="inlineStr">
        <is>
          <t>["same_event","same_team_same_day","same_league_same_day"]</t>
        </is>
      </c>
      <c r="BJ31" s="25" t="n"/>
      <c r="BK31" s="26" t="n">
        <v>-156</v>
      </c>
      <c r="BL31" s="27" t="n">
        <v>1.641026</v>
      </c>
      <c r="BM31" s="28" t="n">
        <v>0.609375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inlineStr">
        <is>
          <t>False</t>
        </is>
      </c>
    </row>
    <row r="32" ht="36" customHeight="1">
      <c r="A32" s="24" t="inlineStr">
        <is>
          <t>6b962f8bbb134c8d</t>
        </is>
      </c>
      <c r="B32" s="24" t="inlineStr">
        <is>
          <t>2026-08-03T13:30:58.881408Z</t>
        </is>
      </c>
      <c r="C32" s="24" t="inlineStr">
        <is>
          <t>2026-08-04T16:00:00Z</t>
        </is>
      </c>
      <c r="D32" s="24" t="inlineStr">
        <is>
          <t>68510</t>
        </is>
      </c>
      <c r="E32" s="24" t="inlineStr">
        <is>
          <t>LOL</t>
        </is>
      </c>
      <c r="F32" s="24" t="inlineStr">
        <is>
          <t>The Secret Club</t>
        </is>
      </c>
      <c r="G32" s="24" t="inlineStr">
        <is>
          <t>MAGAZA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-178</v>
      </c>
      <c r="M32" s="27" t="n">
        <v>1.561798</v>
      </c>
      <c r="N32" s="28" t="n">
        <v>0.640288</v>
      </c>
      <c r="O32" s="28" t="n">
        <v>0.516821</v>
      </c>
      <c r="P32" s="28" t="n"/>
      <c r="Q32" s="28" t="n">
        <v>-0.123467</v>
      </c>
      <c r="R32" s="26" t="n">
        <v>0</v>
      </c>
      <c r="S32" s="29" t="n">
        <v>1</v>
      </c>
      <c r="T32" s="24" t="inlineStr">
        <is>
          <t>lol-tiered-elo-v5</t>
        </is>
      </c>
      <c r="U32" s="24" t="inlineStr">
        <is>
          <t>open</t>
        </is>
      </c>
      <c r="V32" s="24" t="n"/>
      <c r="W32" s="26" t="n"/>
      <c r="X32" s="26" t="n"/>
      <c r="Y32" s="25" t="n"/>
      <c r="Z32" s="26" t="n"/>
      <c r="AA32" s="28" t="n"/>
      <c r="AB32" s="28" t="n"/>
      <c r="AC32" s="30" t="n"/>
      <c r="AD32" s="24" t="n"/>
      <c r="AE32" s="31" t="inlineStr">
        <is>
          <t>Neutral Elo baseline; executable ask 0.6400 (market_slug=aec-lol-mgz-tsc-2026-08-04).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NO_CALL_LOW_EDGE</t>
        </is>
      </c>
      <c r="AP32" s="24" t="inlineStr">
        <is>
          <t>The Secret Club</t>
        </is>
      </c>
      <c r="AQ32" s="24" t="inlineStr">
        <is>
          <t>The Secret Club</t>
        </is>
      </c>
      <c r="AR32" s="24" t="inlineStr">
        <is>
          <t>The Secret Club</t>
        </is>
      </c>
      <c r="AS32" s="24" t="inlineStr">
        <is>
          <t>MAGAZA</t>
        </is>
      </c>
      <c r="AT32" s="24" t="inlineStr">
        <is>
          <t>MAGAZA</t>
        </is>
      </c>
      <c r="AU32" s="24" t="inlineStr">
        <is>
          <t>MAGAZA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8e100718c38982e9b6a67d6c835251aad775fa6c0f7d64cbcae66021f2cd7f9c</t>
        </is>
      </c>
      <c r="BB32" s="24" t="inlineStr">
        <is>
          <t>neutral_elo</t>
        </is>
      </c>
      <c r="BC32" s="24" t="inlineStr">
        <is>
          <t>lol-tiered-elo-v5</t>
        </is>
      </c>
      <c r="BD32" s="24" t="inlineStr">
        <is>
          <t>8e100718c38982e9b6a67d6c835251aad775fa6c0f7d64cbcae66021f2cd7f9c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lol-tiered-elo-v5</t>
        </is>
      </c>
      <c r="BH32" s="24" t="inlineStr">
        <is>
          <t>2026-08-03T13:30:45.954102Z</t>
        </is>
      </c>
      <c r="BI32" s="24" t="inlineStr">
        <is>
          <t>["same_event","same_team_same_day","same_league_same_day"]</t>
        </is>
      </c>
      <c r="BJ32" s="25" t="n"/>
      <c r="BK32" s="26" t="n">
        <v>-178</v>
      </c>
      <c r="BL32" s="27" t="n">
        <v>1.561798</v>
      </c>
      <c r="BM32" s="28" t="n">
        <v>0.640288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inlineStr">
        <is>
          <t>False</t>
        </is>
      </c>
    </row>
    <row r="33" ht="36" customHeight="1">
      <c r="A33" s="24" t="inlineStr">
        <is>
          <t>88e3c2c0ffb74af5</t>
        </is>
      </c>
      <c r="B33" s="24" t="inlineStr">
        <is>
          <t>2026-08-03T13:30:58.881408Z</t>
        </is>
      </c>
      <c r="C33" s="24" t="inlineStr">
        <is>
          <t>2026-08-04T16:00:00Z</t>
        </is>
      </c>
      <c r="D33" s="24" t="inlineStr">
        <is>
          <t>68509</t>
        </is>
      </c>
      <c r="E33" s="24" t="inlineStr">
        <is>
          <t>LOL</t>
        </is>
      </c>
      <c r="F33" s="24" t="inlineStr">
        <is>
          <t>Skillcamp Esport</t>
        </is>
      </c>
      <c r="G33" s="24" t="inlineStr">
        <is>
          <t>Ici Japon Corp. Esport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100</v>
      </c>
      <c r="M33" s="27" t="n">
        <v>2</v>
      </c>
      <c r="N33" s="28" t="n">
        <v>0.5</v>
      </c>
      <c r="O33" s="28" t="n">
        <v>0.63091</v>
      </c>
      <c r="P33" s="28" t="n"/>
      <c r="Q33" s="28" t="n">
        <v>0.13091</v>
      </c>
      <c r="R33" s="26" t="n">
        <v>85</v>
      </c>
      <c r="S33" s="29" t="n">
        <v>1.5</v>
      </c>
      <c r="T33" s="24" t="inlineStr">
        <is>
          <t>lol-tiered-elo-v5</t>
        </is>
      </c>
      <c r="U33" s="24" t="inlineStr">
        <is>
          <t>open</t>
        </is>
      </c>
      <c r="V33" s="24" t="n"/>
      <c r="W33" s="26" t="n"/>
      <c r="X33" s="26" t="n"/>
      <c r="Y33" s="25" t="n"/>
      <c r="Z33" s="26" t="n"/>
      <c r="AA33" s="28" t="n"/>
      <c r="AB33" s="28" t="n"/>
      <c r="AC33" s="30" t="n"/>
      <c r="AD33" s="24" t="n"/>
      <c r="AE33" s="31" t="inlineStr">
        <is>
          <t>Neutral Elo baseline; executable ask 0.5000 (market_slug=aec-lol-ijc-sc-2026-08-04).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Skillcamp Esport</t>
        </is>
      </c>
      <c r="AQ33" s="24" t="inlineStr">
        <is>
          <t>Skillcamp Esport</t>
        </is>
      </c>
      <c r="AR33" s="24" t="inlineStr">
        <is>
          <t>Skillcamp Esport</t>
        </is>
      </c>
      <c r="AS33" s="24" t="inlineStr">
        <is>
          <t>Ici Japon Corp. Esport</t>
        </is>
      </c>
      <c r="AT33" s="24" t="inlineStr">
        <is>
          <t>Ici Japon Corp. Esport</t>
        </is>
      </c>
      <c r="AU33" s="24" t="inlineStr">
        <is>
          <t>Ici Japon Corp. Esport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8e100718c38982e9b6a67d6c835251aad775fa6c0f7d64cbcae66021f2cd7f9c</t>
        </is>
      </c>
      <c r="BB33" s="24" t="inlineStr">
        <is>
          <t>neutral_elo</t>
        </is>
      </c>
      <c r="BC33" s="24" t="inlineStr">
        <is>
          <t>lol-tiered-elo-v5</t>
        </is>
      </c>
      <c r="BD33" s="24" t="inlineStr">
        <is>
          <t>8e100718c38982e9b6a67d6c835251aad775fa6c0f7d64cbcae66021f2cd7f9c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lol-tiered-elo-v5</t>
        </is>
      </c>
      <c r="BH33" s="24" t="inlineStr">
        <is>
          <t>2026-08-03T13:30:46.543407Z</t>
        </is>
      </c>
      <c r="BI33" s="24" t="inlineStr">
        <is>
          <t>["same_event","same_team_same_day","same_league_same_day"]</t>
        </is>
      </c>
      <c r="BJ33" s="25" t="n"/>
      <c r="BK33" s="26" t="n">
        <v>100</v>
      </c>
      <c r="BL33" s="27" t="n">
        <v>2</v>
      </c>
      <c r="BM33" s="28" t="n">
        <v>0.5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inlineStr">
        <is>
          <t>True</t>
        </is>
      </c>
    </row>
    <row r="34" ht="36" customHeight="1">
      <c r="A34" s="24" t="inlineStr">
        <is>
          <t>99d5fde44d7a4118</t>
        </is>
      </c>
      <c r="B34" s="24" t="inlineStr">
        <is>
          <t>2026-08-03T13:30:58.881408Z</t>
        </is>
      </c>
      <c r="C34" s="24" t="inlineStr">
        <is>
          <t>2026-08-04T18:00:00Z</t>
        </is>
      </c>
      <c r="D34" s="24" t="inlineStr">
        <is>
          <t>68688</t>
        </is>
      </c>
      <c r="E34" s="24" t="inlineStr">
        <is>
          <t>LOL</t>
        </is>
      </c>
      <c r="F34" s="24" t="inlineStr">
        <is>
          <t>Joblife</t>
        </is>
      </c>
      <c r="G34" s="24" t="inlineStr">
        <is>
          <t>ZYB Esport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-133</v>
      </c>
      <c r="M34" s="27" t="n">
        <v>1.75188</v>
      </c>
      <c r="N34" s="28" t="n">
        <v>0.570815</v>
      </c>
      <c r="O34" s="28" t="n">
        <v>0.5312789999999999</v>
      </c>
      <c r="P34" s="28" t="n"/>
      <c r="Q34" s="28" t="n">
        <v>-0.039536</v>
      </c>
      <c r="R34" s="26" t="n">
        <v>0</v>
      </c>
      <c r="S34" s="29" t="n">
        <v>1</v>
      </c>
      <c r="T34" s="24" t="inlineStr">
        <is>
          <t>lol-tiered-elo-v5</t>
        </is>
      </c>
      <c r="U34" s="24" t="inlineStr">
        <is>
          <t>open</t>
        </is>
      </c>
      <c r="V34" s="24" t="n"/>
      <c r="W34" s="26" t="n"/>
      <c r="X34" s="26" t="n"/>
      <c r="Y34" s="25" t="n"/>
      <c r="Z34" s="26" t="n"/>
      <c r="AA34" s="28" t="n"/>
      <c r="AB34" s="28" t="n"/>
      <c r="AC34" s="30" t="n"/>
      <c r="AD34" s="24" t="n"/>
      <c r="AE34" s="31" t="inlineStr">
        <is>
          <t>Neutral Elo baseline; executable ask 0.5700 (market_slug=aec-lol-zyb-jl-2026-08-04).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NO_CALL_LOW_EDGE</t>
        </is>
      </c>
      <c r="AP34" s="24" t="inlineStr">
        <is>
          <t>Joblife</t>
        </is>
      </c>
      <c r="AQ34" s="24" t="inlineStr">
        <is>
          <t>Joblife</t>
        </is>
      </c>
      <c r="AR34" s="24" t="inlineStr">
        <is>
          <t>Joblife</t>
        </is>
      </c>
      <c r="AS34" s="24" t="inlineStr">
        <is>
          <t>ZYB Esport</t>
        </is>
      </c>
      <c r="AT34" s="24" t="inlineStr">
        <is>
          <t>ZYB Esport</t>
        </is>
      </c>
      <c r="AU34" s="24" t="inlineStr">
        <is>
          <t>ZYB Esport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8e100718c38982e9b6a67d6c835251aad775fa6c0f7d64cbcae66021f2cd7f9c</t>
        </is>
      </c>
      <c r="BB34" s="24" t="inlineStr">
        <is>
          <t>neutral_elo</t>
        </is>
      </c>
      <c r="BC34" s="24" t="inlineStr">
        <is>
          <t>lol-tiered-elo-v5</t>
        </is>
      </c>
      <c r="BD34" s="24" t="inlineStr">
        <is>
          <t>8e100718c38982e9b6a67d6c835251aad775fa6c0f7d64cbcae66021f2cd7f9c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lol-tiered-elo-v5</t>
        </is>
      </c>
      <c r="BH34" s="24" t="inlineStr">
        <is>
          <t>2026-08-03T13:30:51.241702Z</t>
        </is>
      </c>
      <c r="BI34" s="24" t="inlineStr">
        <is>
          <t>["same_event","same_team_same_day","same_league_same_day"]</t>
        </is>
      </c>
      <c r="BJ34" s="25" t="n"/>
      <c r="BK34" s="26" t="n">
        <v>-133</v>
      </c>
      <c r="BL34" s="27" t="n">
        <v>1.75188</v>
      </c>
      <c r="BM34" s="28" t="n">
        <v>0.570815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inlineStr">
        <is>
          <t>False</t>
        </is>
      </c>
    </row>
    <row r="35" ht="36" customHeight="1">
      <c r="A35" s="24" t="inlineStr">
        <is>
          <t>edc10b878be74c31</t>
        </is>
      </c>
      <c r="B35" s="24" t="inlineStr">
        <is>
          <t>2026-08-03T13:30:58.881408Z</t>
        </is>
      </c>
      <c r="C35" s="24" t="inlineStr">
        <is>
          <t>2026-08-04T20:00:00Z</t>
        </is>
      </c>
      <c r="D35" s="24" t="inlineStr">
        <is>
          <t>69143</t>
        </is>
      </c>
      <c r="E35" s="24" t="inlineStr">
        <is>
          <t>LOL</t>
        </is>
      </c>
      <c r="F35" s="24" t="inlineStr">
        <is>
          <t>Malvinas Gaming</t>
        </is>
      </c>
      <c r="G35" s="24" t="inlineStr">
        <is>
          <t>Maze Gaming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-163</v>
      </c>
      <c r="M35" s="27" t="n">
        <v>1.613497</v>
      </c>
      <c r="N35" s="28" t="n">
        <v>0.619772</v>
      </c>
      <c r="O35" s="28" t="n">
        <v>0.623938</v>
      </c>
      <c r="P35" s="28" t="n"/>
      <c r="Q35" s="28" t="n">
        <v>0.004166</v>
      </c>
      <c r="R35" s="26" t="n">
        <v>22</v>
      </c>
      <c r="S35" s="29" t="n">
        <v>1.5</v>
      </c>
      <c r="T35" s="24" t="inlineStr">
        <is>
          <t>lol-tiered-elo-v5</t>
        </is>
      </c>
      <c r="U35" s="24" t="inlineStr">
        <is>
          <t>open</t>
        </is>
      </c>
      <c r="V35" s="24" t="n"/>
      <c r="W35" s="26" t="n"/>
      <c r="X35" s="26" t="n"/>
      <c r="Y35" s="25" t="n"/>
      <c r="Z35" s="26" t="n"/>
      <c r="AA35" s="28" t="n"/>
      <c r="AB35" s="28" t="n"/>
      <c r="AC35" s="30" t="n"/>
      <c r="AD35" s="24" t="n"/>
      <c r="AE35" s="31" t="inlineStr">
        <is>
          <t>Neutral Elo baseline; executable ask 0.6200 (market_slug=aec-lol-maz-mg-2026-08-04).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Malvinas Gaming</t>
        </is>
      </c>
      <c r="AQ35" s="24" t="inlineStr">
        <is>
          <t>Malvinas Gaming</t>
        </is>
      </c>
      <c r="AR35" s="24" t="inlineStr">
        <is>
          <t>Malvinas Gaming</t>
        </is>
      </c>
      <c r="AS35" s="24" t="inlineStr">
        <is>
          <t>Maze Gaming</t>
        </is>
      </c>
      <c r="AT35" s="24" t="inlineStr">
        <is>
          <t>Maze Gaming</t>
        </is>
      </c>
      <c r="AU35" s="24" t="inlineStr">
        <is>
          <t>Maze Gaming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8e100718c38982e9b6a67d6c835251aad775fa6c0f7d64cbcae66021f2cd7f9c</t>
        </is>
      </c>
      <c r="BB35" s="24" t="inlineStr">
        <is>
          <t>neutral_elo</t>
        </is>
      </c>
      <c r="BC35" s="24" t="inlineStr">
        <is>
          <t>lol-tiered-elo-v5</t>
        </is>
      </c>
      <c r="BD35" s="24" t="inlineStr">
        <is>
          <t>8e100718c38982e9b6a67d6c835251aad775fa6c0f7d64cbcae66021f2cd7f9c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lol-tiered-elo-v5</t>
        </is>
      </c>
      <c r="BH35" s="24" t="inlineStr">
        <is>
          <t>2026-08-03T13:30:54.591219Z</t>
        </is>
      </c>
      <c r="BI35" s="24" t="inlineStr">
        <is>
          <t>["same_event","same_team_same_day","same_league_same_day"]</t>
        </is>
      </c>
      <c r="BJ35" s="25" t="n"/>
      <c r="BK35" s="26" t="n">
        <v>-163</v>
      </c>
      <c r="BL35" s="27" t="n">
        <v>1.613497</v>
      </c>
      <c r="BM35" s="28" t="n">
        <v>0.619772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inlineStr">
        <is>
          <t>True</t>
        </is>
      </c>
    </row>
    <row r="36" ht="36" customHeight="1">
      <c r="A36" s="24" t="inlineStr">
        <is>
          <t>273c45ab338141cc</t>
        </is>
      </c>
      <c r="B36" s="24" t="inlineStr">
        <is>
          <t>2026-08-03T13:30:58.881408Z</t>
        </is>
      </c>
      <c r="C36" s="24" t="inlineStr">
        <is>
          <t>2026-08-04T20:00:00Z</t>
        </is>
      </c>
      <c r="D36" s="24" t="inlineStr">
        <is>
          <t>69141</t>
        </is>
      </c>
      <c r="E36" s="24" t="inlineStr">
        <is>
          <t>LOL</t>
        </is>
      </c>
      <c r="F36" s="24" t="inlineStr">
        <is>
          <t>Vitality.Bee</t>
        </is>
      </c>
      <c r="G36" s="24" t="inlineStr">
        <is>
          <t>Karmine Corp Blue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-194</v>
      </c>
      <c r="M36" s="27" t="n">
        <v>1.515464</v>
      </c>
      <c r="N36" s="28" t="n">
        <v>0.659864</v>
      </c>
      <c r="O36" s="28" t="n">
        <v>0.649776</v>
      </c>
      <c r="P36" s="28" t="n"/>
      <c r="Q36" s="28" t="n">
        <v>-0.010088</v>
      </c>
      <c r="R36" s="26" t="n">
        <v>15</v>
      </c>
      <c r="S36" s="29" t="n">
        <v>1.75</v>
      </c>
      <c r="T36" s="24" t="inlineStr">
        <is>
          <t>lol-tiered-elo-v5</t>
        </is>
      </c>
      <c r="U36" s="24" t="inlineStr">
        <is>
          <t>open</t>
        </is>
      </c>
      <c r="V36" s="24" t="n"/>
      <c r="W36" s="26" t="n"/>
      <c r="X36" s="26" t="n"/>
      <c r="Y36" s="25" t="n"/>
      <c r="Z36" s="26" t="n"/>
      <c r="AA36" s="28" t="n"/>
      <c r="AB36" s="28" t="n"/>
      <c r="AC36" s="30" t="n"/>
      <c r="AD36" s="24" t="n"/>
      <c r="AE36" s="31" t="inlineStr">
        <is>
          <t>Neutral Elo baseline; executable ask 0.6600 (market_slug=aec-lol-kcb-vitb-2026-08-04).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NO_CALL_LOW_EDGE</t>
        </is>
      </c>
      <c r="AP36" s="24" t="inlineStr">
        <is>
          <t>Vitality.Bee</t>
        </is>
      </c>
      <c r="AQ36" s="24" t="inlineStr">
        <is>
          <t>Vitality.Bee</t>
        </is>
      </c>
      <c r="AR36" s="24" t="inlineStr">
        <is>
          <t>Vitality.Bee</t>
        </is>
      </c>
      <c r="AS36" s="24" t="inlineStr">
        <is>
          <t>Karmine Corp Blue</t>
        </is>
      </c>
      <c r="AT36" s="24" t="inlineStr">
        <is>
          <t>Karmine Corp Blue</t>
        </is>
      </c>
      <c r="AU36" s="24" t="inlineStr">
        <is>
          <t>Karmine Corp Blue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8e100718c38982e9b6a67d6c835251aad775fa6c0f7d64cbcae66021f2cd7f9c</t>
        </is>
      </c>
      <c r="BB36" s="24" t="inlineStr">
        <is>
          <t>neutral_elo</t>
        </is>
      </c>
      <c r="BC36" s="24" t="inlineStr">
        <is>
          <t>lol-tiered-elo-v5</t>
        </is>
      </c>
      <c r="BD36" s="24" t="inlineStr">
        <is>
          <t>8e100718c38982e9b6a67d6c835251aad775fa6c0f7d64cbcae66021f2cd7f9c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lol-tiered-elo-v5</t>
        </is>
      </c>
      <c r="BH36" s="24" t="inlineStr">
        <is>
          <t>2026-08-03T13:30:55.803504Z</t>
        </is>
      </c>
      <c r="BI36" s="24" t="inlineStr">
        <is>
          <t>["same_event","same_team_same_day","same_league_same_day"]</t>
        </is>
      </c>
      <c r="BJ36" s="25" t="n"/>
      <c r="BK36" s="26" t="n">
        <v>-194</v>
      </c>
      <c r="BL36" s="27" t="n">
        <v>1.515464</v>
      </c>
      <c r="BM36" s="28" t="n">
        <v>0.659864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inlineStr">
        <is>
          <t>False</t>
        </is>
      </c>
    </row>
    <row r="37" ht="36" customHeight="1">
      <c r="A37" s="24" t="inlineStr">
        <is>
          <t>4bd6dec8fe6a4b3e</t>
        </is>
      </c>
      <c r="B37" s="24" t="inlineStr">
        <is>
          <t>2026-08-03T13:30:58.881408Z</t>
        </is>
      </c>
      <c r="C37" s="24" t="inlineStr">
        <is>
          <t>2026-08-04T21:00:00Z</t>
        </is>
      </c>
      <c r="D37" s="24" t="inlineStr">
        <is>
          <t>69233</t>
        </is>
      </c>
      <c r="E37" s="24" t="inlineStr">
        <is>
          <t>LOL</t>
        </is>
      </c>
      <c r="F37" s="24" t="inlineStr">
        <is>
          <t>Team Solid</t>
        </is>
      </c>
      <c r="G37" s="24" t="inlineStr">
        <is>
          <t>RED Academy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-213</v>
      </c>
      <c r="M37" s="27" t="n">
        <v>1.469484</v>
      </c>
      <c r="N37" s="28" t="n">
        <v>0.680511</v>
      </c>
      <c r="O37" s="28" t="n">
        <v>0.611645</v>
      </c>
      <c r="P37" s="28" t="n"/>
      <c r="Q37" s="28" t="n">
        <v>-0.068866</v>
      </c>
      <c r="R37" s="26" t="n">
        <v>0</v>
      </c>
      <c r="S37" s="29" t="n">
        <v>1.5</v>
      </c>
      <c r="T37" s="24" t="inlineStr">
        <is>
          <t>lol-tiered-elo-v5</t>
        </is>
      </c>
      <c r="U37" s="24" t="inlineStr">
        <is>
          <t>open</t>
        </is>
      </c>
      <c r="V37" s="24" t="n"/>
      <c r="W37" s="26" t="n"/>
      <c r="X37" s="26" t="n"/>
      <c r="Y37" s="25" t="n"/>
      <c r="Z37" s="26" t="n"/>
      <c r="AA37" s="28" t="n"/>
      <c r="AB37" s="28" t="n"/>
      <c r="AC37" s="30" t="n"/>
      <c r="AD37" s="24" t="n"/>
      <c r="AE37" s="31" t="inlineStr">
        <is>
          <t>Neutral Elo baseline; executable ask 0.6800 (market_slug=aec-lol-reda-tse-2026-08-04).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NO_CALL_LOW_EDGE</t>
        </is>
      </c>
      <c r="AP37" s="24" t="inlineStr">
        <is>
          <t>Team Solid</t>
        </is>
      </c>
      <c r="AQ37" s="24" t="inlineStr">
        <is>
          <t>Team Solid</t>
        </is>
      </c>
      <c r="AR37" s="24" t="inlineStr">
        <is>
          <t>Team Solid</t>
        </is>
      </c>
      <c r="AS37" s="24" t="inlineStr">
        <is>
          <t>RED Academy</t>
        </is>
      </c>
      <c r="AT37" s="24" t="inlineStr">
        <is>
          <t>RED Academy</t>
        </is>
      </c>
      <c r="AU37" s="24" t="inlineStr">
        <is>
          <t>RED Academy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8e100718c38982e9b6a67d6c835251aad775fa6c0f7d64cbcae66021f2cd7f9c</t>
        </is>
      </c>
      <c r="BB37" s="24" t="inlineStr">
        <is>
          <t>neutral_elo</t>
        </is>
      </c>
      <c r="BC37" s="24" t="inlineStr">
        <is>
          <t>lol-tiered-elo-v5</t>
        </is>
      </c>
      <c r="BD37" s="24" t="inlineStr">
        <is>
          <t>8e100718c38982e9b6a67d6c835251aad775fa6c0f7d64cbcae66021f2cd7f9c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lol-tiered-elo-v5</t>
        </is>
      </c>
      <c r="BH37" s="24" t="inlineStr">
        <is>
          <t>2026-08-03T13:30:56.362312Z</t>
        </is>
      </c>
      <c r="BI37" s="24" t="inlineStr">
        <is>
          <t>["same_event","same_team_same_day","same_league_same_day"]</t>
        </is>
      </c>
      <c r="BJ37" s="25" t="n"/>
      <c r="BK37" s="26" t="n">
        <v>-213</v>
      </c>
      <c r="BL37" s="27" t="n">
        <v>1.469484</v>
      </c>
      <c r="BM37" s="28" t="n">
        <v>0.680511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2026-08-03T13:32:23Z</dcterms:created>
  <dcterms:modified xsi:type="dcterms:W3CDTF">2026-08-03T13:32:23Z</dcterms:modified>
</cp:coreProperties>
</file>