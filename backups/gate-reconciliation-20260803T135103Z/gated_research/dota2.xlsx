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2" fillId="6" borderId="0" applyAlignment="1" pivotButton="0" quotePrefix="0" xfId="0">
      <alignment horizontal="left"/>
    </xf>
    <xf numFmtId="0" fontId="2" fillId="6" borderId="0" applyAlignment="1" pivotButton="0" quotePrefix="0" xfId="0">
      <alignment horizontal="right"/>
    </xf>
    <xf numFmtId="167" fontId="2" fillId="6" borderId="0" applyAlignment="1" pivotButton="0" quotePrefix="0" xfId="0">
      <alignment horizontal="right"/>
    </xf>
    <xf numFmtId="166" fontId="2" fillId="6" borderId="0" applyAlignment="1" pivotButton="0" quotePrefix="0" xfId="0">
      <alignment horizontal="right"/>
    </xf>
    <xf numFmtId="10" fontId="2" fillId="6" borderId="0" applyAlignment="1" pivotButton="0" quotePrefix="0" xfId="0">
      <alignment horizontal="right"/>
    </xf>
    <xf numFmtId="0" fontId="2" fillId="7" borderId="0" applyAlignment="1" pivotButton="0" quotePrefix="0" xfId="0">
      <alignment horizontal="left"/>
    </xf>
    <xf numFmtId="0" fontId="2" fillId="7" borderId="0" applyAlignment="1" pivotButton="0" quotePrefix="0" xfId="0">
      <alignment horizontal="right"/>
    </xf>
    <xf numFmtId="167" fontId="2" fillId="7" borderId="0" applyAlignment="1" pivotButton="0" quotePrefix="0" xfId="0">
      <alignment horizontal="right"/>
    </xf>
    <xf numFmtId="166" fontId="2" fillId="7" borderId="0" applyAlignment="1" pivotButton="0" quotePrefix="0" xfId="0">
      <alignment horizontal="right"/>
    </xf>
    <xf numFmtId="10" fontId="2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left" vertical="top"/>
    </xf>
    <xf numFmtId="164" fontId="2" fillId="0" borderId="0" applyAlignment="1" pivotButton="0" quotePrefix="0" xfId="0">
      <alignment horizontal="right" vertical="top"/>
    </xf>
    <xf numFmtId="1" fontId="2" fillId="0" borderId="0" applyAlignment="1" pivotButton="0" quotePrefix="0" xfId="0">
      <alignment horizontal="right" vertical="top"/>
    </xf>
    <xf numFmtId="165" fontId="2" fillId="0" borderId="0" applyAlignment="1" pivotButton="0" quotePrefix="0" xfId="0">
      <alignment horizontal="right" vertical="top"/>
    </xf>
    <xf numFmtId="10" fontId="2" fillId="0" borderId="0" applyAlignment="1" pivotButton="0" quotePrefix="0" xfId="0">
      <alignment horizontal="right" vertical="top"/>
    </xf>
    <xf numFmtId="2" fontId="2" fillId="0" borderId="0" applyAlignment="1" pivotButton="0" quotePrefix="0" xfId="0">
      <alignment horizontal="right" vertical="top"/>
    </xf>
    <xf numFmtId="166" fontId="2" fillId="0" borderId="0" applyAlignment="1" pivotButton="0" quotePrefix="0" xfId="0">
      <alignment horizontal="right" vertical="top"/>
    </xf>
    <xf numFmtId="49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PicksLedger" displayName="PicksLedger" ref="A1:CQ12" headerRowCount="1">
  <autoFilter ref="A1:CQ12"/>
  <tableColumns count="95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rest_disparity"/>
    <tableColumn id="91" name="back_to_back_gap"/>
    <tableColumn id="92" name="games_last_7_gap"/>
    <tableColumn id="93" name="schedule_missingness"/>
    <tableColumn id="94" name="market_residual_probability"/>
    <tableColumn id="95" name="trade_candi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COUNTA('Picks'!$A$2:$A$12)</f>
        <v/>
      </c>
      <c r="C4" s="6">
        <f>COUNTIF('Picks'!$U$2:$U$12,"open")</f>
        <v/>
      </c>
      <c r="E4" s="6">
        <f>COUNTIF('Picks'!$U$2:$U$12,"settled")</f>
        <v/>
      </c>
      <c r="G4" s="6">
        <f>IF(COUNTIFS('Picks'!$U$2:$U$12,"settled",'Picks'!$V$2:$V$12,"win")+COUNTIFS('Picks'!$U$2:$U$12,"settled",'Picks'!$V$2:$V$12,"loss")&gt;=$L$2,"Ready","Insufficient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COUNTIF('Picks'!$BX$2:$BX$12,"&gt;0")</f>
        <v/>
      </c>
      <c r="C7" s="6">
        <f>COUNTIFS('Picks'!$BX$2:$BX$12,"&gt;0",'Picks'!$V$2:$V$12,"win")&amp;"-"&amp;COUNTIFS('Picks'!$BX$2:$BX$12,"&gt;0",'Picks'!$V$2:$V$12,"loss")</f>
        <v/>
      </c>
      <c r="E7" s="7">
        <f>IFERROR(COUNTIFS('Picks'!$BX$2:$BX$12,"&gt;0",'Picks'!$V$2:$V$12,"win")/(COUNTIFS('Picks'!$BX$2:$BX$12,"&gt;0",'Picks'!$V$2:$V$12,"win")+COUNTIFS('Picks'!$BX$2:$BX$12,"&gt;0",'Picks'!$V$2:$V$12,"loss")),0)</f>
        <v/>
      </c>
      <c r="G7" s="7">
        <f>IFERROR(SUM('Picks'!$BY$2:$BY$12)/SUM('Picks'!$BX$2:$BX$12),0)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SUM('Picks'!$BY$2:$BY$12)</f>
        <v/>
      </c>
      <c r="C10" s="9">
        <f>IFERROR(AVERAGEIF('Picks'!$AB$2:$AB$12,"&lt;&gt;",'Picks'!$AB$2:$AB$12),0)</f>
        <v/>
      </c>
      <c r="E10" s="6">
        <f>COUNTIFS('Picks'!$AM$2:$AM$12,"QUALIFIED_SHADOW_CALL",'Picks'!$U$2:$U$12,"settled")</f>
        <v/>
      </c>
      <c r="G10" s="8">
        <f>SUMIFS('Picks'!$AC$2:$AC$12,'Picks'!$AM$2:$AM$12,"QUALIFIED_SHADOW_CALL")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COUNTIFS('Picks'!$H$2:$H$12,$A14,'Picks'!$U$2:$U$12,"settled")</f>
        <v/>
      </c>
      <c r="C14" s="13">
        <f>COUNTIFS('Picks'!$H$2:$H$12,$A14,'Picks'!$U$2:$U$12,"settled",'Picks'!$V$2:$V$12,"win")</f>
        <v/>
      </c>
      <c r="D14" s="13">
        <f>COUNTIFS('Picks'!$H$2:$H$12,$A14,'Picks'!$U$2:$U$12,"settled",'Picks'!$V$2:$V$12,"loss")</f>
        <v/>
      </c>
      <c r="E14" s="14">
        <f>IFERROR(C14/(C14+D14),0)</f>
        <v/>
      </c>
      <c r="F14" s="15">
        <f>SUMIFS('Picks'!$BY$2:$BY$12,'Picks'!$H$2:$H$12,$A14)</f>
        <v/>
      </c>
      <c r="G14" s="16">
        <f>IFERROR(AVERAGEIFS('Picks'!$AB$2:$AB$12,'Picks'!$H$2:$H$12,$A14,'Picks'!$U$2:$U$12,"settled"),0)</f>
        <v/>
      </c>
    </row>
    <row r="15">
      <c r="A15" s="17" t="inlineStr">
        <is>
          <t>spread</t>
        </is>
      </c>
      <c r="B15" s="18">
        <f>COUNTIFS('Picks'!$H$2:$H$12,$A15,'Picks'!$U$2:$U$12,"settled")</f>
        <v/>
      </c>
      <c r="C15" s="18">
        <f>COUNTIFS('Picks'!$H$2:$H$12,$A15,'Picks'!$U$2:$U$12,"settled",'Picks'!$V$2:$V$12,"win")</f>
        <v/>
      </c>
      <c r="D15" s="18">
        <f>COUNTIFS('Picks'!$H$2:$H$12,$A15,'Picks'!$U$2:$U$12,"settled",'Picks'!$V$2:$V$12,"loss")</f>
        <v/>
      </c>
      <c r="E15" s="19">
        <f>IFERROR(C15/(C15+D15),0)</f>
        <v/>
      </c>
      <c r="F15" s="20">
        <f>SUMIFS('Picks'!$BY$2:$BY$12,'Picks'!$H$2:$H$12,$A15)</f>
        <v/>
      </c>
      <c r="G15" s="21">
        <f>IFERROR(AVERAGEIFS('Picks'!$AB$2:$AB$12,'Picks'!$H$2:$H$12,$A15,'Picks'!$U$2:$U$12,"settled"),0)</f>
        <v/>
      </c>
    </row>
    <row r="16">
      <c r="A16" s="12" t="inlineStr">
        <is>
          <t>total</t>
        </is>
      </c>
      <c r="B16" s="13">
        <f>COUNTIFS('Picks'!$H$2:$H$12,$A16,'Picks'!$U$2:$U$12,"settled")</f>
        <v/>
      </c>
      <c r="C16" s="13">
        <f>COUNTIFS('Picks'!$H$2:$H$12,$A16,'Picks'!$U$2:$U$12,"settled",'Picks'!$V$2:$V$12,"win")</f>
        <v/>
      </c>
      <c r="D16" s="13">
        <f>COUNTIFS('Picks'!$H$2:$H$12,$A16,'Picks'!$U$2:$U$12,"settled",'Picks'!$V$2:$V$12,"loss")</f>
        <v/>
      </c>
      <c r="E16" s="14">
        <f>IFERROR(C16/(C16+D16),0)</f>
        <v/>
      </c>
      <c r="F16" s="15">
        <f>SUMIFS('Picks'!$BY$2:$BY$12,'Picks'!$H$2:$H$12,$A16)</f>
        <v/>
      </c>
      <c r="G16" s="16">
        <f>IFERROR(AVERAGEIFS('Picks'!$AB$2:$AB$12,'Picks'!$H$2:$H$12,$A16,'Picks'!$U$2:$U$12,"settled"),0)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Q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16" customWidth="1" min="90" max="90"/>
    <col width="18" customWidth="1" min="91" max="91"/>
    <col width="18" customWidth="1" min="92" max="92"/>
    <col width="22" customWidth="1" min="93" max="93"/>
    <col width="22" customWidth="1" min="94" max="94"/>
    <col width="17" customWidth="1" min="95" max="95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rest_disparity</t>
        </is>
      </c>
      <c r="CM1" s="23" t="inlineStr">
        <is>
          <t>back_to_back_gap</t>
        </is>
      </c>
      <c r="CN1" s="23" t="inlineStr">
        <is>
          <t>games_last_7_gap</t>
        </is>
      </c>
      <c r="CO1" s="23" t="inlineStr">
        <is>
          <t>schedule_missingness</t>
        </is>
      </c>
      <c r="CP1" s="23" t="inlineStr">
        <is>
          <t>market_residual_probability</t>
        </is>
      </c>
      <c r="CQ1" s="23" t="inlineStr">
        <is>
          <t>trade_candidate</t>
        </is>
      </c>
    </row>
    <row r="2" ht="36" customHeight="1">
      <c r="A2" s="24" t="inlineStr">
        <is>
          <t>e5513af8c76d4b03</t>
        </is>
      </c>
      <c r="B2" s="24" t="inlineStr">
        <is>
          <t>2026-07-31T10:46:51.141594Z</t>
        </is>
      </c>
      <c r="C2" s="24" t="inlineStr">
        <is>
          <t>2026-07-31T11:00:00Z</t>
        </is>
      </c>
      <c r="D2" s="24" t="inlineStr">
        <is>
          <t>64818</t>
        </is>
      </c>
      <c r="E2" s="24" t="inlineStr">
        <is>
          <t>DOTA2</t>
        </is>
      </c>
      <c r="F2" s="24" t="inlineStr">
        <is>
          <t>GLYPH</t>
        </is>
      </c>
      <c r="G2" s="24" t="inlineStr">
        <is>
          <t>Enjoy</t>
        </is>
      </c>
      <c r="H2" s="24" t="inlineStr">
        <is>
          <t>moneyline</t>
        </is>
      </c>
      <c r="I2" s="24" t="inlineStr">
        <is>
          <t>away</t>
        </is>
      </c>
      <c r="J2" s="25" t="n"/>
      <c r="K2" s="24" t="inlineStr">
        <is>
          <t>polymarket_us</t>
        </is>
      </c>
      <c r="L2" s="26" t="n">
        <v>117</v>
      </c>
      <c r="M2" s="27" t="n">
        <v>2.17</v>
      </c>
      <c r="N2" s="28" t="n">
        <v>0.460829</v>
      </c>
      <c r="O2" s="28" t="n">
        <v>0.675115</v>
      </c>
      <c r="P2" s="28" t="n"/>
      <c r="Q2" s="28" t="n">
        <v>0.214286</v>
      </c>
      <c r="R2" s="26" t="n">
        <v>100</v>
      </c>
      <c r="S2" s="29" t="n">
        <v>2</v>
      </c>
      <c r="T2" s="24" t="inlineStr">
        <is>
          <t>dota2-tiered-elo-v5</t>
        </is>
      </c>
      <c r="U2" s="24" t="inlineStr">
        <is>
          <t>settled</t>
        </is>
      </c>
      <c r="V2" s="24" t="inlineStr">
        <is>
          <t>win</t>
        </is>
      </c>
      <c r="W2" s="26" t="n">
        <v>1</v>
      </c>
      <c r="X2" s="26" t="n">
        <v>0</v>
      </c>
      <c r="Y2" s="25" t="n"/>
      <c r="Z2" s="26" t="n">
        <v>117</v>
      </c>
      <c r="AA2" s="28" t="n">
        <v>0.46</v>
      </c>
      <c r="AB2" s="28" t="n">
        <v>-0.000829</v>
      </c>
      <c r="AC2" s="30" t="n">
        <v>2.34</v>
      </c>
      <c r="AD2" s="24" t="inlineStr">
        <is>
          <t>2026-07-31T16:45:02.553574Z</t>
        </is>
      </c>
      <c r="AE2" s="31" t="inlineStr">
        <is>
          <t>Neutral Elo baseline; executable ask 0.4600 (market_slug=aec-dota2-enjoy-glyph-2026-07-31).</t>
        </is>
      </c>
      <c r="AF2" s="31" t="inlineStr">
        <is>
          <t>Config-promoted esports baseline; gates enforced at log time.</t>
        </is>
      </c>
      <c r="AG2" s="24" t="inlineStr">
        <is>
          <t>not_applicable</t>
        </is>
      </c>
      <c r="AH2" s="24" t="n"/>
      <c r="AI2" s="31" t="n"/>
      <c r="AJ2" s="31" t="n"/>
      <c r="AK2" s="24" t="inlineStr">
        <is>
          <t>model_qualified</t>
        </is>
      </c>
      <c r="AL2" s="26" t="n">
        <v>3</v>
      </c>
      <c r="AM2" s="24" t="inlineStr">
        <is>
          <t>QUALIFIED_SHADOW_CALL</t>
        </is>
      </c>
      <c r="AN2" s="24" t="inlineStr">
        <is>
          <t>CALL</t>
        </is>
      </c>
      <c r="AO2" s="24" t="inlineStr">
        <is>
          <t>QUALIFIED</t>
        </is>
      </c>
      <c r="AP2" s="24" t="inlineStr">
        <is>
          <t>GLYPH</t>
        </is>
      </c>
      <c r="AQ2" s="24" t="inlineStr">
        <is>
          <t>GLYPH</t>
        </is>
      </c>
      <c r="AR2" s="24" t="inlineStr">
        <is>
          <t>GLYPH</t>
        </is>
      </c>
      <c r="AS2" s="24" t="inlineStr">
        <is>
          <t>Enjoy</t>
        </is>
      </c>
      <c r="AT2" s="24" t="inlineStr">
        <is>
          <t>Enjoy</t>
        </is>
      </c>
      <c r="AU2" s="24" t="inlineStr">
        <is>
          <t>Enjoy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shadow_qualified</t>
        </is>
      </c>
      <c r="BA2" s="24" t="inlineStr">
        <is>
          <t>def433bd75610fad2e6504afeb97fc726ca47b86cda4e8e2a0e49fa44868309d</t>
        </is>
      </c>
      <c r="BB2" s="24" t="inlineStr">
        <is>
          <t>neutral_elo</t>
        </is>
      </c>
      <c r="BC2" s="24" t="inlineStr">
        <is>
          <t>dota2-tiered-elo-v5</t>
        </is>
      </c>
      <c r="BD2" s="24" t="inlineStr">
        <is>
          <t>def433bd75610fad2e6504afeb97fc726ca47b86cda4e8e2a0e49fa44868309d</t>
        </is>
      </c>
      <c r="BE2" s="24" t="inlineStr">
        <is>
          <t>1</t>
        </is>
      </c>
      <c r="BF2" s="24" t="inlineStr">
        <is>
          <t>1</t>
        </is>
      </c>
      <c r="BG2" s="24" t="inlineStr">
        <is>
          <t>dota2-tiered-elo-v5</t>
        </is>
      </c>
      <c r="BH2" s="24" t="inlineStr">
        <is>
          <t>2026-07-31T10:46:49.443966Z</t>
        </is>
      </c>
      <c r="BI2" s="24" t="inlineStr">
        <is>
          <t>["same_event","same_team_same_day","same_league_same_day"]</t>
        </is>
      </c>
      <c r="BJ2" s="25" t="n"/>
      <c r="BK2" s="26" t="n">
        <v>117</v>
      </c>
      <c r="BL2" s="27" t="n">
        <v>2.17</v>
      </c>
      <c r="BM2" s="28" t="n">
        <v>0.460829</v>
      </c>
      <c r="BN2" s="28" t="n"/>
      <c r="BO2" s="28" t="n"/>
      <c r="BP2" s="25" t="n"/>
      <c r="BQ2" s="27" t="n">
        <v>2.17</v>
      </c>
      <c r="BR2" s="28" t="n">
        <v>0.46</v>
      </c>
      <c r="BS2" s="28" t="n"/>
      <c r="BT2" s="28" t="n"/>
      <c r="BU2" s="25" t="n"/>
      <c r="BV2" s="29" t="n"/>
      <c r="BW2" s="24" t="n"/>
      <c r="BX2" s="30" t="n"/>
      <c r="BY2" s="27" t="n"/>
      <c r="BZ2" s="24" t="n"/>
      <c r="CA2" s="31" t="n"/>
      <c r="CB2" s="24" t="n"/>
      <c r="CC2" s="24" t="n"/>
      <c r="CD2" s="24" t="n"/>
      <c r="CE2" s="24" t="n"/>
      <c r="CF2" s="24" t="n"/>
      <c r="CG2" s="24" t="n"/>
      <c r="CH2" s="24" t="n"/>
      <c r="CI2" s="24" t="n"/>
      <c r="CJ2" s="24" t="n"/>
      <c r="CK2" s="24" t="n"/>
      <c r="CL2" s="24" t="n"/>
      <c r="CM2" s="24" t="n"/>
      <c r="CN2" s="24" t="n"/>
      <c r="CO2" s="24" t="n"/>
      <c r="CP2" s="24" t="n"/>
      <c r="CQ2" s="24" t="n"/>
    </row>
    <row r="3" ht="36" customHeight="1">
      <c r="A3" s="24" t="inlineStr">
        <is>
          <t>720d6ff896f64777</t>
        </is>
      </c>
      <c r="B3" s="24" t="inlineStr">
        <is>
          <t>2026-07-31T13:44:01.315844Z</t>
        </is>
      </c>
      <c r="C3" s="24" t="inlineStr">
        <is>
          <t>2026-07-31T14:00:00Z</t>
        </is>
      </c>
      <c r="D3" s="24" t="inlineStr">
        <is>
          <t>64929</t>
        </is>
      </c>
      <c r="E3" s="24" t="inlineStr">
        <is>
          <t>DOTA2</t>
        </is>
      </c>
      <c r="F3" s="24" t="inlineStr">
        <is>
          <t>Zero Tenacity</t>
        </is>
      </c>
      <c r="G3" s="24" t="inlineStr">
        <is>
          <t>Yakult Brothers</t>
        </is>
      </c>
      <c r="H3" s="24" t="inlineStr">
        <is>
          <t>moneyline</t>
        </is>
      </c>
      <c r="I3" s="24" t="inlineStr">
        <is>
          <t>away</t>
        </is>
      </c>
      <c r="J3" s="25" t="n"/>
      <c r="K3" s="24" t="inlineStr">
        <is>
          <t>polymarket_us</t>
        </is>
      </c>
      <c r="L3" s="26" t="n">
        <v>156</v>
      </c>
      <c r="M3" s="27" t="n">
        <v>2.56</v>
      </c>
      <c r="N3" s="28" t="n">
        <v>0.390625</v>
      </c>
      <c r="O3" s="28" t="n">
        <v>0.610359</v>
      </c>
      <c r="P3" s="28" t="n"/>
      <c r="Q3" s="28" t="n">
        <v>0.219734</v>
      </c>
      <c r="R3" s="26" t="n">
        <v>100</v>
      </c>
      <c r="S3" s="29" t="n">
        <v>1.5</v>
      </c>
      <c r="T3" s="24" t="inlineStr">
        <is>
          <t>dota2-tiered-elo-v5</t>
        </is>
      </c>
      <c r="U3" s="24" t="inlineStr">
        <is>
          <t>settled</t>
        </is>
      </c>
      <c r="V3" s="24" t="inlineStr">
        <is>
          <t>win</t>
        </is>
      </c>
      <c r="W3" s="26" t="n">
        <v>1</v>
      </c>
      <c r="X3" s="26" t="n">
        <v>0</v>
      </c>
      <c r="Y3" s="25" t="n"/>
      <c r="Z3" s="26" t="n">
        <v>156</v>
      </c>
      <c r="AA3" s="28" t="n">
        <v>0.39</v>
      </c>
      <c r="AB3" s="28" t="n">
        <v>-0.000625</v>
      </c>
      <c r="AC3" s="30" t="n">
        <v>2.34</v>
      </c>
      <c r="AD3" s="24" t="inlineStr">
        <is>
          <t>2026-07-31T19:51:28.507069Z</t>
        </is>
      </c>
      <c r="AE3" s="31" t="inlineStr">
        <is>
          <t>Neutral Elo baseline; executable ask 0.3900 (market_slug=aec-dota2-yb-z10-2026-07-31).</t>
        </is>
      </c>
      <c r="AF3" s="31" t="inlineStr">
        <is>
          <t>Config-promoted esports baseline; gates enforced at log time.</t>
        </is>
      </c>
      <c r="AG3" s="24" t="inlineStr">
        <is>
          <t>not_applicable</t>
        </is>
      </c>
      <c r="AH3" s="24" t="n"/>
      <c r="AI3" s="31" t="n"/>
      <c r="AJ3" s="31" t="n"/>
      <c r="AK3" s="24" t="inlineStr">
        <is>
          <t>model_qualified</t>
        </is>
      </c>
      <c r="AL3" s="26" t="n">
        <v>3</v>
      </c>
      <c r="AM3" s="24" t="inlineStr">
        <is>
          <t>QUALIFIED_SHADOW_CALL</t>
        </is>
      </c>
      <c r="AN3" s="24" t="inlineStr">
        <is>
          <t>CALL</t>
        </is>
      </c>
      <c r="AO3" s="24" t="inlineStr">
        <is>
          <t>QUALIFIED</t>
        </is>
      </c>
      <c r="AP3" s="24" t="inlineStr">
        <is>
          <t>Zero Tenacity</t>
        </is>
      </c>
      <c r="AQ3" s="24" t="inlineStr">
        <is>
          <t>Zero Tenacity</t>
        </is>
      </c>
      <c r="AR3" s="24" t="inlineStr">
        <is>
          <t>Zero Tenacity</t>
        </is>
      </c>
      <c r="AS3" s="24" t="inlineStr">
        <is>
          <t>Yakult Brothers</t>
        </is>
      </c>
      <c r="AT3" s="24" t="inlineStr">
        <is>
          <t>Yakult Brothers</t>
        </is>
      </c>
      <c r="AU3" s="24" t="inlineStr">
        <is>
          <t>Yakult Brothers</t>
        </is>
      </c>
      <c r="AV3" s="24" t="n"/>
      <c r="AW3" s="24" t="n"/>
      <c r="AX3" s="24" t="inlineStr">
        <is>
          <t>statistical_model</t>
        </is>
      </c>
      <c r="AY3" s="24" t="n"/>
      <c r="AZ3" s="24" t="inlineStr">
        <is>
          <t>shadow_qualified</t>
        </is>
      </c>
      <c r="BA3" s="24" t="inlineStr">
        <is>
          <t>b5798e8e2d651ab79c8db316f3ec8a564cab27653a02daab82555f6e9f330ac3</t>
        </is>
      </c>
      <c r="BB3" s="24" t="inlineStr">
        <is>
          <t>neutral_elo</t>
        </is>
      </c>
      <c r="BC3" s="24" t="inlineStr">
        <is>
          <t>dota2-tiered-elo-v5</t>
        </is>
      </c>
      <c r="BD3" s="24" t="inlineStr">
        <is>
          <t>b5798e8e2d651ab79c8db316f3ec8a564cab27653a02daab82555f6e9f330ac3</t>
        </is>
      </c>
      <c r="BE3" s="24" t="inlineStr">
        <is>
          <t>1</t>
        </is>
      </c>
      <c r="BF3" s="24" t="inlineStr">
        <is>
          <t>1</t>
        </is>
      </c>
      <c r="BG3" s="24" t="inlineStr">
        <is>
          <t>dota2-tiered-elo-v5</t>
        </is>
      </c>
      <c r="BH3" s="24" t="inlineStr">
        <is>
          <t>2026-07-31T13:43:57.933952Z</t>
        </is>
      </c>
      <c r="BI3" s="24" t="inlineStr">
        <is>
          <t>["same_event","same_team_same_day","same_league_same_day"]</t>
        </is>
      </c>
      <c r="BJ3" s="25" t="n"/>
      <c r="BK3" s="26" t="n">
        <v>156</v>
      </c>
      <c r="BL3" s="27" t="n">
        <v>2.56</v>
      </c>
      <c r="BM3" s="28" t="n">
        <v>0.390625</v>
      </c>
      <c r="BN3" s="28" t="n"/>
      <c r="BO3" s="28" t="n"/>
      <c r="BP3" s="25" t="n"/>
      <c r="BQ3" s="27" t="n">
        <v>2.56</v>
      </c>
      <c r="BR3" s="28" t="n">
        <v>0.39</v>
      </c>
      <c r="BS3" s="28" t="n"/>
      <c r="BT3" s="28" t="n"/>
      <c r="BU3" s="25" t="n"/>
      <c r="BV3" s="29" t="n"/>
      <c r="BW3" s="24" t="n"/>
      <c r="BX3" s="30" t="n"/>
      <c r="BY3" s="27" t="n"/>
      <c r="BZ3" s="24" t="n"/>
      <c r="CA3" s="31" t="n"/>
      <c r="CB3" s="24" t="n"/>
      <c r="CC3" s="24" t="n"/>
      <c r="CD3" s="24" t="n"/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  <c r="CN3" s="24" t="n"/>
      <c r="CO3" s="24" t="n"/>
      <c r="CP3" s="24" t="n"/>
      <c r="CQ3" s="24" t="n"/>
    </row>
    <row r="4" ht="36" customHeight="1">
      <c r="A4" s="24" t="inlineStr">
        <is>
          <t>0938e25298a64dae</t>
        </is>
      </c>
      <c r="B4" s="24" t="inlineStr">
        <is>
          <t>2026-07-31T13:44:01.315844Z</t>
        </is>
      </c>
      <c r="C4" s="24" t="inlineStr">
        <is>
          <t>2026-07-31T14:00:00Z</t>
        </is>
      </c>
      <c r="D4" s="24" t="inlineStr">
        <is>
          <t>64928</t>
        </is>
      </c>
      <c r="E4" s="24" t="inlineStr">
        <is>
          <t>DOTA2</t>
        </is>
      </c>
      <c r="F4" s="24" t="inlineStr">
        <is>
          <t>LGD Gaming</t>
        </is>
      </c>
      <c r="G4" s="24" t="inlineStr">
        <is>
          <t>Xtreme Gaming</t>
        </is>
      </c>
      <c r="H4" s="24" t="inlineStr">
        <is>
          <t>moneyline</t>
        </is>
      </c>
      <c r="I4" s="24" t="inlineStr">
        <is>
          <t>away</t>
        </is>
      </c>
      <c r="J4" s="25" t="n"/>
      <c r="K4" s="24" t="inlineStr">
        <is>
          <t>polymarket_us</t>
        </is>
      </c>
      <c r="L4" s="26" t="n">
        <v>-127</v>
      </c>
      <c r="M4" s="27" t="n">
        <v>1.787402</v>
      </c>
      <c r="N4" s="28" t="n">
        <v>0.5594710000000001</v>
      </c>
      <c r="O4" s="28" t="n">
        <v>0.701925</v>
      </c>
      <c r="P4" s="28" t="n"/>
      <c r="Q4" s="28" t="n">
        <v>0.142454</v>
      </c>
      <c r="R4" s="26" t="n">
        <v>91</v>
      </c>
      <c r="S4" s="29" t="n">
        <v>2</v>
      </c>
      <c r="T4" s="24" t="inlineStr">
        <is>
          <t>dota2-tiered-elo-v5</t>
        </is>
      </c>
      <c r="U4" s="24" t="inlineStr">
        <is>
          <t>settled</t>
        </is>
      </c>
      <c r="V4" s="24" t="inlineStr">
        <is>
          <t>loss</t>
        </is>
      </c>
      <c r="W4" s="26" t="n">
        <v>0</v>
      </c>
      <c r="X4" s="26" t="n">
        <v>1</v>
      </c>
      <c r="Y4" s="25" t="n"/>
      <c r="Z4" s="26" t="n">
        <v>-127</v>
      </c>
      <c r="AA4" s="28" t="n">
        <v>0.5600000000000001</v>
      </c>
      <c r="AB4" s="28" t="n">
        <v>0.000529</v>
      </c>
      <c r="AC4" s="30" t="n">
        <v>-2</v>
      </c>
      <c r="AD4" s="24" t="inlineStr">
        <is>
          <t>2026-07-31T23:28:46.755247Z</t>
        </is>
      </c>
      <c r="AE4" s="31" t="inlineStr">
        <is>
          <t>Neutral Elo baseline; executable ask 0.5600 (market_slug=aec-dota2-xtreme-lgd-2026-07-31).</t>
        </is>
      </c>
      <c r="AF4" s="31" t="inlineStr">
        <is>
          <t>Config-promoted esports baseline; gates enforced at log time.</t>
        </is>
      </c>
      <c r="AG4" s="24" t="inlineStr">
        <is>
          <t>review_required</t>
        </is>
      </c>
      <c r="AH4" s="24" t="n"/>
      <c r="AI4" s="31" t="n"/>
      <c r="AJ4" s="31" t="n"/>
      <c r="AK4" s="24" t="inlineStr">
        <is>
          <t>model_qualified</t>
        </is>
      </c>
      <c r="AL4" s="26" t="n">
        <v>3</v>
      </c>
      <c r="AM4" s="24" t="inlineStr">
        <is>
          <t>QUALIFIED_SHADOW_CALL</t>
        </is>
      </c>
      <c r="AN4" s="24" t="inlineStr">
        <is>
          <t>CALL</t>
        </is>
      </c>
      <c r="AO4" s="24" t="inlineStr">
        <is>
          <t>QUALIFIED</t>
        </is>
      </c>
      <c r="AP4" s="24" t="inlineStr">
        <is>
          <t>LGD Gaming</t>
        </is>
      </c>
      <c r="AQ4" s="24" t="inlineStr">
        <is>
          <t>LGD Gaming</t>
        </is>
      </c>
      <c r="AR4" s="24" t="inlineStr">
        <is>
          <t>LGD Gaming</t>
        </is>
      </c>
      <c r="AS4" s="24" t="inlineStr">
        <is>
          <t>Xtreme Gaming</t>
        </is>
      </c>
      <c r="AT4" s="24" t="inlineStr">
        <is>
          <t>Xtreme Gaming</t>
        </is>
      </c>
      <c r="AU4" s="24" t="inlineStr">
        <is>
          <t>Xtreme Gaming</t>
        </is>
      </c>
      <c r="AV4" s="24" t="n"/>
      <c r="AW4" s="24" t="n"/>
      <c r="AX4" s="24" t="inlineStr">
        <is>
          <t>statistical_model</t>
        </is>
      </c>
      <c r="AY4" s="24" t="n"/>
      <c r="AZ4" s="24" t="inlineStr">
        <is>
          <t>shadow_qualified</t>
        </is>
      </c>
      <c r="BA4" s="24" t="inlineStr">
        <is>
          <t>b5798e8e2d651ab79c8db316f3ec8a564cab27653a02daab82555f6e9f330ac3</t>
        </is>
      </c>
      <c r="BB4" s="24" t="inlineStr">
        <is>
          <t>neutral_elo</t>
        </is>
      </c>
      <c r="BC4" s="24" t="inlineStr">
        <is>
          <t>dota2-tiered-elo-v5</t>
        </is>
      </c>
      <c r="BD4" s="24" t="inlineStr">
        <is>
          <t>b5798e8e2d651ab79c8db316f3ec8a564cab27653a02daab82555f6e9f330ac3</t>
        </is>
      </c>
      <c r="BE4" s="24" t="inlineStr">
        <is>
          <t>1</t>
        </is>
      </c>
      <c r="BF4" s="24" t="inlineStr">
        <is>
          <t>1</t>
        </is>
      </c>
      <c r="BG4" s="24" t="inlineStr">
        <is>
          <t>dota2-tiered-elo-v5</t>
        </is>
      </c>
      <c r="BH4" s="24" t="inlineStr">
        <is>
          <t>2026-07-31T13:43:58.701955Z</t>
        </is>
      </c>
      <c r="BI4" s="24" t="inlineStr">
        <is>
          <t>["same_event","same_team_same_day","same_league_same_day"]</t>
        </is>
      </c>
      <c r="BJ4" s="25" t="n"/>
      <c r="BK4" s="26" t="n">
        <v>-127</v>
      </c>
      <c r="BL4" s="27" t="n">
        <v>1.787402</v>
      </c>
      <c r="BM4" s="28" t="n">
        <v>0.5594710000000001</v>
      </c>
      <c r="BN4" s="28" t="n"/>
      <c r="BO4" s="28" t="n"/>
      <c r="BP4" s="25" t="n"/>
      <c r="BQ4" s="27" t="n">
        <v>1.787402</v>
      </c>
      <c r="BR4" s="28" t="n">
        <v>0.5600000000000001</v>
      </c>
      <c r="BS4" s="28" t="n"/>
      <c r="BT4" s="28" t="n"/>
      <c r="BU4" s="25" t="n"/>
      <c r="BV4" s="29" t="n"/>
      <c r="BW4" s="24" t="n"/>
      <c r="BX4" s="30" t="n"/>
      <c r="BY4" s="27" t="n"/>
      <c r="BZ4" s="24" t="n"/>
      <c r="CA4" s="31" t="n"/>
      <c r="CB4" s="24" t="n"/>
      <c r="CC4" s="24" t="n"/>
      <c r="CD4" s="24" t="n"/>
      <c r="CE4" s="24" t="n"/>
      <c r="CF4" s="24" t="n"/>
      <c r="CG4" s="24" t="n"/>
      <c r="CH4" s="24" t="n"/>
      <c r="CI4" s="24" t="n"/>
      <c r="CJ4" s="24" t="n"/>
      <c r="CK4" s="24" t="n"/>
      <c r="CL4" s="24" t="n"/>
      <c r="CM4" s="24" t="n"/>
      <c r="CN4" s="24" t="n"/>
      <c r="CO4" s="24" t="n"/>
      <c r="CP4" s="24" t="n"/>
      <c r="CQ4" s="24" t="n"/>
    </row>
    <row r="5" ht="36" customHeight="1">
      <c r="A5" s="24" t="inlineStr">
        <is>
          <t>631326b56379473e</t>
        </is>
      </c>
      <c r="B5" s="24" t="inlineStr">
        <is>
          <t>2026-08-01T03:02:50.460010Z</t>
        </is>
      </c>
      <c r="C5" s="24" t="inlineStr">
        <is>
          <t>2026-08-01T05:00:00Z</t>
        </is>
      </c>
      <c r="D5" s="24" t="inlineStr">
        <is>
          <t>67530</t>
        </is>
      </c>
      <c r="E5" s="24" t="inlineStr">
        <is>
          <t>DOTA2</t>
        </is>
      </c>
      <c r="F5" s="24" t="inlineStr">
        <is>
          <t>Team Resilience</t>
        </is>
      </c>
      <c r="G5" s="24" t="inlineStr">
        <is>
          <t>Midas Club</t>
        </is>
      </c>
      <c r="H5" s="24" t="inlineStr">
        <is>
          <t>moneyline</t>
        </is>
      </c>
      <c r="I5" s="24" t="inlineStr">
        <is>
          <t>away</t>
        </is>
      </c>
      <c r="J5" s="25" t="n"/>
      <c r="K5" s="24" t="inlineStr">
        <is>
          <t>polymarket_us</t>
        </is>
      </c>
      <c r="L5" s="26" t="n">
        <v>-150</v>
      </c>
      <c r="M5" s="27" t="n">
        <v>1.666667</v>
      </c>
      <c r="N5" s="28" t="n">
        <v>0.6</v>
      </c>
      <c r="O5" s="28" t="n">
        <v>0.630791</v>
      </c>
      <c r="P5" s="28" t="n"/>
      <c r="Q5" s="28" t="n">
        <v>0.030791</v>
      </c>
      <c r="R5" s="26" t="n">
        <v>35</v>
      </c>
      <c r="S5" s="29" t="n">
        <v>1.5</v>
      </c>
      <c r="T5" s="24" t="inlineStr">
        <is>
          <t>dota2-tiered-elo-v5</t>
        </is>
      </c>
      <c r="U5" s="24" t="inlineStr">
        <is>
          <t>settled</t>
        </is>
      </c>
      <c r="V5" s="24" t="inlineStr">
        <is>
          <t>win</t>
        </is>
      </c>
      <c r="W5" s="26" t="n">
        <v>1</v>
      </c>
      <c r="X5" s="26" t="n">
        <v>0</v>
      </c>
      <c r="Y5" s="25" t="n"/>
      <c r="Z5" s="26" t="n"/>
      <c r="AA5" s="28" t="n"/>
      <c r="AB5" s="28" t="n"/>
      <c r="AC5" s="30" t="n">
        <v>1</v>
      </c>
      <c r="AD5" s="24" t="inlineStr">
        <is>
          <t>2026-08-01T10:16:06.748137Z</t>
        </is>
      </c>
      <c r="AE5" s="31" t="inlineStr">
        <is>
          <t>Neutral Elo baseline; executable ask 0.6000 (market_slug=aec-dota2-midas-tr-2026-08-01).</t>
        </is>
      </c>
      <c r="AF5" s="31" t="inlineStr">
        <is>
          <t>Config-promoted esports baseline; gates enforced at log time.</t>
        </is>
      </c>
      <c r="AG5" s="24" t="inlineStr">
        <is>
          <t>not_applicable</t>
        </is>
      </c>
      <c r="AH5" s="24" t="n"/>
      <c r="AI5" s="31" t="n"/>
      <c r="AJ5" s="31" t="n"/>
      <c r="AK5" s="24" t="inlineStr">
        <is>
          <t>model_qualified</t>
        </is>
      </c>
      <c r="AL5" s="26" t="n">
        <v>3</v>
      </c>
      <c r="AM5" s="24" t="inlineStr">
        <is>
          <t>QUALIFIED_SHADOW_CALL</t>
        </is>
      </c>
      <c r="AN5" s="24" t="inlineStr">
        <is>
          <t>CALL</t>
        </is>
      </c>
      <c r="AO5" s="24" t="inlineStr">
        <is>
          <t>QUALIFIED</t>
        </is>
      </c>
      <c r="AP5" s="24" t="inlineStr">
        <is>
          <t>Team Resilience</t>
        </is>
      </c>
      <c r="AQ5" s="24" t="inlineStr">
        <is>
          <t>Team Resilience</t>
        </is>
      </c>
      <c r="AR5" s="24" t="inlineStr">
        <is>
          <t>Team Resilience</t>
        </is>
      </c>
      <c r="AS5" s="24" t="inlineStr">
        <is>
          <t>Midas Club</t>
        </is>
      </c>
      <c r="AT5" s="24" t="inlineStr">
        <is>
          <t>Midas Club</t>
        </is>
      </c>
      <c r="AU5" s="24" t="inlineStr">
        <is>
          <t>Midas Club</t>
        </is>
      </c>
      <c r="AV5" s="24" t="n"/>
      <c r="AW5" s="24" t="n"/>
      <c r="AX5" s="24" t="inlineStr">
        <is>
          <t>statistical_model</t>
        </is>
      </c>
      <c r="AY5" s="24" t="n"/>
      <c r="AZ5" s="24" t="inlineStr">
        <is>
          <t>shadow_qualified</t>
        </is>
      </c>
      <c r="BA5" s="24" t="inlineStr">
        <is>
          <t>70c4a9b222a6dac9c1b0737621af569fa1e0e955085795442f7ac4d19191488f</t>
        </is>
      </c>
      <c r="BB5" s="24" t="inlineStr">
        <is>
          <t>neutral_elo</t>
        </is>
      </c>
      <c r="BC5" s="24" t="inlineStr">
        <is>
          <t>dota2-tiered-elo-v5</t>
        </is>
      </c>
      <c r="BD5" s="24" t="inlineStr">
        <is>
          <t>70c4a9b222a6dac9c1b0737621af569fa1e0e955085795442f7ac4d19191488f</t>
        </is>
      </c>
      <c r="BE5" s="24" t="inlineStr">
        <is>
          <t>1</t>
        </is>
      </c>
      <c r="BF5" s="24" t="inlineStr">
        <is>
          <t>1</t>
        </is>
      </c>
      <c r="BG5" s="24" t="inlineStr">
        <is>
          <t>dota2-tiered-elo-v5</t>
        </is>
      </c>
      <c r="BH5" s="24" t="inlineStr">
        <is>
          <t>2026-08-01T03:02:45.273136Z</t>
        </is>
      </c>
      <c r="BI5" s="24" t="inlineStr">
        <is>
          <t>["same_event","same_team_same_day","same_league_same_day"]</t>
        </is>
      </c>
      <c r="BJ5" s="25" t="n"/>
      <c r="BK5" s="26" t="n">
        <v>-150</v>
      </c>
      <c r="BL5" s="27" t="n">
        <v>1.666667</v>
      </c>
      <c r="BM5" s="28" t="n">
        <v>0.6</v>
      </c>
      <c r="BN5" s="28" t="n"/>
      <c r="BO5" s="28" t="n"/>
      <c r="BP5" s="25" t="n"/>
      <c r="BQ5" s="27" t="n"/>
      <c r="BR5" s="28" t="n"/>
      <c r="BS5" s="28" t="n"/>
      <c r="BT5" s="28" t="n"/>
      <c r="BU5" s="25" t="n"/>
      <c r="BV5" s="29" t="n"/>
      <c r="BW5" s="24" t="n"/>
      <c r="BX5" s="30" t="n"/>
      <c r="BY5" s="27" t="n"/>
      <c r="BZ5" s="24" t="n"/>
      <c r="CA5" s="31" t="n"/>
      <c r="CB5" s="24" t="n"/>
      <c r="CC5" s="24" t="n"/>
      <c r="CD5" s="24" t="n"/>
      <c r="CE5" s="24" t="n"/>
      <c r="CF5" s="24" t="n"/>
      <c r="CG5" s="24" t="n"/>
      <c r="CH5" s="24" t="n"/>
      <c r="CI5" s="24" t="n"/>
      <c r="CJ5" s="24" t="n"/>
      <c r="CK5" s="24" t="n"/>
      <c r="CL5" s="24" t="n"/>
      <c r="CM5" s="24" t="n"/>
      <c r="CN5" s="24" t="n"/>
      <c r="CO5" s="24" t="n"/>
      <c r="CP5" s="24" t="n"/>
      <c r="CQ5" s="24" t="n"/>
    </row>
    <row r="6" ht="36" customHeight="1">
      <c r="A6" s="24" t="inlineStr">
        <is>
          <t>9518099e84cd4bb6</t>
        </is>
      </c>
      <c r="B6" s="24" t="inlineStr">
        <is>
          <t>2026-08-01T06:42:17.908342Z</t>
        </is>
      </c>
      <c r="C6" s="24" t="inlineStr">
        <is>
          <t>2026-08-01T08:00:00Z</t>
        </is>
      </c>
      <c r="D6" s="24" t="inlineStr">
        <is>
          <t>67531</t>
        </is>
      </c>
      <c r="E6" s="24" t="inlineStr">
        <is>
          <t>DOTA2</t>
        </is>
      </c>
      <c r="F6" s="24" t="inlineStr">
        <is>
          <t>PlayTime</t>
        </is>
      </c>
      <c r="G6" s="24" t="inlineStr">
        <is>
          <t>Rune Eaters</t>
        </is>
      </c>
      <c r="H6" s="24" t="inlineStr">
        <is>
          <t>moneyline</t>
        </is>
      </c>
      <c r="I6" s="24" t="inlineStr">
        <is>
          <t>away</t>
        </is>
      </c>
      <c r="J6" s="25" t="n"/>
      <c r="K6" s="24" t="inlineStr">
        <is>
          <t>polymarket_us</t>
        </is>
      </c>
      <c r="L6" s="26" t="n">
        <v>-178</v>
      </c>
      <c r="M6" s="27" t="n">
        <v>1.561798</v>
      </c>
      <c r="N6" s="28" t="n">
        <v>0.640288</v>
      </c>
      <c r="O6" s="28" t="n">
        <v>0.685333</v>
      </c>
      <c r="P6" s="28" t="n"/>
      <c r="Q6" s="28" t="n">
        <v>0.045045</v>
      </c>
      <c r="R6" s="26" t="n">
        <v>43</v>
      </c>
      <c r="S6" s="29" t="n">
        <v>2</v>
      </c>
      <c r="T6" s="24" t="inlineStr">
        <is>
          <t>dota2-tiered-elo-v5</t>
        </is>
      </c>
      <c r="U6" s="24" t="inlineStr">
        <is>
          <t>settled</t>
        </is>
      </c>
      <c r="V6" s="24" t="inlineStr">
        <is>
          <t>loss</t>
        </is>
      </c>
      <c r="W6" s="26" t="n">
        <v>0</v>
      </c>
      <c r="X6" s="26" t="n">
        <v>1</v>
      </c>
      <c r="Y6" s="25" t="n"/>
      <c r="Z6" s="26" t="n">
        <v>-178</v>
      </c>
      <c r="AA6" s="28" t="n">
        <v>0.64</v>
      </c>
      <c r="AB6" s="28" t="n">
        <v>-0.000288</v>
      </c>
      <c r="AC6" s="30" t="n">
        <v>-2</v>
      </c>
      <c r="AD6" s="24" t="inlineStr">
        <is>
          <t>2026-08-01T13:41:26.204467Z</t>
        </is>
      </c>
      <c r="AE6" s="31" t="inlineStr">
        <is>
          <t>Neutral Elo baseline; executable ask 0.6400 (market_slug=aec-dota2-re-pla-2026-08-01).</t>
        </is>
      </c>
      <c r="AF6" s="31" t="inlineStr">
        <is>
          <t>Config-promoted esports baseline; gates enforced at log time.</t>
        </is>
      </c>
      <c r="AG6" s="24" t="inlineStr">
        <is>
          <t>review_required</t>
        </is>
      </c>
      <c r="AH6" s="24" t="n"/>
      <c r="AI6" s="31" t="n"/>
      <c r="AJ6" s="31" t="n"/>
      <c r="AK6" s="24" t="inlineStr">
        <is>
          <t>model_qualified</t>
        </is>
      </c>
      <c r="AL6" s="26" t="n">
        <v>3</v>
      </c>
      <c r="AM6" s="24" t="inlineStr">
        <is>
          <t>QUALIFIED_SHADOW_CALL</t>
        </is>
      </c>
      <c r="AN6" s="24" t="inlineStr">
        <is>
          <t>CALL</t>
        </is>
      </c>
      <c r="AO6" s="24" t="inlineStr">
        <is>
          <t>QUALIFIED</t>
        </is>
      </c>
      <c r="AP6" s="24" t="inlineStr">
        <is>
          <t>PlayTime</t>
        </is>
      </c>
      <c r="AQ6" s="24" t="inlineStr">
        <is>
          <t>PlayTime</t>
        </is>
      </c>
      <c r="AR6" s="24" t="inlineStr">
        <is>
          <t>PlayTime</t>
        </is>
      </c>
      <c r="AS6" s="24" t="inlineStr">
        <is>
          <t>Rune Eaters</t>
        </is>
      </c>
      <c r="AT6" s="24" t="inlineStr">
        <is>
          <t>Rune Eaters</t>
        </is>
      </c>
      <c r="AU6" s="24" t="inlineStr">
        <is>
          <t>Rune Eaters</t>
        </is>
      </c>
      <c r="AV6" s="24" t="n"/>
      <c r="AW6" s="24" t="n"/>
      <c r="AX6" s="24" t="inlineStr">
        <is>
          <t>statistical_model</t>
        </is>
      </c>
      <c r="AY6" s="24" t="n"/>
      <c r="AZ6" s="24" t="inlineStr">
        <is>
          <t>shadow_qualified</t>
        </is>
      </c>
      <c r="BA6" s="24" t="inlineStr">
        <is>
          <t>752abd49fc5066bbf6c0b57bc44412069a390e80fbe7ec7ad0c39f984fb62854</t>
        </is>
      </c>
      <c r="BB6" s="24" t="inlineStr">
        <is>
          <t>neutral_elo</t>
        </is>
      </c>
      <c r="BC6" s="24" t="inlineStr">
        <is>
          <t>dota2-tiered-elo-v5</t>
        </is>
      </c>
      <c r="BD6" s="24" t="inlineStr">
        <is>
          <t>752abd49fc5066bbf6c0b57bc44412069a390e80fbe7ec7ad0c39f984fb62854</t>
        </is>
      </c>
      <c r="BE6" s="24" t="inlineStr">
        <is>
          <t>1</t>
        </is>
      </c>
      <c r="BF6" s="24" t="inlineStr">
        <is>
          <t>1</t>
        </is>
      </c>
      <c r="BG6" s="24" t="inlineStr">
        <is>
          <t>dota2-tiered-elo-v5</t>
        </is>
      </c>
      <c r="BH6" s="24" t="inlineStr">
        <is>
          <t>2026-08-01T06:42:13.849047Z</t>
        </is>
      </c>
      <c r="BI6" s="24" t="inlineStr">
        <is>
          <t>["same_event","same_team_same_day","same_league_same_day"]</t>
        </is>
      </c>
      <c r="BJ6" s="25" t="n"/>
      <c r="BK6" s="26" t="n">
        <v>-178</v>
      </c>
      <c r="BL6" s="27" t="n">
        <v>1.561798</v>
      </c>
      <c r="BM6" s="28" t="n">
        <v>0.640288</v>
      </c>
      <c r="BN6" s="28" t="n"/>
      <c r="BO6" s="28" t="n"/>
      <c r="BP6" s="25" t="n"/>
      <c r="BQ6" s="27" t="n">
        <v>1.561798</v>
      </c>
      <c r="BR6" s="28" t="n">
        <v>0.64</v>
      </c>
      <c r="BS6" s="28" t="n"/>
      <c r="BT6" s="28" t="n"/>
      <c r="BU6" s="25" t="n"/>
      <c r="BV6" s="29" t="n"/>
      <c r="BW6" s="24" t="n"/>
      <c r="BX6" s="30" t="n"/>
      <c r="BY6" s="27" t="n"/>
      <c r="BZ6" s="24" t="n"/>
      <c r="CA6" s="31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</row>
    <row r="7" ht="36" customHeight="1">
      <c r="A7" s="24" t="inlineStr">
        <is>
          <t>ed3b2bbfc78f4fd7</t>
        </is>
      </c>
      <c r="B7" s="24" t="inlineStr">
        <is>
          <t>2026-08-02T07:16:32.312595Z</t>
        </is>
      </c>
      <c r="C7" s="24" t="inlineStr">
        <is>
          <t>2026-08-02T08:00:00Z</t>
        </is>
      </c>
      <c r="D7" s="24" t="inlineStr">
        <is>
          <t>68446</t>
        </is>
      </c>
      <c r="E7" s="24" t="inlineStr">
        <is>
          <t>DOTA2</t>
        </is>
      </c>
      <c r="F7" s="24" t="inlineStr">
        <is>
          <t>Team Resilience</t>
        </is>
      </c>
      <c r="G7" s="24" t="inlineStr">
        <is>
          <t>Yellow Submarine</t>
        </is>
      </c>
      <c r="H7" s="24" t="inlineStr">
        <is>
          <t>moneyline</t>
        </is>
      </c>
      <c r="I7" s="24" t="inlineStr">
        <is>
          <t>home</t>
        </is>
      </c>
      <c r="J7" s="25" t="n"/>
      <c r="K7" s="24" t="inlineStr">
        <is>
          <t>polymarket_us</t>
        </is>
      </c>
      <c r="L7" s="26" t="n">
        <v>127</v>
      </c>
      <c r="M7" s="27" t="n">
        <v>2.27</v>
      </c>
      <c r="N7" s="28" t="n">
        <v>0.440529</v>
      </c>
      <c r="O7" s="28" t="n">
        <v>0.576085</v>
      </c>
      <c r="P7" s="28" t="n"/>
      <c r="Q7" s="28" t="n">
        <v>0.135556</v>
      </c>
      <c r="R7" s="26" t="n">
        <v>88</v>
      </c>
      <c r="S7" s="29" t="n">
        <v>1.25</v>
      </c>
      <c r="T7" s="24" t="inlineStr">
        <is>
          <t>dota2-tiered-elo-v5</t>
        </is>
      </c>
      <c r="U7" s="24" t="inlineStr">
        <is>
          <t>settled</t>
        </is>
      </c>
      <c r="V7" s="24" t="inlineStr">
        <is>
          <t>loss</t>
        </is>
      </c>
      <c r="W7" s="26" t="n">
        <v>1</v>
      </c>
      <c r="X7" s="26" t="n">
        <v>0</v>
      </c>
      <c r="Y7" s="25" t="n"/>
      <c r="Z7" s="26" t="n">
        <v>127</v>
      </c>
      <c r="AA7" s="28" t="n">
        <v>0.44</v>
      </c>
      <c r="AB7" s="28" t="n">
        <v>-0.000529</v>
      </c>
      <c r="AC7" s="30" t="n">
        <v>-1.25</v>
      </c>
      <c r="AD7" s="24" t="inlineStr">
        <is>
          <t>2026-08-02T15:53:37.832218Z</t>
        </is>
      </c>
      <c r="AE7" s="31" t="inlineStr">
        <is>
          <t>Neutral Elo baseline; executable ask 0.4400 (market_slug=aec-dota2-yes-tr-2026-08-02).</t>
        </is>
      </c>
      <c r="AF7" s="31" t="inlineStr">
        <is>
          <t>Config-promoted esports baseline; gates enforced at log time.</t>
        </is>
      </c>
      <c r="AG7" s="24" t="inlineStr">
        <is>
          <t>review_required</t>
        </is>
      </c>
      <c r="AH7" s="24" t="n"/>
      <c r="AI7" s="31" t="n"/>
      <c r="AJ7" s="31" t="n"/>
      <c r="AK7" s="24" t="inlineStr">
        <is>
          <t>model_qualified</t>
        </is>
      </c>
      <c r="AL7" s="26" t="n">
        <v>3</v>
      </c>
      <c r="AM7" s="24" t="inlineStr">
        <is>
          <t>QUALIFIED_SHADOW_CALL</t>
        </is>
      </c>
      <c r="AN7" s="24" t="inlineStr">
        <is>
          <t>CALL</t>
        </is>
      </c>
      <c r="AO7" s="24" t="inlineStr">
        <is>
          <t>QUALIFIED</t>
        </is>
      </c>
      <c r="AP7" s="24" t="inlineStr">
        <is>
          <t>Team Resilience</t>
        </is>
      </c>
      <c r="AQ7" s="24" t="inlineStr">
        <is>
          <t>Team Resilience</t>
        </is>
      </c>
      <c r="AR7" s="24" t="inlineStr">
        <is>
          <t>Team Resilience</t>
        </is>
      </c>
      <c r="AS7" s="24" t="inlineStr">
        <is>
          <t>Yellow Submarine</t>
        </is>
      </c>
      <c r="AT7" s="24" t="inlineStr">
        <is>
          <t>Yellow Submarine</t>
        </is>
      </c>
      <c r="AU7" s="24" t="inlineStr">
        <is>
          <t>Yellow Submarine</t>
        </is>
      </c>
      <c r="AV7" s="24" t="n"/>
      <c r="AW7" s="24" t="n"/>
      <c r="AX7" s="24" t="inlineStr">
        <is>
          <t>statistical_model</t>
        </is>
      </c>
      <c r="AY7" s="24" t="n"/>
      <c r="AZ7" s="24" t="inlineStr">
        <is>
          <t>shadow_qualified</t>
        </is>
      </c>
      <c r="BA7" s="24" t="inlineStr">
        <is>
          <t>9e5f3e455da6fe4a2d8dcc8c9466846303c6541f69893fd12aeb76cf2c918868</t>
        </is>
      </c>
      <c r="BB7" s="24" t="inlineStr">
        <is>
          <t>neutral_elo</t>
        </is>
      </c>
      <c r="BC7" s="24" t="inlineStr">
        <is>
          <t>dota2-tiered-elo-v5</t>
        </is>
      </c>
      <c r="BD7" s="24" t="inlineStr">
        <is>
          <t>9e5f3e455da6fe4a2d8dcc8c9466846303c6541f69893fd12aeb76cf2c918868</t>
        </is>
      </c>
      <c r="BE7" s="24" t="inlineStr">
        <is>
          <t>1</t>
        </is>
      </c>
      <c r="BF7" s="24" t="inlineStr">
        <is>
          <t>1</t>
        </is>
      </c>
      <c r="BG7" s="24" t="inlineStr">
        <is>
          <t>dota2-tiered-elo-v5</t>
        </is>
      </c>
      <c r="BH7" s="24" t="inlineStr">
        <is>
          <t>2026-08-02T07:16:30.813424Z</t>
        </is>
      </c>
      <c r="BI7" s="24" t="inlineStr">
        <is>
          <t>["same_event","same_team_same_day","same_league_same_day"]</t>
        </is>
      </c>
      <c r="BJ7" s="25" t="n"/>
      <c r="BK7" s="26" t="n">
        <v>127</v>
      </c>
      <c r="BL7" s="27" t="n">
        <v>2.27</v>
      </c>
      <c r="BM7" s="28" t="n">
        <v>0.440529</v>
      </c>
      <c r="BN7" s="28" t="n"/>
      <c r="BO7" s="28" t="n"/>
      <c r="BP7" s="25" t="n"/>
      <c r="BQ7" s="27" t="n">
        <v>2.27</v>
      </c>
      <c r="BR7" s="28" t="n">
        <v>0.44</v>
      </c>
      <c r="BS7" s="28" t="n"/>
      <c r="BT7" s="28" t="n"/>
      <c r="BU7" s="25" t="n"/>
      <c r="BV7" s="29" t="n"/>
      <c r="BW7" s="24" t="n"/>
      <c r="BX7" s="30" t="n"/>
      <c r="BY7" s="27" t="n"/>
      <c r="BZ7" s="24" t="n"/>
      <c r="CA7" s="31" t="n"/>
      <c r="CB7" s="24" t="n"/>
      <c r="CC7" s="24" t="n"/>
      <c r="CD7" s="24" t="n"/>
      <c r="CE7" s="24" t="n"/>
      <c r="CF7" s="24" t="n"/>
      <c r="CG7" s="24" t="n"/>
      <c r="CH7" s="24" t="n"/>
      <c r="CI7" s="24" t="n"/>
      <c r="CJ7" s="24" t="n"/>
      <c r="CK7" s="24" t="n"/>
      <c r="CL7" s="24" t="n"/>
      <c r="CM7" s="24" t="n"/>
      <c r="CN7" s="24" t="n"/>
      <c r="CO7" s="24" t="n"/>
      <c r="CP7" s="24" t="n"/>
      <c r="CQ7" s="24" t="n"/>
    </row>
    <row r="8" ht="36" customHeight="1">
      <c r="A8" s="24" t="inlineStr">
        <is>
          <t>74d7b0ae490e40d2</t>
        </is>
      </c>
      <c r="B8" s="24" t="inlineStr">
        <is>
          <t>2026-08-02T10:00:11.648885Z</t>
        </is>
      </c>
      <c r="C8" s="24" t="inlineStr">
        <is>
          <t>2026-08-02T11:00:00Z</t>
        </is>
      </c>
      <c r="D8" s="24" t="inlineStr">
        <is>
          <t>69232</t>
        </is>
      </c>
      <c r="E8" s="24" t="inlineStr">
        <is>
          <t>DOTA2</t>
        </is>
      </c>
      <c r="F8" s="24" t="inlineStr">
        <is>
          <t>Yakult Brothers</t>
        </is>
      </c>
      <c r="G8" s="24" t="inlineStr">
        <is>
          <t>REKONIX</t>
        </is>
      </c>
      <c r="H8" s="24" t="inlineStr">
        <is>
          <t>moneyline</t>
        </is>
      </c>
      <c r="I8" s="24" t="inlineStr">
        <is>
          <t>home</t>
        </is>
      </c>
      <c r="J8" s="25" t="n"/>
      <c r="K8" s="24" t="inlineStr">
        <is>
          <t>polymarket_us</t>
        </is>
      </c>
      <c r="L8" s="26" t="n">
        <v>104</v>
      </c>
      <c r="M8" s="27" t="n">
        <v>2.04</v>
      </c>
      <c r="N8" s="28" t="n">
        <v>0.490196</v>
      </c>
      <c r="O8" s="28" t="n">
        <v>0.702765</v>
      </c>
      <c r="P8" s="28" t="n"/>
      <c r="Q8" s="28" t="n">
        <v>0.212569</v>
      </c>
      <c r="R8" s="26" t="n">
        <v>100</v>
      </c>
      <c r="S8" s="29" t="n">
        <v>2</v>
      </c>
      <c r="T8" s="24" t="inlineStr">
        <is>
          <t>dota2-tiered-elo-v5</t>
        </is>
      </c>
      <c r="U8" s="24" t="inlineStr">
        <is>
          <t>settled</t>
        </is>
      </c>
      <c r="V8" s="24" t="inlineStr">
        <is>
          <t>loss</t>
        </is>
      </c>
      <c r="W8" s="26" t="n">
        <v>1</v>
      </c>
      <c r="X8" s="26" t="n">
        <v>0</v>
      </c>
      <c r="Y8" s="25" t="n"/>
      <c r="Z8" s="26" t="n">
        <v>104</v>
      </c>
      <c r="AA8" s="28" t="n">
        <v>0.49</v>
      </c>
      <c r="AB8" s="28" t="n">
        <v>-0.000196</v>
      </c>
      <c r="AC8" s="30" t="n">
        <v>-2</v>
      </c>
      <c r="AD8" s="24" t="inlineStr">
        <is>
          <t>2026-08-02T19:26:56.858449Z</t>
        </is>
      </c>
      <c r="AE8" s="31" t="inlineStr">
        <is>
          <t>Neutral Elo baseline; executable ask 0.4900 (market_slug=aec-dota2-rnx-yb-2026-08-02).</t>
        </is>
      </c>
      <c r="AF8" s="31" t="inlineStr">
        <is>
          <t>Config-promoted esports baseline; gates enforced at log time.</t>
        </is>
      </c>
      <c r="AG8" s="24" t="inlineStr">
        <is>
          <t>review_required</t>
        </is>
      </c>
      <c r="AH8" s="24" t="n"/>
      <c r="AI8" s="31" t="n"/>
      <c r="AJ8" s="31" t="n"/>
      <c r="AK8" s="24" t="inlineStr">
        <is>
          <t>model_qualified</t>
        </is>
      </c>
      <c r="AL8" s="26" t="n">
        <v>3</v>
      </c>
      <c r="AM8" s="24" t="inlineStr">
        <is>
          <t>QUALIFIED_SHADOW_CALL</t>
        </is>
      </c>
      <c r="AN8" s="24" t="inlineStr">
        <is>
          <t>CALL</t>
        </is>
      </c>
      <c r="AO8" s="24" t="inlineStr">
        <is>
          <t>QUALIFIED</t>
        </is>
      </c>
      <c r="AP8" s="24" t="inlineStr">
        <is>
          <t>Yakult Brothers</t>
        </is>
      </c>
      <c r="AQ8" s="24" t="inlineStr">
        <is>
          <t>Yakult Brothers</t>
        </is>
      </c>
      <c r="AR8" s="24" t="inlineStr">
        <is>
          <t>Yakult Brothers</t>
        </is>
      </c>
      <c r="AS8" s="24" t="inlineStr">
        <is>
          <t>REKONIX</t>
        </is>
      </c>
      <c r="AT8" s="24" t="inlineStr">
        <is>
          <t>REKONIX</t>
        </is>
      </c>
      <c r="AU8" s="24" t="inlineStr">
        <is>
          <t>REKONIX</t>
        </is>
      </c>
      <c r="AV8" s="24" t="n"/>
      <c r="AW8" s="24" t="n"/>
      <c r="AX8" s="24" t="inlineStr">
        <is>
          <t>statistical_model</t>
        </is>
      </c>
      <c r="AY8" s="24" t="n"/>
      <c r="AZ8" s="24" t="inlineStr">
        <is>
          <t>shadow_qualified</t>
        </is>
      </c>
      <c r="BA8" s="24" t="inlineStr">
        <is>
          <t>d60687e602976b4a2779a4ff6a5f8f825a178fa4df1e53dc8ee5e3eeffcc3d8b</t>
        </is>
      </c>
      <c r="BB8" s="24" t="inlineStr">
        <is>
          <t>neutral_elo</t>
        </is>
      </c>
      <c r="BC8" s="24" t="inlineStr">
        <is>
          <t>dota2-tiered-elo-v5</t>
        </is>
      </c>
      <c r="BD8" s="24" t="inlineStr">
        <is>
          <t>d60687e602976b4a2779a4ff6a5f8f825a178fa4df1e53dc8ee5e3eeffcc3d8b</t>
        </is>
      </c>
      <c r="BE8" s="24" t="inlineStr">
        <is>
          <t>1</t>
        </is>
      </c>
      <c r="BF8" s="24" t="inlineStr">
        <is>
          <t>1</t>
        </is>
      </c>
      <c r="BG8" s="24" t="inlineStr">
        <is>
          <t>dota2-tiered-elo-v5</t>
        </is>
      </c>
      <c r="BH8" s="24" t="inlineStr">
        <is>
          <t>2026-08-02T10:00:10.645047Z</t>
        </is>
      </c>
      <c r="BI8" s="24" t="inlineStr">
        <is>
          <t>["same_event","same_team_same_day","same_league_same_day"]</t>
        </is>
      </c>
      <c r="BJ8" s="25" t="n"/>
      <c r="BK8" s="26" t="n">
        <v>104</v>
      </c>
      <c r="BL8" s="27" t="n">
        <v>2.04</v>
      </c>
      <c r="BM8" s="28" t="n">
        <v>0.490196</v>
      </c>
      <c r="BN8" s="28" t="n"/>
      <c r="BO8" s="28" t="n"/>
      <c r="BP8" s="25" t="n"/>
      <c r="BQ8" s="27" t="n">
        <v>2.04</v>
      </c>
      <c r="BR8" s="28" t="n">
        <v>0.49</v>
      </c>
      <c r="BS8" s="28" t="n"/>
      <c r="BT8" s="28" t="n"/>
      <c r="BU8" s="25" t="n"/>
      <c r="BV8" s="29" t="n"/>
      <c r="BW8" s="24" t="n"/>
      <c r="BX8" s="30" t="n"/>
      <c r="BY8" s="27" t="n"/>
      <c r="BZ8" s="24" t="n"/>
      <c r="CA8" s="31" t="n"/>
      <c r="CB8" s="24" t="n"/>
      <c r="CC8" s="24" t="n"/>
      <c r="CD8" s="24" t="n"/>
      <c r="CE8" s="24" t="n"/>
      <c r="CF8" s="24" t="n"/>
      <c r="CG8" s="24" t="n"/>
      <c r="CH8" s="24" t="n"/>
      <c r="CI8" s="24" t="n"/>
      <c r="CJ8" s="24" t="n"/>
      <c r="CK8" s="24" t="n"/>
      <c r="CL8" s="24" t="n"/>
      <c r="CM8" s="24" t="n"/>
      <c r="CN8" s="24" t="n"/>
      <c r="CO8" s="24" t="n"/>
      <c r="CP8" s="24" t="n"/>
      <c r="CQ8" s="24" t="n"/>
    </row>
    <row r="9" ht="36" customHeight="1">
      <c r="A9" s="24" t="inlineStr">
        <is>
          <t>56abab72389b4452</t>
        </is>
      </c>
      <c r="B9" s="24" t="inlineStr">
        <is>
          <t>2026-08-03T04:20:25.162543Z</t>
        </is>
      </c>
      <c r="C9" s="24" t="inlineStr">
        <is>
          <t>2026-08-03T05:00:00Z</t>
        </is>
      </c>
      <c r="D9" s="24" t="inlineStr">
        <is>
          <t>69530</t>
        </is>
      </c>
      <c r="E9" s="24" t="inlineStr">
        <is>
          <t>DOTA2</t>
        </is>
      </c>
      <c r="F9" s="24" t="inlineStr">
        <is>
          <t>GLYPH</t>
        </is>
      </c>
      <c r="G9" s="24" t="inlineStr">
        <is>
          <t>PlayTime</t>
        </is>
      </c>
      <c r="H9" s="24" t="inlineStr">
        <is>
          <t>moneyline</t>
        </is>
      </c>
      <c r="I9" s="24" t="inlineStr">
        <is>
          <t>home</t>
        </is>
      </c>
      <c r="J9" s="25" t="n"/>
      <c r="K9" s="24" t="inlineStr">
        <is>
          <t>polymarket_us</t>
        </is>
      </c>
      <c r="L9" s="26" t="n">
        <v>-170</v>
      </c>
      <c r="M9" s="27" t="n">
        <v>1.588235</v>
      </c>
      <c r="N9" s="28" t="n">
        <v>0.62963</v>
      </c>
      <c r="O9" s="28" t="n">
        <v>0.688438</v>
      </c>
      <c r="P9" s="28" t="n"/>
      <c r="Q9" s="28" t="n">
        <v>0.058808</v>
      </c>
      <c r="R9" s="26" t="n">
        <v>49</v>
      </c>
      <c r="S9" s="29" t="n">
        <v>2</v>
      </c>
      <c r="T9" s="24" t="inlineStr">
        <is>
          <t>dota2-tiered-elo-v5</t>
        </is>
      </c>
      <c r="U9" s="24" t="inlineStr">
        <is>
          <t>settled</t>
        </is>
      </c>
      <c r="V9" s="24" t="inlineStr">
        <is>
          <t>win</t>
        </is>
      </c>
      <c r="W9" s="26" t="n">
        <v>0</v>
      </c>
      <c r="X9" s="26" t="n">
        <v>1</v>
      </c>
      <c r="Y9" s="25" t="n"/>
      <c r="Z9" s="26" t="n">
        <v>-170</v>
      </c>
      <c r="AA9" s="28" t="n">
        <v>0.63</v>
      </c>
      <c r="AB9" s="28" t="n">
        <v>0.00037</v>
      </c>
      <c r="AC9" s="30" t="n">
        <v>1.1765</v>
      </c>
      <c r="AD9" s="24" t="inlineStr">
        <is>
          <t>2026-08-03T10:06:56.862820Z</t>
        </is>
      </c>
      <c r="AE9" s="31" t="inlineStr">
        <is>
          <t>Neutral Elo baseline; executable ask 0.6300 (market_slug=aec-dota2-pla-glyph-2026-08-03).</t>
        </is>
      </c>
      <c r="AF9" s="31" t="inlineStr">
        <is>
          <t>Config-promoted esports baseline; gates enforced at log time.</t>
        </is>
      </c>
      <c r="AG9" s="24" t="inlineStr">
        <is>
          <t>not_applicable</t>
        </is>
      </c>
      <c r="AH9" s="24" t="n"/>
      <c r="AI9" s="31" t="n"/>
      <c r="AJ9" s="31" t="n"/>
      <c r="AK9" s="24" t="inlineStr">
        <is>
          <t>model_qualified</t>
        </is>
      </c>
      <c r="AL9" s="26" t="n">
        <v>3</v>
      </c>
      <c r="AM9" s="24" t="inlineStr">
        <is>
          <t>QUALIFIED_SHADOW_CALL</t>
        </is>
      </c>
      <c r="AN9" s="24" t="inlineStr">
        <is>
          <t>CALL</t>
        </is>
      </c>
      <c r="AO9" s="24" t="inlineStr">
        <is>
          <t>QUALIFIED</t>
        </is>
      </c>
      <c r="AP9" s="24" t="inlineStr">
        <is>
          <t>GLYPH</t>
        </is>
      </c>
      <c r="AQ9" s="24" t="inlineStr">
        <is>
          <t>GLYPH</t>
        </is>
      </c>
      <c r="AR9" s="24" t="inlineStr">
        <is>
          <t>GLYPH</t>
        </is>
      </c>
      <c r="AS9" s="24" t="inlineStr">
        <is>
          <t>PlayTime</t>
        </is>
      </c>
      <c r="AT9" s="24" t="inlineStr">
        <is>
          <t>PlayTime</t>
        </is>
      </c>
      <c r="AU9" s="24" t="inlineStr">
        <is>
          <t>PlayTime</t>
        </is>
      </c>
      <c r="AV9" s="24" t="n"/>
      <c r="AW9" s="24" t="n"/>
      <c r="AX9" s="24" t="inlineStr">
        <is>
          <t>statistical_model</t>
        </is>
      </c>
      <c r="AY9" s="24" t="n"/>
      <c r="AZ9" s="24" t="inlineStr">
        <is>
          <t>shadow_qualified</t>
        </is>
      </c>
      <c r="BA9" s="24" t="inlineStr">
        <is>
          <t>bf20998d8a70c3832fd09ea459020acc93ce47c0fe8f683c0d8face894c2cb28</t>
        </is>
      </c>
      <c r="BB9" s="24" t="inlineStr">
        <is>
          <t>neutral_elo</t>
        </is>
      </c>
      <c r="BC9" s="24" t="inlineStr">
        <is>
          <t>dota2-tiered-elo-v5</t>
        </is>
      </c>
      <c r="BD9" s="24" t="inlineStr">
        <is>
          <t>bf20998d8a70c3832fd09ea459020acc93ce47c0fe8f683c0d8face894c2cb28</t>
        </is>
      </c>
      <c r="BE9" s="24" t="inlineStr">
        <is>
          <t>1</t>
        </is>
      </c>
      <c r="BF9" s="24" t="inlineStr">
        <is>
          <t>1</t>
        </is>
      </c>
      <c r="BG9" s="24" t="inlineStr">
        <is>
          <t>dota2-tiered-elo-v5</t>
        </is>
      </c>
      <c r="BH9" s="24" t="inlineStr">
        <is>
          <t>2026-08-03T04:20:21.088131Z</t>
        </is>
      </c>
      <c r="BI9" s="24" t="inlineStr">
        <is>
          <t>["same_event","same_team_same_day","same_league_same_day"]</t>
        </is>
      </c>
      <c r="BJ9" s="25" t="n"/>
      <c r="BK9" s="26" t="n">
        <v>-170</v>
      </c>
      <c r="BL9" s="27" t="n">
        <v>1.588235</v>
      </c>
      <c r="BM9" s="28" t="n">
        <v>0.62963</v>
      </c>
      <c r="BN9" s="28" t="n"/>
      <c r="BO9" s="28" t="n"/>
      <c r="BP9" s="25" t="n"/>
      <c r="BQ9" s="27" t="n">
        <v>1.588235</v>
      </c>
      <c r="BR9" s="28" t="n">
        <v>0.63</v>
      </c>
      <c r="BS9" s="28" t="n"/>
      <c r="BT9" s="28" t="n"/>
      <c r="BU9" s="25" t="n"/>
      <c r="BV9" s="29" t="n"/>
      <c r="BW9" s="24" t="n"/>
      <c r="BX9" s="30" t="n"/>
      <c r="BY9" s="27" t="n"/>
      <c r="BZ9" s="24" t="n"/>
      <c r="CA9" s="31" t="n"/>
      <c r="CB9" s="24" t="n"/>
      <c r="CC9" s="24" t="n"/>
      <c r="CD9" s="24" t="n"/>
      <c r="CE9" s="24" t="n"/>
      <c r="CF9" s="24" t="n"/>
      <c r="CG9" s="24" t="n"/>
      <c r="CH9" s="24" t="n"/>
      <c r="CI9" s="24" t="n"/>
      <c r="CJ9" s="24" t="n"/>
      <c r="CK9" s="24" t="n"/>
      <c r="CL9" s="24" t="n"/>
      <c r="CM9" s="24" t="n"/>
      <c r="CN9" s="24" t="n"/>
      <c r="CO9" s="24" t="n"/>
      <c r="CP9" s="24" t="n"/>
      <c r="CQ9" s="24" t="inlineStr">
        <is>
          <t>True</t>
        </is>
      </c>
    </row>
    <row r="10" ht="36" customHeight="1">
      <c r="A10" s="24" t="inlineStr">
        <is>
          <t>38208d33e6cc491d</t>
        </is>
      </c>
      <c r="B10" s="24" t="inlineStr">
        <is>
          <t>2026-08-03T06:32:33.049242Z</t>
        </is>
      </c>
      <c r="C10" s="24" t="inlineStr">
        <is>
          <t>2026-08-03T09:00:00Z</t>
        </is>
      </c>
      <c r="D10" s="24" t="inlineStr">
        <is>
          <t>70303</t>
        </is>
      </c>
      <c r="E10" s="24" t="inlineStr">
        <is>
          <t>DOTA2</t>
        </is>
      </c>
      <c r="F10" s="24" t="inlineStr">
        <is>
          <t>1win</t>
        </is>
      </c>
      <c r="G10" s="24" t="inlineStr">
        <is>
          <t>LGD Gaming</t>
        </is>
      </c>
      <c r="H10" s="24" t="inlineStr">
        <is>
          <t>moneyline</t>
        </is>
      </c>
      <c r="I10" s="24" t="inlineStr">
        <is>
          <t>home</t>
        </is>
      </c>
      <c r="J10" s="25" t="n"/>
      <c r="K10" s="24" t="inlineStr">
        <is>
          <t>polymarket_us</t>
        </is>
      </c>
      <c r="L10" s="26" t="n">
        <v>156</v>
      </c>
      <c r="M10" s="27" t="n">
        <v>2.56</v>
      </c>
      <c r="N10" s="28" t="n">
        <v>0.390625</v>
      </c>
      <c r="O10" s="28" t="n">
        <v>0.622594</v>
      </c>
      <c r="P10" s="28" t="n"/>
      <c r="Q10" s="28" t="n">
        <v>0.231969</v>
      </c>
      <c r="R10" s="26" t="n">
        <v>100</v>
      </c>
      <c r="S10" s="29" t="n">
        <v>1.5</v>
      </c>
      <c r="T10" s="24" t="inlineStr">
        <is>
          <t>dota2-tiered-elo-v5</t>
        </is>
      </c>
      <c r="U10" s="24" t="inlineStr">
        <is>
          <t>settled</t>
        </is>
      </c>
      <c r="V10" s="24" t="inlineStr">
        <is>
          <t>loss</t>
        </is>
      </c>
      <c r="W10" s="26" t="n">
        <v>1</v>
      </c>
      <c r="X10" s="26" t="n">
        <v>0</v>
      </c>
      <c r="Y10" s="25" t="n"/>
      <c r="Z10" s="26" t="n">
        <v>156</v>
      </c>
      <c r="AA10" s="28" t="n">
        <v>0.39</v>
      </c>
      <c r="AB10" s="28" t="n">
        <v>-0.000625</v>
      </c>
      <c r="AC10" s="30" t="n">
        <v>-1.5</v>
      </c>
      <c r="AD10" s="24" t="inlineStr">
        <is>
          <t>2026-08-03T10:56:06.930565Z</t>
        </is>
      </c>
      <c r="AE10" s="31" t="inlineStr">
        <is>
          <t>Neutral Elo baseline; executable ask 0.3900 (market_slug=aec-dota2-lgd-1win-2026-08-03).</t>
        </is>
      </c>
      <c r="AF10" s="31" t="inlineStr">
        <is>
          <t>Config-promoted esports baseline; gates enforced at log time.</t>
        </is>
      </c>
      <c r="AG10" s="24" t="inlineStr">
        <is>
          <t>review_required</t>
        </is>
      </c>
      <c r="AH10" s="24" t="n"/>
      <c r="AI10" s="31" t="n"/>
      <c r="AJ10" s="31" t="n"/>
      <c r="AK10" s="24" t="inlineStr">
        <is>
          <t>model_qualified</t>
        </is>
      </c>
      <c r="AL10" s="26" t="n">
        <v>3</v>
      </c>
      <c r="AM10" s="24" t="inlineStr">
        <is>
          <t>QUALIFIED_SHADOW_CALL</t>
        </is>
      </c>
      <c r="AN10" s="24" t="inlineStr">
        <is>
          <t>CALL</t>
        </is>
      </c>
      <c r="AO10" s="24" t="inlineStr">
        <is>
          <t>QUALIFIED</t>
        </is>
      </c>
      <c r="AP10" s="24" t="inlineStr">
        <is>
          <t>1win</t>
        </is>
      </c>
      <c r="AQ10" s="24" t="inlineStr">
        <is>
          <t>1win</t>
        </is>
      </c>
      <c r="AR10" s="24" t="inlineStr">
        <is>
          <t>1win</t>
        </is>
      </c>
      <c r="AS10" s="24" t="inlineStr">
        <is>
          <t>LGD Gaming</t>
        </is>
      </c>
      <c r="AT10" s="24" t="inlineStr">
        <is>
          <t>LGD Gaming</t>
        </is>
      </c>
      <c r="AU10" s="24" t="inlineStr">
        <is>
          <t>LGD Gaming</t>
        </is>
      </c>
      <c r="AV10" s="24" t="n"/>
      <c r="AW10" s="24" t="n"/>
      <c r="AX10" s="24" t="inlineStr">
        <is>
          <t>statistical_model</t>
        </is>
      </c>
      <c r="AY10" s="24" t="n"/>
      <c r="AZ10" s="24" t="inlineStr">
        <is>
          <t>shadow_qualified</t>
        </is>
      </c>
      <c r="BA10" s="24" t="inlineStr">
        <is>
          <t>533fea08f6899886856a22c8b82fe2bc1d4c49576971024283434d4b7315bbc9</t>
        </is>
      </c>
      <c r="BB10" s="24" t="inlineStr">
        <is>
          <t>neutral_elo</t>
        </is>
      </c>
      <c r="BC10" s="24" t="inlineStr">
        <is>
          <t>dota2-tiered-elo-v5</t>
        </is>
      </c>
      <c r="BD10" s="24" t="inlineStr">
        <is>
          <t>533fea08f6899886856a22c8b82fe2bc1d4c49576971024283434d4b7315bbc9</t>
        </is>
      </c>
      <c r="BE10" s="24" t="inlineStr">
        <is>
          <t>1</t>
        </is>
      </c>
      <c r="BF10" s="24" t="inlineStr">
        <is>
          <t>1</t>
        </is>
      </c>
      <c r="BG10" s="24" t="inlineStr">
        <is>
          <t>dota2-tiered-elo-v5</t>
        </is>
      </c>
      <c r="BH10" s="24" t="inlineStr">
        <is>
          <t>2026-08-03T06:32:30.412423Z</t>
        </is>
      </c>
      <c r="BI10" s="24" t="inlineStr">
        <is>
          <t>["same_event","same_team_same_day","same_league_same_day"]</t>
        </is>
      </c>
      <c r="BJ10" s="25" t="n"/>
      <c r="BK10" s="26" t="n">
        <v>156</v>
      </c>
      <c r="BL10" s="27" t="n">
        <v>2.56</v>
      </c>
      <c r="BM10" s="28" t="n">
        <v>0.390625</v>
      </c>
      <c r="BN10" s="28" t="n"/>
      <c r="BO10" s="28" t="n"/>
      <c r="BP10" s="25" t="n"/>
      <c r="BQ10" s="27" t="n">
        <v>2.56</v>
      </c>
      <c r="BR10" s="28" t="n">
        <v>0.39</v>
      </c>
      <c r="BS10" s="28" t="n"/>
      <c r="BT10" s="28" t="n"/>
      <c r="BU10" s="25" t="n"/>
      <c r="BV10" s="29" t="n"/>
      <c r="BW10" s="24" t="n"/>
      <c r="BX10" s="30" t="n"/>
      <c r="BY10" s="27" t="n"/>
      <c r="BZ10" s="24" t="n"/>
      <c r="CA10" s="31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24" t="n"/>
      <c r="CP10" s="24" t="n"/>
      <c r="CQ10" s="24" t="inlineStr">
        <is>
          <t>True</t>
        </is>
      </c>
    </row>
    <row r="11" ht="36" customHeight="1">
      <c r="A11" s="24" t="inlineStr">
        <is>
          <t>570983c1503a4b3b</t>
        </is>
      </c>
      <c r="B11" s="24" t="inlineStr">
        <is>
          <t>2026-08-03T13:30:35.070004Z</t>
        </is>
      </c>
      <c r="C11" s="24" t="inlineStr">
        <is>
          <t>2026-08-03T14:00:00Z</t>
        </is>
      </c>
      <c r="D11" s="24" t="inlineStr">
        <is>
          <t>70380</t>
        </is>
      </c>
      <c r="E11" s="24" t="inlineStr">
        <is>
          <t>DOTA2</t>
        </is>
      </c>
      <c r="F11" s="24" t="inlineStr">
        <is>
          <t>LGD Gaming</t>
        </is>
      </c>
      <c r="G11" s="24" t="inlineStr">
        <is>
          <t>Rune Eaters</t>
        </is>
      </c>
      <c r="H11" s="24" t="inlineStr">
        <is>
          <t>moneyline</t>
        </is>
      </c>
      <c r="I11" s="24" t="inlineStr">
        <is>
          <t>away</t>
        </is>
      </c>
      <c r="J11" s="25" t="n"/>
      <c r="K11" s="24" t="inlineStr">
        <is>
          <t>polymarket_us</t>
        </is>
      </c>
      <c r="L11" s="26" t="n">
        <v>-233</v>
      </c>
      <c r="M11" s="27" t="n">
        <v>1.429185</v>
      </c>
      <c r="N11" s="28" t="n">
        <v>0.6997</v>
      </c>
      <c r="O11" s="28" t="n">
        <v>0.75532</v>
      </c>
      <c r="P11" s="28" t="n"/>
      <c r="Q11" s="28" t="n">
        <v>0.05562</v>
      </c>
      <c r="R11" s="26" t="n">
        <v>48</v>
      </c>
      <c r="S11" s="29" t="n">
        <v>2</v>
      </c>
      <c r="T11" s="24" t="inlineStr">
        <is>
          <t>dota2-tiered-elo-v5</t>
        </is>
      </c>
      <c r="U11" s="24" t="inlineStr">
        <is>
          <t>open</t>
        </is>
      </c>
      <c r="V11" s="24" t="n"/>
      <c r="W11" s="26" t="n"/>
      <c r="X11" s="26" t="n"/>
      <c r="Y11" s="25" t="n"/>
      <c r="Z11" s="26" t="n"/>
      <c r="AA11" s="28" t="n"/>
      <c r="AB11" s="28" t="n"/>
      <c r="AC11" s="30" t="n"/>
      <c r="AD11" s="24" t="n"/>
      <c r="AE11" s="31" t="inlineStr">
        <is>
          <t>Neutral Elo baseline; executable ask 0.7000 (market_slug=aec-dota2-re-lgd-2026-08-03).</t>
        </is>
      </c>
      <c r="AF11" s="31" t="inlineStr">
        <is>
          <t>Config-promoted esports baseline; gates enforced at log time.</t>
        </is>
      </c>
      <c r="AG11" s="24" t="inlineStr">
        <is>
          <t>not_applicable</t>
        </is>
      </c>
      <c r="AH11" s="24" t="n"/>
      <c r="AI11" s="31" t="n"/>
      <c r="AJ11" s="31" t="n"/>
      <c r="AK11" s="24" t="inlineStr">
        <is>
          <t>model_qualified</t>
        </is>
      </c>
      <c r="AL11" s="26" t="n">
        <v>3</v>
      </c>
      <c r="AM11" s="24" t="inlineStr">
        <is>
          <t>QUALIFIED_SHADOW_CALL</t>
        </is>
      </c>
      <c r="AN11" s="24" t="inlineStr">
        <is>
          <t>CALL</t>
        </is>
      </c>
      <c r="AO11" s="24" t="inlineStr">
        <is>
          <t>QUALIFIED</t>
        </is>
      </c>
      <c r="AP11" s="24" t="inlineStr">
        <is>
          <t>LGD Gaming</t>
        </is>
      </c>
      <c r="AQ11" s="24" t="inlineStr">
        <is>
          <t>LGD Gaming</t>
        </is>
      </c>
      <c r="AR11" s="24" t="inlineStr">
        <is>
          <t>LGD Gaming</t>
        </is>
      </c>
      <c r="AS11" s="24" t="inlineStr">
        <is>
          <t>Rune Eaters</t>
        </is>
      </c>
      <c r="AT11" s="24" t="inlineStr">
        <is>
          <t>Rune Eaters</t>
        </is>
      </c>
      <c r="AU11" s="24" t="inlineStr">
        <is>
          <t>Rune Eaters</t>
        </is>
      </c>
      <c r="AV11" s="24" t="n"/>
      <c r="AW11" s="24" t="n"/>
      <c r="AX11" s="24" t="inlineStr">
        <is>
          <t>statistical_model</t>
        </is>
      </c>
      <c r="AY11" s="24" t="n"/>
      <c r="AZ11" s="24" t="inlineStr">
        <is>
          <t>shadow_qualified</t>
        </is>
      </c>
      <c r="BA11" s="24" t="inlineStr">
        <is>
          <t>9f83c860ce6adddad784676b2958b8c4421adf6e3abacd5545efbed1bb0cde1d</t>
        </is>
      </c>
      <c r="BB11" s="24" t="inlineStr">
        <is>
          <t>neutral_elo</t>
        </is>
      </c>
      <c r="BC11" s="24" t="inlineStr">
        <is>
          <t>dota2-tiered-elo-v5</t>
        </is>
      </c>
      <c r="BD11" s="24" t="inlineStr">
        <is>
          <t>9f83c860ce6adddad784676b2958b8c4421adf6e3abacd5545efbed1bb0cde1d</t>
        </is>
      </c>
      <c r="BE11" s="24" t="inlineStr">
        <is>
          <t>1</t>
        </is>
      </c>
      <c r="BF11" s="24" t="inlineStr">
        <is>
          <t>1</t>
        </is>
      </c>
      <c r="BG11" s="24" t="inlineStr">
        <is>
          <t>dota2-tiered-elo-v5</t>
        </is>
      </c>
      <c r="BH11" s="24" t="inlineStr">
        <is>
          <t>2026-08-03T13:30:33.121525Z</t>
        </is>
      </c>
      <c r="BI11" s="24" t="inlineStr">
        <is>
          <t>["same_event","same_team_same_day","same_league_same_day"]</t>
        </is>
      </c>
      <c r="BJ11" s="25" t="n"/>
      <c r="BK11" s="26" t="n">
        <v>-233</v>
      </c>
      <c r="BL11" s="27" t="n">
        <v>1.429185</v>
      </c>
      <c r="BM11" s="28" t="n">
        <v>0.6997</v>
      </c>
      <c r="BN11" s="28" t="n"/>
      <c r="BO11" s="28" t="n"/>
      <c r="BP11" s="25" t="n"/>
      <c r="BQ11" s="27" t="n"/>
      <c r="BR11" s="28" t="n"/>
      <c r="BS11" s="28" t="n"/>
      <c r="BT11" s="28" t="n"/>
      <c r="BU11" s="25" t="n"/>
      <c r="BV11" s="29" t="n"/>
      <c r="BW11" s="24" t="n"/>
      <c r="BX11" s="30" t="n"/>
      <c r="BY11" s="27" t="n"/>
      <c r="BZ11" s="24" t="n"/>
      <c r="CA11" s="31" t="n"/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24" t="n"/>
      <c r="CK11" s="24" t="n"/>
      <c r="CL11" s="24" t="n"/>
      <c r="CM11" s="24" t="n"/>
      <c r="CN11" s="24" t="n"/>
      <c r="CO11" s="24" t="n"/>
      <c r="CP11" s="24" t="n"/>
      <c r="CQ11" s="24" t="inlineStr">
        <is>
          <t>True</t>
        </is>
      </c>
    </row>
    <row r="12" ht="36" customHeight="1">
      <c r="A12" s="24" t="inlineStr">
        <is>
          <t>adc2bab7d75c44b7</t>
        </is>
      </c>
      <c r="B12" s="24" t="inlineStr">
        <is>
          <t>2026-08-03T13:30:35.070004Z</t>
        </is>
      </c>
      <c r="C12" s="24" t="inlineStr">
        <is>
          <t>2026-08-03T15:00:00Z</t>
        </is>
      </c>
      <c r="D12" s="24" t="inlineStr">
        <is>
          <t>70305</t>
        </is>
      </c>
      <c r="E12" s="24" t="inlineStr">
        <is>
          <t>DOTA2</t>
        </is>
      </c>
      <c r="F12" s="24" t="inlineStr">
        <is>
          <t>BetBoom Team</t>
        </is>
      </c>
      <c r="G12" s="24" t="inlineStr">
        <is>
          <t>Team Falcons</t>
        </is>
      </c>
      <c r="H12" s="24" t="inlineStr">
        <is>
          <t>moneyline</t>
        </is>
      </c>
      <c r="I12" s="24" t="inlineStr">
        <is>
          <t>away</t>
        </is>
      </c>
      <c r="J12" s="25" t="n"/>
      <c r="K12" s="24" t="inlineStr">
        <is>
          <t>polymarket_us</t>
        </is>
      </c>
      <c r="L12" s="26" t="n">
        <v>-113</v>
      </c>
      <c r="M12" s="27" t="n">
        <v>1.884956</v>
      </c>
      <c r="N12" s="28" t="n">
        <v>0.530516</v>
      </c>
      <c r="O12" s="28" t="n">
        <v>0.571416</v>
      </c>
      <c r="P12" s="28" t="n"/>
      <c r="Q12" s="28" t="n">
        <v>0.0409</v>
      </c>
      <c r="R12" s="26" t="n">
        <v>40</v>
      </c>
      <c r="S12" s="29" t="n">
        <v>1.25</v>
      </c>
      <c r="T12" s="24" t="inlineStr">
        <is>
          <t>dota2-tiered-elo-v5</t>
        </is>
      </c>
      <c r="U12" s="24" t="inlineStr">
        <is>
          <t>open</t>
        </is>
      </c>
      <c r="V12" s="24" t="n"/>
      <c r="W12" s="26" t="n"/>
      <c r="X12" s="26" t="n"/>
      <c r="Y12" s="25" t="n"/>
      <c r="Z12" s="26" t="n"/>
      <c r="AA12" s="28" t="n"/>
      <c r="AB12" s="28" t="n"/>
      <c r="AC12" s="30" t="n"/>
      <c r="AD12" s="24" t="n"/>
      <c r="AE12" s="31" t="inlineStr">
        <is>
          <t>Neutral Elo baseline; executable ask 0.5300 (market_slug=aec-dota2-flc-bb-2026-08-03).</t>
        </is>
      </c>
      <c r="AF12" s="31" t="inlineStr">
        <is>
          <t>Config-promoted esports baseline; gates enforced at log time.</t>
        </is>
      </c>
      <c r="AG12" s="24" t="inlineStr">
        <is>
          <t>not_applicable</t>
        </is>
      </c>
      <c r="AH12" s="24" t="n"/>
      <c r="AI12" s="31" t="n"/>
      <c r="AJ12" s="31" t="n"/>
      <c r="AK12" s="24" t="inlineStr">
        <is>
          <t>model_qualified</t>
        </is>
      </c>
      <c r="AL12" s="26" t="n">
        <v>3</v>
      </c>
      <c r="AM12" s="24" t="inlineStr">
        <is>
          <t>QUALIFIED_SHADOW_CALL</t>
        </is>
      </c>
      <c r="AN12" s="24" t="inlineStr">
        <is>
          <t>CALL</t>
        </is>
      </c>
      <c r="AO12" s="24" t="inlineStr">
        <is>
          <t>QUALIFIED</t>
        </is>
      </c>
      <c r="AP12" s="24" t="inlineStr">
        <is>
          <t>BetBoom Team</t>
        </is>
      </c>
      <c r="AQ12" s="24" t="inlineStr">
        <is>
          <t>BetBoom Team</t>
        </is>
      </c>
      <c r="AR12" s="24" t="inlineStr">
        <is>
          <t>BetBoom Team</t>
        </is>
      </c>
      <c r="AS12" s="24" t="inlineStr">
        <is>
          <t>Team Falcons</t>
        </is>
      </c>
      <c r="AT12" s="24" t="inlineStr">
        <is>
          <t>Team Falcons</t>
        </is>
      </c>
      <c r="AU12" s="24" t="inlineStr">
        <is>
          <t>Team Falcons</t>
        </is>
      </c>
      <c r="AV12" s="24" t="n"/>
      <c r="AW12" s="24" t="n"/>
      <c r="AX12" s="24" t="inlineStr">
        <is>
          <t>statistical_model</t>
        </is>
      </c>
      <c r="AY12" s="24" t="n"/>
      <c r="AZ12" s="24" t="inlineStr">
        <is>
          <t>shadow_qualified</t>
        </is>
      </c>
      <c r="BA12" s="24" t="inlineStr">
        <is>
          <t>9f83c860ce6adddad784676b2958b8c4421adf6e3abacd5545efbed1bb0cde1d</t>
        </is>
      </c>
      <c r="BB12" s="24" t="inlineStr">
        <is>
          <t>neutral_elo</t>
        </is>
      </c>
      <c r="BC12" s="24" t="inlineStr">
        <is>
          <t>dota2-tiered-elo-v5</t>
        </is>
      </c>
      <c r="BD12" s="24" t="inlineStr">
        <is>
          <t>9f83c860ce6adddad784676b2958b8c4421adf6e3abacd5545efbed1bb0cde1d</t>
        </is>
      </c>
      <c r="BE12" s="24" t="inlineStr">
        <is>
          <t>1</t>
        </is>
      </c>
      <c r="BF12" s="24" t="inlineStr">
        <is>
          <t>1</t>
        </is>
      </c>
      <c r="BG12" s="24" t="inlineStr">
        <is>
          <t>dota2-tiered-elo-v5</t>
        </is>
      </c>
      <c r="BH12" s="24" t="inlineStr">
        <is>
          <t>2026-08-03T13:30:33.684542Z</t>
        </is>
      </c>
      <c r="BI12" s="24" t="inlineStr">
        <is>
          <t>["same_event","same_team_same_day","same_league_same_day"]</t>
        </is>
      </c>
      <c r="BJ12" s="25" t="n"/>
      <c r="BK12" s="26" t="n">
        <v>-113</v>
      </c>
      <c r="BL12" s="27" t="n">
        <v>1.884956</v>
      </c>
      <c r="BM12" s="28" t="n">
        <v>0.530516</v>
      </c>
      <c r="BN12" s="28" t="n"/>
      <c r="BO12" s="28" t="n"/>
      <c r="BP12" s="25" t="n"/>
      <c r="BQ12" s="27" t="n"/>
      <c r="BR12" s="28" t="n"/>
      <c r="BS12" s="28" t="n"/>
      <c r="BT12" s="28" t="n"/>
      <c r="BU12" s="25" t="n"/>
      <c r="BV12" s="29" t="n"/>
      <c r="BW12" s="24" t="n"/>
      <c r="BX12" s="30" t="n"/>
      <c r="BY12" s="27" t="n"/>
      <c r="BZ12" s="24" t="n"/>
      <c r="CA12" s="31" t="n"/>
      <c r="CB12" s="24" t="n"/>
      <c r="CC12" s="24" t="n"/>
      <c r="CD12" s="24" t="n"/>
      <c r="CE12" s="24" t="n"/>
      <c r="CF12" s="24" t="n"/>
      <c r="CG12" s="24" t="n"/>
      <c r="CH12" s="24" t="n"/>
      <c r="CI12" s="24" t="n"/>
      <c r="CJ12" s="24" t="n"/>
      <c r="CK12" s="24" t="n"/>
      <c r="CL12" s="24" t="n"/>
      <c r="CM12" s="24" t="n"/>
      <c r="CN12" s="24" t="n"/>
      <c r="CO12" s="24" t="n"/>
      <c r="CP12" s="24" t="n"/>
      <c r="CQ12" s="24" t="inlineStr">
        <is>
          <t>True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Model Prediction</dc:creator>
  <dc:title>Model Prediction Picks Ledger</dc:title>
  <dc:subject>Shadow-only sports forecasting research ledger</dc:subject>
  <dcterms:created xsi:type="dcterms:W3CDTF">2026-08-03T13:30:45Z</dcterms:created>
  <dcterms:modified xsi:type="dcterms:W3CDTF">2026-08-03T13:30:45Z</dcterms:modified>
</cp:coreProperties>
</file>