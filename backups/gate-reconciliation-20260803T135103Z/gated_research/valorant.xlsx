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6" headerRowCount="1">
  <autoFilter ref="A1:CQ6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COUNTA('Picks'!$A$2:$A$6)</f>
        <v/>
      </c>
      <c r="C4" s="6">
        <f>COUNTIF('Picks'!$U$2:$U$6,"open")</f>
        <v/>
      </c>
      <c r="E4" s="6">
        <f>COUNTIF('Picks'!$U$2:$U$6,"settled")</f>
        <v/>
      </c>
      <c r="G4" s="6">
        <f>IF(COUNTIFS('Picks'!$U$2:$U$6,"settled",'Picks'!$V$2:$V$6,"win")+COUNTIFS('Picks'!$U$2:$U$6,"settled",'Picks'!$V$2:$V$6,"loss")&gt;=$L$2,"Ready","Insufficient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COUNTIF('Picks'!$BX$2:$BX$6,"&gt;0")</f>
        <v/>
      </c>
      <c r="C7" s="6">
        <f>COUNTIFS('Picks'!$BX$2:$BX$6,"&gt;0",'Picks'!$V$2:$V$6,"win")&amp;"-"&amp;COUNTIFS('Picks'!$BX$2:$BX$6,"&gt;0",'Picks'!$V$2:$V$6,"loss")</f>
        <v/>
      </c>
      <c r="E7" s="7">
        <f>IFERROR(COUNTIFS('Picks'!$BX$2:$BX$6,"&gt;0",'Picks'!$V$2:$V$6,"win")/(COUNTIFS('Picks'!$BX$2:$BX$6,"&gt;0",'Picks'!$V$2:$V$6,"win")+COUNTIFS('Picks'!$BX$2:$BX$6,"&gt;0",'Picks'!$V$2:$V$6,"loss")),0)</f>
        <v/>
      </c>
      <c r="G7" s="7">
        <f>IFERROR(SUM('Picks'!$BY$2:$BY$6)/SUM('Picks'!$BX$2:$BX$6),0)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SUM('Picks'!$BY$2:$BY$6)</f>
        <v/>
      </c>
      <c r="C10" s="9">
        <f>IFERROR(AVERAGEIF('Picks'!$AB$2:$AB$6,"&lt;&gt;",'Picks'!$AB$2:$AB$6),0)</f>
        <v/>
      </c>
      <c r="E10" s="6">
        <f>COUNTIFS('Picks'!$AM$2:$AM$6,"QUALIFIED_SHADOW_CALL",'Picks'!$U$2:$U$6,"settled")</f>
        <v/>
      </c>
      <c r="G10" s="8">
        <f>SUMIFS('Picks'!$AC$2:$AC$6,'Picks'!$AM$2:$AM$6,"QUALIFIED_SHADOW_CALL")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COUNTIFS('Picks'!$H$2:$H$6,$A14,'Picks'!$U$2:$U$6,"settled")</f>
        <v/>
      </c>
      <c r="C14" s="13">
        <f>COUNTIFS('Picks'!$H$2:$H$6,$A14,'Picks'!$U$2:$U$6,"settled",'Picks'!$V$2:$V$6,"win")</f>
        <v/>
      </c>
      <c r="D14" s="13">
        <f>COUNTIFS('Picks'!$H$2:$H$6,$A14,'Picks'!$U$2:$U$6,"settled",'Picks'!$V$2:$V$6,"loss")</f>
        <v/>
      </c>
      <c r="E14" s="14">
        <f>IFERROR(C14/(C14+D14),0)</f>
        <v/>
      </c>
      <c r="F14" s="15">
        <f>SUMIFS('Picks'!$BY$2:$BY$6,'Picks'!$H$2:$H$6,$A14)</f>
        <v/>
      </c>
      <c r="G14" s="16">
        <f>IFERROR(AVERAGEIFS('Picks'!$AB$2:$AB$6,'Picks'!$H$2:$H$6,$A14,'Picks'!$U$2:$U$6,"settled"),0)</f>
        <v/>
      </c>
    </row>
    <row r="15">
      <c r="A15" s="17" t="inlineStr">
        <is>
          <t>spread</t>
        </is>
      </c>
      <c r="B15" s="18">
        <f>COUNTIFS('Picks'!$H$2:$H$6,$A15,'Picks'!$U$2:$U$6,"settled")</f>
        <v/>
      </c>
      <c r="C15" s="18">
        <f>COUNTIFS('Picks'!$H$2:$H$6,$A15,'Picks'!$U$2:$U$6,"settled",'Picks'!$V$2:$V$6,"win")</f>
        <v/>
      </c>
      <c r="D15" s="18">
        <f>COUNTIFS('Picks'!$H$2:$H$6,$A15,'Picks'!$U$2:$U$6,"settled",'Picks'!$V$2:$V$6,"loss")</f>
        <v/>
      </c>
      <c r="E15" s="19">
        <f>IFERROR(C15/(C15+D15),0)</f>
        <v/>
      </c>
      <c r="F15" s="20">
        <f>SUMIFS('Picks'!$BY$2:$BY$6,'Picks'!$H$2:$H$6,$A15)</f>
        <v/>
      </c>
      <c r="G15" s="21">
        <f>IFERROR(AVERAGEIFS('Picks'!$AB$2:$AB$6,'Picks'!$H$2:$H$6,$A15,'Picks'!$U$2:$U$6,"settled"),0)</f>
        <v/>
      </c>
    </row>
    <row r="16">
      <c r="A16" s="12" t="inlineStr">
        <is>
          <t>total</t>
        </is>
      </c>
      <c r="B16" s="13">
        <f>COUNTIFS('Picks'!$H$2:$H$6,$A16,'Picks'!$U$2:$U$6,"settled")</f>
        <v/>
      </c>
      <c r="C16" s="13">
        <f>COUNTIFS('Picks'!$H$2:$H$6,$A16,'Picks'!$U$2:$U$6,"settled",'Picks'!$V$2:$V$6,"win")</f>
        <v/>
      </c>
      <c r="D16" s="13">
        <f>COUNTIFS('Picks'!$H$2:$H$6,$A16,'Picks'!$U$2:$U$6,"settled",'Picks'!$V$2:$V$6,"loss")</f>
        <v/>
      </c>
      <c r="E16" s="14">
        <f>IFERROR(C16/(C16+D16),0)</f>
        <v/>
      </c>
      <c r="F16" s="15">
        <f>SUMIFS('Picks'!$BY$2:$BY$6,'Picks'!$H$2:$H$6,$A16)</f>
        <v/>
      </c>
      <c r="G16" s="16">
        <f>IFERROR(AVERAGEIFS('Picks'!$AB$2:$AB$6,'Picks'!$H$2:$H$6,$A16,'Picks'!$U$2:$U$6,"settled"),0)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4a93f1c3a9db405a</t>
        </is>
      </c>
      <c r="B2" s="24" t="inlineStr">
        <is>
          <t>2026-07-31T10:46:58.818420Z</t>
        </is>
      </c>
      <c r="C2" s="24" t="inlineStr">
        <is>
          <t>2026-07-31T11:00:00Z</t>
        </is>
      </c>
      <c r="D2" s="24" t="inlineStr">
        <is>
          <t>64807</t>
        </is>
      </c>
      <c r="E2" s="24" t="inlineStr">
        <is>
          <t>VALORANT</t>
        </is>
      </c>
      <c r="F2" s="24" t="inlineStr">
        <is>
          <t>Gen.G Esports</t>
        </is>
      </c>
      <c r="G2" s="24" t="inlineStr">
        <is>
          <t>Global Esports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203</v>
      </c>
      <c r="M2" s="27" t="n">
        <v>3.03</v>
      </c>
      <c r="N2" s="28" t="n">
        <v>0.330033</v>
      </c>
      <c r="O2" s="28" t="n">
        <v>0.574963</v>
      </c>
      <c r="P2" s="28" t="n"/>
      <c r="Q2" s="28" t="n">
        <v>0.24493</v>
      </c>
      <c r="R2" s="26" t="n">
        <v>100</v>
      </c>
      <c r="S2" s="29" t="n">
        <v>1.25</v>
      </c>
      <c r="T2" s="24" t="inlineStr">
        <is>
          <t>valorant-tiered-elo-v5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>
        <v>194</v>
      </c>
      <c r="AA2" s="28" t="n">
        <v>0.34</v>
      </c>
      <c r="AB2" s="28" t="n">
        <v>0.009967</v>
      </c>
      <c r="AC2" s="30" t="n">
        <v>2.5375</v>
      </c>
      <c r="AD2" s="24" t="inlineStr">
        <is>
          <t>2026-07-31T13:39:00.824188Z</t>
        </is>
      </c>
      <c r="AE2" s="31" t="inlineStr">
        <is>
          <t>Neutral Elo baseline; executable ask 0.3300 (market_slug=aec-valorant-ge-geng-2026-07-31).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Gen.G Esports</t>
        </is>
      </c>
      <c r="AQ2" s="24" t="inlineStr">
        <is>
          <t>Gen.G Esports</t>
        </is>
      </c>
      <c r="AR2" s="24" t="inlineStr">
        <is>
          <t>Gen.G Esports</t>
        </is>
      </c>
      <c r="AS2" s="24" t="inlineStr">
        <is>
          <t>Global Esports</t>
        </is>
      </c>
      <c r="AT2" s="24" t="inlineStr">
        <is>
          <t>Global Esports</t>
        </is>
      </c>
      <c r="AU2" s="24" t="inlineStr">
        <is>
          <t>Global Esports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316f14757ba7b67513d2e43f0e5432e02d1d1af04a03ed2b8a0b070efbf6c94e</t>
        </is>
      </c>
      <c r="BB2" s="24" t="inlineStr">
        <is>
          <t>neutral_elo</t>
        </is>
      </c>
      <c r="BC2" s="24" t="inlineStr">
        <is>
          <t>valorant-tiered-elo-v5</t>
        </is>
      </c>
      <c r="BD2" s="24" t="inlineStr">
        <is>
          <t>316f14757ba7b67513d2e43f0e5432e02d1d1af04a03ed2b8a0b070efbf6c94e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valorant-tiered-elo-v5</t>
        </is>
      </c>
      <c r="BH2" s="24" t="inlineStr">
        <is>
          <t>2026-07-31T10:46:53.940374Z</t>
        </is>
      </c>
      <c r="BI2" s="24" t="inlineStr">
        <is>
          <t>["same_event","same_team_same_day","same_league_same_day"]</t>
        </is>
      </c>
      <c r="BJ2" s="25" t="n"/>
      <c r="BK2" s="26" t="n">
        <v>203</v>
      </c>
      <c r="BL2" s="27" t="n">
        <v>3.03</v>
      </c>
      <c r="BM2" s="28" t="n">
        <v>0.330033</v>
      </c>
      <c r="BN2" s="28" t="n"/>
      <c r="BO2" s="28" t="n"/>
      <c r="BP2" s="25" t="n"/>
      <c r="BQ2" s="27" t="n">
        <v>2.94</v>
      </c>
      <c r="BR2" s="28" t="n">
        <v>0.34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aa60324bb524406d</t>
        </is>
      </c>
      <c r="B3" s="24" t="inlineStr">
        <is>
          <t>2026-07-31T13:44:08.052962Z</t>
        </is>
      </c>
      <c r="C3" s="24" t="inlineStr">
        <is>
          <t>2026-07-31T15:00:00Z</t>
        </is>
      </c>
      <c r="D3" s="24" t="inlineStr">
        <is>
          <t>64940</t>
        </is>
      </c>
      <c r="E3" s="24" t="inlineStr">
        <is>
          <t>VALORANT</t>
        </is>
      </c>
      <c r="F3" s="24" t="inlineStr">
        <is>
          <t>Gentle Mates</t>
        </is>
      </c>
      <c r="G3" s="24" t="inlineStr">
        <is>
          <t>BBL Esports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-127</v>
      </c>
      <c r="M3" s="27" t="n">
        <v>1.787402</v>
      </c>
      <c r="N3" s="28" t="n">
        <v>0.5594710000000001</v>
      </c>
      <c r="O3" s="28" t="n">
        <v>0.589785</v>
      </c>
      <c r="P3" s="28" t="n"/>
      <c r="Q3" s="28" t="n">
        <v>0.030314</v>
      </c>
      <c r="R3" s="26" t="n">
        <v>35</v>
      </c>
      <c r="S3" s="29" t="n">
        <v>1.25</v>
      </c>
      <c r="T3" s="24" t="inlineStr">
        <is>
          <t>valorant-tiered-elo-v5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1</v>
      </c>
      <c r="Y3" s="25" t="n"/>
      <c r="Z3" s="26" t="n">
        <v>-127</v>
      </c>
      <c r="AA3" s="28" t="n">
        <v>0.5600000000000001</v>
      </c>
      <c r="AB3" s="28" t="n">
        <v>0.000529</v>
      </c>
      <c r="AC3" s="30" t="n">
        <v>0.9843</v>
      </c>
      <c r="AD3" s="24" t="inlineStr">
        <is>
          <t>2026-07-31T19:51:30.853090Z</t>
        </is>
      </c>
      <c r="AE3" s="31" t="inlineStr">
        <is>
          <t>Neutral Elo baseline; executable ask 0.5600 (market_slug=aec-valorant-bbl-gm-2026-07-31).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Gentle Mates</t>
        </is>
      </c>
      <c r="AQ3" s="24" t="inlineStr">
        <is>
          <t>Gentle Mates</t>
        </is>
      </c>
      <c r="AR3" s="24" t="inlineStr">
        <is>
          <t>Gentle Mates</t>
        </is>
      </c>
      <c r="AS3" s="24" t="inlineStr">
        <is>
          <t>BBL Esports</t>
        </is>
      </c>
      <c r="AT3" s="24" t="inlineStr">
        <is>
          <t>BBL Esports</t>
        </is>
      </c>
      <c r="AU3" s="24" t="inlineStr">
        <is>
          <t>BBL Esports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139f8fd81efcd2fb54fc3e158052d3e9c04fc7442a0b372b18e645e84996b74c</t>
        </is>
      </c>
      <c r="BB3" s="24" t="inlineStr">
        <is>
          <t>neutral_elo</t>
        </is>
      </c>
      <c r="BC3" s="24" t="inlineStr">
        <is>
          <t>valorant-tiered-elo-v5</t>
        </is>
      </c>
      <c r="BD3" s="24" t="inlineStr">
        <is>
          <t>139f8fd81efcd2fb54fc3e158052d3e9c04fc7442a0b372b18e645e84996b74c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valorant-tiered-elo-v5</t>
        </is>
      </c>
      <c r="BH3" s="24" t="inlineStr">
        <is>
          <t>2026-07-31T13:44:03.465992Z</t>
        </is>
      </c>
      <c r="BI3" s="24" t="inlineStr">
        <is>
          <t>["same_event","same_team_same_day","same_league_same_day"]</t>
        </is>
      </c>
      <c r="BJ3" s="25" t="n"/>
      <c r="BK3" s="26" t="n">
        <v>-127</v>
      </c>
      <c r="BL3" s="27" t="n">
        <v>1.787402</v>
      </c>
      <c r="BM3" s="28" t="n">
        <v>0.5594710000000001</v>
      </c>
      <c r="BN3" s="28" t="n"/>
      <c r="BO3" s="28" t="n"/>
      <c r="BP3" s="25" t="n"/>
      <c r="BQ3" s="27" t="n">
        <v>1.787402</v>
      </c>
      <c r="BR3" s="28" t="n">
        <v>0.5600000000000001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3ed05efb0fb74970</t>
        </is>
      </c>
      <c r="B4" s="24" t="inlineStr">
        <is>
          <t>2026-08-01T23:55:04.278999Z</t>
        </is>
      </c>
      <c r="C4" s="24" t="inlineStr">
        <is>
          <t>2026-08-02T00:00:00Z</t>
        </is>
      </c>
      <c r="D4" s="24" t="inlineStr">
        <is>
          <t>66659</t>
        </is>
      </c>
      <c r="E4" s="24" t="inlineStr">
        <is>
          <t>VALORANT</t>
        </is>
      </c>
      <c r="F4" s="24" t="inlineStr">
        <is>
          <t>NRG</t>
        </is>
      </c>
      <c r="G4" s="24" t="inlineStr">
        <is>
          <t>Leviatán Esports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-138</v>
      </c>
      <c r="M4" s="27" t="n">
        <v>1.724638</v>
      </c>
      <c r="N4" s="28" t="n">
        <v>0.579832</v>
      </c>
      <c r="O4" s="28" t="n">
        <v>0.608104</v>
      </c>
      <c r="P4" s="28" t="n"/>
      <c r="Q4" s="28" t="n">
        <v>0.028272</v>
      </c>
      <c r="R4" s="26" t="n">
        <v>34</v>
      </c>
      <c r="S4" s="29" t="n">
        <v>1.5</v>
      </c>
      <c r="T4" s="24" t="inlineStr">
        <is>
          <t>valorant-tiered-elo-v5</t>
        </is>
      </c>
      <c r="U4" s="24" t="inlineStr">
        <is>
          <t>settled</t>
        </is>
      </c>
      <c r="V4" s="24" t="inlineStr">
        <is>
          <t>loss</t>
        </is>
      </c>
      <c r="W4" s="26" t="n">
        <v>1</v>
      </c>
      <c r="X4" s="26" t="n">
        <v>0</v>
      </c>
      <c r="Y4" s="25" t="n"/>
      <c r="Z4" s="26" t="n">
        <v>-138</v>
      </c>
      <c r="AA4" s="28" t="n">
        <v>0.58</v>
      </c>
      <c r="AB4" s="28" t="n">
        <v>0.000168</v>
      </c>
      <c r="AC4" s="30" t="n">
        <v>-1.5</v>
      </c>
      <c r="AD4" s="24" t="inlineStr">
        <is>
          <t>2026-08-02T04:26:24.624792Z</t>
        </is>
      </c>
      <c r="AE4" s="31" t="inlineStr">
        <is>
          <t>Neutral Elo baseline; executable ask 0.5800 (market_slug=aec-valorant-lev-nrg-2026-08-02).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NRG</t>
        </is>
      </c>
      <c r="AQ4" s="24" t="inlineStr">
        <is>
          <t>NRG</t>
        </is>
      </c>
      <c r="AR4" s="24" t="inlineStr">
        <is>
          <t>NRG</t>
        </is>
      </c>
      <c r="AS4" s="24" t="inlineStr">
        <is>
          <t>Leviatán Esports</t>
        </is>
      </c>
      <c r="AT4" s="24" t="inlineStr">
        <is>
          <t>Leviatán Esports</t>
        </is>
      </c>
      <c r="AU4" s="24" t="inlineStr">
        <is>
          <t>Leviatán Esports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4e9833fa3108f9876de728871233bbb749924096e4b6984ae7ee11ff9d8be0d1</t>
        </is>
      </c>
      <c r="BB4" s="24" t="inlineStr">
        <is>
          <t>neutral_elo</t>
        </is>
      </c>
      <c r="BC4" s="24" t="inlineStr">
        <is>
          <t>valorant-tiered-elo-v5</t>
        </is>
      </c>
      <c r="BD4" s="24" t="inlineStr">
        <is>
          <t>4e9833fa3108f9876de728871233bbb749924096e4b6984ae7ee11ff9d8be0d1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valorant-tiered-elo-v5</t>
        </is>
      </c>
      <c r="BH4" s="24" t="inlineStr">
        <is>
          <t>2026-08-01T23:55:01.262855Z</t>
        </is>
      </c>
      <c r="BI4" s="24" t="inlineStr">
        <is>
          <t>["same_event","same_team_same_day","same_league_same_day"]</t>
        </is>
      </c>
      <c r="BJ4" s="25" t="n"/>
      <c r="BK4" s="26" t="n">
        <v>-138</v>
      </c>
      <c r="BL4" s="27" t="n">
        <v>1.724638</v>
      </c>
      <c r="BM4" s="28" t="n">
        <v>0.579832</v>
      </c>
      <c r="BN4" s="28" t="n"/>
      <c r="BO4" s="28" t="n"/>
      <c r="BP4" s="25" t="n"/>
      <c r="BQ4" s="27" t="n">
        <v>1.724638</v>
      </c>
      <c r="BR4" s="28" t="n">
        <v>0.58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9be1b88469434301</t>
        </is>
      </c>
      <c r="B5" s="24" t="inlineStr">
        <is>
          <t>2026-08-02T07:16:42.752833Z</t>
        </is>
      </c>
      <c r="C5" s="24" t="inlineStr">
        <is>
          <t>2026-08-02T08:00:00Z</t>
        </is>
      </c>
      <c r="D5" s="24" t="inlineStr">
        <is>
          <t>66788</t>
        </is>
      </c>
      <c r="E5" s="24" t="inlineStr">
        <is>
          <t>VALORANT</t>
        </is>
      </c>
      <c r="F5" s="24" t="inlineStr">
        <is>
          <t>Kiwoom DRX</t>
        </is>
      </c>
      <c r="G5" s="24" t="inlineStr">
        <is>
          <t>VARREL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-150</v>
      </c>
      <c r="M5" s="27" t="n">
        <v>1.666667</v>
      </c>
      <c r="N5" s="28" t="n">
        <v>0.6</v>
      </c>
      <c r="O5" s="28" t="n">
        <v>0.676998</v>
      </c>
      <c r="P5" s="28" t="n"/>
      <c r="Q5" s="28" t="n">
        <v>0.076998</v>
      </c>
      <c r="R5" s="26" t="n">
        <v>58</v>
      </c>
      <c r="S5" s="29" t="n">
        <v>1.75</v>
      </c>
      <c r="T5" s="24" t="inlineStr">
        <is>
          <t>valorant-tiered-elo-v5</t>
        </is>
      </c>
      <c r="U5" s="24" t="inlineStr">
        <is>
          <t>settled</t>
        </is>
      </c>
      <c r="V5" s="24" t="inlineStr">
        <is>
          <t>loss</t>
        </is>
      </c>
      <c r="W5" s="26" t="n">
        <v>0</v>
      </c>
      <c r="X5" s="26" t="n">
        <v>1</v>
      </c>
      <c r="Y5" s="25" t="n"/>
      <c r="Z5" s="26" t="n">
        <v>-150</v>
      </c>
      <c r="AA5" s="28" t="n">
        <v>0.6</v>
      </c>
      <c r="AB5" s="28" t="n">
        <v>0</v>
      </c>
      <c r="AC5" s="30" t="n">
        <v>-1.75</v>
      </c>
      <c r="AD5" s="24" t="inlineStr">
        <is>
          <t>2026-08-02T11:45:35.969857Z</t>
        </is>
      </c>
      <c r="AE5" s="31" t="inlineStr">
        <is>
          <t>Neutral Elo baseline; executable ask 0.6000 (market_slug=aec-valorant-var-krx-2026-08-02).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Kiwoom DRX</t>
        </is>
      </c>
      <c r="AQ5" s="24" t="inlineStr">
        <is>
          <t>Kiwoom DRX</t>
        </is>
      </c>
      <c r="AR5" s="24" t="inlineStr">
        <is>
          <t>Kiwoom DRX</t>
        </is>
      </c>
      <c r="AS5" s="24" t="inlineStr">
        <is>
          <t>VARREL</t>
        </is>
      </c>
      <c r="AT5" s="24" t="inlineStr">
        <is>
          <t>VARREL</t>
        </is>
      </c>
      <c r="AU5" s="24" t="inlineStr">
        <is>
          <t>VARREL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f7ffe38e2a3b5170b3b9b10a398835b3cdb1a4df5cfd051a3ffa836bf9de2c76</t>
        </is>
      </c>
      <c r="BB5" s="24" t="inlineStr">
        <is>
          <t>neutral_elo</t>
        </is>
      </c>
      <c r="BC5" s="24" t="inlineStr">
        <is>
          <t>valorant-tiered-elo-v5</t>
        </is>
      </c>
      <c r="BD5" s="24" t="inlineStr">
        <is>
          <t>f7ffe38e2a3b5170b3b9b10a398835b3cdb1a4df5cfd051a3ffa836bf9de2c76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valorant-tiered-elo-v5</t>
        </is>
      </c>
      <c r="BH5" s="24" t="inlineStr">
        <is>
          <t>2026-08-02T07:16:34.729300Z</t>
        </is>
      </c>
      <c r="BI5" s="24" t="inlineStr">
        <is>
          <t>["same_event","same_team_same_day","same_league_same_day"]</t>
        </is>
      </c>
      <c r="BJ5" s="25" t="n"/>
      <c r="BK5" s="26" t="n">
        <v>-150</v>
      </c>
      <c r="BL5" s="27" t="n">
        <v>1.666667</v>
      </c>
      <c r="BM5" s="28" t="n">
        <v>0.6</v>
      </c>
      <c r="BN5" s="28" t="n"/>
      <c r="BO5" s="28" t="n"/>
      <c r="BP5" s="25" t="n"/>
      <c r="BQ5" s="27" t="n">
        <v>1.666667</v>
      </c>
      <c r="BR5" s="28" t="n">
        <v>0.6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ad8fa896c5344f29</t>
        </is>
      </c>
      <c r="B6" s="24" t="inlineStr">
        <is>
          <t>2026-08-03T13:30:41.417037Z</t>
        </is>
      </c>
      <c r="C6" s="24" t="inlineStr">
        <is>
          <t>2026-08-03T15:00:00Z</t>
        </is>
      </c>
      <c r="D6" s="24" t="inlineStr">
        <is>
          <t>67569</t>
        </is>
      </c>
      <c r="E6" s="24" t="inlineStr">
        <is>
          <t>VALORANT</t>
        </is>
      </c>
      <c r="F6" s="24" t="inlineStr">
        <is>
          <t>FOKUS Sakura</t>
        </is>
      </c>
      <c r="G6" s="24" t="inlineStr">
        <is>
          <t>SK Nebula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-163</v>
      </c>
      <c r="M6" s="27" t="n">
        <v>1.613497</v>
      </c>
      <c r="N6" s="28" t="n">
        <v>0.619772</v>
      </c>
      <c r="O6" s="28" t="n">
        <v>0.765423</v>
      </c>
      <c r="P6" s="28" t="n"/>
      <c r="Q6" s="28" t="n">
        <v>0.145651</v>
      </c>
      <c r="R6" s="26" t="n">
        <v>93</v>
      </c>
      <c r="S6" s="29" t="n">
        <v>2</v>
      </c>
      <c r="T6" s="24" t="inlineStr">
        <is>
          <t>valorant-tiered-elo-v5</t>
        </is>
      </c>
      <c r="U6" s="24" t="inlineStr">
        <is>
          <t>open</t>
        </is>
      </c>
      <c r="V6" s="24" t="n"/>
      <c r="W6" s="26" t="n"/>
      <c r="X6" s="26" t="n"/>
      <c r="Y6" s="25" t="n"/>
      <c r="Z6" s="26" t="n"/>
      <c r="AA6" s="28" t="n"/>
      <c r="AB6" s="28" t="n"/>
      <c r="AC6" s="30" t="n"/>
      <c r="AD6" s="24" t="n"/>
      <c r="AE6" s="31" t="inlineStr">
        <is>
          <t>Neutral Elo baseline; executable ask 0.6200 (market_slug=aec-valorant-skn-fso-2026-08-03).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FOKUS Sakura</t>
        </is>
      </c>
      <c r="AQ6" s="24" t="inlineStr">
        <is>
          <t>FOKUS Sakura</t>
        </is>
      </c>
      <c r="AR6" s="24" t="inlineStr">
        <is>
          <t>FOKUS Sakura</t>
        </is>
      </c>
      <c r="AS6" s="24" t="inlineStr">
        <is>
          <t>SK Nebula</t>
        </is>
      </c>
      <c r="AT6" s="24" t="inlineStr">
        <is>
          <t>SK Nebula</t>
        </is>
      </c>
      <c r="AU6" s="24" t="inlineStr">
        <is>
          <t>SK Nebula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afe2fffd3c666e0d8f9040dcc6dedae587629fd14dee7043c87557d9d9d9e6e5</t>
        </is>
      </c>
      <c r="BB6" s="24" t="inlineStr">
        <is>
          <t>neutral_elo</t>
        </is>
      </c>
      <c r="BC6" s="24" t="inlineStr">
        <is>
          <t>valorant-tiered-elo-v5</t>
        </is>
      </c>
      <c r="BD6" s="24" t="inlineStr">
        <is>
          <t>afe2fffd3c666e0d8f9040dcc6dedae587629fd14dee7043c87557d9d9d9e6e5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valorant-tiered-elo-v5</t>
        </is>
      </c>
      <c r="BH6" s="24" t="inlineStr">
        <is>
          <t>2026-08-03T13:30:33.637118Z</t>
        </is>
      </c>
      <c r="BI6" s="24" t="inlineStr">
        <is>
          <t>["same_event","same_team_same_day","same_league_same_day"]</t>
        </is>
      </c>
      <c r="BJ6" s="25" t="n"/>
      <c r="BK6" s="26" t="n">
        <v>-163</v>
      </c>
      <c r="BL6" s="27" t="n">
        <v>1.613497</v>
      </c>
      <c r="BM6" s="28" t="n">
        <v>0.619772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2026-08-03T13:30:46Z</dcterms:created>
  <dcterms:modified xsi:type="dcterms:W3CDTF">2026-08-03T13:30:46Z</dcterms:modified>
</cp:coreProperties>
</file>