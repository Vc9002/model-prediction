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20" headerRowCount="1">
  <autoFilter ref="A1:DQ20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COUNTA('Picks'!$A$2:$A$20)</f>
        <v/>
      </c>
      <c r="C4" s="6">
        <f>COUNTIF('Picks'!$U$2:$U$20,"open")</f>
        <v/>
      </c>
      <c r="E4" s="6">
        <f>COUNTIF('Picks'!$U$2:$U$20,"settled")</f>
        <v/>
      </c>
      <c r="G4" s="6">
        <f>IF(COUNTIFS('Picks'!$U$2:$U$20,"settled",'Picks'!$V$2:$V$20,"win")+COUNTIFS('Picks'!$U$2:$U$20,"settled",'Picks'!$V$2:$V$20,"loss")&gt;=$L$2,"Ready","Insufficient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COUNTIF('Picks'!$BX$2:$BX$20,"&gt;0")</f>
        <v/>
      </c>
      <c r="C7" s="6">
        <f>COUNTIFS('Picks'!$BX$2:$BX$20,"&gt;0",'Picks'!$V$2:$V$20,"win")&amp;"-"&amp;COUNTIFS('Picks'!$BX$2:$BX$20,"&gt;0",'Picks'!$V$2:$V$20,"loss")</f>
        <v/>
      </c>
      <c r="E7" s="7">
        <f>IFERROR(COUNTIFS('Picks'!$BX$2:$BX$20,"&gt;0",'Picks'!$V$2:$V$20,"win")/(COUNTIFS('Picks'!$BX$2:$BX$20,"&gt;0",'Picks'!$V$2:$V$20,"win")+COUNTIFS('Picks'!$BX$2:$BX$20,"&gt;0",'Picks'!$V$2:$V$20,"loss")),0)</f>
        <v/>
      </c>
      <c r="G7" s="7">
        <f>IFERROR(SUM('Picks'!$BY$2:$BY$20)/SUM('Picks'!$BX$2:$BX$20),0)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SUM('Picks'!$BY$2:$BY$20)</f>
        <v/>
      </c>
      <c r="C10" s="9">
        <f>IFERROR(AVERAGEIF('Picks'!$AB$2:$AB$20,"&lt;&gt;",'Picks'!$AB$2:$AB$20),0)</f>
        <v/>
      </c>
      <c r="E10" s="6">
        <f>COUNTIFS('Picks'!$AM$2:$AM$20,"QUALIFIED_SHADOW_CALL",'Picks'!$U$2:$U$20,"settled")</f>
        <v/>
      </c>
      <c r="G10" s="8">
        <f>SUMIFS('Picks'!$AC$2:$AC$20,'Picks'!$AM$2:$AM$20,"QUALIFIED_SHADOW_CALL")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COUNTIFS('Picks'!$H$2:$H$20,$A14,'Picks'!$U$2:$U$20,"settled")</f>
        <v/>
      </c>
      <c r="C14" s="13">
        <f>COUNTIFS('Picks'!$H$2:$H$20,$A14,'Picks'!$U$2:$U$20,"settled",'Picks'!$V$2:$V$20,"win")</f>
        <v/>
      </c>
      <c r="D14" s="13">
        <f>COUNTIFS('Picks'!$H$2:$H$20,$A14,'Picks'!$U$2:$U$20,"settled",'Picks'!$V$2:$V$20,"loss")</f>
        <v/>
      </c>
      <c r="E14" s="14">
        <f>IFERROR(C14/(C14+D14),0)</f>
        <v/>
      </c>
      <c r="F14" s="15">
        <f>SUMIFS('Picks'!$BY$2:$BY$20,'Picks'!$H$2:$H$20,$A14)</f>
        <v/>
      </c>
      <c r="G14" s="16">
        <f>IFERROR(AVERAGEIFS('Picks'!$AB$2:$AB$20,'Picks'!$H$2:$H$20,$A14,'Picks'!$U$2:$U$20,"settled"),0)</f>
        <v/>
      </c>
    </row>
    <row r="15">
      <c r="A15" s="17" t="inlineStr">
        <is>
          <t>spread</t>
        </is>
      </c>
      <c r="B15" s="18">
        <f>COUNTIFS('Picks'!$H$2:$H$20,$A15,'Picks'!$U$2:$U$20,"settled")</f>
        <v/>
      </c>
      <c r="C15" s="18">
        <f>COUNTIFS('Picks'!$H$2:$H$20,$A15,'Picks'!$U$2:$U$20,"settled",'Picks'!$V$2:$V$20,"win")</f>
        <v/>
      </c>
      <c r="D15" s="18">
        <f>COUNTIFS('Picks'!$H$2:$H$20,$A15,'Picks'!$U$2:$U$20,"settled",'Picks'!$V$2:$V$20,"loss")</f>
        <v/>
      </c>
      <c r="E15" s="19">
        <f>IFERROR(C15/(C15+D15),0)</f>
        <v/>
      </c>
      <c r="F15" s="20">
        <f>SUMIFS('Picks'!$BY$2:$BY$20,'Picks'!$H$2:$H$20,$A15)</f>
        <v/>
      </c>
      <c r="G15" s="21">
        <f>IFERROR(AVERAGEIFS('Picks'!$AB$2:$AB$20,'Picks'!$H$2:$H$20,$A15,'Picks'!$U$2:$U$20,"settled"),0)</f>
        <v/>
      </c>
    </row>
    <row r="16">
      <c r="A16" s="12" t="inlineStr">
        <is>
          <t>total</t>
        </is>
      </c>
      <c r="B16" s="13">
        <f>COUNTIFS('Picks'!$H$2:$H$20,$A16,'Picks'!$U$2:$U$20,"settled")</f>
        <v/>
      </c>
      <c r="C16" s="13">
        <f>COUNTIFS('Picks'!$H$2:$H$20,$A16,'Picks'!$U$2:$U$20,"settled",'Picks'!$V$2:$V$20,"win")</f>
        <v/>
      </c>
      <c r="D16" s="13">
        <f>COUNTIFS('Picks'!$H$2:$H$20,$A16,'Picks'!$U$2:$U$20,"settled",'Picks'!$V$2:$V$20,"loss")</f>
        <v/>
      </c>
      <c r="E16" s="14">
        <f>IFERROR(C16/(C16+D16),0)</f>
        <v/>
      </c>
      <c r="F16" s="15">
        <f>SUMIFS('Picks'!$BY$2:$BY$20,'Picks'!$H$2:$H$20,$A16)</f>
        <v/>
      </c>
      <c r="G16" s="16">
        <f>IFERROR(AVERAGEIFS('Picks'!$AB$2:$AB$20,'Picks'!$H$2:$H$20,$A16,'Picks'!$U$2:$U$20,"settled"),0)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034b0430cdb8412f</t>
        </is>
      </c>
      <c r="B2" s="24" t="inlineStr">
        <is>
          <t>2026-10-06T22:24:10.516647Z</t>
        </is>
      </c>
      <c r="C2" s="24" t="inlineStr">
        <is>
          <t>2026-10-07T00:00Z</t>
        </is>
      </c>
      <c r="D2" s="24" t="inlineStr">
        <is>
          <t>401871090</t>
        </is>
      </c>
      <c r="E2" s="24" t="inlineStr">
        <is>
          <t>NCAAF</t>
        </is>
      </c>
      <c r="F2" s="24" t="inlineStr">
        <is>
          <t>Southern Miss Golden Eagles</t>
        </is>
      </c>
      <c r="G2" s="24" t="inlineStr">
        <is>
          <t>Troy Trojans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espn_consensus</t>
        </is>
      </c>
      <c r="L2" s="26" t="n">
        <v>-410</v>
      </c>
      <c r="M2" s="27" t="n">
        <v>1.243902</v>
      </c>
      <c r="N2" s="28" t="n">
        <v>0.803922</v>
      </c>
      <c r="O2" s="28" t="n">
        <v>0.6014350000000001</v>
      </c>
      <c r="P2" s="28" t="n">
        <v>0.15</v>
      </c>
      <c r="Q2" s="28" t="n">
        <v>-0.202487</v>
      </c>
      <c r="R2" s="26" t="n">
        <v>0</v>
      </c>
      <c r="S2" s="29" t="n">
        <v>1</v>
      </c>
      <c r="T2" s="24" t="inlineStr">
        <is>
          <t>college-football-v1</t>
        </is>
      </c>
      <c r="U2" s="24" t="inlineStr">
        <is>
          <t>settled</t>
        </is>
      </c>
      <c r="V2" s="24" t="inlineStr">
        <is>
          <t>win</t>
        </is>
      </c>
      <c r="W2" s="26" t="n">
        <v>34</v>
      </c>
      <c r="X2" s="26" t="n">
        <v>55</v>
      </c>
      <c r="Y2" s="25" t="n"/>
      <c r="Z2" s="26" t="n"/>
      <c r="AA2" s="28" t="n"/>
      <c r="AB2" s="28" t="n"/>
      <c r="AC2" s="30" t="n">
        <v>0.2439</v>
      </c>
      <c r="AD2" s="24" t="inlineStr">
        <is>
          <t>2026-10-07T04:30:31.644740Z</t>
        </is>
      </c>
      <c r="AE2" s="31" t="inlineStr">
        <is>
          <t>CFB Joint Model (negative_binomial): proj score Southern Miss Golden Eagles 23.4 @ Troy Trojans 28.0 (Margin +4.6). Possessions: 12.4, HFA: +2.8 pts.</t>
        </is>
      </c>
      <c r="AF2" s="31" t="inlineStr">
        <is>
          <t>College football model; multi-market (moneyline, spread, total).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paper_call</t>
        </is>
      </c>
      <c r="AL2" s="26" t="n">
        <v>4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PAPER_CALL_LOW_EDGE</t>
        </is>
      </c>
      <c r="AP2" s="24" t="inlineStr">
        <is>
          <t>Southern Miss Golden Eagles</t>
        </is>
      </c>
      <c r="AQ2" s="24" t="inlineStr">
        <is>
          <t>Southern Miss Golden Eagles</t>
        </is>
      </c>
      <c r="AR2" s="24" t="inlineStr">
        <is>
          <t>Southern Miss Golden Eagles</t>
        </is>
      </c>
      <c r="AS2" s="24" t="inlineStr">
        <is>
          <t>Troy Trojans</t>
        </is>
      </c>
      <c r="AT2" s="24" t="inlineStr">
        <is>
          <t>Troy Trojans</t>
        </is>
      </c>
      <c r="AU2" s="24" t="inlineStr">
        <is>
          <t>Troy Trojans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1d168f11d221cd3c</t>
        </is>
      </c>
      <c r="BB2" s="24" t="inlineStr">
        <is>
          <t>cfb_key_number_engine</t>
        </is>
      </c>
      <c r="BC2" s="24" t="inlineStr">
        <is>
          <t>college-football-v1</t>
        </is>
      </c>
      <c r="BD2" s="24" t="inlineStr">
        <is>
          <t>1d168f11d221cd3c</t>
        </is>
      </c>
      <c r="BE2" s="24" t="inlineStr">
        <is>
          <t>cfb-v1</t>
        </is>
      </c>
      <c r="BF2" s="24" t="inlineStr">
        <is>
          <t>1</t>
        </is>
      </c>
      <c r="BG2" s="24" t="inlineStr">
        <is>
          <t>1d168f11d221cd3c</t>
        </is>
      </c>
      <c r="BH2" s="24" t="inlineStr">
        <is>
          <t>2026-10-06T22:24:10.516647+00:00</t>
        </is>
      </c>
      <c r="BI2" s="24" t="inlineStr">
        <is>
          <t>["same_event","same_team_same_day","same_league_same_day"]</t>
        </is>
      </c>
      <c r="BJ2" s="25" t="n"/>
      <c r="BK2" s="26" t="n">
        <v>-410</v>
      </c>
      <c r="BL2" s="27" t="n">
        <v>1.243902</v>
      </c>
      <c r="BM2" s="28" t="n">
        <v>0.803922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False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0.803922</t>
        </is>
      </c>
      <c r="DK2" s="24" t="n"/>
      <c r="DL2" s="24" t="n"/>
      <c r="DM2" s="24" t="n"/>
      <c r="DN2" s="24" t="n"/>
      <c r="DO2" s="24" t="n"/>
      <c r="DP2" s="24" t="n"/>
      <c r="DQ2" s="24" t="inlineStr">
        <is>
          <t>{"artifact_hash": "1d168f11d221cd3c", "event_id": "401871090", "event_start_utc": "2026-10-07T00:00Z", "features": {"altitude_fatigue_penalty": 0.0, "away_team": "Southern Miss Golden Eagles", "efficiency_gap": 1.185, "elo_away": 1286.4, "elo_home": 1321.9, "elo_home_win_prob": 0.6407, "event_id": "401871090", "game_start_utc": "2026-10-07T00:00Z", "home_field_advantage_points": 2.8, "home_team": "Troy Trojans", "is_dome": false, "is_fbs_vs_fcs": false, "is_neutral_site": false, "projected_away_points": 23.4, "projected_home_points": 28.0, "projected_margin_home": 4.6, "projected_possessions": 12.4, "projected_total": 51.5, "stadium_elevation_ft": 540, "travel_distance_miles": 202.0, "uncertainty": 0.15, "weather_total_adjustment": 0.0}, "historical_source_observation_times_verified": false, "inference_inputs": {"engine_source_sha256": "449ba2f0e86fa9c445730076a0e0bf100fb4914620be53c75c6f3bfe24298f3f", "mu_away": 23.4, "mu_home": 28.0, "parameters": {"distribution_type": "negative_binomial", "margin_sd": 18.91,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-10.0, "total_line": 51.5}, "market_type": "moneyline", "model_version": "college-football-v1", "observed_at_utc": "2026-10-06T22:24:10.516647+00:00", "probabilities": {"away": 0.398565, "home": 0.601435}, "replay_scope": "Full precision score means, exact engine parameters and original RNG state; upstream feature construction not certified.", "schema": "cfb-joint-replay-v1", "snapshot_hash": "d7bda7720abd5aaeae04be02905a1d92fe7f0570ad87ad508c740a82fca7508c", "sport": "NCAAF"}</t>
        </is>
      </c>
    </row>
    <row r="3" ht="36" customHeight="1">
      <c r="A3" s="24" t="inlineStr">
        <is>
          <t>128b476186ca4475</t>
        </is>
      </c>
      <c r="B3" s="24" t="inlineStr">
        <is>
          <t>2026-10-07T22:26:20.753441Z</t>
        </is>
      </c>
      <c r="C3" s="24" t="inlineStr">
        <is>
          <t>2026-10-07T23:00Z</t>
        </is>
      </c>
      <c r="D3" s="24" t="inlineStr">
        <is>
          <t>401871051</t>
        </is>
      </c>
      <c r="E3" s="24" t="inlineStr">
        <is>
          <t>NCAAF</t>
        </is>
      </c>
      <c r="F3" s="24" t="inlineStr">
        <is>
          <t>Jacksonville State Gamecocks</t>
        </is>
      </c>
      <c r="G3" s="24" t="inlineStr">
        <is>
          <t>Kennesaw State Owls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espn_consensus</t>
        </is>
      </c>
      <c r="L3" s="26" t="n">
        <v>-148</v>
      </c>
      <c r="M3" s="27" t="n">
        <v>1.675676</v>
      </c>
      <c r="N3" s="28" t="n">
        <v>0.596774</v>
      </c>
      <c r="O3" s="28" t="n">
        <v>0.657296</v>
      </c>
      <c r="P3" s="28" t="n">
        <v>0.135</v>
      </c>
      <c r="Q3" s="28" t="n">
        <v>0.060522</v>
      </c>
      <c r="R3" s="26" t="n">
        <v>0</v>
      </c>
      <c r="S3" s="29" t="n">
        <v>1</v>
      </c>
      <c r="T3" s="24" t="inlineStr">
        <is>
          <t>cfb-structural-v2</t>
        </is>
      </c>
      <c r="U3" s="24" t="inlineStr">
        <is>
          <t>settled</t>
        </is>
      </c>
      <c r="V3" s="24" t="inlineStr">
        <is>
          <t>win</t>
        </is>
      </c>
      <c r="W3" s="26" t="n">
        <v>27</v>
      </c>
      <c r="X3" s="26" t="n">
        <v>26</v>
      </c>
      <c r="Y3" s="25" t="n"/>
      <c r="Z3" s="26" t="n"/>
      <c r="AA3" s="28" t="n"/>
      <c r="AB3" s="28" t="n"/>
      <c r="AC3" s="30" t="n">
        <v>0.6757</v>
      </c>
      <c r="AD3" s="24" t="inlineStr">
        <is>
          <t>2026-10-08T03:21:53.070570Z</t>
        </is>
      </c>
      <c r="AE3" s="31" t="inlineStr">
        <is>
          <t>CFB Joint Model (negative_binomial): proj score Jacksonville State Gamecocks 29.5 @ Kennesaw State Owls 22.3 (Margin -7.2). Possessions: 12.4, HFA: +2.8 pts.</t>
        </is>
      </c>
      <c r="AF3" s="31" t="inlineStr">
        <is>
          <t>College football model; multi-market (moneyline, spread, total).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4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Jacksonville State Gamecocks</t>
        </is>
      </c>
      <c r="AQ3" s="24" t="inlineStr">
        <is>
          <t>Jacksonville State Gamecocks</t>
        </is>
      </c>
      <c r="AR3" s="24" t="inlineStr">
        <is>
          <t>Jacksonville State Gamecocks</t>
        </is>
      </c>
      <c r="AS3" s="24" t="inlineStr">
        <is>
          <t>Kennesaw State Owls</t>
        </is>
      </c>
      <c r="AT3" s="24" t="inlineStr">
        <is>
          <t>Kennesaw State Owls</t>
        </is>
      </c>
      <c r="AU3" s="24" t="inlineStr">
        <is>
          <t>Kennesaw State Owls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94ee6b24581446a6</t>
        </is>
      </c>
      <c r="BB3" s="24" t="inlineStr">
        <is>
          <t>cfb_key_number_engine</t>
        </is>
      </c>
      <c r="BC3" s="24" t="inlineStr">
        <is>
          <t>cfb-structural-v2</t>
        </is>
      </c>
      <c r="BD3" s="24" t="inlineStr">
        <is>
          <t>94ee6b24581446a6</t>
        </is>
      </c>
      <c r="BE3" s="24" t="inlineStr">
        <is>
          <t>cfb-v1</t>
        </is>
      </c>
      <c r="BF3" s="24" t="inlineStr">
        <is>
          <t>1</t>
        </is>
      </c>
      <c r="BG3" s="24" t="inlineStr">
        <is>
          <t>94ee6b24581446a6</t>
        </is>
      </c>
      <c r="BH3" s="24" t="inlineStr">
        <is>
          <t>2026-10-07T22:26:20.753441+00:00</t>
        </is>
      </c>
      <c r="BI3" s="24" t="inlineStr">
        <is>
          <t>["same_event","same_team_same_day","same_league_same_day"]</t>
        </is>
      </c>
      <c r="BJ3" s="25" t="n"/>
      <c r="BK3" s="26" t="n">
        <v>-148</v>
      </c>
      <c r="BL3" s="27" t="n">
        <v>1.675676</v>
      </c>
      <c r="BM3" s="28" t="n">
        <v>0.596774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0.596774</t>
        </is>
      </c>
      <c r="DK3" s="24" t="n"/>
      <c r="DL3" s="24" t="n"/>
      <c r="DM3" s="24" t="n"/>
      <c r="DN3" s="24" t="n"/>
      <c r="DO3" s="24" t="n"/>
      <c r="DP3" s="24" t="n"/>
      <c r="DQ3" s="24" t="inlineStr">
        <is>
          <t>{"artifact_hash": "94ee6b24581446a6", "event_id": "401871051", "event_start_utc": "2026-10-07T23:00Z", "features": {"altitude_fatigue_penalty": 0.0, "away_team": "Jacksonville State Gamecocks", "efficiency_gap": -0.743, "elo_away": 1583.9, "elo_home": 1323.5, "elo_home_win_prob": 0.2452, "event_id": "401871051", "game_start_utc": "2026-10-07T23:00Z", "home_field_advantage_points": 2.8, "home_team": "Kennesaw State Owls", "is_dome": false, "is_fbs_vs_fcs": false, "is_neutral_site": false, "projected_away_points": 29.5, "projected_home_points": 22.3, "projected_margin_home": -7.2, "projected_possessions": 12.4, "projected_total": 51.9, "stadium_elevation_ft": 990, "travel_distance_miles": 70.0, "uncertainty": 0.135, "weather_total_adjustment": 0.0}, "historical_source_observation_times_verified": false, "inference_inputs": {"engine_source_sha256": "449ba2f0e86fa9c445730076a0e0bf100fb4914620be53c75c6f3bfe24298f3f", "mu_away": 29.5, "mu_home": 22.3, "parameters": {"distribution_type": "negative_binomial", "margin_sd": 18.445,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3.0, "total_line": 48.5}, "market_type": "moneyline", "model_version": "cfb-structural-v2", "observed_at_utc": "2026-10-07T22:26:20.753441+00:00", "probabilities": {"away": 0.657296, "home": 0.342704}, "replay_scope": "Full precision score means, exact engine parameters and original RNG state; upstream feature construction not certified.", "schema": "cfb-joint-replay-v1", "snapshot_hash": "25e8ad918163e942c3ac450a0b4e3c83403efc6c5fe3947648fbd77d9264ab06", "sport": "NCAAF"}</t>
        </is>
      </c>
    </row>
    <row r="4" ht="36" customHeight="1">
      <c r="A4" s="24" t="inlineStr">
        <is>
          <t>2edd2c9312944079</t>
        </is>
      </c>
      <c r="B4" s="24" t="inlineStr">
        <is>
          <t>2026-10-07T22:26:20.753441Z</t>
        </is>
      </c>
      <c r="C4" s="24" t="inlineStr">
        <is>
          <t>2026-10-07T23:00Z</t>
        </is>
      </c>
      <c r="D4" s="24" t="inlineStr">
        <is>
          <t>401871051</t>
        </is>
      </c>
      <c r="E4" s="24" t="inlineStr">
        <is>
          <t>NCAAF</t>
        </is>
      </c>
      <c r="F4" s="24" t="inlineStr">
        <is>
          <t>Jacksonville State Gamecocks</t>
        </is>
      </c>
      <c r="G4" s="24" t="inlineStr">
        <is>
          <t>Kennesaw State Owls</t>
        </is>
      </c>
      <c r="H4" s="24" t="inlineStr">
        <is>
          <t>spread</t>
        </is>
      </c>
      <c r="I4" s="24" t="inlineStr">
        <is>
          <t>away</t>
        </is>
      </c>
      <c r="J4" s="25" t="n">
        <v>-3</v>
      </c>
      <c r="K4" s="24" t="inlineStr">
        <is>
          <t>espn_consensus</t>
        </is>
      </c>
      <c r="L4" s="26" t="n">
        <v>-105</v>
      </c>
      <c r="M4" s="27" t="n">
        <v>1.952381</v>
      </c>
      <c r="N4" s="28" t="n">
        <v>0.512195</v>
      </c>
      <c r="O4" s="28" t="n">
        <v>0.581</v>
      </c>
      <c r="P4" s="28" t="n">
        <v>0.135</v>
      </c>
      <c r="Q4" s="28" t="n">
        <v>0.06880500000000001</v>
      </c>
      <c r="R4" s="26" t="n">
        <v>3</v>
      </c>
      <c r="S4" s="29" t="n">
        <v>1</v>
      </c>
      <c r="T4" s="24" t="inlineStr">
        <is>
          <t>cfb-spread-v1</t>
        </is>
      </c>
      <c r="U4" s="24" t="inlineStr">
        <is>
          <t>settled</t>
        </is>
      </c>
      <c r="V4" s="24" t="inlineStr">
        <is>
          <t>loss</t>
        </is>
      </c>
      <c r="W4" s="26" t="n">
        <v>27</v>
      </c>
      <c r="X4" s="26" t="n">
        <v>26</v>
      </c>
      <c r="Y4" s="25" t="n"/>
      <c r="Z4" s="26" t="n"/>
      <c r="AA4" s="28" t="n"/>
      <c r="AB4" s="28" t="n"/>
      <c r="AC4" s="30" t="n">
        <v>-1</v>
      </c>
      <c r="AD4" s="24" t="inlineStr">
        <is>
          <t>2026-10-08T03:21:54.159078Z</t>
        </is>
      </c>
      <c r="AE4" s="31" t="inlineStr">
        <is>
          <t>Projected home margin -7.2 pts. Spread: Home +3.0 / Away -3.0 -&gt; P(Away cover)=0.581, P(Home cover)=0.396, P(Push)=0.023.</t>
        </is>
      </c>
      <c r="AF4" s="31" t="inlineStr">
        <is>
          <t>College football model; multi-market (moneyline, spread, total).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4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Jacksonville State Gamecocks</t>
        </is>
      </c>
      <c r="AQ4" s="24" t="inlineStr">
        <is>
          <t>Jacksonville State Gamecocks</t>
        </is>
      </c>
      <c r="AR4" s="24" t="inlineStr">
        <is>
          <t>Jacksonville State Gamecocks</t>
        </is>
      </c>
      <c r="AS4" s="24" t="inlineStr">
        <is>
          <t>Kennesaw State Owls</t>
        </is>
      </c>
      <c r="AT4" s="24" t="inlineStr">
        <is>
          <t>Kennesaw State Owls</t>
        </is>
      </c>
      <c r="AU4" s="24" t="inlineStr">
        <is>
          <t>Kennesaw State Owls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94ee6b24581446a6</t>
        </is>
      </c>
      <c r="BB4" s="24" t="inlineStr">
        <is>
          <t>cfb_key_number_engine</t>
        </is>
      </c>
      <c r="BC4" s="24" t="inlineStr">
        <is>
          <t>cfb-spread-v1</t>
        </is>
      </c>
      <c r="BD4" s="24" t="inlineStr">
        <is>
          <t>94ee6b24581446a6</t>
        </is>
      </c>
      <c r="BE4" s="24" t="inlineStr">
        <is>
          <t>cfb-v1</t>
        </is>
      </c>
      <c r="BF4" s="24" t="inlineStr">
        <is>
          <t>1</t>
        </is>
      </c>
      <c r="BG4" s="24" t="inlineStr">
        <is>
          <t>94ee6b24581446a6</t>
        </is>
      </c>
      <c r="BH4" s="24" t="inlineStr">
        <is>
          <t>2026-10-07T22:26:20.753441+00:00</t>
        </is>
      </c>
      <c r="BI4" s="24" t="inlineStr">
        <is>
          <t>["same_event","same_team_same_day","same_league_same_day"]</t>
        </is>
      </c>
      <c r="BJ4" s="25" t="n">
        <v>-3</v>
      </c>
      <c r="BK4" s="26" t="n">
        <v>-105</v>
      </c>
      <c r="BL4" s="27" t="n">
        <v>1.952381</v>
      </c>
      <c r="BM4" s="28" t="n">
        <v>0.512195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0.512195</t>
        </is>
      </c>
      <c r="DK4" s="24" t="n"/>
      <c r="DL4" s="24" t="n"/>
      <c r="DM4" s="24" t="n"/>
      <c r="DN4" s="24" t="n"/>
      <c r="DO4" s="24" t="n"/>
      <c r="DP4" s="24" t="n"/>
      <c r="DQ4" s="24" t="inlineStr">
        <is>
          <t>{"artifact_hash": "94ee6b24581446a6", "event_id": "401871051", "event_start_utc": "2026-10-07T23:00Z", "features": {"altitude_fatigue_penalty": 0.0, "away_team": "Jacksonville State Gamecocks", "efficiency_gap": -0.743, "elo_away": 1583.9, "elo_home": 1323.5, "elo_home_win_prob": 0.2452, "event_id": "401871051", "game_start_utc": "2026-10-07T23:00Z", "home_field_advantage_points": 2.8, "home_team": "Kennesaw State Owls", "is_dome": false, "is_fbs_vs_fcs": false, "is_neutral_site": false, "projected_away_points": 29.5, "projected_home_points": 22.3, "projected_margin_home": -7.2, "projected_possessions": 12.4, "projected_total": 51.9, "stadium_elevation_ft": 990, "travel_distance_miles": 70.0, "uncertainty": 0.135, "weather_total_adjustment": 0.0}, "historical_source_observation_times_verified": false, "inference_inputs": {"engine_source_sha256": "449ba2f0e86fa9c445730076a0e0bf100fb4914620be53c75c6f3bfe24298f3f", "mu_away": 29.5, "mu_home": 22.3, "parameters": {"distribution_type": "negative_binomial", "margin_sd": 18.445,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3.0, "total_line": 48.5}, "market_type": "spread", "model_version": "cfb-spread-v1", "observed_at_utc": "2026-10-07T22:26:20.753441+00:00", "probabilities": {"away": 0.581, "home": 0.396133, "push": 0.022867}, "replay_scope": "Full precision score means, exact engine parameters and original RNG state; upstream feature construction not certified.", "schema": "cfb-joint-replay-v1", "snapshot_hash": "39f4e95d4895fbc9192f40e3200cf4f7ce32373a42c2b4e22dc386f132a41c74", "sport": "NCAAF"}</t>
        </is>
      </c>
    </row>
    <row r="5" ht="36" customHeight="1">
      <c r="A5" s="24" t="inlineStr">
        <is>
          <t>2aa3aff1a2884fc7</t>
        </is>
      </c>
      <c r="B5" s="24" t="inlineStr">
        <is>
          <t>2026-10-07T22:26:20.753441Z</t>
        </is>
      </c>
      <c r="C5" s="24" t="inlineStr">
        <is>
          <t>2026-10-07T23:00Z</t>
        </is>
      </c>
      <c r="D5" s="24" t="inlineStr">
        <is>
          <t>401871051</t>
        </is>
      </c>
      <c r="E5" s="24" t="inlineStr">
        <is>
          <t>NCAAF</t>
        </is>
      </c>
      <c r="F5" s="24" t="inlineStr">
        <is>
          <t>Jacksonville State Gamecocks</t>
        </is>
      </c>
      <c r="G5" s="24" t="inlineStr">
        <is>
          <t>Kennesaw State Owls</t>
        </is>
      </c>
      <c r="H5" s="24" t="inlineStr">
        <is>
          <t>total</t>
        </is>
      </c>
      <c r="I5" s="24" t="inlineStr">
        <is>
          <t>over</t>
        </is>
      </c>
      <c r="J5" s="25" t="n">
        <v>48.5</v>
      </c>
      <c r="K5" s="24" t="inlineStr">
        <is>
          <t>espn_consensus</t>
        </is>
      </c>
      <c r="L5" s="26" t="n">
        <v>-115</v>
      </c>
      <c r="M5" s="27" t="n">
        <v>1.869565</v>
      </c>
      <c r="N5" s="28" t="n">
        <v>0.534884</v>
      </c>
      <c r="O5" s="28" t="n">
        <v>0.533933</v>
      </c>
      <c r="P5" s="28" t="n">
        <v>0.135</v>
      </c>
      <c r="Q5" s="28" t="n">
        <v>-0.000951</v>
      </c>
      <c r="R5" s="26" t="n">
        <v>0</v>
      </c>
      <c r="S5" s="29" t="n">
        <v>1</v>
      </c>
      <c r="T5" s="24" t="inlineStr">
        <is>
          <t>cfb-total-v1</t>
        </is>
      </c>
      <c r="U5" s="24" t="inlineStr">
        <is>
          <t>settled</t>
        </is>
      </c>
      <c r="V5" s="24" t="inlineStr">
        <is>
          <t>win</t>
        </is>
      </c>
      <c r="W5" s="26" t="n">
        <v>27</v>
      </c>
      <c r="X5" s="26" t="n">
        <v>26</v>
      </c>
      <c r="Y5" s="25" t="n"/>
      <c r="Z5" s="26" t="n"/>
      <c r="AA5" s="28" t="n"/>
      <c r="AB5" s="28" t="n"/>
      <c r="AC5" s="30" t="n">
        <v>0.8696</v>
      </c>
      <c r="AD5" s="24" t="inlineStr">
        <is>
          <t>2026-10-08T03:21:55.690700Z</t>
        </is>
      </c>
      <c r="AE5" s="31" t="inlineStr">
        <is>
          <t>Projected total 51.9 pts (Weather adj: +0.0 pts). Total line 48.5 -&gt; P(Over)=0.534, P(Under)=0.466, P(Push)=0.000.</t>
        </is>
      </c>
      <c r="AF5" s="31" t="inlineStr">
        <is>
          <t>College football model; multi-market (moneyline, spread, total).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paper_call</t>
        </is>
      </c>
      <c r="AL5" s="26" t="n">
        <v>4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PAPER_CALL_LOW_EDGE</t>
        </is>
      </c>
      <c r="AP5" s="24" t="inlineStr">
        <is>
          <t>Jacksonville State Gamecocks</t>
        </is>
      </c>
      <c r="AQ5" s="24" t="inlineStr">
        <is>
          <t>Jacksonville State Gamecocks</t>
        </is>
      </c>
      <c r="AR5" s="24" t="inlineStr">
        <is>
          <t>Jacksonville State Gamecocks</t>
        </is>
      </c>
      <c r="AS5" s="24" t="inlineStr">
        <is>
          <t>Kennesaw State Owls</t>
        </is>
      </c>
      <c r="AT5" s="24" t="inlineStr">
        <is>
          <t>Kennesaw State Owls</t>
        </is>
      </c>
      <c r="AU5" s="24" t="inlineStr">
        <is>
          <t>Kennesaw State Owls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94ee6b24581446a6</t>
        </is>
      </c>
      <c r="BB5" s="24" t="inlineStr">
        <is>
          <t>cfb_key_number_engine</t>
        </is>
      </c>
      <c r="BC5" s="24" t="inlineStr">
        <is>
          <t>cfb-total-v1</t>
        </is>
      </c>
      <c r="BD5" s="24" t="inlineStr">
        <is>
          <t>94ee6b24581446a6</t>
        </is>
      </c>
      <c r="BE5" s="24" t="inlineStr">
        <is>
          <t>cfb-v1</t>
        </is>
      </c>
      <c r="BF5" s="24" t="inlineStr">
        <is>
          <t>1</t>
        </is>
      </c>
      <c r="BG5" s="24" t="inlineStr">
        <is>
          <t>94ee6b24581446a6</t>
        </is>
      </c>
      <c r="BH5" s="24" t="inlineStr">
        <is>
          <t>2026-10-07T22:26:20.753441+00:00</t>
        </is>
      </c>
      <c r="BI5" s="24" t="inlineStr">
        <is>
          <t>["same_event","same_team_same_day","same_league_same_day"]</t>
        </is>
      </c>
      <c r="BJ5" s="25" t="n">
        <v>48.5</v>
      </c>
      <c r="BK5" s="26" t="n">
        <v>-115</v>
      </c>
      <c r="BL5" s="27" t="n">
        <v>1.869565</v>
      </c>
      <c r="BM5" s="28" t="n">
        <v>0.534884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False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0.534884</t>
        </is>
      </c>
      <c r="DK5" s="24" t="n"/>
      <c r="DL5" s="24" t="n"/>
      <c r="DM5" s="24" t="n"/>
      <c r="DN5" s="24" t="n"/>
      <c r="DO5" s="24" t="n"/>
      <c r="DP5" s="24" t="n"/>
      <c r="DQ5" s="24" t="inlineStr">
        <is>
          <t>{"artifact_hash": "94ee6b24581446a6", "event_id": "401871051", "event_start_utc": "2026-10-07T23:00Z", "features": {"altitude_fatigue_penalty": 0.0, "away_team": "Jacksonville State Gamecocks", "efficiency_gap": -0.743, "elo_away": 1583.9, "elo_home": 1323.5, "elo_home_win_prob": 0.2452, "event_id": "401871051", "game_start_utc": "2026-10-07T23:00Z", "home_field_advantage_points": 2.8, "home_team": "Kennesaw State Owls", "is_dome": false, "is_fbs_vs_fcs": false, "is_neutral_site": false, "projected_away_points": 29.5, "projected_home_points": 22.3, "projected_margin_home": -7.2, "projected_possessions": 12.4, "projected_total": 51.9, "stadium_elevation_ft": 990, "travel_distance_miles": 70.0, "uncertainty": 0.135, "weather_total_adjustment": 0.0}, "historical_source_observation_times_verified": false, "inference_inputs": {"engine_source_sha256": "449ba2f0e86fa9c445730076a0e0bf100fb4914620be53c75c6f3bfe24298f3f", "mu_away": 29.5, "mu_home": 22.3, "parameters": {"distribution_type": "negative_binomial", "margin_sd": 18.445,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3.0, "total_line": 48.5}, "market_type": "total", "model_version": "cfb-total-v1", "observed_at_utc": "2026-10-07T22:26:20.753441+00:00", "probabilities": {"over": 0.533933, "push": 0.0, "under": 0.466067}, "replay_scope": "Full precision score means, exact engine parameters and original RNG state; upstream feature construction not certified.", "schema": "cfb-joint-replay-v1", "snapshot_hash": "af40aaf93f72d92052bf2ca372d77d4ebb88ba2cbe42aea56d4a2c40289644c3", "sport": "NCAAF"}</t>
        </is>
      </c>
    </row>
    <row r="6" ht="36" customHeight="1">
      <c r="A6" s="24" t="inlineStr">
        <is>
          <t>724db77a36674458</t>
        </is>
      </c>
      <c r="B6" s="24" t="inlineStr">
        <is>
          <t>2026-10-07T22:26:20.753441Z</t>
        </is>
      </c>
      <c r="C6" s="24" t="inlineStr">
        <is>
          <t>2026-10-07T23:30Z</t>
        </is>
      </c>
      <c r="D6" s="24" t="inlineStr">
        <is>
          <t>401871066</t>
        </is>
      </c>
      <c r="E6" s="24" t="inlineStr">
        <is>
          <t>NCAAF</t>
        </is>
      </c>
      <c r="F6" s="24" t="inlineStr">
        <is>
          <t>New Mexico State Aggies</t>
        </is>
      </c>
      <c r="G6" s="24" t="inlineStr">
        <is>
          <t>Florida International Panthers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espn_consensus</t>
        </is>
      </c>
      <c r="L6" s="26" t="n">
        <v>-245</v>
      </c>
      <c r="M6" s="27" t="n">
        <v>1.408163</v>
      </c>
      <c r="N6" s="28" t="n">
        <v>0.710145</v>
      </c>
      <c r="O6" s="28" t="n">
        <v>0.570661</v>
      </c>
      <c r="P6" s="28" t="n">
        <v>0.18</v>
      </c>
      <c r="Q6" s="28" t="n">
        <v>-0.139484</v>
      </c>
      <c r="R6" s="26" t="n">
        <v>0</v>
      </c>
      <c r="S6" s="29" t="n">
        <v>1</v>
      </c>
      <c r="T6" s="24" t="inlineStr">
        <is>
          <t>cfb-structural-v2</t>
        </is>
      </c>
      <c r="U6" s="24" t="inlineStr">
        <is>
          <t>settled</t>
        </is>
      </c>
      <c r="V6" s="24" t="inlineStr">
        <is>
          <t>win</t>
        </is>
      </c>
      <c r="W6" s="26" t="n">
        <v>3</v>
      </c>
      <c r="X6" s="26" t="n">
        <v>22</v>
      </c>
      <c r="Y6" s="25" t="n"/>
      <c r="Z6" s="26" t="n"/>
      <c r="AA6" s="28" t="n"/>
      <c r="AB6" s="28" t="n"/>
      <c r="AC6" s="30" t="n">
        <v>0.4082</v>
      </c>
      <c r="AD6" s="24" t="inlineStr">
        <is>
          <t>2026-10-11T04:34:19.407201Z</t>
        </is>
      </c>
      <c r="AE6" s="31" t="inlineStr">
        <is>
          <t>CFB Joint Model (negative_binomial): proj score New Mexico State Aggies 24.8 @ Florida International Panthers 27.9 (Margin +3.0). Possessions: 12.4, HFA: +2.8 pts.</t>
        </is>
      </c>
      <c r="AF6" s="31" t="inlineStr">
        <is>
          <t>College football model; multi-market (moneyline, spread, total).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paper_call</t>
        </is>
      </c>
      <c r="AL6" s="26" t="n">
        <v>4</v>
      </c>
      <c r="AM6" s="24" t="inlineStr">
        <is>
          <t>RESEARCH_OBSERVATION</t>
        </is>
      </c>
      <c r="AN6" s="24" t="inlineStr">
        <is>
          <t>CALL</t>
        </is>
      </c>
      <c r="AO6" s="24" t="inlineStr">
        <is>
          <t>PAPER_CALL_LOW_EDGE</t>
        </is>
      </c>
      <c r="AP6" s="24" t="inlineStr">
        <is>
          <t>New Mexico State Aggies</t>
        </is>
      </c>
      <c r="AQ6" s="24" t="inlineStr">
        <is>
          <t>New Mexico State Aggies</t>
        </is>
      </c>
      <c r="AR6" s="24" t="inlineStr">
        <is>
          <t>New Mexico State Aggies</t>
        </is>
      </c>
      <c r="AS6" s="24" t="inlineStr">
        <is>
          <t>Florida International Panthers</t>
        </is>
      </c>
      <c r="AT6" s="24" t="inlineStr">
        <is>
          <t>Florida International Panthers</t>
        </is>
      </c>
      <c r="AU6" s="24" t="inlineStr">
        <is>
          <t>Florida International Panthers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94ee6b24581446a6</t>
        </is>
      </c>
      <c r="BB6" s="24" t="inlineStr">
        <is>
          <t>cfb_key_number_engine</t>
        </is>
      </c>
      <c r="BC6" s="24" t="inlineStr">
        <is>
          <t>cfb-structural-v2</t>
        </is>
      </c>
      <c r="BD6" s="24" t="inlineStr">
        <is>
          <t>94ee6b24581446a6</t>
        </is>
      </c>
      <c r="BE6" s="24" t="inlineStr">
        <is>
          <t>cfb-v1</t>
        </is>
      </c>
      <c r="BF6" s="24" t="inlineStr">
        <is>
          <t>1</t>
        </is>
      </c>
      <c r="BG6" s="24" t="inlineStr">
        <is>
          <t>94ee6b24581446a6</t>
        </is>
      </c>
      <c r="BH6" s="24" t="inlineStr">
        <is>
          <t>2026-10-07T22:26:20.753441+00:00</t>
        </is>
      </c>
      <c r="BI6" s="24" t="inlineStr">
        <is>
          <t>["same_event","same_team_same_day","same_league_same_day"]</t>
        </is>
      </c>
      <c r="BJ6" s="25" t="n"/>
      <c r="BK6" s="26" t="n">
        <v>-245</v>
      </c>
      <c r="BL6" s="27" t="n">
        <v>1.408163</v>
      </c>
      <c r="BM6" s="28" t="n">
        <v>0.710145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False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0.710145</t>
        </is>
      </c>
      <c r="DK6" s="24" t="n"/>
      <c r="DL6" s="24" t="n"/>
      <c r="DM6" s="24" t="n"/>
      <c r="DN6" s="24" t="n"/>
      <c r="DO6" s="24" t="n"/>
      <c r="DP6" s="24" t="n"/>
      <c r="DQ6" s="24" t="inlineStr">
        <is>
          <t>{"artifact_hash": "94ee6b24581446a6", "event_id": "401871066", "event_start_utc": "2026-10-07T23:30Z", "features": {"altitude_fatigue_penalty": 0.0, "away_team": "New Mexico State Aggies", "efficiency_gap": 0.08, "elo_away": 1328.1, "elo_home": 1337.5, "elo_home_win_prob": 0.6054, "event_id": "401871066", "game_start_utc": "2026-10-07T23:30Z", "home_field_advantage_points": 2.8, "home_team": "Florida International Panthers", "is_dome": false, "is_fbs_vs_fcs": false, "is_neutral_site": false, "projected_away_points": 24.8, "projected_home_points": 27.9, "projected_margin_home": 3.0,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24.8, "mu_home": 27.9,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201475647034928666806764835308435473843}, "uinteger": 0}, "spread_home_line": -6.5, "total_line": 45.5}, "market_type": "moneyline", "model_version": "cfb-structural-v2", "observed_at_utc": "2026-10-07T22:26:20.753441+00:00", "probabilities": {"away": 0.429339, "home": 0.570661}, "replay_scope": "Full precision score means, exact engine parameters and original RNG state; upstream feature construction not certified.", "schema": "cfb-joint-replay-v1", "snapshot_hash": "f9ef23dcbed891096d542c4e18e655a0c0d981e644bc82a7f1b11124bdc11d41", "sport": "NCAAF"}</t>
        </is>
      </c>
    </row>
    <row r="7" ht="36" customHeight="1">
      <c r="A7" s="24" t="inlineStr">
        <is>
          <t>6dbbd1d5925b4579</t>
        </is>
      </c>
      <c r="B7" s="24" t="inlineStr">
        <is>
          <t>2026-10-07T22:26:20.753441Z</t>
        </is>
      </c>
      <c r="C7" s="24" t="inlineStr">
        <is>
          <t>2026-10-07T23:30Z</t>
        </is>
      </c>
      <c r="D7" s="24" t="inlineStr">
        <is>
          <t>401871066</t>
        </is>
      </c>
      <c r="E7" s="24" t="inlineStr">
        <is>
          <t>NCAAF</t>
        </is>
      </c>
      <c r="F7" s="24" t="inlineStr">
        <is>
          <t>New Mexico State Aggies</t>
        </is>
      </c>
      <c r="G7" s="24" t="inlineStr">
        <is>
          <t>Florida International Panthers</t>
        </is>
      </c>
      <c r="H7" s="24" t="inlineStr">
        <is>
          <t>spread</t>
        </is>
      </c>
      <c r="I7" s="24" t="inlineStr">
        <is>
          <t>away</t>
        </is>
      </c>
      <c r="J7" s="25" t="n">
        <v>6.5</v>
      </c>
      <c r="K7" s="24" t="inlineStr">
        <is>
          <t>espn_consensus</t>
        </is>
      </c>
      <c r="L7" s="26" t="n">
        <v>-105</v>
      </c>
      <c r="M7" s="27" t="n">
        <v>1.952381</v>
      </c>
      <c r="N7" s="28" t="n">
        <v>0.512195</v>
      </c>
      <c r="O7" s="28" t="n">
        <v>0.5644</v>
      </c>
      <c r="P7" s="28" t="n">
        <v>0.18</v>
      </c>
      <c r="Q7" s="28" t="n">
        <v>0.052205</v>
      </c>
      <c r="R7" s="26" t="n">
        <v>0</v>
      </c>
      <c r="S7" s="29" t="n">
        <v>1</v>
      </c>
      <c r="T7" s="24" t="inlineStr">
        <is>
          <t>cfb-spread-v1</t>
        </is>
      </c>
      <c r="U7" s="24" t="inlineStr">
        <is>
          <t>settled</t>
        </is>
      </c>
      <c r="V7" s="24" t="inlineStr">
        <is>
          <t>loss</t>
        </is>
      </c>
      <c r="W7" s="26" t="n">
        <v>3</v>
      </c>
      <c r="X7" s="26" t="n">
        <v>22</v>
      </c>
      <c r="Y7" s="25" t="n"/>
      <c r="Z7" s="26" t="n"/>
      <c r="AA7" s="28" t="n"/>
      <c r="AB7" s="28" t="n"/>
      <c r="AC7" s="30" t="n">
        <v>-1</v>
      </c>
      <c r="AD7" s="24" t="inlineStr">
        <is>
          <t>2026-10-11T04:34:21.958746Z</t>
        </is>
      </c>
      <c r="AE7" s="31" t="inlineStr">
        <is>
          <t>Projected home margin +3.0 pts. Spread: Home -6.5 / Away +6.5 -&gt; P(Away cover)=0.564, P(Home cover)=0.436, P(Push)=0.000.</t>
        </is>
      </c>
      <c r="AF7" s="31" t="inlineStr">
        <is>
          <t>College football model; multi-market (moneyline, spread, total).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4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New Mexico State Aggies</t>
        </is>
      </c>
      <c r="AQ7" s="24" t="inlineStr">
        <is>
          <t>New Mexico State Aggies</t>
        </is>
      </c>
      <c r="AR7" s="24" t="inlineStr">
        <is>
          <t>New Mexico State Aggies</t>
        </is>
      </c>
      <c r="AS7" s="24" t="inlineStr">
        <is>
          <t>Florida International Panthers</t>
        </is>
      </c>
      <c r="AT7" s="24" t="inlineStr">
        <is>
          <t>Florida International Panthers</t>
        </is>
      </c>
      <c r="AU7" s="24" t="inlineStr">
        <is>
          <t>Florida International Panthers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94ee6b24581446a6</t>
        </is>
      </c>
      <c r="BB7" s="24" t="inlineStr">
        <is>
          <t>cfb_key_number_engine</t>
        </is>
      </c>
      <c r="BC7" s="24" t="inlineStr">
        <is>
          <t>cfb-spread-v1</t>
        </is>
      </c>
      <c r="BD7" s="24" t="inlineStr">
        <is>
          <t>94ee6b24581446a6</t>
        </is>
      </c>
      <c r="BE7" s="24" t="inlineStr">
        <is>
          <t>cfb-v1</t>
        </is>
      </c>
      <c r="BF7" s="24" t="inlineStr">
        <is>
          <t>1</t>
        </is>
      </c>
      <c r="BG7" s="24" t="inlineStr">
        <is>
          <t>94ee6b24581446a6</t>
        </is>
      </c>
      <c r="BH7" s="24" t="inlineStr">
        <is>
          <t>2026-10-07T22:26:20.753441+00:00</t>
        </is>
      </c>
      <c r="BI7" s="24" t="inlineStr">
        <is>
          <t>["same_event","same_team_same_day","same_league_same_day"]</t>
        </is>
      </c>
      <c r="BJ7" s="25" t="n">
        <v>6.5</v>
      </c>
      <c r="BK7" s="26" t="n">
        <v>-105</v>
      </c>
      <c r="BL7" s="27" t="n">
        <v>1.952381</v>
      </c>
      <c r="BM7" s="28" t="n">
        <v>0.512195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0.512195</t>
        </is>
      </c>
      <c r="DK7" s="24" t="n"/>
      <c r="DL7" s="24" t="n"/>
      <c r="DM7" s="24" t="n"/>
      <c r="DN7" s="24" t="n"/>
      <c r="DO7" s="24" t="n"/>
      <c r="DP7" s="24" t="n"/>
      <c r="DQ7" s="24" t="inlineStr">
        <is>
          <t>{"artifact_hash": "94ee6b24581446a6", "event_id": "401871066", "event_start_utc": "2026-10-07T23:30Z", "features": {"altitude_fatigue_penalty": 0.0, "away_team": "New Mexico State Aggies", "efficiency_gap": 0.08, "elo_away": 1328.1, "elo_home": 1337.5, "elo_home_win_prob": 0.6054, "event_id": "401871066", "game_start_utc": "2026-10-07T23:30Z", "home_field_advantage_points": 2.8, "home_team": "Florida International Panthers", "is_dome": false, "is_fbs_vs_fcs": false, "is_neutral_site": false, "projected_away_points": 24.8, "projected_home_points": 27.9, "projected_margin_home": 3.0,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24.8, "mu_home": 27.9,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201475647034928666806764835308435473843}, "uinteger": 0}, "spread_home_line": -6.5, "total_line": 45.5}, "market_type": "spread", "model_version": "cfb-spread-v1", "observed_at_utc": "2026-10-07T22:26:20.753441+00:00", "probabilities": {"away": 0.5644, "home": 0.4356, "push": 0.0}, "replay_scope": "Full precision score means, exact engine parameters and original RNG state; upstream feature construction not certified.", "schema": "cfb-joint-replay-v1", "snapshot_hash": "ed3cd9854f3415faf281549bdee14012ad7f30c008417125f8d264074a7fea8d", "sport": "NCAAF"}</t>
        </is>
      </c>
    </row>
    <row r="8" ht="36" customHeight="1">
      <c r="A8" s="24" t="inlineStr">
        <is>
          <t>6ff1ad0c78274d7c</t>
        </is>
      </c>
      <c r="B8" s="24" t="inlineStr">
        <is>
          <t>2026-10-07T22:26:20.753441Z</t>
        </is>
      </c>
      <c r="C8" s="24" t="inlineStr">
        <is>
          <t>2026-10-07T23:30Z</t>
        </is>
      </c>
      <c r="D8" s="24" t="inlineStr">
        <is>
          <t>401871066</t>
        </is>
      </c>
      <c r="E8" s="24" t="inlineStr">
        <is>
          <t>NCAAF</t>
        </is>
      </c>
      <c r="F8" s="24" t="inlineStr">
        <is>
          <t>New Mexico State Aggies</t>
        </is>
      </c>
      <c r="G8" s="24" t="inlineStr">
        <is>
          <t>Florida International Panthers</t>
        </is>
      </c>
      <c r="H8" s="24" t="inlineStr">
        <is>
          <t>total</t>
        </is>
      </c>
      <c r="I8" s="24" t="inlineStr">
        <is>
          <t>over</t>
        </is>
      </c>
      <c r="J8" s="25" t="n">
        <v>45.5</v>
      </c>
      <c r="K8" s="24" t="inlineStr">
        <is>
          <t>espn_consensus</t>
        </is>
      </c>
      <c r="L8" s="26" t="n">
        <v>-112</v>
      </c>
      <c r="M8" s="27" t="n">
        <v>1.892857</v>
      </c>
      <c r="N8" s="28" t="n">
        <v>0.528302</v>
      </c>
      <c r="O8" s="28" t="n">
        <v>0.5894</v>
      </c>
      <c r="P8" s="28" t="n">
        <v>0.18</v>
      </c>
      <c r="Q8" s="28" t="n">
        <v>0.061098</v>
      </c>
      <c r="R8" s="26" t="n">
        <v>0</v>
      </c>
      <c r="S8" s="29" t="n">
        <v>1</v>
      </c>
      <c r="T8" s="24" t="inlineStr">
        <is>
          <t>cfb-total-v1</t>
        </is>
      </c>
      <c r="U8" s="24" t="inlineStr">
        <is>
          <t>settled</t>
        </is>
      </c>
      <c r="V8" s="24" t="inlineStr">
        <is>
          <t>loss</t>
        </is>
      </c>
      <c r="W8" s="26" t="n">
        <v>3</v>
      </c>
      <c r="X8" s="26" t="n">
        <v>22</v>
      </c>
      <c r="Y8" s="25" t="n"/>
      <c r="Z8" s="26" t="n"/>
      <c r="AA8" s="28" t="n"/>
      <c r="AB8" s="28" t="n"/>
      <c r="AC8" s="30" t="n">
        <v>-1</v>
      </c>
      <c r="AD8" s="24" t="inlineStr">
        <is>
          <t>2026-10-11T04:34:24.162790Z</t>
        </is>
      </c>
      <c r="AE8" s="31" t="inlineStr">
        <is>
          <t>Projected total 52.7 pts (Weather adj: +0.0 pts). Total line 45.5 -&gt; P(Over)=0.589, P(Under)=0.411, P(Push)=0.000.</t>
        </is>
      </c>
      <c r="AF8" s="31" t="inlineStr">
        <is>
          <t>College football model; multi-market (moneyline, spread, total).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4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New Mexico State Aggies</t>
        </is>
      </c>
      <c r="AQ8" s="24" t="inlineStr">
        <is>
          <t>New Mexico State Aggies</t>
        </is>
      </c>
      <c r="AR8" s="24" t="inlineStr">
        <is>
          <t>New Mexico State Aggies</t>
        </is>
      </c>
      <c r="AS8" s="24" t="inlineStr">
        <is>
          <t>Florida International Panthers</t>
        </is>
      </c>
      <c r="AT8" s="24" t="inlineStr">
        <is>
          <t>Florida International Panthers</t>
        </is>
      </c>
      <c r="AU8" s="24" t="inlineStr">
        <is>
          <t>Florida International Panthers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94ee6b24581446a6</t>
        </is>
      </c>
      <c r="BB8" s="24" t="inlineStr">
        <is>
          <t>cfb_key_number_engine</t>
        </is>
      </c>
      <c r="BC8" s="24" t="inlineStr">
        <is>
          <t>cfb-total-v1</t>
        </is>
      </c>
      <c r="BD8" s="24" t="inlineStr">
        <is>
          <t>94ee6b24581446a6</t>
        </is>
      </c>
      <c r="BE8" s="24" t="inlineStr">
        <is>
          <t>cfb-v1</t>
        </is>
      </c>
      <c r="BF8" s="24" t="inlineStr">
        <is>
          <t>1</t>
        </is>
      </c>
      <c r="BG8" s="24" t="inlineStr">
        <is>
          <t>94ee6b24581446a6</t>
        </is>
      </c>
      <c r="BH8" s="24" t="inlineStr">
        <is>
          <t>2026-10-07T22:26:20.753441+00:00</t>
        </is>
      </c>
      <c r="BI8" s="24" t="inlineStr">
        <is>
          <t>["same_event","same_team_same_day","same_league_same_day"]</t>
        </is>
      </c>
      <c r="BJ8" s="25" t="n">
        <v>45.5</v>
      </c>
      <c r="BK8" s="26" t="n">
        <v>-112</v>
      </c>
      <c r="BL8" s="27" t="n">
        <v>1.892857</v>
      </c>
      <c r="BM8" s="28" t="n">
        <v>0.528302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0.528302</t>
        </is>
      </c>
      <c r="DK8" s="24" t="n"/>
      <c r="DL8" s="24" t="n"/>
      <c r="DM8" s="24" t="n"/>
      <c r="DN8" s="24" t="n"/>
      <c r="DO8" s="24" t="n"/>
      <c r="DP8" s="24" t="n"/>
      <c r="DQ8" s="24" t="inlineStr">
        <is>
          <t>{"artifact_hash": "94ee6b24581446a6", "event_id": "401871066", "event_start_utc": "2026-10-07T23:30Z", "features": {"altitude_fatigue_penalty": 0.0, "away_team": "New Mexico State Aggies", "efficiency_gap": 0.08, "elo_away": 1328.1, "elo_home": 1337.5, "elo_home_win_prob": 0.6054, "event_id": "401871066", "game_start_utc": "2026-10-07T23:30Z", "home_field_advantage_points": 2.8, "home_team": "Florida International Panthers", "is_dome": false, "is_fbs_vs_fcs": false, "is_neutral_site": false, "projected_away_points": 24.8, "projected_home_points": 27.9, "projected_margin_home": 3.0,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24.8, "mu_home": 27.9,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201475647034928666806764835308435473843}, "uinteger": 0}, "spread_home_line": -6.5, "total_line": 45.5}, "market_type": "total", "model_version": "cfb-total-v1", "observed_at_utc": "2026-10-07T22:26:20.753441+00:00", "probabilities": {"over": 0.5894, "push": 0.0, "under": 0.4106}, "replay_scope": "Full precision score means, exact engine parameters and original RNG state; upstream feature construction not certified.", "schema": "cfb-joint-replay-v1", "snapshot_hash": "b6291a1cba4edcbe73e66f250de8dd1b32b9ed3b34b830004663aebaa850f538", "sport": "NCAAF"}</t>
        </is>
      </c>
    </row>
    <row r="9" ht="36" customHeight="1">
      <c r="A9" s="24" t="inlineStr">
        <is>
          <t>b25340fd238d4e14</t>
        </is>
      </c>
      <c r="B9" s="24" t="inlineStr">
        <is>
          <t>2026-10-11T01:05:50.635572Z</t>
        </is>
      </c>
      <c r="C9" s="24" t="inlineStr">
        <is>
          <t>2026-10-11T02:30Z</t>
        </is>
      </c>
      <c r="D9" s="24" t="inlineStr">
        <is>
          <t>401860901</t>
        </is>
      </c>
      <c r="E9" s="24" t="inlineStr">
        <is>
          <t>NCAAF</t>
        </is>
      </c>
      <c r="F9" s="24" t="inlineStr">
        <is>
          <t>Boise State Broncos</t>
        </is>
      </c>
      <c r="G9" s="24" t="inlineStr">
        <is>
          <t>Fresno State Bulldogs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espn_consensus</t>
        </is>
      </c>
      <c r="L9" s="26" t="n">
        <v>250</v>
      </c>
      <c r="M9" s="27" t="n">
        <v>3.5</v>
      </c>
      <c r="N9" s="28" t="n">
        <v>0.285714</v>
      </c>
      <c r="O9" s="28" t="n">
        <v>0.555701</v>
      </c>
      <c r="P9" s="28" t="n">
        <v>0.12</v>
      </c>
      <c r="Q9" s="28" t="n">
        <v>0.269987</v>
      </c>
      <c r="R9" s="26" t="n">
        <v>100</v>
      </c>
      <c r="S9" s="29" t="n">
        <v>2</v>
      </c>
      <c r="T9" s="24" t="inlineStr">
        <is>
          <t>cfb-structural-v2</t>
        </is>
      </c>
      <c r="U9" s="24" t="inlineStr">
        <is>
          <t>settled</t>
        </is>
      </c>
      <c r="V9" s="24" t="inlineStr">
        <is>
          <t>loss</t>
        </is>
      </c>
      <c r="W9" s="26" t="n">
        <v>38</v>
      </c>
      <c r="X9" s="26" t="n">
        <v>31</v>
      </c>
      <c r="Y9" s="25" t="n"/>
      <c r="Z9" s="26" t="n"/>
      <c r="AA9" s="28" t="n"/>
      <c r="AB9" s="28" t="n"/>
      <c r="AC9" s="30" t="n">
        <v>-2</v>
      </c>
      <c r="AD9" s="24" t="inlineStr">
        <is>
          <t>2026-10-11T10:01:45.181137Z</t>
        </is>
      </c>
      <c r="AE9" s="31" t="inlineStr">
        <is>
          <t>CFB Joint Model (negative_binomial): proj score Boise State Broncos 25.7 @ Fresno State Bulldogs 28.1 (Margin +2.4). Possessions: 12.4, HFA: +2.8 pts.</t>
        </is>
      </c>
      <c r="AF9" s="31" t="inlineStr">
        <is>
          <t>College football model; multi-market (moneyline, spread, total).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4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Boise State Broncos</t>
        </is>
      </c>
      <c r="AQ9" s="24" t="inlineStr">
        <is>
          <t>Boise State Broncos</t>
        </is>
      </c>
      <c r="AR9" s="24" t="inlineStr">
        <is>
          <t>Boise State Broncos</t>
        </is>
      </c>
      <c r="AS9" s="24" t="inlineStr">
        <is>
          <t>Fresno State Bulldogs</t>
        </is>
      </c>
      <c r="AT9" s="24" t="inlineStr">
        <is>
          <t>Fresno State Bulldogs</t>
        </is>
      </c>
      <c r="AU9" s="24" t="inlineStr">
        <is>
          <t>Fresno State Bulldogs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94ee6b24581446a6</t>
        </is>
      </c>
      <c r="BB9" s="24" t="inlineStr">
        <is>
          <t>cfb_key_number_engine</t>
        </is>
      </c>
      <c r="BC9" s="24" t="inlineStr">
        <is>
          <t>cfb-structural-v2</t>
        </is>
      </c>
      <c r="BD9" s="24" t="inlineStr">
        <is>
          <t>94ee6b24581446a6</t>
        </is>
      </c>
      <c r="BE9" s="24" t="inlineStr">
        <is>
          <t>cfb-v1</t>
        </is>
      </c>
      <c r="BF9" s="24" t="inlineStr">
        <is>
          <t>1</t>
        </is>
      </c>
      <c r="BG9" s="24" t="inlineStr">
        <is>
          <t>94ee6b24581446a6</t>
        </is>
      </c>
      <c r="BH9" s="24" t="inlineStr">
        <is>
          <t>2026-10-11T01:05:50.635572+00:00</t>
        </is>
      </c>
      <c r="BI9" s="24" t="inlineStr">
        <is>
          <t>["same_event","same_team_same_day","same_league_same_day"]</t>
        </is>
      </c>
      <c r="BJ9" s="25" t="n"/>
      <c r="BK9" s="26" t="n">
        <v>250</v>
      </c>
      <c r="BL9" s="27" t="n">
        <v>3.5</v>
      </c>
      <c r="BM9" s="28" t="n">
        <v>0.285714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n"/>
      <c r="DK9" s="24" t="n"/>
      <c r="DL9" s="24" t="n"/>
      <c r="DM9" s="24" t="n"/>
      <c r="DN9" s="24" t="n"/>
      <c r="DO9" s="24" t="n"/>
      <c r="DP9" s="24" t="n"/>
      <c r="DQ9" s="24" t="inlineStr">
        <is>
          <t>{"artifact_hash": "94ee6b24581446a6", "event_id": "401860901", "event_start_utc": "2026-10-11T02:30Z", "features": {"altitude_fatigue_penalty": 0.0, "away_team": "Boise State Broncos", "efficiency_gap": -0.621, "elo_away": 1679.4, "elo_home": 1687.4, "elo_home_win_prob": 0.6035, "event_id": "401860901", "game_start_utc": "2026-10-11T02:30Z", "home_field_advantage_points": 2.8, "home_team": "Fresno State Bulldogs", "is_dome": false, "is_fbs_vs_fcs": false, "is_neutral_site": false, "projected_away_points": 25.7, "projected_home_points": 28.1, "projected_margin_home": 2.4, "projected_possessions": 12.4, "projected_total": 53.8, "stadium_elevation_ft": 340, "travel_distance_miles": 505.0, "uncertainty": 0.12, "weather_total_adjustment": 0.0}, "historical_source_observation_times_verified": false, "inference_inputs": {"engine_source_sha256": "449ba2f0e86fa9c445730076a0e0bf100fb4914620be53c75c6f3bfe24298f3f", "mu_away": 25.7, "mu_home": 28.1,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193547665833715166336644500936427784512}, "uinteger": 0}, "spread_home_line": 8.5, "total_line": 48.5}, "market_type": "moneyline", "model_version": "cfb-structural-v2", "observed_at_utc": "2026-10-11T01:05:50.635572+00:00", "probabilities": {"away": 0.444299, "home": 0.555701}, "replay_scope": "Full precision score means, exact engine parameters and original RNG state; upstream feature construction not certified.", "schema": "cfb-joint-replay-v1", "snapshot_hash": "61952eb1cc9ee6f4d7710e31e61e663d96bdf45df5edbc1d7b950ce0584b6a27", "sport": "NCAAF"}</t>
        </is>
      </c>
    </row>
    <row r="10" ht="36" customHeight="1">
      <c r="A10" s="24" t="inlineStr">
        <is>
          <t>df4baa6715b647df</t>
        </is>
      </c>
      <c r="B10" s="24" t="inlineStr">
        <is>
          <t>2026-10-11T01:05:50.635572Z</t>
        </is>
      </c>
      <c r="C10" s="24" t="inlineStr">
        <is>
          <t>2026-10-11T02:30Z</t>
        </is>
      </c>
      <c r="D10" s="24" t="inlineStr">
        <is>
          <t>401860901</t>
        </is>
      </c>
      <c r="E10" s="24" t="inlineStr">
        <is>
          <t>NCAAF</t>
        </is>
      </c>
      <c r="F10" s="24" t="inlineStr">
        <is>
          <t>Boise State Broncos</t>
        </is>
      </c>
      <c r="G10" s="24" t="inlineStr">
        <is>
          <t>Fresno State Bulldogs</t>
        </is>
      </c>
      <c r="H10" s="24" t="inlineStr">
        <is>
          <t>spread</t>
        </is>
      </c>
      <c r="I10" s="24" t="inlineStr">
        <is>
          <t>home</t>
        </is>
      </c>
      <c r="J10" s="25" t="n">
        <v>8.5</v>
      </c>
      <c r="K10" s="24" t="inlineStr">
        <is>
          <t>espn_consensus</t>
        </is>
      </c>
      <c r="L10" s="26" t="n">
        <v>-110</v>
      </c>
      <c r="M10" s="27" t="n">
        <v>1.909091</v>
      </c>
      <c r="N10" s="28" t="n">
        <v>0.52381</v>
      </c>
      <c r="O10" s="28" t="n">
        <v>0.722933</v>
      </c>
      <c r="P10" s="28" t="n">
        <v>0.12</v>
      </c>
      <c r="Q10" s="28" t="n">
        <v>0.199123</v>
      </c>
      <c r="R10" s="26" t="n">
        <v>78</v>
      </c>
      <c r="S10" s="29" t="n">
        <v>1.5</v>
      </c>
      <c r="T10" s="24" t="inlineStr">
        <is>
          <t>cfb-structural-v2</t>
        </is>
      </c>
      <c r="U10" s="24" t="inlineStr">
        <is>
          <t>settled</t>
        </is>
      </c>
      <c r="V10" s="24" t="inlineStr">
        <is>
          <t>win</t>
        </is>
      </c>
      <c r="W10" s="26" t="n">
        <v>38</v>
      </c>
      <c r="X10" s="26" t="n">
        <v>31</v>
      </c>
      <c r="Y10" s="25" t="n"/>
      <c r="Z10" s="26" t="n"/>
      <c r="AA10" s="28" t="n"/>
      <c r="AB10" s="28" t="n"/>
      <c r="AC10" s="30" t="n">
        <v>1.3636</v>
      </c>
      <c r="AD10" s="24" t="inlineStr">
        <is>
          <t>2026-10-11T10:01:46.427351Z</t>
        </is>
      </c>
      <c r="AE10" s="31" t="inlineStr">
        <is>
          <t>Projected home margin +2.4 pts. Spread: Home +8.5 / Away -8.5 -&gt; P(Away cover)=0.277, P(Home cover)=0.723, P(Push)=0.000.</t>
        </is>
      </c>
      <c r="AF10" s="31" t="inlineStr">
        <is>
          <t>College football model; multi-market (moneyline, spread, total).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4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Boise State Broncos</t>
        </is>
      </c>
      <c r="AQ10" s="24" t="inlineStr">
        <is>
          <t>Boise State Broncos</t>
        </is>
      </c>
      <c r="AR10" s="24" t="inlineStr">
        <is>
          <t>Boise State Broncos</t>
        </is>
      </c>
      <c r="AS10" s="24" t="inlineStr">
        <is>
          <t>Fresno State Bulldogs</t>
        </is>
      </c>
      <c r="AT10" s="24" t="inlineStr">
        <is>
          <t>Fresno State Bulldogs</t>
        </is>
      </c>
      <c r="AU10" s="24" t="inlineStr">
        <is>
          <t>Fresno State Bulldogs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94ee6b24581446a6</t>
        </is>
      </c>
      <c r="BB10" s="24" t="inlineStr">
        <is>
          <t>cfb_key_number_engine</t>
        </is>
      </c>
      <c r="BC10" s="24" t="inlineStr">
        <is>
          <t>cfb-structural-v2</t>
        </is>
      </c>
      <c r="BD10" s="24" t="inlineStr">
        <is>
          <t>94ee6b24581446a6</t>
        </is>
      </c>
      <c r="BE10" s="24" t="inlineStr">
        <is>
          <t>cfb-v1</t>
        </is>
      </c>
      <c r="BF10" s="24" t="inlineStr">
        <is>
          <t>1</t>
        </is>
      </c>
      <c r="BG10" s="24" t="inlineStr">
        <is>
          <t>94ee6b24581446a6</t>
        </is>
      </c>
      <c r="BH10" s="24" t="inlineStr">
        <is>
          <t>2026-10-11T01:05:50.635572+00:00</t>
        </is>
      </c>
      <c r="BI10" s="24" t="inlineStr">
        <is>
          <t>["same_event","same_team_same_day","same_league_same_day"]</t>
        </is>
      </c>
      <c r="BJ10" s="25" t="n">
        <v>8.5</v>
      </c>
      <c r="BK10" s="26" t="n">
        <v>-110</v>
      </c>
      <c r="BL10" s="27" t="n">
        <v>1.909091</v>
      </c>
      <c r="BM10" s="28" t="n">
        <v>0.52381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n"/>
      <c r="DK10" s="24" t="n"/>
      <c r="DL10" s="24" t="n"/>
      <c r="DM10" s="24" t="n"/>
      <c r="DN10" s="24" t="n"/>
      <c r="DO10" s="24" t="n"/>
      <c r="DP10" s="24" t="n"/>
      <c r="DQ10" s="24" t="inlineStr">
        <is>
          <t>{"artifact_hash": "94ee6b24581446a6", "event_id": "401860901", "event_start_utc": "2026-10-11T02:30Z", "features": {"altitude_fatigue_penalty": 0.0, "away_team": "Boise State Broncos", "efficiency_gap": -0.621, "elo_away": 1679.4, "elo_home": 1687.4, "elo_home_win_prob": 0.6035, "event_id": "401860901", "game_start_utc": "2026-10-11T02:30Z", "home_field_advantage_points": 2.8, "home_team": "Fresno State Bulldogs", "is_dome": false, "is_fbs_vs_fcs": false, "is_neutral_site": false, "projected_away_points": 25.7, "projected_home_points": 28.1, "projected_margin_home": 2.4, "projected_possessions": 12.4, "projected_total": 53.8, "stadium_elevation_ft": 340, "travel_distance_miles": 505.0, "uncertainty": 0.12, "weather_total_adjustment": 0.0}, "historical_source_observation_times_verified": false, "inference_inputs": {"engine_source_sha256": "449ba2f0e86fa9c445730076a0e0bf100fb4914620be53c75c6f3bfe24298f3f", "mu_away": 25.7, "mu_home": 28.1,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193547665833715166336644500936427784512}, "uinteger": 0}, "spread_home_line": 8.5, "total_line": 48.5}, "market_type": "spread", "model_version": "cfb-structural-v2", "observed_at_utc": "2026-10-11T01:05:50.635572+00:00", "probabilities": {"away": 0.277067, "home": 0.722933, "push": 0.0}, "replay_scope": "Full precision score means, exact engine parameters and original RNG state; upstream feature construction not certified.", "schema": "cfb-joint-replay-v1", "snapshot_hash": "d85249aac49f2c87b10ef2519d03a987e18acc6fc8b6fdec368dea4bee63a842", "sport": "NCAAF"}</t>
        </is>
      </c>
    </row>
    <row r="11" ht="36" customHeight="1">
      <c r="A11" s="24" t="inlineStr">
        <is>
          <t>a9766f9b3e07482a</t>
        </is>
      </c>
      <c r="B11" s="24" t="inlineStr">
        <is>
          <t>2026-10-11T01:05:50.635572Z</t>
        </is>
      </c>
      <c r="C11" s="24" t="inlineStr">
        <is>
          <t>2026-10-11T02:30Z</t>
        </is>
      </c>
      <c r="D11" s="24" t="inlineStr">
        <is>
          <t>401860901</t>
        </is>
      </c>
      <c r="E11" s="24" t="inlineStr">
        <is>
          <t>NCAAF</t>
        </is>
      </c>
      <c r="F11" s="24" t="inlineStr">
        <is>
          <t>Boise State Broncos</t>
        </is>
      </c>
      <c r="G11" s="24" t="inlineStr">
        <is>
          <t>Fresno State Bulldogs</t>
        </is>
      </c>
      <c r="H11" s="24" t="inlineStr">
        <is>
          <t>total</t>
        </is>
      </c>
      <c r="I11" s="24" t="inlineStr">
        <is>
          <t>over</t>
        </is>
      </c>
      <c r="J11" s="25" t="n">
        <v>48.5</v>
      </c>
      <c r="K11" s="24" t="inlineStr">
        <is>
          <t>espn_consensus</t>
        </is>
      </c>
      <c r="L11" s="26" t="n">
        <v>-110</v>
      </c>
      <c r="M11" s="27" t="n">
        <v>1.909091</v>
      </c>
      <c r="N11" s="28" t="n">
        <v>0.52381</v>
      </c>
      <c r="O11" s="28" t="n">
        <v>0.563267</v>
      </c>
      <c r="P11" s="28" t="n">
        <v>0.12</v>
      </c>
      <c r="Q11" s="28" t="n">
        <v>0.039457</v>
      </c>
      <c r="R11" s="26" t="n">
        <v>0</v>
      </c>
      <c r="S11" s="29" t="n">
        <v>1</v>
      </c>
      <c r="T11" s="24" t="inlineStr">
        <is>
          <t>cfb-structural-v2</t>
        </is>
      </c>
      <c r="U11" s="24" t="inlineStr">
        <is>
          <t>settled</t>
        </is>
      </c>
      <c r="V11" s="24" t="inlineStr">
        <is>
          <t>win</t>
        </is>
      </c>
      <c r="W11" s="26" t="n">
        <v>38</v>
      </c>
      <c r="X11" s="26" t="n">
        <v>31</v>
      </c>
      <c r="Y11" s="25" t="n"/>
      <c r="Z11" s="26" t="n"/>
      <c r="AA11" s="28" t="n"/>
      <c r="AB11" s="28" t="n"/>
      <c r="AC11" s="30" t="n">
        <v>0.9091</v>
      </c>
      <c r="AD11" s="24" t="inlineStr">
        <is>
          <t>2026-10-11T10:01:47.526634Z</t>
        </is>
      </c>
      <c r="AE11" s="31" t="inlineStr">
        <is>
          <t>Projected total 53.8 pts (Weather adj: +0.0 pts). Total line 48.5 -&gt; P(Over)=0.563, P(Under)=0.437, P(Push)=0.000.</t>
        </is>
      </c>
      <c r="AF11" s="31" t="inlineStr">
        <is>
          <t>College football model; multi-market (moneyline, spread, total).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4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Boise State Broncos</t>
        </is>
      </c>
      <c r="AQ11" s="24" t="inlineStr">
        <is>
          <t>Boise State Broncos</t>
        </is>
      </c>
      <c r="AR11" s="24" t="inlineStr">
        <is>
          <t>Boise State Broncos</t>
        </is>
      </c>
      <c r="AS11" s="24" t="inlineStr">
        <is>
          <t>Fresno State Bulldogs</t>
        </is>
      </c>
      <c r="AT11" s="24" t="inlineStr">
        <is>
          <t>Fresno State Bulldogs</t>
        </is>
      </c>
      <c r="AU11" s="24" t="inlineStr">
        <is>
          <t>Fresno State Bulldogs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94ee6b24581446a6</t>
        </is>
      </c>
      <c r="BB11" s="24" t="inlineStr">
        <is>
          <t>cfb_key_number_engine</t>
        </is>
      </c>
      <c r="BC11" s="24" t="inlineStr">
        <is>
          <t>cfb-structural-v2</t>
        </is>
      </c>
      <c r="BD11" s="24" t="inlineStr">
        <is>
          <t>94ee6b24581446a6</t>
        </is>
      </c>
      <c r="BE11" s="24" t="inlineStr">
        <is>
          <t>cfb-v1</t>
        </is>
      </c>
      <c r="BF11" s="24" t="inlineStr">
        <is>
          <t>1</t>
        </is>
      </c>
      <c r="BG11" s="24" t="inlineStr">
        <is>
          <t>94ee6b24581446a6</t>
        </is>
      </c>
      <c r="BH11" s="24" t="inlineStr">
        <is>
          <t>2026-10-11T01:05:50.635572+00:00</t>
        </is>
      </c>
      <c r="BI11" s="24" t="inlineStr">
        <is>
          <t>["same_event","same_team_same_day","same_league_same_day"]</t>
        </is>
      </c>
      <c r="BJ11" s="25" t="n">
        <v>48.5</v>
      </c>
      <c r="BK11" s="26" t="n">
        <v>-110</v>
      </c>
      <c r="BL11" s="27" t="n">
        <v>1.909091</v>
      </c>
      <c r="BM11" s="28" t="n">
        <v>0.52381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n"/>
      <c r="DK11" s="24" t="n"/>
      <c r="DL11" s="24" t="n"/>
      <c r="DM11" s="24" t="n"/>
      <c r="DN11" s="24" t="n"/>
      <c r="DO11" s="24" t="n"/>
      <c r="DP11" s="24" t="n"/>
      <c r="DQ11" s="24" t="inlineStr">
        <is>
          <t>{"artifact_hash": "94ee6b24581446a6", "event_id": "401860901", "event_start_utc": "2026-10-11T02:30Z", "features": {"altitude_fatigue_penalty": 0.0, "away_team": "Boise State Broncos", "efficiency_gap": -0.621, "elo_away": 1679.4, "elo_home": 1687.4, "elo_home_win_prob": 0.6035, "event_id": "401860901", "game_start_utc": "2026-10-11T02:30Z", "home_field_advantage_points": 2.8, "home_team": "Fresno State Bulldogs", "is_dome": false, "is_fbs_vs_fcs": false, "is_neutral_site": false, "projected_away_points": 25.7, "projected_home_points": 28.1, "projected_margin_home": 2.4, "projected_possessions": 12.4, "projected_total": 53.8, "stadium_elevation_ft": 340, "travel_distance_miles": 505.0, "uncertainty": 0.12, "weather_total_adjustment": 0.0}, "historical_source_observation_times_verified": false, "inference_inputs": {"engine_source_sha256": "449ba2f0e86fa9c445730076a0e0bf100fb4914620be53c75c6f3bfe24298f3f", "mu_away": 25.7, "mu_home": 28.1,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193547665833715166336644500936427784512}, "uinteger": 0}, "spread_home_line": 8.5, "total_line": 48.5}, "market_type": "total", "model_version": "cfb-structural-v2", "observed_at_utc": "2026-10-11T01:05:50.635572+00:00", "probabilities": {"over": 0.563267, "push": 0.0, "under": 0.436733}, "replay_scope": "Full precision score means, exact engine parameters and original RNG state; upstream feature construction not certified.", "schema": "cfb-joint-replay-v1", "snapshot_hash": "5e870b16a638eca95e41afc9e2779a7eccfc0e6af0fc7a472f8741ab791646cd", "sport": "NCAAF"}</t>
        </is>
      </c>
    </row>
    <row r="12" ht="36" customHeight="1">
      <c r="A12" s="24" t="inlineStr">
        <is>
          <t>31cea1f706874c5a</t>
        </is>
      </c>
      <c r="B12" s="24" t="inlineStr">
        <is>
          <t>2026-10-11T01:05:50.635572Z</t>
        </is>
      </c>
      <c r="C12" s="24" t="inlineStr">
        <is>
          <t>2026-10-11T02:30Z</t>
        </is>
      </c>
      <c r="D12" s="24" t="inlineStr">
        <is>
          <t>401856808</t>
        </is>
      </c>
      <c r="E12" s="24" t="inlineStr">
        <is>
          <t>NCAAF</t>
        </is>
      </c>
      <c r="F12" s="24" t="inlineStr">
        <is>
          <t>Hawai'i Rainbow Warriors</t>
        </is>
      </c>
      <c r="G12" s="24" t="inlineStr">
        <is>
          <t>Arizona State Sun Devils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espn_consensus</t>
        </is>
      </c>
      <c r="L12" s="26" t="n">
        <v>-1650</v>
      </c>
      <c r="M12" s="27" t="n">
        <v>1.060606</v>
      </c>
      <c r="N12" s="28" t="n">
        <v>0.9428569999999999</v>
      </c>
      <c r="O12" s="28" t="n">
        <v>0.520371</v>
      </c>
      <c r="P12" s="28" t="n">
        <v>0.18</v>
      </c>
      <c r="Q12" s="28" t="n">
        <v>-0.422486</v>
      </c>
      <c r="R12" s="26" t="n">
        <v>0</v>
      </c>
      <c r="S12" s="29" t="n">
        <v>1</v>
      </c>
      <c r="T12" s="24" t="inlineStr">
        <is>
          <t>cfb-structural-v2</t>
        </is>
      </c>
      <c r="U12" s="24" t="inlineStr">
        <is>
          <t>settled</t>
        </is>
      </c>
      <c r="V12" s="24" t="inlineStr">
        <is>
          <t>win</t>
        </is>
      </c>
      <c r="W12" s="26" t="n">
        <v>12</v>
      </c>
      <c r="X12" s="26" t="n">
        <v>30</v>
      </c>
      <c r="Y12" s="25" t="n"/>
      <c r="Z12" s="26" t="n"/>
      <c r="AA12" s="28" t="n"/>
      <c r="AB12" s="28" t="n"/>
      <c r="AC12" s="30" t="n">
        <v>0.0606</v>
      </c>
      <c r="AD12" s="24" t="inlineStr">
        <is>
          <t>2026-10-11T10:01:48.624693Z</t>
        </is>
      </c>
      <c r="AE12" s="31" t="inlineStr">
        <is>
          <t>CFB Joint Model (negative_binomial): proj score Hawai'i Rainbow Warriors 26.2 @ Arizona State Sun Devils 27.1 (Margin +0.9). Possessions: 12.4, HFA: +2.8 pts.</t>
        </is>
      </c>
      <c r="AF12" s="31" t="inlineStr">
        <is>
          <t>College football model; multi-market (moneyline, spread, total).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paper_call</t>
        </is>
      </c>
      <c r="AL12" s="26" t="n">
        <v>4</v>
      </c>
      <c r="AM12" s="24" t="inlineStr">
        <is>
          <t>RESEARCH_OBSERVATION</t>
        </is>
      </c>
      <c r="AN12" s="24" t="inlineStr">
        <is>
          <t>CALL</t>
        </is>
      </c>
      <c r="AO12" s="24" t="inlineStr">
        <is>
          <t>PAPER_CALL_LOW_EDGE</t>
        </is>
      </c>
      <c r="AP12" s="24" t="inlineStr">
        <is>
          <t>Hawai'i Rainbow Warriors</t>
        </is>
      </c>
      <c r="AQ12" s="24" t="inlineStr">
        <is>
          <t>Hawai'i Rainbow Warriors</t>
        </is>
      </c>
      <c r="AR12" s="24" t="inlineStr">
        <is>
          <t>Hawai'i Rainbow Warriors</t>
        </is>
      </c>
      <c r="AS12" s="24" t="inlineStr">
        <is>
          <t>Arizona State Sun Devils</t>
        </is>
      </c>
      <c r="AT12" s="24" t="inlineStr">
        <is>
          <t>Arizona State Sun Devils</t>
        </is>
      </c>
      <c r="AU12" s="24" t="inlineStr">
        <is>
          <t>Arizona State Sun Devils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94ee6b24581446a6</t>
        </is>
      </c>
      <c r="BB12" s="24" t="inlineStr">
        <is>
          <t>cfb_key_number_engine</t>
        </is>
      </c>
      <c r="BC12" s="24" t="inlineStr">
        <is>
          <t>cfb-structural-v2</t>
        </is>
      </c>
      <c r="BD12" s="24" t="inlineStr">
        <is>
          <t>94ee6b24581446a6</t>
        </is>
      </c>
      <c r="BE12" s="24" t="inlineStr">
        <is>
          <t>cfb-v1</t>
        </is>
      </c>
      <c r="BF12" s="24" t="inlineStr">
        <is>
          <t>1</t>
        </is>
      </c>
      <c r="BG12" s="24" t="inlineStr">
        <is>
          <t>94ee6b24581446a6</t>
        </is>
      </c>
      <c r="BH12" s="24" t="inlineStr">
        <is>
          <t>2026-10-11T01:05:50.635572+00:00</t>
        </is>
      </c>
      <c r="BI12" s="24" t="inlineStr">
        <is>
          <t>["same_event","same_team_same_day","same_league_same_day"]</t>
        </is>
      </c>
      <c r="BJ12" s="25" t="n"/>
      <c r="BK12" s="26" t="n">
        <v>-1650</v>
      </c>
      <c r="BL12" s="27" t="n">
        <v>1.060606</v>
      </c>
      <c r="BM12" s="28" t="n">
        <v>0.9428569999999999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False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n"/>
      <c r="DK12" s="24" t="n"/>
      <c r="DL12" s="24" t="n"/>
      <c r="DM12" s="24" t="n"/>
      <c r="DN12" s="24" t="n"/>
      <c r="DO12" s="24" t="n"/>
      <c r="DP12" s="24" t="n"/>
      <c r="DQ12" s="24" t="inlineStr">
        <is>
          <t>{"artifact_hash": "94ee6b24581446a6", "event_id": "401856808", "event_start_utc": "2026-10-11T02:30Z", "features": {"altitude_fatigue_penalty": 0.0, "away_team": "Hawai'i Rainbow Warriors", "efficiency_gap": -0.643, "elo_away": 1437.5, "elo_home": 1394.4, "elo_home_win_prob": 0.5315, "event_id": "401856808", "game_start_utc": "2026-10-11T02:30Z", "home_field_advantage_points": 2.8, "home_team": "Arizona State Sun Devils", "is_dome": false, "is_fbs_vs_fcs": false, "is_neutral_site": false, "projected_away_points": 26.2, "projected_home_points": 27.1, "projected_margin_home": 0.9, "projected_possessions": 12.4, "projected_total": 53.3, "stadium_elevation_ft": 1170, "travel_distance_miles": 2913.0, "uncertainty": 0.18, "weather_total_adjustment": 0.0}, "historical_source_observation_times_verified": false, "inference_inputs": {"engine_source_sha256": "449ba2f0e86fa9c445730076a0e0bf100fb4914620be53c75c6f3bfe24298f3f", "mu_away": 26.2, "mu_home": 27.1,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10508672925364446163584624994813294312}, "uinteger": 0}, "spread_home_line": -21.0, "total_line": 51.5}, "market_type": "moneyline", "model_version": "cfb-structural-v2", "observed_at_utc": "2026-10-11T01:05:50.635572+00:00", "probabilities": {"away": 0.479629, "home": 0.520371}, "replay_scope": "Full precision score means, exact engine parameters and original RNG state; upstream feature construction not certified.", "schema": "cfb-joint-replay-v1", "snapshot_hash": "1cf06c2b6f4046a10f1d0f053bf4a8eee2e7f222b385845528447100f9098617", "sport": "NCAAF"}</t>
        </is>
      </c>
    </row>
    <row r="13" ht="36" customHeight="1">
      <c r="A13" s="24" t="inlineStr">
        <is>
          <t>73f28f41cbe24c9e</t>
        </is>
      </c>
      <c r="B13" s="24" t="inlineStr">
        <is>
          <t>2026-10-11T01:05:50.635572Z</t>
        </is>
      </c>
      <c r="C13" s="24" t="inlineStr">
        <is>
          <t>2026-10-11T02:30Z</t>
        </is>
      </c>
      <c r="D13" s="24" t="inlineStr">
        <is>
          <t>401856808</t>
        </is>
      </c>
      <c r="E13" s="24" t="inlineStr">
        <is>
          <t>NCAAF</t>
        </is>
      </c>
      <c r="F13" s="24" t="inlineStr">
        <is>
          <t>Hawai'i Rainbow Warriors</t>
        </is>
      </c>
      <c r="G13" s="24" t="inlineStr">
        <is>
          <t>Arizona State Sun Devils</t>
        </is>
      </c>
      <c r="H13" s="24" t="inlineStr">
        <is>
          <t>spread</t>
        </is>
      </c>
      <c r="I13" s="24" t="inlineStr">
        <is>
          <t>away</t>
        </is>
      </c>
      <c r="J13" s="25" t="n">
        <v>21</v>
      </c>
      <c r="K13" s="24" t="inlineStr">
        <is>
          <t>espn_consensus</t>
        </is>
      </c>
      <c r="L13" s="26" t="n">
        <v>-115</v>
      </c>
      <c r="M13" s="27" t="n">
        <v>1.869565</v>
      </c>
      <c r="N13" s="28" t="n">
        <v>0.534884</v>
      </c>
      <c r="O13" s="28" t="n">
        <v>0.8326</v>
      </c>
      <c r="P13" s="28" t="n">
        <v>0.18</v>
      </c>
      <c r="Q13" s="28" t="n">
        <v>0.297716</v>
      </c>
      <c r="R13" s="26" t="n">
        <v>91</v>
      </c>
      <c r="S13" s="29" t="n">
        <v>1.75</v>
      </c>
      <c r="T13" s="24" t="inlineStr">
        <is>
          <t>cfb-structural-v2</t>
        </is>
      </c>
      <c r="U13" s="24" t="inlineStr">
        <is>
          <t>settled</t>
        </is>
      </c>
      <c r="V13" s="24" t="inlineStr">
        <is>
          <t>win</t>
        </is>
      </c>
      <c r="W13" s="26" t="n">
        <v>12</v>
      </c>
      <c r="X13" s="26" t="n">
        <v>30</v>
      </c>
      <c r="Y13" s="25" t="n"/>
      <c r="Z13" s="26" t="n"/>
      <c r="AA13" s="28" t="n"/>
      <c r="AB13" s="28" t="n"/>
      <c r="AC13" s="30" t="n">
        <v>1.5217</v>
      </c>
      <c r="AD13" s="24" t="inlineStr">
        <is>
          <t>2026-10-11T10:01:50.082755Z</t>
        </is>
      </c>
      <c r="AE13" s="31" t="inlineStr">
        <is>
          <t>Projected home margin +0.9 pts. Spread: Home -21.0 / Away +21.0 -&gt; P(Away cover)=0.833, P(Home cover)=0.157, P(Push)=0.011.</t>
        </is>
      </c>
      <c r="AF13" s="31" t="inlineStr">
        <is>
          <t>College football model; multi-market (moneyline, spread, total).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4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Hawai'i Rainbow Warriors</t>
        </is>
      </c>
      <c r="AQ13" s="24" t="inlineStr">
        <is>
          <t>Hawai'i Rainbow Warriors</t>
        </is>
      </c>
      <c r="AR13" s="24" t="inlineStr">
        <is>
          <t>Hawai'i Rainbow Warriors</t>
        </is>
      </c>
      <c r="AS13" s="24" t="inlineStr">
        <is>
          <t>Arizona State Sun Devils</t>
        </is>
      </c>
      <c r="AT13" s="24" t="inlineStr">
        <is>
          <t>Arizona State Sun Devils</t>
        </is>
      </c>
      <c r="AU13" s="24" t="inlineStr">
        <is>
          <t>Arizona State Sun Devils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94ee6b24581446a6</t>
        </is>
      </c>
      <c r="BB13" s="24" t="inlineStr">
        <is>
          <t>cfb_key_number_engine</t>
        </is>
      </c>
      <c r="BC13" s="24" t="inlineStr">
        <is>
          <t>cfb-structural-v2</t>
        </is>
      </c>
      <c r="BD13" s="24" t="inlineStr">
        <is>
          <t>94ee6b24581446a6</t>
        </is>
      </c>
      <c r="BE13" s="24" t="inlineStr">
        <is>
          <t>cfb-v1</t>
        </is>
      </c>
      <c r="BF13" s="24" t="inlineStr">
        <is>
          <t>1</t>
        </is>
      </c>
      <c r="BG13" s="24" t="inlineStr">
        <is>
          <t>94ee6b24581446a6</t>
        </is>
      </c>
      <c r="BH13" s="24" t="inlineStr">
        <is>
          <t>2026-10-11T01:05:50.635572+00:00</t>
        </is>
      </c>
      <c r="BI13" s="24" t="inlineStr">
        <is>
          <t>["same_event","same_team_same_day","same_league_same_day"]</t>
        </is>
      </c>
      <c r="BJ13" s="25" t="n">
        <v>21</v>
      </c>
      <c r="BK13" s="26" t="n">
        <v>-115</v>
      </c>
      <c r="BL13" s="27" t="n">
        <v>1.869565</v>
      </c>
      <c r="BM13" s="28" t="n">
        <v>0.534884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n"/>
      <c r="DK13" s="24" t="n"/>
      <c r="DL13" s="24" t="n"/>
      <c r="DM13" s="24" t="n"/>
      <c r="DN13" s="24" t="n"/>
      <c r="DO13" s="24" t="n"/>
      <c r="DP13" s="24" t="n"/>
      <c r="DQ13" s="24" t="inlineStr">
        <is>
          <t>{"artifact_hash": "94ee6b24581446a6", "event_id": "401856808", "event_start_utc": "2026-10-11T02:30Z", "features": {"altitude_fatigue_penalty": 0.0, "away_team": "Hawai'i Rainbow Warriors", "efficiency_gap": -0.643, "elo_away": 1437.5, "elo_home": 1394.4, "elo_home_win_prob": 0.5315, "event_id": "401856808", "game_start_utc": "2026-10-11T02:30Z", "home_field_advantage_points": 2.8, "home_team": "Arizona State Sun Devils", "is_dome": false, "is_fbs_vs_fcs": false, "is_neutral_site": false, "projected_away_points": 26.2, "projected_home_points": 27.1, "projected_margin_home": 0.9, "projected_possessions": 12.4, "projected_total": 53.3, "stadium_elevation_ft": 1170, "travel_distance_miles": 2913.0, "uncertainty": 0.18, "weather_total_adjustment": 0.0}, "historical_source_observation_times_verified": false, "inference_inputs": {"engine_source_sha256": "449ba2f0e86fa9c445730076a0e0bf100fb4914620be53c75c6f3bfe24298f3f", "mu_away": 26.2, "mu_home": 27.1,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10508672925364446163584624994813294312}, "uinteger": 0}, "spread_home_line": -21.0, "total_line": 51.5}, "market_type": "spread", "model_version": "cfb-structural-v2", "observed_at_utc": "2026-10-11T01:05:50.635572+00:00", "probabilities": {"away": 0.8326, "home": 0.156667, "push": 0.010733}, "replay_scope": "Full precision score means, exact engine parameters and original RNG state; upstream feature construction not certified.", "schema": "cfb-joint-replay-v1", "snapshot_hash": "da420012cd043ad9c1ffcd920c9fc7a2ad873e5d3642e9479e9a9a8b3c5e95e8", "sport": "NCAAF"}</t>
        </is>
      </c>
    </row>
    <row r="14" ht="36" customHeight="1">
      <c r="A14" s="24" t="inlineStr">
        <is>
          <t>e9e39e40af5b4a0e</t>
        </is>
      </c>
      <c r="B14" s="24" t="inlineStr">
        <is>
          <t>2026-10-11T01:05:50.635572Z</t>
        </is>
      </c>
      <c r="C14" s="24" t="inlineStr">
        <is>
          <t>2026-10-11T02:30Z</t>
        </is>
      </c>
      <c r="D14" s="24" t="inlineStr">
        <is>
          <t>401856808</t>
        </is>
      </c>
      <c r="E14" s="24" t="inlineStr">
        <is>
          <t>NCAAF</t>
        </is>
      </c>
      <c r="F14" s="24" t="inlineStr">
        <is>
          <t>Hawai'i Rainbow Warriors</t>
        </is>
      </c>
      <c r="G14" s="24" t="inlineStr">
        <is>
          <t>Arizona State Sun Devils</t>
        </is>
      </c>
      <c r="H14" s="24" t="inlineStr">
        <is>
          <t>total</t>
        </is>
      </c>
      <c r="I14" s="24" t="inlineStr">
        <is>
          <t>over</t>
        </is>
      </c>
      <c r="J14" s="25" t="n">
        <v>51.5</v>
      </c>
      <c r="K14" s="24" t="inlineStr">
        <is>
          <t>espn_consensus</t>
        </is>
      </c>
      <c r="L14" s="26" t="n">
        <v>-108</v>
      </c>
      <c r="M14" s="27" t="n">
        <v>1.925926</v>
      </c>
      <c r="N14" s="28" t="n">
        <v>0.519231</v>
      </c>
      <c r="O14" s="28" t="n">
        <v>0.504533</v>
      </c>
      <c r="P14" s="28" t="n">
        <v>0.18</v>
      </c>
      <c r="Q14" s="28" t="n">
        <v>-0.014698</v>
      </c>
      <c r="R14" s="26" t="n">
        <v>0</v>
      </c>
      <c r="S14" s="29" t="n">
        <v>1</v>
      </c>
      <c r="T14" s="24" t="inlineStr">
        <is>
          <t>cfb-structural-v2</t>
        </is>
      </c>
      <c r="U14" s="24" t="inlineStr">
        <is>
          <t>settled</t>
        </is>
      </c>
      <c r="V14" s="24" t="inlineStr">
        <is>
          <t>loss</t>
        </is>
      </c>
      <c r="W14" s="26" t="n">
        <v>12</v>
      </c>
      <c r="X14" s="26" t="n">
        <v>30</v>
      </c>
      <c r="Y14" s="25" t="n"/>
      <c r="Z14" s="26" t="n"/>
      <c r="AA14" s="28" t="n"/>
      <c r="AB14" s="28" t="n"/>
      <c r="AC14" s="30" t="n">
        <v>-1</v>
      </c>
      <c r="AD14" s="24" t="inlineStr">
        <is>
          <t>2026-10-11T10:01:51.156896Z</t>
        </is>
      </c>
      <c r="AE14" s="31" t="inlineStr">
        <is>
          <t>Projected total 53.3 pts (Weather adj: +0.0 pts). Total line 51.5 -&gt; P(Over)=0.505, P(Under)=0.495, P(Push)=0.000.</t>
        </is>
      </c>
      <c r="AF14" s="31" t="inlineStr">
        <is>
          <t>College football model; multi-market (moneyline, spread, total).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paper_call</t>
        </is>
      </c>
      <c r="AL14" s="26" t="n">
        <v>4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PAPER_CALL_LOW_EDGE</t>
        </is>
      </c>
      <c r="AP14" s="24" t="inlineStr">
        <is>
          <t>Hawai'i Rainbow Warriors</t>
        </is>
      </c>
      <c r="AQ14" s="24" t="inlineStr">
        <is>
          <t>Hawai'i Rainbow Warriors</t>
        </is>
      </c>
      <c r="AR14" s="24" t="inlineStr">
        <is>
          <t>Hawai'i Rainbow Warriors</t>
        </is>
      </c>
      <c r="AS14" s="24" t="inlineStr">
        <is>
          <t>Arizona State Sun Devils</t>
        </is>
      </c>
      <c r="AT14" s="24" t="inlineStr">
        <is>
          <t>Arizona State Sun Devils</t>
        </is>
      </c>
      <c r="AU14" s="24" t="inlineStr">
        <is>
          <t>Arizona State Sun Devils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94ee6b24581446a6</t>
        </is>
      </c>
      <c r="BB14" s="24" t="inlineStr">
        <is>
          <t>cfb_key_number_engine</t>
        </is>
      </c>
      <c r="BC14" s="24" t="inlineStr">
        <is>
          <t>cfb-structural-v2</t>
        </is>
      </c>
      <c r="BD14" s="24" t="inlineStr">
        <is>
          <t>94ee6b24581446a6</t>
        </is>
      </c>
      <c r="BE14" s="24" t="inlineStr">
        <is>
          <t>cfb-v1</t>
        </is>
      </c>
      <c r="BF14" s="24" t="inlineStr">
        <is>
          <t>1</t>
        </is>
      </c>
      <c r="BG14" s="24" t="inlineStr">
        <is>
          <t>94ee6b24581446a6</t>
        </is>
      </c>
      <c r="BH14" s="24" t="inlineStr">
        <is>
          <t>2026-10-11T01:05:50.635572+00:00</t>
        </is>
      </c>
      <c r="BI14" s="24" t="inlineStr">
        <is>
          <t>["same_event","same_team_same_day","same_league_same_day"]</t>
        </is>
      </c>
      <c r="BJ14" s="25" t="n">
        <v>51.5</v>
      </c>
      <c r="BK14" s="26" t="n">
        <v>-108</v>
      </c>
      <c r="BL14" s="27" t="n">
        <v>1.925926</v>
      </c>
      <c r="BM14" s="28" t="n">
        <v>0.519231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n"/>
      <c r="DK14" s="24" t="n"/>
      <c r="DL14" s="24" t="n"/>
      <c r="DM14" s="24" t="n"/>
      <c r="DN14" s="24" t="n"/>
      <c r="DO14" s="24" t="n"/>
      <c r="DP14" s="24" t="n"/>
      <c r="DQ14" s="24" t="inlineStr">
        <is>
          <t>{"artifact_hash": "94ee6b24581446a6", "event_id": "401856808", "event_start_utc": "2026-10-11T02:30Z", "features": {"altitude_fatigue_penalty": 0.0, "away_team": "Hawai'i Rainbow Warriors", "efficiency_gap": -0.643, "elo_away": 1437.5, "elo_home": 1394.4, "elo_home_win_prob": 0.5315, "event_id": "401856808", "game_start_utc": "2026-10-11T02:30Z", "home_field_advantage_points": 2.8, "home_team": "Arizona State Sun Devils", "is_dome": false, "is_fbs_vs_fcs": false, "is_neutral_site": false, "projected_away_points": 26.2, "projected_home_points": 27.1, "projected_margin_home": 0.9, "projected_possessions": 12.4, "projected_total": 53.3, "stadium_elevation_ft": 1170, "travel_distance_miles": 2913.0, "uncertainty": 0.18, "weather_total_adjustment": 0.0}, "historical_source_observation_times_verified": false, "inference_inputs": {"engine_source_sha256": "449ba2f0e86fa9c445730076a0e0bf100fb4914620be53c75c6f3bfe24298f3f", "mu_away": 26.2, "mu_home": 27.1,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10508672925364446163584624994813294312}, "uinteger": 0}, "spread_home_line": -21.0, "total_line": 51.5}, "market_type": "total", "model_version": "cfb-structural-v2", "observed_at_utc": "2026-10-11T01:05:50.635572+00:00", "probabilities": {"over": 0.504533, "push": 0.0, "under": 0.495467}, "replay_scope": "Full precision score means, exact engine parameters and original RNG state; upstream feature construction not certified.", "schema": "cfb-joint-replay-v1", "snapshot_hash": "26cd25a5b76b022716776e15bec13d0d1b9284c7f125e8ad92364c462bf61729", "sport": "NCAAF"}</t>
        </is>
      </c>
    </row>
    <row r="15" ht="36" customHeight="1">
      <c r="A15" s="24" t="inlineStr">
        <is>
          <t>39147f9ffc1b4b87</t>
        </is>
      </c>
      <c r="B15" s="24" t="inlineStr">
        <is>
          <t>2026-10-13T22:27:59.912441Z</t>
        </is>
      </c>
      <c r="C15" s="24" t="inlineStr">
        <is>
          <t>2026-10-13T23:00Z</t>
        </is>
      </c>
      <c r="D15" s="24" t="inlineStr">
        <is>
          <t>401871067</t>
        </is>
      </c>
      <c r="E15" s="24" t="inlineStr">
        <is>
          <t>NCAAF</t>
        </is>
      </c>
      <c r="F15" s="24" t="inlineStr">
        <is>
          <t>Delaware Blue Hens</t>
        </is>
      </c>
      <c r="G15" s="24" t="inlineStr">
        <is>
          <t>Middle Tennessee Blue Raiders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espn_consensus</t>
        </is>
      </c>
      <c r="L15" s="26" t="n">
        <v>-102</v>
      </c>
      <c r="M15" s="27" t="n">
        <v>1.980392</v>
      </c>
      <c r="N15" s="28" t="n">
        <v>0.50495</v>
      </c>
      <c r="O15" s="28" t="n">
        <v>0.557416</v>
      </c>
      <c r="P15" s="28" t="n">
        <v>0.12</v>
      </c>
      <c r="Q15" s="28" t="n">
        <v>0.052466</v>
      </c>
      <c r="R15" s="26" t="n">
        <v>4</v>
      </c>
      <c r="S15" s="29" t="n">
        <v>1</v>
      </c>
      <c r="T15" s="24" t="inlineStr">
        <is>
          <t>cfb-structural-v2</t>
        </is>
      </c>
      <c r="U15" s="24" t="inlineStr">
        <is>
          <t>settled</t>
        </is>
      </c>
      <c r="V15" s="24" t="inlineStr">
        <is>
          <t>win</t>
        </is>
      </c>
      <c r="W15" s="26" t="n">
        <v>30</v>
      </c>
      <c r="X15" s="26" t="n">
        <v>33</v>
      </c>
      <c r="Y15" s="25" t="n"/>
      <c r="Z15" s="26" t="n"/>
      <c r="AA15" s="28" t="n"/>
      <c r="AB15" s="28" t="n"/>
      <c r="AC15" s="30" t="n">
        <v>0.9804</v>
      </c>
      <c r="AD15" s="24" t="inlineStr">
        <is>
          <t>2026-10-14T04:32:02.794007Z</t>
        </is>
      </c>
      <c r="AE15" s="31" t="inlineStr">
        <is>
          <t>CFB Joint Model (negative_binomial): proj score Delaware Blue Hens 24.5 @ Middle Tennessee Blue Raiders 27.1 (Margin +2.6). Possessions: 12.4, HFA: +2.8 pts.</t>
        </is>
      </c>
      <c r="AF15" s="31" t="inlineStr">
        <is>
          <t>College football model; multi-market (moneyline, spread, total).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4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Delaware Blue Hens</t>
        </is>
      </c>
      <c r="AQ15" s="24" t="inlineStr">
        <is>
          <t>Delaware Blue Hens</t>
        </is>
      </c>
      <c r="AR15" s="24" t="inlineStr">
        <is>
          <t>Delaware Blue Hens</t>
        </is>
      </c>
      <c r="AS15" s="24" t="inlineStr">
        <is>
          <t>Middle Tennessee Blue Raiders</t>
        </is>
      </c>
      <c r="AT15" s="24" t="inlineStr">
        <is>
          <t>Middle Tennessee Blue Raiders</t>
        </is>
      </c>
      <c r="AU15" s="24" t="inlineStr">
        <is>
          <t>Middle Tennessee Blue Raiders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94ee6b24581446a6</t>
        </is>
      </c>
      <c r="BB15" s="24" t="inlineStr">
        <is>
          <t>cfb_key_number_engine</t>
        </is>
      </c>
      <c r="BC15" s="24" t="inlineStr">
        <is>
          <t>cfb-structural-v2</t>
        </is>
      </c>
      <c r="BD15" s="24" t="inlineStr">
        <is>
          <t>94ee6b24581446a6</t>
        </is>
      </c>
      <c r="BE15" s="24" t="inlineStr">
        <is>
          <t>cfb-v1</t>
        </is>
      </c>
      <c r="BF15" s="24" t="inlineStr">
        <is>
          <t>1</t>
        </is>
      </c>
      <c r="BG15" s="24" t="inlineStr">
        <is>
          <t>94ee6b24581446a6</t>
        </is>
      </c>
      <c r="BH15" s="24" t="inlineStr">
        <is>
          <t>2026-10-13T22:27:59.912441+00:00</t>
        </is>
      </c>
      <c r="BI15" s="24" t="inlineStr">
        <is>
          <t>["same_event","same_team_same_day","same_league_same_day"]</t>
        </is>
      </c>
      <c r="BJ15" s="25" t="n"/>
      <c r="BK15" s="26" t="n">
        <v>-102</v>
      </c>
      <c r="BL15" s="27" t="n">
        <v>1.980392</v>
      </c>
      <c r="BM15" s="28" t="n">
        <v>0.50495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n"/>
      <c r="DK15" s="24" t="n"/>
      <c r="DL15" s="24" t="n"/>
      <c r="DM15" s="24" t="n"/>
      <c r="DN15" s="24" t="n"/>
      <c r="DO15" s="24" t="n"/>
      <c r="DP15" s="24" t="n"/>
      <c r="DQ15" s="24" t="inlineStr">
        <is>
          <t>{"artifact_hash": "94ee6b24581446a6", "event_id": "401871067", "event_start_utc": "2026-10-13T23:00Z", "features": {"altitude_fatigue_penalty": 0.0, "away_team": "Delaware Blue Hens", "efficiency_gap": -0.063, "elo_away": 1309.4, "elo_home": 1306.2, "elo_home_win_prob": 0.5881, "event_id": "401871067", "game_start_utc": "2026-10-13T23:00Z", "home_field_advantage_points": 2.8, "home_team": "Middle Tennessee Blue Raiders", "is_dome": false, "is_fbs_vs_fcs": false, "is_neutral_site": false, "projected_away_points": 24.5, "projected_home_points": 27.1, "projected_margin_home": 2.6, "projected_possessions": 12.4, "projected_total": 51.6, "stadium_elevation_ft": 620, "travel_distance_miles": 636.0, "uncertainty": 0.12, "weather_total_adjustment": 0.0}, "historical_source_observation_times_verified": false, "inference_inputs": {"engine_source_sha256": "449ba2f0e86fa9c445730076a0e0bf100fb4914620be53c75c6f3bfe24298f3f", "mu_away": 24.5, "mu_home": 27.1,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1.5, "total_line": 48.5}, "market_type": "moneyline", "model_version": "cfb-structural-v2", "observed_at_utc": "2026-10-13T22:27:59.912441+00:00", "probabilities": {"away": 0.442584, "home": 0.557416}, "replay_scope": "Full precision score means, exact engine parameters and original RNG state; upstream feature construction not certified.", "schema": "cfb-joint-replay-v1", "snapshot_hash": "049baec68183a12f0a79dd64460c6ed306219e10026312674ffb919638601a6a", "sport": "NCAAF"}</t>
        </is>
      </c>
    </row>
    <row r="16" ht="36" customHeight="1">
      <c r="A16" s="24" t="inlineStr">
        <is>
          <t>d89028fe690842b7</t>
        </is>
      </c>
      <c r="B16" s="24" t="inlineStr">
        <is>
          <t>2026-10-13T22:27:59.912441Z</t>
        </is>
      </c>
      <c r="C16" s="24" t="inlineStr">
        <is>
          <t>2026-10-13T23:00Z</t>
        </is>
      </c>
      <c r="D16" s="24" t="inlineStr">
        <is>
          <t>401871067</t>
        </is>
      </c>
      <c r="E16" s="24" t="inlineStr">
        <is>
          <t>NCAAF</t>
        </is>
      </c>
      <c r="F16" s="24" t="inlineStr">
        <is>
          <t>Delaware Blue Hens</t>
        </is>
      </c>
      <c r="G16" s="24" t="inlineStr">
        <is>
          <t>Middle Tennessee Blue Raiders</t>
        </is>
      </c>
      <c r="H16" s="24" t="inlineStr">
        <is>
          <t>spread</t>
        </is>
      </c>
      <c r="I16" s="24" t="inlineStr">
        <is>
          <t>home</t>
        </is>
      </c>
      <c r="J16" s="25" t="n">
        <v>1.5</v>
      </c>
      <c r="K16" s="24" t="inlineStr">
        <is>
          <t>espn_consensus</t>
        </is>
      </c>
      <c r="L16" s="26" t="n">
        <v>-115</v>
      </c>
      <c r="M16" s="27" t="n">
        <v>1.869565</v>
      </c>
      <c r="N16" s="28" t="n">
        <v>0.534884</v>
      </c>
      <c r="O16" s="28" t="n">
        <v>0.593867</v>
      </c>
      <c r="P16" s="28" t="n">
        <v>0.12</v>
      </c>
      <c r="Q16" s="28" t="n">
        <v>0.058983</v>
      </c>
      <c r="R16" s="26" t="n">
        <v>7</v>
      </c>
      <c r="S16" s="29" t="n">
        <v>1</v>
      </c>
      <c r="T16" s="24" t="inlineStr">
        <is>
          <t>cfb-structural-v2</t>
        </is>
      </c>
      <c r="U16" s="24" t="inlineStr">
        <is>
          <t>settled</t>
        </is>
      </c>
      <c r="V16" s="24" t="inlineStr">
        <is>
          <t>win</t>
        </is>
      </c>
      <c r="W16" s="26" t="n">
        <v>30</v>
      </c>
      <c r="X16" s="26" t="n">
        <v>33</v>
      </c>
      <c r="Y16" s="25" t="n"/>
      <c r="Z16" s="26" t="n"/>
      <c r="AA16" s="28" t="n"/>
      <c r="AB16" s="28" t="n"/>
      <c r="AC16" s="30" t="n">
        <v>0.8696</v>
      </c>
      <c r="AD16" s="24" t="inlineStr">
        <is>
          <t>2026-10-14T04:32:04.728962Z</t>
        </is>
      </c>
      <c r="AE16" s="31" t="inlineStr">
        <is>
          <t>Projected home margin +2.6 pts. Spread: Home +1.5 / Away -1.5 -&gt; P(Away cover)=0.406, P(Home cover)=0.594, P(Push)=0.000.</t>
        </is>
      </c>
      <c r="AF16" s="31" t="inlineStr">
        <is>
          <t>College football model; multi-market (moneyline, spread, total).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4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Delaware Blue Hens</t>
        </is>
      </c>
      <c r="AQ16" s="24" t="inlineStr">
        <is>
          <t>Delaware Blue Hens</t>
        </is>
      </c>
      <c r="AR16" s="24" t="inlineStr">
        <is>
          <t>Delaware Blue Hens</t>
        </is>
      </c>
      <c r="AS16" s="24" t="inlineStr">
        <is>
          <t>Middle Tennessee Blue Raiders</t>
        </is>
      </c>
      <c r="AT16" s="24" t="inlineStr">
        <is>
          <t>Middle Tennessee Blue Raiders</t>
        </is>
      </c>
      <c r="AU16" s="24" t="inlineStr">
        <is>
          <t>Middle Tennessee Blue Raiders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94ee6b24581446a6</t>
        </is>
      </c>
      <c r="BB16" s="24" t="inlineStr">
        <is>
          <t>cfb_key_number_engine</t>
        </is>
      </c>
      <c r="BC16" s="24" t="inlineStr">
        <is>
          <t>cfb-structural-v2</t>
        </is>
      </c>
      <c r="BD16" s="24" t="inlineStr">
        <is>
          <t>94ee6b24581446a6</t>
        </is>
      </c>
      <c r="BE16" s="24" t="inlineStr">
        <is>
          <t>cfb-v1</t>
        </is>
      </c>
      <c r="BF16" s="24" t="inlineStr">
        <is>
          <t>1</t>
        </is>
      </c>
      <c r="BG16" s="24" t="inlineStr">
        <is>
          <t>94ee6b24581446a6</t>
        </is>
      </c>
      <c r="BH16" s="24" t="inlineStr">
        <is>
          <t>2026-10-13T22:27:59.912441+00:00</t>
        </is>
      </c>
      <c r="BI16" s="24" t="inlineStr">
        <is>
          <t>["same_event","same_team_same_day","same_league_same_day"]</t>
        </is>
      </c>
      <c r="BJ16" s="25" t="n">
        <v>1.5</v>
      </c>
      <c r="BK16" s="26" t="n">
        <v>-115</v>
      </c>
      <c r="BL16" s="27" t="n">
        <v>1.869565</v>
      </c>
      <c r="BM16" s="28" t="n">
        <v>0.534884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n"/>
      <c r="DK16" s="24" t="n"/>
      <c r="DL16" s="24" t="n"/>
      <c r="DM16" s="24" t="n"/>
      <c r="DN16" s="24" t="n"/>
      <c r="DO16" s="24" t="n"/>
      <c r="DP16" s="24" t="n"/>
      <c r="DQ16" s="24" t="inlineStr">
        <is>
          <t>{"artifact_hash": "94ee6b24581446a6", "event_id": "401871067", "event_start_utc": "2026-10-13T23:00Z", "features": {"altitude_fatigue_penalty": 0.0, "away_team": "Delaware Blue Hens", "efficiency_gap": -0.063, "elo_away": 1309.4, "elo_home": 1306.2, "elo_home_win_prob": 0.5881, "event_id": "401871067", "game_start_utc": "2026-10-13T23:00Z", "home_field_advantage_points": 2.8, "home_team": "Middle Tennessee Blue Raiders", "is_dome": false, "is_fbs_vs_fcs": false, "is_neutral_site": false, "projected_away_points": 24.5, "projected_home_points": 27.1, "projected_margin_home": 2.6, "projected_possessions": 12.4, "projected_total": 51.6, "stadium_elevation_ft": 620, "travel_distance_miles": 636.0, "uncertainty": 0.12, "weather_total_adjustment": 0.0}, "historical_source_observation_times_verified": false, "inference_inputs": {"engine_source_sha256": "449ba2f0e86fa9c445730076a0e0bf100fb4914620be53c75c6f3bfe24298f3f", "mu_away": 24.5, "mu_home": 27.1,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1.5, "total_line": 48.5}, "market_type": "spread", "model_version": "cfb-structural-v2", "observed_at_utc": "2026-10-13T22:27:59.912441+00:00", "probabilities": {"away": 0.406133, "home": 0.593867, "push": 0.0}, "replay_scope": "Full precision score means, exact engine parameters and original RNG state; upstream feature construction not certified.", "schema": "cfb-joint-replay-v1", "snapshot_hash": "1c27cf06ea0ce0c92ef6fcaa23122364ef074394142c4d12bd485aa6a6b7d4ec", "sport": "NCAAF"}</t>
        </is>
      </c>
    </row>
    <row r="17" ht="36" customHeight="1">
      <c r="A17" s="24" t="inlineStr">
        <is>
          <t>d7c9facd6f064a4a</t>
        </is>
      </c>
      <c r="B17" s="24" t="inlineStr">
        <is>
          <t>2026-10-13T22:27:59.912441Z</t>
        </is>
      </c>
      <c r="C17" s="24" t="inlineStr">
        <is>
          <t>2026-10-13T23:00Z</t>
        </is>
      </c>
      <c r="D17" s="24" t="inlineStr">
        <is>
          <t>401871067</t>
        </is>
      </c>
      <c r="E17" s="24" t="inlineStr">
        <is>
          <t>NCAAF</t>
        </is>
      </c>
      <c r="F17" s="24" t="inlineStr">
        <is>
          <t>Delaware Blue Hens</t>
        </is>
      </c>
      <c r="G17" s="24" t="inlineStr">
        <is>
          <t>Middle Tennessee Blue Raiders</t>
        </is>
      </c>
      <c r="H17" s="24" t="inlineStr">
        <is>
          <t>total</t>
        </is>
      </c>
      <c r="I17" s="24" t="inlineStr">
        <is>
          <t>over</t>
        </is>
      </c>
      <c r="J17" s="25" t="n">
        <v>48.5</v>
      </c>
      <c r="K17" s="24" t="inlineStr">
        <is>
          <t>espn_consensus</t>
        </is>
      </c>
      <c r="L17" s="26" t="n">
        <v>-108</v>
      </c>
      <c r="M17" s="27" t="n">
        <v>1.925926</v>
      </c>
      <c r="N17" s="28" t="n">
        <v>0.519231</v>
      </c>
      <c r="O17" s="28" t="n">
        <v>0.521133</v>
      </c>
      <c r="P17" s="28" t="n">
        <v>0.12</v>
      </c>
      <c r="Q17" s="28" t="n">
        <v>0.001902</v>
      </c>
      <c r="R17" s="26" t="n">
        <v>0</v>
      </c>
      <c r="S17" s="29" t="n">
        <v>1</v>
      </c>
      <c r="T17" s="24" t="inlineStr">
        <is>
          <t>cfb-structural-v2</t>
        </is>
      </c>
      <c r="U17" s="24" t="inlineStr">
        <is>
          <t>settled</t>
        </is>
      </c>
      <c r="V17" s="24" t="inlineStr">
        <is>
          <t>win</t>
        </is>
      </c>
      <c r="W17" s="26" t="n">
        <v>30</v>
      </c>
      <c r="X17" s="26" t="n">
        <v>33</v>
      </c>
      <c r="Y17" s="25" t="n"/>
      <c r="Z17" s="26" t="n"/>
      <c r="AA17" s="28" t="n"/>
      <c r="AB17" s="28" t="n"/>
      <c r="AC17" s="30" t="n">
        <v>0.9258999999999999</v>
      </c>
      <c r="AD17" s="24" t="inlineStr">
        <is>
          <t>2026-10-14T04:32:07.320886Z</t>
        </is>
      </c>
      <c r="AE17" s="31" t="inlineStr">
        <is>
          <t>Projected total 51.6 pts (Weather adj: +0.0 pts). Total line 48.5 -&gt; P(Over)=0.521, P(Under)=0.479, P(Push)=0.000.</t>
        </is>
      </c>
      <c r="AF17" s="31" t="inlineStr">
        <is>
          <t>College football model; multi-market (moneyline, spread, total).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paper_call</t>
        </is>
      </c>
      <c r="AL17" s="26" t="n">
        <v>4</v>
      </c>
      <c r="AM17" s="24" t="inlineStr">
        <is>
          <t>RESEARCH_OBSERVATION</t>
        </is>
      </c>
      <c r="AN17" s="24" t="inlineStr">
        <is>
          <t>CALL</t>
        </is>
      </c>
      <c r="AO17" s="24" t="inlineStr">
        <is>
          <t>PAPER_CALL_LOW_EDGE</t>
        </is>
      </c>
      <c r="AP17" s="24" t="inlineStr">
        <is>
          <t>Delaware Blue Hens</t>
        </is>
      </c>
      <c r="AQ17" s="24" t="inlineStr">
        <is>
          <t>Delaware Blue Hens</t>
        </is>
      </c>
      <c r="AR17" s="24" t="inlineStr">
        <is>
          <t>Delaware Blue Hens</t>
        </is>
      </c>
      <c r="AS17" s="24" t="inlineStr">
        <is>
          <t>Middle Tennessee Blue Raiders</t>
        </is>
      </c>
      <c r="AT17" s="24" t="inlineStr">
        <is>
          <t>Middle Tennessee Blue Raiders</t>
        </is>
      </c>
      <c r="AU17" s="24" t="inlineStr">
        <is>
          <t>Middle Tennessee Blue Raiders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94ee6b24581446a6</t>
        </is>
      </c>
      <c r="BB17" s="24" t="inlineStr">
        <is>
          <t>cfb_key_number_engine</t>
        </is>
      </c>
      <c r="BC17" s="24" t="inlineStr">
        <is>
          <t>cfb-structural-v2</t>
        </is>
      </c>
      <c r="BD17" s="24" t="inlineStr">
        <is>
          <t>94ee6b24581446a6</t>
        </is>
      </c>
      <c r="BE17" s="24" t="inlineStr">
        <is>
          <t>cfb-v1</t>
        </is>
      </c>
      <c r="BF17" s="24" t="inlineStr">
        <is>
          <t>1</t>
        </is>
      </c>
      <c r="BG17" s="24" t="inlineStr">
        <is>
          <t>94ee6b24581446a6</t>
        </is>
      </c>
      <c r="BH17" s="24" t="inlineStr">
        <is>
          <t>2026-10-13T22:27:59.912441+00:00</t>
        </is>
      </c>
      <c r="BI17" s="24" t="inlineStr">
        <is>
          <t>["same_event","same_team_same_day","same_league_same_day"]</t>
        </is>
      </c>
      <c r="BJ17" s="25" t="n">
        <v>48.5</v>
      </c>
      <c r="BK17" s="26" t="n">
        <v>-108</v>
      </c>
      <c r="BL17" s="27" t="n">
        <v>1.925926</v>
      </c>
      <c r="BM17" s="28" t="n">
        <v>0.519231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n"/>
      <c r="DK17" s="24" t="n"/>
      <c r="DL17" s="24" t="n"/>
      <c r="DM17" s="24" t="n"/>
      <c r="DN17" s="24" t="n"/>
      <c r="DO17" s="24" t="n"/>
      <c r="DP17" s="24" t="n"/>
      <c r="DQ17" s="24" t="inlineStr">
        <is>
          <t>{"artifact_hash": "94ee6b24581446a6", "event_id": "401871067", "event_start_utc": "2026-10-13T23:00Z", "features": {"altitude_fatigue_penalty": 0.0, "away_team": "Delaware Blue Hens", "efficiency_gap": -0.063, "elo_away": 1309.4, "elo_home": 1306.2, "elo_home_win_prob": 0.5881, "event_id": "401871067", "game_start_utc": "2026-10-13T23:00Z", "home_field_advantage_points": 2.8, "home_team": "Middle Tennessee Blue Raiders", "is_dome": false, "is_fbs_vs_fcs": false, "is_neutral_site": false, "projected_away_points": 24.5, "projected_home_points": 27.1, "projected_margin_home": 2.6, "projected_possessions": 12.4, "projected_total": 51.6, "stadium_elevation_ft": 620, "travel_distance_miles": 636.0, "uncertainty": 0.12, "weather_total_adjustment": 0.0}, "historical_source_observation_times_verified": false, "inference_inputs": {"engine_source_sha256": "449ba2f0e86fa9c445730076a0e0bf100fb4914620be53c75c6f3bfe24298f3f", "mu_away": 24.5, "mu_home": 27.1, "parameters": {"distribution_type": "negative_binomial", "margin_sd": 17.98, "n_simulations": 15000, "nb_dispersion": 12.0, "score_correlation": 0.18, "total_sd": 14.8}, "rng_state_before": {"bit_generator": "PCG64", "has_uint32": 0, "state": {"inc": 332724090758049132448979897138935081983, "state": 274674114334540486603088602300644985544}, "uinteger": 0}, "spread_home_line": 1.5, "total_line": 48.5}, "market_type": "total", "model_version": "cfb-structural-v2", "observed_at_utc": "2026-10-13T22:27:59.912441+00:00", "probabilities": {"over": 0.521133, "push": 0.0, "under": 0.478867}, "replay_scope": "Full precision score means, exact engine parameters and original RNG state; upstream feature construction not certified.", "schema": "cfb-joint-replay-v1", "snapshot_hash": "5d2fed9c407a99962f1c5ee18f90e5537fd6fb34c6f9a852bd90298bb7e18c1d", "sport": "NCAAF"}</t>
        </is>
      </c>
    </row>
    <row r="18" ht="36" customHeight="1">
      <c r="A18" s="24" t="inlineStr">
        <is>
          <t>95d63beb27d34fe5</t>
        </is>
      </c>
      <c r="B18" s="24" t="inlineStr">
        <is>
          <t>2026-10-13T22:27:59.912441Z</t>
        </is>
      </c>
      <c r="C18" s="24" t="inlineStr">
        <is>
          <t>2026-10-14T00:00Z</t>
        </is>
      </c>
      <c r="D18" s="24" t="inlineStr">
        <is>
          <t>401871053</t>
        </is>
      </c>
      <c r="E18" s="24" t="inlineStr">
        <is>
          <t>NCAAF</t>
        </is>
      </c>
      <c r="F18" s="24" t="inlineStr">
        <is>
          <t>Florida International Panthers</t>
        </is>
      </c>
      <c r="G18" s="24" t="inlineStr">
        <is>
          <t>Jacksonville State Gamecocks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espn_consensus</t>
        </is>
      </c>
      <c r="L18" s="26" t="n">
        <v>-155</v>
      </c>
      <c r="M18" s="27" t="n">
        <v>1.645161</v>
      </c>
      <c r="N18" s="28" t="n">
        <v>0.607843</v>
      </c>
      <c r="O18" s="28" t="n">
        <v>0.754645</v>
      </c>
      <c r="P18" s="28" t="n">
        <v>0.18</v>
      </c>
      <c r="Q18" s="28" t="n">
        <v>0.146802</v>
      </c>
      <c r="R18" s="26" t="n">
        <v>15</v>
      </c>
      <c r="S18" s="29" t="n">
        <v>1</v>
      </c>
      <c r="T18" s="24" t="inlineStr">
        <is>
          <t>cfb-structural-v2</t>
        </is>
      </c>
      <c r="U18" s="24" t="inlineStr">
        <is>
          <t>settled</t>
        </is>
      </c>
      <c r="V18" s="24" t="inlineStr">
        <is>
          <t>win</t>
        </is>
      </c>
      <c r="W18" s="26" t="n">
        <v>24</v>
      </c>
      <c r="X18" s="26" t="n">
        <v>27</v>
      </c>
      <c r="Y18" s="25" t="n"/>
      <c r="Z18" s="26" t="n"/>
      <c r="AA18" s="28" t="n"/>
      <c r="AB18" s="28" t="n"/>
      <c r="AC18" s="30" t="n">
        <v>0.6452</v>
      </c>
      <c r="AD18" s="24" t="inlineStr">
        <is>
          <t>2026-10-14T04:32:11.795783Z</t>
        </is>
      </c>
      <c r="AE18" s="31" t="inlineStr">
        <is>
          <t>CFB Joint Model (negative_binomial): proj score Florida International Panthers 20.0 @ Jacksonville State Gamecocks 32.7 (Margin +12.7). Possessions: 12.4, HFA: +2.8 pts.</t>
        </is>
      </c>
      <c r="AF18" s="31" t="inlineStr">
        <is>
          <t>College football model; multi-market (moneyline, spread, total).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4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Florida International Panthers</t>
        </is>
      </c>
      <c r="AQ18" s="24" t="inlineStr">
        <is>
          <t>Florida International Panthers</t>
        </is>
      </c>
      <c r="AR18" s="24" t="inlineStr">
        <is>
          <t>Florida International Panthers</t>
        </is>
      </c>
      <c r="AS18" s="24" t="inlineStr">
        <is>
          <t>Jacksonville State Gamecocks</t>
        </is>
      </c>
      <c r="AT18" s="24" t="inlineStr">
        <is>
          <t>Jacksonville State Gamecocks</t>
        </is>
      </c>
      <c r="AU18" s="24" t="inlineStr">
        <is>
          <t>Jacksonville State Gamecocks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94ee6b24581446a6</t>
        </is>
      </c>
      <c r="BB18" s="24" t="inlineStr">
        <is>
          <t>cfb_key_number_engine</t>
        </is>
      </c>
      <c r="BC18" s="24" t="inlineStr">
        <is>
          <t>cfb-structural-v2</t>
        </is>
      </c>
      <c r="BD18" s="24" t="inlineStr">
        <is>
          <t>94ee6b24581446a6</t>
        </is>
      </c>
      <c r="BE18" s="24" t="inlineStr">
        <is>
          <t>cfb-v1</t>
        </is>
      </c>
      <c r="BF18" s="24" t="inlineStr">
        <is>
          <t>1</t>
        </is>
      </c>
      <c r="BG18" s="24" t="inlineStr">
        <is>
          <t>94ee6b24581446a6</t>
        </is>
      </c>
      <c r="BH18" s="24" t="inlineStr">
        <is>
          <t>2026-10-13T22:27:59.912441+00:00</t>
        </is>
      </c>
      <c r="BI18" s="24" t="inlineStr">
        <is>
          <t>["same_event","same_team_same_day","same_league_same_day"]</t>
        </is>
      </c>
      <c r="BJ18" s="25" t="n"/>
      <c r="BK18" s="26" t="n">
        <v>-155</v>
      </c>
      <c r="BL18" s="27" t="n">
        <v>1.645161</v>
      </c>
      <c r="BM18" s="28" t="n">
        <v>0.607843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n"/>
      <c r="DK18" s="24" t="n"/>
      <c r="DL18" s="24" t="n"/>
      <c r="DM18" s="24" t="n"/>
      <c r="DN18" s="24" t="n"/>
      <c r="DO18" s="24" t="n"/>
      <c r="DP18" s="24" t="n"/>
      <c r="DQ18" s="24" t="inlineStr">
        <is>
          <t>{"artifact_hash": "94ee6b24581446a6", "event_id": "401871053", "event_start_utc": "2026-10-14T00:00Z", "features": {"altitude_fatigue_penalty": 0.0, "away_team": "Florida International Panthers", "efficiency_gap": 0.171, "elo_away": 1337.5, "elo_home": 1583.9, "elo_home_win_prob": 0.8572, "event_id": "401871053", "game_start_utc": "2026-10-14T00:00Z", "home_field_advantage_points": 2.8, "home_team": "Jacksonville State Gamecocks", "is_dome": false, "is_fbs_vs_fcs": false, "is_neutral_site": false, "projected_away_points": 20.0, "projected_home_points": 32.7, "projected_margin_home": 12.7,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284035300439941766670206482826598012600}, "uinteger": 0}, "spread_home_line": -3.0, "total_line": 43.5}, "market_type": "moneyline", "model_version": "cfb-structural-v2", "observed_at_utc": "2026-10-13T22:27:59.912441+00:00", "probabilities": {"away": 0.245355, "home": 0.754645}, "replay_scope": "Full precision score means, exact engine parameters and original RNG state; upstream feature construction not certified.", "schema": "cfb-joint-replay-v1", "snapshot_hash": "13193cda8b5355cdfa3f2c303a3da2e763eb8b77a1ce8c330695e3f07803c38f", "sport": "NCAAF"}</t>
        </is>
      </c>
    </row>
    <row r="19" ht="36" customHeight="1">
      <c r="A19" s="24" t="inlineStr">
        <is>
          <t>8db27bda392f42c9</t>
        </is>
      </c>
      <c r="B19" s="24" t="inlineStr">
        <is>
          <t>2026-10-13T22:27:59.912441Z</t>
        </is>
      </c>
      <c r="C19" s="24" t="inlineStr">
        <is>
          <t>2026-10-14T00:00Z</t>
        </is>
      </c>
      <c r="D19" s="24" t="inlineStr">
        <is>
          <t>401871053</t>
        </is>
      </c>
      <c r="E19" s="24" t="inlineStr">
        <is>
          <t>NCAAF</t>
        </is>
      </c>
      <c r="F19" s="24" t="inlineStr">
        <is>
          <t>Florida International Panthers</t>
        </is>
      </c>
      <c r="G19" s="24" t="inlineStr">
        <is>
          <t>Jacksonville State Gamecocks</t>
        </is>
      </c>
      <c r="H19" s="24" t="inlineStr">
        <is>
          <t>spread</t>
        </is>
      </c>
      <c r="I19" s="24" t="inlineStr">
        <is>
          <t>home</t>
        </is>
      </c>
      <c r="J19" s="25" t="n">
        <v>-3</v>
      </c>
      <c r="K19" s="24" t="inlineStr">
        <is>
          <t>espn_consensus</t>
        </is>
      </c>
      <c r="L19" s="26" t="n">
        <v>-112</v>
      </c>
      <c r="M19" s="27" t="n">
        <v>1.892857</v>
      </c>
      <c r="N19" s="28" t="n">
        <v>0.528302</v>
      </c>
      <c r="O19" s="28" t="n">
        <v>0.6919999999999999</v>
      </c>
      <c r="P19" s="28" t="n">
        <v>0.18</v>
      </c>
      <c r="Q19" s="28" t="n">
        <v>0.163698</v>
      </c>
      <c r="R19" s="26" t="n">
        <v>24</v>
      </c>
      <c r="S19" s="29" t="n">
        <v>1</v>
      </c>
      <c r="T19" s="24" t="inlineStr">
        <is>
          <t>cfb-structural-v2</t>
        </is>
      </c>
      <c r="U19" s="24" t="inlineStr">
        <is>
          <t>settled</t>
        </is>
      </c>
      <c r="V19" s="24" t="inlineStr">
        <is>
          <t>push</t>
        </is>
      </c>
      <c r="W19" s="26" t="n">
        <v>24</v>
      </c>
      <c r="X19" s="26" t="n">
        <v>27</v>
      </c>
      <c r="Y19" s="25" t="n"/>
      <c r="Z19" s="26" t="n"/>
      <c r="AA19" s="28" t="n"/>
      <c r="AB19" s="28" t="n"/>
      <c r="AC19" s="30" t="n">
        <v>0</v>
      </c>
      <c r="AD19" s="24" t="inlineStr">
        <is>
          <t>2026-10-14T04:32:13.904081Z</t>
        </is>
      </c>
      <c r="AE19" s="31" t="inlineStr">
        <is>
          <t>Projected home margin +12.7 pts. Spread: Home -3.0 / Away +3.0 -&gt; P(Away cover)=0.290, P(Home cover)=0.692, P(Push)=0.018.</t>
        </is>
      </c>
      <c r="AF19" s="31" t="inlineStr">
        <is>
          <t>College football model; multi-market (moneyline, spread, total).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4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Florida International Panthers</t>
        </is>
      </c>
      <c r="AQ19" s="24" t="inlineStr">
        <is>
          <t>Florida International Panthers</t>
        </is>
      </c>
      <c r="AR19" s="24" t="inlineStr">
        <is>
          <t>Florida International Panthers</t>
        </is>
      </c>
      <c r="AS19" s="24" t="inlineStr">
        <is>
          <t>Jacksonville State Gamecocks</t>
        </is>
      </c>
      <c r="AT19" s="24" t="inlineStr">
        <is>
          <t>Jacksonville State Gamecocks</t>
        </is>
      </c>
      <c r="AU19" s="24" t="inlineStr">
        <is>
          <t>Jacksonville State Gamecocks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94ee6b24581446a6</t>
        </is>
      </c>
      <c r="BB19" s="24" t="inlineStr">
        <is>
          <t>cfb_key_number_engine</t>
        </is>
      </c>
      <c r="BC19" s="24" t="inlineStr">
        <is>
          <t>cfb-structural-v2</t>
        </is>
      </c>
      <c r="BD19" s="24" t="inlineStr">
        <is>
          <t>94ee6b24581446a6</t>
        </is>
      </c>
      <c r="BE19" s="24" t="inlineStr">
        <is>
          <t>cfb-v1</t>
        </is>
      </c>
      <c r="BF19" s="24" t="inlineStr">
        <is>
          <t>1</t>
        </is>
      </c>
      <c r="BG19" s="24" t="inlineStr">
        <is>
          <t>94ee6b24581446a6</t>
        </is>
      </c>
      <c r="BH19" s="24" t="inlineStr">
        <is>
          <t>2026-10-13T22:27:59.912441+00:00</t>
        </is>
      </c>
      <c r="BI19" s="24" t="inlineStr">
        <is>
          <t>["same_event","same_team_same_day","same_league_same_day"]</t>
        </is>
      </c>
      <c r="BJ19" s="25" t="n">
        <v>-3</v>
      </c>
      <c r="BK19" s="26" t="n">
        <v>-112</v>
      </c>
      <c r="BL19" s="27" t="n">
        <v>1.892857</v>
      </c>
      <c r="BM19" s="28" t="n">
        <v>0.528302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n"/>
      <c r="DK19" s="24" t="n"/>
      <c r="DL19" s="24" t="n"/>
      <c r="DM19" s="24" t="n"/>
      <c r="DN19" s="24" t="n"/>
      <c r="DO19" s="24" t="n"/>
      <c r="DP19" s="24" t="n"/>
      <c r="DQ19" s="24" t="inlineStr">
        <is>
          <t>{"artifact_hash": "94ee6b24581446a6", "event_id": "401871053", "event_start_utc": "2026-10-14T00:00Z", "features": {"altitude_fatigue_penalty": 0.0, "away_team": "Florida International Panthers", "efficiency_gap": 0.171, "elo_away": 1337.5, "elo_home": 1583.9, "elo_home_win_prob": 0.8572, "event_id": "401871053", "game_start_utc": "2026-10-14T00:00Z", "home_field_advantage_points": 2.8, "home_team": "Jacksonville State Gamecocks", "is_dome": false, "is_fbs_vs_fcs": false, "is_neutral_site": false, "projected_away_points": 20.0, "projected_home_points": 32.7, "projected_margin_home": 12.7,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284035300439941766670206482826598012600}, "uinteger": 0}, "spread_home_line": -3.0, "total_line": 43.5}, "market_type": "spread", "model_version": "cfb-structural-v2", "observed_at_utc": "2026-10-13T22:27:59.912441+00:00", "probabilities": {"away": 0.2896, "home": 0.692, "push": 0.0184}, "replay_scope": "Full precision score means, exact engine parameters and original RNG state; upstream feature construction not certified.", "schema": "cfb-joint-replay-v1", "snapshot_hash": "958b84c74ce19ca143c59607e103825b2d6cf72c65d034f4333e1e13ae68419a", "sport": "NCAAF"}</t>
        </is>
      </c>
    </row>
    <row r="20" ht="36" customHeight="1">
      <c r="A20" s="24" t="inlineStr">
        <is>
          <t>bdb4510f7cf344e9</t>
        </is>
      </c>
      <c r="B20" s="24" t="inlineStr">
        <is>
          <t>2026-10-13T22:27:59.912441Z</t>
        </is>
      </c>
      <c r="C20" s="24" t="inlineStr">
        <is>
          <t>2026-10-14T00:00Z</t>
        </is>
      </c>
      <c r="D20" s="24" t="inlineStr">
        <is>
          <t>401871053</t>
        </is>
      </c>
      <c r="E20" s="24" t="inlineStr">
        <is>
          <t>NCAAF</t>
        </is>
      </c>
      <c r="F20" s="24" t="inlineStr">
        <is>
          <t>Florida International Panthers</t>
        </is>
      </c>
      <c r="G20" s="24" t="inlineStr">
        <is>
          <t>Jacksonville State Gamecocks</t>
        </is>
      </c>
      <c r="H20" s="24" t="inlineStr">
        <is>
          <t>total</t>
        </is>
      </c>
      <c r="I20" s="24" t="inlineStr">
        <is>
          <t>over</t>
        </is>
      </c>
      <c r="J20" s="25" t="n">
        <v>43.5</v>
      </c>
      <c r="K20" s="24" t="inlineStr">
        <is>
          <t>espn_consensus</t>
        </is>
      </c>
      <c r="L20" s="26" t="n">
        <v>-112</v>
      </c>
      <c r="M20" s="27" t="n">
        <v>1.892857</v>
      </c>
      <c r="N20" s="28" t="n">
        <v>0.528302</v>
      </c>
      <c r="O20" s="28" t="n">
        <v>0.6176</v>
      </c>
      <c r="P20" s="28" t="n">
        <v>0.18</v>
      </c>
      <c r="Q20" s="28" t="n">
        <v>0.089298</v>
      </c>
      <c r="R20" s="26" t="n">
        <v>0</v>
      </c>
      <c r="S20" s="29" t="n">
        <v>1</v>
      </c>
      <c r="T20" s="24" t="inlineStr">
        <is>
          <t>cfb-structural-v2</t>
        </is>
      </c>
      <c r="U20" s="24" t="inlineStr">
        <is>
          <t>settled</t>
        </is>
      </c>
      <c r="V20" s="24" t="inlineStr">
        <is>
          <t>win</t>
        </is>
      </c>
      <c r="W20" s="26" t="n">
        <v>24</v>
      </c>
      <c r="X20" s="26" t="n">
        <v>27</v>
      </c>
      <c r="Y20" s="25" t="n"/>
      <c r="Z20" s="26" t="n"/>
      <c r="AA20" s="28" t="n"/>
      <c r="AB20" s="28" t="n"/>
      <c r="AC20" s="30" t="n">
        <v>0.8929</v>
      </c>
      <c r="AD20" s="24" t="inlineStr">
        <is>
          <t>2026-10-14T04:32:16.712772Z</t>
        </is>
      </c>
      <c r="AE20" s="31" t="inlineStr">
        <is>
          <t>Projected total 52.7 pts (Weather adj: +0.0 pts). Total line 43.5 -&gt; P(Over)=0.618, P(Under)=0.382, P(Push)=0.000.</t>
        </is>
      </c>
      <c r="AF20" s="31" t="inlineStr">
        <is>
          <t>College football model; multi-market (moneyline, spread, total).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4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Florida International Panthers</t>
        </is>
      </c>
      <c r="AQ20" s="24" t="inlineStr">
        <is>
          <t>Florida International Panthers</t>
        </is>
      </c>
      <c r="AR20" s="24" t="inlineStr">
        <is>
          <t>Florida International Panthers</t>
        </is>
      </c>
      <c r="AS20" s="24" t="inlineStr">
        <is>
          <t>Jacksonville State Gamecocks</t>
        </is>
      </c>
      <c r="AT20" s="24" t="inlineStr">
        <is>
          <t>Jacksonville State Gamecocks</t>
        </is>
      </c>
      <c r="AU20" s="24" t="inlineStr">
        <is>
          <t>Jacksonville State Gamecocks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94ee6b24581446a6</t>
        </is>
      </c>
      <c r="BB20" s="24" t="inlineStr">
        <is>
          <t>cfb_key_number_engine</t>
        </is>
      </c>
      <c r="BC20" s="24" t="inlineStr">
        <is>
          <t>cfb-structural-v2</t>
        </is>
      </c>
      <c r="BD20" s="24" t="inlineStr">
        <is>
          <t>94ee6b24581446a6</t>
        </is>
      </c>
      <c r="BE20" s="24" t="inlineStr">
        <is>
          <t>cfb-v1</t>
        </is>
      </c>
      <c r="BF20" s="24" t="inlineStr">
        <is>
          <t>1</t>
        </is>
      </c>
      <c r="BG20" s="24" t="inlineStr">
        <is>
          <t>94ee6b24581446a6</t>
        </is>
      </c>
      <c r="BH20" s="24" t="inlineStr">
        <is>
          <t>2026-10-13T22:27:59.912441+00:00</t>
        </is>
      </c>
      <c r="BI20" s="24" t="inlineStr">
        <is>
          <t>["same_event","same_team_same_day","same_league_same_day"]</t>
        </is>
      </c>
      <c r="BJ20" s="25" t="n">
        <v>43.5</v>
      </c>
      <c r="BK20" s="26" t="n">
        <v>-112</v>
      </c>
      <c r="BL20" s="27" t="n">
        <v>1.892857</v>
      </c>
      <c r="BM20" s="28" t="n">
        <v>0.528302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n"/>
      <c r="DK20" s="24" t="n"/>
      <c r="DL20" s="24" t="n"/>
      <c r="DM20" s="24" t="n"/>
      <c r="DN20" s="24" t="n"/>
      <c r="DO20" s="24" t="n"/>
      <c r="DP20" s="24" t="n"/>
      <c r="DQ20" s="24" t="inlineStr">
        <is>
          <t>{"artifact_hash": "94ee6b24581446a6", "event_id": "401871053", "event_start_utc": "2026-10-14T00:00Z", "features": {"altitude_fatigue_penalty": 0.0, "away_team": "Florida International Panthers", "efficiency_gap": 0.171, "elo_away": 1337.5, "elo_home": 1583.9, "elo_home_win_prob": 0.8572, "event_id": "401871053", "game_start_utc": "2026-10-14T00:00Z", "home_field_advantage_points": 2.8, "home_team": "Jacksonville State Gamecocks", "is_dome": false, "is_fbs_vs_fcs": false, "is_neutral_site": false, "projected_away_points": 20.0, "projected_home_points": 32.7, "projected_margin_home": 12.7, "projected_possessions": 12.4, "projected_total": 52.7, "stadium_elevation_ft": 500.0, "travel_distance_miles": 0.0, "uncertainty": 0.18, "weather_total_adjustment": 0.0}, "historical_source_observation_times_verified": false, "inference_inputs": {"engine_source_sha256": "449ba2f0e86fa9c445730076a0e0bf100fb4914620be53c75c6f3bfe24298f3f", "mu_away": 20.0, "mu_home": 32.7, "parameters": {"distribution_type": "negative_binomial", "margin_sd": 19.84, "n_simulations": 15000, "nb_dispersion": 12.0, "score_correlation": 0.18, "total_sd": 14.8}, "rng_state_before": {"bit_generator": "PCG64", "has_uint32": 0, "state": {"inc": 332724090758049132448979897138935081983, "state": 284035300439941766670206482826598012600}, "uinteger": 0}, "spread_home_line": -3.0, "total_line": 43.5}, "market_type": "total", "model_version": "cfb-structural-v2", "observed_at_utc": "2026-10-13T22:27:59.912441+00:00", "probabilities": {"over": 0.6176, "push": 0.0, "under": 0.3824}, "replay_scope": "Full precision score means, exact engine parameters and original RNG state; upstream feature construction not certified.", "schema": "cfb-joint-replay-v1", "snapshot_hash": "ef8620dd766f3bb2e0ed925b4325e84c6f5993651982d17c5daf8cb8b062bc47", "sport": "NCAAF"}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2026-10-14T04:32:17Z</dcterms:created>
  <dcterms:modified xmlns:dcterms="http://purl.org/dc/terms/" xmlns:xsi="http://www.w3.org/2001/XMLSchema-instance" xsi:type="dcterms:W3CDTF">2026-10-14T04:32:17Z</dcterms:modified>
</cp:coreProperties>
</file>