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840" headerRowCount="1">
  <autoFilter ref="A1:DQ84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COUNTA('Picks'!$A$2:$A$840)</f>
        <v/>
      </c>
      <c r="C4" s="6">
        <f>COUNTIF('Picks'!$U$2:$U$840,"open")</f>
        <v/>
      </c>
      <c r="E4" s="6">
        <f>COUNTIF('Picks'!$U$2:$U$840,"settled")</f>
        <v/>
      </c>
      <c r="G4" s="6">
        <f>IF(COUNTIFS('Picks'!$U$2:$U$840,"settled",'Picks'!$V$2:$V$840,"win")+COUNTIFS('Picks'!$U$2:$U$840,"settled",'Picks'!$V$2:$V$840,"loss")&gt;=$L$2,"Ready","Insufficient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COUNTIF('Picks'!$BX$2:$BX$840,"&gt;0")</f>
        <v/>
      </c>
      <c r="C7" s="6">
        <f>COUNTIFS('Picks'!$BX$2:$BX$840,"&gt;0",'Picks'!$V$2:$V$840,"win")&amp;"-"&amp;COUNTIFS('Picks'!$BX$2:$BX$840,"&gt;0",'Picks'!$V$2:$V$840,"loss")</f>
        <v/>
      </c>
      <c r="E7" s="7">
        <f>IFERROR(COUNTIFS('Picks'!$BX$2:$BX$840,"&gt;0",'Picks'!$V$2:$V$840,"win")/(COUNTIFS('Picks'!$BX$2:$BX$840,"&gt;0",'Picks'!$V$2:$V$840,"win")+COUNTIFS('Picks'!$BX$2:$BX$840,"&gt;0",'Picks'!$V$2:$V$840,"loss")),0)</f>
        <v/>
      </c>
      <c r="G7" s="7">
        <f>IFERROR(SUM('Picks'!$BY$2:$BY$840)/SUM('Picks'!$BX$2:$BX$840),0)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SUM('Picks'!$BY$2:$BY$840)</f>
        <v/>
      </c>
      <c r="C10" s="9">
        <f>IFERROR(AVERAGEIF('Picks'!$AB$2:$AB$840,"&lt;&gt;",'Picks'!$AB$2:$AB$840),0)</f>
        <v/>
      </c>
      <c r="E10" s="6">
        <f>COUNTIFS('Picks'!$AM$2:$AM$840,"QUALIFIED_SHADOW_CALL",'Picks'!$U$2:$U$840,"settled")</f>
        <v/>
      </c>
      <c r="G10" s="8">
        <f>SUMIFS('Picks'!$AC$2:$AC$840,'Picks'!$AM$2:$AM$840,"QUALIFIED_SHADOW_CALL")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COUNTIFS('Picks'!$H$2:$H$840,$A14,'Picks'!$U$2:$U$840,"settled")</f>
        <v/>
      </c>
      <c r="C14" s="13">
        <f>COUNTIFS('Picks'!$H$2:$H$840,$A14,'Picks'!$U$2:$U$840,"settled",'Picks'!$V$2:$V$840,"win")</f>
        <v/>
      </c>
      <c r="D14" s="13">
        <f>COUNTIFS('Picks'!$H$2:$H$840,$A14,'Picks'!$U$2:$U$840,"settled",'Picks'!$V$2:$V$840,"loss")</f>
        <v/>
      </c>
      <c r="E14" s="14">
        <f>IFERROR(C14/(C14+D14),0)</f>
        <v/>
      </c>
      <c r="F14" s="15">
        <f>SUMIFS('Picks'!$BY$2:$BY$840,'Picks'!$H$2:$H$840,$A14)</f>
        <v/>
      </c>
      <c r="G14" s="16">
        <f>IFERROR(AVERAGEIFS('Picks'!$AB$2:$AB$840,'Picks'!$H$2:$H$840,$A14,'Picks'!$U$2:$U$840,"settled"),0)</f>
        <v/>
      </c>
    </row>
    <row r="15">
      <c r="A15" s="17" t="inlineStr">
        <is>
          <t>spread</t>
        </is>
      </c>
      <c r="B15" s="18">
        <f>COUNTIFS('Picks'!$H$2:$H$840,$A15,'Picks'!$U$2:$U$840,"settled")</f>
        <v/>
      </c>
      <c r="C15" s="18">
        <f>COUNTIFS('Picks'!$H$2:$H$840,$A15,'Picks'!$U$2:$U$840,"settled",'Picks'!$V$2:$V$840,"win")</f>
        <v/>
      </c>
      <c r="D15" s="18">
        <f>COUNTIFS('Picks'!$H$2:$H$840,$A15,'Picks'!$U$2:$U$840,"settled",'Picks'!$V$2:$V$840,"loss")</f>
        <v/>
      </c>
      <c r="E15" s="19">
        <f>IFERROR(C15/(C15+D15),0)</f>
        <v/>
      </c>
      <c r="F15" s="20">
        <f>SUMIFS('Picks'!$BY$2:$BY$840,'Picks'!$H$2:$H$840,$A15)</f>
        <v/>
      </c>
      <c r="G15" s="21">
        <f>IFERROR(AVERAGEIFS('Picks'!$AB$2:$AB$840,'Picks'!$H$2:$H$840,$A15,'Picks'!$U$2:$U$840,"settled"),0)</f>
        <v/>
      </c>
    </row>
    <row r="16">
      <c r="A16" s="12" t="inlineStr">
        <is>
          <t>total</t>
        </is>
      </c>
      <c r="B16" s="13">
        <f>COUNTIFS('Picks'!$H$2:$H$840,$A16,'Picks'!$U$2:$U$840,"settled")</f>
        <v/>
      </c>
      <c r="C16" s="13">
        <f>COUNTIFS('Picks'!$H$2:$H$840,$A16,'Picks'!$U$2:$U$840,"settled",'Picks'!$V$2:$V$840,"win")</f>
        <v/>
      </c>
      <c r="D16" s="13">
        <f>COUNTIFS('Picks'!$H$2:$H$840,$A16,'Picks'!$U$2:$U$840,"settled",'Picks'!$V$2:$V$840,"loss")</f>
        <v/>
      </c>
      <c r="E16" s="14">
        <f>IFERROR(C16/(C16+D16),0)</f>
        <v/>
      </c>
      <c r="F16" s="15">
        <f>SUMIFS('Picks'!$BY$2:$BY$840,'Picks'!$H$2:$H$840,$A16)</f>
        <v/>
      </c>
      <c r="G16" s="16">
        <f>IFERROR(AVERAGEIFS('Picks'!$AB$2:$AB$840,'Picks'!$H$2:$H$840,$A16,'Picks'!$U$2:$U$840,"settled"),0)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8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9461361f94fc4cee</t>
        </is>
      </c>
      <c r="B2" s="24" t="inlineStr">
        <is>
          <t>2026-09-07T22:04:11.605481Z</t>
        </is>
      </c>
      <c r="C2" s="24" t="inlineStr">
        <is>
          <t>2026-09-07T23:30Z</t>
        </is>
      </c>
      <c r="D2" s="24" t="inlineStr">
        <is>
          <t>401858212</t>
        </is>
      </c>
      <c r="E2" s="24" t="inlineStr">
        <is>
          <t>NCAAF</t>
        </is>
      </c>
      <c r="F2" s="24" t="inlineStr">
        <is>
          <t>SMU Mustangs</t>
        </is>
      </c>
      <c r="G2" s="24" t="inlineStr">
        <is>
          <t>Florida State Seminoles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espn_consensus</t>
        </is>
      </c>
      <c r="L2" s="26" t="n">
        <v>-148</v>
      </c>
      <c r="M2" s="27" t="n">
        <v>1.675676</v>
      </c>
      <c r="N2" s="28" t="n">
        <v>0.596774</v>
      </c>
      <c r="O2" s="28" t="n">
        <v>0.718141</v>
      </c>
      <c r="P2" s="28" t="n">
        <v>0.18</v>
      </c>
      <c r="Q2" s="28" t="n">
        <v>0.121367</v>
      </c>
      <c r="R2" s="26" t="n">
        <v>3</v>
      </c>
      <c r="S2" s="29" t="n">
        <v>1</v>
      </c>
      <c r="T2" s="24" t="inlineStr">
        <is>
          <t>college-football-v1</t>
        </is>
      </c>
      <c r="U2" s="24" t="inlineStr">
        <is>
          <t>settled</t>
        </is>
      </c>
      <c r="V2" s="24" t="inlineStr">
        <is>
          <t>win</t>
        </is>
      </c>
      <c r="W2" s="26" t="n">
        <v>27</v>
      </c>
      <c r="X2" s="26" t="n">
        <v>24</v>
      </c>
      <c r="Y2" s="25" t="n"/>
      <c r="Z2" s="26" t="n"/>
      <c r="AA2" s="28" t="n"/>
      <c r="AB2" s="28" t="n"/>
      <c r="AC2" s="30" t="n">
        <v>0.6757</v>
      </c>
      <c r="AD2" s="24" t="inlineStr">
        <is>
          <t>2026-09-08T10:00:15.573469Z</t>
        </is>
      </c>
      <c r="AE2" s="31" t="inlineStr">
        <is>
          <t>CFB Joint Model (negative_binomial): proj score SMU Mustangs 32.0 @ Florida State Seminoles 22.7 (Margin -9.3). Possessions: 12.4, HFA: +2.8 pts.</t>
        </is>
      </c>
      <c r="AF2" s="31" t="inlineStr">
        <is>
          <t>College football model; multi-market (moneyline, spread, total).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4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SMU Mustangs</t>
        </is>
      </c>
      <c r="AQ2" s="24" t="inlineStr">
        <is>
          <t>SMU Mustangs</t>
        </is>
      </c>
      <c r="AR2" s="24" t="inlineStr">
        <is>
          <t>SMU Mustangs</t>
        </is>
      </c>
      <c r="AS2" s="24" t="inlineStr">
        <is>
          <t>Florida State Seminoles</t>
        </is>
      </c>
      <c r="AT2" s="24" t="inlineStr">
        <is>
          <t>Florida State Seminoles</t>
        </is>
      </c>
      <c r="AU2" s="24" t="inlineStr">
        <is>
          <t>Florida State Seminoles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1d168f11d221cd3c</t>
        </is>
      </c>
      <c r="BB2" s="24" t="inlineStr">
        <is>
          <t>cfb_key_number_engine</t>
        </is>
      </c>
      <c r="BC2" s="24" t="inlineStr">
        <is>
          <t>college-football-v1</t>
        </is>
      </c>
      <c r="BD2" s="24" t="inlineStr">
        <is>
          <t>1d168f11d221cd3c</t>
        </is>
      </c>
      <c r="BE2" s="24" t="inlineStr">
        <is>
          <t>cfb-v1</t>
        </is>
      </c>
      <c r="BF2" s="24" t="inlineStr">
        <is>
          <t>1</t>
        </is>
      </c>
      <c r="BG2" s="24" t="inlineStr">
        <is>
          <t>1d168f11d221cd3c</t>
        </is>
      </c>
      <c r="BH2" s="24" t="inlineStr">
        <is>
          <t>2026-09-07T22:04:11.605481+00:00</t>
        </is>
      </c>
      <c r="BI2" s="24" t="inlineStr">
        <is>
          <t>["same_event","same_team_same_day","same_league_same_day"]</t>
        </is>
      </c>
      <c r="BJ2" s="25" t="n"/>
      <c r="BK2" s="26" t="n">
        <v>-148</v>
      </c>
      <c r="BL2" s="27" t="n">
        <v>1.675676</v>
      </c>
      <c r="BM2" s="28" t="n">
        <v>0.596774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0.596774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4226413ebd7848d2</t>
        </is>
      </c>
      <c r="B3" s="24" t="inlineStr">
        <is>
          <t>2026-09-07T22:04:11.605481Z</t>
        </is>
      </c>
      <c r="C3" s="24" t="inlineStr">
        <is>
          <t>2026-09-07T23:30Z</t>
        </is>
      </c>
      <c r="D3" s="24" t="inlineStr">
        <is>
          <t>401858212</t>
        </is>
      </c>
      <c r="E3" s="24" t="inlineStr">
        <is>
          <t>NCAAF</t>
        </is>
      </c>
      <c r="F3" s="24" t="inlineStr">
        <is>
          <t>SMU Mustangs</t>
        </is>
      </c>
      <c r="G3" s="24" t="inlineStr">
        <is>
          <t>Florida State Seminoles</t>
        </is>
      </c>
      <c r="H3" s="24" t="inlineStr">
        <is>
          <t>spread</t>
        </is>
      </c>
      <c r="I3" s="24" t="inlineStr">
        <is>
          <t>away</t>
        </is>
      </c>
      <c r="J3" s="25" t="n">
        <v>-2.5</v>
      </c>
      <c r="K3" s="24" t="inlineStr">
        <is>
          <t>espn_consensus</t>
        </is>
      </c>
      <c r="L3" s="26" t="n">
        <v>-118</v>
      </c>
      <c r="M3" s="27" t="n">
        <v>1.847458</v>
      </c>
      <c r="N3" s="28" t="n">
        <v>0.541284</v>
      </c>
      <c r="O3" s="28" t="n">
        <v>0.664867</v>
      </c>
      <c r="P3" s="28" t="n">
        <v>0.18</v>
      </c>
      <c r="Q3" s="28" t="n">
        <v>0.123583</v>
      </c>
      <c r="R3" s="26" t="n">
        <v>4</v>
      </c>
      <c r="S3" s="29" t="n">
        <v>1</v>
      </c>
      <c r="T3" s="24" t="inlineStr">
        <is>
          <t>cfb-spread-v1</t>
        </is>
      </c>
      <c r="U3" s="24" t="inlineStr">
        <is>
          <t>settled</t>
        </is>
      </c>
      <c r="V3" s="24" t="inlineStr">
        <is>
          <t>win</t>
        </is>
      </c>
      <c r="W3" s="26" t="n">
        <v>27</v>
      </c>
      <c r="X3" s="26" t="n">
        <v>24</v>
      </c>
      <c r="Y3" s="25" t="n"/>
      <c r="Z3" s="26" t="n"/>
      <c r="AA3" s="28" t="n"/>
      <c r="AB3" s="28" t="n"/>
      <c r="AC3" s="30" t="n">
        <v>0.8475</v>
      </c>
      <c r="AD3" s="24" t="inlineStr">
        <is>
          <t>2026-09-08T10:00:15.788800Z</t>
        </is>
      </c>
      <c r="AE3" s="31" t="inlineStr">
        <is>
          <t>Projected home margin -9.3 pts. Spread: Home +2.5 / Away -2.5 -&gt; P(Away cover)=0.665, P(Home cover)=0.335, P(Push)=0.000.</t>
        </is>
      </c>
      <c r="AF3" s="31" t="inlineStr">
        <is>
          <t>College football model; multi-market (moneyline, spread, total).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SMU Mustangs</t>
        </is>
      </c>
      <c r="AQ3" s="24" t="inlineStr">
        <is>
          <t>SMU Mustangs</t>
        </is>
      </c>
      <c r="AR3" s="24" t="inlineStr">
        <is>
          <t>SMU Mustangs</t>
        </is>
      </c>
      <c r="AS3" s="24" t="inlineStr">
        <is>
          <t>Florida State Seminoles</t>
        </is>
      </c>
      <c r="AT3" s="24" t="inlineStr">
        <is>
          <t>Florida State Seminoles</t>
        </is>
      </c>
      <c r="AU3" s="24" t="inlineStr">
        <is>
          <t>Florida State Seminoles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1d168f11d221cd3c</t>
        </is>
      </c>
      <c r="BB3" s="24" t="inlineStr">
        <is>
          <t>cfb_key_number_engine</t>
        </is>
      </c>
      <c r="BC3" s="24" t="inlineStr">
        <is>
          <t>cfb-spread-v1</t>
        </is>
      </c>
      <c r="BD3" s="24" t="inlineStr">
        <is>
          <t>1d168f11d221cd3c</t>
        </is>
      </c>
      <c r="BE3" s="24" t="inlineStr">
        <is>
          <t>cfb-v1</t>
        </is>
      </c>
      <c r="BF3" s="24" t="inlineStr">
        <is>
          <t>1</t>
        </is>
      </c>
      <c r="BG3" s="24" t="inlineStr">
        <is>
          <t>1d168f11d221cd3c</t>
        </is>
      </c>
      <c r="BH3" s="24" t="inlineStr">
        <is>
          <t>2026-09-07T22:04:11.605481+00:00</t>
        </is>
      </c>
      <c r="BI3" s="24" t="inlineStr">
        <is>
          <t>["same_event","same_team_same_day","same_league_same_day"]</t>
        </is>
      </c>
      <c r="BJ3" s="25" t="n">
        <v>-2.5</v>
      </c>
      <c r="BK3" s="26" t="n">
        <v>-118</v>
      </c>
      <c r="BL3" s="27" t="n">
        <v>1.847458</v>
      </c>
      <c r="BM3" s="28" t="n">
        <v>0.541284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0.541284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fabb828011964f7e</t>
        </is>
      </c>
      <c r="B4" s="24" t="inlineStr">
        <is>
          <t>2026-09-07T22:04:11.605481Z</t>
        </is>
      </c>
      <c r="C4" s="24" t="inlineStr">
        <is>
          <t>2026-09-07T23:30Z</t>
        </is>
      </c>
      <c r="D4" s="24" t="inlineStr">
        <is>
          <t>401858212</t>
        </is>
      </c>
      <c r="E4" s="24" t="inlineStr">
        <is>
          <t>NCAAF</t>
        </is>
      </c>
      <c r="F4" s="24" t="inlineStr">
        <is>
          <t>SMU Mustangs</t>
        </is>
      </c>
      <c r="G4" s="24" t="inlineStr">
        <is>
          <t>Florida State Seminoles</t>
        </is>
      </c>
      <c r="H4" s="24" t="inlineStr">
        <is>
          <t>total</t>
        </is>
      </c>
      <c r="I4" s="24" t="inlineStr">
        <is>
          <t>under</t>
        </is>
      </c>
      <c r="J4" s="25" t="n">
        <v>54.5</v>
      </c>
      <c r="K4" s="24" t="inlineStr">
        <is>
          <t>espn_consensus</t>
        </is>
      </c>
      <c r="L4" s="26" t="n">
        <v>-102</v>
      </c>
      <c r="M4" s="27" t="n">
        <v>1.980392</v>
      </c>
      <c r="N4" s="28" t="n">
        <v>0.50495</v>
      </c>
      <c r="O4" s="28" t="n">
        <v>0.5214</v>
      </c>
      <c r="P4" s="28" t="n">
        <v>0.18</v>
      </c>
      <c r="Q4" s="28" t="n">
        <v>0.01645</v>
      </c>
      <c r="R4" s="26" t="n">
        <v>0</v>
      </c>
      <c r="S4" s="29" t="n">
        <v>1</v>
      </c>
      <c r="T4" s="24" t="inlineStr">
        <is>
          <t>cfb-total-v1</t>
        </is>
      </c>
      <c r="U4" s="24" t="inlineStr">
        <is>
          <t>settled</t>
        </is>
      </c>
      <c r="V4" s="24" t="inlineStr">
        <is>
          <t>win</t>
        </is>
      </c>
      <c r="W4" s="26" t="n">
        <v>27</v>
      </c>
      <c r="X4" s="26" t="n">
        <v>24</v>
      </c>
      <c r="Y4" s="25" t="n"/>
      <c r="Z4" s="26" t="n"/>
      <c r="AA4" s="28" t="n"/>
      <c r="AB4" s="28" t="n"/>
      <c r="AC4" s="30" t="n">
        <v>0.9804</v>
      </c>
      <c r="AD4" s="24" t="inlineStr">
        <is>
          <t>2026-09-08T10:00:16.017155Z</t>
        </is>
      </c>
      <c r="AE4" s="31" t="inlineStr">
        <is>
          <t>Projected total 54.7 pts (Weather adj: +0.0 pts). Total line 54.5 -&gt; P(Over)=0.479, P(Under)=0.521, P(Push)=0.000.</t>
        </is>
      </c>
      <c r="AF4" s="31" t="inlineStr">
        <is>
          <t>College football model; multi-market (moneyline, spread, total).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SMU Mustangs</t>
        </is>
      </c>
      <c r="AQ4" s="24" t="inlineStr">
        <is>
          <t>SMU Mustangs</t>
        </is>
      </c>
      <c r="AR4" s="24" t="inlineStr">
        <is>
          <t>SMU Mustangs</t>
        </is>
      </c>
      <c r="AS4" s="24" t="inlineStr">
        <is>
          <t>Florida State Seminoles</t>
        </is>
      </c>
      <c r="AT4" s="24" t="inlineStr">
        <is>
          <t>Florida State Seminoles</t>
        </is>
      </c>
      <c r="AU4" s="24" t="inlineStr">
        <is>
          <t>Florida State Seminoles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1d168f11d221cd3c</t>
        </is>
      </c>
      <c r="BB4" s="24" t="inlineStr">
        <is>
          <t>cfb_key_number_engine</t>
        </is>
      </c>
      <c r="BC4" s="24" t="inlineStr">
        <is>
          <t>cfb-total-v1</t>
        </is>
      </c>
      <c r="BD4" s="24" t="inlineStr">
        <is>
          <t>1d168f11d221cd3c</t>
        </is>
      </c>
      <c r="BE4" s="24" t="inlineStr">
        <is>
          <t>cfb-v1</t>
        </is>
      </c>
      <c r="BF4" s="24" t="inlineStr">
        <is>
          <t>1</t>
        </is>
      </c>
      <c r="BG4" s="24" t="inlineStr">
        <is>
          <t>1d168f11d221cd3c</t>
        </is>
      </c>
      <c r="BH4" s="24" t="inlineStr">
        <is>
          <t>2026-09-07T22:04:11.605481+00:00</t>
        </is>
      </c>
      <c r="BI4" s="24" t="inlineStr">
        <is>
          <t>["same_event","same_team_same_day","same_league_same_day"]</t>
        </is>
      </c>
      <c r="BJ4" s="25" t="n">
        <v>54.5</v>
      </c>
      <c r="BK4" s="26" t="n">
        <v>-102</v>
      </c>
      <c r="BL4" s="27" t="n">
        <v>1.980392</v>
      </c>
      <c r="BM4" s="28" t="n">
        <v>0.50495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>
        <v>1</v>
      </c>
      <c r="BY4" s="27" t="n">
        <v>0.980392</v>
      </c>
      <c r="BZ4" s="24" t="inlineStr">
        <is>
          <t>2026-09-08T10:00:16.017155Z</t>
        </is>
      </c>
      <c r="CA4" s="31" t="inlineStr">
        <is>
          <t>fixed one-unit hypothetical scoring; no real exposure or execution</t>
        </is>
      </c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0.50495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be23d1a49b39422e</t>
        </is>
      </c>
      <c r="B5" s="24" t="inlineStr">
        <is>
          <t>2026-09-10T22:04:01.239665Z</t>
        </is>
      </c>
      <c r="C5" s="24" t="inlineStr">
        <is>
          <t>2026-09-11T00:00Z</t>
        </is>
      </c>
      <c r="D5" s="24" t="inlineStr">
        <is>
          <t>401858213</t>
        </is>
      </c>
      <c r="E5" s="24" t="inlineStr">
        <is>
          <t>NCAAF</t>
        </is>
      </c>
      <c r="F5" s="24" t="inlineStr">
        <is>
          <t>Florida A&amp;M Rattlers</t>
        </is>
      </c>
      <c r="G5" s="24" t="inlineStr">
        <is>
          <t>Miami Hurricanes</t>
        </is>
      </c>
      <c r="H5" s="24" t="inlineStr">
        <is>
          <t>spread</t>
        </is>
      </c>
      <c r="I5" s="24" t="inlineStr">
        <is>
          <t>away</t>
        </is>
      </c>
      <c r="J5" s="25" t="n">
        <v>59.5</v>
      </c>
      <c r="K5" s="24" t="inlineStr">
        <is>
          <t>espn_consensus</t>
        </is>
      </c>
      <c r="L5" s="26" t="n">
        <v>-108</v>
      </c>
      <c r="M5" s="27" t="n">
        <v>1.925926</v>
      </c>
      <c r="N5" s="28" t="n">
        <v>0.519231</v>
      </c>
      <c r="O5" s="28" t="n">
        <v>0.989933</v>
      </c>
      <c r="P5" s="28" t="n">
        <v>0.18</v>
      </c>
      <c r="Q5" s="28" t="n">
        <v>0.470702</v>
      </c>
      <c r="R5" s="26" t="n">
        <v>100</v>
      </c>
      <c r="S5" s="29" t="n">
        <v>2</v>
      </c>
      <c r="T5" s="24" t="inlineStr">
        <is>
          <t>cfb-spread-v1</t>
        </is>
      </c>
      <c r="U5" s="24" t="inlineStr">
        <is>
          <t>settled</t>
        </is>
      </c>
      <c r="V5" s="24" t="inlineStr">
        <is>
          <t>loss</t>
        </is>
      </c>
      <c r="W5" s="26" t="n">
        <v>7</v>
      </c>
      <c r="X5" s="26" t="n">
        <v>77</v>
      </c>
      <c r="Y5" s="25" t="n"/>
      <c r="Z5" s="26" t="n"/>
      <c r="AA5" s="28" t="n"/>
      <c r="AB5" s="28" t="n"/>
      <c r="AC5" s="30" t="n">
        <v>-2</v>
      </c>
      <c r="AD5" s="24" t="inlineStr">
        <is>
          <t>2026-09-11T04:30:18.472714Z</t>
        </is>
      </c>
      <c r="AE5" s="31" t="inlineStr">
        <is>
          <t>Projected home margin +20.9 pts. Spread: Home -59.5 / Away +59.5 -&gt; P(Away cover)=0.990, P(Home cover)=0.010, P(Push)=0.000.</t>
        </is>
      </c>
      <c r="AF5" s="31" t="inlineStr">
        <is>
          <t>College football model; multi-market (moneyline, spread, total).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4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Florida A&amp;M Rattlers</t>
        </is>
      </c>
      <c r="AQ5" s="24" t="inlineStr">
        <is>
          <t>Florida A&amp;M Rattlers</t>
        </is>
      </c>
      <c r="AR5" s="24" t="inlineStr">
        <is>
          <t>Florida A&amp;M Rattlers</t>
        </is>
      </c>
      <c r="AS5" s="24" t="inlineStr">
        <is>
          <t>Miami Hurricanes</t>
        </is>
      </c>
      <c r="AT5" s="24" t="inlineStr">
        <is>
          <t>Miami Hurricanes</t>
        </is>
      </c>
      <c r="AU5" s="24" t="inlineStr">
        <is>
          <t>Miami Hurricanes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1d168f11d221cd3c</t>
        </is>
      </c>
      <c r="BB5" s="24" t="inlineStr">
        <is>
          <t>cfb_key_number_engine</t>
        </is>
      </c>
      <c r="BC5" s="24" t="inlineStr">
        <is>
          <t>cfb-spread-v1</t>
        </is>
      </c>
      <c r="BD5" s="24" t="inlineStr">
        <is>
          <t>1d168f11d221cd3c</t>
        </is>
      </c>
      <c r="BE5" s="24" t="inlineStr">
        <is>
          <t>cfb-v1</t>
        </is>
      </c>
      <c r="BF5" s="24" t="inlineStr">
        <is>
          <t>1</t>
        </is>
      </c>
      <c r="BG5" s="24" t="inlineStr">
        <is>
          <t>1d168f11d221cd3c</t>
        </is>
      </c>
      <c r="BH5" s="24" t="inlineStr">
        <is>
          <t>2026-09-10T22:04:01.239665+00:00</t>
        </is>
      </c>
      <c r="BI5" s="24" t="inlineStr">
        <is>
          <t>["same_event","same_team_same_day","same_league_same_day"]</t>
        </is>
      </c>
      <c r="BJ5" s="25" t="n">
        <v>59.5</v>
      </c>
      <c r="BK5" s="26" t="n">
        <v>-108</v>
      </c>
      <c r="BL5" s="27" t="n">
        <v>1.925926</v>
      </c>
      <c r="BM5" s="28" t="n">
        <v>0.519231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0.519231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{"artifact_hash": "1d168f11d221cd3c", "event_id": "401858213", "event_start_utc": "2026-09-11T00:00Z", "features": {"altitude_fatigue_penalty": 0.0, "away_team": "Florida A&amp;M Rattlers", "efficiency_gap": 1.993, "elo_away": 1337.5, "elo_home": 1785.8, "elo_home_win_prob": 0.9505, "event_id": "401858213", "game_start_utc": "2026-09-11T00:00Z", "home_field_advantage_points": 2.8, "home_team": "Miami Hurricanes", "is_dome": false, "is_fbs_vs_fcs": false, "is_neutral_site": false, "projected_away_points": 16.5, "projected_home_points": 37.5, "projected_margin_home": 20.9, "projected_possessions": 12.4, "projected_total": 54.0,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16.5, "mu_home": 37.5,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-59.5, "total_line": 66.5}, "market_type": "spread", "model_version": "cfb-spread-v1", "observed_at_utc": "2026-09-10T22:04:01.239665+00:00", "probabilities": {"away": 0.989933, "home": 0.010067, "push": 0.0}, "replay_scope": "Full precision score means, exact engine parameters and original RNG state; upstream feature construction not certified.", "schema": "cfb-joint-replay-v1", "snapshot_hash": "4ec0202e5ac851a65b8e5dd3ea7a2819d395ac9ed6274f045f18156d4f1fdf9b", "sport": "NCAAF"}</t>
        </is>
      </c>
    </row>
    <row r="6" ht="36" customHeight="1">
      <c r="A6" s="24" t="inlineStr">
        <is>
          <t>ff43f54178ba4466</t>
        </is>
      </c>
      <c r="B6" s="24" t="inlineStr">
        <is>
          <t>2026-09-10T22:04:01.239665Z</t>
        </is>
      </c>
      <c r="C6" s="24" t="inlineStr">
        <is>
          <t>2026-09-11T00:00Z</t>
        </is>
      </c>
      <c r="D6" s="24" t="inlineStr">
        <is>
          <t>401858213</t>
        </is>
      </c>
      <c r="E6" s="24" t="inlineStr">
        <is>
          <t>NCAAF</t>
        </is>
      </c>
      <c r="F6" s="24" t="inlineStr">
        <is>
          <t>Florida A&amp;M Rattlers</t>
        </is>
      </c>
      <c r="G6" s="24" t="inlineStr">
        <is>
          <t>Miami Hurricanes</t>
        </is>
      </c>
      <c r="H6" s="24" t="inlineStr">
        <is>
          <t>total</t>
        </is>
      </c>
      <c r="I6" s="24" t="inlineStr">
        <is>
          <t>under</t>
        </is>
      </c>
      <c r="J6" s="25" t="n">
        <v>66.5</v>
      </c>
      <c r="K6" s="24" t="inlineStr">
        <is>
          <t>espn_consensus</t>
        </is>
      </c>
      <c r="L6" s="26" t="n">
        <v>-112</v>
      </c>
      <c r="M6" s="27" t="n">
        <v>1.892857</v>
      </c>
      <c r="N6" s="28" t="n">
        <v>0.528302</v>
      </c>
      <c r="O6" s="28" t="n">
        <v>0.7511330000000001</v>
      </c>
      <c r="P6" s="28" t="n">
        <v>0.18</v>
      </c>
      <c r="Q6" s="28" t="n">
        <v>0.222831</v>
      </c>
      <c r="R6" s="26" t="n">
        <v>53</v>
      </c>
      <c r="S6" s="29" t="n">
        <v>1.25</v>
      </c>
      <c r="T6" s="24" t="inlineStr">
        <is>
          <t>cfb-total-v1</t>
        </is>
      </c>
      <c r="U6" s="24" t="inlineStr">
        <is>
          <t>settled</t>
        </is>
      </c>
      <c r="V6" s="24" t="inlineStr">
        <is>
          <t>loss</t>
        </is>
      </c>
      <c r="W6" s="26" t="n">
        <v>7</v>
      </c>
      <c r="X6" s="26" t="n">
        <v>77</v>
      </c>
      <c r="Y6" s="25" t="n"/>
      <c r="Z6" s="26" t="n"/>
      <c r="AA6" s="28" t="n"/>
      <c r="AB6" s="28" t="n"/>
      <c r="AC6" s="30" t="n">
        <v>-1.25</v>
      </c>
      <c r="AD6" s="24" t="inlineStr">
        <is>
          <t>2026-09-11T04:30:18.722256Z</t>
        </is>
      </c>
      <c r="AE6" s="31" t="inlineStr">
        <is>
          <t>Projected total 54.0 pts (Weather adj: +0.0 pts). Total line 66.5 -&gt; P(Over)=0.249, P(Under)=0.751, P(Push)=0.000.</t>
        </is>
      </c>
      <c r="AF6" s="31" t="inlineStr">
        <is>
          <t>College football model; multi-market (moneyline, spread, total).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4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Florida A&amp;M Rattlers</t>
        </is>
      </c>
      <c r="AQ6" s="24" t="inlineStr">
        <is>
          <t>Florida A&amp;M Rattlers</t>
        </is>
      </c>
      <c r="AR6" s="24" t="inlineStr">
        <is>
          <t>Florida A&amp;M Rattlers</t>
        </is>
      </c>
      <c r="AS6" s="24" t="inlineStr">
        <is>
          <t>Miami Hurricanes</t>
        </is>
      </c>
      <c r="AT6" s="24" t="inlineStr">
        <is>
          <t>Miami Hurricanes</t>
        </is>
      </c>
      <c r="AU6" s="24" t="inlineStr">
        <is>
          <t>Miami Hurricanes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1d168f11d221cd3c</t>
        </is>
      </c>
      <c r="BB6" s="24" t="inlineStr">
        <is>
          <t>cfb_key_number_engine</t>
        </is>
      </c>
      <c r="BC6" s="24" t="inlineStr">
        <is>
          <t>cfb-total-v1</t>
        </is>
      </c>
      <c r="BD6" s="24" t="inlineStr">
        <is>
          <t>1d168f11d221cd3c</t>
        </is>
      </c>
      <c r="BE6" s="24" t="inlineStr">
        <is>
          <t>cfb-v1</t>
        </is>
      </c>
      <c r="BF6" s="24" t="inlineStr">
        <is>
          <t>1</t>
        </is>
      </c>
      <c r="BG6" s="24" t="inlineStr">
        <is>
          <t>1d168f11d221cd3c</t>
        </is>
      </c>
      <c r="BH6" s="24" t="inlineStr">
        <is>
          <t>2026-09-10T22:04:01.239665+00:00</t>
        </is>
      </c>
      <c r="BI6" s="24" t="inlineStr">
        <is>
          <t>["same_event","same_team_same_day","same_league_same_day"]</t>
        </is>
      </c>
      <c r="BJ6" s="25" t="n">
        <v>66.5</v>
      </c>
      <c r="BK6" s="26" t="n">
        <v>-112</v>
      </c>
      <c r="BL6" s="27" t="n">
        <v>1.892857</v>
      </c>
      <c r="BM6" s="28" t="n">
        <v>0.528302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0.528302</t>
        </is>
      </c>
      <c r="DK6" s="24" t="n"/>
      <c r="DL6" s="24" t="n"/>
      <c r="DM6" s="24" t="n"/>
      <c r="DN6" s="24" t="n"/>
      <c r="DO6" s="24" t="n"/>
      <c r="DP6" s="24" t="n"/>
      <c r="DQ6" s="24" t="inlineStr">
        <is>
          <t>{"artifact_hash": "1d168f11d221cd3c", "event_id": "401858213", "event_start_utc": "2026-09-11T00:00Z", "features": {"altitude_fatigue_penalty": 0.0, "away_team": "Florida A&amp;M Rattlers", "efficiency_gap": 1.993, "elo_away": 1337.5, "elo_home": 1785.8, "elo_home_win_prob": 0.9505, "event_id": "401858213", "game_start_utc": "2026-09-11T00:00Z", "home_field_advantage_points": 2.8, "home_team": "Miami Hurricanes", "is_dome": false, "is_fbs_vs_fcs": false, "is_neutral_site": false, "projected_away_points": 16.5, "projected_home_points": 37.5, "projected_margin_home": 20.9, "projected_possessions": 12.4, "projected_total": 54.0,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16.5, "mu_home": 37.5,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-59.5, "total_line": 66.5}, "market_type": "total", "model_version": "cfb-total-v1", "observed_at_utc": "2026-09-10T22:04:01.239665+00:00", "probabilities": {"over": 0.248867, "push": 0.0, "under": 0.751133}, "replay_scope": "Full precision score means, exact engine parameters and original RNG state; upstream feature construction not certified.", "schema": "cfb-joint-replay-v1", "snapshot_hash": "d52431ed5db0b13d299554ade8014558b3960632460503c22ffd1b4a446cb168", "sport": "NCAAF"}</t>
        </is>
      </c>
    </row>
    <row r="7" ht="36" customHeight="1">
      <c r="A7" s="24" t="inlineStr">
        <is>
          <t>640c7d054dd5464b</t>
        </is>
      </c>
      <c r="B7" s="24" t="inlineStr">
        <is>
          <t>2026-09-11T22:03:43.985121Z</t>
        </is>
      </c>
      <c r="C7" s="24" t="inlineStr">
        <is>
          <t>2026-09-11T23:00Z</t>
        </is>
      </c>
      <c r="D7" s="24" t="inlineStr">
        <is>
          <t>401858215</t>
        </is>
      </c>
      <c r="E7" s="24" t="inlineStr">
        <is>
          <t>NCAAF</t>
        </is>
      </c>
      <c r="F7" s="24" t="inlineStr">
        <is>
          <t>Villanova Wildcats</t>
        </is>
      </c>
      <c r="G7" s="24" t="inlineStr">
        <is>
          <t>Louisville Cardinals</t>
        </is>
      </c>
      <c r="H7" s="24" t="inlineStr">
        <is>
          <t>spread</t>
        </is>
      </c>
      <c r="I7" s="24" t="inlineStr">
        <is>
          <t>away</t>
        </is>
      </c>
      <c r="J7" s="25" t="n">
        <v>38.5</v>
      </c>
      <c r="K7" s="24" t="inlineStr">
        <is>
          <t>espn_consensus</t>
        </is>
      </c>
      <c r="L7" s="26" t="n">
        <v>-112</v>
      </c>
      <c r="M7" s="27" t="n">
        <v>1.892857</v>
      </c>
      <c r="N7" s="28" t="n">
        <v>0.528302</v>
      </c>
      <c r="O7" s="28" t="n">
        <v>0.911533</v>
      </c>
      <c r="P7" s="28" t="n">
        <v>0.25</v>
      </c>
      <c r="Q7" s="28" t="n">
        <v>0.383231</v>
      </c>
      <c r="R7" s="26" t="n">
        <v>92</v>
      </c>
      <c r="S7" s="29" t="n">
        <v>2</v>
      </c>
      <c r="T7" s="24" t="inlineStr">
        <is>
          <t>cfb-spread-v1</t>
        </is>
      </c>
      <c r="U7" s="24" t="inlineStr">
        <is>
          <t>settled</t>
        </is>
      </c>
      <c r="V7" s="24" t="inlineStr">
        <is>
          <t>loss</t>
        </is>
      </c>
      <c r="W7" s="26" t="n">
        <v>13</v>
      </c>
      <c r="X7" s="26" t="n">
        <v>59</v>
      </c>
      <c r="Y7" s="25" t="n"/>
      <c r="Z7" s="26" t="n"/>
      <c r="AA7" s="28" t="n"/>
      <c r="AB7" s="28" t="n"/>
      <c r="AC7" s="30" t="n">
        <v>-2</v>
      </c>
      <c r="AD7" s="24" t="inlineStr">
        <is>
          <t>2026-09-12T04:30:51.678449Z</t>
        </is>
      </c>
      <c r="AE7" s="31" t="inlineStr">
        <is>
          <t>Projected home margin +16.3 pts. Spread: Home -38.5 / Away +38.5 -&gt; P(Away cover)=0.912, P(Home cover)=0.088, P(Push)=0.000.</t>
        </is>
      </c>
      <c r="AF7" s="31" t="inlineStr">
        <is>
          <t>College football model; multi-market (moneyline, spread, total).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Villanova Wildcats</t>
        </is>
      </c>
      <c r="AQ7" s="24" t="inlineStr">
        <is>
          <t>Villanova Wildcats</t>
        </is>
      </c>
      <c r="AR7" s="24" t="inlineStr">
        <is>
          <t>Villanova Wildcats</t>
        </is>
      </c>
      <c r="AS7" s="24" t="inlineStr">
        <is>
          <t>Louisville Cardinals</t>
        </is>
      </c>
      <c r="AT7" s="24" t="inlineStr">
        <is>
          <t>Louisville Cardinals</t>
        </is>
      </c>
      <c r="AU7" s="24" t="inlineStr">
        <is>
          <t>Louisville Cardinals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1d168f11d221cd3c</t>
        </is>
      </c>
      <c r="BB7" s="24" t="inlineStr">
        <is>
          <t>cfb_key_number_engine</t>
        </is>
      </c>
      <c r="BC7" s="24" t="inlineStr">
        <is>
          <t>cfb-spread-v1</t>
        </is>
      </c>
      <c r="BD7" s="24" t="inlineStr">
        <is>
          <t>1d168f11d221cd3c</t>
        </is>
      </c>
      <c r="BE7" s="24" t="inlineStr">
        <is>
          <t>cfb-v1</t>
        </is>
      </c>
      <c r="BF7" s="24" t="inlineStr">
        <is>
          <t>1</t>
        </is>
      </c>
      <c r="BG7" s="24" t="inlineStr">
        <is>
          <t>1d168f11d221cd3c</t>
        </is>
      </c>
      <c r="BH7" s="24" t="inlineStr">
        <is>
          <t>2026-09-11T22:03:43.985121+00:00</t>
        </is>
      </c>
      <c r="BI7" s="24" t="inlineStr">
        <is>
          <t>["same_event","same_team_same_day","same_league_same_day"]</t>
        </is>
      </c>
      <c r="BJ7" s="25" t="n">
        <v>38.5</v>
      </c>
      <c r="BK7" s="26" t="n">
        <v>-112</v>
      </c>
      <c r="BL7" s="27" t="n">
        <v>1.892857</v>
      </c>
      <c r="BM7" s="28" t="n">
        <v>0.528302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0.528302</t>
        </is>
      </c>
      <c r="DK7" s="24" t="n"/>
      <c r="DL7" s="24" t="n"/>
      <c r="DM7" s="24" t="n"/>
      <c r="DN7" s="24" t="n"/>
      <c r="DO7" s="24" t="n"/>
      <c r="DP7" s="24" t="n"/>
      <c r="DQ7" s="24" t="inlineStr">
        <is>
          <t>{"artifact_hash": "1d168f11d221cd3c", "event_id": "401858215", "event_start_utc": "2026-09-11T23:00Z", "features": {"altitude_fatigue_penalty": 0.0, "away_team": "Villanova Wildcats", "efficiency_gap": 2.739, "elo_away": 1298.6, "elo_home": 1634.0, "elo_home_win_prob": 0.9093, "event_id": "401858215", "game_start_utc": "2026-09-11T23:00Z", "home_field_advantage_points": 2.8, "home_team": "Louisville Cardinals", "is_dome": false, "is_fbs_vs_fcs": true, "is_neutral_site": false, "projected_away_points": 18.3, "projected_home_points": 34.6, "projected_margin_home": 16.3, "projected_possessions": 12.4, "projected_total": 52.9, "stadium_elevation_ft": 460, "travel_distance_miles": 572.0, "uncertainty": 0.25, "weather_total_adjustment": 0.0}, "historical_source_observation_times_verified": false, "inference_inputs": {"engine_source_sha256": "449ba2f0e86fa9c445730076a0e0bf100fb4914620be53c75c6f3bfe24298f3f", "mu_away": 18.3, "mu_home": 34.6,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-38.5, "total_line": 56.5}, "market_type": "spread", "model_version": "cfb-spread-v1", "observed_at_utc": "2026-09-11T22:03:43.985121+00:00", "probabilities": {"away": 0.911533, "home": 0.088467, "push": 0.0}, "replay_scope": "Full precision score means, exact engine parameters and original RNG state; upstream feature construction not certified.", "schema": "cfb-joint-replay-v1", "snapshot_hash": "ac1c7556e952e0fb23fbf427300c6a435f14e906846a84e40d7b2bcf15f2d5be", "sport": "NCAAF"}</t>
        </is>
      </c>
    </row>
    <row r="8" ht="36" customHeight="1">
      <c r="A8" s="24" t="inlineStr">
        <is>
          <t>9e9671094fd44db5</t>
        </is>
      </c>
      <c r="B8" s="24" t="inlineStr">
        <is>
          <t>2026-09-11T22:03:43.985121Z</t>
        </is>
      </c>
      <c r="C8" s="24" t="inlineStr">
        <is>
          <t>2026-09-11T23:00Z</t>
        </is>
      </c>
      <c r="D8" s="24" t="inlineStr">
        <is>
          <t>401858215</t>
        </is>
      </c>
      <c r="E8" s="24" t="inlineStr">
        <is>
          <t>NCAAF</t>
        </is>
      </c>
      <c r="F8" s="24" t="inlineStr">
        <is>
          <t>Villanova Wildcats</t>
        </is>
      </c>
      <c r="G8" s="24" t="inlineStr">
        <is>
          <t>Louisville Cardinals</t>
        </is>
      </c>
      <c r="H8" s="24" t="inlineStr">
        <is>
          <t>total</t>
        </is>
      </c>
      <c r="I8" s="24" t="inlineStr">
        <is>
          <t>under</t>
        </is>
      </c>
      <c r="J8" s="25" t="n">
        <v>56.5</v>
      </c>
      <c r="K8" s="24" t="inlineStr">
        <is>
          <t>espn_consensus</t>
        </is>
      </c>
      <c r="L8" s="26" t="n">
        <v>-108</v>
      </c>
      <c r="M8" s="27" t="n">
        <v>1.925926</v>
      </c>
      <c r="N8" s="28" t="n">
        <v>0.519231</v>
      </c>
      <c r="O8" s="28" t="n">
        <v>0.5996</v>
      </c>
      <c r="P8" s="28" t="n">
        <v>0.25</v>
      </c>
      <c r="Q8" s="28" t="n">
        <v>0.080369</v>
      </c>
      <c r="R8" s="26" t="n">
        <v>0</v>
      </c>
      <c r="S8" s="29" t="n">
        <v>1</v>
      </c>
      <c r="T8" s="24" t="inlineStr">
        <is>
          <t>cfb-total-v1</t>
        </is>
      </c>
      <c r="U8" s="24" t="inlineStr">
        <is>
          <t>settled</t>
        </is>
      </c>
      <c r="V8" s="24" t="inlineStr">
        <is>
          <t>loss</t>
        </is>
      </c>
      <c r="W8" s="26" t="n">
        <v>13</v>
      </c>
      <c r="X8" s="26" t="n">
        <v>59</v>
      </c>
      <c r="Y8" s="25" t="n"/>
      <c r="Z8" s="26" t="n"/>
      <c r="AA8" s="28" t="n"/>
      <c r="AB8" s="28" t="n"/>
      <c r="AC8" s="30" t="n">
        <v>-1</v>
      </c>
      <c r="AD8" s="24" t="inlineStr">
        <is>
          <t>2026-09-12T04:30:51.941040Z</t>
        </is>
      </c>
      <c r="AE8" s="31" t="inlineStr">
        <is>
          <t>Projected total 52.9 pts (Weather adj: +0.0 pts). Total line 56.5 -&gt; P(Over)=0.400, P(Under)=0.600, P(Push)=0.000.</t>
        </is>
      </c>
      <c r="AF8" s="31" t="inlineStr">
        <is>
          <t>College football model; multi-market (moneyline, spread, total).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4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Villanova Wildcats</t>
        </is>
      </c>
      <c r="AQ8" s="24" t="inlineStr">
        <is>
          <t>Villanova Wildcats</t>
        </is>
      </c>
      <c r="AR8" s="24" t="inlineStr">
        <is>
          <t>Villanova Wildcats</t>
        </is>
      </c>
      <c r="AS8" s="24" t="inlineStr">
        <is>
          <t>Louisville Cardinals</t>
        </is>
      </c>
      <c r="AT8" s="24" t="inlineStr">
        <is>
          <t>Louisville Cardinals</t>
        </is>
      </c>
      <c r="AU8" s="24" t="inlineStr">
        <is>
          <t>Louisville Cardinals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1d168f11d221cd3c</t>
        </is>
      </c>
      <c r="BB8" s="24" t="inlineStr">
        <is>
          <t>cfb_key_number_engine</t>
        </is>
      </c>
      <c r="BC8" s="24" t="inlineStr">
        <is>
          <t>cfb-total-v1</t>
        </is>
      </c>
      <c r="BD8" s="24" t="inlineStr">
        <is>
          <t>1d168f11d221cd3c</t>
        </is>
      </c>
      <c r="BE8" s="24" t="inlineStr">
        <is>
          <t>cfb-v1</t>
        </is>
      </c>
      <c r="BF8" s="24" t="inlineStr">
        <is>
          <t>1</t>
        </is>
      </c>
      <c r="BG8" s="24" t="inlineStr">
        <is>
          <t>1d168f11d221cd3c</t>
        </is>
      </c>
      <c r="BH8" s="24" t="inlineStr">
        <is>
          <t>2026-09-11T22:03:43.985121+00:00</t>
        </is>
      </c>
      <c r="BI8" s="24" t="inlineStr">
        <is>
          <t>["same_event","same_team_same_day","same_league_same_day"]</t>
        </is>
      </c>
      <c r="BJ8" s="25" t="n">
        <v>56.5</v>
      </c>
      <c r="BK8" s="26" t="n">
        <v>-108</v>
      </c>
      <c r="BL8" s="27" t="n">
        <v>1.925926</v>
      </c>
      <c r="BM8" s="28" t="n">
        <v>0.519231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0.519231</t>
        </is>
      </c>
      <c r="DK8" s="24" t="n"/>
      <c r="DL8" s="24" t="n"/>
      <c r="DM8" s="24" t="n"/>
      <c r="DN8" s="24" t="n"/>
      <c r="DO8" s="24" t="n"/>
      <c r="DP8" s="24" t="n"/>
      <c r="DQ8" s="24" t="inlineStr">
        <is>
          <t>{"artifact_hash": "1d168f11d221cd3c", "event_id": "401858215", "event_start_utc": "2026-09-11T23:00Z", "features": {"altitude_fatigue_penalty": 0.0, "away_team": "Villanova Wildcats", "efficiency_gap": 2.739, "elo_away": 1298.6, "elo_home": 1634.0, "elo_home_win_prob": 0.9093, "event_id": "401858215", "game_start_utc": "2026-09-11T23:00Z", "home_field_advantage_points": 2.8, "home_team": "Louisville Cardinals", "is_dome": false, "is_fbs_vs_fcs": true, "is_neutral_site": false, "projected_away_points": 18.3, "projected_home_points": 34.6, "projected_margin_home": 16.3, "projected_possessions": 12.4, "projected_total": 52.9, "stadium_elevation_ft": 460, "travel_distance_miles": 572.0, "uncertainty": 0.25, "weather_total_adjustment": 0.0}, "historical_source_observation_times_verified": false, "inference_inputs": {"engine_source_sha256": "449ba2f0e86fa9c445730076a0e0bf100fb4914620be53c75c6f3bfe24298f3f", "mu_away": 18.3, "mu_home": 34.6,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-38.5, "total_line": 56.5}, "market_type": "total", "model_version": "cfb-total-v1", "observed_at_utc": "2026-09-11T22:03:43.985121+00:00", "probabilities": {"over": 0.4004, "push": 0.0, "under": 0.5996}, "replay_scope": "Full precision score means, exact engine parameters and original RNG state; upstream feature construction not certified.", "schema": "cfb-joint-replay-v1", "snapshot_hash": "43c17d981ee87680b5b229172b7b5a4bbd19fd8f6a1039fdb7ee86ddf561acf9", "sport": "NCAAF"}</t>
        </is>
      </c>
    </row>
    <row r="9" ht="36" customHeight="1">
      <c r="A9" s="24" t="inlineStr">
        <is>
          <t>67cc350efc2c4d48</t>
        </is>
      </c>
      <c r="B9" s="24" t="inlineStr">
        <is>
          <t>2026-09-11T22:03:43.985121Z</t>
        </is>
      </c>
      <c r="C9" s="24" t="inlineStr">
        <is>
          <t>2026-09-11T23:00Z</t>
        </is>
      </c>
      <c r="D9" s="24" t="inlineStr">
        <is>
          <t>401858220</t>
        </is>
      </c>
      <c r="E9" s="24" t="inlineStr">
        <is>
          <t>NCAAF</t>
        </is>
      </c>
      <c r="F9" s="24" t="inlineStr">
        <is>
          <t>Norfolk State Spartans</t>
        </is>
      </c>
      <c r="G9" s="24" t="inlineStr">
        <is>
          <t>Virginia Cavaliers</t>
        </is>
      </c>
      <c r="H9" s="24" t="inlineStr">
        <is>
          <t>spread</t>
        </is>
      </c>
      <c r="I9" s="24" t="inlineStr">
        <is>
          <t>away</t>
        </is>
      </c>
      <c r="J9" s="25" t="n">
        <v>46.5</v>
      </c>
      <c r="K9" s="24" t="inlineStr">
        <is>
          <t>espn_consensus</t>
        </is>
      </c>
      <c r="L9" s="26" t="n">
        <v>-108</v>
      </c>
      <c r="M9" s="27" t="n">
        <v>1.925926</v>
      </c>
      <c r="N9" s="28" t="n">
        <v>0.519231</v>
      </c>
      <c r="O9" s="28" t="n">
        <v>0.9628</v>
      </c>
      <c r="P9" s="28" t="n">
        <v>0.18</v>
      </c>
      <c r="Q9" s="28" t="n">
        <v>0.443569</v>
      </c>
      <c r="R9" s="26" t="n">
        <v>100</v>
      </c>
      <c r="S9" s="29" t="n">
        <v>2</v>
      </c>
      <c r="T9" s="24" t="inlineStr">
        <is>
          <t>cfb-spread-v1</t>
        </is>
      </c>
      <c r="U9" s="24" t="inlineStr">
        <is>
          <t>settled</t>
        </is>
      </c>
      <c r="V9" s="24" t="inlineStr">
        <is>
          <t>loss</t>
        </is>
      </c>
      <c r="W9" s="26" t="n">
        <v>3</v>
      </c>
      <c r="X9" s="26" t="n">
        <v>59</v>
      </c>
      <c r="Y9" s="25" t="n"/>
      <c r="Z9" s="26" t="n"/>
      <c r="AA9" s="28" t="n"/>
      <c r="AB9" s="28" t="n"/>
      <c r="AC9" s="30" t="n">
        <v>-2</v>
      </c>
      <c r="AD9" s="24" t="inlineStr">
        <is>
          <t>2026-09-12T04:30:52.208410Z</t>
        </is>
      </c>
      <c r="AE9" s="31" t="inlineStr">
        <is>
          <t>Projected home margin +17.3 pts. Spread: Home -46.5 / Away +46.5 -&gt; P(Away cover)=0.963, P(Home cover)=0.037, P(Push)=0.000.</t>
        </is>
      </c>
      <c r="AF9" s="31" t="inlineStr">
        <is>
          <t>College football model; multi-market (moneyline, spread, total).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4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Norfolk State Spartans</t>
        </is>
      </c>
      <c r="AQ9" s="24" t="inlineStr">
        <is>
          <t>Norfolk State Spartans</t>
        </is>
      </c>
      <c r="AR9" s="24" t="inlineStr">
        <is>
          <t>Norfolk State Spartans</t>
        </is>
      </c>
      <c r="AS9" s="24" t="inlineStr">
        <is>
          <t>Virginia Cavaliers</t>
        </is>
      </c>
      <c r="AT9" s="24" t="inlineStr">
        <is>
          <t>Virginia Cavaliers</t>
        </is>
      </c>
      <c r="AU9" s="24" t="inlineStr">
        <is>
          <t>Virginia Cavaliers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1d168f11d221cd3c</t>
        </is>
      </c>
      <c r="BB9" s="24" t="inlineStr">
        <is>
          <t>cfb_key_number_engine</t>
        </is>
      </c>
      <c r="BC9" s="24" t="inlineStr">
        <is>
          <t>cfb-spread-v1</t>
        </is>
      </c>
      <c r="BD9" s="24" t="inlineStr">
        <is>
          <t>1d168f11d221cd3c</t>
        </is>
      </c>
      <c r="BE9" s="24" t="inlineStr">
        <is>
          <t>cfb-v1</t>
        </is>
      </c>
      <c r="BF9" s="24" t="inlineStr">
        <is>
          <t>1</t>
        </is>
      </c>
      <c r="BG9" s="24" t="inlineStr">
        <is>
          <t>1d168f11d221cd3c</t>
        </is>
      </c>
      <c r="BH9" s="24" t="inlineStr">
        <is>
          <t>2026-09-11T22:03:43.985121+00:00</t>
        </is>
      </c>
      <c r="BI9" s="24" t="inlineStr">
        <is>
          <t>["same_event","same_team_same_day","same_league_same_day"]</t>
        </is>
      </c>
      <c r="BJ9" s="25" t="n">
        <v>46.5</v>
      </c>
      <c r="BK9" s="26" t="n">
        <v>-108</v>
      </c>
      <c r="BL9" s="27" t="n">
        <v>1.925926</v>
      </c>
      <c r="BM9" s="28" t="n">
        <v>0.519231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0.519231</t>
        </is>
      </c>
      <c r="DK9" s="24" t="n"/>
      <c r="DL9" s="24" t="n"/>
      <c r="DM9" s="24" t="n"/>
      <c r="DN9" s="24" t="n"/>
      <c r="DO9" s="24" t="n"/>
      <c r="DP9" s="24" t="n"/>
      <c r="DQ9" s="24" t="inlineStr">
        <is>
          <t>{"artifact_hash": "1d168f11d221cd3c", "event_id": "401858220", "event_start_utc": "2026-09-11T23:00Z", "features": {"altitude_fatigue_penalty": 0.0, "away_team": "Norfolk State Spartans", "efficiency_gap": 1.762, "elo_away": 1337.5, "elo_home": 1696.3, "elo_home_win_prob": 0.9198, "event_id": "401858220", "game_start_utc": "2026-09-11T23:00Z", "home_field_advantage_points": 2.8, "home_team": "Virginia Cavaliers", "is_dome": false, "is_fbs_vs_fcs": false, "is_neutral_site": false, "projected_away_points": 18.2, "projected_home_points": 35.5, "projected_margin_home": 17.3, "projected_possessions": 12.4, "projected_total": 53.7,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18.2, "mu_home": 35.5,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255236910709323351179106212751071580488}, "uinteger": 0}, "spread_home_line": -46.5, "total_line": 56.5}, "market_type": "spread", "model_version": "cfb-spread-v1", "observed_at_utc": "2026-09-11T22:03:43.985121+00:00", "probabilities": {"away": 0.9628, "home": 0.0372, "push": 0.0}, "replay_scope": "Full precision score means, exact engine parameters and original RNG state; upstream feature construction not certified.", "schema": "cfb-joint-replay-v1", "snapshot_hash": "2d1a2fd7b4cfdfac939a65120f2efc19f648a1c53873ab7211992fdab53b2208", "sport": "NCAAF"}</t>
        </is>
      </c>
    </row>
    <row r="10" ht="36" customHeight="1">
      <c r="A10" s="24" t="inlineStr">
        <is>
          <t>c4bf63b016a34ac5</t>
        </is>
      </c>
      <c r="B10" s="24" t="inlineStr">
        <is>
          <t>2026-09-11T22:03:43.985121Z</t>
        </is>
      </c>
      <c r="C10" s="24" t="inlineStr">
        <is>
          <t>2026-09-11T23:00Z</t>
        </is>
      </c>
      <c r="D10" s="24" t="inlineStr">
        <is>
          <t>401858220</t>
        </is>
      </c>
      <c r="E10" s="24" t="inlineStr">
        <is>
          <t>NCAAF</t>
        </is>
      </c>
      <c r="F10" s="24" t="inlineStr">
        <is>
          <t>Norfolk State Spartans</t>
        </is>
      </c>
      <c r="G10" s="24" t="inlineStr">
        <is>
          <t>Virginia Cavaliers</t>
        </is>
      </c>
      <c r="H10" s="24" t="inlineStr">
        <is>
          <t>total</t>
        </is>
      </c>
      <c r="I10" s="24" t="inlineStr">
        <is>
          <t>under</t>
        </is>
      </c>
      <c r="J10" s="25" t="n">
        <v>56.5</v>
      </c>
      <c r="K10" s="24" t="inlineStr">
        <is>
          <t>espn_consensus</t>
        </is>
      </c>
      <c r="L10" s="26" t="n">
        <v>-115</v>
      </c>
      <c r="M10" s="27" t="n">
        <v>1.869565</v>
      </c>
      <c r="N10" s="28" t="n">
        <v>0.534884</v>
      </c>
      <c r="O10" s="28" t="n">
        <v>0.581267</v>
      </c>
      <c r="P10" s="28" t="n">
        <v>0.18</v>
      </c>
      <c r="Q10" s="28" t="n">
        <v>0.046383</v>
      </c>
      <c r="R10" s="26" t="n">
        <v>0</v>
      </c>
      <c r="S10" s="29" t="n">
        <v>1</v>
      </c>
      <c r="T10" s="24" t="inlineStr">
        <is>
          <t>cfb-total-v1</t>
        </is>
      </c>
      <c r="U10" s="24" t="inlineStr">
        <is>
          <t>settled</t>
        </is>
      </c>
      <c r="V10" s="24" t="inlineStr">
        <is>
          <t>loss</t>
        </is>
      </c>
      <c r="W10" s="26" t="n">
        <v>3</v>
      </c>
      <c r="X10" s="26" t="n">
        <v>59</v>
      </c>
      <c r="Y10" s="25" t="n"/>
      <c r="Z10" s="26" t="n"/>
      <c r="AA10" s="28" t="n"/>
      <c r="AB10" s="28" t="n"/>
      <c r="AC10" s="30" t="n">
        <v>-1</v>
      </c>
      <c r="AD10" s="24" t="inlineStr">
        <is>
          <t>2026-09-12T04:30:52.467325Z</t>
        </is>
      </c>
      <c r="AE10" s="31" t="inlineStr">
        <is>
          <t>Projected total 53.7 pts (Weather adj: +0.0 pts). Total line 56.5 -&gt; P(Over)=0.419, P(Under)=0.581, P(Push)=0.000.</t>
        </is>
      </c>
      <c r="AF10" s="31" t="inlineStr">
        <is>
          <t>College football model; multi-market (moneyline, spread, total).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Norfolk State Spartans</t>
        </is>
      </c>
      <c r="AQ10" s="24" t="inlineStr">
        <is>
          <t>Norfolk State Spartans</t>
        </is>
      </c>
      <c r="AR10" s="24" t="inlineStr">
        <is>
          <t>Norfolk State Spartans</t>
        </is>
      </c>
      <c r="AS10" s="24" t="inlineStr">
        <is>
          <t>Virginia Cavaliers</t>
        </is>
      </c>
      <c r="AT10" s="24" t="inlineStr">
        <is>
          <t>Virginia Cavaliers</t>
        </is>
      </c>
      <c r="AU10" s="24" t="inlineStr">
        <is>
          <t>Virginia Cavaliers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1d168f11d221cd3c</t>
        </is>
      </c>
      <c r="BB10" s="24" t="inlineStr">
        <is>
          <t>cfb_key_number_engine</t>
        </is>
      </c>
      <c r="BC10" s="24" t="inlineStr">
        <is>
          <t>cfb-total-v1</t>
        </is>
      </c>
      <c r="BD10" s="24" t="inlineStr">
        <is>
          <t>1d168f11d221cd3c</t>
        </is>
      </c>
      <c r="BE10" s="24" t="inlineStr">
        <is>
          <t>cfb-v1</t>
        </is>
      </c>
      <c r="BF10" s="24" t="inlineStr">
        <is>
          <t>1</t>
        </is>
      </c>
      <c r="BG10" s="24" t="inlineStr">
        <is>
          <t>1d168f11d221cd3c</t>
        </is>
      </c>
      <c r="BH10" s="24" t="inlineStr">
        <is>
          <t>2026-09-11T22:03:43.985121+00:00</t>
        </is>
      </c>
      <c r="BI10" s="24" t="inlineStr">
        <is>
          <t>["same_event","same_team_same_day","same_league_same_day"]</t>
        </is>
      </c>
      <c r="BJ10" s="25" t="n">
        <v>56.5</v>
      </c>
      <c r="BK10" s="26" t="n">
        <v>-115</v>
      </c>
      <c r="BL10" s="27" t="n">
        <v>1.869565</v>
      </c>
      <c r="BM10" s="28" t="n">
        <v>0.534884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0.534884</t>
        </is>
      </c>
      <c r="DK10" s="24" t="n"/>
      <c r="DL10" s="24" t="n"/>
      <c r="DM10" s="24" t="n"/>
      <c r="DN10" s="24" t="n"/>
      <c r="DO10" s="24" t="n"/>
      <c r="DP10" s="24" t="n"/>
      <c r="DQ10" s="24" t="inlineStr">
        <is>
          <t>{"artifact_hash": "1d168f11d221cd3c", "event_id": "401858220", "event_start_utc": "2026-09-11T23:00Z", "features": {"altitude_fatigue_penalty": 0.0, "away_team": "Norfolk State Spartans", "efficiency_gap": 1.762, "elo_away": 1337.5, "elo_home": 1696.3, "elo_home_win_prob": 0.9198, "event_id": "401858220", "game_start_utc": "2026-09-11T23:00Z", "home_field_advantage_points": 2.8, "home_team": "Virginia Cavaliers", "is_dome": false, "is_fbs_vs_fcs": false, "is_neutral_site": false, "projected_away_points": 18.2, "projected_home_points": 35.5, "projected_margin_home": 17.3, "projected_possessions": 12.4, "projected_total": 53.7,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18.2, "mu_home": 35.5,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255236910709323351179106212751071580488}, "uinteger": 0}, "spread_home_line": -46.5, "total_line": 56.5}, "market_type": "total", "model_version": "cfb-total-v1", "observed_at_utc": "2026-09-11T22:03:43.985121+00:00", "probabilities": {"over": 0.418733, "push": 0.0, "under": 0.581267}, "replay_scope": "Full precision score means, exact engine parameters and original RNG state; upstream feature construction not certified.", "schema": "cfb-joint-replay-v1", "snapshot_hash": "f4bd0fa605b4ce51b4c976b06a94e29bf1e235ff9b41346bba332563ed3795f1", "sport": "NCAAF"}</t>
        </is>
      </c>
    </row>
    <row r="11" ht="36" customHeight="1">
      <c r="A11" s="24" t="inlineStr">
        <is>
          <t>c1fcee4476584f82</t>
        </is>
      </c>
      <c r="B11" s="24" t="inlineStr">
        <is>
          <t>2026-09-11T22:03:43.985121Z</t>
        </is>
      </c>
      <c r="C11" s="24" t="inlineStr">
        <is>
          <t>2026-09-11T23:00Z</t>
        </is>
      </c>
      <c r="D11" s="24" t="inlineStr">
        <is>
          <t>401858222</t>
        </is>
      </c>
      <c r="E11" s="24" t="inlineStr">
        <is>
          <t>NCAAF</t>
        </is>
      </c>
      <c r="F11" s="24" t="inlineStr">
        <is>
          <t>Richmond Spiders</t>
        </is>
      </c>
      <c r="G11" s="24" t="inlineStr">
        <is>
          <t>NC State Wolfpack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espn_consensus</t>
        </is>
      </c>
      <c r="L11" s="26" t="n">
        <v>-6500</v>
      </c>
      <c r="M11" s="27" t="n">
        <v>1.015385</v>
      </c>
      <c r="N11" s="28" t="n">
        <v>0.9848479999999999</v>
      </c>
      <c r="O11" s="28" t="n">
        <v>0.73576</v>
      </c>
      <c r="P11" s="28" t="n">
        <v>0.18</v>
      </c>
      <c r="Q11" s="28" t="n">
        <v>-0.249088</v>
      </c>
      <c r="R11" s="26" t="n">
        <v>0</v>
      </c>
      <c r="S11" s="29" t="n">
        <v>1</v>
      </c>
      <c r="T11" s="24" t="inlineStr">
        <is>
          <t>college-football-v1</t>
        </is>
      </c>
      <c r="U11" s="24" t="inlineStr">
        <is>
          <t>settled</t>
        </is>
      </c>
      <c r="V11" s="24" t="inlineStr">
        <is>
          <t>win</t>
        </is>
      </c>
      <c r="W11" s="26" t="n">
        <v>0</v>
      </c>
      <c r="X11" s="26" t="n">
        <v>73</v>
      </c>
      <c r="Y11" s="25" t="n"/>
      <c r="Z11" s="26" t="n"/>
      <c r="AA11" s="28" t="n"/>
      <c r="AB11" s="28" t="n"/>
      <c r="AC11" s="30" t="n">
        <v>0.0154</v>
      </c>
      <c r="AD11" s="24" t="inlineStr">
        <is>
          <t>2026-09-12T04:30:52.727898Z</t>
        </is>
      </c>
      <c r="AE11" s="31" t="inlineStr">
        <is>
          <t>CFB Joint Model (negative_binomial): proj score Richmond Spiders 21.7 @ NC State Wolfpack 31.4 (Margin +9.7). Possessions: 12.4, HFA: +2.8 pts.</t>
        </is>
      </c>
      <c r="AF11" s="31" t="inlineStr">
        <is>
          <t>College football model; multi-market (moneyline, spread, total).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Richmond Spiders</t>
        </is>
      </c>
      <c r="AQ11" s="24" t="inlineStr">
        <is>
          <t>Richmond Spiders</t>
        </is>
      </c>
      <c r="AR11" s="24" t="inlineStr">
        <is>
          <t>Richmond Spiders</t>
        </is>
      </c>
      <c r="AS11" s="24" t="inlineStr">
        <is>
          <t>NC State Wolfpack</t>
        </is>
      </c>
      <c r="AT11" s="24" t="inlineStr">
        <is>
          <t>NC State Wolfpack</t>
        </is>
      </c>
      <c r="AU11" s="24" t="inlineStr">
        <is>
          <t>NC State Wolfpack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1d168f11d221cd3c</t>
        </is>
      </c>
      <c r="BB11" s="24" t="inlineStr">
        <is>
          <t>cfb_key_number_engine</t>
        </is>
      </c>
      <c r="BC11" s="24" t="inlineStr">
        <is>
          <t>college-football-v1</t>
        </is>
      </c>
      <c r="BD11" s="24" t="inlineStr">
        <is>
          <t>1d168f11d221cd3c</t>
        </is>
      </c>
      <c r="BE11" s="24" t="inlineStr">
        <is>
          <t>cfb-v1</t>
        </is>
      </c>
      <c r="BF11" s="24" t="inlineStr">
        <is>
          <t>1</t>
        </is>
      </c>
      <c r="BG11" s="24" t="inlineStr">
        <is>
          <t>1d168f11d221cd3c</t>
        </is>
      </c>
      <c r="BH11" s="24" t="inlineStr">
        <is>
          <t>2026-09-11T22:03:43.985121+00:00</t>
        </is>
      </c>
      <c r="BI11" s="24" t="inlineStr">
        <is>
          <t>["same_event","same_team_same_day","same_league_same_day"]</t>
        </is>
      </c>
      <c r="BJ11" s="25" t="n"/>
      <c r="BK11" s="26" t="n">
        <v>-6500</v>
      </c>
      <c r="BL11" s="27" t="n">
        <v>1.015385</v>
      </c>
      <c r="BM11" s="28" t="n">
        <v>0.9848479999999999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>
        <v>1</v>
      </c>
      <c r="BY11" s="27" t="n">
        <v>0.015385</v>
      </c>
      <c r="BZ11" s="24" t="inlineStr">
        <is>
          <t>2026-09-12T04:30:52.727898Z</t>
        </is>
      </c>
      <c r="CA11" s="31" t="inlineStr">
        <is>
          <t>fixed one-unit hypothetical scoring; no real exposure or execution</t>
        </is>
      </c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0.984848</t>
        </is>
      </c>
      <c r="DK11" s="24" t="n"/>
      <c r="DL11" s="24" t="n"/>
      <c r="DM11" s="24" t="n"/>
      <c r="DN11" s="24" t="n"/>
      <c r="DO11" s="24" t="n"/>
      <c r="DP11" s="24" t="n"/>
      <c r="DQ11" s="24" t="inlineStr">
        <is>
          <t>{"artifact_hash": "1d168f11d221cd3c", "event_id": "401858222", "event_start_utc": "2026-09-11T23:00Z", "features": {"altitude_fatigue_penalty": 0.0, "away_team": "Richmond Spiders", "efficiency_gap": 0.84, "elo_away": 1337.5, "elo_home": 1510.8, "elo_home_win_prob": 0.7976, "event_id": "401858222", "game_start_utc": "2026-09-11T23:00Z", "home_field_advantage_points": 2.8, "home_team": "NC State Wolfpack", "is_dome": false, "is_fbs_vs_fcs": false, "is_neutral_site": false, "projected_away_points": 21.7, "projected_home_points": 31.4, "projected_margin_home": 9.7,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21.7, "mu_home": 31.4,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228511892959235175374043247951410154593}, "uinteger": 0}, "spread_home_line": -33.5, "total_line": 50.5}, "market_type": "moneyline", "model_version": "college-football-v1", "observed_at_utc": "2026-09-11T22:03:43.985121+00:00", "probabilities": {"away": 0.26424, "home": 0.73576}, "replay_scope": "Full precision score means, exact engine parameters and original RNG state; upstream feature construction not certified.", "schema": "cfb-joint-replay-v1", "snapshot_hash": "a1f8846a81ba35e16815b2048af00989303176e84077f8afd27e8ce6ce6f43dc", "sport": "NCAAF"}</t>
        </is>
      </c>
    </row>
    <row r="12" ht="36" customHeight="1">
      <c r="A12" s="24" t="inlineStr">
        <is>
          <t>81359f0591804958</t>
        </is>
      </c>
      <c r="B12" s="24" t="inlineStr">
        <is>
          <t>2026-09-11T22:03:43.985121Z</t>
        </is>
      </c>
      <c r="C12" s="24" t="inlineStr">
        <is>
          <t>2026-09-11T23:00Z</t>
        </is>
      </c>
      <c r="D12" s="24" t="inlineStr">
        <is>
          <t>401858222</t>
        </is>
      </c>
      <c r="E12" s="24" t="inlineStr">
        <is>
          <t>NCAAF</t>
        </is>
      </c>
      <c r="F12" s="24" t="inlineStr">
        <is>
          <t>Richmond Spiders</t>
        </is>
      </c>
      <c r="G12" s="24" t="inlineStr">
        <is>
          <t>NC State Wolfpack</t>
        </is>
      </c>
      <c r="H12" s="24" t="inlineStr">
        <is>
          <t>spread</t>
        </is>
      </c>
      <c r="I12" s="24" t="inlineStr">
        <is>
          <t>away</t>
        </is>
      </c>
      <c r="J12" s="25" t="n">
        <v>33.5</v>
      </c>
      <c r="K12" s="24" t="inlineStr">
        <is>
          <t>espn_consensus</t>
        </is>
      </c>
      <c r="L12" s="26" t="n">
        <v>-108</v>
      </c>
      <c r="M12" s="27" t="n">
        <v>1.925926</v>
      </c>
      <c r="N12" s="28" t="n">
        <v>0.519231</v>
      </c>
      <c r="O12" s="28" t="n">
        <v>0.923</v>
      </c>
      <c r="P12" s="28" t="n">
        <v>0.18</v>
      </c>
      <c r="Q12" s="28" t="n">
        <v>0.403769</v>
      </c>
      <c r="R12" s="26" t="n">
        <v>100</v>
      </c>
      <c r="S12" s="29" t="n">
        <v>2</v>
      </c>
      <c r="T12" s="24" t="inlineStr">
        <is>
          <t>cfb-spread-v1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73</v>
      </c>
      <c r="Y12" s="25" t="n"/>
      <c r="Z12" s="26" t="n"/>
      <c r="AA12" s="28" t="n"/>
      <c r="AB12" s="28" t="n"/>
      <c r="AC12" s="30" t="n">
        <v>-2</v>
      </c>
      <c r="AD12" s="24" t="inlineStr">
        <is>
          <t>2026-09-12T04:30:52.971371Z</t>
        </is>
      </c>
      <c r="AE12" s="31" t="inlineStr">
        <is>
          <t>Projected home margin +9.7 pts. Spread: Home -33.5 / Away +33.5 -&gt; P(Away cover)=0.923, P(Home cover)=0.077, P(Push)=0.000.</t>
        </is>
      </c>
      <c r="AF12" s="31" t="inlineStr">
        <is>
          <t>College football model; multi-market (moneyline, spread, total).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4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Richmond Spiders</t>
        </is>
      </c>
      <c r="AQ12" s="24" t="inlineStr">
        <is>
          <t>Richmond Spiders</t>
        </is>
      </c>
      <c r="AR12" s="24" t="inlineStr">
        <is>
          <t>Richmond Spiders</t>
        </is>
      </c>
      <c r="AS12" s="24" t="inlineStr">
        <is>
          <t>NC State Wolfpack</t>
        </is>
      </c>
      <c r="AT12" s="24" t="inlineStr">
        <is>
          <t>NC State Wolfpack</t>
        </is>
      </c>
      <c r="AU12" s="24" t="inlineStr">
        <is>
          <t>NC State Wolfpack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1d168f11d221cd3c</t>
        </is>
      </c>
      <c r="BB12" s="24" t="inlineStr">
        <is>
          <t>cfb_key_number_engine</t>
        </is>
      </c>
      <c r="BC12" s="24" t="inlineStr">
        <is>
          <t>cfb-spread-v1</t>
        </is>
      </c>
      <c r="BD12" s="24" t="inlineStr">
        <is>
          <t>1d168f11d221cd3c</t>
        </is>
      </c>
      <c r="BE12" s="24" t="inlineStr">
        <is>
          <t>cfb-v1</t>
        </is>
      </c>
      <c r="BF12" s="24" t="inlineStr">
        <is>
          <t>1</t>
        </is>
      </c>
      <c r="BG12" s="24" t="inlineStr">
        <is>
          <t>1d168f11d221cd3c</t>
        </is>
      </c>
      <c r="BH12" s="24" t="inlineStr">
        <is>
          <t>2026-09-11T22:03:43.985121+00:00</t>
        </is>
      </c>
      <c r="BI12" s="24" t="inlineStr">
        <is>
          <t>["same_event","same_team_same_day","same_league_same_day"]</t>
        </is>
      </c>
      <c r="BJ12" s="25" t="n">
        <v>33.5</v>
      </c>
      <c r="BK12" s="26" t="n">
        <v>-108</v>
      </c>
      <c r="BL12" s="27" t="n">
        <v>1.925926</v>
      </c>
      <c r="BM12" s="28" t="n">
        <v>0.519231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0.519231</t>
        </is>
      </c>
      <c r="DK12" s="24" t="n"/>
      <c r="DL12" s="24" t="n"/>
      <c r="DM12" s="24" t="n"/>
      <c r="DN12" s="24" t="n"/>
      <c r="DO12" s="24" t="n"/>
      <c r="DP12" s="24" t="n"/>
      <c r="DQ12" s="24" t="inlineStr">
        <is>
          <t>{"artifact_hash": "1d168f11d221cd3c", "event_id": "401858222", "event_start_utc": "2026-09-11T23:00Z", "features": {"altitude_fatigue_penalty": 0.0, "away_team": "Richmond Spiders", "efficiency_gap": 0.84, "elo_away": 1337.5, "elo_home": 1510.8, "elo_home_win_prob": 0.7976, "event_id": "401858222", "game_start_utc": "2026-09-11T23:00Z", "home_field_advantage_points": 2.8, "home_team": "NC State Wolfpack", "is_dome": false, "is_fbs_vs_fcs": false, "is_neutral_site": false, "projected_away_points": 21.7, "projected_home_points": 31.4, "projected_margin_home": 9.7,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21.7, "mu_home": 31.4,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228511892959235175374043247951410154593}, "uinteger": 0}, "spread_home_line": -33.5, "total_line": 50.5}, "market_type": "spread", "model_version": "cfb-spread-v1", "observed_at_utc": "2026-09-11T22:03:43.985121+00:00", "probabilities": {"away": 0.923, "home": 0.077, "push": 0.0}, "replay_scope": "Full precision score means, exact engine parameters and original RNG state; upstream feature construction not certified.", "schema": "cfb-joint-replay-v1", "snapshot_hash": "54c6036b9ef742930f4a6b16daf9055fbf7de25c020bcf2417f4180407842c87", "sport": "NCAAF"}</t>
        </is>
      </c>
    </row>
    <row r="13" ht="36" customHeight="1">
      <c r="A13" s="24" t="inlineStr">
        <is>
          <t>c620d4e97a134527</t>
        </is>
      </c>
      <c r="B13" s="24" t="inlineStr">
        <is>
          <t>2026-09-11T22:03:43.985121Z</t>
        </is>
      </c>
      <c r="C13" s="24" t="inlineStr">
        <is>
          <t>2026-09-11T23:00Z</t>
        </is>
      </c>
      <c r="D13" s="24" t="inlineStr">
        <is>
          <t>401858222</t>
        </is>
      </c>
      <c r="E13" s="24" t="inlineStr">
        <is>
          <t>NCAAF</t>
        </is>
      </c>
      <c r="F13" s="24" t="inlineStr">
        <is>
          <t>Richmond Spiders</t>
        </is>
      </c>
      <c r="G13" s="24" t="inlineStr">
        <is>
          <t>NC State Wolfpack</t>
        </is>
      </c>
      <c r="H13" s="24" t="inlineStr">
        <is>
          <t>total</t>
        </is>
      </c>
      <c r="I13" s="24" t="inlineStr">
        <is>
          <t>over</t>
        </is>
      </c>
      <c r="J13" s="25" t="n">
        <v>50.5</v>
      </c>
      <c r="K13" s="24" t="inlineStr">
        <is>
          <t>espn_consensus</t>
        </is>
      </c>
      <c r="L13" s="26" t="n">
        <v>-110</v>
      </c>
      <c r="M13" s="27" t="n">
        <v>1.909091</v>
      </c>
      <c r="N13" s="28" t="n">
        <v>0.52381</v>
      </c>
      <c r="O13" s="28" t="n">
        <v>0.5264</v>
      </c>
      <c r="P13" s="28" t="n">
        <v>0.18</v>
      </c>
      <c r="Q13" s="28" t="n">
        <v>0.00259</v>
      </c>
      <c r="R13" s="26" t="n">
        <v>0</v>
      </c>
      <c r="S13" s="29" t="n">
        <v>1</v>
      </c>
      <c r="T13" s="24" t="inlineStr">
        <is>
          <t>cfb-total-v1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73</v>
      </c>
      <c r="Y13" s="25" t="n"/>
      <c r="Z13" s="26" t="n"/>
      <c r="AA13" s="28" t="n"/>
      <c r="AB13" s="28" t="n"/>
      <c r="AC13" s="30" t="n">
        <v>0.9091</v>
      </c>
      <c r="AD13" s="24" t="inlineStr">
        <is>
          <t>2026-09-12T04:30:53.291831Z</t>
        </is>
      </c>
      <c r="AE13" s="31" t="inlineStr">
        <is>
          <t>Projected total 53.1 pts (Weather adj: +0.0 pts). Total line 50.5 -&gt; P(Over)=0.526, P(Under)=0.474, P(Push)=0.000.</t>
        </is>
      </c>
      <c r="AF13" s="31" t="inlineStr">
        <is>
          <t>College football model; multi-market (moneyline, spread, total).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Richmond Spiders</t>
        </is>
      </c>
      <c r="AQ13" s="24" t="inlineStr">
        <is>
          <t>Richmond Spiders</t>
        </is>
      </c>
      <c r="AR13" s="24" t="inlineStr">
        <is>
          <t>Richmond Spiders</t>
        </is>
      </c>
      <c r="AS13" s="24" t="inlineStr">
        <is>
          <t>NC State Wolfpack</t>
        </is>
      </c>
      <c r="AT13" s="24" t="inlineStr">
        <is>
          <t>NC State Wolfpack</t>
        </is>
      </c>
      <c r="AU13" s="24" t="inlineStr">
        <is>
          <t>NC State Wolfpack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1d168f11d221cd3c</t>
        </is>
      </c>
      <c r="BB13" s="24" t="inlineStr">
        <is>
          <t>cfb_key_number_engine</t>
        </is>
      </c>
      <c r="BC13" s="24" t="inlineStr">
        <is>
          <t>cfb-total-v1</t>
        </is>
      </c>
      <c r="BD13" s="24" t="inlineStr">
        <is>
          <t>1d168f11d221cd3c</t>
        </is>
      </c>
      <c r="BE13" s="24" t="inlineStr">
        <is>
          <t>cfb-v1</t>
        </is>
      </c>
      <c r="BF13" s="24" t="inlineStr">
        <is>
          <t>1</t>
        </is>
      </c>
      <c r="BG13" s="24" t="inlineStr">
        <is>
          <t>1d168f11d221cd3c</t>
        </is>
      </c>
      <c r="BH13" s="24" t="inlineStr">
        <is>
          <t>2026-09-11T22:03:43.985121+00:00</t>
        </is>
      </c>
      <c r="BI13" s="24" t="inlineStr">
        <is>
          <t>["same_event","same_team_same_day","same_league_same_day"]</t>
        </is>
      </c>
      <c r="BJ13" s="25" t="n">
        <v>50.5</v>
      </c>
      <c r="BK13" s="26" t="n">
        <v>-110</v>
      </c>
      <c r="BL13" s="27" t="n">
        <v>1.909091</v>
      </c>
      <c r="BM13" s="28" t="n">
        <v>0.52381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>
        <v>1</v>
      </c>
      <c r="BY13" s="27" t="n">
        <v>0.909091</v>
      </c>
      <c r="BZ13" s="24" t="inlineStr">
        <is>
          <t>2026-09-12T04:30:53.291831Z</t>
        </is>
      </c>
      <c r="CA13" s="31" t="inlineStr">
        <is>
          <t>fixed one-unit hypothetical scoring; no real exposure or execution</t>
        </is>
      </c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0.52381</t>
        </is>
      </c>
      <c r="DK13" s="24" t="n"/>
      <c r="DL13" s="24" t="n"/>
      <c r="DM13" s="24" t="n"/>
      <c r="DN13" s="24" t="n"/>
      <c r="DO13" s="24" t="n"/>
      <c r="DP13" s="24" t="n"/>
      <c r="DQ13" s="24" t="inlineStr">
        <is>
          <t>{"artifact_hash": "1d168f11d221cd3c", "event_id": "401858222", "event_start_utc": "2026-09-11T23:00Z", "features": {"altitude_fatigue_penalty": 0.0, "away_team": "Richmond Spiders", "efficiency_gap": 0.84, "elo_away": 1337.5, "elo_home": 1510.8, "elo_home_win_prob": 0.7976, "event_id": "401858222", "game_start_utc": "2026-09-11T23:00Z", "home_field_advantage_points": 2.8, "home_team": "NC State Wolfpack", "is_dome": false, "is_fbs_vs_fcs": false, "is_neutral_site": false, "projected_away_points": 21.7, "projected_home_points": 31.4, "projected_margin_home": 9.7,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21.7, "mu_home": 31.4,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228511892959235175374043247951410154593}, "uinteger": 0}, "spread_home_line": -33.5, "total_line": 50.5}, "market_type": "total", "model_version": "cfb-total-v1", "observed_at_utc": "2026-09-11T22:03:43.985121+00:00", "probabilities": {"over": 0.5264, "push": 0.0, "under": 0.4736}, "replay_scope": "Full precision score means, exact engine parameters and original RNG state; upstream feature construction not certified.", "schema": "cfb-joint-replay-v1", "snapshot_hash": "1803169eefb6a246deca753382e9b5b35628dd37abc5ea392c4429a59157b660", "sport": "NCAAF"}</t>
        </is>
      </c>
    </row>
    <row r="14" ht="36" customHeight="1">
      <c r="A14" s="24" t="inlineStr">
        <is>
          <t>5f5cd9e774ef4692</t>
        </is>
      </c>
      <c r="B14" s="24" t="inlineStr">
        <is>
          <t>2026-09-11T22:03:43.985121Z</t>
        </is>
      </c>
      <c r="C14" s="24" t="inlineStr">
        <is>
          <t>2026-09-11T23:30Z</t>
        </is>
      </c>
      <c r="D14" s="24" t="inlineStr">
        <is>
          <t>401858214</t>
        </is>
      </c>
      <c r="E14" s="24" t="inlineStr">
        <is>
          <t>NCAAF</t>
        </is>
      </c>
      <c r="F14" s="24" t="inlineStr">
        <is>
          <t>Rutgers Scarlet Knights</t>
        </is>
      </c>
      <c r="G14" s="24" t="inlineStr">
        <is>
          <t>Boston College Eagles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espn_consensus</t>
        </is>
      </c>
      <c r="L14" s="26" t="n">
        <v>-148</v>
      </c>
      <c r="M14" s="27" t="n">
        <v>1.675676</v>
      </c>
      <c r="N14" s="28" t="n">
        <v>0.596774</v>
      </c>
      <c r="O14" s="28" t="n">
        <v>0.530779</v>
      </c>
      <c r="P14" s="28" t="n">
        <v>0.165</v>
      </c>
      <c r="Q14" s="28" t="n">
        <v>-0.065995</v>
      </c>
      <c r="R14" s="26" t="n">
        <v>0</v>
      </c>
      <c r="S14" s="29" t="n">
        <v>1</v>
      </c>
      <c r="T14" s="24" t="inlineStr">
        <is>
          <t>college-football-v1</t>
        </is>
      </c>
      <c r="U14" s="24" t="inlineStr">
        <is>
          <t>settled</t>
        </is>
      </c>
      <c r="V14" s="24" t="inlineStr">
        <is>
          <t>win</t>
        </is>
      </c>
      <c r="W14" s="26" t="n">
        <v>21</v>
      </c>
      <c r="X14" s="26" t="n">
        <v>28</v>
      </c>
      <c r="Y14" s="25" t="n"/>
      <c r="Z14" s="26" t="n"/>
      <c r="AA14" s="28" t="n"/>
      <c r="AB14" s="28" t="n"/>
      <c r="AC14" s="30" t="n">
        <v>0.6757</v>
      </c>
      <c r="AD14" s="24" t="inlineStr">
        <is>
          <t>2026-09-12T04:30:53.556491Z</t>
        </is>
      </c>
      <c r="AE14" s="31" t="inlineStr">
        <is>
          <t>CFB Joint Model (negative_binomial): proj score Rutgers Scarlet Knights 26.8 @ Boston College Eagles 27.7 (Margin +0.9). Possessions: 12.4, HFA: +2.8 pts.</t>
        </is>
      </c>
      <c r="AF14" s="31" t="inlineStr">
        <is>
          <t>College football model; multi-market (moneyline, spread, total).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Rutgers Scarlet Knights</t>
        </is>
      </c>
      <c r="AQ14" s="24" t="inlineStr">
        <is>
          <t>Rutgers Scarlet Knights</t>
        </is>
      </c>
      <c r="AR14" s="24" t="inlineStr">
        <is>
          <t>Rutgers Scarlet Knights</t>
        </is>
      </c>
      <c r="AS14" s="24" t="inlineStr">
        <is>
          <t>Boston College Eagles</t>
        </is>
      </c>
      <c r="AT14" s="24" t="inlineStr">
        <is>
          <t>Boston College Eagles</t>
        </is>
      </c>
      <c r="AU14" s="24" t="inlineStr">
        <is>
          <t>Boston College Eagles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1d168f11d221cd3c</t>
        </is>
      </c>
      <c r="BB14" s="24" t="inlineStr">
        <is>
          <t>cfb_key_number_engine</t>
        </is>
      </c>
      <c r="BC14" s="24" t="inlineStr">
        <is>
          <t>college-football-v1</t>
        </is>
      </c>
      <c r="BD14" s="24" t="inlineStr">
        <is>
          <t>1d168f11d221cd3c</t>
        </is>
      </c>
      <c r="BE14" s="24" t="inlineStr">
        <is>
          <t>cfb-v1</t>
        </is>
      </c>
      <c r="BF14" s="24" t="inlineStr">
        <is>
          <t>1</t>
        </is>
      </c>
      <c r="BG14" s="24" t="inlineStr">
        <is>
          <t>1d168f11d221cd3c</t>
        </is>
      </c>
      <c r="BH14" s="24" t="inlineStr">
        <is>
          <t>2026-09-11T22:03:43.985121+00:00</t>
        </is>
      </c>
      <c r="BI14" s="24" t="inlineStr">
        <is>
          <t>["same_event","same_team_same_day","same_league_same_day"]</t>
        </is>
      </c>
      <c r="BJ14" s="25" t="n"/>
      <c r="BK14" s="26" t="n">
        <v>-148</v>
      </c>
      <c r="BL14" s="27" t="n">
        <v>1.675676</v>
      </c>
      <c r="BM14" s="28" t="n">
        <v>0.596774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>
        <v>1</v>
      </c>
      <c r="BY14" s="27" t="n">
        <v>0.6756760000000001</v>
      </c>
      <c r="BZ14" s="24" t="inlineStr">
        <is>
          <t>2026-09-12T04:30:53.556491Z</t>
        </is>
      </c>
      <c r="CA14" s="31" t="inlineStr">
        <is>
          <t>fixed one-unit hypothetical scoring; no real exposure or execution</t>
        </is>
      </c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0.596774</t>
        </is>
      </c>
      <c r="DK14" s="24" t="n"/>
      <c r="DL14" s="24" t="n"/>
      <c r="DM14" s="24" t="n"/>
      <c r="DN14" s="24" t="n"/>
      <c r="DO14" s="24" t="n"/>
      <c r="DP14" s="24" t="n"/>
      <c r="DQ14" s="24" t="inlineStr">
        <is>
          <t>{"artifact_hash": "1d168f11d221cd3c", "event_id": "401858214", "event_start_utc": "2026-09-11T23:30Z", "features": {"altitude_fatigue_penalty": 0.0, "away_team": "Rutgers Scarlet Knights", "efficiency_gap": -0.615, "elo_away": 1301.2, "elo_home": 1259.7, "elo_home_win_prob": 0.5338, "event_id": "401858214", "game_start_utc": "2026-09-11T23:30Z", "home_field_advantage_points": 2.8, "home_team": "Boston College Eagles", "is_dome": false, "is_fbs_vs_fcs": false, "is_neutral_site": false, "projected_away_points": 26.8, "projected_home_points": 27.7, "projected_margin_home": 0.9, "projected_possessions": 12.4, "projected_total": 54.4, "stadium_elevation_ft": 150, "travel_distance_miles": 212.0, "uncertainty": 0.165, "weather_total_adjustment": 0.0}, "historical_source_observation_times_verified": false, "inference_inputs": {"engine_source_sha256": "449ba2f0e86fa9c445730076a0e0bf100fb4914620be53c75c6f3bfe24298f3f", "mu_away": 26.8, "mu_home": 27.7,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11284201397073843613717501403953681886}, "uinteger": 0}, "spread_home_line": -3.0, "total_line": 53.5}, "market_type": "moneyline", "model_version": "college-football-v1", "observed_at_utc": "2026-09-11T22:03:43.985121+00:00", "probabilities": {"away": 0.469221, "home": 0.530779}, "replay_scope": "Full precision score means, exact engine parameters and original RNG state; upstream feature construction not certified.", "schema": "cfb-joint-replay-v1", "snapshot_hash": "a88ec53cc3741a27e189272e01d9b6590d7f8426434fc528124d18823de21954", "sport": "NCAAF"}</t>
        </is>
      </c>
    </row>
    <row r="15" ht="36" customHeight="1">
      <c r="A15" s="24" t="inlineStr">
        <is>
          <t>9a461294e0c641ff</t>
        </is>
      </c>
      <c r="B15" s="24" t="inlineStr">
        <is>
          <t>2026-09-11T22:03:43.985121Z</t>
        </is>
      </c>
      <c r="C15" s="24" t="inlineStr">
        <is>
          <t>2026-09-11T23:30Z</t>
        </is>
      </c>
      <c r="D15" s="24" t="inlineStr">
        <is>
          <t>401858214</t>
        </is>
      </c>
      <c r="E15" s="24" t="inlineStr">
        <is>
          <t>NCAAF</t>
        </is>
      </c>
      <c r="F15" s="24" t="inlineStr">
        <is>
          <t>Rutgers Scarlet Knights</t>
        </is>
      </c>
      <c r="G15" s="24" t="inlineStr">
        <is>
          <t>Boston College Eagles</t>
        </is>
      </c>
      <c r="H15" s="24" t="inlineStr">
        <is>
          <t>spread</t>
        </is>
      </c>
      <c r="I15" s="24" t="inlineStr">
        <is>
          <t>away</t>
        </is>
      </c>
      <c r="J15" s="25" t="n">
        <v>3</v>
      </c>
      <c r="K15" s="24" t="inlineStr">
        <is>
          <t>espn_consensus</t>
        </is>
      </c>
      <c r="L15" s="26" t="n">
        <v>-112</v>
      </c>
      <c r="M15" s="27" t="n">
        <v>1.892857</v>
      </c>
      <c r="N15" s="28" t="n">
        <v>0.528302</v>
      </c>
      <c r="O15" s="28" t="n">
        <v>0.5346</v>
      </c>
      <c r="P15" s="28" t="n">
        <v>0.165</v>
      </c>
      <c r="Q15" s="28" t="n">
        <v>0.006298</v>
      </c>
      <c r="R15" s="26" t="n">
        <v>0</v>
      </c>
      <c r="S15" s="29" t="n">
        <v>1</v>
      </c>
      <c r="T15" s="24" t="inlineStr">
        <is>
          <t>cfb-spread-v1</t>
        </is>
      </c>
      <c r="U15" s="24" t="inlineStr">
        <is>
          <t>settled</t>
        </is>
      </c>
      <c r="V15" s="24" t="inlineStr">
        <is>
          <t>loss</t>
        </is>
      </c>
      <c r="W15" s="26" t="n">
        <v>21</v>
      </c>
      <c r="X15" s="26" t="n">
        <v>28</v>
      </c>
      <c r="Y15" s="25" t="n"/>
      <c r="Z15" s="26" t="n"/>
      <c r="AA15" s="28" t="n"/>
      <c r="AB15" s="28" t="n"/>
      <c r="AC15" s="30" t="n">
        <v>-1</v>
      </c>
      <c r="AD15" s="24" t="inlineStr">
        <is>
          <t>2026-09-12T04:30:53.799488Z</t>
        </is>
      </c>
      <c r="AE15" s="31" t="inlineStr">
        <is>
          <t>Projected home margin +0.9 pts. Spread: Home -3.0 / Away +3.0 -&gt; P(Away cover)=0.535, P(Home cover)=0.440, P(Push)=0.026.</t>
        </is>
      </c>
      <c r="AF15" s="31" t="inlineStr">
        <is>
          <t>College football model; multi-market (moneyline, spread, total).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Rutgers Scarlet Knights</t>
        </is>
      </c>
      <c r="AQ15" s="24" t="inlineStr">
        <is>
          <t>Rutgers Scarlet Knights</t>
        </is>
      </c>
      <c r="AR15" s="24" t="inlineStr">
        <is>
          <t>Rutgers Scarlet Knights</t>
        </is>
      </c>
      <c r="AS15" s="24" t="inlineStr">
        <is>
          <t>Boston College Eagles</t>
        </is>
      </c>
      <c r="AT15" s="24" t="inlineStr">
        <is>
          <t>Boston College Eagles</t>
        </is>
      </c>
      <c r="AU15" s="24" t="inlineStr">
        <is>
          <t>Boston College Eagles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1d168f11d221cd3c</t>
        </is>
      </c>
      <c r="BB15" s="24" t="inlineStr">
        <is>
          <t>cfb_key_number_engine</t>
        </is>
      </c>
      <c r="BC15" s="24" t="inlineStr">
        <is>
          <t>cfb-spread-v1</t>
        </is>
      </c>
      <c r="BD15" s="24" t="inlineStr">
        <is>
          <t>1d168f11d221cd3c</t>
        </is>
      </c>
      <c r="BE15" s="24" t="inlineStr">
        <is>
          <t>cfb-v1</t>
        </is>
      </c>
      <c r="BF15" s="24" t="inlineStr">
        <is>
          <t>1</t>
        </is>
      </c>
      <c r="BG15" s="24" t="inlineStr">
        <is>
          <t>1d168f11d221cd3c</t>
        </is>
      </c>
      <c r="BH15" s="24" t="inlineStr">
        <is>
          <t>2026-09-11T22:03:43.985121+00:00</t>
        </is>
      </c>
      <c r="BI15" s="24" t="inlineStr">
        <is>
          <t>["same_event","same_team_same_day","same_league_same_day"]</t>
        </is>
      </c>
      <c r="BJ15" s="25" t="n">
        <v>3</v>
      </c>
      <c r="BK15" s="26" t="n">
        <v>-112</v>
      </c>
      <c r="BL15" s="27" t="n">
        <v>1.892857</v>
      </c>
      <c r="BM15" s="28" t="n">
        <v>0.528302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>
        <v>1</v>
      </c>
      <c r="BY15" s="27" t="n">
        <v>-1</v>
      </c>
      <c r="BZ15" s="24" t="inlineStr">
        <is>
          <t>2026-09-12T04:30:53.799488Z</t>
        </is>
      </c>
      <c r="CA15" s="31" t="inlineStr">
        <is>
          <t>fixed one-unit hypothetical scoring; no real exposure or execution</t>
        </is>
      </c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0.528302</t>
        </is>
      </c>
      <c r="DK15" s="24" t="n"/>
      <c r="DL15" s="24" t="n"/>
      <c r="DM15" s="24" t="n"/>
      <c r="DN15" s="24" t="n"/>
      <c r="DO15" s="24" t="n"/>
      <c r="DP15" s="24" t="n"/>
      <c r="DQ15" s="24" t="inlineStr">
        <is>
          <t>{"artifact_hash": "1d168f11d221cd3c", "event_id": "401858214", "event_start_utc": "2026-09-11T23:30Z", "features": {"altitude_fatigue_penalty": 0.0, "away_team": "Rutgers Scarlet Knights", "efficiency_gap": -0.615, "elo_away": 1301.2, "elo_home": 1259.7, "elo_home_win_prob": 0.5338, "event_id": "401858214", "game_start_utc": "2026-09-11T23:30Z", "home_field_advantage_points": 2.8, "home_team": "Boston College Eagles", "is_dome": false, "is_fbs_vs_fcs": false, "is_neutral_site": false, "projected_away_points": 26.8, "projected_home_points": 27.7, "projected_margin_home": 0.9, "projected_possessions": 12.4, "projected_total": 54.4, "stadium_elevation_ft": 150, "travel_distance_miles": 212.0, "uncertainty": 0.165, "weather_total_adjustment": 0.0}, "historical_source_observation_times_verified": false, "inference_inputs": {"engine_source_sha256": "449ba2f0e86fa9c445730076a0e0bf100fb4914620be53c75c6f3bfe24298f3f", "mu_away": 26.8, "mu_home": 27.7,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11284201397073843613717501403953681886}, "uinteger": 0}, "spread_home_line": -3.0, "total_line": 53.5}, "market_type": "spread", "model_version": "cfb-spread-v1", "observed_at_utc": "2026-09-11T22:03:43.985121+00:00", "probabilities": {"away": 0.5346, "home": 0.4398, "push": 0.0256}, "replay_scope": "Full precision score means, exact engine parameters and original RNG state; upstream feature construction not certified.", "schema": "cfb-joint-replay-v1", "snapshot_hash": "aba722a47cf2469b1f4193d64ba817206ce1d1bf3d52f5195f4eedc06c3aea64", "sport": "NCAAF"}</t>
        </is>
      </c>
    </row>
    <row r="16" ht="36" customHeight="1">
      <c r="A16" s="24" t="inlineStr">
        <is>
          <t>18f7180c220342ab</t>
        </is>
      </c>
      <c r="B16" s="24" t="inlineStr">
        <is>
          <t>2026-09-11T22:03:43.985121Z</t>
        </is>
      </c>
      <c r="C16" s="24" t="inlineStr">
        <is>
          <t>2026-09-11T23:30Z</t>
        </is>
      </c>
      <c r="D16" s="24" t="inlineStr">
        <is>
          <t>401858214</t>
        </is>
      </c>
      <c r="E16" s="24" t="inlineStr">
        <is>
          <t>NCAAF</t>
        </is>
      </c>
      <c r="F16" s="24" t="inlineStr">
        <is>
          <t>Rutgers Scarlet Knights</t>
        </is>
      </c>
      <c r="G16" s="24" t="inlineStr">
        <is>
          <t>Boston College Eagles</t>
        </is>
      </c>
      <c r="H16" s="24" t="inlineStr">
        <is>
          <t>total</t>
        </is>
      </c>
      <c r="I16" s="24" t="inlineStr">
        <is>
          <t>under</t>
        </is>
      </c>
      <c r="J16" s="25" t="n">
        <v>53.5</v>
      </c>
      <c r="K16" s="24" t="inlineStr">
        <is>
          <t>espn_consensus</t>
        </is>
      </c>
      <c r="L16" s="26" t="n">
        <v>-115</v>
      </c>
      <c r="M16" s="27" t="n">
        <v>1.869565</v>
      </c>
      <c r="N16" s="28" t="n">
        <v>0.534884</v>
      </c>
      <c r="O16" s="28" t="n">
        <v>0.502533</v>
      </c>
      <c r="P16" s="28" t="n">
        <v>0.165</v>
      </c>
      <c r="Q16" s="28" t="n">
        <v>-0.032351</v>
      </c>
      <c r="R16" s="26" t="n">
        <v>0</v>
      </c>
      <c r="S16" s="29" t="n">
        <v>1</v>
      </c>
      <c r="T16" s="24" t="inlineStr">
        <is>
          <t>cfb-total-v1</t>
        </is>
      </c>
      <c r="U16" s="24" t="inlineStr">
        <is>
          <t>settled</t>
        </is>
      </c>
      <c r="V16" s="24" t="inlineStr">
        <is>
          <t>win</t>
        </is>
      </c>
      <c r="W16" s="26" t="n">
        <v>21</v>
      </c>
      <c r="X16" s="26" t="n">
        <v>28</v>
      </c>
      <c r="Y16" s="25" t="n"/>
      <c r="Z16" s="26" t="n"/>
      <c r="AA16" s="28" t="n"/>
      <c r="AB16" s="28" t="n"/>
      <c r="AC16" s="30" t="n">
        <v>0.8696</v>
      </c>
      <c r="AD16" s="24" t="inlineStr">
        <is>
          <t>2026-09-12T04:30:54.057156Z</t>
        </is>
      </c>
      <c r="AE16" s="31" t="inlineStr">
        <is>
          <t>Projected total 54.4 pts (Weather adj: +0.0 pts). Total line 53.5 -&gt; P(Over)=0.497, P(Under)=0.503, P(Push)=0.000.</t>
        </is>
      </c>
      <c r="AF16" s="31" t="inlineStr">
        <is>
          <t>College football model; multi-market (moneyline, spread, total).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Rutgers Scarlet Knights</t>
        </is>
      </c>
      <c r="AQ16" s="24" t="inlineStr">
        <is>
          <t>Rutgers Scarlet Knights</t>
        </is>
      </c>
      <c r="AR16" s="24" t="inlineStr">
        <is>
          <t>Rutgers Scarlet Knights</t>
        </is>
      </c>
      <c r="AS16" s="24" t="inlineStr">
        <is>
          <t>Boston College Eagles</t>
        </is>
      </c>
      <c r="AT16" s="24" t="inlineStr">
        <is>
          <t>Boston College Eagles</t>
        </is>
      </c>
      <c r="AU16" s="24" t="inlineStr">
        <is>
          <t>Boston College Eagles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1d168f11d221cd3c</t>
        </is>
      </c>
      <c r="BB16" s="24" t="inlineStr">
        <is>
          <t>cfb_key_number_engine</t>
        </is>
      </c>
      <c r="BC16" s="24" t="inlineStr">
        <is>
          <t>cfb-total-v1</t>
        </is>
      </c>
      <c r="BD16" s="24" t="inlineStr">
        <is>
          <t>1d168f11d221cd3c</t>
        </is>
      </c>
      <c r="BE16" s="24" t="inlineStr">
        <is>
          <t>cfb-v1</t>
        </is>
      </c>
      <c r="BF16" s="24" t="inlineStr">
        <is>
          <t>1</t>
        </is>
      </c>
      <c r="BG16" s="24" t="inlineStr">
        <is>
          <t>1d168f11d221cd3c</t>
        </is>
      </c>
      <c r="BH16" s="24" t="inlineStr">
        <is>
          <t>2026-09-11T22:03:43.985121+00:00</t>
        </is>
      </c>
      <c r="BI16" s="24" t="inlineStr">
        <is>
          <t>["same_event","same_team_same_day","same_league_same_day"]</t>
        </is>
      </c>
      <c r="BJ16" s="25" t="n">
        <v>53.5</v>
      </c>
      <c r="BK16" s="26" t="n">
        <v>-115</v>
      </c>
      <c r="BL16" s="27" t="n">
        <v>1.869565</v>
      </c>
      <c r="BM16" s="28" t="n">
        <v>0.534884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>
        <v>1</v>
      </c>
      <c r="BY16" s="27" t="n">
        <v>0.869565</v>
      </c>
      <c r="BZ16" s="24" t="inlineStr">
        <is>
          <t>2026-09-12T04:30:54.057156Z</t>
        </is>
      </c>
      <c r="CA16" s="31" t="inlineStr">
        <is>
          <t>fixed one-unit hypothetical scoring; no real exposure or execution</t>
        </is>
      </c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0.534884</t>
        </is>
      </c>
      <c r="DK16" s="24" t="n"/>
      <c r="DL16" s="24" t="n"/>
      <c r="DM16" s="24" t="n"/>
      <c r="DN16" s="24" t="n"/>
      <c r="DO16" s="24" t="n"/>
      <c r="DP16" s="24" t="n"/>
      <c r="DQ16" s="24" t="inlineStr">
        <is>
          <t>{"artifact_hash": "1d168f11d221cd3c", "event_id": "401858214", "event_start_utc": "2026-09-11T23:30Z", "features": {"altitude_fatigue_penalty": 0.0, "away_team": "Rutgers Scarlet Knights", "efficiency_gap": -0.615, "elo_away": 1301.2, "elo_home": 1259.7, "elo_home_win_prob": 0.5338, "event_id": "401858214", "game_start_utc": "2026-09-11T23:30Z", "home_field_advantage_points": 2.8, "home_team": "Boston College Eagles", "is_dome": false, "is_fbs_vs_fcs": false, "is_neutral_site": false, "projected_away_points": 26.8, "projected_home_points": 27.7, "projected_margin_home": 0.9, "projected_possessions": 12.4, "projected_total": 54.4, "stadium_elevation_ft": 150, "travel_distance_miles": 212.0, "uncertainty": 0.165, "weather_total_adjustment": 0.0}, "historical_source_observation_times_verified": false, "inference_inputs": {"engine_source_sha256": "449ba2f0e86fa9c445730076a0e0bf100fb4914620be53c75c6f3bfe24298f3f", "mu_away": 26.8, "mu_home": 27.7,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11284201397073843613717501403953681886}, "uinteger": 0}, "spread_home_line": -3.0, "total_line": 53.5}, "market_type": "total", "model_version": "cfb-total-v1", "observed_at_utc": "2026-09-11T22:03:43.985121+00:00", "probabilities": {"over": 0.497467, "push": 0.0, "under": 0.502533}, "replay_scope": "Full precision score means, exact engine parameters and original RNG state; upstream feature construction not certified.", "schema": "cfb-joint-replay-v1", "snapshot_hash": "d9d0a0586b9c6bd990a18315e284b0ae087f0e00a48cd6687fba5e9a78e070e4", "sport": "NCAAF"}</t>
        </is>
      </c>
    </row>
    <row r="17" ht="36" customHeight="1">
      <c r="A17" s="24" t="inlineStr">
        <is>
          <t>2753179a927e466b</t>
        </is>
      </c>
      <c r="B17" s="24" t="inlineStr">
        <is>
          <t>2026-09-11T22:03:43.985121Z</t>
        </is>
      </c>
      <c r="C17" s="24" t="inlineStr">
        <is>
          <t>2026-09-12T00:00Z</t>
        </is>
      </c>
      <c r="D17" s="24" t="inlineStr">
        <is>
          <t>401856678</t>
        </is>
      </c>
      <c r="E17" s="24" t="inlineStr">
        <is>
          <t>NCAAF</t>
        </is>
      </c>
      <c r="F17" s="24" t="inlineStr">
        <is>
          <t>Missouri Tigers</t>
        </is>
      </c>
      <c r="G17" s="24" t="inlineStr">
        <is>
          <t>Kansas Jayhawks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espn_consensus</t>
        </is>
      </c>
      <c r="L17" s="26" t="n">
        <v>-192</v>
      </c>
      <c r="M17" s="27" t="n">
        <v>1.520833</v>
      </c>
      <c r="N17" s="28" t="n">
        <v>0.657534</v>
      </c>
      <c r="O17" s="28" t="n">
        <v>0.652339</v>
      </c>
      <c r="P17" s="28" t="n">
        <v>0.18</v>
      </c>
      <c r="Q17" s="28" t="n">
        <v>-0.005195</v>
      </c>
      <c r="R17" s="26" t="n">
        <v>0</v>
      </c>
      <c r="S17" s="29" t="n">
        <v>1</v>
      </c>
      <c r="T17" s="24" t="inlineStr">
        <is>
          <t>college-football-v1</t>
        </is>
      </c>
      <c r="U17" s="24" t="inlineStr">
        <is>
          <t>settled</t>
        </is>
      </c>
      <c r="V17" s="24" t="inlineStr">
        <is>
          <t>win</t>
        </is>
      </c>
      <c r="W17" s="26" t="n">
        <v>38</v>
      </c>
      <c r="X17" s="26" t="n">
        <v>21</v>
      </c>
      <c r="Y17" s="25" t="n"/>
      <c r="Z17" s="26" t="n"/>
      <c r="AA17" s="28" t="n"/>
      <c r="AB17" s="28" t="n"/>
      <c r="AC17" s="30" t="n">
        <v>0.5208</v>
      </c>
      <c r="AD17" s="24" t="inlineStr">
        <is>
          <t>2026-09-12T04:30:54.319063Z</t>
        </is>
      </c>
      <c r="AE17" s="31" t="inlineStr">
        <is>
          <t>CFB Joint Model (negative_binomial): proj score Missouri Tigers 30.7 @ Kansas Jayhawks 24.5 (Margin -6.1). Possessions: 12.4, HFA: +2.8 pts.</t>
        </is>
      </c>
      <c r="AF17" s="31" t="inlineStr">
        <is>
          <t>College football model; multi-market (moneyline, spread, total).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Missouri Tigers</t>
        </is>
      </c>
      <c r="AQ17" s="24" t="inlineStr">
        <is>
          <t>Missouri Tigers</t>
        </is>
      </c>
      <c r="AR17" s="24" t="inlineStr">
        <is>
          <t>Missouri Tigers</t>
        </is>
      </c>
      <c r="AS17" s="24" t="inlineStr">
        <is>
          <t>Kansas Jayhawks</t>
        </is>
      </c>
      <c r="AT17" s="24" t="inlineStr">
        <is>
          <t>Kansas Jayhawks</t>
        </is>
      </c>
      <c r="AU17" s="24" t="inlineStr">
        <is>
          <t>Kansas Jayhawks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1d168f11d221cd3c</t>
        </is>
      </c>
      <c r="BB17" s="24" t="inlineStr">
        <is>
          <t>cfb_key_number_engine</t>
        </is>
      </c>
      <c r="BC17" s="24" t="inlineStr">
        <is>
          <t>college-football-v1</t>
        </is>
      </c>
      <c r="BD17" s="24" t="inlineStr">
        <is>
          <t>1d168f11d221cd3c</t>
        </is>
      </c>
      <c r="BE17" s="24" t="inlineStr">
        <is>
          <t>cfb-v1</t>
        </is>
      </c>
      <c r="BF17" s="24" t="inlineStr">
        <is>
          <t>1</t>
        </is>
      </c>
      <c r="BG17" s="24" t="inlineStr">
        <is>
          <t>1d168f11d221cd3c</t>
        </is>
      </c>
      <c r="BH17" s="24" t="inlineStr">
        <is>
          <t>2026-09-11T22:03:43.985121+00:00</t>
        </is>
      </c>
      <c r="BI17" s="24" t="inlineStr">
        <is>
          <t>["same_event","same_team_same_day","same_league_same_day"]</t>
        </is>
      </c>
      <c r="BJ17" s="25" t="n"/>
      <c r="BK17" s="26" t="n">
        <v>-192</v>
      </c>
      <c r="BL17" s="27" t="n">
        <v>1.520833</v>
      </c>
      <c r="BM17" s="28" t="n">
        <v>0.657534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>
        <v>1</v>
      </c>
      <c r="BY17" s="27" t="n">
        <v>0.520833</v>
      </c>
      <c r="BZ17" s="24" t="inlineStr">
        <is>
          <t>2026-09-12T04:30:54.319063Z</t>
        </is>
      </c>
      <c r="CA17" s="31" t="inlineStr">
        <is>
          <t>fixed one-unit hypothetical scoring; no real exposure or execution</t>
        </is>
      </c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0.657534</t>
        </is>
      </c>
      <c r="DK17" s="24" t="n"/>
      <c r="DL17" s="24" t="n"/>
      <c r="DM17" s="24" t="n"/>
      <c r="DN17" s="24" t="n"/>
      <c r="DO17" s="24" t="n"/>
      <c r="DP17" s="24" t="n"/>
      <c r="DQ17" s="24" t="inlineStr">
        <is>
          <t>{"artifact_hash": "1d168f11d221cd3c", "event_id": "401856678", "event_start_utc": "2026-09-12T00:00Z", "features": {"altitude_fatigue_penalty": 0.0, "away_team": "Missouri Tigers", "efficiency_gap": -0.713, "elo_away": 1560.8, "elo_home": 1345.7, "elo_home_win_prob": 0.2965, "event_id": "401856678", "game_start_utc": "2026-09-12T00:00Z", "home_field_advantage_points": 2.8, "home_team": "Kansas Jayhawks", "is_dome": false, "is_fbs_vs_fcs": false, "is_neutral_site": false, "projected_away_points": 30.7, "projected_home_points": 24.5, "projected_margin_home": -6.1, "projected_possessions": 12.4, "projected_total": 55.2, "stadium_elevation_ft": 870, "travel_distance_miles": 157.0, "uncertainty": 0.18, "weather_total_adjustment": 0.0}, "historical_source_observation_times_verified": false, "inference_inputs": {"engine_source_sha256": "449ba2f0e86fa9c445730076a0e0bf100fb4914620be53c75c6f3bfe24298f3f", "mu_away": 30.7, "mu_home": 24.5,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307142345867179424625139626530862539215}, "uinteger": 0}, "spread_home_line": 4.0, "total_line": 51.5}, "market_type": "moneyline", "model_version": "college-football-v1", "observed_at_utc": "2026-09-11T22:03:43.985121+00:00", "probabilities": {"away": 0.652339, "home": 0.347661}, "replay_scope": "Full precision score means, exact engine parameters and original RNG state; upstream feature construction not certified.", "schema": "cfb-joint-replay-v1", "snapshot_hash": "8699b8ab0f959c96ca47207f5561f7cbb5890a04ca09ac7e4dc20172463faec0", "sport": "NCAAF"}</t>
        </is>
      </c>
    </row>
    <row r="18" ht="36" customHeight="1">
      <c r="A18" s="24" t="inlineStr">
        <is>
          <t>5aba11b1a8fe470d</t>
        </is>
      </c>
      <c r="B18" s="24" t="inlineStr">
        <is>
          <t>2026-09-11T22:03:43.985121Z</t>
        </is>
      </c>
      <c r="C18" s="24" t="inlineStr">
        <is>
          <t>2026-09-12T00:00Z</t>
        </is>
      </c>
      <c r="D18" s="24" t="inlineStr">
        <is>
          <t>401856678</t>
        </is>
      </c>
      <c r="E18" s="24" t="inlineStr">
        <is>
          <t>NCAAF</t>
        </is>
      </c>
      <c r="F18" s="24" t="inlineStr">
        <is>
          <t>Missouri Tigers</t>
        </is>
      </c>
      <c r="G18" s="24" t="inlineStr">
        <is>
          <t>Kansas Jayhawks</t>
        </is>
      </c>
      <c r="H18" s="24" t="inlineStr">
        <is>
          <t>spread</t>
        </is>
      </c>
      <c r="I18" s="24" t="inlineStr">
        <is>
          <t>away</t>
        </is>
      </c>
      <c r="J18" s="25" t="n">
        <v>-4</v>
      </c>
      <c r="K18" s="24" t="inlineStr">
        <is>
          <t>espn_consensus</t>
        </is>
      </c>
      <c r="L18" s="26" t="n">
        <v>-118</v>
      </c>
      <c r="M18" s="27" t="n">
        <v>1.847458</v>
      </c>
      <c r="N18" s="28" t="n">
        <v>0.541284</v>
      </c>
      <c r="O18" s="28" t="n">
        <v>0.545133</v>
      </c>
      <c r="P18" s="28" t="n">
        <v>0.18</v>
      </c>
      <c r="Q18" s="28" t="n">
        <v>0.003849</v>
      </c>
      <c r="R18" s="26" t="n">
        <v>0</v>
      </c>
      <c r="S18" s="29" t="n">
        <v>1</v>
      </c>
      <c r="T18" s="24" t="inlineStr">
        <is>
          <t>cfb-spread-v1</t>
        </is>
      </c>
      <c r="U18" s="24" t="inlineStr">
        <is>
          <t>settled</t>
        </is>
      </c>
      <c r="V18" s="24" t="inlineStr">
        <is>
          <t>win</t>
        </is>
      </c>
      <c r="W18" s="26" t="n">
        <v>38</v>
      </c>
      <c r="X18" s="26" t="n">
        <v>21</v>
      </c>
      <c r="Y18" s="25" t="n"/>
      <c r="Z18" s="26" t="n"/>
      <c r="AA18" s="28" t="n"/>
      <c r="AB18" s="28" t="n"/>
      <c r="AC18" s="30" t="n">
        <v>0.8475</v>
      </c>
      <c r="AD18" s="24" t="inlineStr">
        <is>
          <t>2026-09-12T04:30:54.564836Z</t>
        </is>
      </c>
      <c r="AE18" s="31" t="inlineStr">
        <is>
          <t>Projected home margin -6.1 pts. Spread: Home +4.0 / Away -4.0 -&gt; P(Away cover)=0.545, P(Home cover)=0.429, P(Push)=0.026.</t>
        </is>
      </c>
      <c r="AF18" s="31" t="inlineStr">
        <is>
          <t>College football model; multi-market (moneyline, spread, total).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PAPER_CALL_LOW_EDGE</t>
        </is>
      </c>
      <c r="AP18" s="24" t="inlineStr">
        <is>
          <t>Missouri Tigers</t>
        </is>
      </c>
      <c r="AQ18" s="24" t="inlineStr">
        <is>
          <t>Missouri Tigers</t>
        </is>
      </c>
      <c r="AR18" s="24" t="inlineStr">
        <is>
          <t>Missouri Tigers</t>
        </is>
      </c>
      <c r="AS18" s="24" t="inlineStr">
        <is>
          <t>Kansas Jayhawks</t>
        </is>
      </c>
      <c r="AT18" s="24" t="inlineStr">
        <is>
          <t>Kansas Jayhawks</t>
        </is>
      </c>
      <c r="AU18" s="24" t="inlineStr">
        <is>
          <t>Kansas Jayhawks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1d168f11d221cd3c</t>
        </is>
      </c>
      <c r="BB18" s="24" t="inlineStr">
        <is>
          <t>cfb_key_number_engine</t>
        </is>
      </c>
      <c r="BC18" s="24" t="inlineStr">
        <is>
          <t>cfb-spread-v1</t>
        </is>
      </c>
      <c r="BD18" s="24" t="inlineStr">
        <is>
          <t>1d168f11d221cd3c</t>
        </is>
      </c>
      <c r="BE18" s="24" t="inlineStr">
        <is>
          <t>cfb-v1</t>
        </is>
      </c>
      <c r="BF18" s="24" t="inlineStr">
        <is>
          <t>1</t>
        </is>
      </c>
      <c r="BG18" s="24" t="inlineStr">
        <is>
          <t>1d168f11d221cd3c</t>
        </is>
      </c>
      <c r="BH18" s="24" t="inlineStr">
        <is>
          <t>2026-09-11T22:03:43.985121+00:00</t>
        </is>
      </c>
      <c r="BI18" s="24" t="inlineStr">
        <is>
          <t>["same_event","same_team_same_day","same_league_same_day"]</t>
        </is>
      </c>
      <c r="BJ18" s="25" t="n">
        <v>-4</v>
      </c>
      <c r="BK18" s="26" t="n">
        <v>-118</v>
      </c>
      <c r="BL18" s="27" t="n">
        <v>1.847458</v>
      </c>
      <c r="BM18" s="28" t="n">
        <v>0.541284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>
        <v>1</v>
      </c>
      <c r="BY18" s="27" t="n">
        <v>0.847458</v>
      </c>
      <c r="BZ18" s="24" t="inlineStr">
        <is>
          <t>2026-09-12T04:30:54.564836Z</t>
        </is>
      </c>
      <c r="CA18" s="31" t="inlineStr">
        <is>
          <t>fixed one-unit hypothetical scoring; no real exposure or execution</t>
        </is>
      </c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0.541284</t>
        </is>
      </c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"1d168f11d221cd3c", "event_id": "401856678", "event_start_utc": "2026-09-12T00:00Z", "features": {"altitude_fatigue_penalty": 0.0, "away_team": "Missouri Tigers", "efficiency_gap": -0.713, "elo_away": 1560.8, "elo_home": 1345.7, "elo_home_win_prob": 0.2965, "event_id": "401856678", "game_start_utc": "2026-09-12T00:00Z", "home_field_advantage_points": 2.8, "home_team": "Kansas Jayhawks", "is_dome": false, "is_fbs_vs_fcs": false, "is_neutral_site": false, "projected_away_points": 30.7, "projected_home_points": 24.5, "projected_margin_home": -6.1, "projected_possessions": 12.4, "projected_total": 55.2, "stadium_elevation_ft": 870, "travel_distance_miles": 157.0, "uncertainty": 0.18, "weather_total_adjustment": 0.0}, "historical_source_observation_times_verified": false, "inference_inputs": {"engine_source_sha256": "449ba2f0e86fa9c445730076a0e0bf100fb4914620be53c75c6f3bfe24298f3f", "mu_away": 30.7, "mu_home": 24.5,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307142345867179424625139626530862539215}, "uinteger": 0}, "spread_home_line": 4.0, "total_line": 51.5}, "market_type": "spread", "model_version": "cfb-spread-v1", "observed_at_utc": "2026-09-11T22:03:43.985121+00:00", "probabilities": {"away": 0.545133, "home": 0.428733, "push": 0.026133}, "replay_scope": "Full precision score means, exact engine parameters and original RNG state; upstream feature construction not certified.", "schema": "cfb-joint-replay-v1", "snapshot_hash": "336fb1258e32558a7957ccf52cdce769aca268150e9db1be5c8da792d72dc978", "sport": "NCAAF"}</t>
        </is>
      </c>
    </row>
    <row r="19" ht="36" customHeight="1">
      <c r="A19" s="24" t="inlineStr">
        <is>
          <t>86215e4792314c70</t>
        </is>
      </c>
      <c r="B19" s="24" t="inlineStr">
        <is>
          <t>2026-09-11T22:03:43.985121Z</t>
        </is>
      </c>
      <c r="C19" s="24" t="inlineStr">
        <is>
          <t>2026-09-12T00:00Z</t>
        </is>
      </c>
      <c r="D19" s="24" t="inlineStr">
        <is>
          <t>401856678</t>
        </is>
      </c>
      <c r="E19" s="24" t="inlineStr">
        <is>
          <t>NCAAF</t>
        </is>
      </c>
      <c r="F19" s="24" t="inlineStr">
        <is>
          <t>Missouri Tigers</t>
        </is>
      </c>
      <c r="G19" s="24" t="inlineStr">
        <is>
          <t>Kansas Jayhawks</t>
        </is>
      </c>
      <c r="H19" s="24" t="inlineStr">
        <is>
          <t>total</t>
        </is>
      </c>
      <c r="I19" s="24" t="inlineStr">
        <is>
          <t>over</t>
        </is>
      </c>
      <c r="J19" s="25" t="n">
        <v>51.5</v>
      </c>
      <c r="K19" s="24" t="inlineStr">
        <is>
          <t>espn_consensus</t>
        </is>
      </c>
      <c r="L19" s="26" t="n">
        <v>-112</v>
      </c>
      <c r="M19" s="27" t="n">
        <v>1.892857</v>
      </c>
      <c r="N19" s="28" t="n">
        <v>0.528302</v>
      </c>
      <c r="O19" s="28" t="n">
        <v>0.555333</v>
      </c>
      <c r="P19" s="28" t="n">
        <v>0.18</v>
      </c>
      <c r="Q19" s="28" t="n">
        <v>0.027031</v>
      </c>
      <c r="R19" s="26" t="n">
        <v>0</v>
      </c>
      <c r="S19" s="29" t="n">
        <v>1</v>
      </c>
      <c r="T19" s="24" t="inlineStr">
        <is>
          <t>cfb-total-v1</t>
        </is>
      </c>
      <c r="U19" s="24" t="inlineStr">
        <is>
          <t>settled</t>
        </is>
      </c>
      <c r="V19" s="24" t="inlineStr">
        <is>
          <t>win</t>
        </is>
      </c>
      <c r="W19" s="26" t="n">
        <v>38</v>
      </c>
      <c r="X19" s="26" t="n">
        <v>21</v>
      </c>
      <c r="Y19" s="25" t="n"/>
      <c r="Z19" s="26" t="n"/>
      <c r="AA19" s="28" t="n"/>
      <c r="AB19" s="28" t="n"/>
      <c r="AC19" s="30" t="n">
        <v>0.8929</v>
      </c>
      <c r="AD19" s="24" t="inlineStr">
        <is>
          <t>2026-09-12T04:30:54.829734Z</t>
        </is>
      </c>
      <c r="AE19" s="31" t="inlineStr">
        <is>
          <t>Projected total 55.2 pts (Weather adj: +0.0 pts). Total line 51.5 -&gt; P(Over)=0.555, P(Under)=0.445, P(Push)=0.000.</t>
        </is>
      </c>
      <c r="AF19" s="31" t="inlineStr">
        <is>
          <t>College football model; multi-market (moneyline, spread, total).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Missouri Tigers</t>
        </is>
      </c>
      <c r="AQ19" s="24" t="inlineStr">
        <is>
          <t>Missouri Tigers</t>
        </is>
      </c>
      <c r="AR19" s="24" t="inlineStr">
        <is>
          <t>Missouri Tigers</t>
        </is>
      </c>
      <c r="AS19" s="24" t="inlineStr">
        <is>
          <t>Kansas Jayhawks</t>
        </is>
      </c>
      <c r="AT19" s="24" t="inlineStr">
        <is>
          <t>Kansas Jayhawks</t>
        </is>
      </c>
      <c r="AU19" s="24" t="inlineStr">
        <is>
          <t>Kansas Jayhawks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1d168f11d221cd3c</t>
        </is>
      </c>
      <c r="BB19" s="24" t="inlineStr">
        <is>
          <t>cfb_key_number_engine</t>
        </is>
      </c>
      <c r="BC19" s="24" t="inlineStr">
        <is>
          <t>cfb-total-v1</t>
        </is>
      </c>
      <c r="BD19" s="24" t="inlineStr">
        <is>
          <t>1d168f11d221cd3c</t>
        </is>
      </c>
      <c r="BE19" s="24" t="inlineStr">
        <is>
          <t>cfb-v1</t>
        </is>
      </c>
      <c r="BF19" s="24" t="inlineStr">
        <is>
          <t>1</t>
        </is>
      </c>
      <c r="BG19" s="24" t="inlineStr">
        <is>
          <t>1d168f11d221cd3c</t>
        </is>
      </c>
      <c r="BH19" s="24" t="inlineStr">
        <is>
          <t>2026-09-11T22:03:43.985121+00:00</t>
        </is>
      </c>
      <c r="BI19" s="24" t="inlineStr">
        <is>
          <t>["same_event","same_team_same_day","same_league_same_day"]</t>
        </is>
      </c>
      <c r="BJ19" s="25" t="n">
        <v>51.5</v>
      </c>
      <c r="BK19" s="26" t="n">
        <v>-112</v>
      </c>
      <c r="BL19" s="27" t="n">
        <v>1.892857</v>
      </c>
      <c r="BM19" s="28" t="n">
        <v>0.528302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>
        <v>1</v>
      </c>
      <c r="BY19" s="27" t="n">
        <v>0.892857</v>
      </c>
      <c r="BZ19" s="24" t="inlineStr">
        <is>
          <t>2026-09-12T04:30:54.829734Z</t>
        </is>
      </c>
      <c r="CA19" s="31" t="inlineStr">
        <is>
          <t>fixed one-unit hypothetical scoring; no real exposure or execution</t>
        </is>
      </c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0.528302</t>
        </is>
      </c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"1d168f11d221cd3c", "event_id": "401856678", "event_start_utc": "2026-09-12T00:00Z", "features": {"altitude_fatigue_penalty": 0.0, "away_team": "Missouri Tigers", "efficiency_gap": -0.713, "elo_away": 1560.8, "elo_home": 1345.7, "elo_home_win_prob": 0.2965, "event_id": "401856678", "game_start_utc": "2026-09-12T00:00Z", "home_field_advantage_points": 2.8, "home_team": "Kansas Jayhawks", "is_dome": false, "is_fbs_vs_fcs": false, "is_neutral_site": false, "projected_away_points": 30.7, "projected_home_points": 24.5, "projected_margin_home": -6.1, "projected_possessions": 12.4, "projected_total": 55.2, "stadium_elevation_ft": 870, "travel_distance_miles": 157.0, "uncertainty": 0.18, "weather_total_adjustment": 0.0}, "historical_source_observation_times_verified": false, "inference_inputs": {"engine_source_sha256": "449ba2f0e86fa9c445730076a0e0bf100fb4914620be53c75c6f3bfe24298f3f", "mu_away": 30.7, "mu_home": 24.5,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307142345867179424625139626530862539215}, "uinteger": 0}, "spread_home_line": 4.0, "total_line": 51.5}, "market_type": "total", "model_version": "cfb-total-v1", "observed_at_utc": "2026-09-11T22:03:43.985121+00:00", "probabilities": {"over": 0.555333, "push": 0.0, "under": 0.444667}, "replay_scope": "Full precision score means, exact engine parameters and original RNG state; upstream feature construction not certified.", "schema": "cfb-joint-replay-v1", "snapshot_hash": "8763a9be8962eada583ddcbf0ff8a4d21e6124b2dbdc168fd5f40382b9865023", "sport": "NCAAF"}</t>
        </is>
      </c>
    </row>
    <row r="20" ht="36" customHeight="1">
      <c r="A20" s="24" t="inlineStr">
        <is>
          <t>60dc601a61c143a5</t>
        </is>
      </c>
      <c r="B20" s="24" t="inlineStr">
        <is>
          <t>2026-09-12T10:07:04.114376Z</t>
        </is>
      </c>
      <c r="C20" s="24" t="inlineStr">
        <is>
          <t>2026-09-12T16:00Z</t>
        </is>
      </c>
      <c r="D20" s="24" t="inlineStr">
        <is>
          <t>401858439</t>
        </is>
      </c>
      <c r="E20" s="24" t="inlineStr">
        <is>
          <t>NCAAF</t>
        </is>
      </c>
      <c r="F20" s="24" t="inlineStr">
        <is>
          <t>Howard Bison</t>
        </is>
      </c>
      <c r="G20" s="24" t="inlineStr">
        <is>
          <t>Indiana Hoosiers</t>
        </is>
      </c>
      <c r="H20" s="24" t="inlineStr">
        <is>
          <t>spread</t>
        </is>
      </c>
      <c r="I20" s="24" t="inlineStr">
        <is>
          <t>away</t>
        </is>
      </c>
      <c r="J20" s="25" t="n">
        <v>57.5</v>
      </c>
      <c r="K20" s="24" t="inlineStr">
        <is>
          <t>espn_consensus</t>
        </is>
      </c>
      <c r="L20" s="26" t="n">
        <v>-110</v>
      </c>
      <c r="M20" s="27" t="n">
        <v>1.909091</v>
      </c>
      <c r="N20" s="28" t="n">
        <v>0.52381</v>
      </c>
      <c r="O20" s="28" t="n">
        <v>0.975</v>
      </c>
      <c r="P20" s="28" t="n">
        <v>0.18</v>
      </c>
      <c r="Q20" s="28" t="n">
        <v>0.45119</v>
      </c>
      <c r="R20" s="26" t="n">
        <v>100</v>
      </c>
      <c r="S20" s="29" t="n">
        <v>2</v>
      </c>
      <c r="T20" s="24" t="inlineStr">
        <is>
          <t>cfb-spread-v1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55</v>
      </c>
      <c r="Y20" s="25" t="n"/>
      <c r="Z20" s="26" t="n"/>
      <c r="AA20" s="28" t="n"/>
      <c r="AB20" s="28" t="n"/>
      <c r="AC20" s="30" t="n">
        <v>1.8182</v>
      </c>
      <c r="AD20" s="24" t="inlineStr">
        <is>
          <t>2026-09-12T22:00:21.214516Z</t>
        </is>
      </c>
      <c r="AE20" s="31" t="inlineStr">
        <is>
          <t>Projected home margin +27.0 pts. Spread: Home -57.5 / Away +57.5 -&gt; P(Away cover)=0.975, P(Home cover)=0.025, P(Push)=0.000.</t>
        </is>
      </c>
      <c r="AF20" s="31" t="inlineStr">
        <is>
          <t>College football model; multi-market (moneyline, spread, total).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Howard Bison</t>
        </is>
      </c>
      <c r="AQ20" s="24" t="inlineStr">
        <is>
          <t>Howard Bison</t>
        </is>
      </c>
      <c r="AR20" s="24" t="inlineStr">
        <is>
          <t>Howard Bison</t>
        </is>
      </c>
      <c r="AS20" s="24" t="inlineStr">
        <is>
          <t>Indiana Hoosiers</t>
        </is>
      </c>
      <c r="AT20" s="24" t="inlineStr">
        <is>
          <t>Indiana Hoosiers</t>
        </is>
      </c>
      <c r="AU20" s="24" t="inlineStr">
        <is>
          <t>Indiana Hoosiers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1d168f11d221cd3c</t>
        </is>
      </c>
      <c r="BB20" s="24" t="inlineStr">
        <is>
          <t>cfb_key_number_engine</t>
        </is>
      </c>
      <c r="BC20" s="24" t="inlineStr">
        <is>
          <t>cfb-spread-v1</t>
        </is>
      </c>
      <c r="BD20" s="24" t="inlineStr">
        <is>
          <t>1d168f11d221cd3c</t>
        </is>
      </c>
      <c r="BE20" s="24" t="inlineStr">
        <is>
          <t>cfb-v1</t>
        </is>
      </c>
      <c r="BF20" s="24" t="inlineStr">
        <is>
          <t>1</t>
        </is>
      </c>
      <c r="BG20" s="24" t="inlineStr">
        <is>
          <t>1d168f11d221cd3c</t>
        </is>
      </c>
      <c r="BH20" s="24" t="inlineStr">
        <is>
          <t>2026-09-12T10:07:04.114376+00:00</t>
        </is>
      </c>
      <c r="BI20" s="24" t="inlineStr">
        <is>
          <t>["same_event","same_team_same_day","same_league_same_day"]</t>
        </is>
      </c>
      <c r="BJ20" s="25" t="n">
        <v>57.5</v>
      </c>
      <c r="BK20" s="26" t="n">
        <v>-110</v>
      </c>
      <c r="BL20" s="27" t="n">
        <v>1.909091</v>
      </c>
      <c r="BM20" s="28" t="n">
        <v>0.52381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0.52381</t>
        </is>
      </c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"1d168f11d221cd3c", "event_id": "401858439", "event_start_utc": "2026-09-12T16:00Z", "features": {"altitude_fatigue_penalty": 0.0, "away_team": "Howard Bison", "efficiency_gap": 2.501, "elo_away": 1337.5, "elo_home": 1934.8, "elo_home_win_prob": 0.9784, "event_id": "401858439", "game_start_utc": "2026-09-12T16:00Z", "home_field_advantage_points": 2.8, "home_team": "Indiana Hoosiers", "is_dome": false, "is_fbs_vs_fcs": false, "is_neutral_site": false, "projected_away_points": 13.8, "projected_home_points": 40.8, "projected_margin_home": 27.0, "projected_possessions": 12.4, "projected_total": 54.6,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13.8, "mu_home": 40.8,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-57.5, "total_line": 66.5}, "market_type": "spread", "model_version": "cfb-spread-v1", "observed_at_utc": "2026-09-12T10:07:04.114376+00:00", "probabilities": {"away": 0.975, "home": 0.025, "push": 0.0}, "replay_scope": "Full precision score means, exact engine parameters and original RNG state; upstream feature construction not certified.", "schema": "cfb-joint-replay-v1", "snapshot_hash": "17b40a28327ebbbd02c894aff771881aa343dfd92c26838be351fe2448ec814d", "sport": "NCAAF"}</t>
        </is>
      </c>
    </row>
    <row r="21" ht="36" customHeight="1">
      <c r="A21" s="24" t="inlineStr">
        <is>
          <t>6f79771201304538</t>
        </is>
      </c>
      <c r="B21" s="24" t="inlineStr">
        <is>
          <t>2026-09-12T10:07:04.114376Z</t>
        </is>
      </c>
      <c r="C21" s="24" t="inlineStr">
        <is>
          <t>2026-09-12T16:00Z</t>
        </is>
      </c>
      <c r="D21" s="24" t="inlineStr">
        <is>
          <t>401858439</t>
        </is>
      </c>
      <c r="E21" s="24" t="inlineStr">
        <is>
          <t>NCAAF</t>
        </is>
      </c>
      <c r="F21" s="24" t="inlineStr">
        <is>
          <t>Howard Bison</t>
        </is>
      </c>
      <c r="G21" s="24" t="inlineStr">
        <is>
          <t>Indiana Hoosiers</t>
        </is>
      </c>
      <c r="H21" s="24" t="inlineStr">
        <is>
          <t>total</t>
        </is>
      </c>
      <c r="I21" s="24" t="inlineStr">
        <is>
          <t>under</t>
        </is>
      </c>
      <c r="J21" s="25" t="n">
        <v>66.5</v>
      </c>
      <c r="K21" s="24" t="inlineStr">
        <is>
          <t>espn_consensus</t>
        </is>
      </c>
      <c r="L21" s="26" t="n">
        <v>-118</v>
      </c>
      <c r="M21" s="27" t="n">
        <v>1.847458</v>
      </c>
      <c r="N21" s="28" t="n">
        <v>0.541284</v>
      </c>
      <c r="O21" s="28" t="n">
        <v>0.7456</v>
      </c>
      <c r="P21" s="28" t="n">
        <v>0.18</v>
      </c>
      <c r="Q21" s="28" t="n">
        <v>0.204316</v>
      </c>
      <c r="R21" s="26" t="n">
        <v>44</v>
      </c>
      <c r="S21" s="29" t="n">
        <v>1.25</v>
      </c>
      <c r="T21" s="24" t="inlineStr">
        <is>
          <t>cfb-total-v1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55</v>
      </c>
      <c r="Y21" s="25" t="n"/>
      <c r="Z21" s="26" t="n"/>
      <c r="AA21" s="28" t="n"/>
      <c r="AB21" s="28" t="n"/>
      <c r="AC21" s="30" t="n">
        <v>1.0593</v>
      </c>
      <c r="AD21" s="24" t="inlineStr">
        <is>
          <t>2026-09-12T22:00:21.590829Z</t>
        </is>
      </c>
      <c r="AE21" s="31" t="inlineStr">
        <is>
          <t>Projected total 54.6 pts (Weather adj: +0.0 pts). Total line 66.5 -&gt; P(Over)=0.254, P(Under)=0.746, P(Push)=0.000.</t>
        </is>
      </c>
      <c r="AF21" s="31" t="inlineStr">
        <is>
          <t>College football model; multi-market (moneyline, spread, total).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4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Howard Bison</t>
        </is>
      </c>
      <c r="AQ21" s="24" t="inlineStr">
        <is>
          <t>Howard Bison</t>
        </is>
      </c>
      <c r="AR21" s="24" t="inlineStr">
        <is>
          <t>Howard Bison</t>
        </is>
      </c>
      <c r="AS21" s="24" t="inlineStr">
        <is>
          <t>Indiana Hoosiers</t>
        </is>
      </c>
      <c r="AT21" s="24" t="inlineStr">
        <is>
          <t>Indiana Hoosiers</t>
        </is>
      </c>
      <c r="AU21" s="24" t="inlineStr">
        <is>
          <t>Indiana Hoosiers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1d168f11d221cd3c</t>
        </is>
      </c>
      <c r="BB21" s="24" t="inlineStr">
        <is>
          <t>cfb_key_number_engine</t>
        </is>
      </c>
      <c r="BC21" s="24" t="inlineStr">
        <is>
          <t>cfb-total-v1</t>
        </is>
      </c>
      <c r="BD21" s="24" t="inlineStr">
        <is>
          <t>1d168f11d221cd3c</t>
        </is>
      </c>
      <c r="BE21" s="24" t="inlineStr">
        <is>
          <t>cfb-v1</t>
        </is>
      </c>
      <c r="BF21" s="24" t="inlineStr">
        <is>
          <t>1</t>
        </is>
      </c>
      <c r="BG21" s="24" t="inlineStr">
        <is>
          <t>1d168f11d221cd3c</t>
        </is>
      </c>
      <c r="BH21" s="24" t="inlineStr">
        <is>
          <t>2026-09-12T10:07:04.114376+00:00</t>
        </is>
      </c>
      <c r="BI21" s="24" t="inlineStr">
        <is>
          <t>["same_event","same_team_same_day","same_league_same_day"]</t>
        </is>
      </c>
      <c r="BJ21" s="25" t="n">
        <v>66.5</v>
      </c>
      <c r="BK21" s="26" t="n">
        <v>-118</v>
      </c>
      <c r="BL21" s="27" t="n">
        <v>1.847458</v>
      </c>
      <c r="BM21" s="28" t="n">
        <v>0.541284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0.541284</t>
        </is>
      </c>
      <c r="DK21" s="24" t="n"/>
      <c r="DL21" s="24" t="n"/>
      <c r="DM21" s="24" t="n"/>
      <c r="DN21" s="24" t="n"/>
      <c r="DO21" s="24" t="n"/>
      <c r="DP21" s="24" t="n"/>
      <c r="DQ21" s="24" t="inlineStr">
        <is>
          <t>{"artifact_hash": "1d168f11d221cd3c", "event_id": "401858439", "event_start_utc": "2026-09-12T16:00Z", "features": {"altitude_fatigue_penalty": 0.0, "away_team": "Howard Bison", "efficiency_gap": 2.501, "elo_away": 1337.5, "elo_home": 1934.8, "elo_home_win_prob": 0.9784, "event_id": "401858439", "game_start_utc": "2026-09-12T16:00Z", "home_field_advantage_points": 2.8, "home_team": "Indiana Hoosiers", "is_dome": false, "is_fbs_vs_fcs": false, "is_neutral_site": false, "projected_away_points": 13.8, "projected_home_points": 40.8, "projected_margin_home": 27.0, "projected_possessions": 12.4, "projected_total": 54.6,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13.8, "mu_home": 40.8,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-57.5, "total_line": 66.5}, "market_type": "total", "model_version": "cfb-total-v1", "observed_at_utc": "2026-09-12T10:07:04.114376+00:00", "probabilities": {"over": 0.2544, "push": 0.0, "under": 0.7456}, "replay_scope": "Full precision score means, exact engine parameters and original RNG state; upstream feature construction not certified.", "schema": "cfb-joint-replay-v1", "snapshot_hash": "bd585d28d63e268a98e4237e2c39ca9098744f7ffc528a176793950d42de0af6", "sport": "NCAAF"}</t>
        </is>
      </c>
    </row>
    <row r="22" ht="36" customHeight="1">
      <c r="A22" s="24" t="inlineStr">
        <is>
          <t>c2608673bc4d4858</t>
        </is>
      </c>
      <c r="B22" s="24" t="inlineStr">
        <is>
          <t>2026-09-12T10:07:04.114376Z</t>
        </is>
      </c>
      <c r="C22" s="24" t="inlineStr">
        <is>
          <t>2026-09-12T16:00Z</t>
        </is>
      </c>
      <c r="D22" s="24" t="inlineStr">
        <is>
          <t>401856782</t>
        </is>
      </c>
      <c r="E22" s="24" t="inlineStr">
        <is>
          <t>NCAAF</t>
        </is>
      </c>
      <c r="F22" s="24" t="inlineStr">
        <is>
          <t>Oregon Ducks</t>
        </is>
      </c>
      <c r="G22" s="24" t="inlineStr">
        <is>
          <t>Oklahoma State Cowboys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espn_consensus</t>
        </is>
      </c>
      <c r="L22" s="26" t="n">
        <v>-2100</v>
      </c>
      <c r="M22" s="27" t="n">
        <v>1.047619</v>
      </c>
      <c r="N22" s="28" t="n">
        <v>0.954545</v>
      </c>
      <c r="O22" s="28" t="n">
        <v>0.934488</v>
      </c>
      <c r="P22" s="28" t="n">
        <v>0.165</v>
      </c>
      <c r="Q22" s="28" t="n">
        <v>-0.020057</v>
      </c>
      <c r="R22" s="26" t="n">
        <v>0</v>
      </c>
      <c r="S22" s="29" t="n">
        <v>1</v>
      </c>
      <c r="T22" s="24" t="inlineStr">
        <is>
          <t>college-football-v1</t>
        </is>
      </c>
      <c r="U22" s="24" t="inlineStr">
        <is>
          <t>settled</t>
        </is>
      </c>
      <c r="V22" s="24" t="inlineStr">
        <is>
          <t>loss</t>
        </is>
      </c>
      <c r="W22" s="26" t="n">
        <v>31</v>
      </c>
      <c r="X22" s="26" t="n">
        <v>39</v>
      </c>
      <c r="Y22" s="25" t="n"/>
      <c r="Z22" s="26" t="n"/>
      <c r="AA22" s="28" t="n"/>
      <c r="AB22" s="28" t="n"/>
      <c r="AC22" s="30" t="n">
        <v>-1</v>
      </c>
      <c r="AD22" s="24" t="inlineStr">
        <is>
          <t>2026-09-12T22:00:22.001862Z</t>
        </is>
      </c>
      <c r="AE22" s="31" t="inlineStr">
        <is>
          <t>CFB Joint Model (negative_binomial): proj score Oregon Ducks 39.9 @ Oklahoma State Cowboys 14.8 (Margin -25.1). Possessions: 12.4, HFA: +2.8 pts.</t>
        </is>
      </c>
      <c r="AF22" s="31" t="inlineStr">
        <is>
          <t>College football model; multi-market (moneyline, spread, total).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paper_call</t>
        </is>
      </c>
      <c r="AL22" s="26" t="n">
        <v>4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PAPER_CALL_LOW_EDGE</t>
        </is>
      </c>
      <c r="AP22" s="24" t="inlineStr">
        <is>
          <t>Oregon Ducks</t>
        </is>
      </c>
      <c r="AQ22" s="24" t="inlineStr">
        <is>
          <t>Oregon Ducks</t>
        </is>
      </c>
      <c r="AR22" s="24" t="inlineStr">
        <is>
          <t>Oregon Ducks</t>
        </is>
      </c>
      <c r="AS22" s="24" t="inlineStr">
        <is>
          <t>Oklahoma State Cowboys</t>
        </is>
      </c>
      <c r="AT22" s="24" t="inlineStr">
        <is>
          <t>Oklahoma State Cowboys</t>
        </is>
      </c>
      <c r="AU22" s="24" t="inlineStr">
        <is>
          <t>Oklahoma State Cowboys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1d168f11d221cd3c</t>
        </is>
      </c>
      <c r="BB22" s="24" t="inlineStr">
        <is>
          <t>cfb_key_number_engine</t>
        </is>
      </c>
      <c r="BC22" s="24" t="inlineStr">
        <is>
          <t>college-football-v1</t>
        </is>
      </c>
      <c r="BD22" s="24" t="inlineStr">
        <is>
          <t>1d168f11d221cd3c</t>
        </is>
      </c>
      <c r="BE22" s="24" t="inlineStr">
        <is>
          <t>cfb-v1</t>
        </is>
      </c>
      <c r="BF22" s="24" t="inlineStr">
        <is>
          <t>1</t>
        </is>
      </c>
      <c r="BG22" s="24" t="inlineStr">
        <is>
          <t>1d168f11d221cd3c</t>
        </is>
      </c>
      <c r="BH22" s="24" t="inlineStr">
        <is>
          <t>2026-09-12T10:07:04.114376+00:00</t>
        </is>
      </c>
      <c r="BI22" s="24" t="inlineStr">
        <is>
          <t>["same_event","same_team_same_day","same_league_same_day"]</t>
        </is>
      </c>
      <c r="BJ22" s="25" t="n"/>
      <c r="BK22" s="26" t="n">
        <v>-2100</v>
      </c>
      <c r="BL22" s="27" t="n">
        <v>1.047619</v>
      </c>
      <c r="BM22" s="28" t="n">
        <v>0.954545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>
        <v>1</v>
      </c>
      <c r="BY22" s="27" t="n">
        <v>-1</v>
      </c>
      <c r="BZ22" s="24" t="inlineStr">
        <is>
          <t>2026-09-12T22:00:22.001862Z</t>
        </is>
      </c>
      <c r="CA22" s="31" t="inlineStr">
        <is>
          <t>fixed one-unit hypothetical scoring; no real exposure or execution</t>
        </is>
      </c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0.954545</t>
        </is>
      </c>
      <c r="DK22" s="24" t="n"/>
      <c r="DL22" s="24" t="n"/>
      <c r="DM22" s="24" t="n"/>
      <c r="DN22" s="24" t="n"/>
      <c r="DO22" s="24" t="n"/>
      <c r="DP22" s="24" t="n"/>
      <c r="DQ22" s="24" t="inlineStr">
        <is>
          <t>{"artifact_hash": "1d168f11d221cd3c", "event_id": "401856782", "event_start_utc": "2026-09-12T16:00Z", "features": {"altitude_fatigue_penalty": 0.0, "away_team": "Oregon Ducks", "efficiency_gap": -0.872, "elo_away": 1764.6, "elo_home": 1059.2, "elo_home_win_prob": 0.0244, "event_id": "401856782", "game_start_utc": "2026-09-12T16:00Z", "home_field_advantage_points": 2.8, "home_team": "Oklahoma State Cowboys", "is_dome": false, "is_fbs_vs_fcs": false, "is_neutral_site": false, "projected_away_points": 39.9, "projected_home_points": 14.8, "projected_margin_home": -25.1, "projected_possessions": 12.4, "projected_total": 54.7, "stadium_elevation_ft": 920, "travel_distance_miles": 1472.0, "uncertainty": 0.165, "weather_total_adjustment": 0.0}, "historical_source_observation_times_verified": false, "inference_inputs": {"engine_source_sha256": "449ba2f0e86fa9c445730076a0e0bf100fb4914620be53c75c6f3bfe24298f3f", "mu_away": 39.9, "mu_home": 14.8,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136098726718737580132192436965913843197}, "uinteger": 0}, "spread_home_line": 23.5, "total_line": 54.5}, "market_type": "moneyline", "model_version": "college-football-v1", "observed_at_utc": "2026-09-12T10:07:04.114376+00:00", "probabilities": {"away": 0.934488, "home": 0.065512}, "replay_scope": "Full precision score means, exact engine parameters and original RNG state; upstream feature construction not certified.", "schema": "cfb-joint-replay-v1", "snapshot_hash": "876c54348a9dab9d32e998772cf377a5300f2f2e64934955d59716bd527c9f1f", "sport": "NCAAF"}</t>
        </is>
      </c>
    </row>
    <row r="23" ht="36" customHeight="1">
      <c r="A23" s="24" t="inlineStr">
        <is>
          <t>04900171bcd54efb</t>
        </is>
      </c>
      <c r="B23" s="24" t="inlineStr">
        <is>
          <t>2026-09-12T10:07:04.114376Z</t>
        </is>
      </c>
      <c r="C23" s="24" t="inlineStr">
        <is>
          <t>2026-09-12T16:00Z</t>
        </is>
      </c>
      <c r="D23" s="24" t="inlineStr">
        <is>
          <t>401856782</t>
        </is>
      </c>
      <c r="E23" s="24" t="inlineStr">
        <is>
          <t>NCAAF</t>
        </is>
      </c>
      <c r="F23" s="24" t="inlineStr">
        <is>
          <t>Oregon Ducks</t>
        </is>
      </c>
      <c r="G23" s="24" t="inlineStr">
        <is>
          <t>Oklahoma State Cowboys</t>
        </is>
      </c>
      <c r="H23" s="24" t="inlineStr">
        <is>
          <t>spread</t>
        </is>
      </c>
      <c r="I23" s="24" t="inlineStr">
        <is>
          <t>away</t>
        </is>
      </c>
      <c r="J23" s="25" t="n">
        <v>-23.5</v>
      </c>
      <c r="K23" s="24" t="inlineStr">
        <is>
          <t>espn_consensus</t>
        </is>
      </c>
      <c r="L23" s="26" t="n">
        <v>-112</v>
      </c>
      <c r="M23" s="27" t="n">
        <v>1.892857</v>
      </c>
      <c r="N23" s="28" t="n">
        <v>0.528302</v>
      </c>
      <c r="O23" s="28" t="n">
        <v>0.545733</v>
      </c>
      <c r="P23" s="28" t="n">
        <v>0.165</v>
      </c>
      <c r="Q23" s="28" t="n">
        <v>0.017431</v>
      </c>
      <c r="R23" s="26" t="n">
        <v>0</v>
      </c>
      <c r="S23" s="29" t="n">
        <v>1</v>
      </c>
      <c r="T23" s="24" t="inlineStr">
        <is>
          <t>cfb-spread-v1</t>
        </is>
      </c>
      <c r="U23" s="24" t="inlineStr">
        <is>
          <t>settled</t>
        </is>
      </c>
      <c r="V23" s="24" t="inlineStr">
        <is>
          <t>loss</t>
        </is>
      </c>
      <c r="W23" s="26" t="n">
        <v>31</v>
      </c>
      <c r="X23" s="26" t="n">
        <v>39</v>
      </c>
      <c r="Y23" s="25" t="n"/>
      <c r="Z23" s="26" t="n"/>
      <c r="AA23" s="28" t="n"/>
      <c r="AB23" s="28" t="n"/>
      <c r="AC23" s="30" t="n">
        <v>-1</v>
      </c>
      <c r="AD23" s="24" t="inlineStr">
        <is>
          <t>2026-09-12T22:00:22.314428Z</t>
        </is>
      </c>
      <c r="AE23" s="31" t="inlineStr">
        <is>
          <t>Projected home margin -25.1 pts. Spread: Home +23.5 / Away -23.5 -&gt; P(Away cover)=0.546, P(Home cover)=0.454, P(Push)=0.000.</t>
        </is>
      </c>
      <c r="AF23" s="31" t="inlineStr">
        <is>
          <t>College football model; multi-market (moneyline, spread, total).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PAPER_CALL_LOW_EDGE</t>
        </is>
      </c>
      <c r="AP23" s="24" t="inlineStr">
        <is>
          <t>Oregon Ducks</t>
        </is>
      </c>
      <c r="AQ23" s="24" t="inlineStr">
        <is>
          <t>Oregon Ducks</t>
        </is>
      </c>
      <c r="AR23" s="24" t="inlineStr">
        <is>
          <t>Oregon Ducks</t>
        </is>
      </c>
      <c r="AS23" s="24" t="inlineStr">
        <is>
          <t>Oklahoma State Cowboys</t>
        </is>
      </c>
      <c r="AT23" s="24" t="inlineStr">
        <is>
          <t>Oklahoma State Cowboys</t>
        </is>
      </c>
      <c r="AU23" s="24" t="inlineStr">
        <is>
          <t>Oklahoma State Cowboys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1d168f11d221cd3c</t>
        </is>
      </c>
      <c r="BB23" s="24" t="inlineStr">
        <is>
          <t>cfb_key_number_engine</t>
        </is>
      </c>
      <c r="BC23" s="24" t="inlineStr">
        <is>
          <t>cfb-spread-v1</t>
        </is>
      </c>
      <c r="BD23" s="24" t="inlineStr">
        <is>
          <t>1d168f11d221cd3c</t>
        </is>
      </c>
      <c r="BE23" s="24" t="inlineStr">
        <is>
          <t>cfb-v1</t>
        </is>
      </c>
      <c r="BF23" s="24" t="inlineStr">
        <is>
          <t>1</t>
        </is>
      </c>
      <c r="BG23" s="24" t="inlineStr">
        <is>
          <t>1d168f11d221cd3c</t>
        </is>
      </c>
      <c r="BH23" s="24" t="inlineStr">
        <is>
          <t>2026-09-12T10:07:04.114376+00:00</t>
        </is>
      </c>
      <c r="BI23" s="24" t="inlineStr">
        <is>
          <t>["same_event","same_team_same_day","same_league_same_day"]</t>
        </is>
      </c>
      <c r="BJ23" s="25" t="n">
        <v>-23.5</v>
      </c>
      <c r="BK23" s="26" t="n">
        <v>-112</v>
      </c>
      <c r="BL23" s="27" t="n">
        <v>1.892857</v>
      </c>
      <c r="BM23" s="28" t="n">
        <v>0.528302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>
        <v>1</v>
      </c>
      <c r="BY23" s="27" t="n">
        <v>-1</v>
      </c>
      <c r="BZ23" s="24" t="inlineStr">
        <is>
          <t>2026-09-12T22:00:22.314428Z</t>
        </is>
      </c>
      <c r="CA23" s="31" t="inlineStr">
        <is>
          <t>fixed one-unit hypothetical scoring; no real exposure or execution</t>
        </is>
      </c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0.528302</t>
        </is>
      </c>
      <c r="DK23" s="24" t="n"/>
      <c r="DL23" s="24" t="n"/>
      <c r="DM23" s="24" t="n"/>
      <c r="DN23" s="24" t="n"/>
      <c r="DO23" s="24" t="n"/>
      <c r="DP23" s="24" t="n"/>
      <c r="DQ23" s="24" t="inlineStr">
        <is>
          <t>{"artifact_hash": "1d168f11d221cd3c", "event_id": "401856782", "event_start_utc": "2026-09-12T16:00Z", "features": {"altitude_fatigue_penalty": 0.0, "away_team": "Oregon Ducks", "efficiency_gap": -0.872, "elo_away": 1764.6, "elo_home": 1059.2, "elo_home_win_prob": 0.0244, "event_id": "401856782", "game_start_utc": "2026-09-12T16:00Z", "home_field_advantage_points": 2.8, "home_team": "Oklahoma State Cowboys", "is_dome": false, "is_fbs_vs_fcs": false, "is_neutral_site": false, "projected_away_points": 39.9, "projected_home_points": 14.8, "projected_margin_home": -25.1, "projected_possessions": 12.4, "projected_total": 54.7, "stadium_elevation_ft": 920, "travel_distance_miles": 1472.0, "uncertainty": 0.165, "weather_total_adjustment": 0.0}, "historical_source_observation_times_verified": false, "inference_inputs": {"engine_source_sha256": "449ba2f0e86fa9c445730076a0e0bf100fb4914620be53c75c6f3bfe24298f3f", "mu_away": 39.9, "mu_home": 14.8,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136098726718737580132192436965913843197}, "uinteger": 0}, "spread_home_line": 23.5, "total_line": 54.5}, "market_type": "spread", "model_version": "cfb-spread-v1", "observed_at_utc": "2026-09-12T10:07:04.114376+00:00", "probabilities": {"away": 0.545733, "home": 0.454267, "push": 0.0}, "replay_scope": "Full precision score means, exact engine parameters and original RNG state; upstream feature construction not certified.", "schema": "cfb-joint-replay-v1", "snapshot_hash": "972711af9e89f12fd9a7aa33a63466220fc0784c0e79cee2a8dadaca6cf8e457", "sport": "NCAAF"}</t>
        </is>
      </c>
    </row>
    <row r="24" ht="36" customHeight="1">
      <c r="A24" s="24" t="inlineStr">
        <is>
          <t>baf21a6bd0d34edf</t>
        </is>
      </c>
      <c r="B24" s="24" t="inlineStr">
        <is>
          <t>2026-09-12T10:07:04.114376Z</t>
        </is>
      </c>
      <c r="C24" s="24" t="inlineStr">
        <is>
          <t>2026-09-12T16:00Z</t>
        </is>
      </c>
      <c r="D24" s="24" t="inlineStr">
        <is>
          <t>401856782</t>
        </is>
      </c>
      <c r="E24" s="24" t="inlineStr">
        <is>
          <t>NCAAF</t>
        </is>
      </c>
      <c r="F24" s="24" t="inlineStr">
        <is>
          <t>Oregon Ducks</t>
        </is>
      </c>
      <c r="G24" s="24" t="inlineStr">
        <is>
          <t>Oklahoma State Cowboys</t>
        </is>
      </c>
      <c r="H24" s="24" t="inlineStr">
        <is>
          <t>total</t>
        </is>
      </c>
      <c r="I24" s="24" t="inlineStr">
        <is>
          <t>under</t>
        </is>
      </c>
      <c r="J24" s="25" t="n">
        <v>54.5</v>
      </c>
      <c r="K24" s="24" t="inlineStr">
        <is>
          <t>espn_consensus</t>
        </is>
      </c>
      <c r="L24" s="26" t="n">
        <v>-102</v>
      </c>
      <c r="M24" s="27" t="n">
        <v>1.980392</v>
      </c>
      <c r="N24" s="28" t="n">
        <v>0.50495</v>
      </c>
      <c r="O24" s="28" t="n">
        <v>0.523</v>
      </c>
      <c r="P24" s="28" t="n">
        <v>0.165</v>
      </c>
      <c r="Q24" s="28" t="n">
        <v>0.01805</v>
      </c>
      <c r="R24" s="26" t="n">
        <v>0</v>
      </c>
      <c r="S24" s="29" t="n">
        <v>1</v>
      </c>
      <c r="T24" s="24" t="inlineStr">
        <is>
          <t>cfb-total-v1</t>
        </is>
      </c>
      <c r="U24" s="24" t="inlineStr">
        <is>
          <t>settled</t>
        </is>
      </c>
      <c r="V24" s="24" t="inlineStr">
        <is>
          <t>loss</t>
        </is>
      </c>
      <c r="W24" s="26" t="n">
        <v>31</v>
      </c>
      <c r="X24" s="26" t="n">
        <v>39</v>
      </c>
      <c r="Y24" s="25" t="n"/>
      <c r="Z24" s="26" t="n"/>
      <c r="AA24" s="28" t="n"/>
      <c r="AB24" s="28" t="n"/>
      <c r="AC24" s="30" t="n">
        <v>-1</v>
      </c>
      <c r="AD24" s="24" t="inlineStr">
        <is>
          <t>2026-09-12T22:00:22.661084Z</t>
        </is>
      </c>
      <c r="AE24" s="31" t="inlineStr">
        <is>
          <t>Projected total 54.7 pts (Weather adj: +0.0 pts). Total line 54.5 -&gt; P(Over)=0.477, P(Under)=0.523, P(Push)=0.000.</t>
        </is>
      </c>
      <c r="AF24" s="31" t="inlineStr">
        <is>
          <t>College football model; multi-market (moneyline, spread, total).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PAPER_CALL_LOW_EDGE</t>
        </is>
      </c>
      <c r="AP24" s="24" t="inlineStr">
        <is>
          <t>Oregon Ducks</t>
        </is>
      </c>
      <c r="AQ24" s="24" t="inlineStr">
        <is>
          <t>Oregon Ducks</t>
        </is>
      </c>
      <c r="AR24" s="24" t="inlineStr">
        <is>
          <t>Oregon Ducks</t>
        </is>
      </c>
      <c r="AS24" s="24" t="inlineStr">
        <is>
          <t>Oklahoma State Cowboys</t>
        </is>
      </c>
      <c r="AT24" s="24" t="inlineStr">
        <is>
          <t>Oklahoma State Cowboys</t>
        </is>
      </c>
      <c r="AU24" s="24" t="inlineStr">
        <is>
          <t>Oklahoma State Cowboys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1d168f11d221cd3c</t>
        </is>
      </c>
      <c r="BB24" s="24" t="inlineStr">
        <is>
          <t>cfb_key_number_engine</t>
        </is>
      </c>
      <c r="BC24" s="24" t="inlineStr">
        <is>
          <t>cfb-total-v1</t>
        </is>
      </c>
      <c r="BD24" s="24" t="inlineStr">
        <is>
          <t>1d168f11d221cd3c</t>
        </is>
      </c>
      <c r="BE24" s="24" t="inlineStr">
        <is>
          <t>cfb-v1</t>
        </is>
      </c>
      <c r="BF24" s="24" t="inlineStr">
        <is>
          <t>1</t>
        </is>
      </c>
      <c r="BG24" s="24" t="inlineStr">
        <is>
          <t>1d168f11d221cd3c</t>
        </is>
      </c>
      <c r="BH24" s="24" t="inlineStr">
        <is>
          <t>2026-09-12T10:07:04.114376+00:00</t>
        </is>
      </c>
      <c r="BI24" s="24" t="inlineStr">
        <is>
          <t>["same_event","same_team_same_day","same_league_same_day"]</t>
        </is>
      </c>
      <c r="BJ24" s="25" t="n">
        <v>54.5</v>
      </c>
      <c r="BK24" s="26" t="n">
        <v>-102</v>
      </c>
      <c r="BL24" s="27" t="n">
        <v>1.980392</v>
      </c>
      <c r="BM24" s="28" t="n">
        <v>0.50495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>
        <v>1</v>
      </c>
      <c r="BY24" s="27" t="n">
        <v>-1</v>
      </c>
      <c r="BZ24" s="24" t="inlineStr">
        <is>
          <t>2026-09-12T22:00:22.661084Z</t>
        </is>
      </c>
      <c r="CA24" s="31" t="inlineStr">
        <is>
          <t>fixed one-unit hypothetical scoring; no real exposure or execution</t>
        </is>
      </c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0.50495</t>
        </is>
      </c>
      <c r="DK24" s="24" t="n"/>
      <c r="DL24" s="24" t="n"/>
      <c r="DM24" s="24" t="n"/>
      <c r="DN24" s="24" t="n"/>
      <c r="DO24" s="24" t="n"/>
      <c r="DP24" s="24" t="n"/>
      <c r="DQ24" s="24" t="inlineStr">
        <is>
          <t>{"artifact_hash": "1d168f11d221cd3c", "event_id": "401856782", "event_start_utc": "2026-09-12T16:00Z", "features": {"altitude_fatigue_penalty": 0.0, "away_team": "Oregon Ducks", "efficiency_gap": -0.872, "elo_away": 1764.6, "elo_home": 1059.2, "elo_home_win_prob": 0.0244, "event_id": "401856782", "game_start_utc": "2026-09-12T16:00Z", "home_field_advantage_points": 2.8, "home_team": "Oklahoma State Cowboys", "is_dome": false, "is_fbs_vs_fcs": false, "is_neutral_site": false, "projected_away_points": 39.9, "projected_home_points": 14.8, "projected_margin_home": -25.1, "projected_possessions": 12.4, "projected_total": 54.7, "stadium_elevation_ft": 920, "travel_distance_miles": 1472.0, "uncertainty": 0.165, "weather_total_adjustment": 0.0}, "historical_source_observation_times_verified": false, "inference_inputs": {"engine_source_sha256": "449ba2f0e86fa9c445730076a0e0bf100fb4914620be53c75c6f3bfe24298f3f", "mu_away": 39.9, "mu_home": 14.8,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136098726718737580132192436965913843197}, "uinteger": 0}, "spread_home_line": 23.5, "total_line": 54.5}, "market_type": "total", "model_version": "cfb-total-v1", "observed_at_utc": "2026-09-12T10:07:04.114376+00:00", "probabilities": {"over": 0.477, "push": 0.0, "under": 0.523}, "replay_scope": "Full precision score means, exact engine parameters and original RNG state; upstream feature construction not certified.", "schema": "cfb-joint-replay-v1", "snapshot_hash": "c97b4879865d98fc042ddbb017c97bf48cc70dde9f2254470e3640c3453d92e9", "sport": "NCAAF"}</t>
        </is>
      </c>
    </row>
    <row r="25" ht="36" customHeight="1">
      <c r="A25" s="24" t="inlineStr">
        <is>
          <t>1f3b85be82ae4f4e</t>
        </is>
      </c>
      <c r="B25" s="24" t="inlineStr">
        <is>
          <t>2026-09-12T10:07:04.114376Z</t>
        </is>
      </c>
      <c r="C25" s="24" t="inlineStr">
        <is>
          <t>2026-09-12T16:00Z</t>
        </is>
      </c>
      <c r="D25" s="24" t="inlineStr">
        <is>
          <t>401856683</t>
        </is>
      </c>
      <c r="E25" s="24" t="inlineStr">
        <is>
          <t>NCAAF</t>
        </is>
      </c>
      <c r="F25" s="24" t="inlineStr">
        <is>
          <t>Arizona State Sun Devils</t>
        </is>
      </c>
      <c r="G25" s="24" t="inlineStr">
        <is>
          <t>Texas A&amp;M Aggies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espn_consensus</t>
        </is>
      </c>
      <c r="L25" s="26" t="n">
        <v>-700</v>
      </c>
      <c r="M25" s="27" t="n">
        <v>1.142857</v>
      </c>
      <c r="N25" s="28" t="n">
        <v>0.875</v>
      </c>
      <c r="O25" s="28" t="n">
        <v>0.697829</v>
      </c>
      <c r="P25" s="28" t="n">
        <v>0.18</v>
      </c>
      <c r="Q25" s="28" t="n">
        <v>-0.177171</v>
      </c>
      <c r="R25" s="26" t="n">
        <v>0</v>
      </c>
      <c r="S25" s="29" t="n">
        <v>1</v>
      </c>
      <c r="T25" s="24" t="inlineStr">
        <is>
          <t>college-football-v1</t>
        </is>
      </c>
      <c r="U25" s="24" t="inlineStr">
        <is>
          <t>settled</t>
        </is>
      </c>
      <c r="V25" s="24" t="inlineStr">
        <is>
          <t>win</t>
        </is>
      </c>
      <c r="W25" s="26" t="n">
        <v>20</v>
      </c>
      <c r="X25" s="26" t="n">
        <v>48</v>
      </c>
      <c r="Y25" s="25" t="n"/>
      <c r="Z25" s="26" t="n"/>
      <c r="AA25" s="28" t="n"/>
      <c r="AB25" s="28" t="n"/>
      <c r="AC25" s="30" t="n">
        <v>0.1429</v>
      </c>
      <c r="AD25" s="24" t="inlineStr">
        <is>
          <t>2026-09-12T22:00:23.009628Z</t>
        </is>
      </c>
      <c r="AE25" s="31" t="inlineStr">
        <is>
          <t>CFB Joint Model (negative_binomial): proj score Arizona State Sun Devils 23.5 @ Texas A&amp;M Aggies 31.7 (Margin +8.2). Possessions: 12.4, HFA: +2.8 pts.</t>
        </is>
      </c>
      <c r="AF25" s="31" t="inlineStr">
        <is>
          <t>College football model; multi-market (moneyline, spread, total).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Arizona State Sun Devils</t>
        </is>
      </c>
      <c r="AQ25" s="24" t="inlineStr">
        <is>
          <t>Arizona State Sun Devils</t>
        </is>
      </c>
      <c r="AR25" s="24" t="inlineStr">
        <is>
          <t>Arizona State Sun Devils</t>
        </is>
      </c>
      <c r="AS25" s="24" t="inlineStr">
        <is>
          <t>Texas A&amp;M Aggies</t>
        </is>
      </c>
      <c r="AT25" s="24" t="inlineStr">
        <is>
          <t>Texas A&amp;M Aggies</t>
        </is>
      </c>
      <c r="AU25" s="24" t="inlineStr">
        <is>
          <t>Texas A&amp;M Aggies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1d168f11d221cd3c</t>
        </is>
      </c>
      <c r="BB25" s="24" t="inlineStr">
        <is>
          <t>cfb_key_number_engine</t>
        </is>
      </c>
      <c r="BC25" s="24" t="inlineStr">
        <is>
          <t>college-football-v1</t>
        </is>
      </c>
      <c r="BD25" s="24" t="inlineStr">
        <is>
          <t>1d168f11d221cd3c</t>
        </is>
      </c>
      <c r="BE25" s="24" t="inlineStr">
        <is>
          <t>cfb-v1</t>
        </is>
      </c>
      <c r="BF25" s="24" t="inlineStr">
        <is>
          <t>1</t>
        </is>
      </c>
      <c r="BG25" s="24" t="inlineStr">
        <is>
          <t>1d168f11d221cd3c</t>
        </is>
      </c>
      <c r="BH25" s="24" t="inlineStr">
        <is>
          <t>2026-09-12T10:07:04.114376+00:00</t>
        </is>
      </c>
      <c r="BI25" s="24" t="inlineStr">
        <is>
          <t>["same_event","same_team_same_day","same_league_same_day"]</t>
        </is>
      </c>
      <c r="BJ25" s="25" t="n"/>
      <c r="BK25" s="26" t="n">
        <v>-700</v>
      </c>
      <c r="BL25" s="27" t="n">
        <v>1.142857</v>
      </c>
      <c r="BM25" s="28" t="n">
        <v>0.875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>
        <v>1</v>
      </c>
      <c r="BY25" s="27" t="n">
        <v>0.142857</v>
      </c>
      <c r="BZ25" s="24" t="inlineStr">
        <is>
          <t>2026-09-12T22:00:23.009628Z</t>
        </is>
      </c>
      <c r="CA25" s="31" t="inlineStr">
        <is>
          <t>fixed one-unit hypothetical scoring; no real exposure or execution</t>
        </is>
      </c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0.875</t>
        </is>
      </c>
      <c r="DK25" s="24" t="n"/>
      <c r="DL25" s="24" t="n"/>
      <c r="DM25" s="24" t="n"/>
      <c r="DN25" s="24" t="n"/>
      <c r="DO25" s="24" t="n"/>
      <c r="DP25" s="24" t="n"/>
      <c r="DQ25" s="24" t="inlineStr">
        <is>
          <t>{"artifact_hash": "1d168f11d221cd3c", "event_id": "401856683", "event_start_utc": "2026-09-12T16:00Z", "features": {"altitude_fatigue_penalty": 0.0, "away_team": "Arizona State Sun Devils", "efficiency_gap": 0.713, "elo_away": 1525.0, "elo_home": 1660.5, "elo_home_win_prob": 0.7603, "event_id": "401856683", "game_start_utc": "2026-09-12T16:00Z", "home_field_advantage_points": 2.8, "home_team": "Texas A&amp;M Aggies", "is_dome": false, "is_fbs_vs_fcs": false, "is_neutral_site": false, "projected_away_points": 23.5, "projected_home_points": 31.7, "projected_margin_home": 8.2, "projected_possessions": 12.4, "projected_total": 55.2, "stadium_elevation_ft": 330, "travel_distance_miles": 933.0, "uncertainty": 0.18, "weather_total_adjustment": 0.0}, "historical_source_observation_times_verified": false, "inference_inputs": {"engine_source_sha256": "449ba2f0e86fa9c445730076a0e0bf100fb4914620be53c75c6f3bfe24298f3f", "mu_away": 23.5, "mu_home": 31.7,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323867886413938811115229573666129598458}, "uinteger": 0}, "spread_home_line": -14.5, "total_line": 50.5}, "market_type": "moneyline", "model_version": "college-football-v1", "observed_at_utc": "2026-09-12T10:07:04.114376+00:00", "probabilities": {"away": 0.302171, "home": 0.697829}, "replay_scope": "Full precision score means, exact engine parameters and original RNG state; upstream feature construction not certified.", "schema": "cfb-joint-replay-v1", "snapshot_hash": "a57e5f510d6ea200ea6e9624e87037563968ba4676c0a72d1f9c61caa4c45965", "sport": "NCAAF"}</t>
        </is>
      </c>
    </row>
    <row r="26" ht="36" customHeight="1">
      <c r="A26" s="24" t="inlineStr">
        <is>
          <t>1030ae1d0740411a</t>
        </is>
      </c>
      <c r="B26" s="24" t="inlineStr">
        <is>
          <t>2026-09-12T10:07:04.114376Z</t>
        </is>
      </c>
      <c r="C26" s="24" t="inlineStr">
        <is>
          <t>2026-09-12T16:00Z</t>
        </is>
      </c>
      <c r="D26" s="24" t="inlineStr">
        <is>
          <t>401856683</t>
        </is>
      </c>
      <c r="E26" s="24" t="inlineStr">
        <is>
          <t>NCAAF</t>
        </is>
      </c>
      <c r="F26" s="24" t="inlineStr">
        <is>
          <t>Arizona State Sun Devils</t>
        </is>
      </c>
      <c r="G26" s="24" t="inlineStr">
        <is>
          <t>Texas A&amp;M Aggies</t>
        </is>
      </c>
      <c r="H26" s="24" t="inlineStr">
        <is>
          <t>spread</t>
        </is>
      </c>
      <c r="I26" s="24" t="inlineStr">
        <is>
          <t>away</t>
        </is>
      </c>
      <c r="J26" s="25" t="n">
        <v>14.5</v>
      </c>
      <c r="K26" s="24" t="inlineStr">
        <is>
          <t>espn_consensus</t>
        </is>
      </c>
      <c r="L26" s="26" t="n">
        <v>-112</v>
      </c>
      <c r="M26" s="27" t="n">
        <v>1.892857</v>
      </c>
      <c r="N26" s="28" t="n">
        <v>0.528302</v>
      </c>
      <c r="O26" s="28" t="n">
        <v>0.649267</v>
      </c>
      <c r="P26" s="28" t="n">
        <v>0.18</v>
      </c>
      <c r="Q26" s="28" t="n">
        <v>0.120965</v>
      </c>
      <c r="R26" s="26" t="n">
        <v>2</v>
      </c>
      <c r="S26" s="29" t="n">
        <v>1</v>
      </c>
      <c r="T26" s="24" t="inlineStr">
        <is>
          <t>cfb-spread-v1</t>
        </is>
      </c>
      <c r="U26" s="24" t="inlineStr">
        <is>
          <t>settled</t>
        </is>
      </c>
      <c r="V26" s="24" t="inlineStr">
        <is>
          <t>loss</t>
        </is>
      </c>
      <c r="W26" s="26" t="n">
        <v>20</v>
      </c>
      <c r="X26" s="26" t="n">
        <v>48</v>
      </c>
      <c r="Y26" s="25" t="n"/>
      <c r="Z26" s="26" t="n"/>
      <c r="AA26" s="28" t="n"/>
      <c r="AB26" s="28" t="n"/>
      <c r="AC26" s="30" t="n">
        <v>-1</v>
      </c>
      <c r="AD26" s="24" t="inlineStr">
        <is>
          <t>2026-09-12T22:00:23.318698Z</t>
        </is>
      </c>
      <c r="AE26" s="31" t="inlineStr">
        <is>
          <t>Projected home margin +8.2 pts. Spread: Home -14.5 / Away +14.5 -&gt; P(Away cover)=0.649, P(Home cover)=0.351, P(Push)=0.000.</t>
        </is>
      </c>
      <c r="AF26" s="31" t="inlineStr">
        <is>
          <t>College football model; multi-market (moneyline, spread, total).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Arizona State Sun Devils</t>
        </is>
      </c>
      <c r="AQ26" s="24" t="inlineStr">
        <is>
          <t>Arizona State Sun Devils</t>
        </is>
      </c>
      <c r="AR26" s="24" t="inlineStr">
        <is>
          <t>Arizona State Sun Devils</t>
        </is>
      </c>
      <c r="AS26" s="24" t="inlineStr">
        <is>
          <t>Texas A&amp;M Aggies</t>
        </is>
      </c>
      <c r="AT26" s="24" t="inlineStr">
        <is>
          <t>Texas A&amp;M Aggies</t>
        </is>
      </c>
      <c r="AU26" s="24" t="inlineStr">
        <is>
          <t>Texas A&amp;M Aggies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1d168f11d221cd3c</t>
        </is>
      </c>
      <c r="BB26" s="24" t="inlineStr">
        <is>
          <t>cfb_key_number_engine</t>
        </is>
      </c>
      <c r="BC26" s="24" t="inlineStr">
        <is>
          <t>cfb-spread-v1</t>
        </is>
      </c>
      <c r="BD26" s="24" t="inlineStr">
        <is>
          <t>1d168f11d221cd3c</t>
        </is>
      </c>
      <c r="BE26" s="24" t="inlineStr">
        <is>
          <t>cfb-v1</t>
        </is>
      </c>
      <c r="BF26" s="24" t="inlineStr">
        <is>
          <t>1</t>
        </is>
      </c>
      <c r="BG26" s="24" t="inlineStr">
        <is>
          <t>1d168f11d221cd3c</t>
        </is>
      </c>
      <c r="BH26" s="24" t="inlineStr">
        <is>
          <t>2026-09-12T10:07:04.114376+00:00</t>
        </is>
      </c>
      <c r="BI26" s="24" t="inlineStr">
        <is>
          <t>["same_event","same_team_same_day","same_league_same_day"]</t>
        </is>
      </c>
      <c r="BJ26" s="25" t="n">
        <v>14.5</v>
      </c>
      <c r="BK26" s="26" t="n">
        <v>-112</v>
      </c>
      <c r="BL26" s="27" t="n">
        <v>1.892857</v>
      </c>
      <c r="BM26" s="28" t="n">
        <v>0.528302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0.528302</t>
        </is>
      </c>
      <c r="DK26" s="24" t="n"/>
      <c r="DL26" s="24" t="n"/>
      <c r="DM26" s="24" t="n"/>
      <c r="DN26" s="24" t="n"/>
      <c r="DO26" s="24" t="n"/>
      <c r="DP26" s="24" t="n"/>
      <c r="DQ26" s="24" t="inlineStr">
        <is>
          <t>{"artifact_hash": "1d168f11d221cd3c", "event_id": "401856683", "event_start_utc": "2026-09-12T16:00Z", "features": {"altitude_fatigue_penalty": 0.0, "away_team": "Arizona State Sun Devils", "efficiency_gap": 0.713, "elo_away": 1525.0, "elo_home": 1660.5, "elo_home_win_prob": 0.7603, "event_id": "401856683", "game_start_utc": "2026-09-12T16:00Z", "home_field_advantage_points": 2.8, "home_team": "Texas A&amp;M Aggies", "is_dome": false, "is_fbs_vs_fcs": false, "is_neutral_site": false, "projected_away_points": 23.5, "projected_home_points": 31.7, "projected_margin_home": 8.2, "projected_possessions": 12.4, "projected_total": 55.2, "stadium_elevation_ft": 330, "travel_distance_miles": 933.0, "uncertainty": 0.18, "weather_total_adjustment": 0.0}, "historical_source_observation_times_verified": false, "inference_inputs": {"engine_source_sha256": "449ba2f0e86fa9c445730076a0e0bf100fb4914620be53c75c6f3bfe24298f3f", "mu_away": 23.5, "mu_home": 31.7,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323867886413938811115229573666129598458}, "uinteger": 0}, "spread_home_line": -14.5, "total_line": 50.5}, "market_type": "spread", "model_version": "cfb-spread-v1", "observed_at_utc": "2026-09-12T10:07:04.114376+00:00", "probabilities": {"away": 0.649267, "home": 0.350733, "push": 0.0}, "replay_scope": "Full precision score means, exact engine parameters and original RNG state; upstream feature construction not certified.", "schema": "cfb-joint-replay-v1", "snapshot_hash": "246672d5a11409dc490eb2c2adc76a475b7e391f30e605bb2c9c39528b2b74e0", "sport": "NCAAF"}</t>
        </is>
      </c>
    </row>
    <row r="27" ht="36" customHeight="1">
      <c r="A27" s="24" t="inlineStr">
        <is>
          <t>3198b991478f4dbe</t>
        </is>
      </c>
      <c r="B27" s="24" t="inlineStr">
        <is>
          <t>2026-09-12T10:07:04.114376Z</t>
        </is>
      </c>
      <c r="C27" s="24" t="inlineStr">
        <is>
          <t>2026-09-12T16:00Z</t>
        </is>
      </c>
      <c r="D27" s="24" t="inlineStr">
        <is>
          <t>401856683</t>
        </is>
      </c>
      <c r="E27" s="24" t="inlineStr">
        <is>
          <t>NCAAF</t>
        </is>
      </c>
      <c r="F27" s="24" t="inlineStr">
        <is>
          <t>Arizona State Sun Devils</t>
        </is>
      </c>
      <c r="G27" s="24" t="inlineStr">
        <is>
          <t>Texas A&amp;M Aggies</t>
        </is>
      </c>
      <c r="H27" s="24" t="inlineStr">
        <is>
          <t>total</t>
        </is>
      </c>
      <c r="I27" s="24" t="inlineStr">
        <is>
          <t>over</t>
        </is>
      </c>
      <c r="J27" s="25" t="n">
        <v>50.5</v>
      </c>
      <c r="K27" s="24" t="inlineStr">
        <is>
          <t>espn_consensus</t>
        </is>
      </c>
      <c r="L27" s="26" t="n">
        <v>-112</v>
      </c>
      <c r="M27" s="27" t="n">
        <v>1.892857</v>
      </c>
      <c r="N27" s="28" t="n">
        <v>0.528302</v>
      </c>
      <c r="O27" s="28" t="n">
        <v>0.569067</v>
      </c>
      <c r="P27" s="28" t="n">
        <v>0.18</v>
      </c>
      <c r="Q27" s="28" t="n">
        <v>0.040765</v>
      </c>
      <c r="R27" s="26" t="n">
        <v>0</v>
      </c>
      <c r="S27" s="29" t="n">
        <v>1</v>
      </c>
      <c r="T27" s="24" t="inlineStr">
        <is>
          <t>cfb-total-v1</t>
        </is>
      </c>
      <c r="U27" s="24" t="inlineStr">
        <is>
          <t>settled</t>
        </is>
      </c>
      <c r="V27" s="24" t="inlineStr">
        <is>
          <t>win</t>
        </is>
      </c>
      <c r="W27" s="26" t="n">
        <v>20</v>
      </c>
      <c r="X27" s="26" t="n">
        <v>48</v>
      </c>
      <c r="Y27" s="25" t="n"/>
      <c r="Z27" s="26" t="n"/>
      <c r="AA27" s="28" t="n"/>
      <c r="AB27" s="28" t="n"/>
      <c r="AC27" s="30" t="n">
        <v>0.8929</v>
      </c>
      <c r="AD27" s="24" t="inlineStr">
        <is>
          <t>2026-09-12T22:00:23.665347Z</t>
        </is>
      </c>
      <c r="AE27" s="31" t="inlineStr">
        <is>
          <t>Projected total 55.2 pts (Weather adj: +0.0 pts). Total line 50.5 -&gt; P(Over)=0.569, P(Under)=0.431, P(Push)=0.000.</t>
        </is>
      </c>
      <c r="AF27" s="31" t="inlineStr">
        <is>
          <t>College football model; multi-market (moneyline, spread, total).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Arizona State Sun Devils</t>
        </is>
      </c>
      <c r="AQ27" s="24" t="inlineStr">
        <is>
          <t>Arizona State Sun Devils</t>
        </is>
      </c>
      <c r="AR27" s="24" t="inlineStr">
        <is>
          <t>Arizona State Sun Devils</t>
        </is>
      </c>
      <c r="AS27" s="24" t="inlineStr">
        <is>
          <t>Texas A&amp;M Aggies</t>
        </is>
      </c>
      <c r="AT27" s="24" t="inlineStr">
        <is>
          <t>Texas A&amp;M Aggies</t>
        </is>
      </c>
      <c r="AU27" s="24" t="inlineStr">
        <is>
          <t>Texas A&amp;M Aggies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1d168f11d221cd3c</t>
        </is>
      </c>
      <c r="BB27" s="24" t="inlineStr">
        <is>
          <t>cfb_key_number_engine</t>
        </is>
      </c>
      <c r="BC27" s="24" t="inlineStr">
        <is>
          <t>cfb-total-v1</t>
        </is>
      </c>
      <c r="BD27" s="24" t="inlineStr">
        <is>
          <t>1d168f11d221cd3c</t>
        </is>
      </c>
      <c r="BE27" s="24" t="inlineStr">
        <is>
          <t>cfb-v1</t>
        </is>
      </c>
      <c r="BF27" s="24" t="inlineStr">
        <is>
          <t>1</t>
        </is>
      </c>
      <c r="BG27" s="24" t="inlineStr">
        <is>
          <t>1d168f11d221cd3c</t>
        </is>
      </c>
      <c r="BH27" s="24" t="inlineStr">
        <is>
          <t>2026-09-12T10:07:04.114376+00:00</t>
        </is>
      </c>
      <c r="BI27" s="24" t="inlineStr">
        <is>
          <t>["same_event","same_team_same_day","same_league_same_day"]</t>
        </is>
      </c>
      <c r="BJ27" s="25" t="n">
        <v>50.5</v>
      </c>
      <c r="BK27" s="26" t="n">
        <v>-112</v>
      </c>
      <c r="BL27" s="27" t="n">
        <v>1.892857</v>
      </c>
      <c r="BM27" s="28" t="n">
        <v>0.528302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0.528302</t>
        </is>
      </c>
      <c r="DK27" s="24" t="n"/>
      <c r="DL27" s="24" t="n"/>
      <c r="DM27" s="24" t="n"/>
      <c r="DN27" s="24" t="n"/>
      <c r="DO27" s="24" t="n"/>
      <c r="DP27" s="24" t="n"/>
      <c r="DQ27" s="24" t="inlineStr">
        <is>
          <t>{"artifact_hash": "1d168f11d221cd3c", "event_id": "401856683", "event_start_utc": "2026-09-12T16:00Z", "features": {"altitude_fatigue_penalty": 0.0, "away_team": "Arizona State Sun Devils", "efficiency_gap": 0.713, "elo_away": 1525.0, "elo_home": 1660.5, "elo_home_win_prob": 0.7603, "event_id": "401856683", "game_start_utc": "2026-09-12T16:00Z", "home_field_advantage_points": 2.8, "home_team": "Texas A&amp;M Aggies", "is_dome": false, "is_fbs_vs_fcs": false, "is_neutral_site": false, "projected_away_points": 23.5, "projected_home_points": 31.7, "projected_margin_home": 8.2, "projected_possessions": 12.4, "projected_total": 55.2, "stadium_elevation_ft": 330, "travel_distance_miles": 933.0, "uncertainty": 0.18, "weather_total_adjustment": 0.0}, "historical_source_observation_times_verified": false, "inference_inputs": {"engine_source_sha256": "449ba2f0e86fa9c445730076a0e0bf100fb4914620be53c75c6f3bfe24298f3f", "mu_away": 23.5, "mu_home": 31.7,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323867886413938811115229573666129598458}, "uinteger": 0}, "spread_home_line": -14.5, "total_line": 50.5}, "market_type": "total", "model_version": "cfb-total-v1", "observed_at_utc": "2026-09-12T10:07:04.114376+00:00", "probabilities": {"over": 0.569067, "push": 0.0, "under": 0.430933}, "replay_scope": "Full precision score means, exact engine parameters and original RNG state; upstream feature construction not certified.", "schema": "cfb-joint-replay-v1", "snapshot_hash": "616add23bf4191e03ce6203504a5b77e64615a48df17bc1611092425ca619b16", "sport": "NCAAF"}</t>
        </is>
      </c>
    </row>
    <row r="28" ht="36" customHeight="1">
      <c r="A28" s="24" t="inlineStr">
        <is>
          <t>a5d35c4fdbb547dd</t>
        </is>
      </c>
      <c r="B28" s="24" t="inlineStr">
        <is>
          <t>2026-09-12T10:07:04.114376Z</t>
        </is>
      </c>
      <c r="C28" s="24" t="inlineStr">
        <is>
          <t>2026-09-12T16:00Z</t>
        </is>
      </c>
      <c r="D28" s="24" t="inlineStr">
        <is>
          <t>401856679</t>
        </is>
      </c>
      <c r="E28" s="24" t="inlineStr">
        <is>
          <t>NCAAF</t>
        </is>
      </c>
      <c r="F28" s="24" t="inlineStr">
        <is>
          <t>Oklahoma Sooners</t>
        </is>
      </c>
      <c r="G28" s="24" t="inlineStr">
        <is>
          <t>Michigan Wolverines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espn_consensus</t>
        </is>
      </c>
      <c r="L28" s="26" t="n">
        <v>-205</v>
      </c>
      <c r="M28" s="27" t="n">
        <v>1.487805</v>
      </c>
      <c r="N28" s="28" t="n">
        <v>0.672131</v>
      </c>
      <c r="O28" s="28" t="n">
        <v>0.53228</v>
      </c>
      <c r="P28" s="28" t="n">
        <v>0.165</v>
      </c>
      <c r="Q28" s="28" t="n">
        <v>-0.139851</v>
      </c>
      <c r="R28" s="26" t="n">
        <v>0</v>
      </c>
      <c r="S28" s="29" t="n">
        <v>1</v>
      </c>
      <c r="T28" s="24" t="inlineStr">
        <is>
          <t>college-football-v1</t>
        </is>
      </c>
      <c r="U28" s="24" t="inlineStr">
        <is>
          <t>settled</t>
        </is>
      </c>
      <c r="V28" s="24" t="inlineStr">
        <is>
          <t>loss</t>
        </is>
      </c>
      <c r="W28" s="26" t="n">
        <v>10</v>
      </c>
      <c r="X28" s="26" t="n">
        <v>17</v>
      </c>
      <c r="Y28" s="25" t="n"/>
      <c r="Z28" s="26" t="n"/>
      <c r="AA28" s="28" t="n"/>
      <c r="AB28" s="28" t="n"/>
      <c r="AC28" s="30" t="n">
        <v>-1</v>
      </c>
      <c r="AD28" s="24" t="inlineStr">
        <is>
          <t>2026-09-12T22:00:24.013524Z</t>
        </is>
      </c>
      <c r="AE28" s="31" t="inlineStr">
        <is>
          <t>CFB Joint Model (negative_binomial): proj score Oklahoma Sooners 28.4 @ Michigan Wolverines 27.3 (Margin -1.1). Possessions: 12.4, HFA: +2.8 pts.</t>
        </is>
      </c>
      <c r="AF28" s="31" t="inlineStr">
        <is>
          <t>College football model; multi-market (moneyline, spread, total).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PAPER_CALL_LOW_EDGE</t>
        </is>
      </c>
      <c r="AP28" s="24" t="inlineStr">
        <is>
          <t>Oklahoma Sooners</t>
        </is>
      </c>
      <c r="AQ28" s="24" t="inlineStr">
        <is>
          <t>Oklahoma Sooners</t>
        </is>
      </c>
      <c r="AR28" s="24" t="inlineStr">
        <is>
          <t>Oklahoma Sooners</t>
        </is>
      </c>
      <c r="AS28" s="24" t="inlineStr">
        <is>
          <t>Michigan Wolverines</t>
        </is>
      </c>
      <c r="AT28" s="24" t="inlineStr">
        <is>
          <t>Michigan Wolverines</t>
        </is>
      </c>
      <c r="AU28" s="24" t="inlineStr">
        <is>
          <t>Michigan Wolverines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1d168f11d221cd3c</t>
        </is>
      </c>
      <c r="BB28" s="24" t="inlineStr">
        <is>
          <t>cfb_key_number_engine</t>
        </is>
      </c>
      <c r="BC28" s="24" t="inlineStr">
        <is>
          <t>college-football-v1</t>
        </is>
      </c>
      <c r="BD28" s="24" t="inlineStr">
        <is>
          <t>1d168f11d221cd3c</t>
        </is>
      </c>
      <c r="BE28" s="24" t="inlineStr">
        <is>
          <t>cfb-v1</t>
        </is>
      </c>
      <c r="BF28" s="24" t="inlineStr">
        <is>
          <t>1</t>
        </is>
      </c>
      <c r="BG28" s="24" t="inlineStr">
        <is>
          <t>1d168f11d221cd3c</t>
        </is>
      </c>
      <c r="BH28" s="24" t="inlineStr">
        <is>
          <t>2026-09-12T10:07:04.114376+00:00</t>
        </is>
      </c>
      <c r="BI28" s="24" t="inlineStr">
        <is>
          <t>["same_event","same_team_same_day","same_league_same_day"]</t>
        </is>
      </c>
      <c r="BJ28" s="25" t="n"/>
      <c r="BK28" s="26" t="n">
        <v>-205</v>
      </c>
      <c r="BL28" s="27" t="n">
        <v>1.487805</v>
      </c>
      <c r="BM28" s="28" t="n">
        <v>0.672131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>
        <v>1</v>
      </c>
      <c r="BY28" s="27" t="n">
        <v>-1</v>
      </c>
      <c r="BZ28" s="24" t="inlineStr">
        <is>
          <t>2026-09-12T22:00:24.013524Z</t>
        </is>
      </c>
      <c r="CA28" s="31" t="inlineStr">
        <is>
          <t>fixed one-unit hypothetical scoring; no real exposure or execution</t>
        </is>
      </c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False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0.672131</t>
        </is>
      </c>
      <c r="DK28" s="24" t="n"/>
      <c r="DL28" s="24" t="n"/>
      <c r="DM28" s="24" t="n"/>
      <c r="DN28" s="24" t="n"/>
      <c r="DO28" s="24" t="n"/>
      <c r="DP28" s="24" t="n"/>
      <c r="DQ28" s="24" t="inlineStr">
        <is>
          <t>{"artifact_hash": "1d168f11d221cd3c", "event_id": "401856679", "event_start_utc": "2026-09-12T16:00Z", "features": {"altitude_fatigue_penalty": 0.0, "away_team": "Oklahoma Sooners", "efficiency_gap": -1.012, "elo_away": 1674.1, "elo_home": 1584.3, "elo_home_win_prob": 0.4644, "event_id": "401856679", "game_start_utc": "2026-09-12T16:00Z", "home_field_advantage_points": 2.8, "home_team": "Michigan Wolverines", "is_dome": false, "is_fbs_vs_fcs": false, "is_neutral_site": false, "projected_away_points": 28.4, "projected_home_points": 27.3, "projected_margin_home": -1.1, "projected_possessions": 12.4, "projected_total": 55.6, "stadium_elevation_ft": 840, "travel_distance_miles": 883.0, "uncertainty": 0.165, "weather_total_adjustment": 0.0}, "historical_source_observation_times_verified": false, "inference_inputs": {"engine_source_sha256": "449ba2f0e86fa9c445730076a0e0bf100fb4914620be53c75c6f3bfe24298f3f", "mu_away": 28.4, "mu_home": 27.3,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60927275204411464050685252021557227256}, "uinteger": 0}, "spread_home_line": 5.5, "total_line": 43.5}, "market_type": "moneyline", "model_version": "college-football-v1", "observed_at_utc": "2026-09-12T10:07:04.114376+00:00", "probabilities": {"away": 0.53228, "home": 0.46772}, "replay_scope": "Full precision score means, exact engine parameters and original RNG state; upstream feature construction not certified.", "schema": "cfb-joint-replay-v1", "snapshot_hash": "14fde730915e19cbef843f981e2f11c774d791e42d86a936d12b00a05f353776", "sport": "NCAAF"}</t>
        </is>
      </c>
    </row>
    <row r="29" ht="36" customHeight="1">
      <c r="A29" s="24" t="inlineStr">
        <is>
          <t>c07b357a80074046</t>
        </is>
      </c>
      <c r="B29" s="24" t="inlineStr">
        <is>
          <t>2026-09-12T10:07:04.114376Z</t>
        </is>
      </c>
      <c r="C29" s="24" t="inlineStr">
        <is>
          <t>2026-09-12T16:00Z</t>
        </is>
      </c>
      <c r="D29" s="24" t="inlineStr">
        <is>
          <t>401856679</t>
        </is>
      </c>
      <c r="E29" s="24" t="inlineStr">
        <is>
          <t>NCAAF</t>
        </is>
      </c>
      <c r="F29" s="24" t="inlineStr">
        <is>
          <t>Oklahoma Sooners</t>
        </is>
      </c>
      <c r="G29" s="24" t="inlineStr">
        <is>
          <t>Michigan Wolverines</t>
        </is>
      </c>
      <c r="H29" s="24" t="inlineStr">
        <is>
          <t>spread</t>
        </is>
      </c>
      <c r="I29" s="24" t="inlineStr">
        <is>
          <t>home</t>
        </is>
      </c>
      <c r="J29" s="25" t="n">
        <v>5.5</v>
      </c>
      <c r="K29" s="24" t="inlineStr">
        <is>
          <t>espn_consensus</t>
        </is>
      </c>
      <c r="L29" s="26" t="n">
        <v>-112</v>
      </c>
      <c r="M29" s="27" t="n">
        <v>1.892857</v>
      </c>
      <c r="N29" s="28" t="n">
        <v>0.528302</v>
      </c>
      <c r="O29" s="28" t="n">
        <v>0.6058</v>
      </c>
      <c r="P29" s="28" t="n">
        <v>0.165</v>
      </c>
      <c r="Q29" s="28" t="n">
        <v>0.077498</v>
      </c>
      <c r="R29" s="26" t="n">
        <v>0</v>
      </c>
      <c r="S29" s="29" t="n">
        <v>1</v>
      </c>
      <c r="T29" s="24" t="inlineStr">
        <is>
          <t>cfb-spread-v1</t>
        </is>
      </c>
      <c r="U29" s="24" t="inlineStr">
        <is>
          <t>settled</t>
        </is>
      </c>
      <c r="V29" s="24" t="inlineStr">
        <is>
          <t>win</t>
        </is>
      </c>
      <c r="W29" s="26" t="n">
        <v>10</v>
      </c>
      <c r="X29" s="26" t="n">
        <v>17</v>
      </c>
      <c r="Y29" s="25" t="n"/>
      <c r="Z29" s="26" t="n"/>
      <c r="AA29" s="28" t="n"/>
      <c r="AB29" s="28" t="n"/>
      <c r="AC29" s="30" t="n">
        <v>0.8929</v>
      </c>
      <c r="AD29" s="24" t="inlineStr">
        <is>
          <t>2026-09-12T22:00:24.391173Z</t>
        </is>
      </c>
      <c r="AE29" s="31" t="inlineStr">
        <is>
          <t>Projected home margin -1.1 pts. Spread: Home +5.5 / Away -5.5 -&gt; P(Away cover)=0.394, P(Home cover)=0.606, P(Push)=0.000.</t>
        </is>
      </c>
      <c r="AF29" s="31" t="inlineStr">
        <is>
          <t>College football model; multi-market (moneyline, spread, total).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4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Oklahoma Sooners</t>
        </is>
      </c>
      <c r="AQ29" s="24" t="inlineStr">
        <is>
          <t>Oklahoma Sooners</t>
        </is>
      </c>
      <c r="AR29" s="24" t="inlineStr">
        <is>
          <t>Oklahoma Sooners</t>
        </is>
      </c>
      <c r="AS29" s="24" t="inlineStr">
        <is>
          <t>Michigan Wolverines</t>
        </is>
      </c>
      <c r="AT29" s="24" t="inlineStr">
        <is>
          <t>Michigan Wolverines</t>
        </is>
      </c>
      <c r="AU29" s="24" t="inlineStr">
        <is>
          <t>Michigan Wolverines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1d168f11d221cd3c</t>
        </is>
      </c>
      <c r="BB29" s="24" t="inlineStr">
        <is>
          <t>cfb_key_number_engine</t>
        </is>
      </c>
      <c r="BC29" s="24" t="inlineStr">
        <is>
          <t>cfb-spread-v1</t>
        </is>
      </c>
      <c r="BD29" s="24" t="inlineStr">
        <is>
          <t>1d168f11d221cd3c</t>
        </is>
      </c>
      <c r="BE29" s="24" t="inlineStr">
        <is>
          <t>cfb-v1</t>
        </is>
      </c>
      <c r="BF29" s="24" t="inlineStr">
        <is>
          <t>1</t>
        </is>
      </c>
      <c r="BG29" s="24" t="inlineStr">
        <is>
          <t>1d168f11d221cd3c</t>
        </is>
      </c>
      <c r="BH29" s="24" t="inlineStr">
        <is>
          <t>2026-09-12T10:07:04.114376+00:00</t>
        </is>
      </c>
      <c r="BI29" s="24" t="inlineStr">
        <is>
          <t>["same_event","same_team_same_day","same_league_same_day"]</t>
        </is>
      </c>
      <c r="BJ29" s="25" t="n">
        <v>5.5</v>
      </c>
      <c r="BK29" s="26" t="n">
        <v>-112</v>
      </c>
      <c r="BL29" s="27" t="n">
        <v>1.892857</v>
      </c>
      <c r="BM29" s="28" t="n">
        <v>0.528302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0.528302</t>
        </is>
      </c>
      <c r="DK29" s="24" t="n"/>
      <c r="DL29" s="24" t="n"/>
      <c r="DM29" s="24" t="n"/>
      <c r="DN29" s="24" t="n"/>
      <c r="DO29" s="24" t="n"/>
      <c r="DP29" s="24" t="n"/>
      <c r="DQ29" s="24" t="inlineStr">
        <is>
          <t>{"artifact_hash": "1d168f11d221cd3c", "event_id": "401856679", "event_start_utc": "2026-09-12T16:00Z", "features": {"altitude_fatigue_penalty": 0.0, "away_team": "Oklahoma Sooners", "efficiency_gap": -1.012, "elo_away": 1674.1, "elo_home": 1584.3, "elo_home_win_prob": 0.4644, "event_id": "401856679", "game_start_utc": "2026-09-12T16:00Z", "home_field_advantage_points": 2.8, "home_team": "Michigan Wolverines", "is_dome": false, "is_fbs_vs_fcs": false, "is_neutral_site": false, "projected_away_points": 28.4, "projected_home_points": 27.3, "projected_margin_home": -1.1, "projected_possessions": 12.4, "projected_total": 55.6, "stadium_elevation_ft": 840, "travel_distance_miles": 883.0, "uncertainty": 0.165, "weather_total_adjustment": 0.0}, "historical_source_observation_times_verified": false, "inference_inputs": {"engine_source_sha256": "449ba2f0e86fa9c445730076a0e0bf100fb4914620be53c75c6f3bfe24298f3f", "mu_away": 28.4, "mu_home": 27.3,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60927275204411464050685252021557227256}, "uinteger": 0}, "spread_home_line": 5.5, "total_line": 43.5}, "market_type": "spread", "model_version": "cfb-spread-v1", "observed_at_utc": "2026-09-12T10:07:04.114376+00:00", "probabilities": {"away": 0.3942, "home": 0.6058, "push": 0.0}, "replay_scope": "Full precision score means, exact engine parameters and original RNG state; upstream feature construction not certified.", "schema": "cfb-joint-replay-v1", "snapshot_hash": "03fb4f694c936f6c247f5689f4ee244434400494a949a75ad36b99fad4f7e093", "sport": "NCAAF"}</t>
        </is>
      </c>
    </row>
    <row r="30" ht="36" customHeight="1">
      <c r="A30" s="24" t="inlineStr">
        <is>
          <t>e00dcd17aa2346e8</t>
        </is>
      </c>
      <c r="B30" s="24" t="inlineStr">
        <is>
          <t>2026-09-12T10:07:04.114376Z</t>
        </is>
      </c>
      <c r="C30" s="24" t="inlineStr">
        <is>
          <t>2026-09-12T16:00Z</t>
        </is>
      </c>
      <c r="D30" s="24" t="inlineStr">
        <is>
          <t>401856679</t>
        </is>
      </c>
      <c r="E30" s="24" t="inlineStr">
        <is>
          <t>NCAAF</t>
        </is>
      </c>
      <c r="F30" s="24" t="inlineStr">
        <is>
          <t>Oklahoma Sooners</t>
        </is>
      </c>
      <c r="G30" s="24" t="inlineStr">
        <is>
          <t>Michigan Wolverines</t>
        </is>
      </c>
      <c r="H30" s="24" t="inlineStr">
        <is>
          <t>total</t>
        </is>
      </c>
      <c r="I30" s="24" t="inlineStr">
        <is>
          <t>over</t>
        </is>
      </c>
      <c r="J30" s="25" t="n">
        <v>43.5</v>
      </c>
      <c r="K30" s="24" t="inlineStr">
        <is>
          <t>espn_consensus</t>
        </is>
      </c>
      <c r="L30" s="26" t="n">
        <v>-108</v>
      </c>
      <c r="M30" s="27" t="n">
        <v>1.925926</v>
      </c>
      <c r="N30" s="28" t="n">
        <v>0.519231</v>
      </c>
      <c r="O30" s="28" t="n">
        <v>0.717133</v>
      </c>
      <c r="P30" s="28" t="n">
        <v>0.165</v>
      </c>
      <c r="Q30" s="28" t="n">
        <v>0.197902</v>
      </c>
      <c r="R30" s="26" t="n">
        <v>50</v>
      </c>
      <c r="S30" s="29" t="n">
        <v>1.25</v>
      </c>
      <c r="T30" s="24" t="inlineStr">
        <is>
          <t>cfb-total-v1</t>
        </is>
      </c>
      <c r="U30" s="24" t="inlineStr">
        <is>
          <t>settled</t>
        </is>
      </c>
      <c r="V30" s="24" t="inlineStr">
        <is>
          <t>loss</t>
        </is>
      </c>
      <c r="W30" s="26" t="n">
        <v>10</v>
      </c>
      <c r="X30" s="26" t="n">
        <v>17</v>
      </c>
      <c r="Y30" s="25" t="n"/>
      <c r="Z30" s="26" t="n"/>
      <c r="AA30" s="28" t="n"/>
      <c r="AB30" s="28" t="n"/>
      <c r="AC30" s="30" t="n">
        <v>-1.25</v>
      </c>
      <c r="AD30" s="24" t="inlineStr">
        <is>
          <t>2026-09-12T22:00:24.740201Z</t>
        </is>
      </c>
      <c r="AE30" s="31" t="inlineStr">
        <is>
          <t>Projected total 55.6 pts (Weather adj: +0.0 pts). Total line 43.5 -&gt; P(Over)=0.717, P(Under)=0.283, P(Push)=0.000.</t>
        </is>
      </c>
      <c r="AF30" s="31" t="inlineStr">
        <is>
          <t>College football model; multi-market (moneyline, spread, total).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Oklahoma Sooners</t>
        </is>
      </c>
      <c r="AQ30" s="24" t="inlineStr">
        <is>
          <t>Oklahoma Sooners</t>
        </is>
      </c>
      <c r="AR30" s="24" t="inlineStr">
        <is>
          <t>Oklahoma Sooners</t>
        </is>
      </c>
      <c r="AS30" s="24" t="inlineStr">
        <is>
          <t>Michigan Wolverines</t>
        </is>
      </c>
      <c r="AT30" s="24" t="inlineStr">
        <is>
          <t>Michigan Wolverines</t>
        </is>
      </c>
      <c r="AU30" s="24" t="inlineStr">
        <is>
          <t>Michigan Wolverines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1d168f11d221cd3c</t>
        </is>
      </c>
      <c r="BB30" s="24" t="inlineStr">
        <is>
          <t>cfb_key_number_engine</t>
        </is>
      </c>
      <c r="BC30" s="24" t="inlineStr">
        <is>
          <t>cfb-total-v1</t>
        </is>
      </c>
      <c r="BD30" s="24" t="inlineStr">
        <is>
          <t>1d168f11d221cd3c</t>
        </is>
      </c>
      <c r="BE30" s="24" t="inlineStr">
        <is>
          <t>cfb-v1</t>
        </is>
      </c>
      <c r="BF30" s="24" t="inlineStr">
        <is>
          <t>1</t>
        </is>
      </c>
      <c r="BG30" s="24" t="inlineStr">
        <is>
          <t>1d168f11d221cd3c</t>
        </is>
      </c>
      <c r="BH30" s="24" t="inlineStr">
        <is>
          <t>2026-09-12T10:07:04.114376+00:00</t>
        </is>
      </c>
      <c r="BI30" s="24" t="inlineStr">
        <is>
          <t>["same_event","same_team_same_day","same_league_same_day"]</t>
        </is>
      </c>
      <c r="BJ30" s="25" t="n">
        <v>43.5</v>
      </c>
      <c r="BK30" s="26" t="n">
        <v>-108</v>
      </c>
      <c r="BL30" s="27" t="n">
        <v>1.925926</v>
      </c>
      <c r="BM30" s="28" t="n">
        <v>0.519231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0.519231</t>
        </is>
      </c>
      <c r="DK30" s="24" t="n"/>
      <c r="DL30" s="24" t="n"/>
      <c r="DM30" s="24" t="n"/>
      <c r="DN30" s="24" t="n"/>
      <c r="DO30" s="24" t="n"/>
      <c r="DP30" s="24" t="n"/>
      <c r="DQ30" s="24" t="inlineStr">
        <is>
          <t>{"artifact_hash": "1d168f11d221cd3c", "event_id": "401856679", "event_start_utc": "2026-09-12T16:00Z", "features": {"altitude_fatigue_penalty": 0.0, "away_team": "Oklahoma Sooners", "efficiency_gap": -1.012, "elo_away": 1674.1, "elo_home": 1584.3, "elo_home_win_prob": 0.4644, "event_id": "401856679", "game_start_utc": "2026-09-12T16:00Z", "home_field_advantage_points": 2.8, "home_team": "Michigan Wolverines", "is_dome": false, "is_fbs_vs_fcs": false, "is_neutral_site": false, "projected_away_points": 28.4, "projected_home_points": 27.3, "projected_margin_home": -1.1, "projected_possessions": 12.4, "projected_total": 55.6, "stadium_elevation_ft": 840, "travel_distance_miles": 883.0, "uncertainty": 0.165, "weather_total_adjustment": 0.0}, "historical_source_observation_times_verified": false, "inference_inputs": {"engine_source_sha256": "449ba2f0e86fa9c445730076a0e0bf100fb4914620be53c75c6f3bfe24298f3f", "mu_away": 28.4, "mu_home": 27.3,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60927275204411464050685252021557227256}, "uinteger": 0}, "spread_home_line": 5.5, "total_line": 43.5}, "market_type": "total", "model_version": "cfb-total-v1", "observed_at_utc": "2026-09-12T10:07:04.114376+00:00", "probabilities": {"over": 0.717133, "push": 0.0, "under": 0.282867}, "replay_scope": "Full precision score means, exact engine parameters and original RNG state; upstream feature construction not certified.", "schema": "cfb-joint-replay-v1", "snapshot_hash": "6de033534067271b656964ff006245b94dc4f456e0f1852ecee78651776acd53", "sport": "NCAAF"}</t>
        </is>
      </c>
    </row>
    <row r="31" ht="36" customHeight="1">
      <c r="A31" s="24" t="inlineStr">
        <is>
          <t>2eb392748fcf4d0b</t>
        </is>
      </c>
      <c r="B31" s="24" t="inlineStr">
        <is>
          <t>2026-09-12T10:07:04.114376Z</t>
        </is>
      </c>
      <c r="C31" s="24" t="inlineStr">
        <is>
          <t>2026-09-12T16:00Z</t>
        </is>
      </c>
      <c r="D31" s="24" t="inlineStr">
        <is>
          <t>401858442</t>
        </is>
      </c>
      <c r="E31" s="24" t="inlineStr">
        <is>
          <t>NCAAF</t>
        </is>
      </c>
      <c r="F31" s="24" t="inlineStr">
        <is>
          <t>Penn State Nittany Lions</t>
        </is>
      </c>
      <c r="G31" s="24" t="inlineStr">
        <is>
          <t>Temple Owls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espn_consensus</t>
        </is>
      </c>
      <c r="L31" s="26" t="n">
        <v>-2800</v>
      </c>
      <c r="M31" s="27" t="n">
        <v>1.035714</v>
      </c>
      <c r="N31" s="28" t="n">
        <v>0.965517</v>
      </c>
      <c r="O31" s="28" t="n">
        <v>0.832275</v>
      </c>
      <c r="P31" s="28" t="n">
        <v>0.18</v>
      </c>
      <c r="Q31" s="28" t="n">
        <v>-0.133242</v>
      </c>
      <c r="R31" s="26" t="n">
        <v>0</v>
      </c>
      <c r="S31" s="29" t="n">
        <v>1</v>
      </c>
      <c r="T31" s="24" t="inlineStr">
        <is>
          <t>college-football-v1</t>
        </is>
      </c>
      <c r="U31" s="24" t="inlineStr">
        <is>
          <t>settled</t>
        </is>
      </c>
      <c r="V31" s="24" t="inlineStr">
        <is>
          <t>win</t>
        </is>
      </c>
      <c r="W31" s="26" t="n">
        <v>27</v>
      </c>
      <c r="X31" s="26" t="n">
        <v>9</v>
      </c>
      <c r="Y31" s="25" t="n"/>
      <c r="Z31" s="26" t="n"/>
      <c r="AA31" s="28" t="n"/>
      <c r="AB31" s="28" t="n"/>
      <c r="AC31" s="30" t="n">
        <v>0.0357</v>
      </c>
      <c r="AD31" s="24" t="inlineStr">
        <is>
          <t>2026-09-12T22:00:25.094367Z</t>
        </is>
      </c>
      <c r="AE31" s="31" t="inlineStr">
        <is>
          <t>CFB Joint Model (negative_binomial): proj score Penn State Nittany Lions 35.1 @ Temple Owls 19.9 (Margin -15.2). Possessions: 12.4, HFA: +2.8 pts.</t>
        </is>
      </c>
      <c r="AF31" s="31" t="inlineStr">
        <is>
          <t>College football model; multi-market (moneyline, spread, total).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Penn State Nittany Lions</t>
        </is>
      </c>
      <c r="AQ31" s="24" t="inlineStr">
        <is>
          <t>Penn State Nittany Lions</t>
        </is>
      </c>
      <c r="AR31" s="24" t="inlineStr">
        <is>
          <t>Penn State Nittany Lions</t>
        </is>
      </c>
      <c r="AS31" s="24" t="inlineStr">
        <is>
          <t>Temple Owls</t>
        </is>
      </c>
      <c r="AT31" s="24" t="inlineStr">
        <is>
          <t>Temple Owls</t>
        </is>
      </c>
      <c r="AU31" s="24" t="inlineStr">
        <is>
          <t>Temple Owls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1d168f11d221cd3c</t>
        </is>
      </c>
      <c r="BB31" s="24" t="inlineStr">
        <is>
          <t>cfb_key_number_engine</t>
        </is>
      </c>
      <c r="BC31" s="24" t="inlineStr">
        <is>
          <t>college-football-v1</t>
        </is>
      </c>
      <c r="BD31" s="24" t="inlineStr">
        <is>
          <t>1d168f11d221cd3c</t>
        </is>
      </c>
      <c r="BE31" s="24" t="inlineStr">
        <is>
          <t>cfb-v1</t>
        </is>
      </c>
      <c r="BF31" s="24" t="inlineStr">
        <is>
          <t>1</t>
        </is>
      </c>
      <c r="BG31" s="24" t="inlineStr">
        <is>
          <t>1d168f11d221cd3c</t>
        </is>
      </c>
      <c r="BH31" s="24" t="inlineStr">
        <is>
          <t>2026-09-12T10:07:04.114376+00:00</t>
        </is>
      </c>
      <c r="BI31" s="24" t="inlineStr">
        <is>
          <t>["same_event","same_team_same_day","same_league_same_day"]</t>
        </is>
      </c>
      <c r="BJ31" s="25" t="n"/>
      <c r="BK31" s="26" t="n">
        <v>-2800</v>
      </c>
      <c r="BL31" s="27" t="n">
        <v>1.035714</v>
      </c>
      <c r="BM31" s="28" t="n">
        <v>0.965517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>
        <v>1</v>
      </c>
      <c r="BY31" s="27" t="n">
        <v>0.035714</v>
      </c>
      <c r="BZ31" s="24" t="inlineStr">
        <is>
          <t>2026-09-12T22:00:25.094367Z</t>
        </is>
      </c>
      <c r="CA31" s="31" t="inlineStr">
        <is>
          <t>fixed one-unit hypothetical scoring; no real exposure or execution</t>
        </is>
      </c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0.965517</t>
        </is>
      </c>
      <c r="DK31" s="24" t="n"/>
      <c r="DL31" s="24" t="n"/>
      <c r="DM31" s="24" t="n"/>
      <c r="DN31" s="24" t="n"/>
      <c r="DO31" s="24" t="n"/>
      <c r="DP31" s="24" t="n"/>
      <c r="DQ31" s="24" t="inlineStr">
        <is>
          <t>{"artifact_hash": "1d168f11d221cd3c", "event_id": "401858442", "event_start_utc": "2026-09-12T16:00Z", "features": {"altitude_fatigue_penalty": 0.0, "away_team": "Penn State Nittany Lions", "efficiency_gap": -1.877, "elo_away": 1730.7, "elo_home": 1292.2, "elo_home_win_prob": 0.1043, "event_id": "401858442", "game_start_utc": "2026-09-12T16:00Z", "home_field_advantage_points": 2.8, "home_team": "Temple Owls", "is_dome": false, "is_fbs_vs_fcs": false, "is_neutral_site": false, "projected_away_points": 35.1, "projected_home_points": 19.9, "projected_margin_home": -15.2, "projected_possessions": 12.4, "projected_total": 55.0, "stadium_elevation_ft": 10, "travel_distance_miles": 155.0, "uncertainty": 0.18, "weather_total_adjustment": 0.0}, "historical_source_observation_times_verified": false, "inference_inputs": {"engine_source_sha256": "449ba2f0e86fa9c445730076a0e0bf100fb4914620be53c75c6f3bfe24298f3f", "mu_away": 35.1, "mu_home": 19.9,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165370869083005222275834902117453891295}, "uinteger": 0}, "spread_home_line": 24.5, "total_line": 51.5}, "market_type": "moneyline", "model_version": "college-football-v1", "observed_at_utc": "2026-09-12T10:07:04.114376+00:00", "probabilities": {"away": 0.832275, "home": 0.167725}, "replay_scope": "Full precision score means, exact engine parameters and original RNG state; upstream feature construction not certified.", "schema": "cfb-joint-replay-v1", "snapshot_hash": "981068dde9b0d9bb51ef8666d9538e17e77186695037172416015c7ee255c0cb", "sport": "NCAAF"}</t>
        </is>
      </c>
    </row>
    <row r="32" ht="36" customHeight="1">
      <c r="A32" s="24" t="inlineStr">
        <is>
          <t>83953481e0a24a2c</t>
        </is>
      </c>
      <c r="B32" s="24" t="inlineStr">
        <is>
          <t>2026-09-12T10:07:04.114376Z</t>
        </is>
      </c>
      <c r="C32" s="24" t="inlineStr">
        <is>
          <t>2026-09-12T16:00Z</t>
        </is>
      </c>
      <c r="D32" s="24" t="inlineStr">
        <is>
          <t>401858442</t>
        </is>
      </c>
      <c r="E32" s="24" t="inlineStr">
        <is>
          <t>NCAAF</t>
        </is>
      </c>
      <c r="F32" s="24" t="inlineStr">
        <is>
          <t>Penn State Nittany Lions</t>
        </is>
      </c>
      <c r="G32" s="24" t="inlineStr">
        <is>
          <t>Temple Owls</t>
        </is>
      </c>
      <c r="H32" s="24" t="inlineStr">
        <is>
          <t>spread</t>
        </is>
      </c>
      <c r="I32" s="24" t="inlineStr">
        <is>
          <t>home</t>
        </is>
      </c>
      <c r="J32" s="25" t="n">
        <v>24.5</v>
      </c>
      <c r="K32" s="24" t="inlineStr">
        <is>
          <t>espn_consensus</t>
        </is>
      </c>
      <c r="L32" s="26" t="n">
        <v>-118</v>
      </c>
      <c r="M32" s="27" t="n">
        <v>1.847458</v>
      </c>
      <c r="N32" s="28" t="n">
        <v>0.541284</v>
      </c>
      <c r="O32" s="28" t="n">
        <v>0.719333</v>
      </c>
      <c r="P32" s="28" t="n">
        <v>0.18</v>
      </c>
      <c r="Q32" s="28" t="n">
        <v>0.178049</v>
      </c>
      <c r="R32" s="26" t="n">
        <v>31</v>
      </c>
      <c r="S32" s="29" t="n">
        <v>1</v>
      </c>
      <c r="T32" s="24" t="inlineStr">
        <is>
          <t>cfb-spread-v1</t>
        </is>
      </c>
      <c r="U32" s="24" t="inlineStr">
        <is>
          <t>settled</t>
        </is>
      </c>
      <c r="V32" s="24" t="inlineStr">
        <is>
          <t>win</t>
        </is>
      </c>
      <c r="W32" s="26" t="n">
        <v>27</v>
      </c>
      <c r="X32" s="26" t="n">
        <v>9</v>
      </c>
      <c r="Y32" s="25" t="n"/>
      <c r="Z32" s="26" t="n"/>
      <c r="AA32" s="28" t="n"/>
      <c r="AB32" s="28" t="n"/>
      <c r="AC32" s="30" t="n">
        <v>0.8475</v>
      </c>
      <c r="AD32" s="24" t="inlineStr">
        <is>
          <t>2026-09-12T22:00:25.403075Z</t>
        </is>
      </c>
      <c r="AE32" s="31" t="inlineStr">
        <is>
          <t>Projected home margin -15.2 pts. Spread: Home +24.5 / Away -24.5 -&gt; P(Away cover)=0.281, P(Home cover)=0.719, P(Push)=0.000.</t>
        </is>
      </c>
      <c r="AF32" s="31" t="inlineStr">
        <is>
          <t>College football model; multi-market (moneyline, spread, total).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4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Penn State Nittany Lions</t>
        </is>
      </c>
      <c r="AQ32" s="24" t="inlineStr">
        <is>
          <t>Penn State Nittany Lions</t>
        </is>
      </c>
      <c r="AR32" s="24" t="inlineStr">
        <is>
          <t>Penn State Nittany Lions</t>
        </is>
      </c>
      <c r="AS32" s="24" t="inlineStr">
        <is>
          <t>Temple Owls</t>
        </is>
      </c>
      <c r="AT32" s="24" t="inlineStr">
        <is>
          <t>Temple Owls</t>
        </is>
      </c>
      <c r="AU32" s="24" t="inlineStr">
        <is>
          <t>Temple Owls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1d168f11d221cd3c</t>
        </is>
      </c>
      <c r="BB32" s="24" t="inlineStr">
        <is>
          <t>cfb_key_number_engine</t>
        </is>
      </c>
      <c r="BC32" s="24" t="inlineStr">
        <is>
          <t>cfb-spread-v1</t>
        </is>
      </c>
      <c r="BD32" s="24" t="inlineStr">
        <is>
          <t>1d168f11d221cd3c</t>
        </is>
      </c>
      <c r="BE32" s="24" t="inlineStr">
        <is>
          <t>cfb-v1</t>
        </is>
      </c>
      <c r="BF32" s="24" t="inlineStr">
        <is>
          <t>1</t>
        </is>
      </c>
      <c r="BG32" s="24" t="inlineStr">
        <is>
          <t>1d168f11d221cd3c</t>
        </is>
      </c>
      <c r="BH32" s="24" t="inlineStr">
        <is>
          <t>2026-09-12T10:07:04.114376+00:00</t>
        </is>
      </c>
      <c r="BI32" s="24" t="inlineStr">
        <is>
          <t>["same_event","same_team_same_day","same_league_same_day"]</t>
        </is>
      </c>
      <c r="BJ32" s="25" t="n">
        <v>24.5</v>
      </c>
      <c r="BK32" s="26" t="n">
        <v>-118</v>
      </c>
      <c r="BL32" s="27" t="n">
        <v>1.847458</v>
      </c>
      <c r="BM32" s="28" t="n">
        <v>0.541284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0.541284</t>
        </is>
      </c>
      <c r="DK32" s="24" t="n"/>
      <c r="DL32" s="24" t="n"/>
      <c r="DM32" s="24" t="n"/>
      <c r="DN32" s="24" t="n"/>
      <c r="DO32" s="24" t="n"/>
      <c r="DP32" s="24" t="n"/>
      <c r="DQ32" s="24" t="inlineStr">
        <is>
          <t>{"artifact_hash": "1d168f11d221cd3c", "event_id": "401858442", "event_start_utc": "2026-09-12T16:00Z", "features": {"altitude_fatigue_penalty": 0.0, "away_team": "Penn State Nittany Lions", "efficiency_gap": -1.877, "elo_away": 1730.7, "elo_home": 1292.2, "elo_home_win_prob": 0.1043, "event_id": "401858442", "game_start_utc": "2026-09-12T16:00Z", "home_field_advantage_points": 2.8, "home_team": "Temple Owls", "is_dome": false, "is_fbs_vs_fcs": false, "is_neutral_site": false, "projected_away_points": 35.1, "projected_home_points": 19.9, "projected_margin_home": -15.2, "projected_possessions": 12.4, "projected_total": 55.0, "stadium_elevation_ft": 10, "travel_distance_miles": 155.0, "uncertainty": 0.18, "weather_total_adjustment": 0.0}, "historical_source_observation_times_verified": false, "inference_inputs": {"engine_source_sha256": "449ba2f0e86fa9c445730076a0e0bf100fb4914620be53c75c6f3bfe24298f3f", "mu_away": 35.1, "mu_home": 19.9,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165370869083005222275834902117453891295}, "uinteger": 0}, "spread_home_line": 24.5, "total_line": 51.5}, "market_type": "spread", "model_version": "cfb-spread-v1", "observed_at_utc": "2026-09-12T10:07:04.114376+00:00", "probabilities": {"away": 0.280667, "home": 0.719333, "push": 0.0}, "replay_scope": "Full precision score means, exact engine parameters and original RNG state; upstream feature construction not certified.", "schema": "cfb-joint-replay-v1", "snapshot_hash": "108c8ac30ead3a02b0b14499ce97bd74ce0079ed0dd03998677aa4ba67f8ca45", "sport": "NCAAF"}</t>
        </is>
      </c>
    </row>
    <row r="33" ht="36" customHeight="1">
      <c r="A33" s="24" t="inlineStr">
        <is>
          <t>2b5bd75d82654d42</t>
        </is>
      </c>
      <c r="B33" s="24" t="inlineStr">
        <is>
          <t>2026-09-12T10:07:04.114376Z</t>
        </is>
      </c>
      <c r="C33" s="24" t="inlineStr">
        <is>
          <t>2026-09-12T16:00Z</t>
        </is>
      </c>
      <c r="D33" s="24" t="inlineStr">
        <is>
          <t>401858442</t>
        </is>
      </c>
      <c r="E33" s="24" t="inlineStr">
        <is>
          <t>NCAAF</t>
        </is>
      </c>
      <c r="F33" s="24" t="inlineStr">
        <is>
          <t>Penn State Nittany Lions</t>
        </is>
      </c>
      <c r="G33" s="24" t="inlineStr">
        <is>
          <t>Temple Owls</t>
        </is>
      </c>
      <c r="H33" s="24" t="inlineStr">
        <is>
          <t>total</t>
        </is>
      </c>
      <c r="I33" s="24" t="inlineStr">
        <is>
          <t>over</t>
        </is>
      </c>
      <c r="J33" s="25" t="n">
        <v>51.5</v>
      </c>
      <c r="K33" s="24" t="inlineStr">
        <is>
          <t>espn_consensus</t>
        </is>
      </c>
      <c r="L33" s="26" t="n">
        <v>-102</v>
      </c>
      <c r="M33" s="27" t="n">
        <v>1.980392</v>
      </c>
      <c r="N33" s="28" t="n">
        <v>0.50495</v>
      </c>
      <c r="O33" s="28" t="n">
        <v>0.5456</v>
      </c>
      <c r="P33" s="28" t="n">
        <v>0.18</v>
      </c>
      <c r="Q33" s="28" t="n">
        <v>0.04065</v>
      </c>
      <c r="R33" s="26" t="n">
        <v>0</v>
      </c>
      <c r="S33" s="29" t="n">
        <v>1</v>
      </c>
      <c r="T33" s="24" t="inlineStr">
        <is>
          <t>cfb-total-v1</t>
        </is>
      </c>
      <c r="U33" s="24" t="inlineStr">
        <is>
          <t>settled</t>
        </is>
      </c>
      <c r="V33" s="24" t="inlineStr">
        <is>
          <t>loss</t>
        </is>
      </c>
      <c r="W33" s="26" t="n">
        <v>27</v>
      </c>
      <c r="X33" s="26" t="n">
        <v>9</v>
      </c>
      <c r="Y33" s="25" t="n"/>
      <c r="Z33" s="26" t="n"/>
      <c r="AA33" s="28" t="n"/>
      <c r="AB33" s="28" t="n"/>
      <c r="AC33" s="30" t="n">
        <v>-1</v>
      </c>
      <c r="AD33" s="24" t="inlineStr">
        <is>
          <t>2026-09-12T22:00:25.747359Z</t>
        </is>
      </c>
      <c r="AE33" s="31" t="inlineStr">
        <is>
          <t>Projected total 55.0 pts (Weather adj: +0.0 pts). Total line 51.5 -&gt; P(Over)=0.546, P(Under)=0.454, P(Push)=0.000.</t>
        </is>
      </c>
      <c r="AF33" s="31" t="inlineStr">
        <is>
          <t>College football model; multi-market (moneyline, spread, total).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4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Penn State Nittany Lions</t>
        </is>
      </c>
      <c r="AQ33" s="24" t="inlineStr">
        <is>
          <t>Penn State Nittany Lions</t>
        </is>
      </c>
      <c r="AR33" s="24" t="inlineStr">
        <is>
          <t>Penn State Nittany Lions</t>
        </is>
      </c>
      <c r="AS33" s="24" t="inlineStr">
        <is>
          <t>Temple Owls</t>
        </is>
      </c>
      <c r="AT33" s="24" t="inlineStr">
        <is>
          <t>Temple Owls</t>
        </is>
      </c>
      <c r="AU33" s="24" t="inlineStr">
        <is>
          <t>Temple Owls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1d168f11d221cd3c</t>
        </is>
      </c>
      <c r="BB33" s="24" t="inlineStr">
        <is>
          <t>cfb_key_number_engine</t>
        </is>
      </c>
      <c r="BC33" s="24" t="inlineStr">
        <is>
          <t>cfb-total-v1</t>
        </is>
      </c>
      <c r="BD33" s="24" t="inlineStr">
        <is>
          <t>1d168f11d221cd3c</t>
        </is>
      </c>
      <c r="BE33" s="24" t="inlineStr">
        <is>
          <t>cfb-v1</t>
        </is>
      </c>
      <c r="BF33" s="24" t="inlineStr">
        <is>
          <t>1</t>
        </is>
      </c>
      <c r="BG33" s="24" t="inlineStr">
        <is>
          <t>1d168f11d221cd3c</t>
        </is>
      </c>
      <c r="BH33" s="24" t="inlineStr">
        <is>
          <t>2026-09-12T10:07:04.114376+00:00</t>
        </is>
      </c>
      <c r="BI33" s="24" t="inlineStr">
        <is>
          <t>["same_event","same_team_same_day","same_league_same_day"]</t>
        </is>
      </c>
      <c r="BJ33" s="25" t="n">
        <v>51.5</v>
      </c>
      <c r="BK33" s="26" t="n">
        <v>-102</v>
      </c>
      <c r="BL33" s="27" t="n">
        <v>1.980392</v>
      </c>
      <c r="BM33" s="28" t="n">
        <v>0.50495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0.50495</t>
        </is>
      </c>
      <c r="DK33" s="24" t="n"/>
      <c r="DL33" s="24" t="n"/>
      <c r="DM33" s="24" t="n"/>
      <c r="DN33" s="24" t="n"/>
      <c r="DO33" s="24" t="n"/>
      <c r="DP33" s="24" t="n"/>
      <c r="DQ33" s="24" t="inlineStr">
        <is>
          <t>{"artifact_hash": "1d168f11d221cd3c", "event_id": "401858442", "event_start_utc": "2026-09-12T16:00Z", "features": {"altitude_fatigue_penalty": 0.0, "away_team": "Penn State Nittany Lions", "efficiency_gap": -1.877, "elo_away": 1730.7, "elo_home": 1292.2, "elo_home_win_prob": 0.1043, "event_id": "401858442", "game_start_utc": "2026-09-12T16:00Z", "home_field_advantage_points": 2.8, "home_team": "Temple Owls", "is_dome": false, "is_fbs_vs_fcs": false, "is_neutral_site": false, "projected_away_points": 35.1, "projected_home_points": 19.9, "projected_margin_home": -15.2, "projected_possessions": 12.4, "projected_total": 55.0, "stadium_elevation_ft": 10, "travel_distance_miles": 155.0, "uncertainty": 0.18, "weather_total_adjustment": 0.0}, "historical_source_observation_times_verified": false, "inference_inputs": {"engine_source_sha256": "449ba2f0e86fa9c445730076a0e0bf100fb4914620be53c75c6f3bfe24298f3f", "mu_away": 35.1, "mu_home": 19.9,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165370869083005222275834902117453891295}, "uinteger": 0}, "spread_home_line": 24.5, "total_line": 51.5}, "market_type": "total", "model_version": "cfb-total-v1", "observed_at_utc": "2026-09-12T10:07:04.114376+00:00", "probabilities": {"over": 0.5456, "push": 0.0, "under": 0.4544}, "replay_scope": "Full precision score means, exact engine parameters and original RNG state; upstream feature construction not certified.", "schema": "cfb-joint-replay-v1", "snapshot_hash": "c75d025530d0ffb0abdfcaa5fdcd2d1dd10f54c29d720cf3aae4e99a8960acf2", "sport": "NCAAF"}</t>
        </is>
      </c>
    </row>
    <row r="34" ht="36" customHeight="1">
      <c r="A34" s="24" t="inlineStr">
        <is>
          <t>e95783f8184646f9</t>
        </is>
      </c>
      <c r="B34" s="24" t="inlineStr">
        <is>
          <t>2026-09-12T10:07:04.114376Z</t>
        </is>
      </c>
      <c r="C34" s="24" t="inlineStr">
        <is>
          <t>2026-09-12T16:00Z</t>
        </is>
      </c>
      <c r="D34" s="24" t="inlineStr">
        <is>
          <t>401856781</t>
        </is>
      </c>
      <c r="E34" s="24" t="inlineStr">
        <is>
          <t>NCAAF</t>
        </is>
      </c>
      <c r="F34" s="24" t="inlineStr">
        <is>
          <t>Washington State Cougars</t>
        </is>
      </c>
      <c r="G34" s="24" t="inlineStr">
        <is>
          <t>Kansas State Wildcats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espn_consensus</t>
        </is>
      </c>
      <c r="L34" s="26" t="n">
        <v>-1000</v>
      </c>
      <c r="M34" s="27" t="n">
        <v>1.1</v>
      </c>
      <c r="N34" s="28" t="n">
        <v>0.909091</v>
      </c>
      <c r="O34" s="28" t="n">
        <v>0.609472</v>
      </c>
      <c r="P34" s="28" t="n">
        <v>0.18</v>
      </c>
      <c r="Q34" s="28" t="n">
        <v>-0.299619</v>
      </c>
      <c r="R34" s="26" t="n">
        <v>0</v>
      </c>
      <c r="S34" s="29" t="n">
        <v>1</v>
      </c>
      <c r="T34" s="24" t="inlineStr">
        <is>
          <t>college-football-v1</t>
        </is>
      </c>
      <c r="U34" s="24" t="inlineStr">
        <is>
          <t>settled</t>
        </is>
      </c>
      <c r="V34" s="24" t="inlineStr">
        <is>
          <t>win</t>
        </is>
      </c>
      <c r="W34" s="26" t="n">
        <v>7</v>
      </c>
      <c r="X34" s="26" t="n">
        <v>34</v>
      </c>
      <c r="Y34" s="25" t="n"/>
      <c r="Z34" s="26" t="n"/>
      <c r="AA34" s="28" t="n"/>
      <c r="AB34" s="28" t="n"/>
      <c r="AC34" s="30" t="n">
        <v>0.1</v>
      </c>
      <c r="AD34" s="24" t="inlineStr">
        <is>
          <t>2026-09-12T22:00:26.106855Z</t>
        </is>
      </c>
      <c r="AE34" s="31" t="inlineStr">
        <is>
          <t>CFB Joint Model (negative_binomial): proj score Washington State Cougars 24.9 @ Kansas State Wildcats 29.2 (Margin +4.3). Possessions: 12.4, HFA: +2.8 pts.</t>
        </is>
      </c>
      <c r="AF34" s="31" t="inlineStr">
        <is>
          <t>College football model; multi-market (moneyline, spread, total).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paper_call</t>
        </is>
      </c>
      <c r="AL34" s="26" t="n">
        <v>4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PAPER_CALL_LOW_EDGE</t>
        </is>
      </c>
      <c r="AP34" s="24" t="inlineStr">
        <is>
          <t>Washington State Cougars</t>
        </is>
      </c>
      <c r="AQ34" s="24" t="inlineStr">
        <is>
          <t>Washington State Cougars</t>
        </is>
      </c>
      <c r="AR34" s="24" t="inlineStr">
        <is>
          <t>Washington State Cougars</t>
        </is>
      </c>
      <c r="AS34" s="24" t="inlineStr">
        <is>
          <t>Kansas State Wildcats</t>
        </is>
      </c>
      <c r="AT34" s="24" t="inlineStr">
        <is>
          <t>Kansas State Wildcats</t>
        </is>
      </c>
      <c r="AU34" s="24" t="inlineStr">
        <is>
          <t>Kansas State Wildcats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1d168f11d221cd3c</t>
        </is>
      </c>
      <c r="BB34" s="24" t="inlineStr">
        <is>
          <t>cfb_key_number_engine</t>
        </is>
      </c>
      <c r="BC34" s="24" t="inlineStr">
        <is>
          <t>college-football-v1</t>
        </is>
      </c>
      <c r="BD34" s="24" t="inlineStr">
        <is>
          <t>1d168f11d221cd3c</t>
        </is>
      </c>
      <c r="BE34" s="24" t="inlineStr">
        <is>
          <t>cfb-v1</t>
        </is>
      </c>
      <c r="BF34" s="24" t="inlineStr">
        <is>
          <t>1</t>
        </is>
      </c>
      <c r="BG34" s="24" t="inlineStr">
        <is>
          <t>1d168f11d221cd3c</t>
        </is>
      </c>
      <c r="BH34" s="24" t="inlineStr">
        <is>
          <t>2026-09-12T10:07:04.114376+00:00</t>
        </is>
      </c>
      <c r="BI34" s="24" t="inlineStr">
        <is>
          <t>["same_event","same_team_same_day","same_league_same_day"]</t>
        </is>
      </c>
      <c r="BJ34" s="25" t="n"/>
      <c r="BK34" s="26" t="n">
        <v>-1000</v>
      </c>
      <c r="BL34" s="27" t="n">
        <v>1.1</v>
      </c>
      <c r="BM34" s="28" t="n">
        <v>0.909091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>
        <v>1</v>
      </c>
      <c r="BY34" s="27" t="n">
        <v>0.1</v>
      </c>
      <c r="BZ34" s="24" t="inlineStr">
        <is>
          <t>2026-09-12T22:00:26.106855Z</t>
        </is>
      </c>
      <c r="CA34" s="31" t="inlineStr">
        <is>
          <t>fixed one-unit hypothetical scoring; no real exposure or execution</t>
        </is>
      </c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0.909091</t>
        </is>
      </c>
      <c r="DK34" s="24" t="n"/>
      <c r="DL34" s="24" t="n"/>
      <c r="DM34" s="24" t="n"/>
      <c r="DN34" s="24" t="n"/>
      <c r="DO34" s="24" t="n"/>
      <c r="DP34" s="24" t="n"/>
      <c r="DQ34" s="24" t="inlineStr">
        <is>
          <t>{"artifact_hash": "1d168f11d221cd3c", "event_id": "401856781", "event_start_utc": "2026-09-12T16:00Z", "features": {"altitude_fatigue_penalty": 0.0, "away_team": "Washington State Cougars", "efficiency_gap": 0.498, "elo_away": 1555.8, "elo_home": 1597.1, "elo_home_win_prob": 0.6484, "event_id": "401856781", "game_start_utc": "2026-09-12T16:00Z", "home_field_advantage_points": 2.8, "home_team": "Kansas State Wildcats", "is_dome": false, "is_fbs_vs_fcs": false, "is_neutral_site": false, "projected_away_points": 24.9, "projected_home_points": 29.2, "projected_margin_home": 4.3, "projected_possessions": 12.4, "projected_total": 54.1, "stadium_elevation_ft": 1050, "travel_distance_miles": 1158.0, "uncertainty": 0.18, "weather_total_adjustment": 0.0}, "historical_source_observation_times_verified": false, "inference_inputs": {"engine_source_sha256": "449ba2f0e86fa9c445730076a0e0bf100fb4914620be53c75c6f3bfe24298f3f", "mu_away": 24.9, "mu_home": 29.2,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327680559492280596882693839186759475463}, "uinteger": 0}, "spread_home_line": -17.5, "total_line": 49.5}, "market_type": "moneyline", "model_version": "college-football-v1", "observed_at_utc": "2026-09-12T10:07:04.114376+00:00", "probabilities": {"away": 0.390528, "home": 0.609472}, "replay_scope": "Full precision score means, exact engine parameters and original RNG state; upstream feature construction not certified.", "schema": "cfb-joint-replay-v1", "snapshot_hash": "25aa6e9729a60993811a21f7c137f325830d46e4b8ae544de886be77c7c649e6", "sport": "NCAAF"}</t>
        </is>
      </c>
    </row>
    <row r="35" ht="36" customHeight="1">
      <c r="A35" s="24" t="inlineStr">
        <is>
          <t>5f4c0e383b674747</t>
        </is>
      </c>
      <c r="B35" s="24" t="inlineStr">
        <is>
          <t>2026-09-12T10:07:04.114376Z</t>
        </is>
      </c>
      <c r="C35" s="24" t="inlineStr">
        <is>
          <t>2026-09-12T16:00Z</t>
        </is>
      </c>
      <c r="D35" s="24" t="inlineStr">
        <is>
          <t>401856781</t>
        </is>
      </c>
      <c r="E35" s="24" t="inlineStr">
        <is>
          <t>NCAAF</t>
        </is>
      </c>
      <c r="F35" s="24" t="inlineStr">
        <is>
          <t>Washington State Cougars</t>
        </is>
      </c>
      <c r="G35" s="24" t="inlineStr">
        <is>
          <t>Kansas State Wildcats</t>
        </is>
      </c>
      <c r="H35" s="24" t="inlineStr">
        <is>
          <t>spread</t>
        </is>
      </c>
      <c r="I35" s="24" t="inlineStr">
        <is>
          <t>away</t>
        </is>
      </c>
      <c r="J35" s="25" t="n">
        <v>17.5</v>
      </c>
      <c r="K35" s="24" t="inlineStr">
        <is>
          <t>espn_consensus</t>
        </is>
      </c>
      <c r="L35" s="26" t="n">
        <v>-108</v>
      </c>
      <c r="M35" s="27" t="n">
        <v>1.925926</v>
      </c>
      <c r="N35" s="28" t="n">
        <v>0.519231</v>
      </c>
      <c r="O35" s="28" t="n">
        <v>0.791</v>
      </c>
      <c r="P35" s="28" t="n">
        <v>0.18</v>
      </c>
      <c r="Q35" s="28" t="n">
        <v>0.271769</v>
      </c>
      <c r="R35" s="26" t="n">
        <v>78</v>
      </c>
      <c r="S35" s="29" t="n">
        <v>1.5</v>
      </c>
      <c r="T35" s="24" t="inlineStr">
        <is>
          <t>cfb-spread-v1</t>
        </is>
      </c>
      <c r="U35" s="24" t="inlineStr">
        <is>
          <t>settled</t>
        </is>
      </c>
      <c r="V35" s="24" t="inlineStr">
        <is>
          <t>loss</t>
        </is>
      </c>
      <c r="W35" s="26" t="n">
        <v>7</v>
      </c>
      <c r="X35" s="26" t="n">
        <v>34</v>
      </c>
      <c r="Y35" s="25" t="n"/>
      <c r="Z35" s="26" t="n"/>
      <c r="AA35" s="28" t="n"/>
      <c r="AB35" s="28" t="n"/>
      <c r="AC35" s="30" t="n">
        <v>-1.5</v>
      </c>
      <c r="AD35" s="24" t="inlineStr">
        <is>
          <t>2026-09-12T22:00:26.424952Z</t>
        </is>
      </c>
      <c r="AE35" s="31" t="inlineStr">
        <is>
          <t>Projected home margin +4.3 pts. Spread: Home -17.5 / Away +17.5 -&gt; P(Away cover)=0.791, P(Home cover)=0.209, P(Push)=0.000.</t>
        </is>
      </c>
      <c r="AF35" s="31" t="inlineStr">
        <is>
          <t>College football model; multi-market (moneyline, spread, total).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4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Washington State Cougars</t>
        </is>
      </c>
      <c r="AQ35" s="24" t="inlineStr">
        <is>
          <t>Washington State Cougars</t>
        </is>
      </c>
      <c r="AR35" s="24" t="inlineStr">
        <is>
          <t>Washington State Cougars</t>
        </is>
      </c>
      <c r="AS35" s="24" t="inlineStr">
        <is>
          <t>Kansas State Wildcats</t>
        </is>
      </c>
      <c r="AT35" s="24" t="inlineStr">
        <is>
          <t>Kansas State Wildcats</t>
        </is>
      </c>
      <c r="AU35" s="24" t="inlineStr">
        <is>
          <t>Kansas State Wildcats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1d168f11d221cd3c</t>
        </is>
      </c>
      <c r="BB35" s="24" t="inlineStr">
        <is>
          <t>cfb_key_number_engine</t>
        </is>
      </c>
      <c r="BC35" s="24" t="inlineStr">
        <is>
          <t>cfb-spread-v1</t>
        </is>
      </c>
      <c r="BD35" s="24" t="inlineStr">
        <is>
          <t>1d168f11d221cd3c</t>
        </is>
      </c>
      <c r="BE35" s="24" t="inlineStr">
        <is>
          <t>cfb-v1</t>
        </is>
      </c>
      <c r="BF35" s="24" t="inlineStr">
        <is>
          <t>1</t>
        </is>
      </c>
      <c r="BG35" s="24" t="inlineStr">
        <is>
          <t>1d168f11d221cd3c</t>
        </is>
      </c>
      <c r="BH35" s="24" t="inlineStr">
        <is>
          <t>2026-09-12T10:07:04.114376+00:00</t>
        </is>
      </c>
      <c r="BI35" s="24" t="inlineStr">
        <is>
          <t>["same_event","same_team_same_day","same_league_same_day"]</t>
        </is>
      </c>
      <c r="BJ35" s="25" t="n">
        <v>17.5</v>
      </c>
      <c r="BK35" s="26" t="n">
        <v>-108</v>
      </c>
      <c r="BL35" s="27" t="n">
        <v>1.925926</v>
      </c>
      <c r="BM35" s="28" t="n">
        <v>0.519231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0.519231</t>
        </is>
      </c>
      <c r="DK35" s="24" t="n"/>
      <c r="DL35" s="24" t="n"/>
      <c r="DM35" s="24" t="n"/>
      <c r="DN35" s="24" t="n"/>
      <c r="DO35" s="24" t="n"/>
      <c r="DP35" s="24" t="n"/>
      <c r="DQ35" s="24" t="inlineStr">
        <is>
          <t>{"artifact_hash": "1d168f11d221cd3c", "event_id": "401856781", "event_start_utc": "2026-09-12T16:00Z", "features": {"altitude_fatigue_penalty": 0.0, "away_team": "Washington State Cougars", "efficiency_gap": 0.498, "elo_away": 1555.8, "elo_home": 1597.1, "elo_home_win_prob": 0.6484, "event_id": "401856781", "game_start_utc": "2026-09-12T16:00Z", "home_field_advantage_points": 2.8, "home_team": "Kansas State Wildcats", "is_dome": false, "is_fbs_vs_fcs": false, "is_neutral_site": false, "projected_away_points": 24.9, "projected_home_points": 29.2, "projected_margin_home": 4.3, "projected_possessions": 12.4, "projected_total": 54.1, "stadium_elevation_ft": 1050, "travel_distance_miles": 1158.0, "uncertainty": 0.18, "weather_total_adjustment": 0.0}, "historical_source_observation_times_verified": false, "inference_inputs": {"engine_source_sha256": "449ba2f0e86fa9c445730076a0e0bf100fb4914620be53c75c6f3bfe24298f3f", "mu_away": 24.9, "mu_home": 29.2,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327680559492280596882693839186759475463}, "uinteger": 0}, "spread_home_line": -17.5, "total_line": 49.5}, "market_type": "spread", "model_version": "cfb-spread-v1", "observed_at_utc": "2026-09-12T10:07:04.114376+00:00", "probabilities": {"away": 0.791, "home": 0.209, "push": 0.0}, "replay_scope": "Full precision score means, exact engine parameters and original RNG state; upstream feature construction not certified.", "schema": "cfb-joint-replay-v1", "snapshot_hash": "5df79f44edd881407f4a27ea068b407bd2fe5881a3b1498ecd28eb90c63a85dc", "sport": "NCAAF"}</t>
        </is>
      </c>
    </row>
    <row r="36" ht="36" customHeight="1">
      <c r="A36" s="24" t="inlineStr">
        <is>
          <t>de1d131d01a245d9</t>
        </is>
      </c>
      <c r="B36" s="24" t="inlineStr">
        <is>
          <t>2026-09-12T10:07:04.114376Z</t>
        </is>
      </c>
      <c r="C36" s="24" t="inlineStr">
        <is>
          <t>2026-09-12T16:00Z</t>
        </is>
      </c>
      <c r="D36" s="24" t="inlineStr">
        <is>
          <t>401856781</t>
        </is>
      </c>
      <c r="E36" s="24" t="inlineStr">
        <is>
          <t>NCAAF</t>
        </is>
      </c>
      <c r="F36" s="24" t="inlineStr">
        <is>
          <t>Washington State Cougars</t>
        </is>
      </c>
      <c r="G36" s="24" t="inlineStr">
        <is>
          <t>Kansas State Wildcats</t>
        </is>
      </c>
      <c r="H36" s="24" t="inlineStr">
        <is>
          <t>total</t>
        </is>
      </c>
      <c r="I36" s="24" t="inlineStr">
        <is>
          <t>over</t>
        </is>
      </c>
      <c r="J36" s="25" t="n">
        <v>49.5</v>
      </c>
      <c r="K36" s="24" t="inlineStr">
        <is>
          <t>espn_consensus</t>
        </is>
      </c>
      <c r="L36" s="26" t="n">
        <v>-105</v>
      </c>
      <c r="M36" s="27" t="n">
        <v>1.952381</v>
      </c>
      <c r="N36" s="28" t="n">
        <v>0.512195</v>
      </c>
      <c r="O36" s="28" t="n">
        <v>0.576133</v>
      </c>
      <c r="P36" s="28" t="n">
        <v>0.18</v>
      </c>
      <c r="Q36" s="28" t="n">
        <v>0.06393799999999999</v>
      </c>
      <c r="R36" s="26" t="n">
        <v>0</v>
      </c>
      <c r="S36" s="29" t="n">
        <v>1</v>
      </c>
      <c r="T36" s="24" t="inlineStr">
        <is>
          <t>cfb-total-v1</t>
        </is>
      </c>
      <c r="U36" s="24" t="inlineStr">
        <is>
          <t>settled</t>
        </is>
      </c>
      <c r="V36" s="24" t="inlineStr">
        <is>
          <t>loss</t>
        </is>
      </c>
      <c r="W36" s="26" t="n">
        <v>7</v>
      </c>
      <c r="X36" s="26" t="n">
        <v>34</v>
      </c>
      <c r="Y36" s="25" t="n"/>
      <c r="Z36" s="26" t="n"/>
      <c r="AA36" s="28" t="n"/>
      <c r="AB36" s="28" t="n"/>
      <c r="AC36" s="30" t="n">
        <v>-1</v>
      </c>
      <c r="AD36" s="24" t="inlineStr">
        <is>
          <t>2026-09-12T22:00:26.830968Z</t>
        </is>
      </c>
      <c r="AE36" s="31" t="inlineStr">
        <is>
          <t>Projected total 54.1 pts (Weather adj: +0.0 pts). Total line 49.5 -&gt; P(Over)=0.576, P(Under)=0.424, P(Push)=0.000.</t>
        </is>
      </c>
      <c r="AF36" s="31" t="inlineStr">
        <is>
          <t>College football model; multi-market (moneyline, spread, total).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4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Washington State Cougars</t>
        </is>
      </c>
      <c r="AQ36" s="24" t="inlineStr">
        <is>
          <t>Washington State Cougars</t>
        </is>
      </c>
      <c r="AR36" s="24" t="inlineStr">
        <is>
          <t>Washington State Cougars</t>
        </is>
      </c>
      <c r="AS36" s="24" t="inlineStr">
        <is>
          <t>Kansas State Wildcats</t>
        </is>
      </c>
      <c r="AT36" s="24" t="inlineStr">
        <is>
          <t>Kansas State Wildcats</t>
        </is>
      </c>
      <c r="AU36" s="24" t="inlineStr">
        <is>
          <t>Kansas State Wildcats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1d168f11d221cd3c</t>
        </is>
      </c>
      <c r="BB36" s="24" t="inlineStr">
        <is>
          <t>cfb_key_number_engine</t>
        </is>
      </c>
      <c r="BC36" s="24" t="inlineStr">
        <is>
          <t>cfb-total-v1</t>
        </is>
      </c>
      <c r="BD36" s="24" t="inlineStr">
        <is>
          <t>1d168f11d221cd3c</t>
        </is>
      </c>
      <c r="BE36" s="24" t="inlineStr">
        <is>
          <t>cfb-v1</t>
        </is>
      </c>
      <c r="BF36" s="24" t="inlineStr">
        <is>
          <t>1</t>
        </is>
      </c>
      <c r="BG36" s="24" t="inlineStr">
        <is>
          <t>1d168f11d221cd3c</t>
        </is>
      </c>
      <c r="BH36" s="24" t="inlineStr">
        <is>
          <t>2026-09-12T10:07:04.114376+00:00</t>
        </is>
      </c>
      <c r="BI36" s="24" t="inlineStr">
        <is>
          <t>["same_event","same_team_same_day","same_league_same_day"]</t>
        </is>
      </c>
      <c r="BJ36" s="25" t="n">
        <v>49.5</v>
      </c>
      <c r="BK36" s="26" t="n">
        <v>-105</v>
      </c>
      <c r="BL36" s="27" t="n">
        <v>1.952381</v>
      </c>
      <c r="BM36" s="28" t="n">
        <v>0.512195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0.512195</t>
        </is>
      </c>
      <c r="DK36" s="24" t="n"/>
      <c r="DL36" s="24" t="n"/>
      <c r="DM36" s="24" t="n"/>
      <c r="DN36" s="24" t="n"/>
      <c r="DO36" s="24" t="n"/>
      <c r="DP36" s="24" t="n"/>
      <c r="DQ36" s="24" t="inlineStr">
        <is>
          <t>{"artifact_hash": "1d168f11d221cd3c", "event_id": "401856781", "event_start_utc": "2026-09-12T16:00Z", "features": {"altitude_fatigue_penalty": 0.0, "away_team": "Washington State Cougars", "efficiency_gap": 0.498, "elo_away": 1555.8, "elo_home": 1597.1, "elo_home_win_prob": 0.6484, "event_id": "401856781", "game_start_utc": "2026-09-12T16:00Z", "home_field_advantage_points": 2.8, "home_team": "Kansas State Wildcats", "is_dome": false, "is_fbs_vs_fcs": false, "is_neutral_site": false, "projected_away_points": 24.9, "projected_home_points": 29.2, "projected_margin_home": 4.3, "projected_possessions": 12.4, "projected_total": 54.1, "stadium_elevation_ft": 1050, "travel_distance_miles": 1158.0, "uncertainty": 0.18, "weather_total_adjustment": 0.0}, "historical_source_observation_times_verified": false, "inference_inputs": {"engine_source_sha256": "449ba2f0e86fa9c445730076a0e0bf100fb4914620be53c75c6f3bfe24298f3f", "mu_away": 24.9, "mu_home": 29.2,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327680559492280596882693839186759475463}, "uinteger": 0}, "spread_home_line": -17.5, "total_line": 49.5}, "market_type": "total", "model_version": "cfb-total-v1", "observed_at_utc": "2026-09-12T10:07:04.114376+00:00", "probabilities": {"over": 0.576133, "push": 0.0, "under": 0.423867}, "replay_scope": "Full precision score means, exact engine parameters and original RNG state; upstream feature construction not certified.", "schema": "cfb-joint-replay-v1", "snapshot_hash": "a5bc6e1327275961bc832c96efa9403b48269277f7e1c75f40c1602ff96b66b9", "sport": "NCAAF"}</t>
        </is>
      </c>
    </row>
    <row r="37" ht="36" customHeight="1">
      <c r="A37" s="24" t="inlineStr">
        <is>
          <t>3678c2f6304b4ec9</t>
        </is>
      </c>
      <c r="B37" s="24" t="inlineStr">
        <is>
          <t>2026-09-12T10:07:04.114376Z</t>
        </is>
      </c>
      <c r="C37" s="24" t="inlineStr">
        <is>
          <t>2026-09-12T16:00Z</t>
        </is>
      </c>
      <c r="D37" s="24" t="inlineStr">
        <is>
          <t>401858218</t>
        </is>
      </c>
      <c r="E37" s="24" t="inlineStr">
        <is>
          <t>NCAAF</t>
        </is>
      </c>
      <c r="F37" s="24" t="inlineStr">
        <is>
          <t>East Tennessee State Buccaneers</t>
        </is>
      </c>
      <c r="G37" s="24" t="inlineStr">
        <is>
          <t>North Carolina Tar Heels</t>
        </is>
      </c>
      <c r="H37" s="24" t="inlineStr">
        <is>
          <t>spread</t>
        </is>
      </c>
      <c r="I37" s="24" t="inlineStr">
        <is>
          <t>away</t>
        </is>
      </c>
      <c r="J37" s="25" t="n">
        <v>35.5</v>
      </c>
      <c r="K37" s="24" t="inlineStr">
        <is>
          <t>espn_consensus</t>
        </is>
      </c>
      <c r="L37" s="26" t="n">
        <v>-110</v>
      </c>
      <c r="M37" s="27" t="n">
        <v>1.909091</v>
      </c>
      <c r="N37" s="28" t="n">
        <v>0.52381</v>
      </c>
      <c r="O37" s="28" t="n">
        <v>0.965333</v>
      </c>
      <c r="P37" s="28" t="n">
        <v>0.18</v>
      </c>
      <c r="Q37" s="28" t="n">
        <v>0.441523</v>
      </c>
      <c r="R37" s="26" t="n">
        <v>100</v>
      </c>
      <c r="S37" s="29" t="n">
        <v>2</v>
      </c>
      <c r="T37" s="24" t="inlineStr">
        <is>
          <t>cfb-spread-v1</t>
        </is>
      </c>
      <c r="U37" s="24" t="inlineStr">
        <is>
          <t>settled</t>
        </is>
      </c>
      <c r="V37" s="24" t="inlineStr">
        <is>
          <t>win</t>
        </is>
      </c>
      <c r="W37" s="26" t="n">
        <v>3</v>
      </c>
      <c r="X37" s="26" t="n">
        <v>35</v>
      </c>
      <c r="Y37" s="25" t="n"/>
      <c r="Z37" s="26" t="n"/>
      <c r="AA37" s="28" t="n"/>
      <c r="AB37" s="28" t="n"/>
      <c r="AC37" s="30" t="n">
        <v>1.8182</v>
      </c>
      <c r="AD37" s="24" t="inlineStr">
        <is>
          <t>2026-09-12T22:00:27.182989Z</t>
        </is>
      </c>
      <c r="AE37" s="31" t="inlineStr">
        <is>
          <t>Projected home margin +4.0 pts. Spread: Home -35.5 / Away +35.5 -&gt; P(Away cover)=0.965, P(Home cover)=0.035, P(Push)=0.000.</t>
        </is>
      </c>
      <c r="AF37" s="31" t="inlineStr">
        <is>
          <t>College football model; multi-market (moneyline, spread, total).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4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East Tennessee State Buccaneers</t>
        </is>
      </c>
      <c r="AQ37" s="24" t="inlineStr">
        <is>
          <t>East Tennessee State Buccaneers</t>
        </is>
      </c>
      <c r="AR37" s="24" t="inlineStr">
        <is>
          <t>East Tennessee State Buccaneers</t>
        </is>
      </c>
      <c r="AS37" s="24" t="inlineStr">
        <is>
          <t>North Carolina Tar Heels</t>
        </is>
      </c>
      <c r="AT37" s="24" t="inlineStr">
        <is>
          <t>North Carolina Tar Heels</t>
        </is>
      </c>
      <c r="AU37" s="24" t="inlineStr">
        <is>
          <t>North Carolina Tar Heels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1d168f11d221cd3c</t>
        </is>
      </c>
      <c r="BB37" s="24" t="inlineStr">
        <is>
          <t>cfb_key_number_engine</t>
        </is>
      </c>
      <c r="BC37" s="24" t="inlineStr">
        <is>
          <t>cfb-spread-v1</t>
        </is>
      </c>
      <c r="BD37" s="24" t="inlineStr">
        <is>
          <t>1d168f11d221cd3c</t>
        </is>
      </c>
      <c r="BE37" s="24" t="inlineStr">
        <is>
          <t>cfb-v1</t>
        </is>
      </c>
      <c r="BF37" s="24" t="inlineStr">
        <is>
          <t>1</t>
        </is>
      </c>
      <c r="BG37" s="24" t="inlineStr">
        <is>
          <t>1d168f11d221cd3c</t>
        </is>
      </c>
      <c r="BH37" s="24" t="inlineStr">
        <is>
          <t>2026-09-12T10:07:04.114376+00:00</t>
        </is>
      </c>
      <c r="BI37" s="24" t="inlineStr">
        <is>
          <t>["same_event","same_team_same_day","same_league_same_day"]</t>
        </is>
      </c>
      <c r="BJ37" s="25" t="n">
        <v>35.5</v>
      </c>
      <c r="BK37" s="26" t="n">
        <v>-110</v>
      </c>
      <c r="BL37" s="27" t="n">
        <v>1.909091</v>
      </c>
      <c r="BM37" s="28" t="n">
        <v>0.52381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0.52381</t>
        </is>
      </c>
      <c r="DK37" s="24" t="n"/>
      <c r="DL37" s="24" t="n"/>
      <c r="DM37" s="24" t="n"/>
      <c r="DN37" s="24" t="n"/>
      <c r="DO37" s="24" t="n"/>
      <c r="DP37" s="24" t="n"/>
      <c r="DQ37" s="24" t="inlineStr">
        <is>
          <t>{"artifact_hash": "1d168f11d221cd3c", "event_id": "401858218", "event_start_utc": "2026-09-12T16:00Z", "features": {"altitude_fatigue_penalty": 0.0, "away_team": "East Tennessee State Buccaneers", "efficiency_gap": 1.39, "elo_away": 1337.5, "elo_home": 1370.7, "elo_home_win_prob": 0.6377, "event_id": "401858218", "game_start_utc": "2026-09-12T16:00Z", "home_field_advantage_points": 2.8, "home_team": "North Carolina Tar Heels", "is_dome": false, "is_fbs_vs_fcs": false, "is_neutral_site": false, "projected_away_points": 24.6, "projected_home_points": 28.6, "projected_margin_home": 4.0,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24.6,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47837569274802975699609987737349545179}, "uinteger": 0}, "spread_home_line": -35.5, "total_line": 54.5}, "market_type": "spread", "model_version": "cfb-spread-v1", "observed_at_utc": "2026-09-12T10:07:04.114376+00:00", "probabilities": {"away": 0.965333, "home": 0.034667, "push": 0.0}, "replay_scope": "Full precision score means, exact engine parameters and original RNG state; upstream feature construction not certified.", "schema": "cfb-joint-replay-v1", "snapshot_hash": "f87cefb325feaa2398e5f9b21a9b1ae13e95ab94207a471c3309c022d4df57dd", "sport": "NCAAF"}</t>
        </is>
      </c>
    </row>
    <row r="38" ht="36" customHeight="1">
      <c r="A38" s="24" t="inlineStr">
        <is>
          <t>6a3b8ee10ae944c3</t>
        </is>
      </c>
      <c r="B38" s="24" t="inlineStr">
        <is>
          <t>2026-09-12T10:07:04.114376Z</t>
        </is>
      </c>
      <c r="C38" s="24" t="inlineStr">
        <is>
          <t>2026-09-12T16:00Z</t>
        </is>
      </c>
      <c r="D38" s="24" t="inlineStr">
        <is>
          <t>401858218</t>
        </is>
      </c>
      <c r="E38" s="24" t="inlineStr">
        <is>
          <t>NCAAF</t>
        </is>
      </c>
      <c r="F38" s="24" t="inlineStr">
        <is>
          <t>East Tennessee State Buccaneers</t>
        </is>
      </c>
      <c r="G38" s="24" t="inlineStr">
        <is>
          <t>North Carolina Tar Heels</t>
        </is>
      </c>
      <c r="H38" s="24" t="inlineStr">
        <is>
          <t>total</t>
        </is>
      </c>
      <c r="I38" s="24" t="inlineStr">
        <is>
          <t>under</t>
        </is>
      </c>
      <c r="J38" s="25" t="n">
        <v>54.5</v>
      </c>
      <c r="K38" s="24" t="inlineStr">
        <is>
          <t>espn_consensus</t>
        </is>
      </c>
      <c r="L38" s="26" t="n">
        <v>-108</v>
      </c>
      <c r="M38" s="27" t="n">
        <v>1.925926</v>
      </c>
      <c r="N38" s="28" t="n">
        <v>0.519231</v>
      </c>
      <c r="O38" s="28" t="n">
        <v>0.5496</v>
      </c>
      <c r="P38" s="28" t="n">
        <v>0.18</v>
      </c>
      <c r="Q38" s="28" t="n">
        <v>0.030369</v>
      </c>
      <c r="R38" s="26" t="n">
        <v>0</v>
      </c>
      <c r="S38" s="29" t="n">
        <v>1</v>
      </c>
      <c r="T38" s="24" t="inlineStr">
        <is>
          <t>cfb-total-v1</t>
        </is>
      </c>
      <c r="U38" s="24" t="inlineStr">
        <is>
          <t>settled</t>
        </is>
      </c>
      <c r="V38" s="24" t="inlineStr">
        <is>
          <t>win</t>
        </is>
      </c>
      <c r="W38" s="26" t="n">
        <v>3</v>
      </c>
      <c r="X38" s="26" t="n">
        <v>35</v>
      </c>
      <c r="Y38" s="25" t="n"/>
      <c r="Z38" s="26" t="n"/>
      <c r="AA38" s="28" t="n"/>
      <c r="AB38" s="28" t="n"/>
      <c r="AC38" s="30" t="n">
        <v>0.9258999999999999</v>
      </c>
      <c r="AD38" s="24" t="inlineStr">
        <is>
          <t>2026-09-12T22:00:27.528707Z</t>
        </is>
      </c>
      <c r="AE38" s="31" t="inlineStr">
        <is>
          <t>Projected total 53.2 pts (Weather adj: +0.0 pts). Total line 54.5 -&gt; P(Over)=0.450, P(Under)=0.550, P(Push)=0.000.</t>
        </is>
      </c>
      <c r="AF38" s="31" t="inlineStr">
        <is>
          <t>College football model; multi-market (moneyline, spread, total).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4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East Tennessee State Buccaneers</t>
        </is>
      </c>
      <c r="AQ38" s="24" t="inlineStr">
        <is>
          <t>East Tennessee State Buccaneers</t>
        </is>
      </c>
      <c r="AR38" s="24" t="inlineStr">
        <is>
          <t>East Tennessee State Buccaneers</t>
        </is>
      </c>
      <c r="AS38" s="24" t="inlineStr">
        <is>
          <t>North Carolina Tar Heels</t>
        </is>
      </c>
      <c r="AT38" s="24" t="inlineStr">
        <is>
          <t>North Carolina Tar Heels</t>
        </is>
      </c>
      <c r="AU38" s="24" t="inlineStr">
        <is>
          <t>North Carolina Tar Heels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1d168f11d221cd3c</t>
        </is>
      </c>
      <c r="BB38" s="24" t="inlineStr">
        <is>
          <t>cfb_key_number_engine</t>
        </is>
      </c>
      <c r="BC38" s="24" t="inlineStr">
        <is>
          <t>cfb-total-v1</t>
        </is>
      </c>
      <c r="BD38" s="24" t="inlineStr">
        <is>
          <t>1d168f11d221cd3c</t>
        </is>
      </c>
      <c r="BE38" s="24" t="inlineStr">
        <is>
          <t>cfb-v1</t>
        </is>
      </c>
      <c r="BF38" s="24" t="inlineStr">
        <is>
          <t>1</t>
        </is>
      </c>
      <c r="BG38" s="24" t="inlineStr">
        <is>
          <t>1d168f11d221cd3c</t>
        </is>
      </c>
      <c r="BH38" s="24" t="inlineStr">
        <is>
          <t>2026-09-12T10:07:04.114376+00:00</t>
        </is>
      </c>
      <c r="BI38" s="24" t="inlineStr">
        <is>
          <t>["same_event","same_team_same_day","same_league_same_day"]</t>
        </is>
      </c>
      <c r="BJ38" s="25" t="n">
        <v>54.5</v>
      </c>
      <c r="BK38" s="26" t="n">
        <v>-108</v>
      </c>
      <c r="BL38" s="27" t="n">
        <v>1.925926</v>
      </c>
      <c r="BM38" s="28" t="n">
        <v>0.519231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0.519231</t>
        </is>
      </c>
      <c r="DK38" s="24" t="n"/>
      <c r="DL38" s="24" t="n"/>
      <c r="DM38" s="24" t="n"/>
      <c r="DN38" s="24" t="n"/>
      <c r="DO38" s="24" t="n"/>
      <c r="DP38" s="24" t="n"/>
      <c r="DQ38" s="24" t="inlineStr">
        <is>
          <t>{"artifact_hash": "1d168f11d221cd3c", "event_id": "401858218", "event_start_utc": "2026-09-12T16:00Z", "features": {"altitude_fatigue_penalty": 0.0, "away_team": "East Tennessee State Buccaneers", "efficiency_gap": 1.39, "elo_away": 1337.5, "elo_home": 1370.7, "elo_home_win_prob": 0.6377, "event_id": "401858218", "game_start_utc": "2026-09-12T16:00Z", "home_field_advantage_points": 2.8, "home_team": "North Carolina Tar Heels", "is_dome": false, "is_fbs_vs_fcs": false, "is_neutral_site": false, "projected_away_points": 24.6, "projected_home_points": 28.6, "projected_margin_home": 4.0,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24.6,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47837569274802975699609987737349545179}, "uinteger": 0}, "spread_home_line": -35.5, "total_line": 54.5}, "market_type": "total", "model_version": "cfb-total-v1", "observed_at_utc": "2026-09-12T10:07:04.114376+00:00", "probabilities": {"over": 0.4504, "push": 0.0, "under": 0.5496}, "replay_scope": "Full precision score means, exact engine parameters and original RNG state; upstream feature construction not certified.", "schema": "cfb-joint-replay-v1", "snapshot_hash": "46f0809e6d278837ad99126b37c81ef1f78114bd9c8c6a05c4042519f0a62120", "sport": "NCAAF"}</t>
        </is>
      </c>
    </row>
    <row r="39" ht="36" customHeight="1">
      <c r="A39" s="24" t="inlineStr">
        <is>
          <t>697c04a309054817</t>
        </is>
      </c>
      <c r="B39" s="24" t="inlineStr">
        <is>
          <t>2026-09-12T10:07:04.114376Z</t>
        </is>
      </c>
      <c r="C39" s="24" t="inlineStr">
        <is>
          <t>2026-09-12T16:00Z</t>
        </is>
      </c>
      <c r="D39" s="24" t="inlineStr">
        <is>
          <t>401858221</t>
        </is>
      </c>
      <c r="E39" s="24" t="inlineStr">
        <is>
          <t>NCAAF</t>
        </is>
      </c>
      <c r="F39" s="24" t="inlineStr">
        <is>
          <t>Old Dominion Monarchs</t>
        </is>
      </c>
      <c r="G39" s="24" t="inlineStr">
        <is>
          <t>Virginia Tech Hokies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espn_consensus</t>
        </is>
      </c>
      <c r="L39" s="26" t="n">
        <v>750</v>
      </c>
      <c r="M39" s="27" t="n">
        <v>8.5</v>
      </c>
      <c r="N39" s="28" t="n">
        <v>0.117647</v>
      </c>
      <c r="O39" s="28" t="n">
        <v>0.875467</v>
      </c>
      <c r="P39" s="28" t="n">
        <v>0.18</v>
      </c>
      <c r="Q39" s="28" t="n">
        <v>0.75782</v>
      </c>
      <c r="R39" s="26" t="n">
        <v>100</v>
      </c>
      <c r="S39" s="29" t="n">
        <v>2</v>
      </c>
      <c r="T39" s="24" t="inlineStr">
        <is>
          <t>college-football-v1</t>
        </is>
      </c>
      <c r="U39" s="24" t="inlineStr">
        <is>
          <t>settled</t>
        </is>
      </c>
      <c r="V39" s="24" t="inlineStr">
        <is>
          <t>loss</t>
        </is>
      </c>
      <c r="W39" s="26" t="n">
        <v>21</v>
      </c>
      <c r="X39" s="26" t="n">
        <v>44</v>
      </c>
      <c r="Y39" s="25" t="n"/>
      <c r="Z39" s="26" t="n"/>
      <c r="AA39" s="28" t="n"/>
      <c r="AB39" s="28" t="n"/>
      <c r="AC39" s="30" t="n">
        <v>-2</v>
      </c>
      <c r="AD39" s="24" t="inlineStr">
        <is>
          <t>2026-09-12T22:00:27.886971Z</t>
        </is>
      </c>
      <c r="AE39" s="31" t="inlineStr">
        <is>
          <t>CFB Joint Model (negative_binomial): proj score Old Dominion Monarchs 36.4 @ Virginia Tech Hokies 17.6 (Margin -18.7). Possessions: 12.4, HFA: +2.8 pts.</t>
        </is>
      </c>
      <c r="AF39" s="31" t="inlineStr">
        <is>
          <t>College football model; multi-market (moneyline, spread, total).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Old Dominion Monarchs</t>
        </is>
      </c>
      <c r="AQ39" s="24" t="inlineStr">
        <is>
          <t>Old Dominion Monarchs</t>
        </is>
      </c>
      <c r="AR39" s="24" t="inlineStr">
        <is>
          <t>Old Dominion Monarchs</t>
        </is>
      </c>
      <c r="AS39" s="24" t="inlineStr">
        <is>
          <t>Virginia Tech Hokies</t>
        </is>
      </c>
      <c r="AT39" s="24" t="inlineStr">
        <is>
          <t>Virginia Tech Hokies</t>
        </is>
      </c>
      <c r="AU39" s="24" t="inlineStr">
        <is>
          <t>Virginia Tech Hokies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1d168f11d221cd3c</t>
        </is>
      </c>
      <c r="BB39" s="24" t="inlineStr">
        <is>
          <t>cfb_key_number_engine</t>
        </is>
      </c>
      <c r="BC39" s="24" t="inlineStr">
        <is>
          <t>college-football-v1</t>
        </is>
      </c>
      <c r="BD39" s="24" t="inlineStr">
        <is>
          <t>1d168f11d221cd3c</t>
        </is>
      </c>
      <c r="BE39" s="24" t="inlineStr">
        <is>
          <t>cfb-v1</t>
        </is>
      </c>
      <c r="BF39" s="24" t="inlineStr">
        <is>
          <t>1</t>
        </is>
      </c>
      <c r="BG39" s="24" t="inlineStr">
        <is>
          <t>1d168f11d221cd3c</t>
        </is>
      </c>
      <c r="BH39" s="24" t="inlineStr">
        <is>
          <t>2026-09-12T10:07:04.114376+00:00</t>
        </is>
      </c>
      <c r="BI39" s="24" t="inlineStr">
        <is>
          <t>["same_event","same_team_same_day","same_league_same_day"]</t>
        </is>
      </c>
      <c r="BJ39" s="25" t="n"/>
      <c r="BK39" s="26" t="n">
        <v>750</v>
      </c>
      <c r="BL39" s="27" t="n">
        <v>8.5</v>
      </c>
      <c r="BM39" s="28" t="n">
        <v>0.117647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0.117647</t>
        </is>
      </c>
      <c r="DK39" s="24" t="n"/>
      <c r="DL39" s="24" t="n"/>
      <c r="DM39" s="24" t="n"/>
      <c r="DN39" s="24" t="n"/>
      <c r="DO39" s="24" t="n"/>
      <c r="DP39" s="24" t="n"/>
      <c r="DQ39" s="24" t="inlineStr">
        <is>
          <t>{"artifact_hash": "1d168f11d221cd3c", "event_id": "401858221", "event_start_utc": "2026-09-12T16:00Z", "features": {"altitude_fatigue_penalty": 0.0, "away_team": "Old Dominion Monarchs", "efficiency_gap": 0.855, "elo_away": 1756.4, "elo_home": 1232.1, "elo_home_win_prob": 0.0663, "event_id": "401858221", "game_start_utc": "2026-09-12T16:00Z", "home_field_advantage_points": 2.8, "home_team": "Virginia Tech Hokies", "is_dome": false, "is_fbs_vs_fcs": false, "is_neutral_site": false, "projected_away_points": 36.4, "projected_home_points": 17.6, "projected_margin_home": -18.7, "projected_possessions": 12.4, "projected_total": 54.0, "stadium_elevation_ft": 2080, "travel_distance_miles": 228.0, "uncertainty": 0.18, "weather_total_adjustment": 0.0}, "historical_source_observation_times_verified": false, "inference_inputs": {"engine_source_sha256": "449ba2f0e86fa9c445730076a0e0bf100fb4914620be53c75c6f3bfe24298f3f", "mu_away": 36.4, "mu_home": 17.6,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326134626460880662861879836958279005888}, "uinteger": 0}, "spread_home_line": -19.5, "total_line": 47.5}, "market_type": "moneyline", "model_version": "college-football-v1", "observed_at_utc": "2026-09-12T10:07:04.114376+00:00", "probabilities": {"away": 0.875467, "home": 0.124533}, "replay_scope": "Full precision score means, exact engine parameters and original RNG state; upstream feature construction not certified.", "schema": "cfb-joint-replay-v1", "snapshot_hash": "c5deac418ce58263b9ca0e659ffa031c2666da1b52f17b6a14b1ffe75fc8db5c", "sport": "NCAAF"}</t>
        </is>
      </c>
    </row>
    <row r="40" ht="36" customHeight="1">
      <c r="A40" s="24" t="inlineStr">
        <is>
          <t>31ae329038a64194</t>
        </is>
      </c>
      <c r="B40" s="24" t="inlineStr">
        <is>
          <t>2026-09-12T10:07:04.114376Z</t>
        </is>
      </c>
      <c r="C40" s="24" t="inlineStr">
        <is>
          <t>2026-09-12T16:00Z</t>
        </is>
      </c>
      <c r="D40" s="24" t="inlineStr">
        <is>
          <t>401858221</t>
        </is>
      </c>
      <c r="E40" s="24" t="inlineStr">
        <is>
          <t>NCAAF</t>
        </is>
      </c>
      <c r="F40" s="24" t="inlineStr">
        <is>
          <t>Old Dominion Monarchs</t>
        </is>
      </c>
      <c r="G40" s="24" t="inlineStr">
        <is>
          <t>Virginia Tech Hokies</t>
        </is>
      </c>
      <c r="H40" s="24" t="inlineStr">
        <is>
          <t>spread</t>
        </is>
      </c>
      <c r="I40" s="24" t="inlineStr">
        <is>
          <t>away</t>
        </is>
      </c>
      <c r="J40" s="25" t="n">
        <v>19.5</v>
      </c>
      <c r="K40" s="24" t="inlineStr">
        <is>
          <t>espn_consensus</t>
        </is>
      </c>
      <c r="L40" s="26" t="n">
        <v>-112</v>
      </c>
      <c r="M40" s="27" t="n">
        <v>1.892857</v>
      </c>
      <c r="N40" s="28" t="n">
        <v>0.528302</v>
      </c>
      <c r="O40" s="28" t="n">
        <v>0.979067</v>
      </c>
      <c r="P40" s="28" t="n">
        <v>0.18</v>
      </c>
      <c r="Q40" s="28" t="n">
        <v>0.450765</v>
      </c>
      <c r="R40" s="26" t="n">
        <v>100</v>
      </c>
      <c r="S40" s="29" t="n">
        <v>2</v>
      </c>
      <c r="T40" s="24" t="inlineStr">
        <is>
          <t>cfb-spread-v1</t>
        </is>
      </c>
      <c r="U40" s="24" t="inlineStr">
        <is>
          <t>settled</t>
        </is>
      </c>
      <c r="V40" s="24" t="inlineStr">
        <is>
          <t>loss</t>
        </is>
      </c>
      <c r="W40" s="26" t="n">
        <v>21</v>
      </c>
      <c r="X40" s="26" t="n">
        <v>44</v>
      </c>
      <c r="Y40" s="25" t="n"/>
      <c r="Z40" s="26" t="n"/>
      <c r="AA40" s="28" t="n"/>
      <c r="AB40" s="28" t="n"/>
      <c r="AC40" s="30" t="n">
        <v>-2</v>
      </c>
      <c r="AD40" s="24" t="inlineStr">
        <is>
          <t>2026-09-12T22:00:28.198823Z</t>
        </is>
      </c>
      <c r="AE40" s="31" t="inlineStr">
        <is>
          <t>Projected home margin -18.7 pts. Spread: Home -19.5 / Away +19.5 -&gt; P(Away cover)=0.979, P(Home cover)=0.021, P(Push)=0.000.</t>
        </is>
      </c>
      <c r="AF40" s="31" t="inlineStr">
        <is>
          <t>College football model; multi-market (moneyline, spread, total).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4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Old Dominion Monarchs</t>
        </is>
      </c>
      <c r="AQ40" s="24" t="inlineStr">
        <is>
          <t>Old Dominion Monarchs</t>
        </is>
      </c>
      <c r="AR40" s="24" t="inlineStr">
        <is>
          <t>Old Dominion Monarchs</t>
        </is>
      </c>
      <c r="AS40" s="24" t="inlineStr">
        <is>
          <t>Virginia Tech Hokies</t>
        </is>
      </c>
      <c r="AT40" s="24" t="inlineStr">
        <is>
          <t>Virginia Tech Hokies</t>
        </is>
      </c>
      <c r="AU40" s="24" t="inlineStr">
        <is>
          <t>Virginia Tech Hokies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1d168f11d221cd3c</t>
        </is>
      </c>
      <c r="BB40" s="24" t="inlineStr">
        <is>
          <t>cfb_key_number_engine</t>
        </is>
      </c>
      <c r="BC40" s="24" t="inlineStr">
        <is>
          <t>cfb-spread-v1</t>
        </is>
      </c>
      <c r="BD40" s="24" t="inlineStr">
        <is>
          <t>1d168f11d221cd3c</t>
        </is>
      </c>
      <c r="BE40" s="24" t="inlineStr">
        <is>
          <t>cfb-v1</t>
        </is>
      </c>
      <c r="BF40" s="24" t="inlineStr">
        <is>
          <t>1</t>
        </is>
      </c>
      <c r="BG40" s="24" t="inlineStr">
        <is>
          <t>1d168f11d221cd3c</t>
        </is>
      </c>
      <c r="BH40" s="24" t="inlineStr">
        <is>
          <t>2026-09-12T10:07:04.114376+00:00</t>
        </is>
      </c>
      <c r="BI40" s="24" t="inlineStr">
        <is>
          <t>["same_event","same_team_same_day","same_league_same_day"]</t>
        </is>
      </c>
      <c r="BJ40" s="25" t="n">
        <v>19.5</v>
      </c>
      <c r="BK40" s="26" t="n">
        <v>-112</v>
      </c>
      <c r="BL40" s="27" t="n">
        <v>1.892857</v>
      </c>
      <c r="BM40" s="28" t="n">
        <v>0.528302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0.528302</t>
        </is>
      </c>
      <c r="DK40" s="24" t="n"/>
      <c r="DL40" s="24" t="n"/>
      <c r="DM40" s="24" t="n"/>
      <c r="DN40" s="24" t="n"/>
      <c r="DO40" s="24" t="n"/>
      <c r="DP40" s="24" t="n"/>
      <c r="DQ40" s="24" t="inlineStr">
        <is>
          <t>{"artifact_hash": "1d168f11d221cd3c", "event_id": "401858221", "event_start_utc": "2026-09-12T16:00Z", "features": {"altitude_fatigue_penalty": 0.0, "away_team": "Old Dominion Monarchs", "efficiency_gap": 0.855, "elo_away": 1756.4, "elo_home": 1232.1, "elo_home_win_prob": 0.0663, "event_id": "401858221", "game_start_utc": "2026-09-12T16:00Z", "home_field_advantage_points": 2.8, "home_team": "Virginia Tech Hokies", "is_dome": false, "is_fbs_vs_fcs": false, "is_neutral_site": false, "projected_away_points": 36.4, "projected_home_points": 17.6, "projected_margin_home": -18.7, "projected_possessions": 12.4, "projected_total": 54.0, "stadium_elevation_ft": 2080, "travel_distance_miles": 228.0, "uncertainty": 0.18, "weather_total_adjustment": 0.0}, "historical_source_observation_times_verified": false, "inference_inputs": {"engine_source_sha256": "449ba2f0e86fa9c445730076a0e0bf100fb4914620be53c75c6f3bfe24298f3f", "mu_away": 36.4, "mu_home": 17.6,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326134626460880662861879836958279005888}, "uinteger": 0}, "spread_home_line": -19.5, "total_line": 47.5}, "market_type": "spread", "model_version": "cfb-spread-v1", "observed_at_utc": "2026-09-12T10:07:04.114376+00:00", "probabilities": {"away": 0.979067, "home": 0.020933, "push": 0.0}, "replay_scope": "Full precision score means, exact engine parameters and original RNG state; upstream feature construction not certified.", "schema": "cfb-joint-replay-v1", "snapshot_hash": "c6fbc5a8ae8d56804c35443f1cad085d79ef419e2ef1551df6170a159a2e4bad", "sport": "NCAAF"}</t>
        </is>
      </c>
    </row>
    <row r="41" ht="36" customHeight="1">
      <c r="A41" s="24" t="inlineStr">
        <is>
          <t>e8d752209138401c</t>
        </is>
      </c>
      <c r="B41" s="24" t="inlineStr">
        <is>
          <t>2026-09-12T10:07:04.114376Z</t>
        </is>
      </c>
      <c r="C41" s="24" t="inlineStr">
        <is>
          <t>2026-09-12T16:00Z</t>
        </is>
      </c>
      <c r="D41" s="24" t="inlineStr">
        <is>
          <t>401858221</t>
        </is>
      </c>
      <c r="E41" s="24" t="inlineStr">
        <is>
          <t>NCAAF</t>
        </is>
      </c>
      <c r="F41" s="24" t="inlineStr">
        <is>
          <t>Old Dominion Monarchs</t>
        </is>
      </c>
      <c r="G41" s="24" t="inlineStr">
        <is>
          <t>Virginia Tech Hokies</t>
        </is>
      </c>
      <c r="H41" s="24" t="inlineStr">
        <is>
          <t>total</t>
        </is>
      </c>
      <c r="I41" s="24" t="inlineStr">
        <is>
          <t>over</t>
        </is>
      </c>
      <c r="J41" s="25" t="n">
        <v>47.5</v>
      </c>
      <c r="K41" s="24" t="inlineStr">
        <is>
          <t>espn_consensus</t>
        </is>
      </c>
      <c r="L41" s="26" t="n">
        <v>-120</v>
      </c>
      <c r="M41" s="27" t="n">
        <v>1.833333</v>
      </c>
      <c r="N41" s="28" t="n">
        <v>0.545455</v>
      </c>
      <c r="O41" s="28" t="n">
        <v>0.6078</v>
      </c>
      <c r="P41" s="28" t="n">
        <v>0.18</v>
      </c>
      <c r="Q41" s="28" t="n">
        <v>0.062345</v>
      </c>
      <c r="R41" s="26" t="n">
        <v>0</v>
      </c>
      <c r="S41" s="29" t="n">
        <v>1</v>
      </c>
      <c r="T41" s="24" t="inlineStr">
        <is>
          <t>cfb-total-v1</t>
        </is>
      </c>
      <c r="U41" s="24" t="inlineStr">
        <is>
          <t>settled</t>
        </is>
      </c>
      <c r="V41" s="24" t="inlineStr">
        <is>
          <t>win</t>
        </is>
      </c>
      <c r="W41" s="26" t="n">
        <v>21</v>
      </c>
      <c r="X41" s="26" t="n">
        <v>44</v>
      </c>
      <c r="Y41" s="25" t="n"/>
      <c r="Z41" s="26" t="n"/>
      <c r="AA41" s="28" t="n"/>
      <c r="AB41" s="28" t="n"/>
      <c r="AC41" s="30" t="n">
        <v>0.8333</v>
      </c>
      <c r="AD41" s="24" t="inlineStr">
        <is>
          <t>2026-09-12T22:00:28.545168Z</t>
        </is>
      </c>
      <c r="AE41" s="31" t="inlineStr">
        <is>
          <t>Projected total 54.0 pts (Weather adj: +0.0 pts). Total line 47.5 -&gt; P(Over)=0.608, P(Under)=0.392, P(Push)=0.000.</t>
        </is>
      </c>
      <c r="AF41" s="31" t="inlineStr">
        <is>
          <t>College football model; multi-market (moneyline, spread, total).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4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Old Dominion Monarchs</t>
        </is>
      </c>
      <c r="AQ41" s="24" t="inlineStr">
        <is>
          <t>Old Dominion Monarchs</t>
        </is>
      </c>
      <c r="AR41" s="24" t="inlineStr">
        <is>
          <t>Old Dominion Monarchs</t>
        </is>
      </c>
      <c r="AS41" s="24" t="inlineStr">
        <is>
          <t>Virginia Tech Hokies</t>
        </is>
      </c>
      <c r="AT41" s="24" t="inlineStr">
        <is>
          <t>Virginia Tech Hokies</t>
        </is>
      </c>
      <c r="AU41" s="24" t="inlineStr">
        <is>
          <t>Virginia Tech Hokies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1d168f11d221cd3c</t>
        </is>
      </c>
      <c r="BB41" s="24" t="inlineStr">
        <is>
          <t>cfb_key_number_engine</t>
        </is>
      </c>
      <c r="BC41" s="24" t="inlineStr">
        <is>
          <t>cfb-total-v1</t>
        </is>
      </c>
      <c r="BD41" s="24" t="inlineStr">
        <is>
          <t>1d168f11d221cd3c</t>
        </is>
      </c>
      <c r="BE41" s="24" t="inlineStr">
        <is>
          <t>cfb-v1</t>
        </is>
      </c>
      <c r="BF41" s="24" t="inlineStr">
        <is>
          <t>1</t>
        </is>
      </c>
      <c r="BG41" s="24" t="inlineStr">
        <is>
          <t>1d168f11d221cd3c</t>
        </is>
      </c>
      <c r="BH41" s="24" t="inlineStr">
        <is>
          <t>2026-09-12T10:07:04.114376+00:00</t>
        </is>
      </c>
      <c r="BI41" s="24" t="inlineStr">
        <is>
          <t>["same_event","same_team_same_day","same_league_same_day"]</t>
        </is>
      </c>
      <c r="BJ41" s="25" t="n">
        <v>47.5</v>
      </c>
      <c r="BK41" s="26" t="n">
        <v>-120</v>
      </c>
      <c r="BL41" s="27" t="n">
        <v>1.833333</v>
      </c>
      <c r="BM41" s="28" t="n">
        <v>0.545455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0.545455</t>
        </is>
      </c>
      <c r="DK41" s="24" t="n"/>
      <c r="DL41" s="24" t="n"/>
      <c r="DM41" s="24" t="n"/>
      <c r="DN41" s="24" t="n"/>
      <c r="DO41" s="24" t="n"/>
      <c r="DP41" s="24" t="n"/>
      <c r="DQ41" s="24" t="inlineStr">
        <is>
          <t>{"artifact_hash": "1d168f11d221cd3c", "event_id": "401858221", "event_start_utc": "2026-09-12T16:00Z", "features": {"altitude_fatigue_penalty": 0.0, "away_team": "Old Dominion Monarchs", "efficiency_gap": 0.855, "elo_away": 1756.4, "elo_home": 1232.1, "elo_home_win_prob": 0.0663, "event_id": "401858221", "game_start_utc": "2026-09-12T16:00Z", "home_field_advantage_points": 2.8, "home_team": "Virginia Tech Hokies", "is_dome": false, "is_fbs_vs_fcs": false, "is_neutral_site": false, "projected_away_points": 36.4, "projected_home_points": 17.6, "projected_margin_home": -18.7, "projected_possessions": 12.4, "projected_total": 54.0, "stadium_elevation_ft": 2080, "travel_distance_miles": 228.0, "uncertainty": 0.18, "weather_total_adjustment": 0.0}, "historical_source_observation_times_verified": false, "inference_inputs": {"engine_source_sha256": "449ba2f0e86fa9c445730076a0e0bf100fb4914620be53c75c6f3bfe24298f3f", "mu_away": 36.4, "mu_home": 17.6,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326134626460880662861879836958279005888}, "uinteger": 0}, "spread_home_line": -19.5, "total_line": 47.5}, "market_type": "total", "model_version": "cfb-total-v1", "observed_at_utc": "2026-09-12T10:07:04.114376+00:00", "probabilities": {"over": 0.6078, "push": 0.0, "under": 0.3922}, "replay_scope": "Full precision score means, exact engine parameters and original RNG state; upstream feature construction not certified.", "schema": "cfb-joint-replay-v1", "snapshot_hash": "fe0248eee1aae8a1ba9dbf687d528143b48cdcd86b2b5afcbaf7648f09485f8b", "sport": "NCAAF"}</t>
        </is>
      </c>
    </row>
    <row r="42" ht="36" customHeight="1">
      <c r="A42" s="24" t="inlineStr">
        <is>
          <t>f0ae13131575408f</t>
        </is>
      </c>
      <c r="B42" s="24" t="inlineStr">
        <is>
          <t>2026-09-12T10:07:04.114376Z</t>
        </is>
      </c>
      <c r="C42" s="24" t="inlineStr">
        <is>
          <t>2026-09-12T16:00Z</t>
        </is>
      </c>
      <c r="D42" s="24" t="inlineStr">
        <is>
          <t>401858224</t>
        </is>
      </c>
      <c r="E42" s="24" t="inlineStr">
        <is>
          <t>NCAAF</t>
        </is>
      </c>
      <c r="F42" s="24" t="inlineStr">
        <is>
          <t>Wake Forest Demon Deacons</t>
        </is>
      </c>
      <c r="G42" s="24" t="inlineStr">
        <is>
          <t>Purdue Boilermakers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espn_consensus</t>
        </is>
      </c>
      <c r="L42" s="26" t="n">
        <v>-155</v>
      </c>
      <c r="M42" s="27" t="n">
        <v>1.645161</v>
      </c>
      <c r="N42" s="28" t="n">
        <v>0.607843</v>
      </c>
      <c r="O42" s="28" t="n">
        <v>0.877128</v>
      </c>
      <c r="P42" s="28" t="n">
        <v>0.18</v>
      </c>
      <c r="Q42" s="28" t="n">
        <v>0.269285</v>
      </c>
      <c r="R42" s="26" t="n">
        <v>77</v>
      </c>
      <c r="S42" s="29" t="n">
        <v>1.5</v>
      </c>
      <c r="T42" s="24" t="inlineStr">
        <is>
          <t>college-football-v1</t>
        </is>
      </c>
      <c r="U42" s="24" t="inlineStr">
        <is>
          <t>settled</t>
        </is>
      </c>
      <c r="V42" s="24" t="inlineStr">
        <is>
          <t>win</t>
        </is>
      </c>
      <c r="W42" s="26" t="n">
        <v>38</v>
      </c>
      <c r="X42" s="26" t="n">
        <v>36</v>
      </c>
      <c r="Y42" s="25" t="n"/>
      <c r="Z42" s="26" t="n"/>
      <c r="AA42" s="28" t="n"/>
      <c r="AB42" s="28" t="n"/>
      <c r="AC42" s="30" t="n">
        <v>0.9677</v>
      </c>
      <c r="AD42" s="24" t="inlineStr">
        <is>
          <t>2026-09-12T22:00:28.896506Z</t>
        </is>
      </c>
      <c r="AE42" s="31" t="inlineStr">
        <is>
          <t>CFB Joint Model (negative_binomial): proj score Wake Forest Demon Deacons 37.3 @ Purdue Boilermakers 18.0 (Margin -19.3). Possessions: 12.4, HFA: +2.8 pts.</t>
        </is>
      </c>
      <c r="AF42" s="31" t="inlineStr">
        <is>
          <t>College football model; multi-market (moneyline, spread, total).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4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Wake Forest Demon Deacons</t>
        </is>
      </c>
      <c r="AQ42" s="24" t="inlineStr">
        <is>
          <t>Wake Forest Demon Deacons</t>
        </is>
      </c>
      <c r="AR42" s="24" t="inlineStr">
        <is>
          <t>Wake Forest Demon Deacons</t>
        </is>
      </c>
      <c r="AS42" s="24" t="inlineStr">
        <is>
          <t>Purdue Boilermakers</t>
        </is>
      </c>
      <c r="AT42" s="24" t="inlineStr">
        <is>
          <t>Purdue Boilermakers</t>
        </is>
      </c>
      <c r="AU42" s="24" t="inlineStr">
        <is>
          <t>Purdue Boilermakers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1d168f11d221cd3c</t>
        </is>
      </c>
      <c r="BB42" s="24" t="inlineStr">
        <is>
          <t>cfb_key_number_engine</t>
        </is>
      </c>
      <c r="BC42" s="24" t="inlineStr">
        <is>
          <t>college-football-v1</t>
        </is>
      </c>
      <c r="BD42" s="24" t="inlineStr">
        <is>
          <t>1d168f11d221cd3c</t>
        </is>
      </c>
      <c r="BE42" s="24" t="inlineStr">
        <is>
          <t>cfb-v1</t>
        </is>
      </c>
      <c r="BF42" s="24" t="inlineStr">
        <is>
          <t>1</t>
        </is>
      </c>
      <c r="BG42" s="24" t="inlineStr">
        <is>
          <t>1d168f11d221cd3c</t>
        </is>
      </c>
      <c r="BH42" s="24" t="inlineStr">
        <is>
          <t>2026-09-12T10:07:04.114376+00:00</t>
        </is>
      </c>
      <c r="BI42" s="24" t="inlineStr">
        <is>
          <t>["same_event","same_team_same_day","same_league_same_day"]</t>
        </is>
      </c>
      <c r="BJ42" s="25" t="n"/>
      <c r="BK42" s="26" t="n">
        <v>-155</v>
      </c>
      <c r="BL42" s="27" t="n">
        <v>1.645161</v>
      </c>
      <c r="BM42" s="28" t="n">
        <v>0.607843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0.607843</t>
        </is>
      </c>
      <c r="DK42" s="24" t="n"/>
      <c r="DL42" s="24" t="n"/>
      <c r="DM42" s="24" t="n"/>
      <c r="DN42" s="24" t="n"/>
      <c r="DO42" s="24" t="n"/>
      <c r="DP42" s="24" t="n"/>
      <c r="DQ42" s="24" t="inlineStr">
        <is>
          <t>{"artifact_hash": "1d168f11d221cd3c", "event_id": "401858224", "event_start_utc": "2026-09-12T16:00Z", "features": {"altitude_fatigue_penalty": 0.0, "away_team": "Wake Forest Demon Deacons", "efficiency_gap": 0.304, "elo_away": 1658.3, "elo_home": 1120.8, "elo_home_win_prob": 0.0618, "event_id": "401858224", "game_start_utc": "2026-09-12T16:00Z", "home_field_advantage_points": 2.8, "home_team": "Purdue Boilermakers", "is_dome": false, "is_fbs_vs_fcs": false, "is_neutral_site": false, "projected_away_points": 37.3, "projected_home_points": 18.0, "projected_margin_home": -19.3, "projected_possessions": 12.4, "projected_total": 55.3, "stadium_elevation_ft": 610, "travel_distance_miles": 468.0, "uncertainty": 0.18, "weather_total_adjustment": 0.0}, "historical_source_observation_times_verified": false, "inference_inputs": {"engine_source_sha256": "449ba2f0e86fa9c445730076a0e0bf100fb4914620be53c75c6f3bfe24298f3f", "mu_away": 37.3, "mu_home": 18.0,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246346582268430848112051497900289555972}, "uinteger": 0}, "spread_home_line": 3.0, "total_line": 50.5}, "market_type": "moneyline", "model_version": "college-football-v1", "observed_at_utc": "2026-09-12T10:07:04.114376+00:00", "probabilities": {"away": 0.877128, "home": 0.122872}, "replay_scope": "Full precision score means, exact engine parameters and original RNG state; upstream feature construction not certified.", "schema": "cfb-joint-replay-v1", "snapshot_hash": "b41ce26c9adf070b0c01409501a3e54be43cdace92e3e30fbc95be2777c9ba28", "sport": "NCAAF"}</t>
        </is>
      </c>
    </row>
    <row r="43" ht="36" customHeight="1">
      <c r="A43" s="24" t="inlineStr">
        <is>
          <t>077f7678ea68412d</t>
        </is>
      </c>
      <c r="B43" s="24" t="inlineStr">
        <is>
          <t>2026-09-12T10:07:04.114376Z</t>
        </is>
      </c>
      <c r="C43" s="24" t="inlineStr">
        <is>
          <t>2026-09-12T16:00Z</t>
        </is>
      </c>
      <c r="D43" s="24" t="inlineStr">
        <is>
          <t>401858224</t>
        </is>
      </c>
      <c r="E43" s="24" t="inlineStr">
        <is>
          <t>NCAAF</t>
        </is>
      </c>
      <c r="F43" s="24" t="inlineStr">
        <is>
          <t>Wake Forest Demon Deacons</t>
        </is>
      </c>
      <c r="G43" s="24" t="inlineStr">
        <is>
          <t>Purdue Boilermakers</t>
        </is>
      </c>
      <c r="H43" s="24" t="inlineStr">
        <is>
          <t>spread</t>
        </is>
      </c>
      <c r="I43" s="24" t="inlineStr">
        <is>
          <t>away</t>
        </is>
      </c>
      <c r="J43" s="25" t="n">
        <v>-3</v>
      </c>
      <c r="K43" s="24" t="inlineStr">
        <is>
          <t>espn_consensus</t>
        </is>
      </c>
      <c r="L43" s="26" t="n">
        <v>-110</v>
      </c>
      <c r="M43" s="27" t="n">
        <v>1.909091</v>
      </c>
      <c r="N43" s="28" t="n">
        <v>0.52381</v>
      </c>
      <c r="O43" s="28" t="n">
        <v>0.835333</v>
      </c>
      <c r="P43" s="28" t="n">
        <v>0.18</v>
      </c>
      <c r="Q43" s="28" t="n">
        <v>0.311523</v>
      </c>
      <c r="R43" s="26" t="n">
        <v>98</v>
      </c>
      <c r="S43" s="29" t="n">
        <v>2</v>
      </c>
      <c r="T43" s="24" t="inlineStr">
        <is>
          <t>cfb-spread-v1</t>
        </is>
      </c>
      <c r="U43" s="24" t="inlineStr">
        <is>
          <t>settled</t>
        </is>
      </c>
      <c r="V43" s="24" t="inlineStr">
        <is>
          <t>loss</t>
        </is>
      </c>
      <c r="W43" s="26" t="n">
        <v>38</v>
      </c>
      <c r="X43" s="26" t="n">
        <v>36</v>
      </c>
      <c r="Y43" s="25" t="n"/>
      <c r="Z43" s="26" t="n"/>
      <c r="AA43" s="28" t="n"/>
      <c r="AB43" s="28" t="n"/>
      <c r="AC43" s="30" t="n">
        <v>-2</v>
      </c>
      <c r="AD43" s="24" t="inlineStr">
        <is>
          <t>2026-09-12T22:00:29.277415Z</t>
        </is>
      </c>
      <c r="AE43" s="31" t="inlineStr">
        <is>
          <t>Projected home margin -19.3 pts. Spread: Home +3.0 / Away -3.0 -&gt; P(Away cover)=0.835, P(Home cover)=0.151, P(Push)=0.014.</t>
        </is>
      </c>
      <c r="AF43" s="31" t="inlineStr">
        <is>
          <t>College football model; multi-market (moneyline, spread, total).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4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Wake Forest Demon Deacons</t>
        </is>
      </c>
      <c r="AQ43" s="24" t="inlineStr">
        <is>
          <t>Wake Forest Demon Deacons</t>
        </is>
      </c>
      <c r="AR43" s="24" t="inlineStr">
        <is>
          <t>Wake Forest Demon Deacons</t>
        </is>
      </c>
      <c r="AS43" s="24" t="inlineStr">
        <is>
          <t>Purdue Boilermakers</t>
        </is>
      </c>
      <c r="AT43" s="24" t="inlineStr">
        <is>
          <t>Purdue Boilermakers</t>
        </is>
      </c>
      <c r="AU43" s="24" t="inlineStr">
        <is>
          <t>Purdue Boilermakers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1d168f11d221cd3c</t>
        </is>
      </c>
      <c r="BB43" s="24" t="inlineStr">
        <is>
          <t>cfb_key_number_engine</t>
        </is>
      </c>
      <c r="BC43" s="24" t="inlineStr">
        <is>
          <t>cfb-spread-v1</t>
        </is>
      </c>
      <c r="BD43" s="24" t="inlineStr">
        <is>
          <t>1d168f11d221cd3c</t>
        </is>
      </c>
      <c r="BE43" s="24" t="inlineStr">
        <is>
          <t>cfb-v1</t>
        </is>
      </c>
      <c r="BF43" s="24" t="inlineStr">
        <is>
          <t>1</t>
        </is>
      </c>
      <c r="BG43" s="24" t="inlineStr">
        <is>
          <t>1d168f11d221cd3c</t>
        </is>
      </c>
      <c r="BH43" s="24" t="inlineStr">
        <is>
          <t>2026-09-12T10:07:04.114376+00:00</t>
        </is>
      </c>
      <c r="BI43" s="24" t="inlineStr">
        <is>
          <t>["same_event","same_team_same_day","same_league_same_day"]</t>
        </is>
      </c>
      <c r="BJ43" s="25" t="n">
        <v>-3</v>
      </c>
      <c r="BK43" s="26" t="n">
        <v>-110</v>
      </c>
      <c r="BL43" s="27" t="n">
        <v>1.909091</v>
      </c>
      <c r="BM43" s="28" t="n">
        <v>0.52381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0.52381</t>
        </is>
      </c>
      <c r="DK43" s="24" t="n"/>
      <c r="DL43" s="24" t="n"/>
      <c r="DM43" s="24" t="n"/>
      <c r="DN43" s="24" t="n"/>
      <c r="DO43" s="24" t="n"/>
      <c r="DP43" s="24" t="n"/>
      <c r="DQ43" s="24" t="inlineStr">
        <is>
          <t>{"artifact_hash": "1d168f11d221cd3c", "event_id": "401858224", "event_start_utc": "2026-09-12T16:00Z", "features": {"altitude_fatigue_penalty": 0.0, "away_team": "Wake Forest Demon Deacons", "efficiency_gap": 0.304, "elo_away": 1658.3, "elo_home": 1120.8, "elo_home_win_prob": 0.0618, "event_id": "401858224", "game_start_utc": "2026-09-12T16:00Z", "home_field_advantage_points": 2.8, "home_team": "Purdue Boilermakers", "is_dome": false, "is_fbs_vs_fcs": false, "is_neutral_site": false, "projected_away_points": 37.3, "projected_home_points": 18.0, "projected_margin_home": -19.3, "projected_possessions": 12.4, "projected_total": 55.3, "stadium_elevation_ft": 610, "travel_distance_miles": 468.0, "uncertainty": 0.18, "weather_total_adjustment": 0.0}, "historical_source_observation_times_verified": false, "inference_inputs": {"engine_source_sha256": "449ba2f0e86fa9c445730076a0e0bf100fb4914620be53c75c6f3bfe24298f3f", "mu_away": 37.3, "mu_home": 18.0,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246346582268430848112051497900289555972}, "uinteger": 0}, "spread_home_line": 3.0, "total_line": 50.5}, "market_type": "spread", "model_version": "cfb-spread-v1", "observed_at_utc": "2026-09-12T10:07:04.114376+00:00", "probabilities": {"away": 0.835333, "home": 0.150867, "push": 0.0138}, "replay_scope": "Full precision score means, exact engine parameters and original RNG state; upstream feature construction not certified.", "schema": "cfb-joint-replay-v1", "snapshot_hash": "75265dc371c8a02abc8bb2237a27cfaf73cfd2ca5cd1000201102de33267caaa", "sport": "NCAAF"}</t>
        </is>
      </c>
    </row>
    <row r="44" ht="36" customHeight="1">
      <c r="A44" s="24" t="inlineStr">
        <is>
          <t>5152706ea6fc4894</t>
        </is>
      </c>
      <c r="B44" s="24" t="inlineStr">
        <is>
          <t>2026-09-12T10:07:04.114376Z</t>
        </is>
      </c>
      <c r="C44" s="24" t="inlineStr">
        <is>
          <t>2026-09-12T16:00Z</t>
        </is>
      </c>
      <c r="D44" s="24" t="inlineStr">
        <is>
          <t>401858224</t>
        </is>
      </c>
      <c r="E44" s="24" t="inlineStr">
        <is>
          <t>NCAAF</t>
        </is>
      </c>
      <c r="F44" s="24" t="inlineStr">
        <is>
          <t>Wake Forest Demon Deacons</t>
        </is>
      </c>
      <c r="G44" s="24" t="inlineStr">
        <is>
          <t>Purdue Boilermakers</t>
        </is>
      </c>
      <c r="H44" s="24" t="inlineStr">
        <is>
          <t>total</t>
        </is>
      </c>
      <c r="I44" s="24" t="inlineStr">
        <is>
          <t>over</t>
        </is>
      </c>
      <c r="J44" s="25" t="n">
        <v>50.5</v>
      </c>
      <c r="K44" s="24" t="inlineStr">
        <is>
          <t>espn_consensus</t>
        </is>
      </c>
      <c r="L44" s="26" t="n">
        <v>-108</v>
      </c>
      <c r="M44" s="27" t="n">
        <v>1.925926</v>
      </c>
      <c r="N44" s="28" t="n">
        <v>0.519231</v>
      </c>
      <c r="O44" s="28" t="n">
        <v>0.574733</v>
      </c>
      <c r="P44" s="28" t="n">
        <v>0.18</v>
      </c>
      <c r="Q44" s="28" t="n">
        <v>0.055502</v>
      </c>
      <c r="R44" s="26" t="n">
        <v>0</v>
      </c>
      <c r="S44" s="29" t="n">
        <v>1</v>
      </c>
      <c r="T44" s="24" t="inlineStr">
        <is>
          <t>cfb-total-v1</t>
        </is>
      </c>
      <c r="U44" s="24" t="inlineStr">
        <is>
          <t>settled</t>
        </is>
      </c>
      <c r="V44" s="24" t="inlineStr">
        <is>
          <t>win</t>
        </is>
      </c>
      <c r="W44" s="26" t="n">
        <v>38</v>
      </c>
      <c r="X44" s="26" t="n">
        <v>36</v>
      </c>
      <c r="Y44" s="25" t="n"/>
      <c r="Z44" s="26" t="n"/>
      <c r="AA44" s="28" t="n"/>
      <c r="AB44" s="28" t="n"/>
      <c r="AC44" s="30" t="n">
        <v>0.9258999999999999</v>
      </c>
      <c r="AD44" s="24" t="inlineStr">
        <is>
          <t>2026-09-12T22:00:29.630479Z</t>
        </is>
      </c>
      <c r="AE44" s="31" t="inlineStr">
        <is>
          <t>Projected total 55.3 pts (Weather adj: +0.0 pts). Total line 50.5 -&gt; P(Over)=0.575, P(Under)=0.425, P(Push)=0.000.</t>
        </is>
      </c>
      <c r="AF44" s="31" t="inlineStr">
        <is>
          <t>College football model; multi-market (moneyline, spread, total).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4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Wake Forest Demon Deacons</t>
        </is>
      </c>
      <c r="AQ44" s="24" t="inlineStr">
        <is>
          <t>Wake Forest Demon Deacons</t>
        </is>
      </c>
      <c r="AR44" s="24" t="inlineStr">
        <is>
          <t>Wake Forest Demon Deacons</t>
        </is>
      </c>
      <c r="AS44" s="24" t="inlineStr">
        <is>
          <t>Purdue Boilermakers</t>
        </is>
      </c>
      <c r="AT44" s="24" t="inlineStr">
        <is>
          <t>Purdue Boilermakers</t>
        </is>
      </c>
      <c r="AU44" s="24" t="inlineStr">
        <is>
          <t>Purdue Boilermakers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1d168f11d221cd3c</t>
        </is>
      </c>
      <c r="BB44" s="24" t="inlineStr">
        <is>
          <t>cfb_key_number_engine</t>
        </is>
      </c>
      <c r="BC44" s="24" t="inlineStr">
        <is>
          <t>cfb-total-v1</t>
        </is>
      </c>
      <c r="BD44" s="24" t="inlineStr">
        <is>
          <t>1d168f11d221cd3c</t>
        </is>
      </c>
      <c r="BE44" s="24" t="inlineStr">
        <is>
          <t>cfb-v1</t>
        </is>
      </c>
      <c r="BF44" s="24" t="inlineStr">
        <is>
          <t>1</t>
        </is>
      </c>
      <c r="BG44" s="24" t="inlineStr">
        <is>
          <t>1d168f11d221cd3c</t>
        </is>
      </c>
      <c r="BH44" s="24" t="inlineStr">
        <is>
          <t>2026-09-12T10:07:04.114376+00:00</t>
        </is>
      </c>
      <c r="BI44" s="24" t="inlineStr">
        <is>
          <t>["same_event","same_team_same_day","same_league_same_day"]</t>
        </is>
      </c>
      <c r="BJ44" s="25" t="n">
        <v>50.5</v>
      </c>
      <c r="BK44" s="26" t="n">
        <v>-108</v>
      </c>
      <c r="BL44" s="27" t="n">
        <v>1.925926</v>
      </c>
      <c r="BM44" s="28" t="n">
        <v>0.519231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0.519231</t>
        </is>
      </c>
      <c r="DK44" s="24" t="n"/>
      <c r="DL44" s="24" t="n"/>
      <c r="DM44" s="24" t="n"/>
      <c r="DN44" s="24" t="n"/>
      <c r="DO44" s="24" t="n"/>
      <c r="DP44" s="24" t="n"/>
      <c r="DQ44" s="24" t="inlineStr">
        <is>
          <t>{"artifact_hash": "1d168f11d221cd3c", "event_id": "401858224", "event_start_utc": "2026-09-12T16:00Z", "features": {"altitude_fatigue_penalty": 0.0, "away_team": "Wake Forest Demon Deacons", "efficiency_gap": 0.304, "elo_away": 1658.3, "elo_home": 1120.8, "elo_home_win_prob": 0.0618, "event_id": "401858224", "game_start_utc": "2026-09-12T16:00Z", "home_field_advantage_points": 2.8, "home_team": "Purdue Boilermakers", "is_dome": false, "is_fbs_vs_fcs": false, "is_neutral_site": false, "projected_away_points": 37.3, "projected_home_points": 18.0, "projected_margin_home": -19.3, "projected_possessions": 12.4, "projected_total": 55.3, "stadium_elevation_ft": 610, "travel_distance_miles": 468.0, "uncertainty": 0.18, "weather_total_adjustment": 0.0}, "historical_source_observation_times_verified": false, "inference_inputs": {"engine_source_sha256": "449ba2f0e86fa9c445730076a0e0bf100fb4914620be53c75c6f3bfe24298f3f", "mu_away": 37.3, "mu_home": 18.0,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246346582268430848112051497900289555972}, "uinteger": 0}, "spread_home_line": 3.0, "total_line": 50.5}, "market_type": "total", "model_version": "cfb-total-v1", "observed_at_utc": "2026-09-12T10:07:04.114376+00:00", "probabilities": {"over": 0.574733, "push": 0.0, "under": 0.425267}, "replay_scope": "Full precision score means, exact engine parameters and original RNG state; upstream feature construction not certified.", "schema": "cfb-joint-replay-v1", "snapshot_hash": "e7037cefd61c725cf50222f38a6d4eca1078c64cafdaaa4f571abb00ea58fb20", "sport": "NCAAF"}</t>
        </is>
      </c>
    </row>
    <row r="45" ht="36" customHeight="1">
      <c r="A45" s="24" t="inlineStr">
        <is>
          <t>207b9569d6134404</t>
        </is>
      </c>
      <c r="B45" s="24" t="inlineStr">
        <is>
          <t>2026-09-12T10:07:04.114376Z</t>
        </is>
      </c>
      <c r="C45" s="24" t="inlineStr">
        <is>
          <t>2026-09-12T16:00Z</t>
        </is>
      </c>
      <c r="D45" s="24" t="inlineStr">
        <is>
          <t>401862702</t>
        </is>
      </c>
      <c r="E45" s="24" t="inlineStr">
        <is>
          <t>NCAAF</t>
        </is>
      </c>
      <c r="F45" s="24" t="inlineStr">
        <is>
          <t>South Florida Bulls</t>
        </is>
      </c>
      <c r="G45" s="24" t="inlineStr">
        <is>
          <t>Army Black Knights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espn_consensus</t>
        </is>
      </c>
      <c r="L45" s="26" t="n">
        <v>-166</v>
      </c>
      <c r="M45" s="27" t="n">
        <v>1.60241</v>
      </c>
      <c r="N45" s="28" t="n">
        <v>0.6240599999999999</v>
      </c>
      <c r="O45" s="28" t="n">
        <v>0.548475</v>
      </c>
      <c r="P45" s="28" t="n">
        <v>0.18</v>
      </c>
      <c r="Q45" s="28" t="n">
        <v>-0.075585</v>
      </c>
      <c r="R45" s="26" t="n">
        <v>0</v>
      </c>
      <c r="S45" s="29" t="n">
        <v>1</v>
      </c>
      <c r="T45" s="24" t="inlineStr">
        <is>
          <t>college-football-v1</t>
        </is>
      </c>
      <c r="U45" s="24" t="inlineStr">
        <is>
          <t>settled</t>
        </is>
      </c>
      <c r="V45" s="24" t="inlineStr">
        <is>
          <t>loss</t>
        </is>
      </c>
      <c r="W45" s="26" t="n">
        <v>28</v>
      </c>
      <c r="X45" s="26" t="n">
        <v>24</v>
      </c>
      <c r="Y45" s="25" t="n"/>
      <c r="Z45" s="26" t="n"/>
      <c r="AA45" s="28" t="n"/>
      <c r="AB45" s="28" t="n"/>
      <c r="AC45" s="30" t="n">
        <v>-1</v>
      </c>
      <c r="AD45" s="24" t="inlineStr">
        <is>
          <t>2026-09-12T22:00:29.981022Z</t>
        </is>
      </c>
      <c r="AE45" s="31" t="inlineStr">
        <is>
          <t>CFB Joint Model (negative_binomial): proj score South Florida Bulls 25.8 @ Army Black Knights 27.9 (Margin +2.1). Possessions: 12.4, HFA: +2.8 pts.</t>
        </is>
      </c>
      <c r="AF45" s="31" t="inlineStr">
        <is>
          <t>College football model; multi-market (moneyline, spread, total).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South Florida Bulls</t>
        </is>
      </c>
      <c r="AQ45" s="24" t="inlineStr">
        <is>
          <t>South Florida Bulls</t>
        </is>
      </c>
      <c r="AR45" s="24" t="inlineStr">
        <is>
          <t>South Florida Bulls</t>
        </is>
      </c>
      <c r="AS45" s="24" t="inlineStr">
        <is>
          <t>Army Black Knights</t>
        </is>
      </c>
      <c r="AT45" s="24" t="inlineStr">
        <is>
          <t>Army Black Knights</t>
        </is>
      </c>
      <c r="AU45" s="24" t="inlineStr">
        <is>
          <t>Army Black Knights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1d168f11d221cd3c</t>
        </is>
      </c>
      <c r="BB45" s="24" t="inlineStr">
        <is>
          <t>cfb_key_number_engine</t>
        </is>
      </c>
      <c r="BC45" s="24" t="inlineStr">
        <is>
          <t>college-football-v1</t>
        </is>
      </c>
      <c r="BD45" s="24" t="inlineStr">
        <is>
          <t>1d168f11d221cd3c</t>
        </is>
      </c>
      <c r="BE45" s="24" t="inlineStr">
        <is>
          <t>cfb-v1</t>
        </is>
      </c>
      <c r="BF45" s="24" t="inlineStr">
        <is>
          <t>1</t>
        </is>
      </c>
      <c r="BG45" s="24" t="inlineStr">
        <is>
          <t>1d168f11d221cd3c</t>
        </is>
      </c>
      <c r="BH45" s="24" t="inlineStr">
        <is>
          <t>2026-09-12T10:07:04.114376+00:00</t>
        </is>
      </c>
      <c r="BI45" s="24" t="inlineStr">
        <is>
          <t>["same_event","same_team_same_day","same_league_same_day"]</t>
        </is>
      </c>
      <c r="BJ45" s="25" t="n"/>
      <c r="BK45" s="26" t="n">
        <v>-166</v>
      </c>
      <c r="BL45" s="27" t="n">
        <v>1.60241</v>
      </c>
      <c r="BM45" s="28" t="n">
        <v>0.6240599999999999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>
        <v>1</v>
      </c>
      <c r="BY45" s="27" t="n">
        <v>-1</v>
      </c>
      <c r="BZ45" s="24" t="inlineStr">
        <is>
          <t>2026-09-12T22:00:29.981022Z</t>
        </is>
      </c>
      <c r="CA45" s="31" t="inlineStr">
        <is>
          <t>fixed one-unit hypothetical scoring; no real exposure or execution</t>
        </is>
      </c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0.62406</t>
        </is>
      </c>
      <c r="DK45" s="24" t="n"/>
      <c r="DL45" s="24" t="n"/>
      <c r="DM45" s="24" t="n"/>
      <c r="DN45" s="24" t="n"/>
      <c r="DO45" s="24" t="n"/>
      <c r="DP45" s="24" t="n"/>
      <c r="DQ45" s="24" t="inlineStr">
        <is>
          <t>{"artifact_hash": "1d168f11d221cd3c", "event_id": "401862702", "event_start_utc": "2026-09-12T16:00Z", "features": {"altitude_fatigue_penalty": 0.0, "away_team": "South Florida Bulls", "efficiency_gap": 0.0, "elo_away": 1657.2, "elo_home": 1644.4, "elo_home_win_prob": 0.5745, "event_id": "401862702", "game_start_utc": "2026-09-12T16:00Z", "home_field_advantage_points": 2.8, "home_team": "Army Black Knights", "is_dome": false, "is_fbs_vs_fcs": false, "is_neutral_site": false, "projected_away_points": 25.8, "projected_home_points": 27.9, "projected_margin_home": 2.1, "projected_possessions": 12.4, "projected_total": 53.7, "stadium_elevation_ft": 310, "travel_distance_miles": 1045.0, "uncertainty": 0.18, "weather_total_adjustment": 0.0}, "historical_source_observation_times_verified": false, "inference_inputs": {"engine_source_sha256": "449ba2f0e86fa9c445730076a0e0bf100fb4914620be53c75c6f3bfe24298f3f", "mu_away": 25.8, "mu_home": 27.9,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189885434171548732204775855012748938675}, "uinteger": 0}, "spread_home_line": -3.5, "total_line": 46.5}, "market_type": "moneyline", "model_version": "college-football-v1", "observed_at_utc": "2026-09-12T10:07:04.114376+00:00", "probabilities": {"away": 0.451525, "home": 0.548475}, "replay_scope": "Full precision score means, exact engine parameters and original RNG state; upstream feature construction not certified.", "schema": "cfb-joint-replay-v1", "snapshot_hash": "a5d46cca67050b542876c9b9bb86f06a71c1baf6e2bbe3e3c90e7fccec34e3fc", "sport": "NCAAF"}</t>
        </is>
      </c>
    </row>
    <row r="46" ht="36" customHeight="1">
      <c r="A46" s="24" t="inlineStr">
        <is>
          <t>f99ec62ad16c4b50</t>
        </is>
      </c>
      <c r="B46" s="24" t="inlineStr">
        <is>
          <t>2026-09-12T10:07:04.114376Z</t>
        </is>
      </c>
      <c r="C46" s="24" t="inlineStr">
        <is>
          <t>2026-09-12T16:00Z</t>
        </is>
      </c>
      <c r="D46" s="24" t="inlineStr">
        <is>
          <t>401862702</t>
        </is>
      </c>
      <c r="E46" s="24" t="inlineStr">
        <is>
          <t>NCAAF</t>
        </is>
      </c>
      <c r="F46" s="24" t="inlineStr">
        <is>
          <t>South Florida Bulls</t>
        </is>
      </c>
      <c r="G46" s="24" t="inlineStr">
        <is>
          <t>Army Black Knights</t>
        </is>
      </c>
      <c r="H46" s="24" t="inlineStr">
        <is>
          <t>spread</t>
        </is>
      </c>
      <c r="I46" s="24" t="inlineStr">
        <is>
          <t>away</t>
        </is>
      </c>
      <c r="J46" s="25" t="n">
        <v>3.5</v>
      </c>
      <c r="K46" s="24" t="inlineStr">
        <is>
          <t>espn_consensus</t>
        </is>
      </c>
      <c r="L46" s="26" t="n">
        <v>-118</v>
      </c>
      <c r="M46" s="27" t="n">
        <v>1.847458</v>
      </c>
      <c r="N46" s="28" t="n">
        <v>0.541284</v>
      </c>
      <c r="O46" s="28" t="n">
        <v>0.536733</v>
      </c>
      <c r="P46" s="28" t="n">
        <v>0.18</v>
      </c>
      <c r="Q46" s="28" t="n">
        <v>-0.004551</v>
      </c>
      <c r="R46" s="26" t="n">
        <v>0</v>
      </c>
      <c r="S46" s="29" t="n">
        <v>1</v>
      </c>
      <c r="T46" s="24" t="inlineStr">
        <is>
          <t>cfb-spread-v1</t>
        </is>
      </c>
      <c r="U46" s="24" t="inlineStr">
        <is>
          <t>settled</t>
        </is>
      </c>
      <c r="V46" s="24" t="inlineStr">
        <is>
          <t>win</t>
        </is>
      </c>
      <c r="W46" s="26" t="n">
        <v>28</v>
      </c>
      <c r="X46" s="26" t="n">
        <v>24</v>
      </c>
      <c r="Y46" s="25" t="n"/>
      <c r="Z46" s="26" t="n"/>
      <c r="AA46" s="28" t="n"/>
      <c r="AB46" s="28" t="n"/>
      <c r="AC46" s="30" t="n">
        <v>0.8475</v>
      </c>
      <c r="AD46" s="24" t="inlineStr">
        <is>
          <t>2026-09-12T22:00:30.295410Z</t>
        </is>
      </c>
      <c r="AE46" s="31" t="inlineStr">
        <is>
          <t>Projected home margin +2.1 pts. Spread: Home -3.5 / Away +3.5 -&gt; P(Away cover)=0.537, P(Home cover)=0.463, P(Push)=0.000.</t>
        </is>
      </c>
      <c r="AF46" s="31" t="inlineStr">
        <is>
          <t>College football model; multi-market (moneyline, spread, total).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South Florida Bulls</t>
        </is>
      </c>
      <c r="AQ46" s="24" t="inlineStr">
        <is>
          <t>South Florida Bulls</t>
        </is>
      </c>
      <c r="AR46" s="24" t="inlineStr">
        <is>
          <t>South Florida Bulls</t>
        </is>
      </c>
      <c r="AS46" s="24" t="inlineStr">
        <is>
          <t>Army Black Knights</t>
        </is>
      </c>
      <c r="AT46" s="24" t="inlineStr">
        <is>
          <t>Army Black Knights</t>
        </is>
      </c>
      <c r="AU46" s="24" t="inlineStr">
        <is>
          <t>Army Black Knights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1d168f11d221cd3c</t>
        </is>
      </c>
      <c r="BB46" s="24" t="inlineStr">
        <is>
          <t>cfb_key_number_engine</t>
        </is>
      </c>
      <c r="BC46" s="24" t="inlineStr">
        <is>
          <t>cfb-spread-v1</t>
        </is>
      </c>
      <c r="BD46" s="24" t="inlineStr">
        <is>
          <t>1d168f11d221cd3c</t>
        </is>
      </c>
      <c r="BE46" s="24" t="inlineStr">
        <is>
          <t>cfb-v1</t>
        </is>
      </c>
      <c r="BF46" s="24" t="inlineStr">
        <is>
          <t>1</t>
        </is>
      </c>
      <c r="BG46" s="24" t="inlineStr">
        <is>
          <t>1d168f11d221cd3c</t>
        </is>
      </c>
      <c r="BH46" s="24" t="inlineStr">
        <is>
          <t>2026-09-12T10:07:04.114376+00:00</t>
        </is>
      </c>
      <c r="BI46" s="24" t="inlineStr">
        <is>
          <t>["same_event","same_team_same_day","same_league_same_day"]</t>
        </is>
      </c>
      <c r="BJ46" s="25" t="n">
        <v>3.5</v>
      </c>
      <c r="BK46" s="26" t="n">
        <v>-118</v>
      </c>
      <c r="BL46" s="27" t="n">
        <v>1.847458</v>
      </c>
      <c r="BM46" s="28" t="n">
        <v>0.541284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>
        <v>1</v>
      </c>
      <c r="BY46" s="27" t="n">
        <v>0.847458</v>
      </c>
      <c r="BZ46" s="24" t="inlineStr">
        <is>
          <t>2026-09-12T22:00:30.295410Z</t>
        </is>
      </c>
      <c r="CA46" s="31" t="inlineStr">
        <is>
          <t>fixed one-unit hypothetical scoring; no real exposure or execution</t>
        </is>
      </c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0.541284</t>
        </is>
      </c>
      <c r="DK46" s="24" t="n"/>
      <c r="DL46" s="24" t="n"/>
      <c r="DM46" s="24" t="n"/>
      <c r="DN46" s="24" t="n"/>
      <c r="DO46" s="24" t="n"/>
      <c r="DP46" s="24" t="n"/>
      <c r="DQ46" s="24" t="inlineStr">
        <is>
          <t>{"artifact_hash": "1d168f11d221cd3c", "event_id": "401862702", "event_start_utc": "2026-09-12T16:00Z", "features": {"altitude_fatigue_penalty": 0.0, "away_team": "South Florida Bulls", "efficiency_gap": 0.0, "elo_away": 1657.2, "elo_home": 1644.4, "elo_home_win_prob": 0.5745, "event_id": "401862702", "game_start_utc": "2026-09-12T16:00Z", "home_field_advantage_points": 2.8, "home_team": "Army Black Knights", "is_dome": false, "is_fbs_vs_fcs": false, "is_neutral_site": false, "projected_away_points": 25.8, "projected_home_points": 27.9, "projected_margin_home": 2.1, "projected_possessions": 12.4, "projected_total": 53.7, "stadium_elevation_ft": 310, "travel_distance_miles": 1045.0, "uncertainty": 0.18, "weather_total_adjustment": 0.0}, "historical_source_observation_times_verified": false, "inference_inputs": {"engine_source_sha256": "449ba2f0e86fa9c445730076a0e0bf100fb4914620be53c75c6f3bfe24298f3f", "mu_away": 25.8, "mu_home": 27.9,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189885434171548732204775855012748938675}, "uinteger": 0}, "spread_home_line": -3.5, "total_line": 46.5}, "market_type": "spread", "model_version": "cfb-spread-v1", "observed_at_utc": "2026-09-12T10:07:04.114376+00:00", "probabilities": {"away": 0.536733, "home": 0.463267, "push": 0.0}, "replay_scope": "Full precision score means, exact engine parameters and original RNG state; upstream feature construction not certified.", "schema": "cfb-joint-replay-v1", "snapshot_hash": "26d502f186df7932f48f8d31e2ddfa5656be5e31ee84fab2e795ceae34621912", "sport": "NCAAF"}</t>
        </is>
      </c>
    </row>
    <row r="47" ht="36" customHeight="1">
      <c r="A47" s="24" t="inlineStr">
        <is>
          <t>6cab36b4fdc24be0</t>
        </is>
      </c>
      <c r="B47" s="24" t="inlineStr">
        <is>
          <t>2026-09-12T10:07:04.114376Z</t>
        </is>
      </c>
      <c r="C47" s="24" t="inlineStr">
        <is>
          <t>2026-09-12T16:00Z</t>
        </is>
      </c>
      <c r="D47" s="24" t="inlineStr">
        <is>
          <t>401862702</t>
        </is>
      </c>
      <c r="E47" s="24" t="inlineStr">
        <is>
          <t>NCAAF</t>
        </is>
      </c>
      <c r="F47" s="24" t="inlineStr">
        <is>
          <t>South Florida Bulls</t>
        </is>
      </c>
      <c r="G47" s="24" t="inlineStr">
        <is>
          <t>Army Black Knights</t>
        </is>
      </c>
      <c r="H47" s="24" t="inlineStr">
        <is>
          <t>total</t>
        </is>
      </c>
      <c r="I47" s="24" t="inlineStr">
        <is>
          <t>over</t>
        </is>
      </c>
      <c r="J47" s="25" t="n">
        <v>46.5</v>
      </c>
      <c r="K47" s="24" t="inlineStr">
        <is>
          <t>espn_consensus</t>
        </is>
      </c>
      <c r="L47" s="26" t="n">
        <v>-110</v>
      </c>
      <c r="M47" s="27" t="n">
        <v>1.909091</v>
      </c>
      <c r="N47" s="28" t="n">
        <v>0.52381</v>
      </c>
      <c r="O47" s="28" t="n">
        <v>0.6198669999999999</v>
      </c>
      <c r="P47" s="28" t="n">
        <v>0.18</v>
      </c>
      <c r="Q47" s="28" t="n">
        <v>0.096057</v>
      </c>
      <c r="R47" s="26" t="n">
        <v>0</v>
      </c>
      <c r="S47" s="29" t="n">
        <v>1</v>
      </c>
      <c r="T47" s="24" t="inlineStr">
        <is>
          <t>cfb-total-v1</t>
        </is>
      </c>
      <c r="U47" s="24" t="inlineStr">
        <is>
          <t>settled</t>
        </is>
      </c>
      <c r="V47" s="24" t="inlineStr">
        <is>
          <t>win</t>
        </is>
      </c>
      <c r="W47" s="26" t="n">
        <v>28</v>
      </c>
      <c r="X47" s="26" t="n">
        <v>24</v>
      </c>
      <c r="Y47" s="25" t="n"/>
      <c r="Z47" s="26" t="n"/>
      <c r="AA47" s="28" t="n"/>
      <c r="AB47" s="28" t="n"/>
      <c r="AC47" s="30" t="n">
        <v>0.9091</v>
      </c>
      <c r="AD47" s="24" t="inlineStr">
        <is>
          <t>2026-09-12T22:00:30.644329Z</t>
        </is>
      </c>
      <c r="AE47" s="31" t="inlineStr">
        <is>
          <t>Projected total 53.7 pts (Weather adj: +0.0 pts). Total line 46.5 -&gt; P(Over)=0.620, P(Under)=0.380, P(Push)=0.000.</t>
        </is>
      </c>
      <c r="AF47" s="31" t="inlineStr">
        <is>
          <t>College football model; multi-market (moneyline, spread, total).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South Florida Bulls</t>
        </is>
      </c>
      <c r="AQ47" s="24" t="inlineStr">
        <is>
          <t>South Florida Bulls</t>
        </is>
      </c>
      <c r="AR47" s="24" t="inlineStr">
        <is>
          <t>South Florida Bulls</t>
        </is>
      </c>
      <c r="AS47" s="24" t="inlineStr">
        <is>
          <t>Army Black Knights</t>
        </is>
      </c>
      <c r="AT47" s="24" t="inlineStr">
        <is>
          <t>Army Black Knights</t>
        </is>
      </c>
      <c r="AU47" s="24" t="inlineStr">
        <is>
          <t>Army Black Knights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1d168f11d221cd3c</t>
        </is>
      </c>
      <c r="BB47" s="24" t="inlineStr">
        <is>
          <t>cfb_key_number_engine</t>
        </is>
      </c>
      <c r="BC47" s="24" t="inlineStr">
        <is>
          <t>cfb-total-v1</t>
        </is>
      </c>
      <c r="BD47" s="24" t="inlineStr">
        <is>
          <t>1d168f11d221cd3c</t>
        </is>
      </c>
      <c r="BE47" s="24" t="inlineStr">
        <is>
          <t>cfb-v1</t>
        </is>
      </c>
      <c r="BF47" s="24" t="inlineStr">
        <is>
          <t>1</t>
        </is>
      </c>
      <c r="BG47" s="24" t="inlineStr">
        <is>
          <t>1d168f11d221cd3c</t>
        </is>
      </c>
      <c r="BH47" s="24" t="inlineStr">
        <is>
          <t>2026-09-12T10:07:04.114376+00:00</t>
        </is>
      </c>
      <c r="BI47" s="24" t="inlineStr">
        <is>
          <t>["same_event","same_team_same_day","same_league_same_day"]</t>
        </is>
      </c>
      <c r="BJ47" s="25" t="n">
        <v>46.5</v>
      </c>
      <c r="BK47" s="26" t="n">
        <v>-110</v>
      </c>
      <c r="BL47" s="27" t="n">
        <v>1.909091</v>
      </c>
      <c r="BM47" s="28" t="n">
        <v>0.52381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0.52381</t>
        </is>
      </c>
      <c r="DK47" s="24" t="n"/>
      <c r="DL47" s="24" t="n"/>
      <c r="DM47" s="24" t="n"/>
      <c r="DN47" s="24" t="n"/>
      <c r="DO47" s="24" t="n"/>
      <c r="DP47" s="24" t="n"/>
      <c r="DQ47" s="24" t="inlineStr">
        <is>
          <t>{"artifact_hash": "1d168f11d221cd3c", "event_id": "401862702", "event_start_utc": "2026-09-12T16:00Z", "features": {"altitude_fatigue_penalty": 0.0, "away_team": "South Florida Bulls", "efficiency_gap": 0.0, "elo_away": 1657.2, "elo_home": 1644.4, "elo_home_win_prob": 0.5745, "event_id": "401862702", "game_start_utc": "2026-09-12T16:00Z", "home_field_advantage_points": 2.8, "home_team": "Army Black Knights", "is_dome": false, "is_fbs_vs_fcs": false, "is_neutral_site": false, "projected_away_points": 25.8, "projected_home_points": 27.9, "projected_margin_home": 2.1, "projected_possessions": 12.4, "projected_total": 53.7, "stadium_elevation_ft": 310, "travel_distance_miles": 1045.0, "uncertainty": 0.18, "weather_total_adjustment": 0.0}, "historical_source_observation_times_verified": false, "inference_inputs": {"engine_source_sha256": "449ba2f0e86fa9c445730076a0e0bf100fb4914620be53c75c6f3bfe24298f3f", "mu_away": 25.8, "mu_home": 27.9,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189885434171548732204775855012748938675}, "uinteger": 0}, "spread_home_line": -3.5, "total_line": 46.5}, "market_type": "total", "model_version": "cfb-total-v1", "observed_at_utc": "2026-09-12T10:07:04.114376+00:00", "probabilities": {"over": 0.619867, "push": 0.0, "under": 0.380133}, "replay_scope": "Full precision score means, exact engine parameters and original RNG state; upstream feature construction not certified.", "schema": "cfb-joint-replay-v1", "snapshot_hash": "6e25140db32719bd855293a9557a2039e268d8a38809ddad5d5f1b30dbabf9af", "sport": "NCAAF"}</t>
        </is>
      </c>
    </row>
    <row r="48" ht="36" customHeight="1">
      <c r="A48" s="24" t="inlineStr">
        <is>
          <t>f52931ca126845f0</t>
        </is>
      </c>
      <c r="B48" s="24" t="inlineStr">
        <is>
          <t>2026-09-12T10:07:04.114376Z</t>
        </is>
      </c>
      <c r="C48" s="24" t="inlineStr">
        <is>
          <t>2026-09-12T16:00Z</t>
        </is>
      </c>
      <c r="D48" s="24" t="inlineStr">
        <is>
          <t>401864571</t>
        </is>
      </c>
      <c r="E48" s="24" t="inlineStr">
        <is>
          <t>NCAAF</t>
        </is>
      </c>
      <c r="F48" s="24" t="inlineStr">
        <is>
          <t>App State Mountaineers</t>
        </is>
      </c>
      <c r="G48" s="24" t="inlineStr">
        <is>
          <t>East Carolina Pirates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espn_consensus</t>
        </is>
      </c>
      <c r="L48" s="26" t="n">
        <v>-265</v>
      </c>
      <c r="M48" s="27" t="n">
        <v>1.377358</v>
      </c>
      <c r="N48" s="28" t="n">
        <v>0.726027</v>
      </c>
      <c r="O48" s="28" t="n">
        <v>0.705304</v>
      </c>
      <c r="P48" s="28" t="n">
        <v>0.18</v>
      </c>
      <c r="Q48" s="28" t="n">
        <v>-0.020723</v>
      </c>
      <c r="R48" s="26" t="n">
        <v>0</v>
      </c>
      <c r="S48" s="29" t="n">
        <v>1</v>
      </c>
      <c r="T48" s="24" t="inlineStr">
        <is>
          <t>college-football-v1</t>
        </is>
      </c>
      <c r="U48" s="24" t="inlineStr">
        <is>
          <t>settled</t>
        </is>
      </c>
      <c r="V48" s="24" t="inlineStr">
        <is>
          <t>loss</t>
        </is>
      </c>
      <c r="W48" s="26" t="n">
        <v>27</v>
      </c>
      <c r="X48" s="26" t="n">
        <v>24</v>
      </c>
      <c r="Y48" s="25" t="n"/>
      <c r="Z48" s="26" t="n"/>
      <c r="AA48" s="28" t="n"/>
      <c r="AB48" s="28" t="n"/>
      <c r="AC48" s="30" t="n">
        <v>-1</v>
      </c>
      <c r="AD48" s="24" t="inlineStr">
        <is>
          <t>2026-09-12T22:00:30.994730Z</t>
        </is>
      </c>
      <c r="AE48" s="31" t="inlineStr">
        <is>
          <t>CFB Joint Model (negative_binomial): proj score App State Mountaineers 22.4 @ East Carolina Pirates 30.7 (Margin +8.4). Possessions: 12.4, HFA: +2.8 pts.</t>
        </is>
      </c>
      <c r="AF48" s="31" t="inlineStr">
        <is>
          <t>College football model; multi-market (moneyline, spread, total).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App State Mountaineers</t>
        </is>
      </c>
      <c r="AQ48" s="24" t="inlineStr">
        <is>
          <t>App State Mountaineers</t>
        </is>
      </c>
      <c r="AR48" s="24" t="inlineStr">
        <is>
          <t>App State Mountaineers</t>
        </is>
      </c>
      <c r="AS48" s="24" t="inlineStr">
        <is>
          <t>East Carolina Pirates</t>
        </is>
      </c>
      <c r="AT48" s="24" t="inlineStr">
        <is>
          <t>East Carolina Pirates</t>
        </is>
      </c>
      <c r="AU48" s="24" t="inlineStr">
        <is>
          <t>East Carolina Pirates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1d168f11d221cd3c</t>
        </is>
      </c>
      <c r="BB48" s="24" t="inlineStr">
        <is>
          <t>cfb_key_number_engine</t>
        </is>
      </c>
      <c r="BC48" s="24" t="inlineStr">
        <is>
          <t>college-football-v1</t>
        </is>
      </c>
      <c r="BD48" s="24" t="inlineStr">
        <is>
          <t>1d168f11d221cd3c</t>
        </is>
      </c>
      <c r="BE48" s="24" t="inlineStr">
        <is>
          <t>cfb-v1</t>
        </is>
      </c>
      <c r="BF48" s="24" t="inlineStr">
        <is>
          <t>1</t>
        </is>
      </c>
      <c r="BG48" s="24" t="inlineStr">
        <is>
          <t>1d168f11d221cd3c</t>
        </is>
      </c>
      <c r="BH48" s="24" t="inlineStr">
        <is>
          <t>2026-09-12T10:07:04.114376+00:00</t>
        </is>
      </c>
      <c r="BI48" s="24" t="inlineStr">
        <is>
          <t>["same_event","same_team_same_day","same_league_same_day"]</t>
        </is>
      </c>
      <c r="BJ48" s="25" t="n"/>
      <c r="BK48" s="26" t="n">
        <v>-265</v>
      </c>
      <c r="BL48" s="27" t="n">
        <v>1.377358</v>
      </c>
      <c r="BM48" s="28" t="n">
        <v>0.726027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>
        <v>1</v>
      </c>
      <c r="BY48" s="27" t="n">
        <v>-1</v>
      </c>
      <c r="BZ48" s="24" t="inlineStr">
        <is>
          <t>2026-09-12T22:00:30.994730Z</t>
        </is>
      </c>
      <c r="CA48" s="31" t="inlineStr">
        <is>
          <t>fixed one-unit hypothetical scoring; no real exposure or execution</t>
        </is>
      </c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0.726027</t>
        </is>
      </c>
      <c r="DK48" s="24" t="n"/>
      <c r="DL48" s="24" t="n"/>
      <c r="DM48" s="24" t="n"/>
      <c r="DN48" s="24" t="n"/>
      <c r="DO48" s="24" t="n"/>
      <c r="DP48" s="24" t="n"/>
      <c r="DQ48" s="24" t="inlineStr">
        <is>
          <t>{"artifact_hash": "1d168f11d221cd3c", "event_id": "401864571", "event_start_utc": "2026-09-12T16:00Z", "features": {"altitude_fatigue_penalty": 0.0, "away_team": "App State Mountaineers", "efficiency_gap": -0.371, "elo_away": 1425.0, "elo_home": 1564.7, "elo_home_win_prob": 0.7647, "event_id": "401864571", "game_start_utc": "2026-09-12T16:00Z", "home_field_advantage_points": 2.8, "home_team": "East Carolina Pirates", "is_dome": false, "is_fbs_vs_fcs": false, "is_neutral_site": false, "projected_away_points": 22.4, "projected_home_points": 30.7, "projected_margin_home": 8.4, "projected_possessions": 12.4, "projected_total": 53.1, "stadium_elevation_ft": 60, "travel_distance_miles": 246.0, "uncertainty": 0.18, "weather_total_adjustment": 0.0}, "historical_source_observation_times_verified": false, "inference_inputs": {"engine_source_sha256": "449ba2f0e86fa9c445730076a0e0bf100fb4914620be53c75c6f3bfe24298f3f", "mu_away": 22.4, "mu_home": 30.7,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275765784897791957591743984635355253446}, "uinteger": 0}, "spread_home_line": -6.5, "total_line": 56.5}, "market_type": "moneyline", "model_version": "college-football-v1", "observed_at_utc": "2026-09-12T10:07:04.114376+00:00", "probabilities": {"away": 0.294696, "home": 0.705304}, "replay_scope": "Full precision score means, exact engine parameters and original RNG state; upstream feature construction not certified.", "schema": "cfb-joint-replay-v1", "snapshot_hash": "c513253248004c0681b6ccb7aa84c5d7e5dc767627be4bb89081a08eb8311782", "sport": "NCAAF"}</t>
        </is>
      </c>
    </row>
    <row r="49" ht="36" customHeight="1">
      <c r="A49" s="24" t="inlineStr">
        <is>
          <t>9514b35d6cd54ba2</t>
        </is>
      </c>
      <c r="B49" s="24" t="inlineStr">
        <is>
          <t>2026-09-12T10:07:04.114376Z</t>
        </is>
      </c>
      <c r="C49" s="24" t="inlineStr">
        <is>
          <t>2026-09-12T16:00Z</t>
        </is>
      </c>
      <c r="D49" s="24" t="inlineStr">
        <is>
          <t>401864571</t>
        </is>
      </c>
      <c r="E49" s="24" t="inlineStr">
        <is>
          <t>NCAAF</t>
        </is>
      </c>
      <c r="F49" s="24" t="inlineStr">
        <is>
          <t>App State Mountaineers</t>
        </is>
      </c>
      <c r="G49" s="24" t="inlineStr">
        <is>
          <t>East Carolina Pirates</t>
        </is>
      </c>
      <c r="H49" s="24" t="inlineStr">
        <is>
          <t>spread</t>
        </is>
      </c>
      <c r="I49" s="24" t="inlineStr">
        <is>
          <t>home</t>
        </is>
      </c>
      <c r="J49" s="25" t="n">
        <v>-6.5</v>
      </c>
      <c r="K49" s="24" t="inlineStr">
        <is>
          <t>espn_consensus</t>
        </is>
      </c>
      <c r="L49" s="26" t="n">
        <v>-112</v>
      </c>
      <c r="M49" s="27" t="n">
        <v>1.892857</v>
      </c>
      <c r="N49" s="28" t="n">
        <v>0.528302</v>
      </c>
      <c r="O49" s="28" t="n">
        <v>0.551333</v>
      </c>
      <c r="P49" s="28" t="n">
        <v>0.18</v>
      </c>
      <c r="Q49" s="28" t="n">
        <v>0.023031</v>
      </c>
      <c r="R49" s="26" t="n">
        <v>0</v>
      </c>
      <c r="S49" s="29" t="n">
        <v>1</v>
      </c>
      <c r="T49" s="24" t="inlineStr">
        <is>
          <t>cfb-spread-v1</t>
        </is>
      </c>
      <c r="U49" s="24" t="inlineStr">
        <is>
          <t>settled</t>
        </is>
      </c>
      <c r="V49" s="24" t="inlineStr">
        <is>
          <t>loss</t>
        </is>
      </c>
      <c r="W49" s="26" t="n">
        <v>27</v>
      </c>
      <c r="X49" s="26" t="n">
        <v>24</v>
      </c>
      <c r="Y49" s="25" t="n"/>
      <c r="Z49" s="26" t="n"/>
      <c r="AA49" s="28" t="n"/>
      <c r="AB49" s="28" t="n"/>
      <c r="AC49" s="30" t="n">
        <v>-1</v>
      </c>
      <c r="AD49" s="24" t="inlineStr">
        <is>
          <t>2026-09-12T22:00:31.324436Z</t>
        </is>
      </c>
      <c r="AE49" s="31" t="inlineStr">
        <is>
          <t>Projected home margin +8.4 pts. Spread: Home -6.5 / Away +6.5 -&gt; P(Away cover)=0.449, P(Home cover)=0.551, P(Push)=0.000.</t>
        </is>
      </c>
      <c r="AF49" s="31" t="inlineStr">
        <is>
          <t>College football model; multi-market (moneyline, spread, total).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App State Mountaineers</t>
        </is>
      </c>
      <c r="AQ49" s="24" t="inlineStr">
        <is>
          <t>App State Mountaineers</t>
        </is>
      </c>
      <c r="AR49" s="24" t="inlineStr">
        <is>
          <t>App State Mountaineers</t>
        </is>
      </c>
      <c r="AS49" s="24" t="inlineStr">
        <is>
          <t>East Carolina Pirates</t>
        </is>
      </c>
      <c r="AT49" s="24" t="inlineStr">
        <is>
          <t>East Carolina Pirates</t>
        </is>
      </c>
      <c r="AU49" s="24" t="inlineStr">
        <is>
          <t>East Carolina Pirates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1d168f11d221cd3c</t>
        </is>
      </c>
      <c r="BB49" s="24" t="inlineStr">
        <is>
          <t>cfb_key_number_engine</t>
        </is>
      </c>
      <c r="BC49" s="24" t="inlineStr">
        <is>
          <t>cfb-spread-v1</t>
        </is>
      </c>
      <c r="BD49" s="24" t="inlineStr">
        <is>
          <t>1d168f11d221cd3c</t>
        </is>
      </c>
      <c r="BE49" s="24" t="inlineStr">
        <is>
          <t>cfb-v1</t>
        </is>
      </c>
      <c r="BF49" s="24" t="inlineStr">
        <is>
          <t>1</t>
        </is>
      </c>
      <c r="BG49" s="24" t="inlineStr">
        <is>
          <t>1d168f11d221cd3c</t>
        </is>
      </c>
      <c r="BH49" s="24" t="inlineStr">
        <is>
          <t>2026-09-12T10:07:04.114376+00:00</t>
        </is>
      </c>
      <c r="BI49" s="24" t="inlineStr">
        <is>
          <t>["same_event","same_team_same_day","same_league_same_day"]</t>
        </is>
      </c>
      <c r="BJ49" s="25" t="n">
        <v>-6.5</v>
      </c>
      <c r="BK49" s="26" t="n">
        <v>-112</v>
      </c>
      <c r="BL49" s="27" t="n">
        <v>1.892857</v>
      </c>
      <c r="BM49" s="28" t="n">
        <v>0.528302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>
        <v>1</v>
      </c>
      <c r="BY49" s="27" t="n">
        <v>-1</v>
      </c>
      <c r="BZ49" s="24" t="inlineStr">
        <is>
          <t>2026-09-12T22:00:31.324436Z</t>
        </is>
      </c>
      <c r="CA49" s="31" t="inlineStr">
        <is>
          <t>fixed one-unit hypothetical scoring; no real exposure or execution</t>
        </is>
      </c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0.528302</t>
        </is>
      </c>
      <c r="DK49" s="24" t="n"/>
      <c r="DL49" s="24" t="n"/>
      <c r="DM49" s="24" t="n"/>
      <c r="DN49" s="24" t="n"/>
      <c r="DO49" s="24" t="n"/>
      <c r="DP49" s="24" t="n"/>
      <c r="DQ49" s="24" t="inlineStr">
        <is>
          <t>{"artifact_hash": "1d168f11d221cd3c", "event_id": "401864571", "event_start_utc": "2026-09-12T16:00Z", "features": {"altitude_fatigue_penalty": 0.0, "away_team": "App State Mountaineers", "efficiency_gap": -0.371, "elo_away": 1425.0, "elo_home": 1564.7, "elo_home_win_prob": 0.7647, "event_id": "401864571", "game_start_utc": "2026-09-12T16:00Z", "home_field_advantage_points": 2.8, "home_team": "East Carolina Pirates", "is_dome": false, "is_fbs_vs_fcs": false, "is_neutral_site": false, "projected_away_points": 22.4, "projected_home_points": 30.7, "projected_margin_home": 8.4, "projected_possessions": 12.4, "projected_total": 53.1, "stadium_elevation_ft": 60, "travel_distance_miles": 246.0, "uncertainty": 0.18, "weather_total_adjustment": 0.0}, "historical_source_observation_times_verified": false, "inference_inputs": {"engine_source_sha256": "449ba2f0e86fa9c445730076a0e0bf100fb4914620be53c75c6f3bfe24298f3f", "mu_away": 22.4, "mu_home": 30.7,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275765784897791957591743984635355253446}, "uinteger": 0}, "spread_home_line": -6.5, "total_line": 56.5}, "market_type": "spread", "model_version": "cfb-spread-v1", "observed_at_utc": "2026-09-12T10:07:04.114376+00:00", "probabilities": {"away": 0.448667, "home": 0.551333, "push": 0.0}, "replay_scope": "Full precision score means, exact engine parameters and original RNG state; upstream feature construction not certified.", "schema": "cfb-joint-replay-v1", "snapshot_hash": "3bf49f4022b34e781e00727f81ed347e98bfbe9e2740ca5430c454f6993a0269", "sport": "NCAAF"}</t>
        </is>
      </c>
    </row>
    <row r="50" ht="36" customHeight="1">
      <c r="A50" s="24" t="inlineStr">
        <is>
          <t>34fcd1d7005e4ca2</t>
        </is>
      </c>
      <c r="B50" s="24" t="inlineStr">
        <is>
          <t>2026-09-12T10:07:04.114376Z</t>
        </is>
      </c>
      <c r="C50" s="24" t="inlineStr">
        <is>
          <t>2026-09-12T16:00Z</t>
        </is>
      </c>
      <c r="D50" s="24" t="inlineStr">
        <is>
          <t>401864571</t>
        </is>
      </c>
      <c r="E50" s="24" t="inlineStr">
        <is>
          <t>NCAAF</t>
        </is>
      </c>
      <c r="F50" s="24" t="inlineStr">
        <is>
          <t>App State Mountaineers</t>
        </is>
      </c>
      <c r="G50" s="24" t="inlineStr">
        <is>
          <t>East Carolina Pirates</t>
        </is>
      </c>
      <c r="H50" s="24" t="inlineStr">
        <is>
          <t>total</t>
        </is>
      </c>
      <c r="I50" s="24" t="inlineStr">
        <is>
          <t>under</t>
        </is>
      </c>
      <c r="J50" s="25" t="n">
        <v>56.5</v>
      </c>
      <c r="K50" s="24" t="inlineStr">
        <is>
          <t>espn_consensus</t>
        </is>
      </c>
      <c r="L50" s="26" t="n">
        <v>-112</v>
      </c>
      <c r="M50" s="27" t="n">
        <v>1.892857</v>
      </c>
      <c r="N50" s="28" t="n">
        <v>0.528302</v>
      </c>
      <c r="O50" s="28" t="n">
        <v>0.586</v>
      </c>
      <c r="P50" s="28" t="n">
        <v>0.18</v>
      </c>
      <c r="Q50" s="28" t="n">
        <v>0.057698</v>
      </c>
      <c r="R50" s="26" t="n">
        <v>0</v>
      </c>
      <c r="S50" s="29" t="n">
        <v>1</v>
      </c>
      <c r="T50" s="24" t="inlineStr">
        <is>
          <t>cfb-total-v1</t>
        </is>
      </c>
      <c r="U50" s="24" t="inlineStr">
        <is>
          <t>settled</t>
        </is>
      </c>
      <c r="V50" s="24" t="inlineStr">
        <is>
          <t>win</t>
        </is>
      </c>
      <c r="W50" s="26" t="n">
        <v>27</v>
      </c>
      <c r="X50" s="26" t="n">
        <v>24</v>
      </c>
      <c r="Y50" s="25" t="n"/>
      <c r="Z50" s="26" t="n"/>
      <c r="AA50" s="28" t="n"/>
      <c r="AB50" s="28" t="n"/>
      <c r="AC50" s="30" t="n">
        <v>0.8929</v>
      </c>
      <c r="AD50" s="24" t="inlineStr">
        <is>
          <t>2026-09-12T22:00:31.734955Z</t>
        </is>
      </c>
      <c r="AE50" s="31" t="inlineStr">
        <is>
          <t>Projected total 53.1 pts (Weather adj: +0.0 pts). Total line 56.5 -&gt; P(Over)=0.414, P(Under)=0.586, P(Push)=0.000.</t>
        </is>
      </c>
      <c r="AF50" s="31" t="inlineStr">
        <is>
          <t>College football model; multi-market (moneyline, spread, total).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4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App State Mountaineers</t>
        </is>
      </c>
      <c r="AQ50" s="24" t="inlineStr">
        <is>
          <t>App State Mountaineers</t>
        </is>
      </c>
      <c r="AR50" s="24" t="inlineStr">
        <is>
          <t>App State Mountaineers</t>
        </is>
      </c>
      <c r="AS50" s="24" t="inlineStr">
        <is>
          <t>East Carolina Pirates</t>
        </is>
      </c>
      <c r="AT50" s="24" t="inlineStr">
        <is>
          <t>East Carolina Pirates</t>
        </is>
      </c>
      <c r="AU50" s="24" t="inlineStr">
        <is>
          <t>East Carolina Pirates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1d168f11d221cd3c</t>
        </is>
      </c>
      <c r="BB50" s="24" t="inlineStr">
        <is>
          <t>cfb_key_number_engine</t>
        </is>
      </c>
      <c r="BC50" s="24" t="inlineStr">
        <is>
          <t>cfb-total-v1</t>
        </is>
      </c>
      <c r="BD50" s="24" t="inlineStr">
        <is>
          <t>1d168f11d221cd3c</t>
        </is>
      </c>
      <c r="BE50" s="24" t="inlineStr">
        <is>
          <t>cfb-v1</t>
        </is>
      </c>
      <c r="BF50" s="24" t="inlineStr">
        <is>
          <t>1</t>
        </is>
      </c>
      <c r="BG50" s="24" t="inlineStr">
        <is>
          <t>1d168f11d221cd3c</t>
        </is>
      </c>
      <c r="BH50" s="24" t="inlineStr">
        <is>
          <t>2026-09-12T10:07:04.114376+00:00</t>
        </is>
      </c>
      <c r="BI50" s="24" t="inlineStr">
        <is>
          <t>["same_event","same_team_same_day","same_league_same_day"]</t>
        </is>
      </c>
      <c r="BJ50" s="25" t="n">
        <v>56.5</v>
      </c>
      <c r="BK50" s="26" t="n">
        <v>-112</v>
      </c>
      <c r="BL50" s="27" t="n">
        <v>1.892857</v>
      </c>
      <c r="BM50" s="28" t="n">
        <v>0.528302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0.528302</t>
        </is>
      </c>
      <c r="DK50" s="24" t="n"/>
      <c r="DL50" s="24" t="n"/>
      <c r="DM50" s="24" t="n"/>
      <c r="DN50" s="24" t="n"/>
      <c r="DO50" s="24" t="n"/>
      <c r="DP50" s="24" t="n"/>
      <c r="DQ50" s="24" t="inlineStr">
        <is>
          <t>{"artifact_hash": "1d168f11d221cd3c", "event_id": "401864571", "event_start_utc": "2026-09-12T16:00Z", "features": {"altitude_fatigue_penalty": 0.0, "away_team": "App State Mountaineers", "efficiency_gap": -0.371, "elo_away": 1425.0, "elo_home": 1564.7, "elo_home_win_prob": 0.7647, "event_id": "401864571", "game_start_utc": "2026-09-12T16:00Z", "home_field_advantage_points": 2.8, "home_team": "East Carolina Pirates", "is_dome": false, "is_fbs_vs_fcs": false, "is_neutral_site": false, "projected_away_points": 22.4, "projected_home_points": 30.7, "projected_margin_home": 8.4, "projected_possessions": 12.4, "projected_total": 53.1, "stadium_elevation_ft": 60, "travel_distance_miles": 246.0, "uncertainty": 0.18, "weather_total_adjustment": 0.0}, "historical_source_observation_times_verified": false, "inference_inputs": {"engine_source_sha256": "449ba2f0e86fa9c445730076a0e0bf100fb4914620be53c75c6f3bfe24298f3f", "mu_away": 22.4, "mu_home": 30.7,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275765784897791957591743984635355253446}, "uinteger": 0}, "spread_home_line": -6.5, "total_line": 56.5}, "market_type": "total", "model_version": "cfb-total-v1", "observed_at_utc": "2026-09-12T10:07:04.114376+00:00", "probabilities": {"over": 0.414, "push": 0.0, "under": 0.586}, "replay_scope": "Full precision score means, exact engine parameters and original RNG state; upstream feature construction not certified.", "schema": "cfb-joint-replay-v1", "snapshot_hash": "37d7812c6b8b4a15d1a1d2a2ecf989d1fe2e72e3a269ee87d0fc2a576337e050", "sport": "NCAAF"}</t>
        </is>
      </c>
    </row>
    <row r="51" ht="36" customHeight="1">
      <c r="A51" s="24" t="inlineStr">
        <is>
          <t>7a65b203504c4a1e</t>
        </is>
      </c>
      <c r="B51" s="24" t="inlineStr">
        <is>
          <t>2026-09-12T10:07:04.114376Z</t>
        </is>
      </c>
      <c r="C51" s="24" t="inlineStr">
        <is>
          <t>2026-09-12T16:00Z</t>
        </is>
      </c>
      <c r="D51" s="24" t="inlineStr">
        <is>
          <t>401866416</t>
        </is>
      </c>
      <c r="E51" s="24" t="inlineStr">
        <is>
          <t>NCAAF</t>
        </is>
      </c>
      <c r="F51" s="24" t="inlineStr">
        <is>
          <t>Wofford Terriers</t>
        </is>
      </c>
      <c r="G51" s="24" t="inlineStr">
        <is>
          <t>Kent State Golden Flashes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espn_consensus</t>
        </is>
      </c>
      <c r="L51" s="26" t="n">
        <v>-470</v>
      </c>
      <c r="M51" s="27" t="n">
        <v>1.212766</v>
      </c>
      <c r="N51" s="28" t="n">
        <v>0.824561</v>
      </c>
      <c r="O51" s="28" t="n">
        <v>0.506752</v>
      </c>
      <c r="P51" s="28" t="n">
        <v>0.18</v>
      </c>
      <c r="Q51" s="28" t="n">
        <v>-0.317809</v>
      </c>
      <c r="R51" s="26" t="n">
        <v>0</v>
      </c>
      <c r="S51" s="29" t="n">
        <v>1</v>
      </c>
      <c r="T51" s="24" t="inlineStr">
        <is>
          <t>college-football-v1</t>
        </is>
      </c>
      <c r="U51" s="24" t="inlineStr">
        <is>
          <t>settled</t>
        </is>
      </c>
      <c r="V51" s="24" t="inlineStr">
        <is>
          <t>win</t>
        </is>
      </c>
      <c r="W51" s="26" t="n">
        <v>15</v>
      </c>
      <c r="X51" s="26" t="n">
        <v>36</v>
      </c>
      <c r="Y51" s="25" t="n"/>
      <c r="Z51" s="26" t="n"/>
      <c r="AA51" s="28" t="n"/>
      <c r="AB51" s="28" t="n"/>
      <c r="AC51" s="30" t="n">
        <v>0.2128</v>
      </c>
      <c r="AD51" s="24" t="inlineStr">
        <is>
          <t>2026-09-12T22:00:32.098915Z</t>
        </is>
      </c>
      <c r="AE51" s="31" t="inlineStr">
        <is>
          <t>CFB Joint Model (negative_binomial): proj score Wofford Terriers 25.9 @ Kent State Golden Flashes 26.1 (Margin +0.2). Possessions: 12.4, HFA: +2.8 pts.</t>
        </is>
      </c>
      <c r="AF51" s="31" t="inlineStr">
        <is>
          <t>College football model; multi-market (moneyline, spread, total).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paper_call</t>
        </is>
      </c>
      <c r="AL51" s="26" t="n">
        <v>4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Wofford Terriers</t>
        </is>
      </c>
      <c r="AQ51" s="24" t="inlineStr">
        <is>
          <t>Wofford Terriers</t>
        </is>
      </c>
      <c r="AR51" s="24" t="inlineStr">
        <is>
          <t>Wofford Terriers</t>
        </is>
      </c>
      <c r="AS51" s="24" t="inlineStr">
        <is>
          <t>Kent State Golden Flashes</t>
        </is>
      </c>
      <c r="AT51" s="24" t="inlineStr">
        <is>
          <t>Kent State Golden Flashes</t>
        </is>
      </c>
      <c r="AU51" s="24" t="inlineStr">
        <is>
          <t>Kent State Golden Flashes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1d168f11d221cd3c</t>
        </is>
      </c>
      <c r="BB51" s="24" t="inlineStr">
        <is>
          <t>cfb_key_number_engine</t>
        </is>
      </c>
      <c r="BC51" s="24" t="inlineStr">
        <is>
          <t>college-football-v1</t>
        </is>
      </c>
      <c r="BD51" s="24" t="inlineStr">
        <is>
          <t>1d168f11d221cd3c</t>
        </is>
      </c>
      <c r="BE51" s="24" t="inlineStr">
        <is>
          <t>cfb-v1</t>
        </is>
      </c>
      <c r="BF51" s="24" t="inlineStr">
        <is>
          <t>1</t>
        </is>
      </c>
      <c r="BG51" s="24" t="inlineStr">
        <is>
          <t>1d168f11d221cd3c</t>
        </is>
      </c>
      <c r="BH51" s="24" t="inlineStr">
        <is>
          <t>2026-09-12T10:07:04.114376+00:00</t>
        </is>
      </c>
      <c r="BI51" s="24" t="inlineStr">
        <is>
          <t>["same_event","same_team_same_day","same_league_same_day"]</t>
        </is>
      </c>
      <c r="BJ51" s="25" t="n"/>
      <c r="BK51" s="26" t="n">
        <v>-470</v>
      </c>
      <c r="BL51" s="27" t="n">
        <v>1.212766</v>
      </c>
      <c r="BM51" s="28" t="n">
        <v>0.824561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>
        <v>1</v>
      </c>
      <c r="BY51" s="27" t="n">
        <v>0.212766</v>
      </c>
      <c r="BZ51" s="24" t="inlineStr">
        <is>
          <t>2026-09-12T22:00:32.098915Z</t>
        </is>
      </c>
      <c r="CA51" s="31" t="inlineStr">
        <is>
          <t>fixed one-unit hypothetical scoring; no real exposure or execution</t>
        </is>
      </c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0.824561</t>
        </is>
      </c>
      <c r="DK51" s="24" t="n"/>
      <c r="DL51" s="24" t="n"/>
      <c r="DM51" s="24" t="n"/>
      <c r="DN51" s="24" t="n"/>
      <c r="DO51" s="24" t="n"/>
      <c r="DP51" s="24" t="n"/>
      <c r="DQ51" s="24" t="inlineStr">
        <is>
          <t>{"artifact_hash": "1d168f11d221cd3c", "event_id": "401866416", "event_start_utc": "2026-09-12T16:00Z", "features": {"altitude_fatigue_penalty": 0.0, "away_team": "Wofford Terriers", "efficiency_gap": -0.896, "elo_away": 1337.5, "elo_home": 1278.2, "elo_home_win_prob": 0.5083, "event_id": "401866416", "game_start_utc": "2026-09-12T16:00Z", "home_field_advantage_points": 2.8, "home_team": "Kent State Golden Flashes", "is_dome": false, "is_fbs_vs_fcs": false, "is_neutral_site": false, "projected_away_points": 25.9, "projected_home_points": 26.1, "projected_margin_home": 0.2,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25.9, "mu_home": 26.1,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284063393856503248082172432837243321706}, "uinteger": 0}, "spread_home_line": -10.5, "total_line": 47.5}, "market_type": "moneyline", "model_version": "college-football-v1", "observed_at_utc": "2026-09-12T10:07:04.114376+00:00", "probabilities": {"away": 0.493248, "home": 0.506752}, "replay_scope": "Full precision score means, exact engine parameters and original RNG state; upstream feature construction not certified.", "schema": "cfb-joint-replay-v1", "snapshot_hash": "94e167203e1a57c568b6bea8d00699fb8ca2d8f7b9dd6eae7d389e167bf5c558", "sport": "NCAAF"}</t>
        </is>
      </c>
    </row>
    <row r="52" ht="36" customHeight="1">
      <c r="A52" s="24" t="inlineStr">
        <is>
          <t>e53c34959de54be8</t>
        </is>
      </c>
      <c r="B52" s="24" t="inlineStr">
        <is>
          <t>2026-09-12T10:07:04.114376Z</t>
        </is>
      </c>
      <c r="C52" s="24" t="inlineStr">
        <is>
          <t>2026-09-12T16:00Z</t>
        </is>
      </c>
      <c r="D52" s="24" t="inlineStr">
        <is>
          <t>401866416</t>
        </is>
      </c>
      <c r="E52" s="24" t="inlineStr">
        <is>
          <t>NCAAF</t>
        </is>
      </c>
      <c r="F52" s="24" t="inlineStr">
        <is>
          <t>Wofford Terriers</t>
        </is>
      </c>
      <c r="G52" s="24" t="inlineStr">
        <is>
          <t>Kent State Golden Flashes</t>
        </is>
      </c>
      <c r="H52" s="24" t="inlineStr">
        <is>
          <t>spread</t>
        </is>
      </c>
      <c r="I52" s="24" t="inlineStr">
        <is>
          <t>away</t>
        </is>
      </c>
      <c r="J52" s="25" t="n">
        <v>10.5</v>
      </c>
      <c r="K52" s="24" t="inlineStr">
        <is>
          <t>espn_consensus</t>
        </is>
      </c>
      <c r="L52" s="26" t="n">
        <v>-112</v>
      </c>
      <c r="M52" s="27" t="n">
        <v>1.892857</v>
      </c>
      <c r="N52" s="28" t="n">
        <v>0.528302</v>
      </c>
      <c r="O52" s="28" t="n">
        <v>0.7364000000000001</v>
      </c>
      <c r="P52" s="28" t="n">
        <v>0.18</v>
      </c>
      <c r="Q52" s="28" t="n">
        <v>0.208098</v>
      </c>
      <c r="R52" s="26" t="n">
        <v>46</v>
      </c>
      <c r="S52" s="29" t="n">
        <v>1.25</v>
      </c>
      <c r="T52" s="24" t="inlineStr">
        <is>
          <t>cfb-spread-v1</t>
        </is>
      </c>
      <c r="U52" s="24" t="inlineStr">
        <is>
          <t>settled</t>
        </is>
      </c>
      <c r="V52" s="24" t="inlineStr">
        <is>
          <t>loss</t>
        </is>
      </c>
      <c r="W52" s="26" t="n">
        <v>15</v>
      </c>
      <c r="X52" s="26" t="n">
        <v>36</v>
      </c>
      <c r="Y52" s="25" t="n"/>
      <c r="Z52" s="26" t="n"/>
      <c r="AA52" s="28" t="n"/>
      <c r="AB52" s="28" t="n"/>
      <c r="AC52" s="30" t="n">
        <v>-1.25</v>
      </c>
      <c r="AD52" s="24" t="inlineStr">
        <is>
          <t>2026-09-12T22:00:32.412198Z</t>
        </is>
      </c>
      <c r="AE52" s="31" t="inlineStr">
        <is>
          <t>Projected home margin +0.2 pts. Spread: Home -10.5 / Away +10.5 -&gt; P(Away cover)=0.736, P(Home cover)=0.264, P(Push)=0.000.</t>
        </is>
      </c>
      <c r="AF52" s="31" t="inlineStr">
        <is>
          <t>College football model; multi-market (moneyline, spread, total).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4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Wofford Terriers</t>
        </is>
      </c>
      <c r="AQ52" s="24" t="inlineStr">
        <is>
          <t>Wofford Terriers</t>
        </is>
      </c>
      <c r="AR52" s="24" t="inlineStr">
        <is>
          <t>Wofford Terriers</t>
        </is>
      </c>
      <c r="AS52" s="24" t="inlineStr">
        <is>
          <t>Kent State Golden Flashes</t>
        </is>
      </c>
      <c r="AT52" s="24" t="inlineStr">
        <is>
          <t>Kent State Golden Flashes</t>
        </is>
      </c>
      <c r="AU52" s="24" t="inlineStr">
        <is>
          <t>Kent State Golden Flashes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1d168f11d221cd3c</t>
        </is>
      </c>
      <c r="BB52" s="24" t="inlineStr">
        <is>
          <t>cfb_key_number_engine</t>
        </is>
      </c>
      <c r="BC52" s="24" t="inlineStr">
        <is>
          <t>cfb-spread-v1</t>
        </is>
      </c>
      <c r="BD52" s="24" t="inlineStr">
        <is>
          <t>1d168f11d221cd3c</t>
        </is>
      </c>
      <c r="BE52" s="24" t="inlineStr">
        <is>
          <t>cfb-v1</t>
        </is>
      </c>
      <c r="BF52" s="24" t="inlineStr">
        <is>
          <t>1</t>
        </is>
      </c>
      <c r="BG52" s="24" t="inlineStr">
        <is>
          <t>1d168f11d221cd3c</t>
        </is>
      </c>
      <c r="BH52" s="24" t="inlineStr">
        <is>
          <t>2026-09-12T10:07:04.114376+00:00</t>
        </is>
      </c>
      <c r="BI52" s="24" t="inlineStr">
        <is>
          <t>["same_event","same_team_same_day","same_league_same_day"]</t>
        </is>
      </c>
      <c r="BJ52" s="25" t="n">
        <v>10.5</v>
      </c>
      <c r="BK52" s="26" t="n">
        <v>-112</v>
      </c>
      <c r="BL52" s="27" t="n">
        <v>1.892857</v>
      </c>
      <c r="BM52" s="28" t="n">
        <v>0.528302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0.528302</t>
        </is>
      </c>
      <c r="DK52" s="24" t="n"/>
      <c r="DL52" s="24" t="n"/>
      <c r="DM52" s="24" t="n"/>
      <c r="DN52" s="24" t="n"/>
      <c r="DO52" s="24" t="n"/>
      <c r="DP52" s="24" t="n"/>
      <c r="DQ52" s="24" t="inlineStr">
        <is>
          <t>{"artifact_hash": "1d168f11d221cd3c", "event_id": "401866416", "event_start_utc": "2026-09-12T16:00Z", "features": {"altitude_fatigue_penalty": 0.0, "away_team": "Wofford Terriers", "efficiency_gap": -0.896, "elo_away": 1337.5, "elo_home": 1278.2, "elo_home_win_prob": 0.5083, "event_id": "401866416", "game_start_utc": "2026-09-12T16:00Z", "home_field_advantage_points": 2.8, "home_team": "Kent State Golden Flashes", "is_dome": false, "is_fbs_vs_fcs": false, "is_neutral_site": false, "projected_away_points": 25.9, "projected_home_points": 26.1, "projected_margin_home": 0.2,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25.9, "mu_home": 26.1,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284063393856503248082172432837243321706}, "uinteger": 0}, "spread_home_line": -10.5, "total_line": 47.5}, "market_type": "spread", "model_version": "cfb-spread-v1", "observed_at_utc": "2026-09-12T10:07:04.114376+00:00", "probabilities": {"away": 0.7364, "home": 0.2636, "push": 0.0}, "replay_scope": "Full precision score means, exact engine parameters and original RNG state; upstream feature construction not certified.", "schema": "cfb-joint-replay-v1", "snapshot_hash": "68413b12b52d89ebb71db4b935b1f04f4abf31162551fcd435b1314bc050ad13", "sport": "NCAAF"}</t>
        </is>
      </c>
    </row>
    <row r="53" ht="36" customHeight="1">
      <c r="A53" s="24" t="inlineStr">
        <is>
          <t>8283cf902684407b</t>
        </is>
      </c>
      <c r="B53" s="24" t="inlineStr">
        <is>
          <t>2026-09-12T10:07:04.114376Z</t>
        </is>
      </c>
      <c r="C53" s="24" t="inlineStr">
        <is>
          <t>2026-09-12T16:00Z</t>
        </is>
      </c>
      <c r="D53" s="24" t="inlineStr">
        <is>
          <t>401866416</t>
        </is>
      </c>
      <c r="E53" s="24" t="inlineStr">
        <is>
          <t>NCAAF</t>
        </is>
      </c>
      <c r="F53" s="24" t="inlineStr">
        <is>
          <t>Wofford Terriers</t>
        </is>
      </c>
      <c r="G53" s="24" t="inlineStr">
        <is>
          <t>Kent State Golden Flashes</t>
        </is>
      </c>
      <c r="H53" s="24" t="inlineStr">
        <is>
          <t>total</t>
        </is>
      </c>
      <c r="I53" s="24" t="inlineStr">
        <is>
          <t>over</t>
        </is>
      </c>
      <c r="J53" s="25" t="n">
        <v>47.5</v>
      </c>
      <c r="K53" s="24" t="inlineStr">
        <is>
          <t>espn_consensus</t>
        </is>
      </c>
      <c r="L53" s="26" t="n">
        <v>-108</v>
      </c>
      <c r="M53" s="27" t="n">
        <v>1.925926</v>
      </c>
      <c r="N53" s="28" t="n">
        <v>0.519231</v>
      </c>
      <c r="O53" s="28" t="n">
        <v>0.5686</v>
      </c>
      <c r="P53" s="28" t="n">
        <v>0.18</v>
      </c>
      <c r="Q53" s="28" t="n">
        <v>0.049369</v>
      </c>
      <c r="R53" s="26" t="n">
        <v>0</v>
      </c>
      <c r="S53" s="29" t="n">
        <v>1</v>
      </c>
      <c r="T53" s="24" t="inlineStr">
        <is>
          <t>cfb-total-v1</t>
        </is>
      </c>
      <c r="U53" s="24" t="inlineStr">
        <is>
          <t>settled</t>
        </is>
      </c>
      <c r="V53" s="24" t="inlineStr">
        <is>
          <t>win</t>
        </is>
      </c>
      <c r="W53" s="26" t="n">
        <v>15</v>
      </c>
      <c r="X53" s="26" t="n">
        <v>36</v>
      </c>
      <c r="Y53" s="25" t="n"/>
      <c r="Z53" s="26" t="n"/>
      <c r="AA53" s="28" t="n"/>
      <c r="AB53" s="28" t="n"/>
      <c r="AC53" s="30" t="n">
        <v>0.9258999999999999</v>
      </c>
      <c r="AD53" s="24" t="inlineStr">
        <is>
          <t>2026-09-12T22:00:32.760039Z</t>
        </is>
      </c>
      <c r="AE53" s="31" t="inlineStr">
        <is>
          <t>Projected total 52.0 pts (Weather adj: +0.0 pts). Total line 47.5 -&gt; P(Over)=0.569, P(Under)=0.431, P(Push)=0.000.</t>
        </is>
      </c>
      <c r="AF53" s="31" t="inlineStr">
        <is>
          <t>College football model; multi-market (moneyline, spread, total).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4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Wofford Terriers</t>
        </is>
      </c>
      <c r="AQ53" s="24" t="inlineStr">
        <is>
          <t>Wofford Terriers</t>
        </is>
      </c>
      <c r="AR53" s="24" t="inlineStr">
        <is>
          <t>Wofford Terriers</t>
        </is>
      </c>
      <c r="AS53" s="24" t="inlineStr">
        <is>
          <t>Kent State Golden Flashes</t>
        </is>
      </c>
      <c r="AT53" s="24" t="inlineStr">
        <is>
          <t>Kent State Golden Flashes</t>
        </is>
      </c>
      <c r="AU53" s="24" t="inlineStr">
        <is>
          <t>Kent State Golden Flashes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1d168f11d221cd3c</t>
        </is>
      </c>
      <c r="BB53" s="24" t="inlineStr">
        <is>
          <t>cfb_key_number_engine</t>
        </is>
      </c>
      <c r="BC53" s="24" t="inlineStr">
        <is>
          <t>cfb-total-v1</t>
        </is>
      </c>
      <c r="BD53" s="24" t="inlineStr">
        <is>
          <t>1d168f11d221cd3c</t>
        </is>
      </c>
      <c r="BE53" s="24" t="inlineStr">
        <is>
          <t>cfb-v1</t>
        </is>
      </c>
      <c r="BF53" s="24" t="inlineStr">
        <is>
          <t>1</t>
        </is>
      </c>
      <c r="BG53" s="24" t="inlineStr">
        <is>
          <t>1d168f11d221cd3c</t>
        </is>
      </c>
      <c r="BH53" s="24" t="inlineStr">
        <is>
          <t>2026-09-12T10:07:04.114376+00:00</t>
        </is>
      </c>
      <c r="BI53" s="24" t="inlineStr">
        <is>
          <t>["same_event","same_team_same_day","same_league_same_day"]</t>
        </is>
      </c>
      <c r="BJ53" s="25" t="n">
        <v>47.5</v>
      </c>
      <c r="BK53" s="26" t="n">
        <v>-108</v>
      </c>
      <c r="BL53" s="27" t="n">
        <v>1.925926</v>
      </c>
      <c r="BM53" s="28" t="n">
        <v>0.519231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0.519231</t>
        </is>
      </c>
      <c r="DK53" s="24" t="n"/>
      <c r="DL53" s="24" t="n"/>
      <c r="DM53" s="24" t="n"/>
      <c r="DN53" s="24" t="n"/>
      <c r="DO53" s="24" t="n"/>
      <c r="DP53" s="24" t="n"/>
      <c r="DQ53" s="24" t="inlineStr">
        <is>
          <t>{"artifact_hash": "1d168f11d221cd3c", "event_id": "401866416", "event_start_utc": "2026-09-12T16:00Z", "features": {"altitude_fatigue_penalty": 0.0, "away_team": "Wofford Terriers", "efficiency_gap": -0.896, "elo_away": 1337.5, "elo_home": 1278.2, "elo_home_win_prob": 0.5083, "event_id": "401866416", "game_start_utc": "2026-09-12T16:00Z", "home_field_advantage_points": 2.8, "home_team": "Kent State Golden Flashes", "is_dome": false, "is_fbs_vs_fcs": false, "is_neutral_site": false, "projected_away_points": 25.9, "projected_home_points": 26.1, "projected_margin_home": 0.2,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25.9, "mu_home": 26.1,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284063393856503248082172432837243321706}, "uinteger": 0}, "spread_home_line": -10.5, "total_line": 47.5}, "market_type": "total", "model_version": "cfb-total-v1", "observed_at_utc": "2026-09-12T10:07:04.114376+00:00", "probabilities": {"over": 0.5686, "push": 0.0, "under": 0.4314}, "replay_scope": "Full precision score means, exact engine parameters and original RNG state; upstream feature construction not certified.", "schema": "cfb-joint-replay-v1", "snapshot_hash": "8ee31c85f51ef612e2116c915ea1f0bae5c0b8b046605b3df2cb299645b0d573", "sport": "NCAAF"}</t>
        </is>
      </c>
    </row>
    <row r="54" ht="36" customHeight="1">
      <c r="A54" s="24" t="inlineStr">
        <is>
          <t>118d5a49a5e34180</t>
        </is>
      </c>
      <c r="B54" s="24" t="inlineStr">
        <is>
          <t>2026-09-12T10:07:04.114376Z</t>
        </is>
      </c>
      <c r="C54" s="24" t="inlineStr">
        <is>
          <t>2026-09-12T16:00Z</t>
        </is>
      </c>
      <c r="D54" s="24" t="inlineStr">
        <is>
          <t>401867929</t>
        </is>
      </c>
      <c r="E54" s="24" t="inlineStr">
        <is>
          <t>NCAAF</t>
        </is>
      </c>
      <c r="F54" s="24" t="inlineStr">
        <is>
          <t>Wagner Seahawks</t>
        </is>
      </c>
      <c r="G54" s="24" t="inlineStr">
        <is>
          <t>James Madison Dukes</t>
        </is>
      </c>
      <c r="H54" s="24" t="inlineStr">
        <is>
          <t>spread</t>
        </is>
      </c>
      <c r="I54" s="24" t="inlineStr">
        <is>
          <t>away</t>
        </is>
      </c>
      <c r="J54" s="25" t="n">
        <v>45.5</v>
      </c>
      <c r="K54" s="24" t="inlineStr">
        <is>
          <t>espn_consensus</t>
        </is>
      </c>
      <c r="L54" s="26" t="n">
        <v>-108</v>
      </c>
      <c r="M54" s="27" t="n">
        <v>1.925926</v>
      </c>
      <c r="N54" s="28" t="n">
        <v>0.519231</v>
      </c>
      <c r="O54" s="28" t="n">
        <v>0.9416</v>
      </c>
      <c r="P54" s="28" t="n">
        <v>0.18</v>
      </c>
      <c r="Q54" s="28" t="n">
        <v>0.422369</v>
      </c>
      <c r="R54" s="26" t="n">
        <v>100</v>
      </c>
      <c r="S54" s="29" t="n">
        <v>2</v>
      </c>
      <c r="T54" s="24" t="inlineStr">
        <is>
          <t>cfb-spread-v1</t>
        </is>
      </c>
      <c r="U54" s="24" t="inlineStr">
        <is>
          <t>settled</t>
        </is>
      </c>
      <c r="V54" s="24" t="inlineStr">
        <is>
          <t>loss</t>
        </is>
      </c>
      <c r="W54" s="26" t="n">
        <v>3</v>
      </c>
      <c r="X54" s="26" t="n">
        <v>87</v>
      </c>
      <c r="Y54" s="25" t="n"/>
      <c r="Z54" s="26" t="n"/>
      <c r="AA54" s="28" t="n"/>
      <c r="AB54" s="28" t="n"/>
      <c r="AC54" s="30" t="n">
        <v>-2</v>
      </c>
      <c r="AD54" s="24" t="inlineStr">
        <is>
          <t>2026-09-12T22:00:33.119233Z</t>
        </is>
      </c>
      <c r="AE54" s="31" t="inlineStr">
        <is>
          <t>Projected home margin +20.5 pts. Spread: Home -45.5 / Away +45.5 -&gt; P(Away cover)=0.942, P(Home cover)=0.058, P(Push)=0.000.</t>
        </is>
      </c>
      <c r="AF54" s="31" t="inlineStr">
        <is>
          <t>College football model; multi-market (moneyline, spread, total).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4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Wagner Seahawks</t>
        </is>
      </c>
      <c r="AQ54" s="24" t="inlineStr">
        <is>
          <t>Wagner Seahawks</t>
        </is>
      </c>
      <c r="AR54" s="24" t="inlineStr">
        <is>
          <t>Wagner Seahawks</t>
        </is>
      </c>
      <c r="AS54" s="24" t="inlineStr">
        <is>
          <t>James Madison Dukes</t>
        </is>
      </c>
      <c r="AT54" s="24" t="inlineStr">
        <is>
          <t>James Madison Dukes</t>
        </is>
      </c>
      <c r="AU54" s="24" t="inlineStr">
        <is>
          <t>James Madison Dukes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1d168f11d221cd3c</t>
        </is>
      </c>
      <c r="BB54" s="24" t="inlineStr">
        <is>
          <t>cfb_key_number_engine</t>
        </is>
      </c>
      <c r="BC54" s="24" t="inlineStr">
        <is>
          <t>cfb-spread-v1</t>
        </is>
      </c>
      <c r="BD54" s="24" t="inlineStr">
        <is>
          <t>1d168f11d221cd3c</t>
        </is>
      </c>
      <c r="BE54" s="24" t="inlineStr">
        <is>
          <t>cfb-v1</t>
        </is>
      </c>
      <c r="BF54" s="24" t="inlineStr">
        <is>
          <t>1</t>
        </is>
      </c>
      <c r="BG54" s="24" t="inlineStr">
        <is>
          <t>1d168f11d221cd3c</t>
        </is>
      </c>
      <c r="BH54" s="24" t="inlineStr">
        <is>
          <t>2026-09-12T10:07:04.114376+00:00</t>
        </is>
      </c>
      <c r="BI54" s="24" t="inlineStr">
        <is>
          <t>["same_event","same_team_same_day","same_league_same_day"]</t>
        </is>
      </c>
      <c r="BJ54" s="25" t="n">
        <v>45.5</v>
      </c>
      <c r="BK54" s="26" t="n">
        <v>-108</v>
      </c>
      <c r="BL54" s="27" t="n">
        <v>1.925926</v>
      </c>
      <c r="BM54" s="28" t="n">
        <v>0.519231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0.519231</t>
        </is>
      </c>
      <c r="DK54" s="24" t="n"/>
      <c r="DL54" s="24" t="n"/>
      <c r="DM54" s="24" t="n"/>
      <c r="DN54" s="24" t="n"/>
      <c r="DO54" s="24" t="n"/>
      <c r="DP54" s="24" t="n"/>
      <c r="DQ54" s="24" t="inlineStr">
        <is>
          <t>{"artifact_hash": "1d168f11d221cd3c", "event_id": "401867929", "event_start_utc": "2026-09-12T16:00Z", "features": {"altitude_fatigue_penalty": 0.0, "away_team": "Wagner Seahawks", "efficiency_gap": 0.676, "elo_away": 1337.5, "elo_home": 1774.4, "elo_home_win_prob": 0.9473, "event_id": "401867929", "game_start_utc": "2026-09-12T16:00Z", "home_field_advantage_points": 2.8, "home_team": "James Madison Dukes", "is_dome": false, "is_fbs_vs_fcs": false, "is_neutral_site": false, "projected_away_points": 16.2, "projected_home_points": 36.7, "projected_margin_home": 20.5,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16.2, "mu_home": 36.7,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62937088235116908380283256669578978697}, "uinteger": 0}, "spread_home_line": -45.5, "total_line": 56.5}, "market_type": "spread", "model_version": "cfb-spread-v1", "observed_at_utc": "2026-09-12T10:07:04.114376+00:00", "probabilities": {"away": 0.9416, "home": 0.0584, "push": 0.0}, "replay_scope": "Full precision score means, exact engine parameters and original RNG state; upstream feature construction not certified.", "schema": "cfb-joint-replay-v1", "snapshot_hash": "eb64c47ef4811c1142803beaced8f1a6cdd30392bc4b2883449bf5357227da72", "sport": "NCAAF"}</t>
        </is>
      </c>
    </row>
    <row r="55" ht="36" customHeight="1">
      <c r="A55" s="24" t="inlineStr">
        <is>
          <t>4f829ee3b8f04502</t>
        </is>
      </c>
      <c r="B55" s="24" t="inlineStr">
        <is>
          <t>2026-09-12T10:07:04.114376Z</t>
        </is>
      </c>
      <c r="C55" s="24" t="inlineStr">
        <is>
          <t>2026-09-12T16:00Z</t>
        </is>
      </c>
      <c r="D55" s="24" t="inlineStr">
        <is>
          <t>401867929</t>
        </is>
      </c>
      <c r="E55" s="24" t="inlineStr">
        <is>
          <t>NCAAF</t>
        </is>
      </c>
      <c r="F55" s="24" t="inlineStr">
        <is>
          <t>Wagner Seahawks</t>
        </is>
      </c>
      <c r="G55" s="24" t="inlineStr">
        <is>
          <t>James Madison Dukes</t>
        </is>
      </c>
      <c r="H55" s="24" t="inlineStr">
        <is>
          <t>total</t>
        </is>
      </c>
      <c r="I55" s="24" t="inlineStr">
        <is>
          <t>under</t>
        </is>
      </c>
      <c r="J55" s="25" t="n">
        <v>56.5</v>
      </c>
      <c r="K55" s="24" t="inlineStr">
        <is>
          <t>espn_consensus</t>
        </is>
      </c>
      <c r="L55" s="26" t="n">
        <v>-115</v>
      </c>
      <c r="M55" s="27" t="n">
        <v>1.869565</v>
      </c>
      <c r="N55" s="28" t="n">
        <v>0.534884</v>
      </c>
      <c r="O55" s="28" t="n">
        <v>0.599</v>
      </c>
      <c r="P55" s="28" t="n">
        <v>0.18</v>
      </c>
      <c r="Q55" s="28" t="n">
        <v>0.06411600000000001</v>
      </c>
      <c r="R55" s="26" t="n">
        <v>0</v>
      </c>
      <c r="S55" s="29" t="n">
        <v>1</v>
      </c>
      <c r="T55" s="24" t="inlineStr">
        <is>
          <t>cfb-total-v1</t>
        </is>
      </c>
      <c r="U55" s="24" t="inlineStr">
        <is>
          <t>settled</t>
        </is>
      </c>
      <c r="V55" s="24" t="inlineStr">
        <is>
          <t>loss</t>
        </is>
      </c>
      <c r="W55" s="26" t="n">
        <v>3</v>
      </c>
      <c r="X55" s="26" t="n">
        <v>87</v>
      </c>
      <c r="Y55" s="25" t="n"/>
      <c r="Z55" s="26" t="n"/>
      <c r="AA55" s="28" t="n"/>
      <c r="AB55" s="28" t="n"/>
      <c r="AC55" s="30" t="n">
        <v>-1</v>
      </c>
      <c r="AD55" s="24" t="inlineStr">
        <is>
          <t>2026-09-12T22:00:33.467996Z</t>
        </is>
      </c>
      <c r="AE55" s="31" t="inlineStr">
        <is>
          <t>Projected total 52.8 pts (Weather adj: +0.0 pts). Total line 56.5 -&gt; P(Over)=0.401, P(Under)=0.599, P(Push)=0.000.</t>
        </is>
      </c>
      <c r="AF55" s="31" t="inlineStr">
        <is>
          <t>College football model; multi-market (moneyline, spread, total).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4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Wagner Seahawks</t>
        </is>
      </c>
      <c r="AQ55" s="24" t="inlineStr">
        <is>
          <t>Wagner Seahawks</t>
        </is>
      </c>
      <c r="AR55" s="24" t="inlineStr">
        <is>
          <t>Wagner Seahawks</t>
        </is>
      </c>
      <c r="AS55" s="24" t="inlineStr">
        <is>
          <t>James Madison Dukes</t>
        </is>
      </c>
      <c r="AT55" s="24" t="inlineStr">
        <is>
          <t>James Madison Dukes</t>
        </is>
      </c>
      <c r="AU55" s="24" t="inlineStr">
        <is>
          <t>James Madison Dukes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1d168f11d221cd3c</t>
        </is>
      </c>
      <c r="BB55" s="24" t="inlineStr">
        <is>
          <t>cfb_key_number_engine</t>
        </is>
      </c>
      <c r="BC55" s="24" t="inlineStr">
        <is>
          <t>cfb-total-v1</t>
        </is>
      </c>
      <c r="BD55" s="24" t="inlineStr">
        <is>
          <t>1d168f11d221cd3c</t>
        </is>
      </c>
      <c r="BE55" s="24" t="inlineStr">
        <is>
          <t>cfb-v1</t>
        </is>
      </c>
      <c r="BF55" s="24" t="inlineStr">
        <is>
          <t>1</t>
        </is>
      </c>
      <c r="BG55" s="24" t="inlineStr">
        <is>
          <t>1d168f11d221cd3c</t>
        </is>
      </c>
      <c r="BH55" s="24" t="inlineStr">
        <is>
          <t>2026-09-12T10:07:04.114376+00:00</t>
        </is>
      </c>
      <c r="BI55" s="24" t="inlineStr">
        <is>
          <t>["same_event","same_team_same_day","same_league_same_day"]</t>
        </is>
      </c>
      <c r="BJ55" s="25" t="n">
        <v>56.5</v>
      </c>
      <c r="BK55" s="26" t="n">
        <v>-115</v>
      </c>
      <c r="BL55" s="27" t="n">
        <v>1.869565</v>
      </c>
      <c r="BM55" s="28" t="n">
        <v>0.534884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0.534884</t>
        </is>
      </c>
      <c r="DK55" s="24" t="n"/>
      <c r="DL55" s="24" t="n"/>
      <c r="DM55" s="24" t="n"/>
      <c r="DN55" s="24" t="n"/>
      <c r="DO55" s="24" t="n"/>
      <c r="DP55" s="24" t="n"/>
      <c r="DQ55" s="24" t="inlineStr">
        <is>
          <t>{"artifact_hash": "1d168f11d221cd3c", "event_id": "401867929", "event_start_utc": "2026-09-12T16:00Z", "features": {"altitude_fatigue_penalty": 0.0, "away_team": "Wagner Seahawks", "efficiency_gap": 0.676, "elo_away": 1337.5, "elo_home": 1774.4, "elo_home_win_prob": 0.9473, "event_id": "401867929", "game_start_utc": "2026-09-12T16:00Z", "home_field_advantage_points": 2.8, "home_team": "James Madison Dukes", "is_dome": false, "is_fbs_vs_fcs": false, "is_neutral_site": false, "projected_away_points": 16.2, "projected_home_points": 36.7, "projected_margin_home": 20.5,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16.2, "mu_home": 36.7,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62937088235116908380283256669578978697}, "uinteger": 0}, "spread_home_line": -45.5, "total_line": 56.5}, "market_type": "total", "model_version": "cfb-total-v1", "observed_at_utc": "2026-09-12T10:07:04.114376+00:00", "probabilities": {"over": 0.401, "push": 0.0, "under": 0.599}, "replay_scope": "Full precision score means, exact engine parameters and original RNG state; upstream feature construction not certified.", "schema": "cfb-joint-replay-v1", "snapshot_hash": "383590d26c8a7314ecfad1e5b5a83746c1ae402c0e12500c87bed3831c60f20c", "sport": "NCAAF"}</t>
        </is>
      </c>
    </row>
    <row r="56" ht="36" customHeight="1">
      <c r="A56" s="24" t="inlineStr">
        <is>
          <t>9b49337d29eb437f</t>
        </is>
      </c>
      <c r="B56" s="24" t="inlineStr">
        <is>
          <t>2026-09-12T10:07:04.114376Z</t>
        </is>
      </c>
      <c r="C56" s="24" t="inlineStr">
        <is>
          <t>2026-09-12T16:00Z</t>
        </is>
      </c>
      <c r="D56" s="24" t="inlineStr">
        <is>
          <t>401868187</t>
        </is>
      </c>
      <c r="E56" s="24" t="inlineStr">
        <is>
          <t>NCAAF</t>
        </is>
      </c>
      <c r="F56" s="24" t="inlineStr">
        <is>
          <t>Gardner-Webb Runnin' Bulldogs</t>
        </is>
      </c>
      <c r="G56" s="24" t="inlineStr">
        <is>
          <t>Liberty Flames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espn_consensus</t>
        </is>
      </c>
      <c r="L56" s="26" t="n">
        <v>-3600</v>
      </c>
      <c r="M56" s="27" t="n">
        <v>1.027778</v>
      </c>
      <c r="N56" s="28" t="n">
        <v>0.972973</v>
      </c>
      <c r="O56" s="28" t="n">
        <v>0.609773</v>
      </c>
      <c r="P56" s="28" t="n">
        <v>0.18</v>
      </c>
      <c r="Q56" s="28" t="n">
        <v>-0.3632</v>
      </c>
      <c r="R56" s="26" t="n">
        <v>0</v>
      </c>
      <c r="S56" s="29" t="n">
        <v>1</v>
      </c>
      <c r="T56" s="24" t="inlineStr">
        <is>
          <t>college-football-v1</t>
        </is>
      </c>
      <c r="U56" s="24" t="inlineStr">
        <is>
          <t>settled</t>
        </is>
      </c>
      <c r="V56" s="24" t="inlineStr">
        <is>
          <t>win</t>
        </is>
      </c>
      <c r="W56" s="26" t="n">
        <v>23</v>
      </c>
      <c r="X56" s="26" t="n">
        <v>24</v>
      </c>
      <c r="Y56" s="25" t="n"/>
      <c r="Z56" s="26" t="n"/>
      <c r="AA56" s="28" t="n"/>
      <c r="AB56" s="28" t="n"/>
      <c r="AC56" s="30" t="n">
        <v>0.0278</v>
      </c>
      <c r="AD56" s="24" t="inlineStr">
        <is>
          <t>2026-09-12T22:00:33.882357Z</t>
        </is>
      </c>
      <c r="AE56" s="31" t="inlineStr">
        <is>
          <t>CFB Joint Model (negative_binomial): proj score Gardner-Webb Runnin' Bulldogs 23.9 @ Liberty Flames 28.4 (Margin +4.6). Possessions: 12.4, HFA: +2.8 pts.</t>
        </is>
      </c>
      <c r="AF56" s="31" t="inlineStr">
        <is>
          <t>College football model; multi-market (moneyline, spread, total).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Gardner-Webb Runnin' Bulldogs</t>
        </is>
      </c>
      <c r="AQ56" s="24" t="inlineStr">
        <is>
          <t>Gardner-Webb Runnin' Bulldogs</t>
        </is>
      </c>
      <c r="AR56" s="24" t="inlineStr">
        <is>
          <t>Gardner-Webb Runnin' Bulldogs</t>
        </is>
      </c>
      <c r="AS56" s="24" t="inlineStr">
        <is>
          <t>Liberty Flames</t>
        </is>
      </c>
      <c r="AT56" s="24" t="inlineStr">
        <is>
          <t>Liberty Flames</t>
        </is>
      </c>
      <c r="AU56" s="24" t="inlineStr">
        <is>
          <t>Liberty Flames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1d168f11d221cd3c</t>
        </is>
      </c>
      <c r="BB56" s="24" t="inlineStr">
        <is>
          <t>cfb_key_number_engine</t>
        </is>
      </c>
      <c r="BC56" s="24" t="inlineStr">
        <is>
          <t>college-football-v1</t>
        </is>
      </c>
      <c r="BD56" s="24" t="inlineStr">
        <is>
          <t>1d168f11d221cd3c</t>
        </is>
      </c>
      <c r="BE56" s="24" t="inlineStr">
        <is>
          <t>cfb-v1</t>
        </is>
      </c>
      <c r="BF56" s="24" t="inlineStr">
        <is>
          <t>1</t>
        </is>
      </c>
      <c r="BG56" s="24" t="inlineStr">
        <is>
          <t>1d168f11d221cd3c</t>
        </is>
      </c>
      <c r="BH56" s="24" t="inlineStr">
        <is>
          <t>2026-09-12T10:07:04.114376+00:00</t>
        </is>
      </c>
      <c r="BI56" s="24" t="inlineStr">
        <is>
          <t>["same_event","same_team_same_day","same_league_same_day"]</t>
        </is>
      </c>
      <c r="BJ56" s="25" t="n"/>
      <c r="BK56" s="26" t="n">
        <v>-3600</v>
      </c>
      <c r="BL56" s="27" t="n">
        <v>1.027778</v>
      </c>
      <c r="BM56" s="28" t="n">
        <v>0.972973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>
        <v>1</v>
      </c>
      <c r="BY56" s="27" t="n">
        <v>0.027778</v>
      </c>
      <c r="BZ56" s="24" t="inlineStr">
        <is>
          <t>2026-09-12T22:00:33.882357Z</t>
        </is>
      </c>
      <c r="CA56" s="31" t="inlineStr">
        <is>
          <t>fixed one-unit hypothetical scoring; no real exposure or execution</t>
        </is>
      </c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0.972973</t>
        </is>
      </c>
      <c r="DK56" s="24" t="n"/>
      <c r="DL56" s="24" t="n"/>
      <c r="DM56" s="24" t="n"/>
      <c r="DN56" s="24" t="n"/>
      <c r="DO56" s="24" t="n"/>
      <c r="DP56" s="24" t="n"/>
      <c r="DQ56" s="24" t="inlineStr">
        <is>
          <t>{"artifact_hash": "1d168f11d221cd3c", "event_id": "401868187", "event_start_utc": "2026-09-12T16:00Z", "features": {"altitude_fatigue_penalty": 0.0, "away_team": "Gardner-Webb Runnin' Bulldogs", "efficiency_gap": -0.071, "elo_away": 1337.5, "elo_home": 1384.7, "elo_home_win_prob": 0.6561, "event_id": "401868187", "game_start_utc": "2026-09-12T16:00Z", "home_field_advantage_points": 2.8, "home_team": "Liberty Flames", "is_dome": false, "is_fbs_vs_fcs": false, "is_neutral_site": false, "projected_away_points": 23.9, "projected_home_points": 28.4, "projected_margin_home": 4.6,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28.4,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175796201362179916647116620343164225874}, "uinteger": 0}, "spread_home_line": -27.5, "total_line": 55.5}, "market_type": "moneyline", "model_version": "college-football-v1", "observed_at_utc": "2026-09-12T10:07:04.114376+00:00", "probabilities": {"away": 0.390227, "home": 0.609773}, "replay_scope": "Full precision score means, exact engine parameters and original RNG state; upstream feature construction not certified.", "schema": "cfb-joint-replay-v1", "snapshot_hash": "15ec15947065d7a100eecdd39fcb24a4b1e43e95ee051a43af1a22c899188e29", "sport": "NCAAF"}</t>
        </is>
      </c>
    </row>
    <row r="57" ht="36" customHeight="1">
      <c r="A57" s="24" t="inlineStr">
        <is>
          <t>ec52960237c24660</t>
        </is>
      </c>
      <c r="B57" s="24" t="inlineStr">
        <is>
          <t>2026-09-12T10:07:04.114376Z</t>
        </is>
      </c>
      <c r="C57" s="24" t="inlineStr">
        <is>
          <t>2026-09-12T16:00Z</t>
        </is>
      </c>
      <c r="D57" s="24" t="inlineStr">
        <is>
          <t>401868187</t>
        </is>
      </c>
      <c r="E57" s="24" t="inlineStr">
        <is>
          <t>NCAAF</t>
        </is>
      </c>
      <c r="F57" s="24" t="inlineStr">
        <is>
          <t>Gardner-Webb Runnin' Bulldogs</t>
        </is>
      </c>
      <c r="G57" s="24" t="inlineStr">
        <is>
          <t>Liberty Flames</t>
        </is>
      </c>
      <c r="H57" s="24" t="inlineStr">
        <is>
          <t>spread</t>
        </is>
      </c>
      <c r="I57" s="24" t="inlineStr">
        <is>
          <t>away</t>
        </is>
      </c>
      <c r="J57" s="25" t="n">
        <v>27.5</v>
      </c>
      <c r="K57" s="24" t="inlineStr">
        <is>
          <t>espn_consensus</t>
        </is>
      </c>
      <c r="L57" s="26" t="n">
        <v>-108</v>
      </c>
      <c r="M57" s="27" t="n">
        <v>1.925926</v>
      </c>
      <c r="N57" s="28" t="n">
        <v>0.519231</v>
      </c>
      <c r="O57" s="28" t="n">
        <v>0.914867</v>
      </c>
      <c r="P57" s="28" t="n">
        <v>0.18</v>
      </c>
      <c r="Q57" s="28" t="n">
        <v>0.395636</v>
      </c>
      <c r="R57" s="26" t="n">
        <v>100</v>
      </c>
      <c r="S57" s="29" t="n">
        <v>2</v>
      </c>
      <c r="T57" s="24" t="inlineStr">
        <is>
          <t>cfb-spread-v1</t>
        </is>
      </c>
      <c r="U57" s="24" t="inlineStr">
        <is>
          <t>settled</t>
        </is>
      </c>
      <c r="V57" s="24" t="inlineStr">
        <is>
          <t>win</t>
        </is>
      </c>
      <c r="W57" s="26" t="n">
        <v>23</v>
      </c>
      <c r="X57" s="26" t="n">
        <v>24</v>
      </c>
      <c r="Y57" s="25" t="n"/>
      <c r="Z57" s="26" t="n"/>
      <c r="AA57" s="28" t="n"/>
      <c r="AB57" s="28" t="n"/>
      <c r="AC57" s="30" t="n">
        <v>1.8519</v>
      </c>
      <c r="AD57" s="24" t="inlineStr">
        <is>
          <t>2026-09-12T22:00:34.199623Z</t>
        </is>
      </c>
      <c r="AE57" s="31" t="inlineStr">
        <is>
          <t>Projected home margin +4.6 pts. Spread: Home -27.5 / Away +27.5 -&gt; P(Away cover)=0.915, P(Home cover)=0.085, P(Push)=0.000.</t>
        </is>
      </c>
      <c r="AF57" s="31" t="inlineStr">
        <is>
          <t>College football model; multi-market (moneyline, spread, total).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4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Gardner-Webb Runnin' Bulldogs</t>
        </is>
      </c>
      <c r="AQ57" s="24" t="inlineStr">
        <is>
          <t>Gardner-Webb Runnin' Bulldogs</t>
        </is>
      </c>
      <c r="AR57" s="24" t="inlineStr">
        <is>
          <t>Gardner-Webb Runnin' Bulldogs</t>
        </is>
      </c>
      <c r="AS57" s="24" t="inlineStr">
        <is>
          <t>Liberty Flames</t>
        </is>
      </c>
      <c r="AT57" s="24" t="inlineStr">
        <is>
          <t>Liberty Flames</t>
        </is>
      </c>
      <c r="AU57" s="24" t="inlineStr">
        <is>
          <t>Liberty Flames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1d168f11d221cd3c</t>
        </is>
      </c>
      <c r="BB57" s="24" t="inlineStr">
        <is>
          <t>cfb_key_number_engine</t>
        </is>
      </c>
      <c r="BC57" s="24" t="inlineStr">
        <is>
          <t>cfb-spread-v1</t>
        </is>
      </c>
      <c r="BD57" s="24" t="inlineStr">
        <is>
          <t>1d168f11d221cd3c</t>
        </is>
      </c>
      <c r="BE57" s="24" t="inlineStr">
        <is>
          <t>cfb-v1</t>
        </is>
      </c>
      <c r="BF57" s="24" t="inlineStr">
        <is>
          <t>1</t>
        </is>
      </c>
      <c r="BG57" s="24" t="inlineStr">
        <is>
          <t>1d168f11d221cd3c</t>
        </is>
      </c>
      <c r="BH57" s="24" t="inlineStr">
        <is>
          <t>2026-09-12T10:07:04.114376+00:00</t>
        </is>
      </c>
      <c r="BI57" s="24" t="inlineStr">
        <is>
          <t>["same_event","same_team_same_day","same_league_same_day"]</t>
        </is>
      </c>
      <c r="BJ57" s="25" t="n">
        <v>27.5</v>
      </c>
      <c r="BK57" s="26" t="n">
        <v>-108</v>
      </c>
      <c r="BL57" s="27" t="n">
        <v>1.925926</v>
      </c>
      <c r="BM57" s="28" t="n">
        <v>0.519231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0.519231</t>
        </is>
      </c>
      <c r="DK57" s="24" t="n"/>
      <c r="DL57" s="24" t="n"/>
      <c r="DM57" s="24" t="n"/>
      <c r="DN57" s="24" t="n"/>
      <c r="DO57" s="24" t="n"/>
      <c r="DP57" s="24" t="n"/>
      <c r="DQ57" s="24" t="inlineStr">
        <is>
          <t>{"artifact_hash": "1d168f11d221cd3c", "event_id": "401868187", "event_start_utc": "2026-09-12T16:00Z", "features": {"altitude_fatigue_penalty": 0.0, "away_team": "Gardner-Webb Runnin' Bulldogs", "efficiency_gap": -0.071, "elo_away": 1337.5, "elo_home": 1384.7, "elo_home_win_prob": 0.6561, "event_id": "401868187", "game_start_utc": "2026-09-12T16:00Z", "home_field_advantage_points": 2.8, "home_team": "Liberty Flames", "is_dome": false, "is_fbs_vs_fcs": false, "is_neutral_site": false, "projected_away_points": 23.9, "projected_home_points": 28.4, "projected_margin_home": 4.6,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28.4,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175796201362179916647116620343164225874}, "uinteger": 0}, "spread_home_line": -27.5, "total_line": 55.5}, "market_type": "spread", "model_version": "cfb-spread-v1", "observed_at_utc": "2026-09-12T10:07:04.114376+00:00", "probabilities": {"away": 0.914867, "home": 0.085133, "push": 0.0}, "replay_scope": "Full precision score means, exact engine parameters and original RNG state; upstream feature construction not certified.", "schema": "cfb-joint-replay-v1", "snapshot_hash": "e7d55f9a248abf5940aa9d4db53468d702e54c6254e61c9f5a4f7f10ce862c11", "sport": "NCAAF"}</t>
        </is>
      </c>
    </row>
    <row r="58" ht="36" customHeight="1">
      <c r="A58" s="24" t="inlineStr">
        <is>
          <t>ffd48b5308e843ee</t>
        </is>
      </c>
      <c r="B58" s="24" t="inlineStr">
        <is>
          <t>2026-09-12T10:07:04.114376Z</t>
        </is>
      </c>
      <c r="C58" s="24" t="inlineStr">
        <is>
          <t>2026-09-12T16:00Z</t>
        </is>
      </c>
      <c r="D58" s="24" t="inlineStr">
        <is>
          <t>401868187</t>
        </is>
      </c>
      <c r="E58" s="24" t="inlineStr">
        <is>
          <t>NCAAF</t>
        </is>
      </c>
      <c r="F58" s="24" t="inlineStr">
        <is>
          <t>Gardner-Webb Runnin' Bulldogs</t>
        </is>
      </c>
      <c r="G58" s="24" t="inlineStr">
        <is>
          <t>Liberty Flames</t>
        </is>
      </c>
      <c r="H58" s="24" t="inlineStr">
        <is>
          <t>total</t>
        </is>
      </c>
      <c r="I58" s="24" t="inlineStr">
        <is>
          <t>under</t>
        </is>
      </c>
      <c r="J58" s="25" t="n">
        <v>55.5</v>
      </c>
      <c r="K58" s="24" t="inlineStr">
        <is>
          <t>espn_consensus</t>
        </is>
      </c>
      <c r="L58" s="26" t="n">
        <v>-112</v>
      </c>
      <c r="M58" s="27" t="n">
        <v>1.892857</v>
      </c>
      <c r="N58" s="28" t="n">
        <v>0.528302</v>
      </c>
      <c r="O58" s="28" t="n">
        <v>0.5842000000000001</v>
      </c>
      <c r="P58" s="28" t="n">
        <v>0.18</v>
      </c>
      <c r="Q58" s="28" t="n">
        <v>0.055898</v>
      </c>
      <c r="R58" s="26" t="n">
        <v>0</v>
      </c>
      <c r="S58" s="29" t="n">
        <v>1</v>
      </c>
      <c r="T58" s="24" t="inlineStr">
        <is>
          <t>cfb-total-v1</t>
        </is>
      </c>
      <c r="U58" s="24" t="inlineStr">
        <is>
          <t>settled</t>
        </is>
      </c>
      <c r="V58" s="24" t="inlineStr">
        <is>
          <t>win</t>
        </is>
      </c>
      <c r="W58" s="26" t="n">
        <v>23</v>
      </c>
      <c r="X58" s="26" t="n">
        <v>24</v>
      </c>
      <c r="Y58" s="25" t="n"/>
      <c r="Z58" s="26" t="n"/>
      <c r="AA58" s="28" t="n"/>
      <c r="AB58" s="28" t="n"/>
      <c r="AC58" s="30" t="n">
        <v>0.8929</v>
      </c>
      <c r="AD58" s="24" t="inlineStr">
        <is>
          <t>2026-09-12T22:00:34.555263Z</t>
        </is>
      </c>
      <c r="AE58" s="31" t="inlineStr">
        <is>
          <t>Projected total 52.3 pts (Weather adj: +0.0 pts). Total line 55.5 -&gt; P(Over)=0.416, P(Under)=0.584, P(Push)=0.000.</t>
        </is>
      </c>
      <c r="AF58" s="31" t="inlineStr">
        <is>
          <t>College football model; multi-market (moneyline, spread, total).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4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Gardner-Webb Runnin' Bulldogs</t>
        </is>
      </c>
      <c r="AQ58" s="24" t="inlineStr">
        <is>
          <t>Gardner-Webb Runnin' Bulldogs</t>
        </is>
      </c>
      <c r="AR58" s="24" t="inlineStr">
        <is>
          <t>Gardner-Webb Runnin' Bulldogs</t>
        </is>
      </c>
      <c r="AS58" s="24" t="inlineStr">
        <is>
          <t>Liberty Flames</t>
        </is>
      </c>
      <c r="AT58" s="24" t="inlineStr">
        <is>
          <t>Liberty Flames</t>
        </is>
      </c>
      <c r="AU58" s="24" t="inlineStr">
        <is>
          <t>Liberty Flames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1d168f11d221cd3c</t>
        </is>
      </c>
      <c r="BB58" s="24" t="inlineStr">
        <is>
          <t>cfb_key_number_engine</t>
        </is>
      </c>
      <c r="BC58" s="24" t="inlineStr">
        <is>
          <t>cfb-total-v1</t>
        </is>
      </c>
      <c r="BD58" s="24" t="inlineStr">
        <is>
          <t>1d168f11d221cd3c</t>
        </is>
      </c>
      <c r="BE58" s="24" t="inlineStr">
        <is>
          <t>cfb-v1</t>
        </is>
      </c>
      <c r="BF58" s="24" t="inlineStr">
        <is>
          <t>1</t>
        </is>
      </c>
      <c r="BG58" s="24" t="inlineStr">
        <is>
          <t>1d168f11d221cd3c</t>
        </is>
      </c>
      <c r="BH58" s="24" t="inlineStr">
        <is>
          <t>2026-09-12T10:07:04.114376+00:00</t>
        </is>
      </c>
      <c r="BI58" s="24" t="inlineStr">
        <is>
          <t>["same_event","same_team_same_day","same_league_same_day"]</t>
        </is>
      </c>
      <c r="BJ58" s="25" t="n">
        <v>55.5</v>
      </c>
      <c r="BK58" s="26" t="n">
        <v>-112</v>
      </c>
      <c r="BL58" s="27" t="n">
        <v>1.892857</v>
      </c>
      <c r="BM58" s="28" t="n">
        <v>0.528302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0.528302</t>
        </is>
      </c>
      <c r="DK58" s="24" t="n"/>
      <c r="DL58" s="24" t="n"/>
      <c r="DM58" s="24" t="n"/>
      <c r="DN58" s="24" t="n"/>
      <c r="DO58" s="24" t="n"/>
      <c r="DP58" s="24" t="n"/>
      <c r="DQ58" s="24" t="inlineStr">
        <is>
          <t>{"artifact_hash": "1d168f11d221cd3c", "event_id": "401868187", "event_start_utc": "2026-09-12T16:00Z", "features": {"altitude_fatigue_penalty": 0.0, "away_team": "Gardner-Webb Runnin' Bulldogs", "efficiency_gap": -0.071, "elo_away": 1337.5, "elo_home": 1384.7, "elo_home_win_prob": 0.6561, "event_id": "401868187", "game_start_utc": "2026-09-12T16:00Z", "home_field_advantage_points": 2.8, "home_team": "Liberty Flames", "is_dome": false, "is_fbs_vs_fcs": false, "is_neutral_site": false, "projected_away_points": 23.9, "projected_home_points": 28.4, "projected_margin_home": 4.6,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28.4,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175796201362179916647116620343164225874}, "uinteger": 0}, "spread_home_line": -27.5, "total_line": 55.5}, "market_type": "total", "model_version": "cfb-total-v1", "observed_at_utc": "2026-09-12T10:07:04.114376+00:00", "probabilities": {"over": 0.4158, "push": 0.0, "under": 0.5842}, "replay_scope": "Full precision score means, exact engine parameters and original RNG state; upstream feature construction not certified.", "schema": "cfb-joint-replay-v1", "snapshot_hash": "54fb80e34764ad5cdcbe161133993da58031c11960d2962d22eced8359b8c88e", "sport": "NCAAF"}</t>
        </is>
      </c>
    </row>
    <row r="59" ht="36" customHeight="1">
      <c r="A59" s="24" t="inlineStr">
        <is>
          <t>c5d67fac74b54b1a</t>
        </is>
      </c>
      <c r="B59" s="24" t="inlineStr">
        <is>
          <t>2026-09-12T16:07:28.570172Z</t>
        </is>
      </c>
      <c r="C59" s="24" t="inlineStr">
        <is>
          <t>2026-09-12T16:45Z</t>
        </is>
      </c>
      <c r="D59" s="24" t="inlineStr">
        <is>
          <t>401856673</t>
        </is>
      </c>
      <c r="E59" s="24" t="inlineStr">
        <is>
          <t>NCAAF</t>
        </is>
      </c>
      <c r="F59" s="24" t="inlineStr">
        <is>
          <t>Western Kentucky Hilltoppers</t>
        </is>
      </c>
      <c r="G59" s="24" t="inlineStr">
        <is>
          <t>Georgia Bulldogs</t>
        </is>
      </c>
      <c r="H59" s="24" t="inlineStr">
        <is>
          <t>spread</t>
        </is>
      </c>
      <c r="I59" s="24" t="inlineStr">
        <is>
          <t>away</t>
        </is>
      </c>
      <c r="J59" s="25" t="n">
        <v>40.5</v>
      </c>
      <c r="K59" s="24" t="inlineStr">
        <is>
          <t>espn_consensus</t>
        </is>
      </c>
      <c r="L59" s="26" t="n">
        <v>-115</v>
      </c>
      <c r="M59" s="27" t="n">
        <v>1.869565</v>
      </c>
      <c r="N59" s="28" t="n">
        <v>0.534884</v>
      </c>
      <c r="O59" s="28" t="n">
        <v>0.941667</v>
      </c>
      <c r="P59" s="28" t="n">
        <v>0.18</v>
      </c>
      <c r="Q59" s="28" t="n">
        <v>0.406783</v>
      </c>
      <c r="R59" s="26" t="n">
        <v>100</v>
      </c>
      <c r="S59" s="29" t="n">
        <v>2</v>
      </c>
      <c r="T59" s="24" t="inlineStr">
        <is>
          <t>cfb-spread-v1</t>
        </is>
      </c>
      <c r="U59" s="24" t="inlineStr">
        <is>
          <t>settled</t>
        </is>
      </c>
      <c r="V59" s="24" t="inlineStr">
        <is>
          <t>loss</t>
        </is>
      </c>
      <c r="W59" s="26" t="n">
        <v>20</v>
      </c>
      <c r="X59" s="26" t="n">
        <v>70</v>
      </c>
      <c r="Y59" s="25" t="n"/>
      <c r="Z59" s="26" t="n"/>
      <c r="AA59" s="28" t="n"/>
      <c r="AB59" s="28" t="n"/>
      <c r="AC59" s="30" t="n">
        <v>-2</v>
      </c>
      <c r="AD59" s="24" t="inlineStr">
        <is>
          <t>2026-09-12T22:01:01.557638Z</t>
        </is>
      </c>
      <c r="AE59" s="31" t="inlineStr">
        <is>
          <t>Projected home margin +14.7 pts. Spread: Home -40.5 / Away +40.5 -&gt; P(Away cover)=0.942, P(Home cover)=0.058, P(Push)=0.000.</t>
        </is>
      </c>
      <c r="AF59" s="31" t="inlineStr">
        <is>
          <t>College football model; multi-market (moneyline, spread, total).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4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Western Kentucky Hilltoppers</t>
        </is>
      </c>
      <c r="AQ59" s="24" t="inlineStr">
        <is>
          <t>Western Kentucky Hilltoppers</t>
        </is>
      </c>
      <c r="AR59" s="24" t="inlineStr">
        <is>
          <t>Western Kentucky Hilltoppers</t>
        </is>
      </c>
      <c r="AS59" s="24" t="inlineStr">
        <is>
          <t>Georgia Bulldogs</t>
        </is>
      </c>
      <c r="AT59" s="24" t="inlineStr">
        <is>
          <t>Georgia Bulldogs</t>
        </is>
      </c>
      <c r="AU59" s="24" t="inlineStr">
        <is>
          <t>Georgia Bulldogs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1d168f11d221cd3c</t>
        </is>
      </c>
      <c r="BB59" s="24" t="inlineStr">
        <is>
          <t>cfb_key_number_engine</t>
        </is>
      </c>
      <c r="BC59" s="24" t="inlineStr">
        <is>
          <t>cfb-spread-v1</t>
        </is>
      </c>
      <c r="BD59" s="24" t="inlineStr">
        <is>
          <t>1d168f11d221cd3c</t>
        </is>
      </c>
      <c r="BE59" s="24" t="inlineStr">
        <is>
          <t>cfb-v1</t>
        </is>
      </c>
      <c r="BF59" s="24" t="inlineStr">
        <is>
          <t>1</t>
        </is>
      </c>
      <c r="BG59" s="24" t="inlineStr">
        <is>
          <t>1d168f11d221cd3c</t>
        </is>
      </c>
      <c r="BH59" s="24" t="inlineStr">
        <is>
          <t>2026-09-12T16:07:28.570172+00:00</t>
        </is>
      </c>
      <c r="BI59" s="24" t="inlineStr">
        <is>
          <t>["same_event","same_team_same_day","same_league_same_day"]</t>
        </is>
      </c>
      <c r="BJ59" s="25" t="n">
        <v>40.5</v>
      </c>
      <c r="BK59" s="26" t="n">
        <v>-115</v>
      </c>
      <c r="BL59" s="27" t="n">
        <v>1.869565</v>
      </c>
      <c r="BM59" s="28" t="n">
        <v>0.534884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0.534884</t>
        </is>
      </c>
      <c r="DK59" s="24" t="n"/>
      <c r="DL59" s="24" t="n"/>
      <c r="DM59" s="24" t="n"/>
      <c r="DN59" s="24" t="n"/>
      <c r="DO59" s="24" t="n"/>
      <c r="DP59" s="24" t="n"/>
      <c r="DQ59" s="24" t="inlineStr">
        <is>
          <t>{"artifact_hash": "1d168f11d221cd3c", "event_id": "401856673", "event_start_utc": "2026-09-12T16:45Z", "features": {"altitude_fatigue_penalty": 0.0, "away_team": "Western Kentucky Hilltoppers", "efficiency_gap": 2.706, "elo_away": 1500.5, "elo_home": 1795.8, "elo_home_win_prob": 0.8883, "event_id": "401856673", "game_start_utc": "2026-09-12T16:45Z", "home_field_advantage_points": 2.8, "home_team": "Georgia Bulldogs", "is_dome": false, "is_fbs_vs_fcs": false, "is_neutral_site": false, "projected_away_points": 19.6, "projected_home_points": 34.3, "projected_margin_home": 14.7, "projected_possessions": 12.4, "projected_total": 53.9, "stadium_elevation_ft": 760, "travel_distance_miles": 272.0, "uncertainty": 0.18, "weather_total_adjustment": 0.0}, "historical_source_observation_times_verified": false, "inference_inputs": {"engine_source_sha256": "449ba2f0e86fa9c445730076a0e0bf100fb4914620be53c75c6f3bfe24298f3f", "mu_away": 19.6, "mu_home": 34.3,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81936976126518288903970348249527172869}, "uinteger": 0}, "spread_home_line": -40.5, "total_line": 55.5}, "market_type": "spread", "model_version": "cfb-spread-v1", "observed_at_utc": "2026-09-12T16:07:28.570172+00:00", "probabilities": {"away": 0.941667, "home": 0.058333, "push": 0.0}, "replay_scope": "Full precision score means, exact engine parameters and original RNG state; upstream feature construction not certified.", "schema": "cfb-joint-replay-v1", "snapshot_hash": "be32a5ecb33c7d9206189c98d732f6e2b7fee53bb28e814f2959fe974a77b43d", "sport": "NCAAF"}</t>
        </is>
      </c>
    </row>
    <row r="60" ht="36" customHeight="1">
      <c r="A60" s="24" t="inlineStr">
        <is>
          <t>9eb46c57540046ef</t>
        </is>
      </c>
      <c r="B60" s="24" t="inlineStr">
        <is>
          <t>2026-09-12T16:07:28.570172Z</t>
        </is>
      </c>
      <c r="C60" s="24" t="inlineStr">
        <is>
          <t>2026-09-12T16:45Z</t>
        </is>
      </c>
      <c r="D60" s="24" t="inlineStr">
        <is>
          <t>401856673</t>
        </is>
      </c>
      <c r="E60" s="24" t="inlineStr">
        <is>
          <t>NCAAF</t>
        </is>
      </c>
      <c r="F60" s="24" t="inlineStr">
        <is>
          <t>Western Kentucky Hilltoppers</t>
        </is>
      </c>
      <c r="G60" s="24" t="inlineStr">
        <is>
          <t>Georgia Bulldogs</t>
        </is>
      </c>
      <c r="H60" s="24" t="inlineStr">
        <is>
          <t>total</t>
        </is>
      </c>
      <c r="I60" s="24" t="inlineStr">
        <is>
          <t>under</t>
        </is>
      </c>
      <c r="J60" s="25" t="n">
        <v>55.5</v>
      </c>
      <c r="K60" s="24" t="inlineStr">
        <is>
          <t>espn_consensus</t>
        </is>
      </c>
      <c r="L60" s="26" t="n">
        <v>-108</v>
      </c>
      <c r="M60" s="27" t="n">
        <v>1.925926</v>
      </c>
      <c r="N60" s="28" t="n">
        <v>0.519231</v>
      </c>
      <c r="O60" s="28" t="n">
        <v>0.562067</v>
      </c>
      <c r="P60" s="28" t="n">
        <v>0.18</v>
      </c>
      <c r="Q60" s="28" t="n">
        <v>0.042836</v>
      </c>
      <c r="R60" s="26" t="n">
        <v>0</v>
      </c>
      <c r="S60" s="29" t="n">
        <v>1</v>
      </c>
      <c r="T60" s="24" t="inlineStr">
        <is>
          <t>cfb-total-v1</t>
        </is>
      </c>
      <c r="U60" s="24" t="inlineStr">
        <is>
          <t>settled</t>
        </is>
      </c>
      <c r="V60" s="24" t="inlineStr">
        <is>
          <t>loss</t>
        </is>
      </c>
      <c r="W60" s="26" t="n">
        <v>20</v>
      </c>
      <c r="X60" s="26" t="n">
        <v>70</v>
      </c>
      <c r="Y60" s="25" t="n"/>
      <c r="Z60" s="26" t="n"/>
      <c r="AA60" s="28" t="n"/>
      <c r="AB60" s="28" t="n"/>
      <c r="AC60" s="30" t="n">
        <v>-1</v>
      </c>
      <c r="AD60" s="24" t="inlineStr">
        <is>
          <t>2026-09-12T22:01:01.991162Z</t>
        </is>
      </c>
      <c r="AE60" s="31" t="inlineStr">
        <is>
          <t>Projected total 53.9 pts (Weather adj: +0.0 pts). Total line 55.5 -&gt; P(Over)=0.438, P(Under)=0.562, P(Push)=0.000.</t>
        </is>
      </c>
      <c r="AF60" s="31" t="inlineStr">
        <is>
          <t>College football model; multi-market (moneyline, spread, total).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4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Western Kentucky Hilltoppers</t>
        </is>
      </c>
      <c r="AQ60" s="24" t="inlineStr">
        <is>
          <t>Western Kentucky Hilltoppers</t>
        </is>
      </c>
      <c r="AR60" s="24" t="inlineStr">
        <is>
          <t>Western Kentucky Hilltoppers</t>
        </is>
      </c>
      <c r="AS60" s="24" t="inlineStr">
        <is>
          <t>Georgia Bulldogs</t>
        </is>
      </c>
      <c r="AT60" s="24" t="inlineStr">
        <is>
          <t>Georgia Bulldogs</t>
        </is>
      </c>
      <c r="AU60" s="24" t="inlineStr">
        <is>
          <t>Georgia Bulldogs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1d168f11d221cd3c</t>
        </is>
      </c>
      <c r="BB60" s="24" t="inlineStr">
        <is>
          <t>cfb_key_number_engine</t>
        </is>
      </c>
      <c r="BC60" s="24" t="inlineStr">
        <is>
          <t>cfb-total-v1</t>
        </is>
      </c>
      <c r="BD60" s="24" t="inlineStr">
        <is>
          <t>1d168f11d221cd3c</t>
        </is>
      </c>
      <c r="BE60" s="24" t="inlineStr">
        <is>
          <t>cfb-v1</t>
        </is>
      </c>
      <c r="BF60" s="24" t="inlineStr">
        <is>
          <t>1</t>
        </is>
      </c>
      <c r="BG60" s="24" t="inlineStr">
        <is>
          <t>1d168f11d221cd3c</t>
        </is>
      </c>
      <c r="BH60" s="24" t="inlineStr">
        <is>
          <t>2026-09-12T16:07:28.570172+00:00</t>
        </is>
      </c>
      <c r="BI60" s="24" t="inlineStr">
        <is>
          <t>["same_event","same_team_same_day","same_league_same_day"]</t>
        </is>
      </c>
      <c r="BJ60" s="25" t="n">
        <v>55.5</v>
      </c>
      <c r="BK60" s="26" t="n">
        <v>-108</v>
      </c>
      <c r="BL60" s="27" t="n">
        <v>1.925926</v>
      </c>
      <c r="BM60" s="28" t="n">
        <v>0.519231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0.519231</t>
        </is>
      </c>
      <c r="DK60" s="24" t="n"/>
      <c r="DL60" s="24" t="n"/>
      <c r="DM60" s="24" t="n"/>
      <c r="DN60" s="24" t="n"/>
      <c r="DO60" s="24" t="n"/>
      <c r="DP60" s="24" t="n"/>
      <c r="DQ60" s="24" t="inlineStr">
        <is>
          <t>{"artifact_hash": "1d168f11d221cd3c", "event_id": "401856673", "event_start_utc": "2026-09-12T16:45Z", "features": {"altitude_fatigue_penalty": 0.0, "away_team": "Western Kentucky Hilltoppers", "efficiency_gap": 2.706, "elo_away": 1500.5, "elo_home": 1795.8, "elo_home_win_prob": 0.8883, "event_id": "401856673", "game_start_utc": "2026-09-12T16:45Z", "home_field_advantage_points": 2.8, "home_team": "Georgia Bulldogs", "is_dome": false, "is_fbs_vs_fcs": false, "is_neutral_site": false, "projected_away_points": 19.6, "projected_home_points": 34.3, "projected_margin_home": 14.7, "projected_possessions": 12.4, "projected_total": 53.9, "stadium_elevation_ft": 760, "travel_distance_miles": 272.0, "uncertainty": 0.18, "weather_total_adjustment": 0.0}, "historical_source_observation_times_verified": false, "inference_inputs": {"engine_source_sha256": "449ba2f0e86fa9c445730076a0e0bf100fb4914620be53c75c6f3bfe24298f3f", "mu_away": 19.6, "mu_home": 34.3,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81936976126518288903970348249527172869}, "uinteger": 0}, "spread_home_line": -40.5, "total_line": 55.5}, "market_type": "total", "model_version": "cfb-total-v1", "observed_at_utc": "2026-09-12T16:07:28.570172+00:00", "probabilities": {"over": 0.437933, "push": 0.0, "under": 0.562067}, "replay_scope": "Full precision score means, exact engine parameters and original RNG state; upstream feature construction not certified.", "schema": "cfb-joint-replay-v1", "snapshot_hash": "2fdee5b7fe5e2618e00247ffc7e35ab7e058d88944f5000a8879931e03cdf97a", "sport": "NCAAF"}</t>
        </is>
      </c>
    </row>
    <row r="61" ht="36" customHeight="1">
      <c r="A61" s="24" t="inlineStr">
        <is>
          <t>665566cb01c54d60</t>
        </is>
      </c>
      <c r="B61" s="24" t="inlineStr">
        <is>
          <t>2026-09-12T16:07:28.570172Z</t>
        </is>
      </c>
      <c r="C61" s="24" t="inlineStr">
        <is>
          <t>2026-09-12T17:00Z</t>
        </is>
      </c>
      <c r="D61" s="24" t="inlineStr">
        <is>
          <t>401856791</t>
        </is>
      </c>
      <c r="E61" s="24" t="inlineStr">
        <is>
          <t>NCAAF</t>
        </is>
      </c>
      <c r="F61" s="24" t="inlineStr">
        <is>
          <t>UT Martin Skyhawks</t>
        </is>
      </c>
      <c r="G61" s="24" t="inlineStr">
        <is>
          <t>West Virginia Mountaineers</t>
        </is>
      </c>
      <c r="H61" s="24" t="inlineStr">
        <is>
          <t>spread</t>
        </is>
      </c>
      <c r="I61" s="24" t="inlineStr">
        <is>
          <t>away</t>
        </is>
      </c>
      <c r="J61" s="25" t="n">
        <v>40.5</v>
      </c>
      <c r="K61" s="24" t="inlineStr">
        <is>
          <t>espn_consensus</t>
        </is>
      </c>
      <c r="L61" s="26" t="n">
        <v>-112</v>
      </c>
      <c r="M61" s="27" t="n">
        <v>1.892857</v>
      </c>
      <c r="N61" s="28" t="n">
        <v>0.528302</v>
      </c>
      <c r="O61" s="28" t="n">
        <v>0.979267</v>
      </c>
      <c r="P61" s="28" t="n">
        <v>0.18</v>
      </c>
      <c r="Q61" s="28" t="n">
        <v>0.450965</v>
      </c>
      <c r="R61" s="26" t="n">
        <v>100</v>
      </c>
      <c r="S61" s="29" t="n">
        <v>2</v>
      </c>
      <c r="T61" s="24" t="inlineStr">
        <is>
          <t>cfb-spread-v1</t>
        </is>
      </c>
      <c r="U61" s="24" t="inlineStr">
        <is>
          <t>settled</t>
        </is>
      </c>
      <c r="V61" s="24" t="inlineStr">
        <is>
          <t>loss</t>
        </is>
      </c>
      <c r="W61" s="26" t="n">
        <v>7</v>
      </c>
      <c r="X61" s="26" t="n">
        <v>52</v>
      </c>
      <c r="Y61" s="25" t="n"/>
      <c r="Z61" s="26" t="n"/>
      <c r="AA61" s="28" t="n"/>
      <c r="AB61" s="28" t="n"/>
      <c r="AC61" s="30" t="n">
        <v>-2</v>
      </c>
      <c r="AD61" s="24" t="inlineStr">
        <is>
          <t>2026-09-12T22:01:02.360090Z</t>
        </is>
      </c>
      <c r="AE61" s="31" t="inlineStr">
        <is>
          <t>Projected home margin +4.2 pts. Spread: Home -40.5 / Away +40.5 -&gt; P(Away cover)=0.979, P(Home cover)=0.021, P(Push)=0.000.</t>
        </is>
      </c>
      <c r="AF61" s="31" t="inlineStr">
        <is>
          <t>College football model; multi-market (moneyline, spread, total).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4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UT Martin Skyhawks</t>
        </is>
      </c>
      <c r="AQ61" s="24" t="inlineStr">
        <is>
          <t>UT Martin Skyhawks</t>
        </is>
      </c>
      <c r="AR61" s="24" t="inlineStr">
        <is>
          <t>UT Martin Skyhawks</t>
        </is>
      </c>
      <c r="AS61" s="24" t="inlineStr">
        <is>
          <t>West Virginia Mountaineers</t>
        </is>
      </c>
      <c r="AT61" s="24" t="inlineStr">
        <is>
          <t>West Virginia Mountaineers</t>
        </is>
      </c>
      <c r="AU61" s="24" t="inlineStr">
        <is>
          <t>West Virginia Mountaineers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1d168f11d221cd3c</t>
        </is>
      </c>
      <c r="BB61" s="24" t="inlineStr">
        <is>
          <t>cfb_key_number_engine</t>
        </is>
      </c>
      <c r="BC61" s="24" t="inlineStr">
        <is>
          <t>cfb-spread-v1</t>
        </is>
      </c>
      <c r="BD61" s="24" t="inlineStr">
        <is>
          <t>1d168f11d221cd3c</t>
        </is>
      </c>
      <c r="BE61" s="24" t="inlineStr">
        <is>
          <t>cfb-v1</t>
        </is>
      </c>
      <c r="BF61" s="24" t="inlineStr">
        <is>
          <t>1</t>
        </is>
      </c>
      <c r="BG61" s="24" t="inlineStr">
        <is>
          <t>1d168f11d221cd3c</t>
        </is>
      </c>
      <c r="BH61" s="24" t="inlineStr">
        <is>
          <t>2026-09-12T16:07:28.570172+00:00</t>
        </is>
      </c>
      <c r="BI61" s="24" t="inlineStr">
        <is>
          <t>["same_event","same_team_same_day","same_league_same_day"]</t>
        </is>
      </c>
      <c r="BJ61" s="25" t="n">
        <v>40.5</v>
      </c>
      <c r="BK61" s="26" t="n">
        <v>-112</v>
      </c>
      <c r="BL61" s="27" t="n">
        <v>1.892857</v>
      </c>
      <c r="BM61" s="28" t="n">
        <v>0.528302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0.528302</t>
        </is>
      </c>
      <c r="DK61" s="24" t="n"/>
      <c r="DL61" s="24" t="n"/>
      <c r="DM61" s="24" t="n"/>
      <c r="DN61" s="24" t="n"/>
      <c r="DO61" s="24" t="n"/>
      <c r="DP61" s="24" t="n"/>
      <c r="DQ61" s="24" t="inlineStr">
        <is>
          <t>{"artifact_hash": "1d168f11d221cd3c", "event_id": "401856791", "event_start_utc": "2026-09-12T17:00Z", "features": {"altitude_fatigue_penalty": 0.0, "away_team": "UT Martin Skyhawks", "efficiency_gap": 1.488, "elo_away": 1337.5, "elo_home": 1375.6, "elo_home_win_prob": 0.6441, "event_id": "401856791", "game_start_utc": "2026-09-12T17:00Z", "home_field_advantage_points": 2.8, "home_team": "West Virginia Mountaineers", "is_dome": false, "is_fbs_vs_fcs": false, "is_neutral_site": false, "projected_away_points": 24.7, "projected_home_points": 29.0, "projected_margin_home": 4.2, "projected_possessions": 12.4, "projected_total": 53.7,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24.7,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80949748872149453547374057795412023731}, "uinteger": 0}, "spread_home_line": -40.5, "total_line": 56.5}, "market_type": "spread", "model_version": "cfb-spread-v1", "observed_at_utc": "2026-09-12T16:07:28.570172+00:00", "probabilities": {"away": 0.979267, "home": 0.020733, "push": 0.0}, "replay_scope": "Full precision score means, exact engine parameters and original RNG state; upstream feature construction not certified.", "schema": "cfb-joint-replay-v1", "snapshot_hash": "75e2cc4dbe55ecc01bbed6d113484e5e4d5b79f26dac51a086334e6e07468010", "sport": "NCAAF"}</t>
        </is>
      </c>
    </row>
    <row r="62" ht="36" customHeight="1">
      <c r="A62" s="24" t="inlineStr">
        <is>
          <t>0141ff5588e0413a</t>
        </is>
      </c>
      <c r="B62" s="24" t="inlineStr">
        <is>
          <t>2026-09-12T16:07:28.570172Z</t>
        </is>
      </c>
      <c r="C62" s="24" t="inlineStr">
        <is>
          <t>2026-09-12T17:00Z</t>
        </is>
      </c>
      <c r="D62" s="24" t="inlineStr">
        <is>
          <t>401856791</t>
        </is>
      </c>
      <c r="E62" s="24" t="inlineStr">
        <is>
          <t>NCAAF</t>
        </is>
      </c>
      <c r="F62" s="24" t="inlineStr">
        <is>
          <t>UT Martin Skyhawks</t>
        </is>
      </c>
      <c r="G62" s="24" t="inlineStr">
        <is>
          <t>West Virginia Mountaineers</t>
        </is>
      </c>
      <c r="H62" s="24" t="inlineStr">
        <is>
          <t>total</t>
        </is>
      </c>
      <c r="I62" s="24" t="inlineStr">
        <is>
          <t>under</t>
        </is>
      </c>
      <c r="J62" s="25" t="n">
        <v>56.5</v>
      </c>
      <c r="K62" s="24" t="inlineStr">
        <is>
          <t>espn_consensus</t>
        </is>
      </c>
      <c r="L62" s="26" t="n">
        <v>-110</v>
      </c>
      <c r="M62" s="27" t="n">
        <v>1.909091</v>
      </c>
      <c r="N62" s="28" t="n">
        <v>0.52381</v>
      </c>
      <c r="O62" s="28" t="n">
        <v>0.5792</v>
      </c>
      <c r="P62" s="28" t="n">
        <v>0.18</v>
      </c>
      <c r="Q62" s="28" t="n">
        <v>0.05539</v>
      </c>
      <c r="R62" s="26" t="n">
        <v>0</v>
      </c>
      <c r="S62" s="29" t="n">
        <v>1</v>
      </c>
      <c r="T62" s="24" t="inlineStr">
        <is>
          <t>cfb-total-v1</t>
        </is>
      </c>
      <c r="U62" s="24" t="inlineStr">
        <is>
          <t>settled</t>
        </is>
      </c>
      <c r="V62" s="24" t="inlineStr">
        <is>
          <t>loss</t>
        </is>
      </c>
      <c r="W62" s="26" t="n">
        <v>7</v>
      </c>
      <c r="X62" s="26" t="n">
        <v>52</v>
      </c>
      <c r="Y62" s="25" t="n"/>
      <c r="Z62" s="26" t="n"/>
      <c r="AA62" s="28" t="n"/>
      <c r="AB62" s="28" t="n"/>
      <c r="AC62" s="30" t="n">
        <v>-1</v>
      </c>
      <c r="AD62" s="24" t="inlineStr">
        <is>
          <t>2026-09-12T22:01:02.719757Z</t>
        </is>
      </c>
      <c r="AE62" s="31" t="inlineStr">
        <is>
          <t>Projected total 53.7 pts (Weather adj: +0.0 pts). Total line 56.5 -&gt; P(Over)=0.421, P(Under)=0.579, P(Push)=0.000.</t>
        </is>
      </c>
      <c r="AF62" s="31" t="inlineStr">
        <is>
          <t>College football model; multi-market (moneyline, spread, total).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4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UT Martin Skyhawks</t>
        </is>
      </c>
      <c r="AQ62" s="24" t="inlineStr">
        <is>
          <t>UT Martin Skyhawks</t>
        </is>
      </c>
      <c r="AR62" s="24" t="inlineStr">
        <is>
          <t>UT Martin Skyhawks</t>
        </is>
      </c>
      <c r="AS62" s="24" t="inlineStr">
        <is>
          <t>West Virginia Mountaineers</t>
        </is>
      </c>
      <c r="AT62" s="24" t="inlineStr">
        <is>
          <t>West Virginia Mountaineers</t>
        </is>
      </c>
      <c r="AU62" s="24" t="inlineStr">
        <is>
          <t>West Virginia Mountaineers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1d168f11d221cd3c</t>
        </is>
      </c>
      <c r="BB62" s="24" t="inlineStr">
        <is>
          <t>cfb_key_number_engine</t>
        </is>
      </c>
      <c r="BC62" s="24" t="inlineStr">
        <is>
          <t>cfb-total-v1</t>
        </is>
      </c>
      <c r="BD62" s="24" t="inlineStr">
        <is>
          <t>1d168f11d221cd3c</t>
        </is>
      </c>
      <c r="BE62" s="24" t="inlineStr">
        <is>
          <t>cfb-v1</t>
        </is>
      </c>
      <c r="BF62" s="24" t="inlineStr">
        <is>
          <t>1</t>
        </is>
      </c>
      <c r="BG62" s="24" t="inlineStr">
        <is>
          <t>1d168f11d221cd3c</t>
        </is>
      </c>
      <c r="BH62" s="24" t="inlineStr">
        <is>
          <t>2026-09-12T16:07:28.570172+00:00</t>
        </is>
      </c>
      <c r="BI62" s="24" t="inlineStr">
        <is>
          <t>["same_event","same_team_same_day","same_league_same_day"]</t>
        </is>
      </c>
      <c r="BJ62" s="25" t="n">
        <v>56.5</v>
      </c>
      <c r="BK62" s="26" t="n">
        <v>-110</v>
      </c>
      <c r="BL62" s="27" t="n">
        <v>1.909091</v>
      </c>
      <c r="BM62" s="28" t="n">
        <v>0.52381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0.52381</t>
        </is>
      </c>
      <c r="DK62" s="24" t="n"/>
      <c r="DL62" s="24" t="n"/>
      <c r="DM62" s="24" t="n"/>
      <c r="DN62" s="24" t="n"/>
      <c r="DO62" s="24" t="n"/>
      <c r="DP62" s="24" t="n"/>
      <c r="DQ62" s="24" t="inlineStr">
        <is>
          <t>{"artifact_hash": "1d168f11d221cd3c", "event_id": "401856791", "event_start_utc": "2026-09-12T17:00Z", "features": {"altitude_fatigue_penalty": 0.0, "away_team": "UT Martin Skyhawks", "efficiency_gap": 1.488, "elo_away": 1337.5, "elo_home": 1375.6, "elo_home_win_prob": 0.6441, "event_id": "401856791", "game_start_utc": "2026-09-12T17:00Z", "home_field_advantage_points": 2.8, "home_team": "West Virginia Mountaineers", "is_dome": false, "is_fbs_vs_fcs": false, "is_neutral_site": false, "projected_away_points": 24.7, "projected_home_points": 29.0, "projected_margin_home": 4.2, "projected_possessions": 12.4, "projected_total": 53.7,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24.7,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80949748872149453547374057795412023731}, "uinteger": 0}, "spread_home_line": -40.5, "total_line": 56.5}, "market_type": "total", "model_version": "cfb-total-v1", "observed_at_utc": "2026-09-12T16:07:28.570172+00:00", "probabilities": {"over": 0.4208, "push": 0.0, "under": 0.5792}, "replay_scope": "Full precision score means, exact engine parameters and original RNG state; upstream feature construction not certified.", "schema": "cfb-joint-replay-v1", "snapshot_hash": "0ba12fa00b43b74138f216dd22d6064834aa6f29fe7ac1f4d113f5e359cf6760", "sport": "NCAAF"}</t>
        </is>
      </c>
    </row>
    <row r="63" ht="36" customHeight="1">
      <c r="A63" s="24" t="inlineStr">
        <is>
          <t>a9bb08c7c4d242ca</t>
        </is>
      </c>
      <c r="B63" s="24" t="inlineStr">
        <is>
          <t>2026-09-12T16:07:28.570172Z</t>
        </is>
      </c>
      <c r="C63" s="24" t="inlineStr">
        <is>
          <t>2026-09-12T17:00Z</t>
        </is>
      </c>
      <c r="D63" s="24" t="inlineStr">
        <is>
          <t>401866415</t>
        </is>
      </c>
      <c r="E63" s="24" t="inlineStr">
        <is>
          <t>NCAAF</t>
        </is>
      </c>
      <c r="F63" s="24" t="inlineStr">
        <is>
          <t>Colgate Raiders</t>
        </is>
      </c>
      <c r="G63" s="24" t="inlineStr">
        <is>
          <t>Central Michigan Chippewas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espn_consensus</t>
        </is>
      </c>
      <c r="L63" s="26" t="n">
        <v>-1600</v>
      </c>
      <c r="M63" s="27" t="n">
        <v>1.0625</v>
      </c>
      <c r="N63" s="28" t="n">
        <v>0.941176</v>
      </c>
      <c r="O63" s="28" t="n">
        <v>0.586405</v>
      </c>
      <c r="P63" s="28" t="n">
        <v>0.18</v>
      </c>
      <c r="Q63" s="28" t="n">
        <v>-0.354771</v>
      </c>
      <c r="R63" s="26" t="n">
        <v>0</v>
      </c>
      <c r="S63" s="29" t="n">
        <v>1</v>
      </c>
      <c r="T63" s="24" t="inlineStr">
        <is>
          <t>college-football-v1</t>
        </is>
      </c>
      <c r="U63" s="24" t="inlineStr">
        <is>
          <t>settled</t>
        </is>
      </c>
      <c r="V63" s="24" t="inlineStr">
        <is>
          <t>win</t>
        </is>
      </c>
      <c r="W63" s="26" t="n">
        <v>10</v>
      </c>
      <c r="X63" s="26" t="n">
        <v>13</v>
      </c>
      <c r="Y63" s="25" t="n"/>
      <c r="Z63" s="26" t="n"/>
      <c r="AA63" s="28" t="n"/>
      <c r="AB63" s="28" t="n"/>
      <c r="AC63" s="30" t="n">
        <v>0.0625</v>
      </c>
      <c r="AD63" s="24" t="inlineStr">
        <is>
          <t>2026-09-12T22:01:03.081708Z</t>
        </is>
      </c>
      <c r="AE63" s="31" t="inlineStr">
        <is>
          <t>CFB Joint Model (negative_binomial): proj score Colgate Raiders 24.5 @ Central Michigan Chippewas 27.6 (Margin +3.1). Possessions: 12.4, HFA: +2.8 pts.</t>
        </is>
      </c>
      <c r="AF63" s="31" t="inlineStr">
        <is>
          <t>College football model; multi-market (moneyline, spread, total).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paper_call</t>
        </is>
      </c>
      <c r="AL63" s="26" t="n">
        <v>4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PAPER_CALL_LOW_EDGE</t>
        </is>
      </c>
      <c r="AP63" s="24" t="inlineStr">
        <is>
          <t>Colgate Raiders</t>
        </is>
      </c>
      <c r="AQ63" s="24" t="inlineStr">
        <is>
          <t>Colgate Raiders</t>
        </is>
      </c>
      <c r="AR63" s="24" t="inlineStr">
        <is>
          <t>Colgate Raiders</t>
        </is>
      </c>
      <c r="AS63" s="24" t="inlineStr">
        <is>
          <t>Central Michigan Chippewas</t>
        </is>
      </c>
      <c r="AT63" s="24" t="inlineStr">
        <is>
          <t>Central Michigan Chippewas</t>
        </is>
      </c>
      <c r="AU63" s="24" t="inlineStr">
        <is>
          <t>Central Michigan Chippewas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1d168f11d221cd3c</t>
        </is>
      </c>
      <c r="BB63" s="24" t="inlineStr">
        <is>
          <t>cfb_key_number_engine</t>
        </is>
      </c>
      <c r="BC63" s="24" t="inlineStr">
        <is>
          <t>college-football-v1</t>
        </is>
      </c>
      <c r="BD63" s="24" t="inlineStr">
        <is>
          <t>1d168f11d221cd3c</t>
        </is>
      </c>
      <c r="BE63" s="24" t="inlineStr">
        <is>
          <t>cfb-v1</t>
        </is>
      </c>
      <c r="BF63" s="24" t="inlineStr">
        <is>
          <t>1</t>
        </is>
      </c>
      <c r="BG63" s="24" t="inlineStr">
        <is>
          <t>1d168f11d221cd3c</t>
        </is>
      </c>
      <c r="BH63" s="24" t="inlineStr">
        <is>
          <t>2026-09-12T16:07:28.570172+00:00</t>
        </is>
      </c>
      <c r="BI63" s="24" t="inlineStr">
        <is>
          <t>["same_event","same_team_same_day","same_league_same_day"]</t>
        </is>
      </c>
      <c r="BJ63" s="25" t="n"/>
      <c r="BK63" s="26" t="n">
        <v>-1600</v>
      </c>
      <c r="BL63" s="27" t="n">
        <v>1.0625</v>
      </c>
      <c r="BM63" s="28" t="n">
        <v>0.941176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>
        <v>1</v>
      </c>
      <c r="BY63" s="27" t="n">
        <v>0.0625</v>
      </c>
      <c r="BZ63" s="24" t="inlineStr">
        <is>
          <t>2026-09-12T22:01:03.081708Z</t>
        </is>
      </c>
      <c r="CA63" s="31" t="inlineStr">
        <is>
          <t>fixed one-unit hypothetical scoring; no real exposure or execution</t>
        </is>
      </c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0.941176</t>
        </is>
      </c>
      <c r="DK63" s="24" t="n"/>
      <c r="DL63" s="24" t="n"/>
      <c r="DM63" s="24" t="n"/>
      <c r="DN63" s="24" t="n"/>
      <c r="DO63" s="24" t="n"/>
      <c r="DP63" s="24" t="n"/>
      <c r="DQ63" s="24" t="inlineStr">
        <is>
          <t>{"artifact_hash": "1d168f11d221cd3c", "event_id": "401866415", "event_start_utc": "2026-09-12T17:00Z", "features": {"altitude_fatigue_penalty": 0.0, "away_team": "Colgate Raiders", "efficiency_gap": -0.435, "elo_away": 1337.5, "elo_home": 1348.3, "elo_home_win_prob": 0.6073, "event_id": "401866415", "game_start_utc": "2026-09-12T17:00Z", "home_field_advantage_points": 2.8, "home_team": "Central Michigan Chippewas", "is_dome": false, "is_fbs_vs_fcs": false, "is_neutral_site": false, "projected_away_points": 24.5, "projected_home_points": 27.6, "projected_margin_home": 3.1, "projected_possessions": 12.4, "projected_total": 52.2,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24.5, "mu_home": 27.6,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304255292304801336746510340000564394110}, "uinteger": 0}, "spread_home_line": -18.5, "total_line": 49.5}, "market_type": "moneyline", "model_version": "college-football-v1", "observed_at_utc": "2026-09-12T16:07:28.570172+00:00", "probabilities": {"away": 0.413595, "home": 0.586405}, "replay_scope": "Full precision score means, exact engine parameters and original RNG state; upstream feature construction not certified.", "schema": "cfb-joint-replay-v1", "snapshot_hash": "bb10a5b21c5430dc7cda4100d04bb5ffd6c1b9bc609ede0d1612c5f17cf78fa0", "sport": "NCAAF"}</t>
        </is>
      </c>
    </row>
    <row r="64" ht="36" customHeight="1">
      <c r="A64" s="24" t="inlineStr">
        <is>
          <t>9a9d6880149f48ea</t>
        </is>
      </c>
      <c r="B64" s="24" t="inlineStr">
        <is>
          <t>2026-09-12T16:07:28.570172Z</t>
        </is>
      </c>
      <c r="C64" s="24" t="inlineStr">
        <is>
          <t>2026-09-12T17:00Z</t>
        </is>
      </c>
      <c r="D64" s="24" t="inlineStr">
        <is>
          <t>401866415</t>
        </is>
      </c>
      <c r="E64" s="24" t="inlineStr">
        <is>
          <t>NCAAF</t>
        </is>
      </c>
      <c r="F64" s="24" t="inlineStr">
        <is>
          <t>Colgate Raiders</t>
        </is>
      </c>
      <c r="G64" s="24" t="inlineStr">
        <is>
          <t>Central Michigan Chippewas</t>
        </is>
      </c>
      <c r="H64" s="24" t="inlineStr">
        <is>
          <t>spread</t>
        </is>
      </c>
      <c r="I64" s="24" t="inlineStr">
        <is>
          <t>away</t>
        </is>
      </c>
      <c r="J64" s="25" t="n">
        <v>18.5</v>
      </c>
      <c r="K64" s="24" t="inlineStr">
        <is>
          <t>espn_consensus</t>
        </is>
      </c>
      <c r="L64" s="26" t="n">
        <v>-112</v>
      </c>
      <c r="M64" s="27" t="n">
        <v>1.892857</v>
      </c>
      <c r="N64" s="28" t="n">
        <v>0.528302</v>
      </c>
      <c r="O64" s="28" t="n">
        <v>0.819933</v>
      </c>
      <c r="P64" s="28" t="n">
        <v>0.18</v>
      </c>
      <c r="Q64" s="28" t="n">
        <v>0.291631</v>
      </c>
      <c r="R64" s="26" t="n">
        <v>88</v>
      </c>
      <c r="S64" s="29" t="n">
        <v>1.75</v>
      </c>
      <c r="T64" s="24" t="inlineStr">
        <is>
          <t>cfb-spread-v1</t>
        </is>
      </c>
      <c r="U64" s="24" t="inlineStr">
        <is>
          <t>settled</t>
        </is>
      </c>
      <c r="V64" s="24" t="inlineStr">
        <is>
          <t>win</t>
        </is>
      </c>
      <c r="W64" s="26" t="n">
        <v>10</v>
      </c>
      <c r="X64" s="26" t="n">
        <v>13</v>
      </c>
      <c r="Y64" s="25" t="n"/>
      <c r="Z64" s="26" t="n"/>
      <c r="AA64" s="28" t="n"/>
      <c r="AB64" s="28" t="n"/>
      <c r="AC64" s="30" t="n">
        <v>1.5625</v>
      </c>
      <c r="AD64" s="24" t="inlineStr">
        <is>
          <t>2026-09-12T22:01:03.409442Z</t>
        </is>
      </c>
      <c r="AE64" s="31" t="inlineStr">
        <is>
          <t>Projected home margin +3.1 pts. Spread: Home -18.5 / Away +18.5 -&gt; P(Away cover)=0.820, P(Home cover)=0.180, P(Push)=0.000.</t>
        </is>
      </c>
      <c r="AF64" s="31" t="inlineStr">
        <is>
          <t>College football model; multi-market (moneyline, spread, total).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4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Colgate Raiders</t>
        </is>
      </c>
      <c r="AQ64" s="24" t="inlineStr">
        <is>
          <t>Colgate Raiders</t>
        </is>
      </c>
      <c r="AR64" s="24" t="inlineStr">
        <is>
          <t>Colgate Raiders</t>
        </is>
      </c>
      <c r="AS64" s="24" t="inlineStr">
        <is>
          <t>Central Michigan Chippewas</t>
        </is>
      </c>
      <c r="AT64" s="24" t="inlineStr">
        <is>
          <t>Central Michigan Chippewas</t>
        </is>
      </c>
      <c r="AU64" s="24" t="inlineStr">
        <is>
          <t>Central Michigan Chippewas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1d168f11d221cd3c</t>
        </is>
      </c>
      <c r="BB64" s="24" t="inlineStr">
        <is>
          <t>cfb_key_number_engine</t>
        </is>
      </c>
      <c r="BC64" s="24" t="inlineStr">
        <is>
          <t>cfb-spread-v1</t>
        </is>
      </c>
      <c r="BD64" s="24" t="inlineStr">
        <is>
          <t>1d168f11d221cd3c</t>
        </is>
      </c>
      <c r="BE64" s="24" t="inlineStr">
        <is>
          <t>cfb-v1</t>
        </is>
      </c>
      <c r="BF64" s="24" t="inlineStr">
        <is>
          <t>1</t>
        </is>
      </c>
      <c r="BG64" s="24" t="inlineStr">
        <is>
          <t>1d168f11d221cd3c</t>
        </is>
      </c>
      <c r="BH64" s="24" t="inlineStr">
        <is>
          <t>2026-09-12T16:07:28.570172+00:00</t>
        </is>
      </c>
      <c r="BI64" s="24" t="inlineStr">
        <is>
          <t>["same_event","same_team_same_day","same_league_same_day"]</t>
        </is>
      </c>
      <c r="BJ64" s="25" t="n">
        <v>18.5</v>
      </c>
      <c r="BK64" s="26" t="n">
        <v>-112</v>
      </c>
      <c r="BL64" s="27" t="n">
        <v>1.892857</v>
      </c>
      <c r="BM64" s="28" t="n">
        <v>0.528302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0.528302</t>
        </is>
      </c>
      <c r="DK64" s="24" t="n"/>
      <c r="DL64" s="24" t="n"/>
      <c r="DM64" s="24" t="n"/>
      <c r="DN64" s="24" t="n"/>
      <c r="DO64" s="24" t="n"/>
      <c r="DP64" s="24" t="n"/>
      <c r="DQ64" s="24" t="inlineStr">
        <is>
          <t>{"artifact_hash": "1d168f11d221cd3c", "event_id": "401866415", "event_start_utc": "2026-09-12T17:00Z", "features": {"altitude_fatigue_penalty": 0.0, "away_team": "Colgate Raiders", "efficiency_gap": -0.435, "elo_away": 1337.5, "elo_home": 1348.3, "elo_home_win_prob": 0.6073, "event_id": "401866415", "game_start_utc": "2026-09-12T17:00Z", "home_field_advantage_points": 2.8, "home_team": "Central Michigan Chippewas", "is_dome": false, "is_fbs_vs_fcs": false, "is_neutral_site": false, "projected_away_points": 24.5, "projected_home_points": 27.6, "projected_margin_home": 3.1, "projected_possessions": 12.4, "projected_total": 52.2,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24.5, "mu_home": 27.6,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304255292304801336746510340000564394110}, "uinteger": 0}, "spread_home_line": -18.5, "total_line": 49.5}, "market_type": "spread", "model_version": "cfb-spread-v1", "observed_at_utc": "2026-09-12T16:07:28.570172+00:00", "probabilities": {"away": 0.819933, "home": 0.180067, "push": 0.0}, "replay_scope": "Full precision score means, exact engine parameters and original RNG state; upstream feature construction not certified.", "schema": "cfb-joint-replay-v1", "snapshot_hash": "12c0040bb233c0c1c7f118dbeca2102ac401470ad9f0d6324b3c8cc44f8f19d1", "sport": "NCAAF"}</t>
        </is>
      </c>
    </row>
    <row r="65" ht="36" customHeight="1">
      <c r="A65" s="24" t="inlineStr">
        <is>
          <t>eedbf9a0064743cd</t>
        </is>
      </c>
      <c r="B65" s="24" t="inlineStr">
        <is>
          <t>2026-09-12T16:07:28.570172Z</t>
        </is>
      </c>
      <c r="C65" s="24" t="inlineStr">
        <is>
          <t>2026-09-12T17:00Z</t>
        </is>
      </c>
      <c r="D65" s="24" t="inlineStr">
        <is>
          <t>401866415</t>
        </is>
      </c>
      <c r="E65" s="24" t="inlineStr">
        <is>
          <t>NCAAF</t>
        </is>
      </c>
      <c r="F65" s="24" t="inlineStr">
        <is>
          <t>Colgate Raiders</t>
        </is>
      </c>
      <c r="G65" s="24" t="inlineStr">
        <is>
          <t>Central Michigan Chippewas</t>
        </is>
      </c>
      <c r="H65" s="24" t="inlineStr">
        <is>
          <t>total</t>
        </is>
      </c>
      <c r="I65" s="24" t="inlineStr">
        <is>
          <t>over</t>
        </is>
      </c>
      <c r="J65" s="25" t="n">
        <v>49.5</v>
      </c>
      <c r="K65" s="24" t="inlineStr">
        <is>
          <t>espn_consensus</t>
        </is>
      </c>
      <c r="L65" s="26" t="n">
        <v>-105</v>
      </c>
      <c r="M65" s="27" t="n">
        <v>1.952381</v>
      </c>
      <c r="N65" s="28" t="n">
        <v>0.512195</v>
      </c>
      <c r="O65" s="28" t="n">
        <v>0.527867</v>
      </c>
      <c r="P65" s="28" t="n">
        <v>0.18</v>
      </c>
      <c r="Q65" s="28" t="n">
        <v>0.015672</v>
      </c>
      <c r="R65" s="26" t="n">
        <v>0</v>
      </c>
      <c r="S65" s="29" t="n">
        <v>1</v>
      </c>
      <c r="T65" s="24" t="inlineStr">
        <is>
          <t>cfb-total-v1</t>
        </is>
      </c>
      <c r="U65" s="24" t="inlineStr">
        <is>
          <t>settled</t>
        </is>
      </c>
      <c r="V65" s="24" t="inlineStr">
        <is>
          <t>loss</t>
        </is>
      </c>
      <c r="W65" s="26" t="n">
        <v>10</v>
      </c>
      <c r="X65" s="26" t="n">
        <v>13</v>
      </c>
      <c r="Y65" s="25" t="n"/>
      <c r="Z65" s="26" t="n"/>
      <c r="AA65" s="28" t="n"/>
      <c r="AB65" s="28" t="n"/>
      <c r="AC65" s="30" t="n">
        <v>-1</v>
      </c>
      <c r="AD65" s="24" t="inlineStr">
        <is>
          <t>2026-09-12T22:01:03.771301Z</t>
        </is>
      </c>
      <c r="AE65" s="31" t="inlineStr">
        <is>
          <t>Projected total 52.2 pts (Weather adj: +0.0 pts). Total line 49.5 -&gt; P(Over)=0.528, P(Under)=0.472, P(Push)=0.000.</t>
        </is>
      </c>
      <c r="AF65" s="31" t="inlineStr">
        <is>
          <t>College football model; multi-market (moneyline, spread, total).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paper_call</t>
        </is>
      </c>
      <c r="AL65" s="26" t="n">
        <v>4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PAPER_CALL_LOW_EDGE</t>
        </is>
      </c>
      <c r="AP65" s="24" t="inlineStr">
        <is>
          <t>Colgate Raiders</t>
        </is>
      </c>
      <c r="AQ65" s="24" t="inlineStr">
        <is>
          <t>Colgate Raiders</t>
        </is>
      </c>
      <c r="AR65" s="24" t="inlineStr">
        <is>
          <t>Colgate Raiders</t>
        </is>
      </c>
      <c r="AS65" s="24" t="inlineStr">
        <is>
          <t>Central Michigan Chippewas</t>
        </is>
      </c>
      <c r="AT65" s="24" t="inlineStr">
        <is>
          <t>Central Michigan Chippewas</t>
        </is>
      </c>
      <c r="AU65" s="24" t="inlineStr">
        <is>
          <t>Central Michigan Chippewas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1d168f11d221cd3c</t>
        </is>
      </c>
      <c r="BB65" s="24" t="inlineStr">
        <is>
          <t>cfb_key_number_engine</t>
        </is>
      </c>
      <c r="BC65" s="24" t="inlineStr">
        <is>
          <t>cfb-total-v1</t>
        </is>
      </c>
      <c r="BD65" s="24" t="inlineStr">
        <is>
          <t>1d168f11d221cd3c</t>
        </is>
      </c>
      <c r="BE65" s="24" t="inlineStr">
        <is>
          <t>cfb-v1</t>
        </is>
      </c>
      <c r="BF65" s="24" t="inlineStr">
        <is>
          <t>1</t>
        </is>
      </c>
      <c r="BG65" s="24" t="inlineStr">
        <is>
          <t>1d168f11d221cd3c</t>
        </is>
      </c>
      <c r="BH65" s="24" t="inlineStr">
        <is>
          <t>2026-09-12T16:07:28.570172+00:00</t>
        </is>
      </c>
      <c r="BI65" s="24" t="inlineStr">
        <is>
          <t>["same_event","same_team_same_day","same_league_same_day"]</t>
        </is>
      </c>
      <c r="BJ65" s="25" t="n">
        <v>49.5</v>
      </c>
      <c r="BK65" s="26" t="n">
        <v>-105</v>
      </c>
      <c r="BL65" s="27" t="n">
        <v>1.952381</v>
      </c>
      <c r="BM65" s="28" t="n">
        <v>0.512195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>
        <v>1</v>
      </c>
      <c r="BY65" s="27" t="n">
        <v>-1</v>
      </c>
      <c r="BZ65" s="24" t="inlineStr">
        <is>
          <t>2026-09-12T22:01:03.771301Z</t>
        </is>
      </c>
      <c r="CA65" s="31" t="inlineStr">
        <is>
          <t>fixed one-unit hypothetical scoring; no real exposure or execution</t>
        </is>
      </c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0.512195</t>
        </is>
      </c>
      <c r="DK65" s="24" t="n"/>
      <c r="DL65" s="24" t="n"/>
      <c r="DM65" s="24" t="n"/>
      <c r="DN65" s="24" t="n"/>
      <c r="DO65" s="24" t="n"/>
      <c r="DP65" s="24" t="n"/>
      <c r="DQ65" s="24" t="inlineStr">
        <is>
          <t>{"artifact_hash": "1d168f11d221cd3c", "event_id": "401866415", "event_start_utc": "2026-09-12T17:00Z", "features": {"altitude_fatigue_penalty": 0.0, "away_team": "Colgate Raiders", "efficiency_gap": -0.435, "elo_away": 1337.5, "elo_home": 1348.3, "elo_home_win_prob": 0.6073, "event_id": "401866415", "game_start_utc": "2026-09-12T17:00Z", "home_field_advantage_points": 2.8, "home_team": "Central Michigan Chippewas", "is_dome": false, "is_fbs_vs_fcs": false, "is_neutral_site": false, "projected_away_points": 24.5, "projected_home_points": 27.6, "projected_margin_home": 3.1, "projected_possessions": 12.4, "projected_total": 52.2,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24.5, "mu_home": 27.6,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304255292304801336746510340000564394110}, "uinteger": 0}, "spread_home_line": -18.5, "total_line": 49.5}, "market_type": "total", "model_version": "cfb-total-v1", "observed_at_utc": "2026-09-12T16:07:28.570172+00:00", "probabilities": {"over": 0.527867, "push": 0.0, "under": 0.472133}, "replay_scope": "Full precision score means, exact engine parameters and original RNG state; upstream feature construction not certified.", "schema": "cfb-joint-replay-v1", "snapshot_hash": "7b09a96d511038e5a2efa2159265951fa7123b2b20cc7d522576f73799af5181", "sport": "NCAAF"}</t>
        </is>
      </c>
    </row>
    <row r="66" ht="36" customHeight="1">
      <c r="A66" s="24" t="inlineStr">
        <is>
          <t>2eb83ade09b64d64</t>
        </is>
      </c>
      <c r="B66" s="24" t="inlineStr">
        <is>
          <t>2026-09-12T16:07:28.570172Z</t>
        </is>
      </c>
      <c r="C66" s="24" t="inlineStr">
        <is>
          <t>2026-09-12T17:00Z</t>
        </is>
      </c>
      <c r="D66" s="24" t="inlineStr">
        <is>
          <t>401866417</t>
        </is>
      </c>
      <c r="E66" s="24" t="inlineStr">
        <is>
          <t>NCAAF</t>
        </is>
      </c>
      <c r="F66" s="24" t="inlineStr">
        <is>
          <t>Holy Cross Crusaders</t>
        </is>
      </c>
      <c r="G66" s="24" t="inlineStr">
        <is>
          <t>Miami (OH) RedHawks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espn_consensus</t>
        </is>
      </c>
      <c r="L66" s="26" t="n">
        <v>-6500</v>
      </c>
      <c r="M66" s="27" t="n">
        <v>1.015385</v>
      </c>
      <c r="N66" s="28" t="n">
        <v>0.9848479999999999</v>
      </c>
      <c r="O66" s="28" t="n">
        <v>0.610619</v>
      </c>
      <c r="P66" s="28" t="n">
        <v>0.18</v>
      </c>
      <c r="Q66" s="28" t="n">
        <v>-0.374229</v>
      </c>
      <c r="R66" s="26" t="n">
        <v>0</v>
      </c>
      <c r="S66" s="29" t="n">
        <v>1</v>
      </c>
      <c r="T66" s="24" t="inlineStr">
        <is>
          <t>college-football-v1</t>
        </is>
      </c>
      <c r="U66" s="24" t="inlineStr">
        <is>
          <t>settled</t>
        </is>
      </c>
      <c r="V66" s="24" t="inlineStr">
        <is>
          <t>win</t>
        </is>
      </c>
      <c r="W66" s="26" t="n">
        <v>7</v>
      </c>
      <c r="X66" s="26" t="n">
        <v>45</v>
      </c>
      <c r="Y66" s="25" t="n"/>
      <c r="Z66" s="26" t="n"/>
      <c r="AA66" s="28" t="n"/>
      <c r="AB66" s="28" t="n"/>
      <c r="AC66" s="30" t="n">
        <v>0.0154</v>
      </c>
      <c r="AD66" s="24" t="inlineStr">
        <is>
          <t>2026-09-12T22:01:04.211621Z</t>
        </is>
      </c>
      <c r="AE66" s="31" t="inlineStr">
        <is>
          <t>CFB Joint Model (negative_binomial): proj score Holy Cross Crusaders 24.0 @ Miami (OH) RedHawks 28.4 (Margin +4.3). Possessions: 12.4, HFA: +2.8 pts.</t>
        </is>
      </c>
      <c r="AF66" s="31" t="inlineStr">
        <is>
          <t>College football model; multi-market (moneyline, spread, total).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PAPER_CALL_LOW_EDGE</t>
        </is>
      </c>
      <c r="AP66" s="24" t="inlineStr">
        <is>
          <t>Holy Cross Crusaders</t>
        </is>
      </c>
      <c r="AQ66" s="24" t="inlineStr">
        <is>
          <t>Holy Cross Crusaders</t>
        </is>
      </c>
      <c r="AR66" s="24" t="inlineStr">
        <is>
          <t>Holy Cross Crusaders</t>
        </is>
      </c>
      <c r="AS66" s="24" t="inlineStr">
        <is>
          <t>Miami (OH) RedHawks</t>
        </is>
      </c>
      <c r="AT66" s="24" t="inlineStr">
        <is>
          <t>Miami (OH) RedHawks</t>
        </is>
      </c>
      <c r="AU66" s="24" t="inlineStr">
        <is>
          <t>Miami (OH) RedHawks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1d168f11d221cd3c</t>
        </is>
      </c>
      <c r="BB66" s="24" t="inlineStr">
        <is>
          <t>cfb_key_number_engine</t>
        </is>
      </c>
      <c r="BC66" s="24" t="inlineStr">
        <is>
          <t>college-football-v1</t>
        </is>
      </c>
      <c r="BD66" s="24" t="inlineStr">
        <is>
          <t>1d168f11d221cd3c</t>
        </is>
      </c>
      <c r="BE66" s="24" t="inlineStr">
        <is>
          <t>cfb-v1</t>
        </is>
      </c>
      <c r="BF66" s="24" t="inlineStr">
        <is>
          <t>1</t>
        </is>
      </c>
      <c r="BG66" s="24" t="inlineStr">
        <is>
          <t>1d168f11d221cd3c</t>
        </is>
      </c>
      <c r="BH66" s="24" t="inlineStr">
        <is>
          <t>2026-09-12T16:07:28.570172+00:00</t>
        </is>
      </c>
      <c r="BI66" s="24" t="inlineStr">
        <is>
          <t>["same_event","same_team_same_day","same_league_same_day"]</t>
        </is>
      </c>
      <c r="BJ66" s="25" t="n"/>
      <c r="BK66" s="26" t="n">
        <v>-6500</v>
      </c>
      <c r="BL66" s="27" t="n">
        <v>1.015385</v>
      </c>
      <c r="BM66" s="28" t="n">
        <v>0.9848479999999999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>
        <v>1</v>
      </c>
      <c r="BY66" s="27" t="n">
        <v>0.015385</v>
      </c>
      <c r="BZ66" s="24" t="inlineStr">
        <is>
          <t>2026-09-12T22:01:04.211621Z</t>
        </is>
      </c>
      <c r="CA66" s="31" t="inlineStr">
        <is>
          <t>fixed one-unit hypothetical scoring; no real exposure or execution</t>
        </is>
      </c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0.984848</t>
        </is>
      </c>
      <c r="DK66" s="24" t="n"/>
      <c r="DL66" s="24" t="n"/>
      <c r="DM66" s="24" t="n"/>
      <c r="DN66" s="24" t="n"/>
      <c r="DO66" s="24" t="n"/>
      <c r="DP66" s="24" t="n"/>
      <c r="DQ66" s="24" t="inlineStr">
        <is>
          <t>{"artifact_hash": "1d168f11d221cd3c", "event_id": "401866417", "event_start_utc": "2026-09-12T17:00Z", "features": {"altitude_fatigue_penalty": 0.0, "away_team": "Holy Cross Crusaders", "efficiency_gap": -0.683, "elo_away": 1337.5, "elo_home": 1378.8, "elo_home_win_prob": 0.6484, "event_id": "401866417", "game_start_utc": "2026-09-12T17:00Z", "home_field_advantage_points": 2.8, "home_team": "Miami (OH) RedHawks", "is_dome": false, "is_fbs_vs_fcs": false, "is_neutral_site": false, "projected_away_points": 24.0, "projected_home_points": 28.4, "projected_margin_home": 4.3,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24.0, "mu_home": 28.4,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266873790215874487196982780199065912519}, "uinteger": 0}, "spread_home_line": -30.5, "total_line": 47.5}, "market_type": "moneyline", "model_version": "college-football-v1", "observed_at_utc": "2026-09-12T16:07:28.570172+00:00", "probabilities": {"away": 0.389381, "home": 0.610619}, "replay_scope": "Full precision score means, exact engine parameters and original RNG state; upstream feature construction not certified.", "schema": "cfb-joint-replay-v1", "snapshot_hash": "488a55470cc3a88276955389d6bd41f360089387f783ceaa09133b4e060ca61c", "sport": "NCAAF"}</t>
        </is>
      </c>
    </row>
    <row r="67" ht="36" customHeight="1">
      <c r="A67" s="24" t="inlineStr">
        <is>
          <t>634076d3879448e3</t>
        </is>
      </c>
      <c r="B67" s="24" t="inlineStr">
        <is>
          <t>2026-09-12T16:07:28.570172Z</t>
        </is>
      </c>
      <c r="C67" s="24" t="inlineStr">
        <is>
          <t>2026-09-12T17:00Z</t>
        </is>
      </c>
      <c r="D67" s="24" t="inlineStr">
        <is>
          <t>401866417</t>
        </is>
      </c>
      <c r="E67" s="24" t="inlineStr">
        <is>
          <t>NCAAF</t>
        </is>
      </c>
      <c r="F67" s="24" t="inlineStr">
        <is>
          <t>Holy Cross Crusaders</t>
        </is>
      </c>
      <c r="G67" s="24" t="inlineStr">
        <is>
          <t>Miami (OH) RedHawks</t>
        </is>
      </c>
      <c r="H67" s="24" t="inlineStr">
        <is>
          <t>spread</t>
        </is>
      </c>
      <c r="I67" s="24" t="inlineStr">
        <is>
          <t>away</t>
        </is>
      </c>
      <c r="J67" s="25" t="n">
        <v>30.5</v>
      </c>
      <c r="K67" s="24" t="inlineStr">
        <is>
          <t>espn_consensus</t>
        </is>
      </c>
      <c r="L67" s="26" t="n">
        <v>-108</v>
      </c>
      <c r="M67" s="27" t="n">
        <v>1.925926</v>
      </c>
      <c r="N67" s="28" t="n">
        <v>0.519231</v>
      </c>
      <c r="O67" s="28" t="n">
        <v>0.938267</v>
      </c>
      <c r="P67" s="28" t="n">
        <v>0.18</v>
      </c>
      <c r="Q67" s="28" t="n">
        <v>0.419036</v>
      </c>
      <c r="R67" s="26" t="n">
        <v>100</v>
      </c>
      <c r="S67" s="29" t="n">
        <v>2</v>
      </c>
      <c r="T67" s="24" t="inlineStr">
        <is>
          <t>cfb-spread-v1</t>
        </is>
      </c>
      <c r="U67" s="24" t="inlineStr">
        <is>
          <t>settled</t>
        </is>
      </c>
      <c r="V67" s="24" t="inlineStr">
        <is>
          <t>loss</t>
        </is>
      </c>
      <c r="W67" s="26" t="n">
        <v>7</v>
      </c>
      <c r="X67" s="26" t="n">
        <v>45</v>
      </c>
      <c r="Y67" s="25" t="n"/>
      <c r="Z67" s="26" t="n"/>
      <c r="AA67" s="28" t="n"/>
      <c r="AB67" s="28" t="n"/>
      <c r="AC67" s="30" t="n">
        <v>-2</v>
      </c>
      <c r="AD67" s="24" t="inlineStr">
        <is>
          <t>2026-09-12T22:01:04.534682Z</t>
        </is>
      </c>
      <c r="AE67" s="31" t="inlineStr">
        <is>
          <t>Projected home margin +4.3 pts. Spread: Home -30.5 / Away +30.5 -&gt; P(Away cover)=0.938, P(Home cover)=0.062, P(Push)=0.000.</t>
        </is>
      </c>
      <c r="AF67" s="31" t="inlineStr">
        <is>
          <t>College football model; multi-market (moneyline, spread, total).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4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Holy Cross Crusaders</t>
        </is>
      </c>
      <c r="AQ67" s="24" t="inlineStr">
        <is>
          <t>Holy Cross Crusaders</t>
        </is>
      </c>
      <c r="AR67" s="24" t="inlineStr">
        <is>
          <t>Holy Cross Crusaders</t>
        </is>
      </c>
      <c r="AS67" s="24" t="inlineStr">
        <is>
          <t>Miami (OH) RedHawks</t>
        </is>
      </c>
      <c r="AT67" s="24" t="inlineStr">
        <is>
          <t>Miami (OH) RedHawks</t>
        </is>
      </c>
      <c r="AU67" s="24" t="inlineStr">
        <is>
          <t>Miami (OH) RedHawks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1d168f11d221cd3c</t>
        </is>
      </c>
      <c r="BB67" s="24" t="inlineStr">
        <is>
          <t>cfb_key_number_engine</t>
        </is>
      </c>
      <c r="BC67" s="24" t="inlineStr">
        <is>
          <t>cfb-spread-v1</t>
        </is>
      </c>
      <c r="BD67" s="24" t="inlineStr">
        <is>
          <t>1d168f11d221cd3c</t>
        </is>
      </c>
      <c r="BE67" s="24" t="inlineStr">
        <is>
          <t>cfb-v1</t>
        </is>
      </c>
      <c r="BF67" s="24" t="inlineStr">
        <is>
          <t>1</t>
        </is>
      </c>
      <c r="BG67" s="24" t="inlineStr">
        <is>
          <t>1d168f11d221cd3c</t>
        </is>
      </c>
      <c r="BH67" s="24" t="inlineStr">
        <is>
          <t>2026-09-12T16:07:28.570172+00:00</t>
        </is>
      </c>
      <c r="BI67" s="24" t="inlineStr">
        <is>
          <t>["same_event","same_team_same_day","same_league_same_day"]</t>
        </is>
      </c>
      <c r="BJ67" s="25" t="n">
        <v>30.5</v>
      </c>
      <c r="BK67" s="26" t="n">
        <v>-108</v>
      </c>
      <c r="BL67" s="27" t="n">
        <v>1.925926</v>
      </c>
      <c r="BM67" s="28" t="n">
        <v>0.519231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0.519231</t>
        </is>
      </c>
      <c r="DK67" s="24" t="n"/>
      <c r="DL67" s="24" t="n"/>
      <c r="DM67" s="24" t="n"/>
      <c r="DN67" s="24" t="n"/>
      <c r="DO67" s="24" t="n"/>
      <c r="DP67" s="24" t="n"/>
      <c r="DQ67" s="24" t="inlineStr">
        <is>
          <t>{"artifact_hash": "1d168f11d221cd3c", "event_id": "401866417", "event_start_utc": "2026-09-12T17:00Z", "features": {"altitude_fatigue_penalty": 0.0, "away_team": "Holy Cross Crusaders", "efficiency_gap": -0.683, "elo_away": 1337.5, "elo_home": 1378.8, "elo_home_win_prob": 0.6484, "event_id": "401866417", "game_start_utc": "2026-09-12T17:00Z", "home_field_advantage_points": 2.8, "home_team": "Miami (OH) RedHawks", "is_dome": false, "is_fbs_vs_fcs": false, "is_neutral_site": false, "projected_away_points": 24.0, "projected_home_points": 28.4, "projected_margin_home": 4.3,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24.0, "mu_home": 28.4,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266873790215874487196982780199065912519}, "uinteger": 0}, "spread_home_line": -30.5, "total_line": 47.5}, "market_type": "spread", "model_version": "cfb-spread-v1", "observed_at_utc": "2026-09-12T16:07:28.570172+00:00", "probabilities": {"away": 0.938267, "home": 0.061733, "push": 0.0}, "replay_scope": "Full precision score means, exact engine parameters and original RNG state; upstream feature construction not certified.", "schema": "cfb-joint-replay-v1", "snapshot_hash": "0b153e34fe6920353214a68a8de32025744dc7c3df9ff94a4de7d6a8c17b3b4f", "sport": "NCAAF"}</t>
        </is>
      </c>
    </row>
    <row r="68" ht="36" customHeight="1">
      <c r="A68" s="24" t="inlineStr">
        <is>
          <t>8ee6a865e1f445fe</t>
        </is>
      </c>
      <c r="B68" s="24" t="inlineStr">
        <is>
          <t>2026-09-12T16:07:28.570172Z</t>
        </is>
      </c>
      <c r="C68" s="24" t="inlineStr">
        <is>
          <t>2026-09-12T17:00Z</t>
        </is>
      </c>
      <c r="D68" s="24" t="inlineStr">
        <is>
          <t>401866417</t>
        </is>
      </c>
      <c r="E68" s="24" t="inlineStr">
        <is>
          <t>NCAAF</t>
        </is>
      </c>
      <c r="F68" s="24" t="inlineStr">
        <is>
          <t>Holy Cross Crusaders</t>
        </is>
      </c>
      <c r="G68" s="24" t="inlineStr">
        <is>
          <t>Miami (OH) RedHawks</t>
        </is>
      </c>
      <c r="H68" s="24" t="inlineStr">
        <is>
          <t>total</t>
        </is>
      </c>
      <c r="I68" s="24" t="inlineStr">
        <is>
          <t>over</t>
        </is>
      </c>
      <c r="J68" s="25" t="n">
        <v>47.5</v>
      </c>
      <c r="K68" s="24" t="inlineStr">
        <is>
          <t>espn_consensus</t>
        </is>
      </c>
      <c r="L68" s="26" t="n">
        <v>-105</v>
      </c>
      <c r="M68" s="27" t="n">
        <v>1.952381</v>
      </c>
      <c r="N68" s="28" t="n">
        <v>0.512195</v>
      </c>
      <c r="O68" s="28" t="n">
        <v>0.5716</v>
      </c>
      <c r="P68" s="28" t="n">
        <v>0.18</v>
      </c>
      <c r="Q68" s="28" t="n">
        <v>0.059405</v>
      </c>
      <c r="R68" s="26" t="n">
        <v>0</v>
      </c>
      <c r="S68" s="29" t="n">
        <v>1</v>
      </c>
      <c r="T68" s="24" t="inlineStr">
        <is>
          <t>cfb-total-v1</t>
        </is>
      </c>
      <c r="U68" s="24" t="inlineStr">
        <is>
          <t>settled</t>
        </is>
      </c>
      <c r="V68" s="24" t="inlineStr">
        <is>
          <t>win</t>
        </is>
      </c>
      <c r="W68" s="26" t="n">
        <v>7</v>
      </c>
      <c r="X68" s="26" t="n">
        <v>45</v>
      </c>
      <c r="Y68" s="25" t="n"/>
      <c r="Z68" s="26" t="n"/>
      <c r="AA68" s="28" t="n"/>
      <c r="AB68" s="28" t="n"/>
      <c r="AC68" s="30" t="n">
        <v>0.9524</v>
      </c>
      <c r="AD68" s="24" t="inlineStr">
        <is>
          <t>2026-09-12T22:01:04.894795Z</t>
        </is>
      </c>
      <c r="AE68" s="31" t="inlineStr">
        <is>
          <t>Projected total 52.4 pts (Weather adj: +0.0 pts). Total line 47.5 -&gt; P(Over)=0.572, P(Under)=0.428, P(Push)=0.000.</t>
        </is>
      </c>
      <c r="AF68" s="31" t="inlineStr">
        <is>
          <t>College football model; multi-market (moneyline, spread, total).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4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Holy Cross Crusaders</t>
        </is>
      </c>
      <c r="AQ68" s="24" t="inlineStr">
        <is>
          <t>Holy Cross Crusaders</t>
        </is>
      </c>
      <c r="AR68" s="24" t="inlineStr">
        <is>
          <t>Holy Cross Crusaders</t>
        </is>
      </c>
      <c r="AS68" s="24" t="inlineStr">
        <is>
          <t>Miami (OH) RedHawks</t>
        </is>
      </c>
      <c r="AT68" s="24" t="inlineStr">
        <is>
          <t>Miami (OH) RedHawks</t>
        </is>
      </c>
      <c r="AU68" s="24" t="inlineStr">
        <is>
          <t>Miami (OH) RedHawks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1d168f11d221cd3c</t>
        </is>
      </c>
      <c r="BB68" s="24" t="inlineStr">
        <is>
          <t>cfb_key_number_engine</t>
        </is>
      </c>
      <c r="BC68" s="24" t="inlineStr">
        <is>
          <t>cfb-total-v1</t>
        </is>
      </c>
      <c r="BD68" s="24" t="inlineStr">
        <is>
          <t>1d168f11d221cd3c</t>
        </is>
      </c>
      <c r="BE68" s="24" t="inlineStr">
        <is>
          <t>cfb-v1</t>
        </is>
      </c>
      <c r="BF68" s="24" t="inlineStr">
        <is>
          <t>1</t>
        </is>
      </c>
      <c r="BG68" s="24" t="inlineStr">
        <is>
          <t>1d168f11d221cd3c</t>
        </is>
      </c>
      <c r="BH68" s="24" t="inlineStr">
        <is>
          <t>2026-09-12T16:07:28.570172+00:00</t>
        </is>
      </c>
      <c r="BI68" s="24" t="inlineStr">
        <is>
          <t>["same_event","same_team_same_day","same_league_same_day"]</t>
        </is>
      </c>
      <c r="BJ68" s="25" t="n">
        <v>47.5</v>
      </c>
      <c r="BK68" s="26" t="n">
        <v>-105</v>
      </c>
      <c r="BL68" s="27" t="n">
        <v>1.952381</v>
      </c>
      <c r="BM68" s="28" t="n">
        <v>0.512195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0.512195</t>
        </is>
      </c>
      <c r="DK68" s="24" t="n"/>
      <c r="DL68" s="24" t="n"/>
      <c r="DM68" s="24" t="n"/>
      <c r="DN68" s="24" t="n"/>
      <c r="DO68" s="24" t="n"/>
      <c r="DP68" s="24" t="n"/>
      <c r="DQ68" s="24" t="inlineStr">
        <is>
          <t>{"artifact_hash": "1d168f11d221cd3c", "event_id": "401866417", "event_start_utc": "2026-09-12T17:00Z", "features": {"altitude_fatigue_penalty": 0.0, "away_team": "Holy Cross Crusaders", "efficiency_gap": -0.683, "elo_away": 1337.5, "elo_home": 1378.8, "elo_home_win_prob": 0.6484, "event_id": "401866417", "game_start_utc": "2026-09-12T17:00Z", "home_field_advantage_points": 2.8, "home_team": "Miami (OH) RedHawks", "is_dome": false, "is_fbs_vs_fcs": false, "is_neutral_site": false, "projected_away_points": 24.0, "projected_home_points": 28.4, "projected_margin_home": 4.3,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24.0, "mu_home": 28.4,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266873790215874487196982780199065912519}, "uinteger": 0}, "spread_home_line": -30.5, "total_line": 47.5}, "market_type": "total", "model_version": "cfb-total-v1", "observed_at_utc": "2026-09-12T16:07:28.570172+00:00", "probabilities": {"over": 0.5716, "push": 0.0, "under": 0.4284}, "replay_scope": "Full precision score means, exact engine parameters and original RNG state; upstream feature construction not certified.", "schema": "cfb-joint-replay-v1", "snapshot_hash": "e9807b6c7fe2d9d21b105ea44c9dbe7a31bab76ef4b18e9cbe833064108c2fbe", "sport": "NCAAF"}</t>
        </is>
      </c>
    </row>
    <row r="69" ht="36" customHeight="1">
      <c r="A69" s="24" t="inlineStr">
        <is>
          <t>149f1d1ab06d47c4</t>
        </is>
      </c>
      <c r="B69" s="24" t="inlineStr">
        <is>
          <t>2026-09-12T16:07:28.570172Z</t>
        </is>
      </c>
      <c r="C69" s="24" t="inlineStr">
        <is>
          <t>2026-09-12T18:00Z</t>
        </is>
      </c>
      <c r="D69" s="24" t="inlineStr">
        <is>
          <t>401866413</t>
        </is>
      </c>
      <c r="E69" s="24" t="inlineStr">
        <is>
          <t>NCAAF</t>
        </is>
      </c>
      <c r="F69" s="24" t="inlineStr">
        <is>
          <t>Stony Brook Seawolves</t>
        </is>
      </c>
      <c r="G69" s="24" t="inlineStr">
        <is>
          <t>Ball State Cardinals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espn_consensus</t>
        </is>
      </c>
      <c r="L69" s="26" t="n">
        <v>410</v>
      </c>
      <c r="M69" s="27" t="n">
        <v>5.1</v>
      </c>
      <c r="N69" s="28" t="n">
        <v>0.196078</v>
      </c>
      <c r="O69" s="28" t="n">
        <v>0.566293</v>
      </c>
      <c r="P69" s="28" t="n">
        <v>0.18</v>
      </c>
      <c r="Q69" s="28" t="n">
        <v>0.370215</v>
      </c>
      <c r="R69" s="26" t="n">
        <v>100</v>
      </c>
      <c r="S69" s="29" t="n">
        <v>2</v>
      </c>
      <c r="T69" s="24" t="inlineStr">
        <is>
          <t>college-football-v1</t>
        </is>
      </c>
      <c r="U69" s="24" t="inlineStr">
        <is>
          <t>settled</t>
        </is>
      </c>
      <c r="V69" s="24" t="inlineStr">
        <is>
          <t>loss</t>
        </is>
      </c>
      <c r="W69" s="26" t="n">
        <v>17</v>
      </c>
      <c r="X69" s="26" t="n">
        <v>41</v>
      </c>
      <c r="Y69" s="25" t="n"/>
      <c r="Z69" s="26" t="n"/>
      <c r="AA69" s="28" t="n"/>
      <c r="AB69" s="28" t="n"/>
      <c r="AC69" s="30" t="n">
        <v>-2</v>
      </c>
      <c r="AD69" s="24" t="inlineStr">
        <is>
          <t>2026-09-12T22:01:05.265916Z</t>
        </is>
      </c>
      <c r="AE69" s="31" t="inlineStr">
        <is>
          <t>CFB Joint Model (negative_binomial): proj score Stony Brook Seawolves 27.4 @ Ball State Cardinals 24.7 (Margin -2.8). Possessions: 12.4, HFA: +2.8 pts.</t>
        </is>
      </c>
      <c r="AF69" s="31" t="inlineStr">
        <is>
          <t>College football model; multi-market (moneyline, spread, total).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4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Stony Brook Seawolves</t>
        </is>
      </c>
      <c r="AQ69" s="24" t="inlineStr">
        <is>
          <t>Stony Brook Seawolves</t>
        </is>
      </c>
      <c r="AR69" s="24" t="inlineStr">
        <is>
          <t>Stony Brook Seawolves</t>
        </is>
      </c>
      <c r="AS69" s="24" t="inlineStr">
        <is>
          <t>Ball State Cardinals</t>
        </is>
      </c>
      <c r="AT69" s="24" t="inlineStr">
        <is>
          <t>Ball State Cardinals</t>
        </is>
      </c>
      <c r="AU69" s="24" t="inlineStr">
        <is>
          <t>Ball State Cardinals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1d168f11d221cd3c</t>
        </is>
      </c>
      <c r="BB69" s="24" t="inlineStr">
        <is>
          <t>cfb_key_number_engine</t>
        </is>
      </c>
      <c r="BC69" s="24" t="inlineStr">
        <is>
          <t>college-football-v1</t>
        </is>
      </c>
      <c r="BD69" s="24" t="inlineStr">
        <is>
          <t>1d168f11d221cd3c</t>
        </is>
      </c>
      <c r="BE69" s="24" t="inlineStr">
        <is>
          <t>cfb-v1</t>
        </is>
      </c>
      <c r="BF69" s="24" t="inlineStr">
        <is>
          <t>1</t>
        </is>
      </c>
      <c r="BG69" s="24" t="inlineStr">
        <is>
          <t>1d168f11d221cd3c</t>
        </is>
      </c>
      <c r="BH69" s="24" t="inlineStr">
        <is>
          <t>2026-09-12T16:07:28.570172+00:00</t>
        </is>
      </c>
      <c r="BI69" s="24" t="inlineStr">
        <is>
          <t>["same_event","same_team_same_day","same_league_same_day"]</t>
        </is>
      </c>
      <c r="BJ69" s="25" t="n"/>
      <c r="BK69" s="26" t="n">
        <v>410</v>
      </c>
      <c r="BL69" s="27" t="n">
        <v>5.1</v>
      </c>
      <c r="BM69" s="28" t="n">
        <v>0.196078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0.196078</t>
        </is>
      </c>
      <c r="DK69" s="24" t="n"/>
      <c r="DL69" s="24" t="n"/>
      <c r="DM69" s="24" t="n"/>
      <c r="DN69" s="24" t="n"/>
      <c r="DO69" s="24" t="n"/>
      <c r="DP69" s="24" t="n"/>
      <c r="DQ69" s="24" t="inlineStr">
        <is>
          <t>{"artifact_hash": "1d168f11d221cd3c", "event_id": "401866413", "event_start_utc": "2026-09-12T18:00Z", "features": {"altitude_fatigue_penalty": 0.0, "away_team": "Stony Brook Seawolves", "efficiency_gap": -0.825, "elo_away": 1337.5, "elo_home": 1204.6, "elo_home_win_prob": 0.4034, "event_id": "401866413", "game_start_utc": "2026-09-12T18:00Z", "home_field_advantage_points": 2.8, "home_team": "Ball State Cardinals", "is_dome": false, "is_fbs_vs_fcs": false, "is_neutral_site": false, "projected_away_points": 27.4, "projected_home_points": 24.7, "projected_margin_home": -2.8, "projected_possessions": 12.4, "projected_total": 52.1,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27.4, "mu_home": 24.7,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302539117662981659592426646991041581290}, "uinteger": 0}, "spread_home_line": -13.5, "total_line": 53.5}, "market_type": "moneyline", "model_version": "college-football-v1", "observed_at_utc": "2026-09-12T16:07:28.570172+00:00", "probabilities": {"away": 0.566293, "home": 0.433707}, "replay_scope": "Full precision score means, exact engine parameters and original RNG state; upstream feature construction not certified.", "schema": "cfb-joint-replay-v1", "snapshot_hash": "09a62f1727b2ed3e654296f0f4f200d1a3ce9b65fdc2750559d380dc814d215d", "sport": "NCAAF"}</t>
        </is>
      </c>
    </row>
    <row r="70" ht="36" customHeight="1">
      <c r="A70" s="24" t="inlineStr">
        <is>
          <t>a22b11b046474165</t>
        </is>
      </c>
      <c r="B70" s="24" t="inlineStr">
        <is>
          <t>2026-09-12T16:07:28.570172Z</t>
        </is>
      </c>
      <c r="C70" s="24" t="inlineStr">
        <is>
          <t>2026-09-12T18:00Z</t>
        </is>
      </c>
      <c r="D70" s="24" t="inlineStr">
        <is>
          <t>401866413</t>
        </is>
      </c>
      <c r="E70" s="24" t="inlineStr">
        <is>
          <t>NCAAF</t>
        </is>
      </c>
      <c r="F70" s="24" t="inlineStr">
        <is>
          <t>Stony Brook Seawolves</t>
        </is>
      </c>
      <c r="G70" s="24" t="inlineStr">
        <is>
          <t>Ball State Cardinals</t>
        </is>
      </c>
      <c r="H70" s="24" t="inlineStr">
        <is>
          <t>spread</t>
        </is>
      </c>
      <c r="I70" s="24" t="inlineStr">
        <is>
          <t>away</t>
        </is>
      </c>
      <c r="J70" s="25" t="n">
        <v>13.5</v>
      </c>
      <c r="K70" s="24" t="inlineStr">
        <is>
          <t>espn_consensus</t>
        </is>
      </c>
      <c r="L70" s="26" t="n">
        <v>-105</v>
      </c>
      <c r="M70" s="27" t="n">
        <v>1.952381</v>
      </c>
      <c r="N70" s="28" t="n">
        <v>0.512195</v>
      </c>
      <c r="O70" s="28" t="n">
        <v>0.834467</v>
      </c>
      <c r="P70" s="28" t="n">
        <v>0.18</v>
      </c>
      <c r="Q70" s="28" t="n">
        <v>0.322272</v>
      </c>
      <c r="R70" s="26" t="n">
        <v>100</v>
      </c>
      <c r="S70" s="29" t="n">
        <v>2</v>
      </c>
      <c r="T70" s="24" t="inlineStr">
        <is>
          <t>cfb-spread-v1</t>
        </is>
      </c>
      <c r="U70" s="24" t="inlineStr">
        <is>
          <t>settled</t>
        </is>
      </c>
      <c r="V70" s="24" t="inlineStr">
        <is>
          <t>loss</t>
        </is>
      </c>
      <c r="W70" s="26" t="n">
        <v>17</v>
      </c>
      <c r="X70" s="26" t="n">
        <v>41</v>
      </c>
      <c r="Y70" s="25" t="n"/>
      <c r="Z70" s="26" t="n"/>
      <c r="AA70" s="28" t="n"/>
      <c r="AB70" s="28" t="n"/>
      <c r="AC70" s="30" t="n">
        <v>-2</v>
      </c>
      <c r="AD70" s="24" t="inlineStr">
        <is>
          <t>2026-09-12T22:01:05.596415Z</t>
        </is>
      </c>
      <c r="AE70" s="31" t="inlineStr">
        <is>
          <t>Projected home margin -2.8 pts. Spread: Home -13.5 / Away +13.5 -&gt; P(Away cover)=0.834, P(Home cover)=0.166, P(Push)=0.000.</t>
        </is>
      </c>
      <c r="AF70" s="31" t="inlineStr">
        <is>
          <t>College football model; multi-market (moneyline, spread, total).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4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Stony Brook Seawolves</t>
        </is>
      </c>
      <c r="AQ70" s="24" t="inlineStr">
        <is>
          <t>Stony Brook Seawolves</t>
        </is>
      </c>
      <c r="AR70" s="24" t="inlineStr">
        <is>
          <t>Stony Brook Seawolves</t>
        </is>
      </c>
      <c r="AS70" s="24" t="inlineStr">
        <is>
          <t>Ball State Cardinals</t>
        </is>
      </c>
      <c r="AT70" s="24" t="inlineStr">
        <is>
          <t>Ball State Cardinals</t>
        </is>
      </c>
      <c r="AU70" s="24" t="inlineStr">
        <is>
          <t>Ball State Cardinals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1d168f11d221cd3c</t>
        </is>
      </c>
      <c r="BB70" s="24" t="inlineStr">
        <is>
          <t>cfb_key_number_engine</t>
        </is>
      </c>
      <c r="BC70" s="24" t="inlineStr">
        <is>
          <t>cfb-spread-v1</t>
        </is>
      </c>
      <c r="BD70" s="24" t="inlineStr">
        <is>
          <t>1d168f11d221cd3c</t>
        </is>
      </c>
      <c r="BE70" s="24" t="inlineStr">
        <is>
          <t>cfb-v1</t>
        </is>
      </c>
      <c r="BF70" s="24" t="inlineStr">
        <is>
          <t>1</t>
        </is>
      </c>
      <c r="BG70" s="24" t="inlineStr">
        <is>
          <t>1d168f11d221cd3c</t>
        </is>
      </c>
      <c r="BH70" s="24" t="inlineStr">
        <is>
          <t>2026-09-12T16:07:28.570172+00:00</t>
        </is>
      </c>
      <c r="BI70" s="24" t="inlineStr">
        <is>
          <t>["same_event","same_team_same_day","same_league_same_day"]</t>
        </is>
      </c>
      <c r="BJ70" s="25" t="n">
        <v>13.5</v>
      </c>
      <c r="BK70" s="26" t="n">
        <v>-105</v>
      </c>
      <c r="BL70" s="27" t="n">
        <v>1.952381</v>
      </c>
      <c r="BM70" s="28" t="n">
        <v>0.512195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0.512195</t>
        </is>
      </c>
      <c r="DK70" s="24" t="n"/>
      <c r="DL70" s="24" t="n"/>
      <c r="DM70" s="24" t="n"/>
      <c r="DN70" s="24" t="n"/>
      <c r="DO70" s="24" t="n"/>
      <c r="DP70" s="24" t="n"/>
      <c r="DQ70" s="24" t="inlineStr">
        <is>
          <t>{"artifact_hash": "1d168f11d221cd3c", "event_id": "401866413", "event_start_utc": "2026-09-12T18:00Z", "features": {"altitude_fatigue_penalty": 0.0, "away_team": "Stony Brook Seawolves", "efficiency_gap": -0.825, "elo_away": 1337.5, "elo_home": 1204.6, "elo_home_win_prob": 0.4034, "event_id": "401866413", "game_start_utc": "2026-09-12T18:00Z", "home_field_advantage_points": 2.8, "home_team": "Ball State Cardinals", "is_dome": false, "is_fbs_vs_fcs": false, "is_neutral_site": false, "projected_away_points": 27.4, "projected_home_points": 24.7, "projected_margin_home": -2.8, "projected_possessions": 12.4, "projected_total": 52.1,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27.4, "mu_home": 24.7,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302539117662981659592426646991041581290}, "uinteger": 0}, "spread_home_line": -13.5, "total_line": 53.5}, "market_type": "spread", "model_version": "cfb-spread-v1", "observed_at_utc": "2026-09-12T16:07:28.570172+00:00", "probabilities": {"away": 0.834467, "home": 0.165533, "push": 0.0}, "replay_scope": "Full precision score means, exact engine parameters and original RNG state; upstream feature construction not certified.", "schema": "cfb-joint-replay-v1", "snapshot_hash": "54e0e2c1bc246e5ad81aafad7107143002d861cd525ad9fd88e31ecfcf0e8483", "sport": "NCAAF"}</t>
        </is>
      </c>
    </row>
    <row r="71" ht="36" customHeight="1">
      <c r="A71" s="24" t="inlineStr">
        <is>
          <t>00d297f500fe44ce</t>
        </is>
      </c>
      <c r="B71" s="24" t="inlineStr">
        <is>
          <t>2026-09-12T16:07:28.570172Z</t>
        </is>
      </c>
      <c r="C71" s="24" t="inlineStr">
        <is>
          <t>2026-09-12T18:00Z</t>
        </is>
      </c>
      <c r="D71" s="24" t="inlineStr">
        <is>
          <t>401866413</t>
        </is>
      </c>
      <c r="E71" s="24" t="inlineStr">
        <is>
          <t>NCAAF</t>
        </is>
      </c>
      <c r="F71" s="24" t="inlineStr">
        <is>
          <t>Stony Brook Seawolves</t>
        </is>
      </c>
      <c r="G71" s="24" t="inlineStr">
        <is>
          <t>Ball State Cardinals</t>
        </is>
      </c>
      <c r="H71" s="24" t="inlineStr">
        <is>
          <t>total</t>
        </is>
      </c>
      <c r="I71" s="24" t="inlineStr">
        <is>
          <t>under</t>
        </is>
      </c>
      <c r="J71" s="25" t="n">
        <v>53.5</v>
      </c>
      <c r="K71" s="24" t="inlineStr">
        <is>
          <t>espn_consensus</t>
        </is>
      </c>
      <c r="L71" s="26" t="n">
        <v>-105</v>
      </c>
      <c r="M71" s="27" t="n">
        <v>1.952381</v>
      </c>
      <c r="N71" s="28" t="n">
        <v>0.512195</v>
      </c>
      <c r="O71" s="28" t="n">
        <v>0.551667</v>
      </c>
      <c r="P71" s="28" t="n">
        <v>0.18</v>
      </c>
      <c r="Q71" s="28" t="n">
        <v>0.039472</v>
      </c>
      <c r="R71" s="26" t="n">
        <v>0</v>
      </c>
      <c r="S71" s="29" t="n">
        <v>1</v>
      </c>
      <c r="T71" s="24" t="inlineStr">
        <is>
          <t>cfb-total-v1</t>
        </is>
      </c>
      <c r="U71" s="24" t="inlineStr">
        <is>
          <t>settled</t>
        </is>
      </c>
      <c r="V71" s="24" t="inlineStr">
        <is>
          <t>loss</t>
        </is>
      </c>
      <c r="W71" s="26" t="n">
        <v>17</v>
      </c>
      <c r="X71" s="26" t="n">
        <v>41</v>
      </c>
      <c r="Y71" s="25" t="n"/>
      <c r="Z71" s="26" t="n"/>
      <c r="AA71" s="28" t="n"/>
      <c r="AB71" s="28" t="n"/>
      <c r="AC71" s="30" t="n">
        <v>-1</v>
      </c>
      <c r="AD71" s="24" t="inlineStr">
        <is>
          <t>2026-09-12T22:01:05.950062Z</t>
        </is>
      </c>
      <c r="AE71" s="31" t="inlineStr">
        <is>
          <t>Projected total 52.1 pts (Weather adj: +0.0 pts). Total line 53.5 -&gt; P(Over)=0.448, P(Under)=0.552, P(Push)=0.000.</t>
        </is>
      </c>
      <c r="AF71" s="31" t="inlineStr">
        <is>
          <t>College football model; multi-market (moneyline, spread, total).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4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Stony Brook Seawolves</t>
        </is>
      </c>
      <c r="AQ71" s="24" t="inlineStr">
        <is>
          <t>Stony Brook Seawolves</t>
        </is>
      </c>
      <c r="AR71" s="24" t="inlineStr">
        <is>
          <t>Stony Brook Seawolves</t>
        </is>
      </c>
      <c r="AS71" s="24" t="inlineStr">
        <is>
          <t>Ball State Cardinals</t>
        </is>
      </c>
      <c r="AT71" s="24" t="inlineStr">
        <is>
          <t>Ball State Cardinals</t>
        </is>
      </c>
      <c r="AU71" s="24" t="inlineStr">
        <is>
          <t>Ball State Cardinals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1d168f11d221cd3c</t>
        </is>
      </c>
      <c r="BB71" s="24" t="inlineStr">
        <is>
          <t>cfb_key_number_engine</t>
        </is>
      </c>
      <c r="BC71" s="24" t="inlineStr">
        <is>
          <t>cfb-total-v1</t>
        </is>
      </c>
      <c r="BD71" s="24" t="inlineStr">
        <is>
          <t>1d168f11d221cd3c</t>
        </is>
      </c>
      <c r="BE71" s="24" t="inlineStr">
        <is>
          <t>cfb-v1</t>
        </is>
      </c>
      <c r="BF71" s="24" t="inlineStr">
        <is>
          <t>1</t>
        </is>
      </c>
      <c r="BG71" s="24" t="inlineStr">
        <is>
          <t>1d168f11d221cd3c</t>
        </is>
      </c>
      <c r="BH71" s="24" t="inlineStr">
        <is>
          <t>2026-09-12T16:07:28.570172+00:00</t>
        </is>
      </c>
      <c r="BI71" s="24" t="inlineStr">
        <is>
          <t>["same_event","same_team_same_day","same_league_same_day"]</t>
        </is>
      </c>
      <c r="BJ71" s="25" t="n">
        <v>53.5</v>
      </c>
      <c r="BK71" s="26" t="n">
        <v>-105</v>
      </c>
      <c r="BL71" s="27" t="n">
        <v>1.952381</v>
      </c>
      <c r="BM71" s="28" t="n">
        <v>0.512195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0.512195</t>
        </is>
      </c>
      <c r="DK71" s="24" t="n"/>
      <c r="DL71" s="24" t="n"/>
      <c r="DM71" s="24" t="n"/>
      <c r="DN71" s="24" t="n"/>
      <c r="DO71" s="24" t="n"/>
      <c r="DP71" s="24" t="n"/>
      <c r="DQ71" s="24" t="inlineStr">
        <is>
          <t>{"artifact_hash": "1d168f11d221cd3c", "event_id": "401866413", "event_start_utc": "2026-09-12T18:00Z", "features": {"altitude_fatigue_penalty": 0.0, "away_team": "Stony Brook Seawolves", "efficiency_gap": -0.825, "elo_away": 1337.5, "elo_home": 1204.6, "elo_home_win_prob": 0.4034, "event_id": "401866413", "game_start_utc": "2026-09-12T18:00Z", "home_field_advantage_points": 2.8, "home_team": "Ball State Cardinals", "is_dome": false, "is_fbs_vs_fcs": false, "is_neutral_site": false, "projected_away_points": 27.4, "projected_home_points": 24.7, "projected_margin_home": -2.8, "projected_possessions": 12.4, "projected_total": 52.1,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27.4, "mu_home": 24.7,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302539117662981659592426646991041581290}, "uinteger": 0}, "spread_home_line": -13.5, "total_line": 53.5}, "market_type": "total", "model_version": "cfb-total-v1", "observed_at_utc": "2026-09-12T16:07:28.570172+00:00", "probabilities": {"over": 0.448333, "push": 0.0, "under": 0.551667}, "replay_scope": "Full precision score means, exact engine parameters and original RNG state; upstream feature construction not certified.", "schema": "cfb-joint-replay-v1", "snapshot_hash": "3f3cad26fcc820547f9d605ba8023e14f8f20ba247e4724ecb3282be054f40d7", "sport": "NCAAF"}</t>
        </is>
      </c>
    </row>
    <row r="72" ht="36" customHeight="1">
      <c r="A72" s="24" t="inlineStr">
        <is>
          <t>fb1bd819ba804bf5</t>
        </is>
      </c>
      <c r="B72" s="24" t="inlineStr">
        <is>
          <t>2026-09-12T16:07:28.570172Z</t>
        </is>
      </c>
      <c r="C72" s="24" t="inlineStr">
        <is>
          <t>2026-09-12T19:30Z</t>
        </is>
      </c>
      <c r="D72" s="24" t="inlineStr">
        <is>
          <t>401859184</t>
        </is>
      </c>
      <c r="E72" s="24" t="inlineStr">
        <is>
          <t>NCAAF</t>
        </is>
      </c>
      <c r="F72" s="24" t="inlineStr">
        <is>
          <t>Rice Owls</t>
        </is>
      </c>
      <c r="G72" s="24" t="inlineStr">
        <is>
          <t>Notre Dame Fighting Irish</t>
        </is>
      </c>
      <c r="H72" s="24" t="inlineStr">
        <is>
          <t>spread</t>
        </is>
      </c>
      <c r="I72" s="24" t="inlineStr">
        <is>
          <t>away</t>
        </is>
      </c>
      <c r="J72" s="25" t="n">
        <v>44.5</v>
      </c>
      <c r="K72" s="24" t="inlineStr">
        <is>
          <t>espn_consensus</t>
        </is>
      </c>
      <c r="L72" s="26" t="n">
        <v>-105</v>
      </c>
      <c r="M72" s="27" t="n">
        <v>1.952381</v>
      </c>
      <c r="N72" s="28" t="n">
        <v>0.512195</v>
      </c>
      <c r="O72" s="28" t="n">
        <v>0.850133</v>
      </c>
      <c r="P72" s="28" t="n">
        <v>0.18</v>
      </c>
      <c r="Q72" s="28" t="n">
        <v>0.337938</v>
      </c>
      <c r="R72" s="26" t="n">
        <v>100</v>
      </c>
      <c r="S72" s="29" t="n">
        <v>2</v>
      </c>
      <c r="T72" s="24" t="inlineStr">
        <is>
          <t>cfb-spread-v1</t>
        </is>
      </c>
      <c r="U72" s="24" t="inlineStr">
        <is>
          <t>settled</t>
        </is>
      </c>
      <c r="V72" s="24" t="inlineStr">
        <is>
          <t>loss</t>
        </is>
      </c>
      <c r="W72" s="26" t="n">
        <v>0</v>
      </c>
      <c r="X72" s="26" t="n">
        <v>52</v>
      </c>
      <c r="Y72" s="25" t="n"/>
      <c r="Z72" s="26" t="n"/>
      <c r="AA72" s="28" t="n"/>
      <c r="AB72" s="28" t="n"/>
      <c r="AC72" s="30" t="n">
        <v>-2</v>
      </c>
      <c r="AD72" s="24" t="inlineStr">
        <is>
          <t>2026-09-13T04:30:49.822948Z</t>
        </is>
      </c>
      <c r="AE72" s="31" t="inlineStr">
        <is>
          <t>Projected home margin +29.4 pts. Spread: Home -44.5 / Away +44.5 -&gt; P(Away cover)=0.850, P(Home cover)=0.150, P(Push)=0.000.</t>
        </is>
      </c>
      <c r="AF72" s="31" t="inlineStr">
        <is>
          <t>College football model; multi-market (moneyline, spread, total).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4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Rice Owls</t>
        </is>
      </c>
      <c r="AQ72" s="24" t="inlineStr">
        <is>
          <t>Rice Owls</t>
        </is>
      </c>
      <c r="AR72" s="24" t="inlineStr">
        <is>
          <t>Rice Owls</t>
        </is>
      </c>
      <c r="AS72" s="24" t="inlineStr">
        <is>
          <t>Notre Dame Fighting Irish</t>
        </is>
      </c>
      <c r="AT72" s="24" t="inlineStr">
        <is>
          <t>Notre Dame Fighting Irish</t>
        </is>
      </c>
      <c r="AU72" s="24" t="inlineStr">
        <is>
          <t>Notre Dame Fighting Irish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1d168f11d221cd3c</t>
        </is>
      </c>
      <c r="BB72" s="24" t="inlineStr">
        <is>
          <t>cfb_key_number_engine</t>
        </is>
      </c>
      <c r="BC72" s="24" t="inlineStr">
        <is>
          <t>cfb-spread-v1</t>
        </is>
      </c>
      <c r="BD72" s="24" t="inlineStr">
        <is>
          <t>1d168f11d221cd3c</t>
        </is>
      </c>
      <c r="BE72" s="24" t="inlineStr">
        <is>
          <t>cfb-v1</t>
        </is>
      </c>
      <c r="BF72" s="24" t="inlineStr">
        <is>
          <t>1</t>
        </is>
      </c>
      <c r="BG72" s="24" t="inlineStr">
        <is>
          <t>1d168f11d221cd3c</t>
        </is>
      </c>
      <c r="BH72" s="24" t="inlineStr">
        <is>
          <t>2026-09-12T16:07:28.570172+00:00</t>
        </is>
      </c>
      <c r="BI72" s="24" t="inlineStr">
        <is>
          <t>["same_event","same_team_same_day","same_league_same_day"]</t>
        </is>
      </c>
      <c r="BJ72" s="25" t="n">
        <v>44.5</v>
      </c>
      <c r="BK72" s="26" t="n">
        <v>-105</v>
      </c>
      <c r="BL72" s="27" t="n">
        <v>1.952381</v>
      </c>
      <c r="BM72" s="28" t="n">
        <v>0.512195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0.512195</t>
        </is>
      </c>
      <c r="DK72" s="24" t="n"/>
      <c r="DL72" s="24" t="n"/>
      <c r="DM72" s="24" t="n"/>
      <c r="DN72" s="24" t="n"/>
      <c r="DO72" s="24" t="n"/>
      <c r="DP72" s="24" t="n"/>
      <c r="DQ72" s="24" t="inlineStr">
        <is>
          <t>{"artifact_hash": "1d168f11d221cd3c", "event_id": "401859184", "event_start_utc": "2026-09-12T19:30Z", "features": {"altitude_fatigue_penalty": 0.0, "away_team": "Rice Owls", "efficiency_gap": 0.889, "elo_away": 1242.5, "elo_home": 1898.5, "elo_home_win_prob": 0.9845, "event_id": "401859184", "game_start_utc": "2026-09-12T19:30Z", "home_field_advantage_points": 2.8, "home_team": "Notre Dame Fighting Irish", "is_dome": false, "is_fbs_vs_fcs": false, "is_neutral_site": false, "projected_away_points": 12.5, "projected_home_points": 41.9, "projected_margin_home": 29.4, "projected_possessions": 12.4, "projected_total": 54.4, "stadium_elevation_ft": 730, "travel_distance_miles": 974.0, "uncertainty": 0.18, "weather_total_adjustment": 0.0}, "historical_source_observation_times_verified": false, "inference_inputs": {"engine_source_sha256": "449ba2f0e86fa9c445730076a0e0bf100fb4914620be53c75c6f3bfe24298f3f", "mu_away": 12.5, "mu_home": 41.9,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331335178443263552367027439217781296023}, "uinteger": 0}, "spread_home_line": -44.5, "total_line": 54.5}, "market_type": "spread", "model_version": "cfb-spread-v1", "observed_at_utc": "2026-09-12T16:07:28.570172+00:00", "probabilities": {"away": 0.850133, "home": 0.149867, "push": 0.0}, "replay_scope": "Full precision score means, exact engine parameters and original RNG state; upstream feature construction not certified.", "schema": "cfb-joint-replay-v1", "snapshot_hash": "9792f986715a730752bb22e32750488854ee8f76cc2b736029b34459d33dbfb6", "sport": "NCAAF"}</t>
        </is>
      </c>
    </row>
    <row r="73" ht="36" customHeight="1">
      <c r="A73" s="24" t="inlineStr">
        <is>
          <t>f2ab65ce63a5472c</t>
        </is>
      </c>
      <c r="B73" s="24" t="inlineStr">
        <is>
          <t>2026-09-12T16:07:28.570172Z</t>
        </is>
      </c>
      <c r="C73" s="24" t="inlineStr">
        <is>
          <t>2026-09-12T19:30Z</t>
        </is>
      </c>
      <c r="D73" s="24" t="inlineStr">
        <is>
          <t>401859184</t>
        </is>
      </c>
      <c r="E73" s="24" t="inlineStr">
        <is>
          <t>NCAAF</t>
        </is>
      </c>
      <c r="F73" s="24" t="inlineStr">
        <is>
          <t>Rice Owls</t>
        </is>
      </c>
      <c r="G73" s="24" t="inlineStr">
        <is>
          <t>Notre Dame Fighting Irish</t>
        </is>
      </c>
      <c r="H73" s="24" t="inlineStr">
        <is>
          <t>total</t>
        </is>
      </c>
      <c r="I73" s="24" t="inlineStr">
        <is>
          <t>under</t>
        </is>
      </c>
      <c r="J73" s="25" t="n">
        <v>54.5</v>
      </c>
      <c r="K73" s="24" t="inlineStr">
        <is>
          <t>espn_consensus</t>
        </is>
      </c>
      <c r="L73" s="26" t="n">
        <v>-112</v>
      </c>
      <c r="M73" s="27" t="n">
        <v>1.892857</v>
      </c>
      <c r="N73" s="28" t="n">
        <v>0.528302</v>
      </c>
      <c r="O73" s="28" t="n">
        <v>0.524533</v>
      </c>
      <c r="P73" s="28" t="n">
        <v>0.18</v>
      </c>
      <c r="Q73" s="28" t="n">
        <v>-0.003769</v>
      </c>
      <c r="R73" s="26" t="n">
        <v>0</v>
      </c>
      <c r="S73" s="29" t="n">
        <v>1</v>
      </c>
      <c r="T73" s="24" t="inlineStr">
        <is>
          <t>cfb-total-v1</t>
        </is>
      </c>
      <c r="U73" s="24" t="inlineStr">
        <is>
          <t>settled</t>
        </is>
      </c>
      <c r="V73" s="24" t="inlineStr">
        <is>
          <t>win</t>
        </is>
      </c>
      <c r="W73" s="26" t="n">
        <v>0</v>
      </c>
      <c r="X73" s="26" t="n">
        <v>52</v>
      </c>
      <c r="Y73" s="25" t="n"/>
      <c r="Z73" s="26" t="n"/>
      <c r="AA73" s="28" t="n"/>
      <c r="AB73" s="28" t="n"/>
      <c r="AC73" s="30" t="n">
        <v>0.8929</v>
      </c>
      <c r="AD73" s="24" t="inlineStr">
        <is>
          <t>2026-09-13T04:30:50.194446Z</t>
        </is>
      </c>
      <c r="AE73" s="31" t="inlineStr">
        <is>
          <t>Projected total 54.4 pts (Weather adj: +0.0 pts). Total line 54.5 -&gt; P(Over)=0.475, P(Under)=0.525, P(Push)=0.000.</t>
        </is>
      </c>
      <c r="AF73" s="31" t="inlineStr">
        <is>
          <t>College football model; multi-market (moneyline, spread, total).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Rice Owls</t>
        </is>
      </c>
      <c r="AQ73" s="24" t="inlineStr">
        <is>
          <t>Rice Owls</t>
        </is>
      </c>
      <c r="AR73" s="24" t="inlineStr">
        <is>
          <t>Rice Owls</t>
        </is>
      </c>
      <c r="AS73" s="24" t="inlineStr">
        <is>
          <t>Notre Dame Fighting Irish</t>
        </is>
      </c>
      <c r="AT73" s="24" t="inlineStr">
        <is>
          <t>Notre Dame Fighting Irish</t>
        </is>
      </c>
      <c r="AU73" s="24" t="inlineStr">
        <is>
          <t>Notre Dame Fighting Irish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1d168f11d221cd3c</t>
        </is>
      </c>
      <c r="BB73" s="24" t="inlineStr">
        <is>
          <t>cfb_key_number_engine</t>
        </is>
      </c>
      <c r="BC73" s="24" t="inlineStr">
        <is>
          <t>cfb-total-v1</t>
        </is>
      </c>
      <c r="BD73" s="24" t="inlineStr">
        <is>
          <t>1d168f11d221cd3c</t>
        </is>
      </c>
      <c r="BE73" s="24" t="inlineStr">
        <is>
          <t>cfb-v1</t>
        </is>
      </c>
      <c r="BF73" s="24" t="inlineStr">
        <is>
          <t>1</t>
        </is>
      </c>
      <c r="BG73" s="24" t="inlineStr">
        <is>
          <t>1d168f11d221cd3c</t>
        </is>
      </c>
      <c r="BH73" s="24" t="inlineStr">
        <is>
          <t>2026-09-12T16:07:28.570172+00:00</t>
        </is>
      </c>
      <c r="BI73" s="24" t="inlineStr">
        <is>
          <t>["same_event","same_team_same_day","same_league_same_day"]</t>
        </is>
      </c>
      <c r="BJ73" s="25" t="n">
        <v>54.5</v>
      </c>
      <c r="BK73" s="26" t="n">
        <v>-112</v>
      </c>
      <c r="BL73" s="27" t="n">
        <v>1.892857</v>
      </c>
      <c r="BM73" s="28" t="n">
        <v>0.528302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>
        <v>1</v>
      </c>
      <c r="BY73" s="27" t="n">
        <v>0.892857</v>
      </c>
      <c r="BZ73" s="24" t="inlineStr">
        <is>
          <t>2026-09-13T04:30:50.194446Z</t>
        </is>
      </c>
      <c r="CA73" s="31" t="inlineStr">
        <is>
          <t>fixed one-unit hypothetical scoring; no real exposure or execution</t>
        </is>
      </c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0.528302</t>
        </is>
      </c>
      <c r="DK73" s="24" t="n"/>
      <c r="DL73" s="24" t="n"/>
      <c r="DM73" s="24" t="n"/>
      <c r="DN73" s="24" t="n"/>
      <c r="DO73" s="24" t="n"/>
      <c r="DP73" s="24" t="n"/>
      <c r="DQ73" s="24" t="inlineStr">
        <is>
          <t>{"artifact_hash": "1d168f11d221cd3c", "event_id": "401859184", "event_start_utc": "2026-09-12T19:30Z", "features": {"altitude_fatigue_penalty": 0.0, "away_team": "Rice Owls", "efficiency_gap": 0.889, "elo_away": 1242.5, "elo_home": 1898.5, "elo_home_win_prob": 0.9845, "event_id": "401859184", "game_start_utc": "2026-09-12T19:30Z", "home_field_advantage_points": 2.8, "home_team": "Notre Dame Fighting Irish", "is_dome": false, "is_fbs_vs_fcs": false, "is_neutral_site": false, "projected_away_points": 12.5, "projected_home_points": 41.9, "projected_margin_home": 29.4, "projected_possessions": 12.4, "projected_total": 54.4, "stadium_elevation_ft": 730, "travel_distance_miles": 974.0, "uncertainty": 0.18, "weather_total_adjustment": 0.0}, "historical_source_observation_times_verified": false, "inference_inputs": {"engine_source_sha256": "449ba2f0e86fa9c445730076a0e0bf100fb4914620be53c75c6f3bfe24298f3f", "mu_away": 12.5, "mu_home": 41.9,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331335178443263552367027439217781296023}, "uinteger": 0}, "spread_home_line": -44.5, "total_line": 54.5}, "market_type": "total", "model_version": "cfb-total-v1", "observed_at_utc": "2026-09-12T16:07:28.570172+00:00", "probabilities": {"over": 0.475467, "push": 0.0, "under": 0.524533}, "replay_scope": "Full precision score means, exact engine parameters and original RNG state; upstream feature construction not certified.", "schema": "cfb-joint-replay-v1", "snapshot_hash": "8cb1406706b2e617ff810c5b3c012717cc89b650a944c6bbb1feff7214339e2e", "sport": "NCAAF"}</t>
        </is>
      </c>
    </row>
    <row r="74" ht="36" customHeight="1">
      <c r="A74" s="24" t="inlineStr">
        <is>
          <t>0222838f65284bf5</t>
        </is>
      </c>
      <c r="B74" s="24" t="inlineStr">
        <is>
          <t>2026-09-12T16:07:28.570172Z</t>
        </is>
      </c>
      <c r="C74" s="24" t="inlineStr">
        <is>
          <t>2026-09-12T19:30Z</t>
        </is>
      </c>
      <c r="D74" s="24" t="inlineStr">
        <is>
          <t>401856674</t>
        </is>
      </c>
      <c r="E74" s="24" t="inlineStr">
        <is>
          <t>NCAAF</t>
        </is>
      </c>
      <c r="F74" s="24" t="inlineStr">
        <is>
          <t>Alabama Crimson Tide</t>
        </is>
      </c>
      <c r="G74" s="24" t="inlineStr">
        <is>
          <t>Kentucky Wildcats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espn_consensus</t>
        </is>
      </c>
      <c r="L74" s="26" t="n">
        <v>-360</v>
      </c>
      <c r="M74" s="27" t="n">
        <v>1.277778</v>
      </c>
      <c r="N74" s="28" t="n">
        <v>0.782609</v>
      </c>
      <c r="O74" s="28" t="n">
        <v>0.7486080000000001</v>
      </c>
      <c r="P74" s="28" t="n">
        <v>0.18</v>
      </c>
      <c r="Q74" s="28" t="n">
        <v>-0.034001</v>
      </c>
      <c r="R74" s="26" t="n">
        <v>0</v>
      </c>
      <c r="S74" s="29" t="n">
        <v>1</v>
      </c>
      <c r="T74" s="24" t="inlineStr">
        <is>
          <t>college-football-v1</t>
        </is>
      </c>
      <c r="U74" s="24" t="inlineStr">
        <is>
          <t>settled</t>
        </is>
      </c>
      <c r="V74" s="24" t="inlineStr">
        <is>
          <t>win</t>
        </is>
      </c>
      <c r="W74" s="26" t="n">
        <v>45</v>
      </c>
      <c r="X74" s="26" t="n">
        <v>17</v>
      </c>
      <c r="Y74" s="25" t="n"/>
      <c r="Z74" s="26" t="n"/>
      <c r="AA74" s="28" t="n"/>
      <c r="AB74" s="28" t="n"/>
      <c r="AC74" s="30" t="n">
        <v>0.2778</v>
      </c>
      <c r="AD74" s="24" t="inlineStr">
        <is>
          <t>2026-09-13T04:30:50.571095Z</t>
        </is>
      </c>
      <c r="AE74" s="31" t="inlineStr">
        <is>
          <t>CFB Joint Model (negative_binomial): proj score Alabama Crimson Tide 33.4 @ Kentucky Wildcats 22.7 (Margin -10.7). Possessions: 12.4, HFA: +2.8 pts.</t>
        </is>
      </c>
      <c r="AF74" s="31" t="inlineStr">
        <is>
          <t>College football model; multi-market (moneyline, spread, total).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PAPER_CALL_LOW_EDGE</t>
        </is>
      </c>
      <c r="AP74" s="24" t="inlineStr">
        <is>
          <t>Alabama Crimson Tide</t>
        </is>
      </c>
      <c r="AQ74" s="24" t="inlineStr">
        <is>
          <t>Alabama Crimson Tide</t>
        </is>
      </c>
      <c r="AR74" s="24" t="inlineStr">
        <is>
          <t>Alabama Crimson Tide</t>
        </is>
      </c>
      <c r="AS74" s="24" t="inlineStr">
        <is>
          <t>Kentucky Wildcats</t>
        </is>
      </c>
      <c r="AT74" s="24" t="inlineStr">
        <is>
          <t>Kentucky Wildcats</t>
        </is>
      </c>
      <c r="AU74" s="24" t="inlineStr">
        <is>
          <t>Kentucky Wildcats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1d168f11d221cd3c</t>
        </is>
      </c>
      <c r="BB74" s="24" t="inlineStr">
        <is>
          <t>cfb_key_number_engine</t>
        </is>
      </c>
      <c r="BC74" s="24" t="inlineStr">
        <is>
          <t>college-football-v1</t>
        </is>
      </c>
      <c r="BD74" s="24" t="inlineStr">
        <is>
          <t>1d168f11d221cd3c</t>
        </is>
      </c>
      <c r="BE74" s="24" t="inlineStr">
        <is>
          <t>cfb-v1</t>
        </is>
      </c>
      <c r="BF74" s="24" t="inlineStr">
        <is>
          <t>1</t>
        </is>
      </c>
      <c r="BG74" s="24" t="inlineStr">
        <is>
          <t>1d168f11d221cd3c</t>
        </is>
      </c>
      <c r="BH74" s="24" t="inlineStr">
        <is>
          <t>2026-09-12T16:07:28.570172+00:00</t>
        </is>
      </c>
      <c r="BI74" s="24" t="inlineStr">
        <is>
          <t>["same_event","same_team_same_day","same_league_same_day"]</t>
        </is>
      </c>
      <c r="BJ74" s="25" t="n"/>
      <c r="BK74" s="26" t="n">
        <v>-360</v>
      </c>
      <c r="BL74" s="27" t="n">
        <v>1.277778</v>
      </c>
      <c r="BM74" s="28" t="n">
        <v>0.782609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>
        <v>1</v>
      </c>
      <c r="BY74" s="27" t="n">
        <v>0.277778</v>
      </c>
      <c r="BZ74" s="24" t="inlineStr">
        <is>
          <t>2026-09-13T04:30:50.571095Z</t>
        </is>
      </c>
      <c r="CA74" s="31" t="inlineStr">
        <is>
          <t>fixed one-unit hypothetical scoring; no real exposure or execution</t>
        </is>
      </c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0.782609</t>
        </is>
      </c>
      <c r="DK74" s="24" t="n"/>
      <c r="DL74" s="24" t="n"/>
      <c r="DM74" s="24" t="n"/>
      <c r="DN74" s="24" t="n"/>
      <c r="DO74" s="24" t="n"/>
      <c r="DP74" s="24" t="n"/>
      <c r="DQ74" s="24" t="inlineStr">
        <is>
          <t>{"artifact_hash": "1d168f11d221cd3c", "event_id": "401856674", "event_start_utc": "2026-09-12T19:30Z", "features": {"altitude_fatigue_penalty": 0.0, "away_team": "Alabama Crimson Tide", "efficiency_gap": -0.523, "elo_away": 1650.4, "elo_home": 1323.4, "elo_home_win_prob": 0.1812, "event_id": "401856674", "game_start_utc": "2026-09-12T19:30Z", "home_field_advantage_points": 2.8, "home_team": "Kentucky Wildcats", "is_dome": false, "is_fbs_vs_fcs": false, "is_neutral_site": false, "projected_away_points": 33.4, "projected_home_points": 22.7, "projected_margin_home": -10.7, "projected_possessions": 12.4, "projected_total": 56.1, "stadium_elevation_ft": 980, "travel_distance_miles": 374.0, "uncertainty": 0.18, "weather_total_adjustment": 0.0}, "historical_source_observation_times_verified": false, "inference_inputs": {"engine_source_sha256": "449ba2f0e86fa9c445730076a0e0bf100fb4914620be53c75c6f3bfe24298f3f", "mu_away": 33.4, "mu_home": 22.7,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228308227650650707261467679048080510099}, "uinteger": 0}, "spread_home_line": 9.5, "total_line": 47.5}, "market_type": "moneyline", "model_version": "college-football-v1", "observed_at_utc": "2026-09-12T16:07:28.570172+00:00", "probabilities": {"away": 0.748608, "home": 0.251392}, "replay_scope": "Full precision score means, exact engine parameters and original RNG state; upstream feature construction not certified.", "schema": "cfb-joint-replay-v1", "snapshot_hash": "8f13e039730c812a40b92e932d24ca8105a6e148539ee5ba7bca5078cc2b2a21", "sport": "NCAAF"}</t>
        </is>
      </c>
    </row>
    <row r="75" ht="36" customHeight="1">
      <c r="A75" s="24" t="inlineStr">
        <is>
          <t>da714582a6374db4</t>
        </is>
      </c>
      <c r="B75" s="24" t="inlineStr">
        <is>
          <t>2026-09-12T16:07:28.570172Z</t>
        </is>
      </c>
      <c r="C75" s="24" t="inlineStr">
        <is>
          <t>2026-09-12T19:30Z</t>
        </is>
      </c>
      <c r="D75" s="24" t="inlineStr">
        <is>
          <t>401856674</t>
        </is>
      </c>
      <c r="E75" s="24" t="inlineStr">
        <is>
          <t>NCAAF</t>
        </is>
      </c>
      <c r="F75" s="24" t="inlineStr">
        <is>
          <t>Alabama Crimson Tide</t>
        </is>
      </c>
      <c r="G75" s="24" t="inlineStr">
        <is>
          <t>Kentucky Wildcats</t>
        </is>
      </c>
      <c r="H75" s="24" t="inlineStr">
        <is>
          <t>spread</t>
        </is>
      </c>
      <c r="I75" s="24" t="inlineStr">
        <is>
          <t>away</t>
        </is>
      </c>
      <c r="J75" s="25" t="n">
        <v>-9.5</v>
      </c>
      <c r="K75" s="24" t="inlineStr">
        <is>
          <t>espn_consensus</t>
        </is>
      </c>
      <c r="L75" s="26" t="n">
        <v>-108</v>
      </c>
      <c r="M75" s="27" t="n">
        <v>1.925926</v>
      </c>
      <c r="N75" s="28" t="n">
        <v>0.519231</v>
      </c>
      <c r="O75" s="28" t="n">
        <v>0.5392670000000001</v>
      </c>
      <c r="P75" s="28" t="n">
        <v>0.18</v>
      </c>
      <c r="Q75" s="28" t="n">
        <v>0.020036</v>
      </c>
      <c r="R75" s="26" t="n">
        <v>0</v>
      </c>
      <c r="S75" s="29" t="n">
        <v>1</v>
      </c>
      <c r="T75" s="24" t="inlineStr">
        <is>
          <t>cfb-spread-v1</t>
        </is>
      </c>
      <c r="U75" s="24" t="inlineStr">
        <is>
          <t>settled</t>
        </is>
      </c>
      <c r="V75" s="24" t="inlineStr">
        <is>
          <t>win</t>
        </is>
      </c>
      <c r="W75" s="26" t="n">
        <v>45</v>
      </c>
      <c r="X75" s="26" t="n">
        <v>17</v>
      </c>
      <c r="Y75" s="25" t="n"/>
      <c r="Z75" s="26" t="n"/>
      <c r="AA75" s="28" t="n"/>
      <c r="AB75" s="28" t="n"/>
      <c r="AC75" s="30" t="n">
        <v>0.9258999999999999</v>
      </c>
      <c r="AD75" s="24" t="inlineStr">
        <is>
          <t>2026-09-13T04:30:50.897593Z</t>
        </is>
      </c>
      <c r="AE75" s="31" t="inlineStr">
        <is>
          <t>Projected home margin -10.7 pts. Spread: Home +9.5 / Away -9.5 -&gt; P(Away cover)=0.539, P(Home cover)=0.461, P(Push)=0.000.</t>
        </is>
      </c>
      <c r="AF75" s="31" t="inlineStr">
        <is>
          <t>College football model; multi-market (moneyline, spread, total).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paper_call</t>
        </is>
      </c>
      <c r="AL75" s="26" t="n">
        <v>4</v>
      </c>
      <c r="AM75" s="24" t="inlineStr">
        <is>
          <t>RESEARCH_OBSERVATION</t>
        </is>
      </c>
      <c r="AN75" s="24" t="inlineStr">
        <is>
          <t>CALL</t>
        </is>
      </c>
      <c r="AO75" s="24" t="inlineStr">
        <is>
          <t>PAPER_CALL_LOW_EDGE</t>
        </is>
      </c>
      <c r="AP75" s="24" t="inlineStr">
        <is>
          <t>Alabama Crimson Tide</t>
        </is>
      </c>
      <c r="AQ75" s="24" t="inlineStr">
        <is>
          <t>Alabama Crimson Tide</t>
        </is>
      </c>
      <c r="AR75" s="24" t="inlineStr">
        <is>
          <t>Alabama Crimson Tide</t>
        </is>
      </c>
      <c r="AS75" s="24" t="inlineStr">
        <is>
          <t>Kentucky Wildcats</t>
        </is>
      </c>
      <c r="AT75" s="24" t="inlineStr">
        <is>
          <t>Kentucky Wildcats</t>
        </is>
      </c>
      <c r="AU75" s="24" t="inlineStr">
        <is>
          <t>Kentucky Wildcats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1d168f11d221cd3c</t>
        </is>
      </c>
      <c r="BB75" s="24" t="inlineStr">
        <is>
          <t>cfb_key_number_engine</t>
        </is>
      </c>
      <c r="BC75" s="24" t="inlineStr">
        <is>
          <t>cfb-spread-v1</t>
        </is>
      </c>
      <c r="BD75" s="24" t="inlineStr">
        <is>
          <t>1d168f11d221cd3c</t>
        </is>
      </c>
      <c r="BE75" s="24" t="inlineStr">
        <is>
          <t>cfb-v1</t>
        </is>
      </c>
      <c r="BF75" s="24" t="inlineStr">
        <is>
          <t>1</t>
        </is>
      </c>
      <c r="BG75" s="24" t="inlineStr">
        <is>
          <t>1d168f11d221cd3c</t>
        </is>
      </c>
      <c r="BH75" s="24" t="inlineStr">
        <is>
          <t>2026-09-12T16:07:28.570172+00:00</t>
        </is>
      </c>
      <c r="BI75" s="24" t="inlineStr">
        <is>
          <t>["same_event","same_team_same_day","same_league_same_day"]</t>
        </is>
      </c>
      <c r="BJ75" s="25" t="n">
        <v>-9.5</v>
      </c>
      <c r="BK75" s="26" t="n">
        <v>-108</v>
      </c>
      <c r="BL75" s="27" t="n">
        <v>1.925926</v>
      </c>
      <c r="BM75" s="28" t="n">
        <v>0.519231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>
        <v>1</v>
      </c>
      <c r="BY75" s="27" t="n">
        <v>0.925926</v>
      </c>
      <c r="BZ75" s="24" t="inlineStr">
        <is>
          <t>2026-09-13T04:30:50.897593Z</t>
        </is>
      </c>
      <c r="CA75" s="31" t="inlineStr">
        <is>
          <t>fixed one-unit hypothetical scoring; no real exposure or execution</t>
        </is>
      </c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0.519231</t>
        </is>
      </c>
      <c r="DK75" s="24" t="n"/>
      <c r="DL75" s="24" t="n"/>
      <c r="DM75" s="24" t="n"/>
      <c r="DN75" s="24" t="n"/>
      <c r="DO75" s="24" t="n"/>
      <c r="DP75" s="24" t="n"/>
      <c r="DQ75" s="24" t="inlineStr">
        <is>
          <t>{"artifact_hash": "1d168f11d221cd3c", "event_id": "401856674", "event_start_utc": "2026-09-12T19:30Z", "features": {"altitude_fatigue_penalty": 0.0, "away_team": "Alabama Crimson Tide", "efficiency_gap": -0.523, "elo_away": 1650.4, "elo_home": 1323.4, "elo_home_win_prob": 0.1812, "event_id": "401856674", "game_start_utc": "2026-09-12T19:30Z", "home_field_advantage_points": 2.8, "home_team": "Kentucky Wildcats", "is_dome": false, "is_fbs_vs_fcs": false, "is_neutral_site": false, "projected_away_points": 33.4, "projected_home_points": 22.7, "projected_margin_home": -10.7, "projected_possessions": 12.4, "projected_total": 56.1, "stadium_elevation_ft": 980, "travel_distance_miles": 374.0, "uncertainty": 0.18, "weather_total_adjustment": 0.0}, "historical_source_observation_times_verified": false, "inference_inputs": {"engine_source_sha256": "449ba2f0e86fa9c445730076a0e0bf100fb4914620be53c75c6f3bfe24298f3f", "mu_away": 33.4, "mu_home": 22.7,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228308227650650707261467679048080510099}, "uinteger": 0}, "spread_home_line": 9.5, "total_line": 47.5}, "market_type": "spread", "model_version": "cfb-spread-v1", "observed_at_utc": "2026-09-12T16:07:28.570172+00:00", "probabilities": {"away": 0.539267, "home": 0.460733, "push": 0.0}, "replay_scope": "Full precision score means, exact engine parameters and original RNG state; upstream feature construction not certified.", "schema": "cfb-joint-replay-v1", "snapshot_hash": "2bcadf122495edf5593a720bc78bebb31fe806cc4f2909f1525ddc6c355c5080", "sport": "NCAAF"}</t>
        </is>
      </c>
    </row>
    <row r="76" ht="36" customHeight="1">
      <c r="A76" s="24" t="inlineStr">
        <is>
          <t>21a0632998aa4970</t>
        </is>
      </c>
      <c r="B76" s="24" t="inlineStr">
        <is>
          <t>2026-09-12T16:07:28.570172Z</t>
        </is>
      </c>
      <c r="C76" s="24" t="inlineStr">
        <is>
          <t>2026-09-12T19:30Z</t>
        </is>
      </c>
      <c r="D76" s="24" t="inlineStr">
        <is>
          <t>401856674</t>
        </is>
      </c>
      <c r="E76" s="24" t="inlineStr">
        <is>
          <t>NCAAF</t>
        </is>
      </c>
      <c r="F76" s="24" t="inlineStr">
        <is>
          <t>Alabama Crimson Tide</t>
        </is>
      </c>
      <c r="G76" s="24" t="inlineStr">
        <is>
          <t>Kentucky Wildcats</t>
        </is>
      </c>
      <c r="H76" s="24" t="inlineStr">
        <is>
          <t>total</t>
        </is>
      </c>
      <c r="I76" s="24" t="inlineStr">
        <is>
          <t>over</t>
        </is>
      </c>
      <c r="J76" s="25" t="n">
        <v>47.5</v>
      </c>
      <c r="K76" s="24" t="inlineStr">
        <is>
          <t>espn_consensus</t>
        </is>
      </c>
      <c r="L76" s="26" t="n">
        <v>-105</v>
      </c>
      <c r="M76" s="27" t="n">
        <v>1.952381</v>
      </c>
      <c r="N76" s="28" t="n">
        <v>0.512195</v>
      </c>
      <c r="O76" s="28" t="n">
        <v>0.6488</v>
      </c>
      <c r="P76" s="28" t="n">
        <v>0.18</v>
      </c>
      <c r="Q76" s="28" t="n">
        <v>0.136605</v>
      </c>
      <c r="R76" s="26" t="n">
        <v>10</v>
      </c>
      <c r="S76" s="29" t="n">
        <v>1</v>
      </c>
      <c r="T76" s="24" t="inlineStr">
        <is>
          <t>cfb-total-v1</t>
        </is>
      </c>
      <c r="U76" s="24" t="inlineStr">
        <is>
          <t>settled</t>
        </is>
      </c>
      <c r="V76" s="24" t="inlineStr">
        <is>
          <t>win</t>
        </is>
      </c>
      <c r="W76" s="26" t="n">
        <v>45</v>
      </c>
      <c r="X76" s="26" t="n">
        <v>17</v>
      </c>
      <c r="Y76" s="25" t="n"/>
      <c r="Z76" s="26" t="n"/>
      <c r="AA76" s="28" t="n"/>
      <c r="AB76" s="28" t="n"/>
      <c r="AC76" s="30" t="n">
        <v>0.9524</v>
      </c>
      <c r="AD76" s="24" t="inlineStr">
        <is>
          <t>2026-09-13T04:30:51.261621Z</t>
        </is>
      </c>
      <c r="AE76" s="31" t="inlineStr">
        <is>
          <t>Projected total 56.1 pts (Weather adj: +0.0 pts). Total line 47.5 -&gt; P(Over)=0.649, P(Under)=0.351, P(Push)=0.000.</t>
        </is>
      </c>
      <c r="AF76" s="31" t="inlineStr">
        <is>
          <t>College football model; multi-market (moneyline, spread, total).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4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Alabama Crimson Tide</t>
        </is>
      </c>
      <c r="AQ76" s="24" t="inlineStr">
        <is>
          <t>Alabama Crimson Tide</t>
        </is>
      </c>
      <c r="AR76" s="24" t="inlineStr">
        <is>
          <t>Alabama Crimson Tide</t>
        </is>
      </c>
      <c r="AS76" s="24" t="inlineStr">
        <is>
          <t>Kentucky Wildcats</t>
        </is>
      </c>
      <c r="AT76" s="24" t="inlineStr">
        <is>
          <t>Kentucky Wildcats</t>
        </is>
      </c>
      <c r="AU76" s="24" t="inlineStr">
        <is>
          <t>Kentucky Wildcats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1d168f11d221cd3c</t>
        </is>
      </c>
      <c r="BB76" s="24" t="inlineStr">
        <is>
          <t>cfb_key_number_engine</t>
        </is>
      </c>
      <c r="BC76" s="24" t="inlineStr">
        <is>
          <t>cfb-total-v1</t>
        </is>
      </c>
      <c r="BD76" s="24" t="inlineStr">
        <is>
          <t>1d168f11d221cd3c</t>
        </is>
      </c>
      <c r="BE76" s="24" t="inlineStr">
        <is>
          <t>cfb-v1</t>
        </is>
      </c>
      <c r="BF76" s="24" t="inlineStr">
        <is>
          <t>1</t>
        </is>
      </c>
      <c r="BG76" s="24" t="inlineStr">
        <is>
          <t>1d168f11d221cd3c</t>
        </is>
      </c>
      <c r="BH76" s="24" t="inlineStr">
        <is>
          <t>2026-09-12T16:07:28.570172+00:00</t>
        </is>
      </c>
      <c r="BI76" s="24" t="inlineStr">
        <is>
          <t>["same_event","same_team_same_day","same_league_same_day"]</t>
        </is>
      </c>
      <c r="BJ76" s="25" t="n">
        <v>47.5</v>
      </c>
      <c r="BK76" s="26" t="n">
        <v>-105</v>
      </c>
      <c r="BL76" s="27" t="n">
        <v>1.952381</v>
      </c>
      <c r="BM76" s="28" t="n">
        <v>0.512195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0.512195</t>
        </is>
      </c>
      <c r="DK76" s="24" t="n"/>
      <c r="DL76" s="24" t="n"/>
      <c r="DM76" s="24" t="n"/>
      <c r="DN76" s="24" t="n"/>
      <c r="DO76" s="24" t="n"/>
      <c r="DP76" s="24" t="n"/>
      <c r="DQ76" s="24" t="inlineStr">
        <is>
          <t>{"artifact_hash": "1d168f11d221cd3c", "event_id": "401856674", "event_start_utc": "2026-09-12T19:30Z", "features": {"altitude_fatigue_penalty": 0.0, "away_team": "Alabama Crimson Tide", "efficiency_gap": -0.523, "elo_away": 1650.4, "elo_home": 1323.4, "elo_home_win_prob": 0.1812, "event_id": "401856674", "game_start_utc": "2026-09-12T19:30Z", "home_field_advantage_points": 2.8, "home_team": "Kentucky Wildcats", "is_dome": false, "is_fbs_vs_fcs": false, "is_neutral_site": false, "projected_away_points": 33.4, "projected_home_points": 22.7, "projected_margin_home": -10.7, "projected_possessions": 12.4, "projected_total": 56.1, "stadium_elevation_ft": 980, "travel_distance_miles": 374.0, "uncertainty": 0.18, "weather_total_adjustment": 0.0}, "historical_source_observation_times_verified": false, "inference_inputs": {"engine_source_sha256": "449ba2f0e86fa9c445730076a0e0bf100fb4914620be53c75c6f3bfe24298f3f", "mu_away": 33.4, "mu_home": 22.7,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228308227650650707261467679048080510099}, "uinteger": 0}, "spread_home_line": 9.5, "total_line": 47.5}, "market_type": "total", "model_version": "cfb-total-v1", "observed_at_utc": "2026-09-12T16:07:28.570172+00:00", "probabilities": {"over": 0.6488, "push": 0.0, "under": 0.3512}, "replay_scope": "Full precision score means, exact engine parameters and original RNG state; upstream feature construction not certified.", "schema": "cfb-joint-replay-v1", "snapshot_hash": "0c71a56d949b0b5fadc16f3adf6b0108cd91ccd21732d6ebde0fa81d9f7f3690", "sport": "NCAAF"}</t>
        </is>
      </c>
    </row>
    <row r="77" ht="36" customHeight="1">
      <c r="A77" s="24" t="inlineStr">
        <is>
          <t>12c83ad4a2924721</t>
        </is>
      </c>
      <c r="B77" s="24" t="inlineStr">
        <is>
          <t>2026-09-12T16:07:28.570172Z</t>
        </is>
      </c>
      <c r="C77" s="24" t="inlineStr">
        <is>
          <t>2026-09-12T19:30Z</t>
        </is>
      </c>
      <c r="D77" s="24" t="inlineStr">
        <is>
          <t>401856810</t>
        </is>
      </c>
      <c r="E77" s="24" t="inlineStr">
        <is>
          <t>NCAAF</t>
        </is>
      </c>
      <c r="F77" s="24" t="inlineStr">
        <is>
          <t>Arizona Wildcats</t>
        </is>
      </c>
      <c r="G77" s="24" t="inlineStr">
        <is>
          <t>BYU Cougars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espn_consensus</t>
        </is>
      </c>
      <c r="L77" s="26" t="n">
        <v>-270</v>
      </c>
      <c r="M77" s="27" t="n">
        <v>1.37037</v>
      </c>
      <c r="N77" s="28" t="n">
        <v>0.72973</v>
      </c>
      <c r="O77" s="28" t="n">
        <v>0.613947</v>
      </c>
      <c r="P77" s="28" t="n">
        <v>0.18</v>
      </c>
      <c r="Q77" s="28" t="n">
        <v>-0.115783</v>
      </c>
      <c r="R77" s="26" t="n">
        <v>0</v>
      </c>
      <c r="S77" s="29" t="n">
        <v>1</v>
      </c>
      <c r="T77" s="24" t="inlineStr">
        <is>
          <t>college-football-v1</t>
        </is>
      </c>
      <c r="U77" s="24" t="inlineStr">
        <is>
          <t>settled</t>
        </is>
      </c>
      <c r="V77" s="24" t="inlineStr">
        <is>
          <t>win</t>
        </is>
      </c>
      <c r="W77" s="26" t="n">
        <v>17</v>
      </c>
      <c r="X77" s="26" t="n">
        <v>28</v>
      </c>
      <c r="Y77" s="25" t="n"/>
      <c r="Z77" s="26" t="n"/>
      <c r="AA77" s="28" t="n"/>
      <c r="AB77" s="28" t="n"/>
      <c r="AC77" s="30" t="n">
        <v>0.3704</v>
      </c>
      <c r="AD77" s="24" t="inlineStr">
        <is>
          <t>2026-09-13T04:30:51.637030Z</t>
        </is>
      </c>
      <c r="AE77" s="31" t="inlineStr">
        <is>
          <t>CFB Joint Model (negative_binomial): proj score Arizona Wildcats 25.0 @ BYU Cougars 29.7 (Margin +4.6). Possessions: 12.4, HFA: +2.8 pts.</t>
        </is>
      </c>
      <c r="AF77" s="31" t="inlineStr">
        <is>
          <t>College football model; multi-market (moneyline, spread, total).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paper_call</t>
        </is>
      </c>
      <c r="AL77" s="26" t="n">
        <v>4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Arizona Wildcats</t>
        </is>
      </c>
      <c r="AQ77" s="24" t="inlineStr">
        <is>
          <t>Arizona Wildcats</t>
        </is>
      </c>
      <c r="AR77" s="24" t="inlineStr">
        <is>
          <t>Arizona Wildcats</t>
        </is>
      </c>
      <c r="AS77" s="24" t="inlineStr">
        <is>
          <t>BYU Cougars</t>
        </is>
      </c>
      <c r="AT77" s="24" t="inlineStr">
        <is>
          <t>BYU Cougars</t>
        </is>
      </c>
      <c r="AU77" s="24" t="inlineStr">
        <is>
          <t>BYU Cougars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1d168f11d221cd3c</t>
        </is>
      </c>
      <c r="BB77" s="24" t="inlineStr">
        <is>
          <t>cfb_key_number_engine</t>
        </is>
      </c>
      <c r="BC77" s="24" t="inlineStr">
        <is>
          <t>college-football-v1</t>
        </is>
      </c>
      <c r="BD77" s="24" t="inlineStr">
        <is>
          <t>1d168f11d221cd3c</t>
        </is>
      </c>
      <c r="BE77" s="24" t="inlineStr">
        <is>
          <t>cfb-v1</t>
        </is>
      </c>
      <c r="BF77" s="24" t="inlineStr">
        <is>
          <t>1</t>
        </is>
      </c>
      <c r="BG77" s="24" t="inlineStr">
        <is>
          <t>1d168f11d221cd3c</t>
        </is>
      </c>
      <c r="BH77" s="24" t="inlineStr">
        <is>
          <t>2026-09-12T16:07:28.570172+00:00</t>
        </is>
      </c>
      <c r="BI77" s="24" t="inlineStr">
        <is>
          <t>["same_event","same_team_same_day","same_league_same_day"]</t>
        </is>
      </c>
      <c r="BJ77" s="25" t="n"/>
      <c r="BK77" s="26" t="n">
        <v>-270</v>
      </c>
      <c r="BL77" s="27" t="n">
        <v>1.37037</v>
      </c>
      <c r="BM77" s="28" t="n">
        <v>0.72973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>
        <v>1</v>
      </c>
      <c r="BY77" s="27" t="n">
        <v>0.37037</v>
      </c>
      <c r="BZ77" s="24" t="inlineStr">
        <is>
          <t>2026-09-13T04:30:51.637030Z</t>
        </is>
      </c>
      <c r="CA77" s="31" t="inlineStr">
        <is>
          <t>fixed one-unit hypothetical scoring; no real exposure or execution</t>
        </is>
      </c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0.72973</t>
        </is>
      </c>
      <c r="DK77" s="24" t="n"/>
      <c r="DL77" s="24" t="n"/>
      <c r="DM77" s="24" t="n"/>
      <c r="DN77" s="24" t="n"/>
      <c r="DO77" s="24" t="n"/>
      <c r="DP77" s="24" t="n"/>
      <c r="DQ77" s="24" t="inlineStr">
        <is>
          <t>{"artifact_hash": "1d168f11d221cd3c", "event_id": "401856810", "event_start_utc": "2026-09-12T19:30Z", "features": {"altitude_fatigue_penalty": 0.57, "away_team": "Arizona Wildcats", "efficiency_gap": 0.0, "elo_away": 1640.2, "elo_home": 1688.8, "elo_home_win_prob": 0.6579, "event_id": "401856810", "game_start_utc": "2026-09-12T19:30Z", "home_field_advantage_points": 2.8, "home_team": "BYU Cougars", "is_dome": false, "is_fbs_vs_fcs": false, "is_neutral_site": false, "projected_away_points": 25.0, "projected_home_points": 29.7, "projected_margin_home": 4.6, "projected_possessions": 12.4, "projected_total": 54.7, "stadium_elevation_ft": 4649, "travel_distance_miles": 556.0, "uncertainty": 0.18, "weather_total_adjustment": 0.0}, "historical_source_observation_times_verified": false, "inference_inputs": {"engine_source_sha256": "449ba2f0e86fa9c445730076a0e0bf100fb4914620be53c75c6f3bfe24298f3f", "mu_away": 25.0, "mu_home": 29.7,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163906928349911988584803666053181689800}, "uinteger": 0}, "spread_home_line": -7.0, "total_line": 48.5}, "market_type": "moneyline", "model_version": "college-football-v1", "observed_at_utc": "2026-09-12T16:07:28.570172+00:00", "probabilities": {"away": 0.386053, "home": 0.613947}, "replay_scope": "Full precision score means, exact engine parameters and original RNG state; upstream feature construction not certified.", "schema": "cfb-joint-replay-v1", "snapshot_hash": "6bbaf1c90e99ceadd0c30b03a85b7d444f32a2907774ae96fe9cea0cd64e210b", "sport": "NCAAF"}</t>
        </is>
      </c>
    </row>
    <row r="78" ht="36" customHeight="1">
      <c r="A78" s="24" t="inlineStr">
        <is>
          <t>9dd581cd60e6470f</t>
        </is>
      </c>
      <c r="B78" s="24" t="inlineStr">
        <is>
          <t>2026-09-12T16:07:28.570172Z</t>
        </is>
      </c>
      <c r="C78" s="24" t="inlineStr">
        <is>
          <t>2026-09-12T19:30Z</t>
        </is>
      </c>
      <c r="D78" s="24" t="inlineStr">
        <is>
          <t>401856810</t>
        </is>
      </c>
      <c r="E78" s="24" t="inlineStr">
        <is>
          <t>NCAAF</t>
        </is>
      </c>
      <c r="F78" s="24" t="inlineStr">
        <is>
          <t>Arizona Wildcats</t>
        </is>
      </c>
      <c r="G78" s="24" t="inlineStr">
        <is>
          <t>BYU Cougars</t>
        </is>
      </c>
      <c r="H78" s="24" t="inlineStr">
        <is>
          <t>spread</t>
        </is>
      </c>
      <c r="I78" s="24" t="inlineStr">
        <is>
          <t>away</t>
        </is>
      </c>
      <c r="J78" s="25" t="n">
        <v>7</v>
      </c>
      <c r="K78" s="24" t="inlineStr">
        <is>
          <t>espn_consensus</t>
        </is>
      </c>
      <c r="L78" s="26" t="n">
        <v>-112</v>
      </c>
      <c r="M78" s="27" t="n">
        <v>1.892857</v>
      </c>
      <c r="N78" s="28" t="n">
        <v>0.528302</v>
      </c>
      <c r="O78" s="28" t="n">
        <v>0.547867</v>
      </c>
      <c r="P78" s="28" t="n">
        <v>0.18</v>
      </c>
      <c r="Q78" s="28" t="n">
        <v>0.019565</v>
      </c>
      <c r="R78" s="26" t="n">
        <v>0</v>
      </c>
      <c r="S78" s="29" t="n">
        <v>1</v>
      </c>
      <c r="T78" s="24" t="inlineStr">
        <is>
          <t>cfb-spread-v1</t>
        </is>
      </c>
      <c r="U78" s="24" t="inlineStr">
        <is>
          <t>settled</t>
        </is>
      </c>
      <c r="V78" s="24" t="inlineStr">
        <is>
          <t>loss</t>
        </is>
      </c>
      <c r="W78" s="26" t="n">
        <v>17</v>
      </c>
      <c r="X78" s="26" t="n">
        <v>28</v>
      </c>
      <c r="Y78" s="25" t="n"/>
      <c r="Z78" s="26" t="n"/>
      <c r="AA78" s="28" t="n"/>
      <c r="AB78" s="28" t="n"/>
      <c r="AC78" s="30" t="n">
        <v>-1</v>
      </c>
      <c r="AD78" s="24" t="inlineStr">
        <is>
          <t>2026-09-13T04:30:52.062918Z</t>
        </is>
      </c>
      <c r="AE78" s="31" t="inlineStr">
        <is>
          <t>Projected home margin +4.6 pts. Spread: Home -7.0 / Away +7.0 -&gt; P(Away cover)=0.548, P(Home cover)=0.427, P(Push)=0.025.</t>
        </is>
      </c>
      <c r="AF78" s="31" t="inlineStr">
        <is>
          <t>College football model; multi-market (moneyline, spread, total).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paper_call</t>
        </is>
      </c>
      <c r="AL78" s="26" t="n">
        <v>4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PAPER_CALL_LOW_EDGE</t>
        </is>
      </c>
      <c r="AP78" s="24" t="inlineStr">
        <is>
          <t>Arizona Wildcats</t>
        </is>
      </c>
      <c r="AQ78" s="24" t="inlineStr">
        <is>
          <t>Arizona Wildcats</t>
        </is>
      </c>
      <c r="AR78" s="24" t="inlineStr">
        <is>
          <t>Arizona Wildcats</t>
        </is>
      </c>
      <c r="AS78" s="24" t="inlineStr">
        <is>
          <t>BYU Cougars</t>
        </is>
      </c>
      <c r="AT78" s="24" t="inlineStr">
        <is>
          <t>BYU Cougars</t>
        </is>
      </c>
      <c r="AU78" s="24" t="inlineStr">
        <is>
          <t>BYU Cougars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1d168f11d221cd3c</t>
        </is>
      </c>
      <c r="BB78" s="24" t="inlineStr">
        <is>
          <t>cfb_key_number_engine</t>
        </is>
      </c>
      <c r="BC78" s="24" t="inlineStr">
        <is>
          <t>cfb-spread-v1</t>
        </is>
      </c>
      <c r="BD78" s="24" t="inlineStr">
        <is>
          <t>1d168f11d221cd3c</t>
        </is>
      </c>
      <c r="BE78" s="24" t="inlineStr">
        <is>
          <t>cfb-v1</t>
        </is>
      </c>
      <c r="BF78" s="24" t="inlineStr">
        <is>
          <t>1</t>
        </is>
      </c>
      <c r="BG78" s="24" t="inlineStr">
        <is>
          <t>1d168f11d221cd3c</t>
        </is>
      </c>
      <c r="BH78" s="24" t="inlineStr">
        <is>
          <t>2026-09-12T16:07:28.570172+00:00</t>
        </is>
      </c>
      <c r="BI78" s="24" t="inlineStr">
        <is>
          <t>["same_event","same_team_same_day","same_league_same_day"]</t>
        </is>
      </c>
      <c r="BJ78" s="25" t="n">
        <v>7</v>
      </c>
      <c r="BK78" s="26" t="n">
        <v>-112</v>
      </c>
      <c r="BL78" s="27" t="n">
        <v>1.892857</v>
      </c>
      <c r="BM78" s="28" t="n">
        <v>0.528302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>
        <v>1</v>
      </c>
      <c r="BY78" s="27" t="n">
        <v>-1</v>
      </c>
      <c r="BZ78" s="24" t="inlineStr">
        <is>
          <t>2026-09-13T04:30:52.062918Z</t>
        </is>
      </c>
      <c r="CA78" s="31" t="inlineStr">
        <is>
          <t>fixed one-unit hypothetical scoring; no real exposure or execution</t>
        </is>
      </c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0.528302</t>
        </is>
      </c>
      <c r="DK78" s="24" t="n"/>
      <c r="DL78" s="24" t="n"/>
      <c r="DM78" s="24" t="n"/>
      <c r="DN78" s="24" t="n"/>
      <c r="DO78" s="24" t="n"/>
      <c r="DP78" s="24" t="n"/>
      <c r="DQ78" s="24" t="inlineStr">
        <is>
          <t>{"artifact_hash": "1d168f11d221cd3c", "event_id": "401856810", "event_start_utc": "2026-09-12T19:30Z", "features": {"altitude_fatigue_penalty": 0.57, "away_team": "Arizona Wildcats", "efficiency_gap": 0.0, "elo_away": 1640.2, "elo_home": 1688.8, "elo_home_win_prob": 0.6579, "event_id": "401856810", "game_start_utc": "2026-09-12T19:30Z", "home_field_advantage_points": 2.8, "home_team": "BYU Cougars", "is_dome": false, "is_fbs_vs_fcs": false, "is_neutral_site": false, "projected_away_points": 25.0, "projected_home_points": 29.7, "projected_margin_home": 4.6, "projected_possessions": 12.4, "projected_total": 54.7, "stadium_elevation_ft": 4649, "travel_distance_miles": 556.0, "uncertainty": 0.18, "weather_total_adjustment": 0.0}, "historical_source_observation_times_verified": false, "inference_inputs": {"engine_source_sha256": "449ba2f0e86fa9c445730076a0e0bf100fb4914620be53c75c6f3bfe24298f3f", "mu_away": 25.0, "mu_home": 29.7,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163906928349911988584803666053181689800}, "uinteger": 0}, "spread_home_line": -7.0, "total_line": 48.5}, "market_type": "spread", "model_version": "cfb-spread-v1", "observed_at_utc": "2026-09-12T16:07:28.570172+00:00", "probabilities": {"away": 0.547867, "home": 0.4274, "push": 0.024733}, "replay_scope": "Full precision score means, exact engine parameters and original RNG state; upstream feature construction not certified.", "schema": "cfb-joint-replay-v1", "snapshot_hash": "44c79e6bc5db770276e94b7af408b8db85b8da35349cf579b0f1b33c0e1704c5", "sport": "NCAAF"}</t>
        </is>
      </c>
    </row>
    <row r="79" ht="36" customHeight="1">
      <c r="A79" s="24" t="inlineStr">
        <is>
          <t>075356eb1ad04ca2</t>
        </is>
      </c>
      <c r="B79" s="24" t="inlineStr">
        <is>
          <t>2026-09-12T16:07:28.570172Z</t>
        </is>
      </c>
      <c r="C79" s="24" t="inlineStr">
        <is>
          <t>2026-09-12T19:30Z</t>
        </is>
      </c>
      <c r="D79" s="24" t="inlineStr">
        <is>
          <t>401856810</t>
        </is>
      </c>
      <c r="E79" s="24" t="inlineStr">
        <is>
          <t>NCAAF</t>
        </is>
      </c>
      <c r="F79" s="24" t="inlineStr">
        <is>
          <t>Arizona Wildcats</t>
        </is>
      </c>
      <c r="G79" s="24" t="inlineStr">
        <is>
          <t>BYU Cougars</t>
        </is>
      </c>
      <c r="H79" s="24" t="inlineStr">
        <is>
          <t>total</t>
        </is>
      </c>
      <c r="I79" s="24" t="inlineStr">
        <is>
          <t>over</t>
        </is>
      </c>
      <c r="J79" s="25" t="n">
        <v>48.5</v>
      </c>
      <c r="K79" s="24" t="inlineStr">
        <is>
          <t>espn_consensus</t>
        </is>
      </c>
      <c r="L79" s="26" t="n">
        <v>-115</v>
      </c>
      <c r="M79" s="27" t="n">
        <v>1.869565</v>
      </c>
      <c r="N79" s="28" t="n">
        <v>0.534884</v>
      </c>
      <c r="O79" s="28" t="n">
        <v>0.613267</v>
      </c>
      <c r="P79" s="28" t="n">
        <v>0.18</v>
      </c>
      <c r="Q79" s="28" t="n">
        <v>0.07838299999999999</v>
      </c>
      <c r="R79" s="26" t="n">
        <v>0</v>
      </c>
      <c r="S79" s="29" t="n">
        <v>1</v>
      </c>
      <c r="T79" s="24" t="inlineStr">
        <is>
          <t>cfb-total-v1</t>
        </is>
      </c>
      <c r="U79" s="24" t="inlineStr">
        <is>
          <t>settled</t>
        </is>
      </c>
      <c r="V79" s="24" t="inlineStr">
        <is>
          <t>loss</t>
        </is>
      </c>
      <c r="W79" s="26" t="n">
        <v>17</v>
      </c>
      <c r="X79" s="26" t="n">
        <v>28</v>
      </c>
      <c r="Y79" s="25" t="n"/>
      <c r="Z79" s="26" t="n"/>
      <c r="AA79" s="28" t="n"/>
      <c r="AB79" s="28" t="n"/>
      <c r="AC79" s="30" t="n">
        <v>-1</v>
      </c>
      <c r="AD79" s="24" t="inlineStr">
        <is>
          <t>2026-09-13T04:30:52.432412Z</t>
        </is>
      </c>
      <c r="AE79" s="31" t="inlineStr">
        <is>
          <t>Projected total 54.7 pts (Weather adj: +0.0 pts). Total line 48.5 -&gt; P(Over)=0.613, P(Under)=0.387, P(Push)=0.000.</t>
        </is>
      </c>
      <c r="AF79" s="31" t="inlineStr">
        <is>
          <t>College football model; multi-market (moneyline, spread, total).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4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Arizona Wildcats</t>
        </is>
      </c>
      <c r="AQ79" s="24" t="inlineStr">
        <is>
          <t>Arizona Wildcats</t>
        </is>
      </c>
      <c r="AR79" s="24" t="inlineStr">
        <is>
          <t>Arizona Wildcats</t>
        </is>
      </c>
      <c r="AS79" s="24" t="inlineStr">
        <is>
          <t>BYU Cougars</t>
        </is>
      </c>
      <c r="AT79" s="24" t="inlineStr">
        <is>
          <t>BYU Cougars</t>
        </is>
      </c>
      <c r="AU79" s="24" t="inlineStr">
        <is>
          <t>BYU Cougars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1d168f11d221cd3c</t>
        </is>
      </c>
      <c r="BB79" s="24" t="inlineStr">
        <is>
          <t>cfb_key_number_engine</t>
        </is>
      </c>
      <c r="BC79" s="24" t="inlineStr">
        <is>
          <t>cfb-total-v1</t>
        </is>
      </c>
      <c r="BD79" s="24" t="inlineStr">
        <is>
          <t>1d168f11d221cd3c</t>
        </is>
      </c>
      <c r="BE79" s="24" t="inlineStr">
        <is>
          <t>cfb-v1</t>
        </is>
      </c>
      <c r="BF79" s="24" t="inlineStr">
        <is>
          <t>1</t>
        </is>
      </c>
      <c r="BG79" s="24" t="inlineStr">
        <is>
          <t>1d168f11d221cd3c</t>
        </is>
      </c>
      <c r="BH79" s="24" t="inlineStr">
        <is>
          <t>2026-09-12T16:07:28.570172+00:00</t>
        </is>
      </c>
      <c r="BI79" s="24" t="inlineStr">
        <is>
          <t>["same_event","same_team_same_day","same_league_same_day"]</t>
        </is>
      </c>
      <c r="BJ79" s="25" t="n">
        <v>48.5</v>
      </c>
      <c r="BK79" s="26" t="n">
        <v>-115</v>
      </c>
      <c r="BL79" s="27" t="n">
        <v>1.869565</v>
      </c>
      <c r="BM79" s="28" t="n">
        <v>0.534884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0.534884</t>
        </is>
      </c>
      <c r="DK79" s="24" t="n"/>
      <c r="DL79" s="24" t="n"/>
      <c r="DM79" s="24" t="n"/>
      <c r="DN79" s="24" t="n"/>
      <c r="DO79" s="24" t="n"/>
      <c r="DP79" s="24" t="n"/>
      <c r="DQ79" s="24" t="inlineStr">
        <is>
          <t>{"artifact_hash": "1d168f11d221cd3c", "event_id": "401856810", "event_start_utc": "2026-09-12T19:30Z", "features": {"altitude_fatigue_penalty": 0.57, "away_team": "Arizona Wildcats", "efficiency_gap": 0.0, "elo_away": 1640.2, "elo_home": 1688.8, "elo_home_win_prob": 0.6579, "event_id": "401856810", "game_start_utc": "2026-09-12T19:30Z", "home_field_advantage_points": 2.8, "home_team": "BYU Cougars", "is_dome": false, "is_fbs_vs_fcs": false, "is_neutral_site": false, "projected_away_points": 25.0, "projected_home_points": 29.7, "projected_margin_home": 4.6, "projected_possessions": 12.4, "projected_total": 54.7, "stadium_elevation_ft": 4649, "travel_distance_miles": 556.0, "uncertainty": 0.18, "weather_total_adjustment": 0.0}, "historical_source_observation_times_verified": false, "inference_inputs": {"engine_source_sha256": "449ba2f0e86fa9c445730076a0e0bf100fb4914620be53c75c6f3bfe24298f3f", "mu_away": 25.0, "mu_home": 29.7,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163906928349911988584803666053181689800}, "uinteger": 0}, "spread_home_line": -7.0, "total_line": 48.5}, "market_type": "total", "model_version": "cfb-total-v1", "observed_at_utc": "2026-09-12T16:07:28.570172+00:00", "probabilities": {"over": 0.613267, "push": 0.0, "under": 0.386733}, "replay_scope": "Full precision score means, exact engine parameters and original RNG state; upstream feature construction not certified.", "schema": "cfb-joint-replay-v1", "snapshot_hash": "489349de9f60e232b9f0bf420d59e5286c1670e4b3fd1087cf6ff8e55ddd28e9", "sport": "NCAAF"}</t>
        </is>
      </c>
    </row>
    <row r="80" ht="36" customHeight="1">
      <c r="A80" s="24" t="inlineStr">
        <is>
          <t>ea00fb10a56b46b5</t>
        </is>
      </c>
      <c r="B80" s="24" t="inlineStr">
        <is>
          <t>2026-09-12T16:07:28.570172Z</t>
        </is>
      </c>
      <c r="C80" s="24" t="inlineStr">
        <is>
          <t>2026-09-12T19:30Z</t>
        </is>
      </c>
      <c r="D80" s="24" t="inlineStr">
        <is>
          <t>401858446</t>
        </is>
      </c>
      <c r="E80" s="24" t="inlineStr">
        <is>
          <t>NCAAF</t>
        </is>
      </c>
      <c r="F80" s="24" t="inlineStr">
        <is>
          <t>Utah State Aggies</t>
        </is>
      </c>
      <c r="G80" s="24" t="inlineStr">
        <is>
          <t>Washington Huskies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espn_consensus</t>
        </is>
      </c>
      <c r="L80" s="26" t="n">
        <v>-6500</v>
      </c>
      <c r="M80" s="27" t="n">
        <v>1.015385</v>
      </c>
      <c r="N80" s="28" t="n">
        <v>0.9848479999999999</v>
      </c>
      <c r="O80" s="28" t="n">
        <v>0.794077</v>
      </c>
      <c r="P80" s="28" t="n">
        <v>0.18</v>
      </c>
      <c r="Q80" s="28" t="n">
        <v>-0.190771</v>
      </c>
      <c r="R80" s="26" t="n">
        <v>0</v>
      </c>
      <c r="S80" s="29" t="n">
        <v>1</v>
      </c>
      <c r="T80" s="24" t="inlineStr">
        <is>
          <t>college-football-v1</t>
        </is>
      </c>
      <c r="U80" s="24" t="inlineStr">
        <is>
          <t>settled</t>
        </is>
      </c>
      <c r="V80" s="24" t="inlineStr">
        <is>
          <t>win</t>
        </is>
      </c>
      <c r="W80" s="26" t="n">
        <v>14</v>
      </c>
      <c r="X80" s="26" t="n">
        <v>16</v>
      </c>
      <c r="Y80" s="25" t="n"/>
      <c r="Z80" s="26" t="n"/>
      <c r="AA80" s="28" t="n"/>
      <c r="AB80" s="28" t="n"/>
      <c r="AC80" s="30" t="n">
        <v>0.0154</v>
      </c>
      <c r="AD80" s="24" t="inlineStr">
        <is>
          <t>2026-09-13T04:30:52.803098Z</t>
        </is>
      </c>
      <c r="AE80" s="31" t="inlineStr">
        <is>
          <t>CFB Joint Model (negative_binomial): proj score Utah State Aggies 20.6 @ Washington Huskies 33.7 (Margin +13.2). Possessions: 12.4, HFA: +2.8 pts.</t>
        </is>
      </c>
      <c r="AF80" s="31" t="inlineStr">
        <is>
          <t>College football model; multi-market (moneyline, spread, total).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Utah State Aggies</t>
        </is>
      </c>
      <c r="AQ80" s="24" t="inlineStr">
        <is>
          <t>Utah State Aggies</t>
        </is>
      </c>
      <c r="AR80" s="24" t="inlineStr">
        <is>
          <t>Utah State Aggies</t>
        </is>
      </c>
      <c r="AS80" s="24" t="inlineStr">
        <is>
          <t>Washington Huskies</t>
        </is>
      </c>
      <c r="AT80" s="24" t="inlineStr">
        <is>
          <t>Washington Huskies</t>
        </is>
      </c>
      <c r="AU80" s="24" t="inlineStr">
        <is>
          <t>Washington Huskies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1d168f11d221cd3c</t>
        </is>
      </c>
      <c r="BB80" s="24" t="inlineStr">
        <is>
          <t>cfb_key_number_engine</t>
        </is>
      </c>
      <c r="BC80" s="24" t="inlineStr">
        <is>
          <t>college-football-v1</t>
        </is>
      </c>
      <c r="BD80" s="24" t="inlineStr">
        <is>
          <t>1d168f11d221cd3c</t>
        </is>
      </c>
      <c r="BE80" s="24" t="inlineStr">
        <is>
          <t>cfb-v1</t>
        </is>
      </c>
      <c r="BF80" s="24" t="inlineStr">
        <is>
          <t>1</t>
        </is>
      </c>
      <c r="BG80" s="24" t="inlineStr">
        <is>
          <t>1d168f11d221cd3c</t>
        </is>
      </c>
      <c r="BH80" s="24" t="inlineStr">
        <is>
          <t>2026-09-12T16:07:28.570172+00:00</t>
        </is>
      </c>
      <c r="BI80" s="24" t="inlineStr">
        <is>
          <t>["same_event","same_team_same_day","same_league_same_day"]</t>
        </is>
      </c>
      <c r="BJ80" s="25" t="n"/>
      <c r="BK80" s="26" t="n">
        <v>-6500</v>
      </c>
      <c r="BL80" s="27" t="n">
        <v>1.015385</v>
      </c>
      <c r="BM80" s="28" t="n">
        <v>0.9848479999999999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>
        <v>1</v>
      </c>
      <c r="BY80" s="27" t="n">
        <v>0.015385</v>
      </c>
      <c r="BZ80" s="24" t="inlineStr">
        <is>
          <t>2026-09-13T04:30:52.803098Z</t>
        </is>
      </c>
      <c r="CA80" s="31" t="inlineStr">
        <is>
          <t>fixed one-unit hypothetical scoring; no real exposure or execution</t>
        </is>
      </c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0.984848</t>
        </is>
      </c>
      <c r="DK80" s="24" t="n"/>
      <c r="DL80" s="24" t="n"/>
      <c r="DM80" s="24" t="n"/>
      <c r="DN80" s="24" t="n"/>
      <c r="DO80" s="24" t="n"/>
      <c r="DP80" s="24" t="n"/>
      <c r="DQ80" s="24" t="inlineStr">
        <is>
          <t>{"artifact_hash": "1d168f11d221cd3c", "event_id": "401858446", "event_start_utc": "2026-09-12T19:30Z", "features": {"altitude_fatigue_penalty": 0.0, "away_team": "Utah State Aggies", "efficiency_gap": 1.541, "elo_away": 1438.6, "elo_home": 1695.9, "elo_home_win_prob": 0.8647, "event_id": "401858446", "game_start_utc": "2026-09-12T19:30Z", "home_field_advantage_points": 2.8, "home_team": "Washington Huskies", "is_dome": false, "is_fbs_vs_fcs": false, "is_neutral_site": false, "projected_away_points": 20.6, "projected_home_points": 33.7, "projected_margin_home": 13.2, "projected_possessions": 12.4, "projected_total": 54.3, "stadium_elevation_ft": 40, "travel_distance_miles": 656.0, "uncertainty": 0.18, "weather_total_adjustment": 0.0}, "historical_source_observation_times_verified": false, "inference_inputs": {"engine_source_sha256": "449ba2f0e86fa9c445730076a0e0bf100fb4914620be53c75c6f3bfe24298f3f", "mu_away": 20.6, "mu_home": 33.7,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30363134665120386589511745254119038225}, "uinteger": 0}, "spread_home_line": -28.5, "total_line": 55.5}, "market_type": "moneyline", "model_version": "college-football-v1", "observed_at_utc": "2026-09-12T16:07:28.570172+00:00", "probabilities": {"away": 0.205923, "home": 0.794077}, "replay_scope": "Full precision score means, exact engine parameters and original RNG state; upstream feature construction not certified.", "schema": "cfb-joint-replay-v1", "snapshot_hash": "cc095d1d358a2c86fb9d590ed58798416bf32bfa5abc59f6cbaa3d8c2e1c014c", "sport": "NCAAF"}</t>
        </is>
      </c>
    </row>
    <row r="81" ht="36" customHeight="1">
      <c r="A81" s="24" t="inlineStr">
        <is>
          <t>ead7a276243143c5</t>
        </is>
      </c>
      <c r="B81" s="24" t="inlineStr">
        <is>
          <t>2026-09-12T16:07:28.570172Z</t>
        </is>
      </c>
      <c r="C81" s="24" t="inlineStr">
        <is>
          <t>2026-09-12T19:30Z</t>
        </is>
      </c>
      <c r="D81" s="24" t="inlineStr">
        <is>
          <t>401858446</t>
        </is>
      </c>
      <c r="E81" s="24" t="inlineStr">
        <is>
          <t>NCAAF</t>
        </is>
      </c>
      <c r="F81" s="24" t="inlineStr">
        <is>
          <t>Utah State Aggies</t>
        </is>
      </c>
      <c r="G81" s="24" t="inlineStr">
        <is>
          <t>Washington Huskies</t>
        </is>
      </c>
      <c r="H81" s="24" t="inlineStr">
        <is>
          <t>spread</t>
        </is>
      </c>
      <c r="I81" s="24" t="inlineStr">
        <is>
          <t>away</t>
        </is>
      </c>
      <c r="J81" s="25" t="n">
        <v>28.5</v>
      </c>
      <c r="K81" s="24" t="inlineStr">
        <is>
          <t>espn_consensus</t>
        </is>
      </c>
      <c r="L81" s="26" t="n">
        <v>-112</v>
      </c>
      <c r="M81" s="27" t="n">
        <v>1.892857</v>
      </c>
      <c r="N81" s="28" t="n">
        <v>0.528302</v>
      </c>
      <c r="O81" s="28" t="n">
        <v>0.8267330000000001</v>
      </c>
      <c r="P81" s="28" t="n">
        <v>0.18</v>
      </c>
      <c r="Q81" s="28" t="n">
        <v>0.298431</v>
      </c>
      <c r="R81" s="26" t="n">
        <v>91</v>
      </c>
      <c r="S81" s="29" t="n">
        <v>1.75</v>
      </c>
      <c r="T81" s="24" t="inlineStr">
        <is>
          <t>cfb-spread-v1</t>
        </is>
      </c>
      <c r="U81" s="24" t="inlineStr">
        <is>
          <t>settled</t>
        </is>
      </c>
      <c r="V81" s="24" t="inlineStr">
        <is>
          <t>win</t>
        </is>
      </c>
      <c r="W81" s="26" t="n">
        <v>14</v>
      </c>
      <c r="X81" s="26" t="n">
        <v>16</v>
      </c>
      <c r="Y81" s="25" t="n"/>
      <c r="Z81" s="26" t="n"/>
      <c r="AA81" s="28" t="n"/>
      <c r="AB81" s="28" t="n"/>
      <c r="AC81" s="30" t="n">
        <v>1.5625</v>
      </c>
      <c r="AD81" s="24" t="inlineStr">
        <is>
          <t>2026-09-13T04:30:53.132399Z</t>
        </is>
      </c>
      <c r="AE81" s="31" t="inlineStr">
        <is>
          <t>Projected home margin +13.2 pts. Spread: Home -28.5 / Away +28.5 -&gt; P(Away cover)=0.827, P(Home cover)=0.173, P(Push)=0.000.</t>
        </is>
      </c>
      <c r="AF81" s="31" t="inlineStr">
        <is>
          <t>College football model; multi-market (moneyline, spread, total).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4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Utah State Aggies</t>
        </is>
      </c>
      <c r="AQ81" s="24" t="inlineStr">
        <is>
          <t>Utah State Aggies</t>
        </is>
      </c>
      <c r="AR81" s="24" t="inlineStr">
        <is>
          <t>Utah State Aggies</t>
        </is>
      </c>
      <c r="AS81" s="24" t="inlineStr">
        <is>
          <t>Washington Huskies</t>
        </is>
      </c>
      <c r="AT81" s="24" t="inlineStr">
        <is>
          <t>Washington Huskies</t>
        </is>
      </c>
      <c r="AU81" s="24" t="inlineStr">
        <is>
          <t>Washington Huskies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1d168f11d221cd3c</t>
        </is>
      </c>
      <c r="BB81" s="24" t="inlineStr">
        <is>
          <t>cfb_key_number_engine</t>
        </is>
      </c>
      <c r="BC81" s="24" t="inlineStr">
        <is>
          <t>cfb-spread-v1</t>
        </is>
      </c>
      <c r="BD81" s="24" t="inlineStr">
        <is>
          <t>1d168f11d221cd3c</t>
        </is>
      </c>
      <c r="BE81" s="24" t="inlineStr">
        <is>
          <t>cfb-v1</t>
        </is>
      </c>
      <c r="BF81" s="24" t="inlineStr">
        <is>
          <t>1</t>
        </is>
      </c>
      <c r="BG81" s="24" t="inlineStr">
        <is>
          <t>1d168f11d221cd3c</t>
        </is>
      </c>
      <c r="BH81" s="24" t="inlineStr">
        <is>
          <t>2026-09-12T16:07:28.570172+00:00</t>
        </is>
      </c>
      <c r="BI81" s="24" t="inlineStr">
        <is>
          <t>["same_event","same_team_same_day","same_league_same_day"]</t>
        </is>
      </c>
      <c r="BJ81" s="25" t="n">
        <v>28.5</v>
      </c>
      <c r="BK81" s="26" t="n">
        <v>-112</v>
      </c>
      <c r="BL81" s="27" t="n">
        <v>1.892857</v>
      </c>
      <c r="BM81" s="28" t="n">
        <v>0.528302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0.528302</t>
        </is>
      </c>
      <c r="DK81" s="24" t="n"/>
      <c r="DL81" s="24" t="n"/>
      <c r="DM81" s="24" t="n"/>
      <c r="DN81" s="24" t="n"/>
      <c r="DO81" s="24" t="n"/>
      <c r="DP81" s="24" t="n"/>
      <c r="DQ81" s="24" t="inlineStr">
        <is>
          <t>{"artifact_hash": "1d168f11d221cd3c", "event_id": "401858446", "event_start_utc": "2026-09-12T19:30Z", "features": {"altitude_fatigue_penalty": 0.0, "away_team": "Utah State Aggies", "efficiency_gap": 1.541, "elo_away": 1438.6, "elo_home": 1695.9, "elo_home_win_prob": 0.8647, "event_id": "401858446", "game_start_utc": "2026-09-12T19:30Z", "home_field_advantage_points": 2.8, "home_team": "Washington Huskies", "is_dome": false, "is_fbs_vs_fcs": false, "is_neutral_site": false, "projected_away_points": 20.6, "projected_home_points": 33.7, "projected_margin_home": 13.2, "projected_possessions": 12.4, "projected_total": 54.3, "stadium_elevation_ft": 40, "travel_distance_miles": 656.0, "uncertainty": 0.18, "weather_total_adjustment": 0.0}, "historical_source_observation_times_verified": false, "inference_inputs": {"engine_source_sha256": "449ba2f0e86fa9c445730076a0e0bf100fb4914620be53c75c6f3bfe24298f3f", "mu_away": 20.6, "mu_home": 33.7,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30363134665120386589511745254119038225}, "uinteger": 0}, "spread_home_line": -28.5, "total_line": 55.5}, "market_type": "spread", "model_version": "cfb-spread-v1", "observed_at_utc": "2026-09-12T16:07:28.570172+00:00", "probabilities": {"away": 0.826733, "home": 0.173267, "push": 0.0}, "replay_scope": "Full precision score means, exact engine parameters and original RNG state; upstream feature construction not certified.", "schema": "cfb-joint-replay-v1", "snapshot_hash": "1a343162fe3a8a56f3f6af4f065f0b44cdcad861f014d713c8cbddb9416e6aa7", "sport": "NCAAF"}</t>
        </is>
      </c>
    </row>
    <row r="82" ht="36" customHeight="1">
      <c r="A82" s="24" t="inlineStr">
        <is>
          <t>d6a0e699b1564dde</t>
        </is>
      </c>
      <c r="B82" s="24" t="inlineStr">
        <is>
          <t>2026-09-12T16:07:28.570172Z</t>
        </is>
      </c>
      <c r="C82" s="24" t="inlineStr">
        <is>
          <t>2026-09-12T19:30Z</t>
        </is>
      </c>
      <c r="D82" s="24" t="inlineStr">
        <is>
          <t>401858446</t>
        </is>
      </c>
      <c r="E82" s="24" t="inlineStr">
        <is>
          <t>NCAAF</t>
        </is>
      </c>
      <c r="F82" s="24" t="inlineStr">
        <is>
          <t>Utah State Aggies</t>
        </is>
      </c>
      <c r="G82" s="24" t="inlineStr">
        <is>
          <t>Washington Huskies</t>
        </is>
      </c>
      <c r="H82" s="24" t="inlineStr">
        <is>
          <t>total</t>
        </is>
      </c>
      <c r="I82" s="24" t="inlineStr">
        <is>
          <t>under</t>
        </is>
      </c>
      <c r="J82" s="25" t="n">
        <v>55.5</v>
      </c>
      <c r="K82" s="24" t="inlineStr">
        <is>
          <t>espn_consensus</t>
        </is>
      </c>
      <c r="L82" s="26" t="n">
        <v>-115</v>
      </c>
      <c r="M82" s="27" t="n">
        <v>1.869565</v>
      </c>
      <c r="N82" s="28" t="n">
        <v>0.534884</v>
      </c>
      <c r="O82" s="28" t="n">
        <v>0.5494</v>
      </c>
      <c r="P82" s="28" t="n">
        <v>0.18</v>
      </c>
      <c r="Q82" s="28" t="n">
        <v>0.014516</v>
      </c>
      <c r="R82" s="26" t="n">
        <v>0</v>
      </c>
      <c r="S82" s="29" t="n">
        <v>1</v>
      </c>
      <c r="T82" s="24" t="inlineStr">
        <is>
          <t>cfb-total-v1</t>
        </is>
      </c>
      <c r="U82" s="24" t="inlineStr">
        <is>
          <t>settled</t>
        </is>
      </c>
      <c r="V82" s="24" t="inlineStr">
        <is>
          <t>win</t>
        </is>
      </c>
      <c r="W82" s="26" t="n">
        <v>14</v>
      </c>
      <c r="X82" s="26" t="n">
        <v>16</v>
      </c>
      <c r="Y82" s="25" t="n"/>
      <c r="Z82" s="26" t="n"/>
      <c r="AA82" s="28" t="n"/>
      <c r="AB82" s="28" t="n"/>
      <c r="AC82" s="30" t="n">
        <v>0.8696</v>
      </c>
      <c r="AD82" s="24" t="inlineStr">
        <is>
          <t>2026-09-13T04:30:53.502650Z</t>
        </is>
      </c>
      <c r="AE82" s="31" t="inlineStr">
        <is>
          <t>Projected total 54.3 pts (Weather adj: +0.0 pts). Total line 55.5 -&gt; P(Over)=0.451, P(Under)=0.549, P(Push)=0.000.</t>
        </is>
      </c>
      <c r="AF82" s="31" t="inlineStr">
        <is>
          <t>College football model; multi-market (moneyline, spread, total).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PAPER_CALL_LOW_EDGE</t>
        </is>
      </c>
      <c r="AP82" s="24" t="inlineStr">
        <is>
          <t>Utah State Aggies</t>
        </is>
      </c>
      <c r="AQ82" s="24" t="inlineStr">
        <is>
          <t>Utah State Aggies</t>
        </is>
      </c>
      <c r="AR82" s="24" t="inlineStr">
        <is>
          <t>Utah State Aggies</t>
        </is>
      </c>
      <c r="AS82" s="24" t="inlineStr">
        <is>
          <t>Washington Huskies</t>
        </is>
      </c>
      <c r="AT82" s="24" t="inlineStr">
        <is>
          <t>Washington Huskies</t>
        </is>
      </c>
      <c r="AU82" s="24" t="inlineStr">
        <is>
          <t>Washington Huskies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1d168f11d221cd3c</t>
        </is>
      </c>
      <c r="BB82" s="24" t="inlineStr">
        <is>
          <t>cfb_key_number_engine</t>
        </is>
      </c>
      <c r="BC82" s="24" t="inlineStr">
        <is>
          <t>cfb-total-v1</t>
        </is>
      </c>
      <c r="BD82" s="24" t="inlineStr">
        <is>
          <t>1d168f11d221cd3c</t>
        </is>
      </c>
      <c r="BE82" s="24" t="inlineStr">
        <is>
          <t>cfb-v1</t>
        </is>
      </c>
      <c r="BF82" s="24" t="inlineStr">
        <is>
          <t>1</t>
        </is>
      </c>
      <c r="BG82" s="24" t="inlineStr">
        <is>
          <t>1d168f11d221cd3c</t>
        </is>
      </c>
      <c r="BH82" s="24" t="inlineStr">
        <is>
          <t>2026-09-12T16:07:28.570172+00:00</t>
        </is>
      </c>
      <c r="BI82" s="24" t="inlineStr">
        <is>
          <t>["same_event","same_team_same_day","same_league_same_day"]</t>
        </is>
      </c>
      <c r="BJ82" s="25" t="n">
        <v>55.5</v>
      </c>
      <c r="BK82" s="26" t="n">
        <v>-115</v>
      </c>
      <c r="BL82" s="27" t="n">
        <v>1.869565</v>
      </c>
      <c r="BM82" s="28" t="n">
        <v>0.534884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>
        <v>1</v>
      </c>
      <c r="BY82" s="27" t="n">
        <v>0.869565</v>
      </c>
      <c r="BZ82" s="24" t="inlineStr">
        <is>
          <t>2026-09-13T04:30:53.502650Z</t>
        </is>
      </c>
      <c r="CA82" s="31" t="inlineStr">
        <is>
          <t>fixed one-unit hypothetical scoring; no real exposure or execution</t>
        </is>
      </c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0.534884</t>
        </is>
      </c>
      <c r="DK82" s="24" t="n"/>
      <c r="DL82" s="24" t="n"/>
      <c r="DM82" s="24" t="n"/>
      <c r="DN82" s="24" t="n"/>
      <c r="DO82" s="24" t="n"/>
      <c r="DP82" s="24" t="n"/>
      <c r="DQ82" s="24" t="inlineStr">
        <is>
          <t>{"artifact_hash": "1d168f11d221cd3c", "event_id": "401858446", "event_start_utc": "2026-09-12T19:30Z", "features": {"altitude_fatigue_penalty": 0.0, "away_team": "Utah State Aggies", "efficiency_gap": 1.541, "elo_away": 1438.6, "elo_home": 1695.9, "elo_home_win_prob": 0.8647, "event_id": "401858446", "game_start_utc": "2026-09-12T19:30Z", "home_field_advantage_points": 2.8, "home_team": "Washington Huskies", "is_dome": false, "is_fbs_vs_fcs": false, "is_neutral_site": false, "projected_away_points": 20.6, "projected_home_points": 33.7, "projected_margin_home": 13.2, "projected_possessions": 12.4, "projected_total": 54.3, "stadium_elevation_ft": 40, "travel_distance_miles": 656.0, "uncertainty": 0.18, "weather_total_adjustment": 0.0}, "historical_source_observation_times_verified": false, "inference_inputs": {"engine_source_sha256": "449ba2f0e86fa9c445730076a0e0bf100fb4914620be53c75c6f3bfe24298f3f", "mu_away": 20.6, "mu_home": 33.7,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30363134665120386589511745254119038225}, "uinteger": 0}, "spread_home_line": -28.5, "total_line": 55.5}, "market_type": "total", "model_version": "cfb-total-v1", "observed_at_utc": "2026-09-12T16:07:28.570172+00:00", "probabilities": {"over": 0.4506, "push": 0.0, "under": 0.5494}, "replay_scope": "Full precision score means, exact engine parameters and original RNG state; upstream feature construction not certified.", "schema": "cfb-joint-replay-v1", "snapshot_hash": "45dcd8870e2102b298025908ad75987b24c61846daa4aec851d8ba715a7c7e27", "sport": "NCAAF"}</t>
        </is>
      </c>
    </row>
    <row r="83" ht="36" customHeight="1">
      <c r="A83" s="24" t="inlineStr">
        <is>
          <t>358dd296f0db4c65</t>
        </is>
      </c>
      <c r="B83" s="24" t="inlineStr">
        <is>
          <t>2026-09-12T16:07:28.570172Z</t>
        </is>
      </c>
      <c r="C83" s="24" t="inlineStr">
        <is>
          <t>2026-09-12T19:30Z</t>
        </is>
      </c>
      <c r="D83" s="24" t="inlineStr">
        <is>
          <t>401856677</t>
        </is>
      </c>
      <c r="E83" s="24" t="inlineStr">
        <is>
          <t>NCAAF</t>
        </is>
      </c>
      <c r="F83" s="24" t="inlineStr">
        <is>
          <t>Mississippi State Bulldogs</t>
        </is>
      </c>
      <c r="G83" s="24" t="inlineStr">
        <is>
          <t>Minnesota Golden Gophers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espn_consensus</t>
        </is>
      </c>
      <c r="L83" s="26" t="n">
        <v>-105</v>
      </c>
      <c r="M83" s="27" t="n">
        <v>1.952381</v>
      </c>
      <c r="N83" s="28" t="n">
        <v>0.512195</v>
      </c>
      <c r="O83" s="28" t="n">
        <v>0.716627</v>
      </c>
      <c r="P83" s="28" t="n">
        <v>0.18</v>
      </c>
      <c r="Q83" s="28" t="n">
        <v>0.204432</v>
      </c>
      <c r="R83" s="26" t="n">
        <v>44</v>
      </c>
      <c r="S83" s="29" t="n">
        <v>1.25</v>
      </c>
      <c r="T83" s="24" t="inlineStr">
        <is>
          <t>college-football-v1</t>
        </is>
      </c>
      <c r="U83" s="24" t="inlineStr">
        <is>
          <t>settled</t>
        </is>
      </c>
      <c r="V83" s="24" t="inlineStr">
        <is>
          <t>loss</t>
        </is>
      </c>
      <c r="W83" s="26" t="n">
        <v>38</v>
      </c>
      <c r="X83" s="26" t="n">
        <v>13</v>
      </c>
      <c r="Y83" s="25" t="n"/>
      <c r="Z83" s="26" t="n"/>
      <c r="AA83" s="28" t="n"/>
      <c r="AB83" s="28" t="n"/>
      <c r="AC83" s="30" t="n">
        <v>-1.25</v>
      </c>
      <c r="AD83" s="24" t="inlineStr">
        <is>
          <t>2026-09-13T04:30:53.872931Z</t>
        </is>
      </c>
      <c r="AE83" s="31" t="inlineStr">
        <is>
          <t>CFB Joint Model (negative_binomial): proj score Mississippi State Bulldogs 23.7 @ Minnesota Golden Gophers 32.6 (Margin +8.9). Possessions: 12.4, HFA: +2.8 pts.</t>
        </is>
      </c>
      <c r="AF83" s="31" t="inlineStr">
        <is>
          <t>College football model; multi-market (moneyline, spread, total).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4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Mississippi State Bulldogs</t>
        </is>
      </c>
      <c r="AQ83" s="24" t="inlineStr">
        <is>
          <t>Mississippi State Bulldogs</t>
        </is>
      </c>
      <c r="AR83" s="24" t="inlineStr">
        <is>
          <t>Mississippi State Bulldogs</t>
        </is>
      </c>
      <c r="AS83" s="24" t="inlineStr">
        <is>
          <t>Minnesota Golden Gophers</t>
        </is>
      </c>
      <c r="AT83" s="24" t="inlineStr">
        <is>
          <t>Minnesota Golden Gophers</t>
        </is>
      </c>
      <c r="AU83" s="24" t="inlineStr">
        <is>
          <t>Minnesota Golden Gophers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1d168f11d221cd3c</t>
        </is>
      </c>
      <c r="BB83" s="24" t="inlineStr">
        <is>
          <t>cfb_key_number_engine</t>
        </is>
      </c>
      <c r="BC83" s="24" t="inlineStr">
        <is>
          <t>college-football-v1</t>
        </is>
      </c>
      <c r="BD83" s="24" t="inlineStr">
        <is>
          <t>1d168f11d221cd3c</t>
        </is>
      </c>
      <c r="BE83" s="24" t="inlineStr">
        <is>
          <t>cfb-v1</t>
        </is>
      </c>
      <c r="BF83" s="24" t="inlineStr">
        <is>
          <t>1</t>
        </is>
      </c>
      <c r="BG83" s="24" t="inlineStr">
        <is>
          <t>1d168f11d221cd3c</t>
        </is>
      </c>
      <c r="BH83" s="24" t="inlineStr">
        <is>
          <t>2026-09-12T16:07:28.570172+00:00</t>
        </is>
      </c>
      <c r="BI83" s="24" t="inlineStr">
        <is>
          <t>["same_event","same_team_same_day","same_league_same_day"]</t>
        </is>
      </c>
      <c r="BJ83" s="25" t="n"/>
      <c r="BK83" s="26" t="n">
        <v>-105</v>
      </c>
      <c r="BL83" s="27" t="n">
        <v>1.952381</v>
      </c>
      <c r="BM83" s="28" t="n">
        <v>0.512195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0.512195</t>
        </is>
      </c>
      <c r="DK83" s="24" t="n"/>
      <c r="DL83" s="24" t="n"/>
      <c r="DM83" s="24" t="n"/>
      <c r="DN83" s="24" t="n"/>
      <c r="DO83" s="24" t="n"/>
      <c r="DP83" s="24" t="n"/>
      <c r="DQ83" s="24" t="inlineStr">
        <is>
          <t>{"artifact_hash": "1d168f11d221cd3c", "event_id": "401856677", "event_start_utc": "2026-09-12T19:30Z", "features": {"altitude_fatigue_penalty": 0.0, "away_team": "Mississippi State Bulldogs", "efficiency_gap": -0.861, "elo_away": 1388.2, "elo_home": 1541.0, "elo_home_win_prob": 0.778, "event_id": "401856677", "game_start_utc": "2026-09-12T19:30Z", "home_field_advantage_points": 2.8, "home_team": "Minnesota Golden Gophers", "is_dome": false, "is_fbs_vs_fcs": false, "is_neutral_site": false, "projected_away_points": 23.7, "projected_home_points": 32.6, "projected_margin_home": 8.9, "projected_possessions": 12.4, "projected_total": 56.4, "stadium_elevation_ft": 840, "travel_distance_miles": 830.0, "uncertainty": 0.18, "weather_total_adjustment": 0.0}, "historical_source_observation_times_verified": false, "inference_inputs": {"engine_source_sha256": "449ba2f0e86fa9c445730076a0e0bf100fb4914620be53c75c6f3bfe24298f3f", "mu_away": 23.7, "mu_home": 32.6,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286483445540445740007098369797690193488}, "uinteger": 0}, "spread_home_line": 1.5, "total_line": 54.5}, "market_type": "moneyline", "model_version": "college-football-v1", "observed_at_utc": "2026-09-12T16:07:28.570172+00:00", "probabilities": {"away": 0.283373, "home": 0.716627}, "replay_scope": "Full precision score means, exact engine parameters and original RNG state; upstream feature construction not certified.", "schema": "cfb-joint-replay-v1", "snapshot_hash": "186ab778b086acade60babe301ea0ea14267ae2de32c4a93b0aea5c7ae9e32bd", "sport": "NCAAF"}</t>
        </is>
      </c>
    </row>
    <row r="84" ht="36" customHeight="1">
      <c r="A84" s="24" t="inlineStr">
        <is>
          <t>dc6bfc69e6bb4fbe</t>
        </is>
      </c>
      <c r="B84" s="24" t="inlineStr">
        <is>
          <t>2026-09-12T16:07:28.570172Z</t>
        </is>
      </c>
      <c r="C84" s="24" t="inlineStr">
        <is>
          <t>2026-09-12T19:30Z</t>
        </is>
      </c>
      <c r="D84" s="24" t="inlineStr">
        <is>
          <t>401856677</t>
        </is>
      </c>
      <c r="E84" s="24" t="inlineStr">
        <is>
          <t>NCAAF</t>
        </is>
      </c>
      <c r="F84" s="24" t="inlineStr">
        <is>
          <t>Mississippi State Bulldogs</t>
        </is>
      </c>
      <c r="G84" s="24" t="inlineStr">
        <is>
          <t>Minnesota Golden Gophers</t>
        </is>
      </c>
      <c r="H84" s="24" t="inlineStr">
        <is>
          <t>spread</t>
        </is>
      </c>
      <c r="I84" s="24" t="inlineStr">
        <is>
          <t>home</t>
        </is>
      </c>
      <c r="J84" s="25" t="n">
        <v>1.5</v>
      </c>
      <c r="K84" s="24" t="inlineStr">
        <is>
          <t>espn_consensus</t>
        </is>
      </c>
      <c r="L84" s="26" t="n">
        <v>-115</v>
      </c>
      <c r="M84" s="27" t="n">
        <v>1.869565</v>
      </c>
      <c r="N84" s="28" t="n">
        <v>0.534884</v>
      </c>
      <c r="O84" s="28" t="n">
        <v>0.746533</v>
      </c>
      <c r="P84" s="28" t="n">
        <v>0.18</v>
      </c>
      <c r="Q84" s="28" t="n">
        <v>0.211649</v>
      </c>
      <c r="R84" s="26" t="n">
        <v>48</v>
      </c>
      <c r="S84" s="29" t="n">
        <v>1.25</v>
      </c>
      <c r="T84" s="24" t="inlineStr">
        <is>
          <t>cfb-spread-v1</t>
        </is>
      </c>
      <c r="U84" s="24" t="inlineStr">
        <is>
          <t>settled</t>
        </is>
      </c>
      <c r="V84" s="24" t="inlineStr">
        <is>
          <t>loss</t>
        </is>
      </c>
      <c r="W84" s="26" t="n">
        <v>38</v>
      </c>
      <c r="X84" s="26" t="n">
        <v>13</v>
      </c>
      <c r="Y84" s="25" t="n"/>
      <c r="Z84" s="26" t="n"/>
      <c r="AA84" s="28" t="n"/>
      <c r="AB84" s="28" t="n"/>
      <c r="AC84" s="30" t="n">
        <v>-1.25</v>
      </c>
      <c r="AD84" s="24" t="inlineStr">
        <is>
          <t>2026-09-13T04:30:54.267372Z</t>
        </is>
      </c>
      <c r="AE84" s="31" t="inlineStr">
        <is>
          <t>Projected home margin +8.9 pts. Spread: Home +1.5 / Away -1.5 -&gt; P(Away cover)=0.253, P(Home cover)=0.747, P(Push)=0.000.</t>
        </is>
      </c>
      <c r="AF84" s="31" t="inlineStr">
        <is>
          <t>College football model; multi-market (moneyline, spread, total).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Mississippi State Bulldogs</t>
        </is>
      </c>
      <c r="AQ84" s="24" t="inlineStr">
        <is>
          <t>Mississippi State Bulldogs</t>
        </is>
      </c>
      <c r="AR84" s="24" t="inlineStr">
        <is>
          <t>Mississippi State Bulldogs</t>
        </is>
      </c>
      <c r="AS84" s="24" t="inlineStr">
        <is>
          <t>Minnesota Golden Gophers</t>
        </is>
      </c>
      <c r="AT84" s="24" t="inlineStr">
        <is>
          <t>Minnesota Golden Gophers</t>
        </is>
      </c>
      <c r="AU84" s="24" t="inlineStr">
        <is>
          <t>Minnesota Golden Gophers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1d168f11d221cd3c</t>
        </is>
      </c>
      <c r="BB84" s="24" t="inlineStr">
        <is>
          <t>cfb_key_number_engine</t>
        </is>
      </c>
      <c r="BC84" s="24" t="inlineStr">
        <is>
          <t>cfb-spread-v1</t>
        </is>
      </c>
      <c r="BD84" s="24" t="inlineStr">
        <is>
          <t>1d168f11d221cd3c</t>
        </is>
      </c>
      <c r="BE84" s="24" t="inlineStr">
        <is>
          <t>cfb-v1</t>
        </is>
      </c>
      <c r="BF84" s="24" t="inlineStr">
        <is>
          <t>1</t>
        </is>
      </c>
      <c r="BG84" s="24" t="inlineStr">
        <is>
          <t>1d168f11d221cd3c</t>
        </is>
      </c>
      <c r="BH84" s="24" t="inlineStr">
        <is>
          <t>2026-09-12T16:07:28.570172+00:00</t>
        </is>
      </c>
      <c r="BI84" s="24" t="inlineStr">
        <is>
          <t>["same_event","same_team_same_day","same_league_same_day"]</t>
        </is>
      </c>
      <c r="BJ84" s="25" t="n">
        <v>1.5</v>
      </c>
      <c r="BK84" s="26" t="n">
        <v>-115</v>
      </c>
      <c r="BL84" s="27" t="n">
        <v>1.869565</v>
      </c>
      <c r="BM84" s="28" t="n">
        <v>0.534884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0.534884</t>
        </is>
      </c>
      <c r="DK84" s="24" t="n"/>
      <c r="DL84" s="24" t="n"/>
      <c r="DM84" s="24" t="n"/>
      <c r="DN84" s="24" t="n"/>
      <c r="DO84" s="24" t="n"/>
      <c r="DP84" s="24" t="n"/>
      <c r="DQ84" s="24" t="inlineStr">
        <is>
          <t>{"artifact_hash": "1d168f11d221cd3c", "event_id": "401856677", "event_start_utc": "2026-09-12T19:30Z", "features": {"altitude_fatigue_penalty": 0.0, "away_team": "Mississippi State Bulldogs", "efficiency_gap": -0.861, "elo_away": 1388.2, "elo_home": 1541.0, "elo_home_win_prob": 0.778, "event_id": "401856677", "game_start_utc": "2026-09-12T19:30Z", "home_field_advantage_points": 2.8, "home_team": "Minnesota Golden Gophers", "is_dome": false, "is_fbs_vs_fcs": false, "is_neutral_site": false, "projected_away_points": 23.7, "projected_home_points": 32.6, "projected_margin_home": 8.9, "projected_possessions": 12.4, "projected_total": 56.4, "stadium_elevation_ft": 840, "travel_distance_miles": 830.0, "uncertainty": 0.18, "weather_total_adjustment": 0.0}, "historical_source_observation_times_verified": false, "inference_inputs": {"engine_source_sha256": "449ba2f0e86fa9c445730076a0e0bf100fb4914620be53c75c6f3bfe24298f3f", "mu_away": 23.7, "mu_home": 32.6,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286483445540445740007098369797690193488}, "uinteger": 0}, "spread_home_line": 1.5, "total_line": 54.5}, "market_type": "spread", "model_version": "cfb-spread-v1", "observed_at_utc": "2026-09-12T16:07:28.570172+00:00", "probabilities": {"away": 0.253467, "home": 0.746533, "push": 0.0}, "replay_scope": "Full precision score means, exact engine parameters and original RNG state; upstream feature construction not certified.", "schema": "cfb-joint-replay-v1", "snapshot_hash": "95a7ce3d1d7c3673ccd6ecffe3847605d219d8f7fdc5561334c22f2c9a341b17", "sport": "NCAAF"}</t>
        </is>
      </c>
    </row>
    <row r="85" ht="36" customHeight="1">
      <c r="A85" s="24" t="inlineStr">
        <is>
          <t>74d3e15dfc2c4460</t>
        </is>
      </c>
      <c r="B85" s="24" t="inlineStr">
        <is>
          <t>2026-09-12T16:07:28.570172Z</t>
        </is>
      </c>
      <c r="C85" s="24" t="inlineStr">
        <is>
          <t>2026-09-12T19:30Z</t>
        </is>
      </c>
      <c r="D85" s="24" t="inlineStr">
        <is>
          <t>401856677</t>
        </is>
      </c>
      <c r="E85" s="24" t="inlineStr">
        <is>
          <t>NCAAF</t>
        </is>
      </c>
      <c r="F85" s="24" t="inlineStr">
        <is>
          <t>Mississippi State Bulldogs</t>
        </is>
      </c>
      <c r="G85" s="24" t="inlineStr">
        <is>
          <t>Minnesota Golden Gophers</t>
        </is>
      </c>
      <c r="H85" s="24" t="inlineStr">
        <is>
          <t>total</t>
        </is>
      </c>
      <c r="I85" s="24" t="inlineStr">
        <is>
          <t>over</t>
        </is>
      </c>
      <c r="J85" s="25" t="n">
        <v>54.5</v>
      </c>
      <c r="K85" s="24" t="inlineStr">
        <is>
          <t>espn_consensus</t>
        </is>
      </c>
      <c r="L85" s="26" t="n">
        <v>-112</v>
      </c>
      <c r="M85" s="27" t="n">
        <v>1.892857</v>
      </c>
      <c r="N85" s="28" t="n">
        <v>0.528302</v>
      </c>
      <c r="O85" s="28" t="n">
        <v>0.5081329999999999</v>
      </c>
      <c r="P85" s="28" t="n">
        <v>0.18</v>
      </c>
      <c r="Q85" s="28" t="n">
        <v>-0.020169</v>
      </c>
      <c r="R85" s="26" t="n">
        <v>0</v>
      </c>
      <c r="S85" s="29" t="n">
        <v>1</v>
      </c>
      <c r="T85" s="24" t="inlineStr">
        <is>
          <t>cfb-total-v1</t>
        </is>
      </c>
      <c r="U85" s="24" t="inlineStr">
        <is>
          <t>settled</t>
        </is>
      </c>
      <c r="V85" s="24" t="inlineStr">
        <is>
          <t>loss</t>
        </is>
      </c>
      <c r="W85" s="26" t="n">
        <v>38</v>
      </c>
      <c r="X85" s="26" t="n">
        <v>13</v>
      </c>
      <c r="Y85" s="25" t="n"/>
      <c r="Z85" s="26" t="n"/>
      <c r="AA85" s="28" t="n"/>
      <c r="AB85" s="28" t="n"/>
      <c r="AC85" s="30" t="n">
        <v>-1</v>
      </c>
      <c r="AD85" s="24" t="inlineStr">
        <is>
          <t>2026-09-13T04:30:54.636135Z</t>
        </is>
      </c>
      <c r="AE85" s="31" t="inlineStr">
        <is>
          <t>Projected total 56.4 pts (Weather adj: +0.0 pts). Total line 54.5 -&gt; P(Over)=0.508, P(Under)=0.492, P(Push)=0.000.</t>
        </is>
      </c>
      <c r="AF85" s="31" t="inlineStr">
        <is>
          <t>College football model; multi-market (moneyline, spread, total).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Mississippi State Bulldogs</t>
        </is>
      </c>
      <c r="AQ85" s="24" t="inlineStr">
        <is>
          <t>Mississippi State Bulldogs</t>
        </is>
      </c>
      <c r="AR85" s="24" t="inlineStr">
        <is>
          <t>Mississippi State Bulldogs</t>
        </is>
      </c>
      <c r="AS85" s="24" t="inlineStr">
        <is>
          <t>Minnesota Golden Gophers</t>
        </is>
      </c>
      <c r="AT85" s="24" t="inlineStr">
        <is>
          <t>Minnesota Golden Gophers</t>
        </is>
      </c>
      <c r="AU85" s="24" t="inlineStr">
        <is>
          <t>Minnesota Golden Gophers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1d168f11d221cd3c</t>
        </is>
      </c>
      <c r="BB85" s="24" t="inlineStr">
        <is>
          <t>cfb_key_number_engine</t>
        </is>
      </c>
      <c r="BC85" s="24" t="inlineStr">
        <is>
          <t>cfb-total-v1</t>
        </is>
      </c>
      <c r="BD85" s="24" t="inlineStr">
        <is>
          <t>1d168f11d221cd3c</t>
        </is>
      </c>
      <c r="BE85" s="24" t="inlineStr">
        <is>
          <t>cfb-v1</t>
        </is>
      </c>
      <c r="BF85" s="24" t="inlineStr">
        <is>
          <t>1</t>
        </is>
      </c>
      <c r="BG85" s="24" t="inlineStr">
        <is>
          <t>1d168f11d221cd3c</t>
        </is>
      </c>
      <c r="BH85" s="24" t="inlineStr">
        <is>
          <t>2026-09-12T16:07:28.570172+00:00</t>
        </is>
      </c>
      <c r="BI85" s="24" t="inlineStr">
        <is>
          <t>["same_event","same_team_same_day","same_league_same_day"]</t>
        </is>
      </c>
      <c r="BJ85" s="25" t="n">
        <v>54.5</v>
      </c>
      <c r="BK85" s="26" t="n">
        <v>-112</v>
      </c>
      <c r="BL85" s="27" t="n">
        <v>1.892857</v>
      </c>
      <c r="BM85" s="28" t="n">
        <v>0.528302</v>
      </c>
      <c r="BN85" s="28" t="n"/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>
        <v>1</v>
      </c>
      <c r="BY85" s="27" t="n">
        <v>-1</v>
      </c>
      <c r="BZ85" s="24" t="inlineStr">
        <is>
          <t>2026-09-13T04:30:54.636135Z</t>
        </is>
      </c>
      <c r="CA85" s="31" t="inlineStr">
        <is>
          <t>fixed one-unit hypothetical scoring; no real exposure or execution</t>
        </is>
      </c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0.528302</t>
        </is>
      </c>
      <c r="DK85" s="24" t="n"/>
      <c r="DL85" s="24" t="n"/>
      <c r="DM85" s="24" t="n"/>
      <c r="DN85" s="24" t="n"/>
      <c r="DO85" s="24" t="n"/>
      <c r="DP85" s="24" t="n"/>
      <c r="DQ85" s="24" t="inlineStr">
        <is>
          <t>{"artifact_hash": "1d168f11d221cd3c", "event_id": "401856677", "event_start_utc": "2026-09-12T19:30Z", "features": {"altitude_fatigue_penalty": 0.0, "away_team": "Mississippi State Bulldogs", "efficiency_gap": -0.861, "elo_away": 1388.2, "elo_home": 1541.0, "elo_home_win_prob": 0.778, "event_id": "401856677", "game_start_utc": "2026-09-12T19:30Z", "home_field_advantage_points": 2.8, "home_team": "Minnesota Golden Gophers", "is_dome": false, "is_fbs_vs_fcs": false, "is_neutral_site": false, "projected_away_points": 23.7, "projected_home_points": 32.6, "projected_margin_home": 8.9, "projected_possessions": 12.4, "projected_total": 56.4, "stadium_elevation_ft": 840, "travel_distance_miles": 830.0, "uncertainty": 0.18, "weather_total_adjustment": 0.0}, "historical_source_observation_times_verified": false, "inference_inputs": {"engine_source_sha256": "449ba2f0e86fa9c445730076a0e0bf100fb4914620be53c75c6f3bfe24298f3f", "mu_away": 23.7, "mu_home": 32.6,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286483445540445740007098369797690193488}, "uinteger": 0}, "spread_home_line": 1.5, "total_line": 54.5}, "market_type": "total", "model_version": "cfb-total-v1", "observed_at_utc": "2026-09-12T16:07:28.570172+00:00", "probabilities": {"over": 0.508133, "push": 0.0, "under": 0.491867}, "replay_scope": "Full precision score means, exact engine parameters and original RNG state; upstream feature construction not certified.", "schema": "cfb-joint-replay-v1", "snapshot_hash": "5cea7b2185b0526b6e401893f1e362bca8abc416cd04cf0c31303d232e7e6714", "sport": "NCAAF"}</t>
        </is>
      </c>
    </row>
    <row r="86" ht="36" customHeight="1">
      <c r="A86" s="24" t="inlineStr">
        <is>
          <t>1983d34acbcb47b4</t>
        </is>
      </c>
      <c r="B86" s="24" t="inlineStr">
        <is>
          <t>2026-09-12T16:07:28.570172Z</t>
        </is>
      </c>
      <c r="C86" s="24" t="inlineStr">
        <is>
          <t>2026-09-12T19:30Z</t>
        </is>
      </c>
      <c r="D86" s="24" t="inlineStr">
        <is>
          <t>401856785</t>
        </is>
      </c>
      <c r="E86" s="24" t="inlineStr">
        <is>
          <t>NCAAF</t>
        </is>
      </c>
      <c r="F86" s="24" t="inlineStr">
        <is>
          <t>Weber State Wildcats</t>
        </is>
      </c>
      <c r="G86" s="24" t="inlineStr">
        <is>
          <t>Colorado Buffaloes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espn_consensus</t>
        </is>
      </c>
      <c r="L86" s="26" t="n">
        <v>-8000</v>
      </c>
      <c r="M86" s="27" t="n">
        <v>1.0125</v>
      </c>
      <c r="N86" s="28" t="n">
        <v>0.987654</v>
      </c>
      <c r="O86" s="28" t="n">
        <v>0.508344</v>
      </c>
      <c r="P86" s="28" t="n">
        <v>0.18</v>
      </c>
      <c r="Q86" s="28" t="n">
        <v>-0.47931</v>
      </c>
      <c r="R86" s="26" t="n">
        <v>0</v>
      </c>
      <c r="S86" s="29" t="n">
        <v>1</v>
      </c>
      <c r="T86" s="24" t="inlineStr">
        <is>
          <t>college-football-v1</t>
        </is>
      </c>
      <c r="U86" s="24" t="inlineStr">
        <is>
          <t>settled</t>
        </is>
      </c>
      <c r="V86" s="24" t="inlineStr">
        <is>
          <t>win</t>
        </is>
      </c>
      <c r="W86" s="26" t="n">
        <v>21</v>
      </c>
      <c r="X86" s="26" t="n">
        <v>52</v>
      </c>
      <c r="Y86" s="25" t="n"/>
      <c r="Z86" s="26" t="n"/>
      <c r="AA86" s="28" t="n"/>
      <c r="AB86" s="28" t="n"/>
      <c r="AC86" s="30" t="n">
        <v>0.0125</v>
      </c>
      <c r="AD86" s="24" t="inlineStr">
        <is>
          <t>2026-09-13T04:30:55.010241Z</t>
        </is>
      </c>
      <c r="AE86" s="31" t="inlineStr">
        <is>
          <t>CFB Joint Model (negative_binomial): proj score Weber State Wildcats 26.5 @ Colorado Buffaloes 26.8 (Margin +0.3). Possessions: 12.4, HFA: +2.8 pts.</t>
        </is>
      </c>
      <c r="AF86" s="31" t="inlineStr">
        <is>
          <t>College football model; multi-market (moneyline, spread, total).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paper_call</t>
        </is>
      </c>
      <c r="AL86" s="26" t="n">
        <v>4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PAPER_CALL_LOW_EDGE</t>
        </is>
      </c>
      <c r="AP86" s="24" t="inlineStr">
        <is>
          <t>Weber State Wildcats</t>
        </is>
      </c>
      <c r="AQ86" s="24" t="inlineStr">
        <is>
          <t>Weber State Wildcats</t>
        </is>
      </c>
      <c r="AR86" s="24" t="inlineStr">
        <is>
          <t>Weber State Wildcats</t>
        </is>
      </c>
      <c r="AS86" s="24" t="inlineStr">
        <is>
          <t>Colorado Buffaloes</t>
        </is>
      </c>
      <c r="AT86" s="24" t="inlineStr">
        <is>
          <t>Colorado Buffaloes</t>
        </is>
      </c>
      <c r="AU86" s="24" t="inlineStr">
        <is>
          <t>Colorado Buffaloes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1d168f11d221cd3c</t>
        </is>
      </c>
      <c r="BB86" s="24" t="inlineStr">
        <is>
          <t>cfb_key_number_engine</t>
        </is>
      </c>
      <c r="BC86" s="24" t="inlineStr">
        <is>
          <t>college-football-v1</t>
        </is>
      </c>
      <c r="BD86" s="24" t="inlineStr">
        <is>
          <t>1d168f11d221cd3c</t>
        </is>
      </c>
      <c r="BE86" s="24" t="inlineStr">
        <is>
          <t>cfb-v1</t>
        </is>
      </c>
      <c r="BF86" s="24" t="inlineStr">
        <is>
          <t>1</t>
        </is>
      </c>
      <c r="BG86" s="24" t="inlineStr">
        <is>
          <t>1d168f11d221cd3c</t>
        </is>
      </c>
      <c r="BH86" s="24" t="inlineStr">
        <is>
          <t>2026-09-12T16:07:28.570172+00:00</t>
        </is>
      </c>
      <c r="BI86" s="24" t="inlineStr">
        <is>
          <t>["same_event","same_team_same_day","same_league_same_day"]</t>
        </is>
      </c>
      <c r="BJ86" s="25" t="n"/>
      <c r="BK86" s="26" t="n">
        <v>-8000</v>
      </c>
      <c r="BL86" s="27" t="n">
        <v>1.0125</v>
      </c>
      <c r="BM86" s="28" t="n">
        <v>0.987654</v>
      </c>
      <c r="BN86" s="28" t="n"/>
      <c r="BO86" s="28" t="n"/>
      <c r="BP86" s="25" t="n"/>
      <c r="BQ86" s="27" t="n"/>
      <c r="BR86" s="28" t="n"/>
      <c r="BS86" s="28" t="n"/>
      <c r="BT86" s="28" t="n"/>
      <c r="BU86" s="25" t="n"/>
      <c r="BV86" s="29" t="n"/>
      <c r="BW86" s="24" t="n"/>
      <c r="BX86" s="30" t="n">
        <v>1</v>
      </c>
      <c r="BY86" s="27" t="n">
        <v>0.0125</v>
      </c>
      <c r="BZ86" s="24" t="inlineStr">
        <is>
          <t>2026-09-13T04:30:55.010241Z</t>
        </is>
      </c>
      <c r="CA86" s="31" t="inlineStr">
        <is>
          <t>fixed one-unit hypothetical scoring; no real exposure or execution</t>
        </is>
      </c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False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0.987654</t>
        </is>
      </c>
      <c r="DK86" s="24" t="n"/>
      <c r="DL86" s="24" t="n"/>
      <c r="DM86" s="24" t="n"/>
      <c r="DN86" s="24" t="n"/>
      <c r="DO86" s="24" t="n"/>
      <c r="DP86" s="24" t="n"/>
      <c r="DQ86" s="24" t="inlineStr">
        <is>
          <t>{"artifact_hash": "1d168f11d221cd3c", "event_id": "401856785", "event_start_utc": "2026-09-12T19:30Z", "features": {"altitude_fatigue_penalty": 0.0, "away_team": "Weber State Wildcats", "efficiency_gap": 1.381, "elo_away": 1337.5, "elo_home": 1279.5, "elo_home_win_prob": 0.5101, "event_id": "401856785", "game_start_utc": "2026-09-12T19:30Z", "home_field_advantage_points": 2.8, "home_team": "Colorado Buffaloes", "is_dome": false, "is_fbs_vs_fcs": false, "is_neutral_site": false, "projected_away_points": 26.5, "projected_home_points": 26.8, "projected_margin_home": 0.3,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26.5, "mu_home": 26.8,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68587115247876199182587993529491108686}, "uinteger": 0}, "spread_home_line": -38.5, "total_line": 57.5}, "market_type": "moneyline", "model_version": "college-football-v1", "observed_at_utc": "2026-09-12T16:07:28.570172+00:00", "probabilities": {"away": 0.491656, "home": 0.508344}, "replay_scope": "Full precision score means, exact engine parameters and original RNG state; upstream feature construction not certified.", "schema": "cfb-joint-replay-v1", "snapshot_hash": "8a9fed9afdf5ecdd7bf858ba71f8de9fe6f38d8275394b2eb533c0ebc63583fe", "sport": "NCAAF"}</t>
        </is>
      </c>
    </row>
    <row r="87" ht="36" customHeight="1">
      <c r="A87" s="24" t="inlineStr">
        <is>
          <t>db0f98809d7f483b</t>
        </is>
      </c>
      <c r="B87" s="24" t="inlineStr">
        <is>
          <t>2026-09-12T16:07:28.570172Z</t>
        </is>
      </c>
      <c r="C87" s="24" t="inlineStr">
        <is>
          <t>2026-09-12T19:30Z</t>
        </is>
      </c>
      <c r="D87" s="24" t="inlineStr">
        <is>
          <t>401856785</t>
        </is>
      </c>
      <c r="E87" s="24" t="inlineStr">
        <is>
          <t>NCAAF</t>
        </is>
      </c>
      <c r="F87" s="24" t="inlineStr">
        <is>
          <t>Weber State Wildcats</t>
        </is>
      </c>
      <c r="G87" s="24" t="inlineStr">
        <is>
          <t>Colorado Buffaloes</t>
        </is>
      </c>
      <c r="H87" s="24" t="inlineStr">
        <is>
          <t>spread</t>
        </is>
      </c>
      <c r="I87" s="24" t="inlineStr">
        <is>
          <t>away</t>
        </is>
      </c>
      <c r="J87" s="25" t="n">
        <v>38.5</v>
      </c>
      <c r="K87" s="24" t="inlineStr">
        <is>
          <t>espn_consensus</t>
        </is>
      </c>
      <c r="L87" s="26" t="n">
        <v>-102</v>
      </c>
      <c r="M87" s="27" t="n">
        <v>1.980392</v>
      </c>
      <c r="N87" s="28" t="n">
        <v>0.50495</v>
      </c>
      <c r="O87" s="28" t="n">
        <v>0.984</v>
      </c>
      <c r="P87" s="28" t="n">
        <v>0.18</v>
      </c>
      <c r="Q87" s="28" t="n">
        <v>0.47905</v>
      </c>
      <c r="R87" s="26" t="n">
        <v>100</v>
      </c>
      <c r="S87" s="29" t="n">
        <v>2</v>
      </c>
      <c r="T87" s="24" t="inlineStr">
        <is>
          <t>cfb-spread-v1</t>
        </is>
      </c>
      <c r="U87" s="24" t="inlineStr">
        <is>
          <t>settled</t>
        </is>
      </c>
      <c r="V87" s="24" t="inlineStr">
        <is>
          <t>win</t>
        </is>
      </c>
      <c r="W87" s="26" t="n">
        <v>21</v>
      </c>
      <c r="X87" s="26" t="n">
        <v>52</v>
      </c>
      <c r="Y87" s="25" t="n"/>
      <c r="Z87" s="26" t="n"/>
      <c r="AA87" s="28" t="n"/>
      <c r="AB87" s="28" t="n"/>
      <c r="AC87" s="30" t="n">
        <v>1.9608</v>
      </c>
      <c r="AD87" s="24" t="inlineStr">
        <is>
          <t>2026-09-13T04:30:55.336085Z</t>
        </is>
      </c>
      <c r="AE87" s="31" t="inlineStr">
        <is>
          <t>Projected home margin +0.3 pts. Spread: Home -38.5 / Away +38.5 -&gt; P(Away cover)=0.984, P(Home cover)=0.016, P(Push)=0.000.</t>
        </is>
      </c>
      <c r="AF87" s="31" t="inlineStr">
        <is>
          <t>College football model; multi-market (moneyline, spread, total).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Weber State Wildcats</t>
        </is>
      </c>
      <c r="AQ87" s="24" t="inlineStr">
        <is>
          <t>Weber State Wildcats</t>
        </is>
      </c>
      <c r="AR87" s="24" t="inlineStr">
        <is>
          <t>Weber State Wildcats</t>
        </is>
      </c>
      <c r="AS87" s="24" t="inlineStr">
        <is>
          <t>Colorado Buffaloes</t>
        </is>
      </c>
      <c r="AT87" s="24" t="inlineStr">
        <is>
          <t>Colorado Buffaloes</t>
        </is>
      </c>
      <c r="AU87" s="24" t="inlineStr">
        <is>
          <t>Colorado Buffaloes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1d168f11d221cd3c</t>
        </is>
      </c>
      <c r="BB87" s="24" t="inlineStr">
        <is>
          <t>cfb_key_number_engine</t>
        </is>
      </c>
      <c r="BC87" s="24" t="inlineStr">
        <is>
          <t>cfb-spread-v1</t>
        </is>
      </c>
      <c r="BD87" s="24" t="inlineStr">
        <is>
          <t>1d168f11d221cd3c</t>
        </is>
      </c>
      <c r="BE87" s="24" t="inlineStr">
        <is>
          <t>cfb-v1</t>
        </is>
      </c>
      <c r="BF87" s="24" t="inlineStr">
        <is>
          <t>1</t>
        </is>
      </c>
      <c r="BG87" s="24" t="inlineStr">
        <is>
          <t>1d168f11d221cd3c</t>
        </is>
      </c>
      <c r="BH87" s="24" t="inlineStr">
        <is>
          <t>2026-09-12T16:07:28.570172+00:00</t>
        </is>
      </c>
      <c r="BI87" s="24" t="inlineStr">
        <is>
          <t>["same_event","same_team_same_day","same_league_same_day"]</t>
        </is>
      </c>
      <c r="BJ87" s="25" t="n">
        <v>38.5</v>
      </c>
      <c r="BK87" s="26" t="n">
        <v>-102</v>
      </c>
      <c r="BL87" s="27" t="n">
        <v>1.980392</v>
      </c>
      <c r="BM87" s="28" t="n">
        <v>0.50495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0.50495</t>
        </is>
      </c>
      <c r="DK87" s="24" t="n"/>
      <c r="DL87" s="24" t="n"/>
      <c r="DM87" s="24" t="n"/>
      <c r="DN87" s="24" t="n"/>
      <c r="DO87" s="24" t="n"/>
      <c r="DP87" s="24" t="n"/>
      <c r="DQ87" s="24" t="inlineStr">
        <is>
          <t>{"artifact_hash": "1d168f11d221cd3c", "event_id": "401856785", "event_start_utc": "2026-09-12T19:30Z", "features": {"altitude_fatigue_penalty": 0.0, "away_team": "Weber State Wildcats", "efficiency_gap": 1.381, "elo_away": 1337.5, "elo_home": 1279.5, "elo_home_win_prob": 0.5101, "event_id": "401856785", "game_start_utc": "2026-09-12T19:30Z", "home_field_advantage_points": 2.8, "home_team": "Colorado Buffaloes", "is_dome": false, "is_fbs_vs_fcs": false, "is_neutral_site": false, "projected_away_points": 26.5, "projected_home_points": 26.8, "projected_margin_home": 0.3,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26.5, "mu_home": 26.8,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68587115247876199182587993529491108686}, "uinteger": 0}, "spread_home_line": -38.5, "total_line": 57.5}, "market_type": "spread", "model_version": "cfb-spread-v1", "observed_at_utc": "2026-09-12T16:07:28.570172+00:00", "probabilities": {"away": 0.984, "home": 0.016, "push": 0.0}, "replay_scope": "Full precision score means, exact engine parameters and original RNG state; upstream feature construction not certified.", "schema": "cfb-joint-replay-v1", "snapshot_hash": "a6e077c9bb0835dce65518edc11d8e513d9cc58711c4b0539fb15db49acc6e87", "sport": "NCAAF"}</t>
        </is>
      </c>
    </row>
    <row r="88" ht="36" customHeight="1">
      <c r="A88" s="24" t="inlineStr">
        <is>
          <t>0971319405734362</t>
        </is>
      </c>
      <c r="B88" s="24" t="inlineStr">
        <is>
          <t>2026-09-12T16:07:28.570172Z</t>
        </is>
      </c>
      <c r="C88" s="24" t="inlineStr">
        <is>
          <t>2026-09-12T19:30Z</t>
        </is>
      </c>
      <c r="D88" s="24" t="inlineStr">
        <is>
          <t>401856785</t>
        </is>
      </c>
      <c r="E88" s="24" t="inlineStr">
        <is>
          <t>NCAAF</t>
        </is>
      </c>
      <c r="F88" s="24" t="inlineStr">
        <is>
          <t>Weber State Wildcats</t>
        </is>
      </c>
      <c r="G88" s="24" t="inlineStr">
        <is>
          <t>Colorado Buffaloes</t>
        </is>
      </c>
      <c r="H88" s="24" t="inlineStr">
        <is>
          <t>total</t>
        </is>
      </c>
      <c r="I88" s="24" t="inlineStr">
        <is>
          <t>under</t>
        </is>
      </c>
      <c r="J88" s="25" t="n">
        <v>57.5</v>
      </c>
      <c r="K88" s="24" t="inlineStr">
        <is>
          <t>espn_consensus</t>
        </is>
      </c>
      <c r="L88" s="26" t="n">
        <v>-112</v>
      </c>
      <c r="M88" s="27" t="n">
        <v>1.892857</v>
      </c>
      <c r="N88" s="28" t="n">
        <v>0.528302</v>
      </c>
      <c r="O88" s="28" t="n">
        <v>0.6029330000000001</v>
      </c>
      <c r="P88" s="28" t="n">
        <v>0.18</v>
      </c>
      <c r="Q88" s="28" t="n">
        <v>0.074631</v>
      </c>
      <c r="R88" s="26" t="n">
        <v>0</v>
      </c>
      <c r="S88" s="29" t="n">
        <v>1</v>
      </c>
      <c r="T88" s="24" t="inlineStr">
        <is>
          <t>cfb-total-v1</t>
        </is>
      </c>
      <c r="U88" s="24" t="inlineStr">
        <is>
          <t>settled</t>
        </is>
      </c>
      <c r="V88" s="24" t="inlineStr">
        <is>
          <t>loss</t>
        </is>
      </c>
      <c r="W88" s="26" t="n">
        <v>21</v>
      </c>
      <c r="X88" s="26" t="n">
        <v>52</v>
      </c>
      <c r="Y88" s="25" t="n"/>
      <c r="Z88" s="26" t="n"/>
      <c r="AA88" s="28" t="n"/>
      <c r="AB88" s="28" t="n"/>
      <c r="AC88" s="30" t="n">
        <v>-1</v>
      </c>
      <c r="AD88" s="24" t="inlineStr">
        <is>
          <t>2026-09-13T04:30:55.701644Z</t>
        </is>
      </c>
      <c r="AE88" s="31" t="inlineStr">
        <is>
          <t>Projected total 53.3 pts (Weather adj: +0.0 pts). Total line 57.5 -&gt; P(Over)=0.397, P(Under)=0.603, P(Push)=0.000.</t>
        </is>
      </c>
      <c r="AF88" s="31" t="inlineStr">
        <is>
          <t>College football model; multi-market (moneyline, spread, total).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Weber State Wildcats</t>
        </is>
      </c>
      <c r="AQ88" s="24" t="inlineStr">
        <is>
          <t>Weber State Wildcats</t>
        </is>
      </c>
      <c r="AR88" s="24" t="inlineStr">
        <is>
          <t>Weber State Wildcats</t>
        </is>
      </c>
      <c r="AS88" s="24" t="inlineStr">
        <is>
          <t>Colorado Buffaloes</t>
        </is>
      </c>
      <c r="AT88" s="24" t="inlineStr">
        <is>
          <t>Colorado Buffaloes</t>
        </is>
      </c>
      <c r="AU88" s="24" t="inlineStr">
        <is>
          <t>Colorado Buffaloes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1d168f11d221cd3c</t>
        </is>
      </c>
      <c r="BB88" s="24" t="inlineStr">
        <is>
          <t>cfb_key_number_engine</t>
        </is>
      </c>
      <c r="BC88" s="24" t="inlineStr">
        <is>
          <t>cfb-total-v1</t>
        </is>
      </c>
      <c r="BD88" s="24" t="inlineStr">
        <is>
          <t>1d168f11d221cd3c</t>
        </is>
      </c>
      <c r="BE88" s="24" t="inlineStr">
        <is>
          <t>cfb-v1</t>
        </is>
      </c>
      <c r="BF88" s="24" t="inlineStr">
        <is>
          <t>1</t>
        </is>
      </c>
      <c r="BG88" s="24" t="inlineStr">
        <is>
          <t>1d168f11d221cd3c</t>
        </is>
      </c>
      <c r="BH88" s="24" t="inlineStr">
        <is>
          <t>2026-09-12T16:07:28.570172+00:00</t>
        </is>
      </c>
      <c r="BI88" s="24" t="inlineStr">
        <is>
          <t>["same_event","same_team_same_day","same_league_same_day"]</t>
        </is>
      </c>
      <c r="BJ88" s="25" t="n">
        <v>57.5</v>
      </c>
      <c r="BK88" s="26" t="n">
        <v>-112</v>
      </c>
      <c r="BL88" s="27" t="n">
        <v>1.892857</v>
      </c>
      <c r="BM88" s="28" t="n">
        <v>0.528302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0.528302</t>
        </is>
      </c>
      <c r="DK88" s="24" t="n"/>
      <c r="DL88" s="24" t="n"/>
      <c r="DM88" s="24" t="n"/>
      <c r="DN88" s="24" t="n"/>
      <c r="DO88" s="24" t="n"/>
      <c r="DP88" s="24" t="n"/>
      <c r="DQ88" s="24" t="inlineStr">
        <is>
          <t>{"artifact_hash": "1d168f11d221cd3c", "event_id": "401856785", "event_start_utc": "2026-09-12T19:30Z", "features": {"altitude_fatigue_penalty": 0.0, "away_team": "Weber State Wildcats", "efficiency_gap": 1.381, "elo_away": 1337.5, "elo_home": 1279.5, "elo_home_win_prob": 0.5101, "event_id": "401856785", "game_start_utc": "2026-09-12T19:30Z", "home_field_advantage_points": 2.8, "home_team": "Colorado Buffaloes", "is_dome": false, "is_fbs_vs_fcs": false, "is_neutral_site": false, "projected_away_points": 26.5, "projected_home_points": 26.8, "projected_margin_home": 0.3,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26.5, "mu_home": 26.8,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68587115247876199182587993529491108686}, "uinteger": 0}, "spread_home_line": -38.5, "total_line": 57.5}, "market_type": "total", "model_version": "cfb-total-v1", "observed_at_utc": "2026-09-12T16:07:28.570172+00:00", "probabilities": {"over": 0.397067, "push": 0.0, "under": 0.602933}, "replay_scope": "Full precision score means, exact engine parameters and original RNG state; upstream feature construction not certified.", "schema": "cfb-joint-replay-v1", "snapshot_hash": "64b41e2c0292b71eabd6de071167822f80d859a651954aa18575b2c700eb9de7", "sport": "NCAAF"}</t>
        </is>
      </c>
    </row>
    <row r="89" ht="36" customHeight="1">
      <c r="A89" s="24" t="inlineStr">
        <is>
          <t>f92c80da6f514868</t>
        </is>
      </c>
      <c r="B89" s="24" t="inlineStr">
        <is>
          <t>2026-09-12T16:07:28.570172Z</t>
        </is>
      </c>
      <c r="C89" s="24" t="inlineStr">
        <is>
          <t>2026-09-12T19:30Z</t>
        </is>
      </c>
      <c r="D89" s="24" t="inlineStr">
        <is>
          <t>401856790</t>
        </is>
      </c>
      <c r="E89" s="24" t="inlineStr">
        <is>
          <t>NCAAF</t>
        </is>
      </c>
      <c r="F89" s="24" t="inlineStr">
        <is>
          <t>UCF Knights</t>
        </is>
      </c>
      <c r="G89" s="24" t="inlineStr">
        <is>
          <t>Pittsburgh Panthers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espn_consensus</t>
        </is>
      </c>
      <c r="L89" s="26" t="n">
        <v>-285</v>
      </c>
      <c r="M89" s="27" t="n">
        <v>1.350877</v>
      </c>
      <c r="N89" s="28" t="n">
        <v>0.74026</v>
      </c>
      <c r="O89" s="28" t="n">
        <v>0.80324</v>
      </c>
      <c r="P89" s="28" t="n">
        <v>0.18</v>
      </c>
      <c r="Q89" s="28" t="n">
        <v>0.06297999999999999</v>
      </c>
      <c r="R89" s="26" t="n">
        <v>0</v>
      </c>
      <c r="S89" s="29" t="n">
        <v>1</v>
      </c>
      <c r="T89" s="24" t="inlineStr">
        <is>
          <t>college-football-v1</t>
        </is>
      </c>
      <c r="U89" s="24" t="inlineStr">
        <is>
          <t>settled</t>
        </is>
      </c>
      <c r="V89" s="24" t="inlineStr">
        <is>
          <t>win</t>
        </is>
      </c>
      <c r="W89" s="26" t="n">
        <v>7</v>
      </c>
      <c r="X89" s="26" t="n">
        <v>12</v>
      </c>
      <c r="Y89" s="25" t="n"/>
      <c r="Z89" s="26" t="n"/>
      <c r="AA89" s="28" t="n"/>
      <c r="AB89" s="28" t="n"/>
      <c r="AC89" s="30" t="n">
        <v>0.3509</v>
      </c>
      <c r="AD89" s="24" t="inlineStr">
        <is>
          <t>2026-09-13T04:30:56.076629Z</t>
        </is>
      </c>
      <c r="AE89" s="31" t="inlineStr">
        <is>
          <t>CFB Joint Model (negative_binomial): proj score UCF Knights 21.0 @ Pittsburgh Panthers 34.4 (Margin +13.5). Possessions: 12.4, HFA: +2.8 pts.</t>
        </is>
      </c>
      <c r="AF89" s="31" t="inlineStr">
        <is>
          <t>College football model; multi-market (moneyline, spread, total).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UCF Knights</t>
        </is>
      </c>
      <c r="AQ89" s="24" t="inlineStr">
        <is>
          <t>UCF Knights</t>
        </is>
      </c>
      <c r="AR89" s="24" t="inlineStr">
        <is>
          <t>UCF Knights</t>
        </is>
      </c>
      <c r="AS89" s="24" t="inlineStr">
        <is>
          <t>Pittsburgh Panthers</t>
        </is>
      </c>
      <c r="AT89" s="24" t="inlineStr">
        <is>
          <t>Pittsburgh Panthers</t>
        </is>
      </c>
      <c r="AU89" s="24" t="inlineStr">
        <is>
          <t>Pittsburgh Panthers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1d168f11d221cd3c</t>
        </is>
      </c>
      <c r="BB89" s="24" t="inlineStr">
        <is>
          <t>cfb_key_number_engine</t>
        </is>
      </c>
      <c r="BC89" s="24" t="inlineStr">
        <is>
          <t>college-football-v1</t>
        </is>
      </c>
      <c r="BD89" s="24" t="inlineStr">
        <is>
          <t>1d168f11d221cd3c</t>
        </is>
      </c>
      <c r="BE89" s="24" t="inlineStr">
        <is>
          <t>cfb-v1</t>
        </is>
      </c>
      <c r="BF89" s="24" t="inlineStr">
        <is>
          <t>1</t>
        </is>
      </c>
      <c r="BG89" s="24" t="inlineStr">
        <is>
          <t>1d168f11d221cd3c</t>
        </is>
      </c>
      <c r="BH89" s="24" t="inlineStr">
        <is>
          <t>2026-09-12T16:07:28.570172+00:00</t>
        </is>
      </c>
      <c r="BI89" s="24" t="inlineStr">
        <is>
          <t>["same_event","same_team_same_day","same_league_same_day"]</t>
        </is>
      </c>
      <c r="BJ89" s="25" t="n"/>
      <c r="BK89" s="26" t="n">
        <v>-285</v>
      </c>
      <c r="BL89" s="27" t="n">
        <v>1.350877</v>
      </c>
      <c r="BM89" s="28" t="n">
        <v>0.74026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0.74026</t>
        </is>
      </c>
      <c r="DK89" s="24" t="n"/>
      <c r="DL89" s="24" t="n"/>
      <c r="DM89" s="24" t="n"/>
      <c r="DN89" s="24" t="n"/>
      <c r="DO89" s="24" t="n"/>
      <c r="DP89" s="24" t="n"/>
      <c r="DQ89" s="24" t="inlineStr">
        <is>
          <t>{"artifact_hash": "1d168f11d221cd3c", "event_id": "401856790", "event_start_utc": "2026-09-12T19:30Z", "features": {"altitude_fatigue_penalty": 0.0, "away_team": "UCF Knights", "efficiency_gap": 0.674, "elo_away": 1310.2, "elo_home": 1575.2, "elo_home_win_prob": 0.8698, "event_id": "401856790", "game_start_utc": "2026-09-12T19:30Z", "home_field_advantage_points": 2.8, "home_team": "Pittsburgh Panthers", "is_dome": false, "is_fbs_vs_fcs": false, "is_neutral_site": false, "projected_away_points": 21.0, "projected_home_points": 34.4, "projected_margin_home": 13.5, "projected_possessions": 12.4, "projected_total": 55.4, "stadium_elevation_ft": 730, "travel_distance_miles": 821.0, "uncertainty": 0.18, "weather_total_adjustment": 0.0}, "historical_source_observation_times_verified": false, "inference_inputs": {"engine_source_sha256": "449ba2f0e86fa9c445730076a0e0bf100fb4914620be53c75c6f3bfe24298f3f", "mu_away": 21.0, "mu_home": 34.4,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226383013123039317732243464951536302830}, "uinteger": 0}, "spread_home_line": -7.0, "total_line": 55.5}, "market_type": "moneyline", "model_version": "college-football-v1", "observed_at_utc": "2026-09-12T16:07:28.570172+00:00", "probabilities": {"away": 0.19676, "home": 0.80324}, "replay_scope": "Full precision score means, exact engine parameters and original RNG state; upstream feature construction not certified.", "schema": "cfb-joint-replay-v1", "snapshot_hash": "b0af88f2af312010d92b3c0284fdbeea3ffe147cd4bd1ac3eb448f1aa3089339", "sport": "NCAAF"}</t>
        </is>
      </c>
    </row>
    <row r="90" ht="36" customHeight="1">
      <c r="A90" s="24" t="inlineStr">
        <is>
          <t>4072ed2f768e4a24</t>
        </is>
      </c>
      <c r="B90" s="24" t="inlineStr">
        <is>
          <t>2026-09-12T16:07:28.570172Z</t>
        </is>
      </c>
      <c r="C90" s="24" t="inlineStr">
        <is>
          <t>2026-09-12T19:30Z</t>
        </is>
      </c>
      <c r="D90" s="24" t="inlineStr">
        <is>
          <t>401856790</t>
        </is>
      </c>
      <c r="E90" s="24" t="inlineStr">
        <is>
          <t>NCAAF</t>
        </is>
      </c>
      <c r="F90" s="24" t="inlineStr">
        <is>
          <t>UCF Knights</t>
        </is>
      </c>
      <c r="G90" s="24" t="inlineStr">
        <is>
          <t>Pittsburgh Panthers</t>
        </is>
      </c>
      <c r="H90" s="24" t="inlineStr">
        <is>
          <t>spread</t>
        </is>
      </c>
      <c r="I90" s="24" t="inlineStr">
        <is>
          <t>home</t>
        </is>
      </c>
      <c r="J90" s="25" t="n">
        <v>-7</v>
      </c>
      <c r="K90" s="24" t="inlineStr">
        <is>
          <t>espn_consensus</t>
        </is>
      </c>
      <c r="L90" s="26" t="n">
        <v>-118</v>
      </c>
      <c r="M90" s="27" t="n">
        <v>1.847458</v>
      </c>
      <c r="N90" s="28" t="n">
        <v>0.541284</v>
      </c>
      <c r="O90" s="28" t="n">
        <v>0.656133</v>
      </c>
      <c r="P90" s="28" t="n">
        <v>0.18</v>
      </c>
      <c r="Q90" s="28" t="n">
        <v>0.114849</v>
      </c>
      <c r="R90" s="26" t="n">
        <v>0</v>
      </c>
      <c r="S90" s="29" t="n">
        <v>1</v>
      </c>
      <c r="T90" s="24" t="inlineStr">
        <is>
          <t>cfb-spread-v1</t>
        </is>
      </c>
      <c r="U90" s="24" t="inlineStr">
        <is>
          <t>settled</t>
        </is>
      </c>
      <c r="V90" s="24" t="inlineStr">
        <is>
          <t>loss</t>
        </is>
      </c>
      <c r="W90" s="26" t="n">
        <v>7</v>
      </c>
      <c r="X90" s="26" t="n">
        <v>12</v>
      </c>
      <c r="Y90" s="25" t="n"/>
      <c r="Z90" s="26" t="n"/>
      <c r="AA90" s="28" t="n"/>
      <c r="AB90" s="28" t="n"/>
      <c r="AC90" s="30" t="n">
        <v>-1</v>
      </c>
      <c r="AD90" s="24" t="inlineStr">
        <is>
          <t>2026-09-13T04:30:56.520983Z</t>
        </is>
      </c>
      <c r="AE90" s="31" t="inlineStr">
        <is>
          <t>Projected home margin +13.5 pts. Spread: Home -7.0 / Away +7.0 -&gt; P(Away cover)=0.320, P(Home cover)=0.656, P(Push)=0.023.</t>
        </is>
      </c>
      <c r="AF90" s="31" t="inlineStr">
        <is>
          <t>College football model; multi-market (moneyline, spread, total).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4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UCF Knights</t>
        </is>
      </c>
      <c r="AQ90" s="24" t="inlineStr">
        <is>
          <t>UCF Knights</t>
        </is>
      </c>
      <c r="AR90" s="24" t="inlineStr">
        <is>
          <t>UCF Knights</t>
        </is>
      </c>
      <c r="AS90" s="24" t="inlineStr">
        <is>
          <t>Pittsburgh Panthers</t>
        </is>
      </c>
      <c r="AT90" s="24" t="inlineStr">
        <is>
          <t>Pittsburgh Panthers</t>
        </is>
      </c>
      <c r="AU90" s="24" t="inlineStr">
        <is>
          <t>Pittsburgh Panthers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1d168f11d221cd3c</t>
        </is>
      </c>
      <c r="BB90" s="24" t="inlineStr">
        <is>
          <t>cfb_key_number_engine</t>
        </is>
      </c>
      <c r="BC90" s="24" t="inlineStr">
        <is>
          <t>cfb-spread-v1</t>
        </is>
      </c>
      <c r="BD90" s="24" t="inlineStr">
        <is>
          <t>1d168f11d221cd3c</t>
        </is>
      </c>
      <c r="BE90" s="24" t="inlineStr">
        <is>
          <t>cfb-v1</t>
        </is>
      </c>
      <c r="BF90" s="24" t="inlineStr">
        <is>
          <t>1</t>
        </is>
      </c>
      <c r="BG90" s="24" t="inlineStr">
        <is>
          <t>1d168f11d221cd3c</t>
        </is>
      </c>
      <c r="BH90" s="24" t="inlineStr">
        <is>
          <t>2026-09-12T16:07:28.570172+00:00</t>
        </is>
      </c>
      <c r="BI90" s="24" t="inlineStr">
        <is>
          <t>["same_event","same_team_same_day","same_league_same_day"]</t>
        </is>
      </c>
      <c r="BJ90" s="25" t="n">
        <v>-7</v>
      </c>
      <c r="BK90" s="26" t="n">
        <v>-118</v>
      </c>
      <c r="BL90" s="27" t="n">
        <v>1.847458</v>
      </c>
      <c r="BM90" s="28" t="n">
        <v>0.541284</v>
      </c>
      <c r="BN90" s="28" t="n"/>
      <c r="BO90" s="28" t="n"/>
      <c r="BP90" s="25" t="n"/>
      <c r="BQ90" s="27" t="n"/>
      <c r="BR90" s="28" t="n"/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0.541284</t>
        </is>
      </c>
      <c r="DK90" s="24" t="n"/>
      <c r="DL90" s="24" t="n"/>
      <c r="DM90" s="24" t="n"/>
      <c r="DN90" s="24" t="n"/>
      <c r="DO90" s="24" t="n"/>
      <c r="DP90" s="24" t="n"/>
      <c r="DQ90" s="24" t="inlineStr">
        <is>
          <t>{"artifact_hash": "1d168f11d221cd3c", "event_id": "401856790", "event_start_utc": "2026-09-12T19:30Z", "features": {"altitude_fatigue_penalty": 0.0, "away_team": "UCF Knights", "efficiency_gap": 0.674, "elo_away": 1310.2, "elo_home": 1575.2, "elo_home_win_prob": 0.8698, "event_id": "401856790", "game_start_utc": "2026-09-12T19:30Z", "home_field_advantage_points": 2.8, "home_team": "Pittsburgh Panthers", "is_dome": false, "is_fbs_vs_fcs": false, "is_neutral_site": false, "projected_away_points": 21.0, "projected_home_points": 34.4, "projected_margin_home": 13.5, "projected_possessions": 12.4, "projected_total": 55.4, "stadium_elevation_ft": 730, "travel_distance_miles": 821.0, "uncertainty": 0.18, "weather_total_adjustment": 0.0}, "historical_source_observation_times_verified": false, "inference_inputs": {"engine_source_sha256": "449ba2f0e86fa9c445730076a0e0bf100fb4914620be53c75c6f3bfe24298f3f", "mu_away": 21.0, "mu_home": 34.4,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226383013123039317732243464951536302830}, "uinteger": 0}, "spread_home_line": -7.0, "total_line": 55.5}, "market_type": "spread", "model_version": "cfb-spread-v1", "observed_at_utc": "2026-09-12T16:07:28.570172+00:00", "probabilities": {"away": 0.3204, "home": 0.656133, "push": 0.023467}, "replay_scope": "Full precision score means, exact engine parameters and original RNG state; upstream feature construction not certified.", "schema": "cfb-joint-replay-v1", "snapshot_hash": "5e367d4afe95d6c8ddd18a16966f0434a1896781d8d48b3b7299b0775ef6ec9e", "sport": "NCAAF"}</t>
        </is>
      </c>
    </row>
    <row r="91" ht="36" customHeight="1">
      <c r="A91" s="24" t="inlineStr">
        <is>
          <t>006024a603554efd</t>
        </is>
      </c>
      <c r="B91" s="24" t="inlineStr">
        <is>
          <t>2026-09-12T16:07:28.570172Z</t>
        </is>
      </c>
      <c r="C91" s="24" t="inlineStr">
        <is>
          <t>2026-09-12T19:30Z</t>
        </is>
      </c>
      <c r="D91" s="24" t="inlineStr">
        <is>
          <t>401856790</t>
        </is>
      </c>
      <c r="E91" s="24" t="inlineStr">
        <is>
          <t>NCAAF</t>
        </is>
      </c>
      <c r="F91" s="24" t="inlineStr">
        <is>
          <t>UCF Knights</t>
        </is>
      </c>
      <c r="G91" s="24" t="inlineStr">
        <is>
          <t>Pittsburgh Panthers</t>
        </is>
      </c>
      <c r="H91" s="24" t="inlineStr">
        <is>
          <t>total</t>
        </is>
      </c>
      <c r="I91" s="24" t="inlineStr">
        <is>
          <t>under</t>
        </is>
      </c>
      <c r="J91" s="25" t="n">
        <v>55.5</v>
      </c>
      <c r="K91" s="24" t="inlineStr">
        <is>
          <t>espn_consensus</t>
        </is>
      </c>
      <c r="L91" s="26" t="n">
        <v>-118</v>
      </c>
      <c r="M91" s="27" t="n">
        <v>1.847458</v>
      </c>
      <c r="N91" s="28" t="n">
        <v>0.541284</v>
      </c>
      <c r="O91" s="28" t="n">
        <v>0.5254</v>
      </c>
      <c r="P91" s="28" t="n">
        <v>0.18</v>
      </c>
      <c r="Q91" s="28" t="n">
        <v>-0.015884</v>
      </c>
      <c r="R91" s="26" t="n">
        <v>0</v>
      </c>
      <c r="S91" s="29" t="n">
        <v>1</v>
      </c>
      <c r="T91" s="24" t="inlineStr">
        <is>
          <t>cfb-total-v1</t>
        </is>
      </c>
      <c r="U91" s="24" t="inlineStr">
        <is>
          <t>settled</t>
        </is>
      </c>
      <c r="V91" s="24" t="inlineStr">
        <is>
          <t>win</t>
        </is>
      </c>
      <c r="W91" s="26" t="n">
        <v>7</v>
      </c>
      <c r="X91" s="26" t="n">
        <v>12</v>
      </c>
      <c r="Y91" s="25" t="n"/>
      <c r="Z91" s="26" t="n"/>
      <c r="AA91" s="28" t="n"/>
      <c r="AB91" s="28" t="n"/>
      <c r="AC91" s="30" t="n">
        <v>0.8475</v>
      </c>
      <c r="AD91" s="24" t="inlineStr">
        <is>
          <t>2026-09-13T04:30:56.884422Z</t>
        </is>
      </c>
      <c r="AE91" s="31" t="inlineStr">
        <is>
          <t>Projected total 55.4 pts (Weather adj: +0.0 pts). Total line 55.5 -&gt; P(Over)=0.475, P(Under)=0.525, P(Push)=0.000.</t>
        </is>
      </c>
      <c r="AF91" s="31" t="inlineStr">
        <is>
          <t>College football model; multi-market (moneyline, spread, total).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UCF Knights</t>
        </is>
      </c>
      <c r="AQ91" s="24" t="inlineStr">
        <is>
          <t>UCF Knights</t>
        </is>
      </c>
      <c r="AR91" s="24" t="inlineStr">
        <is>
          <t>UCF Knights</t>
        </is>
      </c>
      <c r="AS91" s="24" t="inlineStr">
        <is>
          <t>Pittsburgh Panthers</t>
        </is>
      </c>
      <c r="AT91" s="24" t="inlineStr">
        <is>
          <t>Pittsburgh Panthers</t>
        </is>
      </c>
      <c r="AU91" s="24" t="inlineStr">
        <is>
          <t>Pittsburgh Panthers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1d168f11d221cd3c</t>
        </is>
      </c>
      <c r="BB91" s="24" t="inlineStr">
        <is>
          <t>cfb_key_number_engine</t>
        </is>
      </c>
      <c r="BC91" s="24" t="inlineStr">
        <is>
          <t>cfb-total-v1</t>
        </is>
      </c>
      <c r="BD91" s="24" t="inlineStr">
        <is>
          <t>1d168f11d221cd3c</t>
        </is>
      </c>
      <c r="BE91" s="24" t="inlineStr">
        <is>
          <t>cfb-v1</t>
        </is>
      </c>
      <c r="BF91" s="24" t="inlineStr">
        <is>
          <t>1</t>
        </is>
      </c>
      <c r="BG91" s="24" t="inlineStr">
        <is>
          <t>1d168f11d221cd3c</t>
        </is>
      </c>
      <c r="BH91" s="24" t="inlineStr">
        <is>
          <t>2026-09-12T16:07:28.570172+00:00</t>
        </is>
      </c>
      <c r="BI91" s="24" t="inlineStr">
        <is>
          <t>["same_event","same_team_same_day","same_league_same_day"]</t>
        </is>
      </c>
      <c r="BJ91" s="25" t="n">
        <v>55.5</v>
      </c>
      <c r="BK91" s="26" t="n">
        <v>-118</v>
      </c>
      <c r="BL91" s="27" t="n">
        <v>1.847458</v>
      </c>
      <c r="BM91" s="28" t="n">
        <v>0.541284</v>
      </c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>
        <v>1</v>
      </c>
      <c r="BY91" s="27" t="n">
        <v>0.847458</v>
      </c>
      <c r="BZ91" s="24" t="inlineStr">
        <is>
          <t>2026-09-13T04:30:56.884422Z</t>
        </is>
      </c>
      <c r="CA91" s="31" t="inlineStr">
        <is>
          <t>fixed one-unit hypothetical scoring; no real exposure or execution</t>
        </is>
      </c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0.541284</t>
        </is>
      </c>
      <c r="DK91" s="24" t="n"/>
      <c r="DL91" s="24" t="n"/>
      <c r="DM91" s="24" t="n"/>
      <c r="DN91" s="24" t="n"/>
      <c r="DO91" s="24" t="n"/>
      <c r="DP91" s="24" t="n"/>
      <c r="DQ91" s="24" t="inlineStr">
        <is>
          <t>{"artifact_hash": "1d168f11d221cd3c", "event_id": "401856790", "event_start_utc": "2026-09-12T19:30Z", "features": {"altitude_fatigue_penalty": 0.0, "away_team": "UCF Knights", "efficiency_gap": 0.674, "elo_away": 1310.2, "elo_home": 1575.2, "elo_home_win_prob": 0.8698, "event_id": "401856790", "game_start_utc": "2026-09-12T19:30Z", "home_field_advantage_points": 2.8, "home_team": "Pittsburgh Panthers", "is_dome": false, "is_fbs_vs_fcs": false, "is_neutral_site": false, "projected_away_points": 21.0, "projected_home_points": 34.4, "projected_margin_home": 13.5, "projected_possessions": 12.4, "projected_total": 55.4, "stadium_elevation_ft": 730, "travel_distance_miles": 821.0, "uncertainty": 0.18, "weather_total_adjustment": 0.0}, "historical_source_observation_times_verified": false, "inference_inputs": {"engine_source_sha256": "449ba2f0e86fa9c445730076a0e0bf100fb4914620be53c75c6f3bfe24298f3f", "mu_away": 21.0, "mu_home": 34.4,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226383013123039317732243464951536302830}, "uinteger": 0}, "spread_home_line": -7.0, "total_line": 55.5}, "market_type": "total", "model_version": "cfb-total-v1", "observed_at_utc": "2026-09-12T16:07:28.570172+00:00", "probabilities": {"over": 0.4746, "push": 0.0, "under": 0.5254}, "replay_scope": "Full precision score means, exact engine parameters and original RNG state; upstream feature construction not certified.", "schema": "cfb-joint-replay-v1", "snapshot_hash": "c90a036783aec956c1e6e79b3bdaf7d3980a7aa1d662fb74fa113e3dd7998879", "sport": "NCAAF"}</t>
        </is>
      </c>
    </row>
    <row r="92" ht="36" customHeight="1">
      <c r="A92" s="24" t="inlineStr">
        <is>
          <t>3c86892bcfcf41b0</t>
        </is>
      </c>
      <c r="B92" s="24" t="inlineStr">
        <is>
          <t>2026-09-12T16:07:28.570172Z</t>
        </is>
      </c>
      <c r="C92" s="24" t="inlineStr">
        <is>
          <t>2026-09-12T19:30Z</t>
        </is>
      </c>
      <c r="D92" s="24" t="inlineStr">
        <is>
          <t>401858216</t>
        </is>
      </c>
      <c r="E92" s="24" t="inlineStr">
        <is>
          <t>NCAAF</t>
        </is>
      </c>
      <c r="F92" s="24" t="inlineStr">
        <is>
          <t>California Golden Bears</t>
        </is>
      </c>
      <c r="G92" s="24" t="inlineStr">
        <is>
          <t>Syracuse Orange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espn_consensus</t>
        </is>
      </c>
      <c r="L92" s="26" t="n">
        <v>160</v>
      </c>
      <c r="M92" s="27" t="n">
        <v>2.6</v>
      </c>
      <c r="N92" s="28" t="n">
        <v>0.384615</v>
      </c>
      <c r="O92" s="28" t="n">
        <v>0.566509</v>
      </c>
      <c r="P92" s="28" t="n">
        <v>0.18</v>
      </c>
      <c r="Q92" s="28" t="n">
        <v>0.181894</v>
      </c>
      <c r="R92" s="26" t="n">
        <v>33</v>
      </c>
      <c r="S92" s="29" t="n">
        <v>1</v>
      </c>
      <c r="T92" s="24" t="inlineStr">
        <is>
          <t>college-football-v1</t>
        </is>
      </c>
      <c r="U92" s="24" t="inlineStr">
        <is>
          <t>settled</t>
        </is>
      </c>
      <c r="V92" s="24" t="inlineStr">
        <is>
          <t>win</t>
        </is>
      </c>
      <c r="W92" s="26" t="n">
        <v>21</v>
      </c>
      <c r="X92" s="26" t="n">
        <v>18</v>
      </c>
      <c r="Y92" s="25" t="n"/>
      <c r="Z92" s="26" t="n"/>
      <c r="AA92" s="28" t="n"/>
      <c r="AB92" s="28" t="n"/>
      <c r="AC92" s="30" t="n">
        <v>1.6</v>
      </c>
      <c r="AD92" s="24" t="inlineStr">
        <is>
          <t>2026-09-13T04:30:57.267494Z</t>
        </is>
      </c>
      <c r="AE92" s="31" t="inlineStr">
        <is>
          <t>CFB Joint Model (negative_binomial): proj score California Golden Bears 28.4 @ Syracuse Orange 26.0 (Margin -2.4). Possessions: 12.4, HFA: +2.8 pts.</t>
        </is>
      </c>
      <c r="AF92" s="31" t="inlineStr">
        <is>
          <t>College football model; multi-market (moneyline, spread, total).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California Golden Bears</t>
        </is>
      </c>
      <c r="AQ92" s="24" t="inlineStr">
        <is>
          <t>California Golden Bears</t>
        </is>
      </c>
      <c r="AR92" s="24" t="inlineStr">
        <is>
          <t>California Golden Bears</t>
        </is>
      </c>
      <c r="AS92" s="24" t="inlineStr">
        <is>
          <t>Syracuse Orange</t>
        </is>
      </c>
      <c r="AT92" s="24" t="inlineStr">
        <is>
          <t>Syracuse Orange</t>
        </is>
      </c>
      <c r="AU92" s="24" t="inlineStr">
        <is>
          <t>Syracuse Orange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1d168f11d221cd3c</t>
        </is>
      </c>
      <c r="BB92" s="24" t="inlineStr">
        <is>
          <t>cfb_key_number_engine</t>
        </is>
      </c>
      <c r="BC92" s="24" t="inlineStr">
        <is>
          <t>college-football-v1</t>
        </is>
      </c>
      <c r="BD92" s="24" t="inlineStr">
        <is>
          <t>1d168f11d221cd3c</t>
        </is>
      </c>
      <c r="BE92" s="24" t="inlineStr">
        <is>
          <t>cfb-v1</t>
        </is>
      </c>
      <c r="BF92" s="24" t="inlineStr">
        <is>
          <t>1</t>
        </is>
      </c>
      <c r="BG92" s="24" t="inlineStr">
        <is>
          <t>1d168f11d221cd3c</t>
        </is>
      </c>
      <c r="BH92" s="24" t="inlineStr">
        <is>
          <t>2026-09-12T16:07:28.570172+00:00</t>
        </is>
      </c>
      <c r="BI92" s="24" t="inlineStr">
        <is>
          <t>["same_event","same_team_same_day","same_league_same_day"]</t>
        </is>
      </c>
      <c r="BJ92" s="25" t="n"/>
      <c r="BK92" s="26" t="n">
        <v>160</v>
      </c>
      <c r="BL92" s="27" t="n">
        <v>2.6</v>
      </c>
      <c r="BM92" s="28" t="n">
        <v>0.384615</v>
      </c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0.384615</t>
        </is>
      </c>
      <c r="DK92" s="24" t="n"/>
      <c r="DL92" s="24" t="n"/>
      <c r="DM92" s="24" t="n"/>
      <c r="DN92" s="24" t="n"/>
      <c r="DO92" s="24" t="n"/>
      <c r="DP92" s="24" t="n"/>
      <c r="DQ92" s="24" t="inlineStr">
        <is>
          <t>{"artifact_hash": "1d168f11d221cd3c", "event_id": "401858216", "event_start_utc": "2026-09-12T19:30Z", "features": {"altitude_fatigue_penalty": 0.0, "away_team": "California Golden Bears", "efficiency_gap": 0.426, "elo_away": 1325.7, "elo_home": 1202.1, "elo_home_win_prob": 0.4164, "event_id": "401858216", "game_start_utc": "2026-09-12T19:30Z", "home_field_advantage_points": 2.8, "home_team": "Syracuse Orange", "is_dome": true, "is_fbs_vs_fcs": false, "is_neutral_site": false, "projected_away_points": 28.4, "projected_home_points": 26.0, "projected_margin_home": -2.4, "projected_possessions": 12.4, "projected_total": 54.5, "stadium_elevation_ft": 500, "travel_distance_miles": 2420.0, "uncertainty": 0.18, "weather_total_adjustment": 0.0}, "historical_source_observation_times_verified": false, "inference_inputs": {"engine_source_sha256": "449ba2f0e86fa9c445730076a0e0bf100fb4914620be53c75c6f3bfe24298f3f", "mu_away": 28.4, "mu_home": 26.0,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282134768620397707269101019868999410834}, "uinteger": 0}, "spread_home_line": -3.5, "total_line": 56.5}, "market_type": "moneyline", "model_version": "college-football-v1", "observed_at_utc": "2026-09-12T16:07:28.570172+00:00", "probabilities": {"away": 0.566509, "home": 0.433491}, "replay_scope": "Full precision score means, exact engine parameters and original RNG state; upstream feature construction not certified.", "schema": "cfb-joint-replay-v1", "snapshot_hash": "14417448998941c11f322e7f01932a2d98f6ef2307d073b494cbed4c213d3ce0", "sport": "NCAAF"}</t>
        </is>
      </c>
    </row>
    <row r="93" ht="36" customHeight="1">
      <c r="A93" s="24" t="inlineStr">
        <is>
          <t>7108428838ab4d9d</t>
        </is>
      </c>
      <c r="B93" s="24" t="inlineStr">
        <is>
          <t>2026-09-12T16:07:28.570172Z</t>
        </is>
      </c>
      <c r="C93" s="24" t="inlineStr">
        <is>
          <t>2026-09-12T19:30Z</t>
        </is>
      </c>
      <c r="D93" s="24" t="inlineStr">
        <is>
          <t>401858216</t>
        </is>
      </c>
      <c r="E93" s="24" t="inlineStr">
        <is>
          <t>NCAAF</t>
        </is>
      </c>
      <c r="F93" s="24" t="inlineStr">
        <is>
          <t>California Golden Bears</t>
        </is>
      </c>
      <c r="G93" s="24" t="inlineStr">
        <is>
          <t>Syracuse Orange</t>
        </is>
      </c>
      <c r="H93" s="24" t="inlineStr">
        <is>
          <t>spread</t>
        </is>
      </c>
      <c r="I93" s="24" t="inlineStr">
        <is>
          <t>away</t>
        </is>
      </c>
      <c r="J93" s="25" t="n">
        <v>3.5</v>
      </c>
      <c r="K93" s="24" t="inlineStr">
        <is>
          <t>espn_consensus</t>
        </is>
      </c>
      <c r="L93" s="26" t="n">
        <v>-112</v>
      </c>
      <c r="M93" s="27" t="n">
        <v>1.892857</v>
      </c>
      <c r="N93" s="28" t="n">
        <v>0.528302</v>
      </c>
      <c r="O93" s="28" t="n">
        <v>0.65</v>
      </c>
      <c r="P93" s="28" t="n">
        <v>0.18</v>
      </c>
      <c r="Q93" s="28" t="n">
        <v>0.121698</v>
      </c>
      <c r="R93" s="26" t="n">
        <v>3</v>
      </c>
      <c r="S93" s="29" t="n">
        <v>1</v>
      </c>
      <c r="T93" s="24" t="inlineStr">
        <is>
          <t>cfb-spread-v1</t>
        </is>
      </c>
      <c r="U93" s="24" t="inlineStr">
        <is>
          <t>settled</t>
        </is>
      </c>
      <c r="V93" s="24" t="inlineStr">
        <is>
          <t>win</t>
        </is>
      </c>
      <c r="W93" s="26" t="n">
        <v>21</v>
      </c>
      <c r="X93" s="26" t="n">
        <v>18</v>
      </c>
      <c r="Y93" s="25" t="n"/>
      <c r="Z93" s="26" t="n"/>
      <c r="AA93" s="28" t="n"/>
      <c r="AB93" s="28" t="n"/>
      <c r="AC93" s="30" t="n">
        <v>0.8929</v>
      </c>
      <c r="AD93" s="24" t="inlineStr">
        <is>
          <t>2026-09-13T04:30:57.602816Z</t>
        </is>
      </c>
      <c r="AE93" s="31" t="inlineStr">
        <is>
          <t>Projected home margin -2.4 pts. Spread: Home -3.5 / Away +3.5 -&gt; P(Away cover)=0.650, P(Home cover)=0.350, P(Push)=0.000.</t>
        </is>
      </c>
      <c r="AF93" s="31" t="inlineStr">
        <is>
          <t>College football model; multi-market (moneyline, spread, total).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California Golden Bears</t>
        </is>
      </c>
      <c r="AQ93" s="24" t="inlineStr">
        <is>
          <t>California Golden Bears</t>
        </is>
      </c>
      <c r="AR93" s="24" t="inlineStr">
        <is>
          <t>California Golden Bears</t>
        </is>
      </c>
      <c r="AS93" s="24" t="inlineStr">
        <is>
          <t>Syracuse Orange</t>
        </is>
      </c>
      <c r="AT93" s="24" t="inlineStr">
        <is>
          <t>Syracuse Orange</t>
        </is>
      </c>
      <c r="AU93" s="24" t="inlineStr">
        <is>
          <t>Syracuse Orange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1d168f11d221cd3c</t>
        </is>
      </c>
      <c r="BB93" s="24" t="inlineStr">
        <is>
          <t>cfb_key_number_engine</t>
        </is>
      </c>
      <c r="BC93" s="24" t="inlineStr">
        <is>
          <t>cfb-spread-v1</t>
        </is>
      </c>
      <c r="BD93" s="24" t="inlineStr">
        <is>
          <t>1d168f11d221cd3c</t>
        </is>
      </c>
      <c r="BE93" s="24" t="inlineStr">
        <is>
          <t>cfb-v1</t>
        </is>
      </c>
      <c r="BF93" s="24" t="inlineStr">
        <is>
          <t>1</t>
        </is>
      </c>
      <c r="BG93" s="24" t="inlineStr">
        <is>
          <t>1d168f11d221cd3c</t>
        </is>
      </c>
      <c r="BH93" s="24" t="inlineStr">
        <is>
          <t>2026-09-12T16:07:28.570172+00:00</t>
        </is>
      </c>
      <c r="BI93" s="24" t="inlineStr">
        <is>
          <t>["same_event","same_team_same_day","same_league_same_day"]</t>
        </is>
      </c>
      <c r="BJ93" s="25" t="n">
        <v>3.5</v>
      </c>
      <c r="BK93" s="26" t="n">
        <v>-112</v>
      </c>
      <c r="BL93" s="27" t="n">
        <v>1.892857</v>
      </c>
      <c r="BM93" s="28" t="n">
        <v>0.528302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0.528302</t>
        </is>
      </c>
      <c r="DK93" s="24" t="n"/>
      <c r="DL93" s="24" t="n"/>
      <c r="DM93" s="24" t="n"/>
      <c r="DN93" s="24" t="n"/>
      <c r="DO93" s="24" t="n"/>
      <c r="DP93" s="24" t="n"/>
      <c r="DQ93" s="24" t="inlineStr">
        <is>
          <t>{"artifact_hash": "1d168f11d221cd3c", "event_id": "401858216", "event_start_utc": "2026-09-12T19:30Z", "features": {"altitude_fatigue_penalty": 0.0, "away_team": "California Golden Bears", "efficiency_gap": 0.426, "elo_away": 1325.7, "elo_home": 1202.1, "elo_home_win_prob": 0.4164, "event_id": "401858216", "game_start_utc": "2026-09-12T19:30Z", "home_field_advantage_points": 2.8, "home_team": "Syracuse Orange", "is_dome": true, "is_fbs_vs_fcs": false, "is_neutral_site": false, "projected_away_points": 28.4, "projected_home_points": 26.0, "projected_margin_home": -2.4, "projected_possessions": 12.4, "projected_total": 54.5, "stadium_elevation_ft": 500, "travel_distance_miles": 2420.0, "uncertainty": 0.18, "weather_total_adjustment": 0.0}, "historical_source_observation_times_verified": false, "inference_inputs": {"engine_source_sha256": "449ba2f0e86fa9c445730076a0e0bf100fb4914620be53c75c6f3bfe24298f3f", "mu_away": 28.4, "mu_home": 26.0,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282134768620397707269101019868999410834}, "uinteger": 0}, "spread_home_line": -3.5, "total_line": 56.5}, "market_type": "spread", "model_version": "cfb-spread-v1", "observed_at_utc": "2026-09-12T16:07:28.570172+00:00", "probabilities": {"away": 0.65, "home": 0.35, "push": 0.0}, "replay_scope": "Full precision score means, exact engine parameters and original RNG state; upstream feature construction not certified.", "schema": "cfb-joint-replay-v1", "snapshot_hash": "777585893e2701a99ac4879b213b9721de193c8220cf7976b95ca8f3e1308de5", "sport": "NCAAF"}</t>
        </is>
      </c>
    </row>
    <row r="94" ht="36" customHeight="1">
      <c r="A94" s="24" t="inlineStr">
        <is>
          <t>a497e7225b954d8f</t>
        </is>
      </c>
      <c r="B94" s="24" t="inlineStr">
        <is>
          <t>2026-09-12T16:07:28.570172Z</t>
        </is>
      </c>
      <c r="C94" s="24" t="inlineStr">
        <is>
          <t>2026-09-12T19:30Z</t>
        </is>
      </c>
      <c r="D94" s="24" t="inlineStr">
        <is>
          <t>401858216</t>
        </is>
      </c>
      <c r="E94" s="24" t="inlineStr">
        <is>
          <t>NCAAF</t>
        </is>
      </c>
      <c r="F94" s="24" t="inlineStr">
        <is>
          <t>California Golden Bears</t>
        </is>
      </c>
      <c r="G94" s="24" t="inlineStr">
        <is>
          <t>Syracuse Orange</t>
        </is>
      </c>
      <c r="H94" s="24" t="inlineStr">
        <is>
          <t>total</t>
        </is>
      </c>
      <c r="I94" s="24" t="inlineStr">
        <is>
          <t>under</t>
        </is>
      </c>
      <c r="J94" s="25" t="n">
        <v>56.5</v>
      </c>
      <c r="K94" s="24" t="inlineStr">
        <is>
          <t>espn_consensus</t>
        </is>
      </c>
      <c r="L94" s="26" t="n">
        <v>-105</v>
      </c>
      <c r="M94" s="27" t="n">
        <v>1.952381</v>
      </c>
      <c r="N94" s="28" t="n">
        <v>0.512195</v>
      </c>
      <c r="O94" s="28" t="n">
        <v>0.567333</v>
      </c>
      <c r="P94" s="28" t="n">
        <v>0.18</v>
      </c>
      <c r="Q94" s="28" t="n">
        <v>0.055138</v>
      </c>
      <c r="R94" s="26" t="n">
        <v>0</v>
      </c>
      <c r="S94" s="29" t="n">
        <v>1</v>
      </c>
      <c r="T94" s="24" t="inlineStr">
        <is>
          <t>cfb-total-v1</t>
        </is>
      </c>
      <c r="U94" s="24" t="inlineStr">
        <is>
          <t>settled</t>
        </is>
      </c>
      <c r="V94" s="24" t="inlineStr">
        <is>
          <t>win</t>
        </is>
      </c>
      <c r="W94" s="26" t="n">
        <v>21</v>
      </c>
      <c r="X94" s="26" t="n">
        <v>18</v>
      </c>
      <c r="Y94" s="25" t="n"/>
      <c r="Z94" s="26" t="n"/>
      <c r="AA94" s="28" t="n"/>
      <c r="AB94" s="28" t="n"/>
      <c r="AC94" s="30" t="n">
        <v>0.9524</v>
      </c>
      <c r="AD94" s="24" t="inlineStr">
        <is>
          <t>2026-09-13T04:30:57.971425Z</t>
        </is>
      </c>
      <c r="AE94" s="31" t="inlineStr">
        <is>
          <t>Projected total 54.5 pts (Weather adj: +0.0 pts). Total line 56.5 -&gt; P(Over)=0.433, P(Under)=0.567, P(Push)=0.000.</t>
        </is>
      </c>
      <c r="AF94" s="31" t="inlineStr">
        <is>
          <t>College football model; multi-market (moneyline, spread, total).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4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California Golden Bears</t>
        </is>
      </c>
      <c r="AQ94" s="24" t="inlineStr">
        <is>
          <t>California Golden Bears</t>
        </is>
      </c>
      <c r="AR94" s="24" t="inlineStr">
        <is>
          <t>California Golden Bears</t>
        </is>
      </c>
      <c r="AS94" s="24" t="inlineStr">
        <is>
          <t>Syracuse Orange</t>
        </is>
      </c>
      <c r="AT94" s="24" t="inlineStr">
        <is>
          <t>Syracuse Orange</t>
        </is>
      </c>
      <c r="AU94" s="24" t="inlineStr">
        <is>
          <t>Syracuse Orange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1d168f11d221cd3c</t>
        </is>
      </c>
      <c r="BB94" s="24" t="inlineStr">
        <is>
          <t>cfb_key_number_engine</t>
        </is>
      </c>
      <c r="BC94" s="24" t="inlineStr">
        <is>
          <t>cfb-total-v1</t>
        </is>
      </c>
      <c r="BD94" s="24" t="inlineStr">
        <is>
          <t>1d168f11d221cd3c</t>
        </is>
      </c>
      <c r="BE94" s="24" t="inlineStr">
        <is>
          <t>cfb-v1</t>
        </is>
      </c>
      <c r="BF94" s="24" t="inlineStr">
        <is>
          <t>1</t>
        </is>
      </c>
      <c r="BG94" s="24" t="inlineStr">
        <is>
          <t>1d168f11d221cd3c</t>
        </is>
      </c>
      <c r="BH94" s="24" t="inlineStr">
        <is>
          <t>2026-09-12T16:07:28.570172+00:00</t>
        </is>
      </c>
      <c r="BI94" s="24" t="inlineStr">
        <is>
          <t>["same_event","same_team_same_day","same_league_same_day"]</t>
        </is>
      </c>
      <c r="BJ94" s="25" t="n">
        <v>56.5</v>
      </c>
      <c r="BK94" s="26" t="n">
        <v>-105</v>
      </c>
      <c r="BL94" s="27" t="n">
        <v>1.952381</v>
      </c>
      <c r="BM94" s="28" t="n">
        <v>0.512195</v>
      </c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0.512195</t>
        </is>
      </c>
      <c r="DK94" s="24" t="n"/>
      <c r="DL94" s="24" t="n"/>
      <c r="DM94" s="24" t="n"/>
      <c r="DN94" s="24" t="n"/>
      <c r="DO94" s="24" t="n"/>
      <c r="DP94" s="24" t="n"/>
      <c r="DQ94" s="24" t="inlineStr">
        <is>
          <t>{"artifact_hash": "1d168f11d221cd3c", "event_id": "401858216", "event_start_utc": "2026-09-12T19:30Z", "features": {"altitude_fatigue_penalty": 0.0, "away_team": "California Golden Bears", "efficiency_gap": 0.426, "elo_away": 1325.7, "elo_home": 1202.1, "elo_home_win_prob": 0.4164, "event_id": "401858216", "game_start_utc": "2026-09-12T19:30Z", "home_field_advantage_points": 2.8, "home_team": "Syracuse Orange", "is_dome": true, "is_fbs_vs_fcs": false, "is_neutral_site": false, "projected_away_points": 28.4, "projected_home_points": 26.0, "projected_margin_home": -2.4, "projected_possessions": 12.4, "projected_total": 54.5, "stadium_elevation_ft": 500, "travel_distance_miles": 2420.0, "uncertainty": 0.18, "weather_total_adjustment": 0.0}, "historical_source_observation_times_verified": false, "inference_inputs": {"engine_source_sha256": "449ba2f0e86fa9c445730076a0e0bf100fb4914620be53c75c6f3bfe24298f3f", "mu_away": 28.4, "mu_home": 26.0,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282134768620397707269101019868999410834}, "uinteger": 0}, "spread_home_line": -3.5, "total_line": 56.5}, "market_type": "total", "model_version": "cfb-total-v1", "observed_at_utc": "2026-09-12T16:07:28.570172+00:00", "probabilities": {"over": 0.432667, "push": 0.0, "under": 0.567333}, "replay_scope": "Full precision score means, exact engine parameters and original RNG state; upstream feature construction not certified.", "schema": "cfb-joint-replay-v1", "snapshot_hash": "0211d2ad0519e0db3fe0285bbf3175897da705f71184b53fcba1120bfdc38fa5", "sport": "NCAAF"}</t>
        </is>
      </c>
    </row>
    <row r="95" ht="36" customHeight="1">
      <c r="A95" s="24" t="inlineStr">
        <is>
          <t>9c7e560955a44cb8</t>
        </is>
      </c>
      <c r="B95" s="24" t="inlineStr">
        <is>
          <t>2026-09-12T16:07:28.570172Z</t>
        </is>
      </c>
      <c r="C95" s="24" t="inlineStr">
        <is>
          <t>2026-09-12T19:30Z</t>
        </is>
      </c>
      <c r="D95" s="24" t="inlineStr">
        <is>
          <t>401858217</t>
        </is>
      </c>
      <c r="E95" s="24" t="inlineStr">
        <is>
          <t>NCAAF</t>
        </is>
      </c>
      <c r="F95" s="24" t="inlineStr">
        <is>
          <t>Duke Blue Devils</t>
        </is>
      </c>
      <c r="G95" s="24" t="inlineStr">
        <is>
          <t>Illinois Fighting Illini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espn_consensus</t>
        </is>
      </c>
      <c r="L95" s="26" t="n">
        <v>-245</v>
      </c>
      <c r="M95" s="27" t="n">
        <v>1.408163</v>
      </c>
      <c r="N95" s="28" t="n">
        <v>0.710145</v>
      </c>
      <c r="O95" s="28" t="n">
        <v>0.550925</v>
      </c>
      <c r="P95" s="28" t="n">
        <v>0.165</v>
      </c>
      <c r="Q95" s="28" t="n">
        <v>-0.15922</v>
      </c>
      <c r="R95" s="26" t="n">
        <v>0</v>
      </c>
      <c r="S95" s="29" t="n">
        <v>1</v>
      </c>
      <c r="T95" s="24" t="inlineStr">
        <is>
          <t>college-football-v1</t>
        </is>
      </c>
      <c r="U95" s="24" t="inlineStr">
        <is>
          <t>settled</t>
        </is>
      </c>
      <c r="V95" s="24" t="inlineStr">
        <is>
          <t>loss</t>
        </is>
      </c>
      <c r="W95" s="26" t="n">
        <v>31</v>
      </c>
      <c r="X95" s="26" t="n">
        <v>27</v>
      </c>
      <c r="Y95" s="25" t="n"/>
      <c r="Z95" s="26" t="n"/>
      <c r="AA95" s="28" t="n"/>
      <c r="AB95" s="28" t="n"/>
      <c r="AC95" s="30" t="n">
        <v>-1</v>
      </c>
      <c r="AD95" s="24" t="inlineStr">
        <is>
          <t>2026-09-13T04:30:58.347010Z</t>
        </is>
      </c>
      <c r="AE95" s="31" t="inlineStr">
        <is>
          <t>CFB Joint Model (negative_binomial): proj score Duke Blue Devils 26.5 @ Illinois Fighting Illini 28.5 (Margin +1.9). Possessions: 12.4, HFA: +2.8 pts.</t>
        </is>
      </c>
      <c r="AF95" s="31" t="inlineStr">
        <is>
          <t>College football model; multi-market (moneyline, spread, total).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paper_call</t>
        </is>
      </c>
      <c r="AL95" s="26" t="n">
        <v>4</v>
      </c>
      <c r="AM95" s="24" t="inlineStr">
        <is>
          <t>RESEARCH_OBSERVATION</t>
        </is>
      </c>
      <c r="AN95" s="24" t="inlineStr">
        <is>
          <t>CALL</t>
        </is>
      </c>
      <c r="AO95" s="24" t="inlineStr">
        <is>
          <t>PAPER_CALL_LOW_EDGE</t>
        </is>
      </c>
      <c r="AP95" s="24" t="inlineStr">
        <is>
          <t>Duke Blue Devils</t>
        </is>
      </c>
      <c r="AQ95" s="24" t="inlineStr">
        <is>
          <t>Duke Blue Devils</t>
        </is>
      </c>
      <c r="AR95" s="24" t="inlineStr">
        <is>
          <t>Duke Blue Devils</t>
        </is>
      </c>
      <c r="AS95" s="24" t="inlineStr">
        <is>
          <t>Illinois Fighting Illini</t>
        </is>
      </c>
      <c r="AT95" s="24" t="inlineStr">
        <is>
          <t>Illinois Fighting Illini</t>
        </is>
      </c>
      <c r="AU95" s="24" t="inlineStr">
        <is>
          <t>Illinois Fighting Illini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1d168f11d221cd3c</t>
        </is>
      </c>
      <c r="BB95" s="24" t="inlineStr">
        <is>
          <t>cfb_key_number_engine</t>
        </is>
      </c>
      <c r="BC95" s="24" t="inlineStr">
        <is>
          <t>college-football-v1</t>
        </is>
      </c>
      <c r="BD95" s="24" t="inlineStr">
        <is>
          <t>1d168f11d221cd3c</t>
        </is>
      </c>
      <c r="BE95" s="24" t="inlineStr">
        <is>
          <t>cfb-v1</t>
        </is>
      </c>
      <c r="BF95" s="24" t="inlineStr">
        <is>
          <t>1</t>
        </is>
      </c>
      <c r="BG95" s="24" t="inlineStr">
        <is>
          <t>1d168f11d221cd3c</t>
        </is>
      </c>
      <c r="BH95" s="24" t="inlineStr">
        <is>
          <t>2026-09-12T16:07:28.570172+00:00</t>
        </is>
      </c>
      <c r="BI95" s="24" t="inlineStr">
        <is>
          <t>["same_event","same_team_same_day","same_league_same_day"]</t>
        </is>
      </c>
      <c r="BJ95" s="25" t="n"/>
      <c r="BK95" s="26" t="n">
        <v>-245</v>
      </c>
      <c r="BL95" s="27" t="n">
        <v>1.408163</v>
      </c>
      <c r="BM95" s="28" t="n">
        <v>0.710145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>
        <v>1</v>
      </c>
      <c r="BY95" s="27" t="n">
        <v>-1</v>
      </c>
      <c r="BZ95" s="24" t="inlineStr">
        <is>
          <t>2026-09-13T04:30:58.347010Z</t>
        </is>
      </c>
      <c r="CA95" s="31" t="inlineStr">
        <is>
          <t>fixed one-unit hypothetical scoring; no real exposure or execution</t>
        </is>
      </c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False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0.710145</t>
        </is>
      </c>
      <c r="DK95" s="24" t="n"/>
      <c r="DL95" s="24" t="n"/>
      <c r="DM95" s="24" t="n"/>
      <c r="DN95" s="24" t="n"/>
      <c r="DO95" s="24" t="n"/>
      <c r="DP95" s="24" t="n"/>
      <c r="DQ95" s="24" t="inlineStr">
        <is>
          <t>{"artifact_hash": "1d168f11d221cd3c", "event_id": "401858217", "event_start_utc": "2026-09-12T19:30Z", "features": {"altitude_fatigue_penalty": 0.0, "away_team": "Duke Blue Devils", "efficiency_gap": 0.65, "elo_away": 1684.9, "elo_home": 1662.0, "elo_home_win_prob": 0.5603, "event_id": "401858217", "game_start_utc": "2026-09-12T19:30Z", "home_field_advantage_points": 2.8, "home_team": "Illinois Fighting Illini", "is_dome": false, "is_fbs_vs_fcs": false, "is_neutral_site": false, "projected_away_points": 26.5, "projected_home_points": 28.5, "projected_margin_home": 1.9, "projected_possessions": 12.4, "projected_total": 55.0, "stadium_elevation_ft": 730, "travel_distance_miles": 579.0, "uncertainty": 0.165, "weather_total_adjustment": 0.0}, "historical_source_observation_times_verified": false, "inference_inputs": {"engine_source_sha256": "449ba2f0e86fa9c445730076a0e0bf100fb4914620be53c75c6f3bfe24298f3f", "mu_away": 26.5,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149554796472883421131471675916468247703}, "uinteger": 0}, "spread_home_line": -6.0, "total_line": 51.5}, "market_type": "moneyline", "model_version": "college-football-v1", "observed_at_utc": "2026-09-12T16:07:28.570172+00:00", "probabilities": {"away": 0.449075, "home": 0.550925}, "replay_scope": "Full precision score means, exact engine parameters and original RNG state; upstream feature construction not certified.", "schema": "cfb-joint-replay-v1", "snapshot_hash": "1d103f990a983b33373c069041e5204e853bd35acc290f741b82eef90a64057f", "sport": "NCAAF"}</t>
        </is>
      </c>
    </row>
    <row r="96" ht="36" customHeight="1">
      <c r="A96" s="24" t="inlineStr">
        <is>
          <t>de39ec3eb10d4b4a</t>
        </is>
      </c>
      <c r="B96" s="24" t="inlineStr">
        <is>
          <t>2026-09-12T16:07:28.570172Z</t>
        </is>
      </c>
      <c r="C96" s="24" t="inlineStr">
        <is>
          <t>2026-09-12T19:30Z</t>
        </is>
      </c>
      <c r="D96" s="24" t="inlineStr">
        <is>
          <t>401858217</t>
        </is>
      </c>
      <c r="E96" s="24" t="inlineStr">
        <is>
          <t>NCAAF</t>
        </is>
      </c>
      <c r="F96" s="24" t="inlineStr">
        <is>
          <t>Duke Blue Devils</t>
        </is>
      </c>
      <c r="G96" s="24" t="inlineStr">
        <is>
          <t>Illinois Fighting Illini</t>
        </is>
      </c>
      <c r="H96" s="24" t="inlineStr">
        <is>
          <t>spread</t>
        </is>
      </c>
      <c r="I96" s="24" t="inlineStr">
        <is>
          <t>away</t>
        </is>
      </c>
      <c r="J96" s="25" t="n">
        <v>6</v>
      </c>
      <c r="K96" s="24" t="inlineStr">
        <is>
          <t>espn_consensus</t>
        </is>
      </c>
      <c r="L96" s="26" t="n">
        <v>-110</v>
      </c>
      <c r="M96" s="27" t="n">
        <v>1.909091</v>
      </c>
      <c r="N96" s="28" t="n">
        <v>0.52381</v>
      </c>
      <c r="O96" s="28" t="n">
        <v>0.5847329999999999</v>
      </c>
      <c r="P96" s="28" t="n">
        <v>0.165</v>
      </c>
      <c r="Q96" s="28" t="n">
        <v>0.060923</v>
      </c>
      <c r="R96" s="26" t="n">
        <v>0</v>
      </c>
      <c r="S96" s="29" t="n">
        <v>1</v>
      </c>
      <c r="T96" s="24" t="inlineStr">
        <is>
          <t>cfb-spread-v1</t>
        </is>
      </c>
      <c r="U96" s="24" t="inlineStr">
        <is>
          <t>settled</t>
        </is>
      </c>
      <c r="V96" s="24" t="inlineStr">
        <is>
          <t>win</t>
        </is>
      </c>
      <c r="W96" s="26" t="n">
        <v>31</v>
      </c>
      <c r="X96" s="26" t="n">
        <v>27</v>
      </c>
      <c r="Y96" s="25" t="n"/>
      <c r="Z96" s="26" t="n"/>
      <c r="AA96" s="28" t="n"/>
      <c r="AB96" s="28" t="n"/>
      <c r="AC96" s="30" t="n">
        <v>0.9091</v>
      </c>
      <c r="AD96" s="24" t="inlineStr">
        <is>
          <t>2026-09-13T04:30:58.676393Z</t>
        </is>
      </c>
      <c r="AE96" s="31" t="inlineStr">
        <is>
          <t>Projected home margin +1.9 pts. Spread: Home -6.0 / Away +6.0 -&gt; P(Away cover)=0.585, P(Home cover)=0.392, P(Push)=0.023.</t>
        </is>
      </c>
      <c r="AF96" s="31" t="inlineStr">
        <is>
          <t>College football model; multi-market (moneyline, spread, total).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4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Duke Blue Devils</t>
        </is>
      </c>
      <c r="AQ96" s="24" t="inlineStr">
        <is>
          <t>Duke Blue Devils</t>
        </is>
      </c>
      <c r="AR96" s="24" t="inlineStr">
        <is>
          <t>Duke Blue Devils</t>
        </is>
      </c>
      <c r="AS96" s="24" t="inlineStr">
        <is>
          <t>Illinois Fighting Illini</t>
        </is>
      </c>
      <c r="AT96" s="24" t="inlineStr">
        <is>
          <t>Illinois Fighting Illini</t>
        </is>
      </c>
      <c r="AU96" s="24" t="inlineStr">
        <is>
          <t>Illinois Fighting Illini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1d168f11d221cd3c</t>
        </is>
      </c>
      <c r="BB96" s="24" t="inlineStr">
        <is>
          <t>cfb_key_number_engine</t>
        </is>
      </c>
      <c r="BC96" s="24" t="inlineStr">
        <is>
          <t>cfb-spread-v1</t>
        </is>
      </c>
      <c r="BD96" s="24" t="inlineStr">
        <is>
          <t>1d168f11d221cd3c</t>
        </is>
      </c>
      <c r="BE96" s="24" t="inlineStr">
        <is>
          <t>cfb-v1</t>
        </is>
      </c>
      <c r="BF96" s="24" t="inlineStr">
        <is>
          <t>1</t>
        </is>
      </c>
      <c r="BG96" s="24" t="inlineStr">
        <is>
          <t>1d168f11d221cd3c</t>
        </is>
      </c>
      <c r="BH96" s="24" t="inlineStr">
        <is>
          <t>2026-09-12T16:07:28.570172+00:00</t>
        </is>
      </c>
      <c r="BI96" s="24" t="inlineStr">
        <is>
          <t>["same_event","same_team_same_day","same_league_same_day"]</t>
        </is>
      </c>
      <c r="BJ96" s="25" t="n">
        <v>6</v>
      </c>
      <c r="BK96" s="26" t="n">
        <v>-110</v>
      </c>
      <c r="BL96" s="27" t="n">
        <v>1.909091</v>
      </c>
      <c r="BM96" s="28" t="n">
        <v>0.52381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0.52381</t>
        </is>
      </c>
      <c r="DK96" s="24" t="n"/>
      <c r="DL96" s="24" t="n"/>
      <c r="DM96" s="24" t="n"/>
      <c r="DN96" s="24" t="n"/>
      <c r="DO96" s="24" t="n"/>
      <c r="DP96" s="24" t="n"/>
      <c r="DQ96" s="24" t="inlineStr">
        <is>
          <t>{"artifact_hash": "1d168f11d221cd3c", "event_id": "401858217", "event_start_utc": "2026-09-12T19:30Z", "features": {"altitude_fatigue_penalty": 0.0, "away_team": "Duke Blue Devils", "efficiency_gap": 0.65, "elo_away": 1684.9, "elo_home": 1662.0, "elo_home_win_prob": 0.5603, "event_id": "401858217", "game_start_utc": "2026-09-12T19:30Z", "home_field_advantage_points": 2.8, "home_team": "Illinois Fighting Illini", "is_dome": false, "is_fbs_vs_fcs": false, "is_neutral_site": false, "projected_away_points": 26.5, "projected_home_points": 28.5, "projected_margin_home": 1.9, "projected_possessions": 12.4, "projected_total": 55.0, "stadium_elevation_ft": 730, "travel_distance_miles": 579.0, "uncertainty": 0.165, "weather_total_adjustment": 0.0}, "historical_source_observation_times_verified": false, "inference_inputs": {"engine_source_sha256": "449ba2f0e86fa9c445730076a0e0bf100fb4914620be53c75c6f3bfe24298f3f", "mu_away": 26.5,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149554796472883421131471675916468247703}, "uinteger": 0}, "spread_home_line": -6.0, "total_line": 51.5}, "market_type": "spread", "model_version": "cfb-spread-v1", "observed_at_utc": "2026-09-12T16:07:28.570172+00:00", "probabilities": {"away": 0.584733, "home": 0.392133, "push": 0.023133}, "replay_scope": "Full precision score means, exact engine parameters and original RNG state; upstream feature construction not certified.", "schema": "cfb-joint-replay-v1", "snapshot_hash": "8c99ef70b63a8127801a59d7d191a1380718b7fd185e691026706bbbd62d8400", "sport": "NCAAF"}</t>
        </is>
      </c>
    </row>
    <row r="97" ht="36" customHeight="1">
      <c r="A97" s="24" t="inlineStr">
        <is>
          <t>789e72e5c8124c8a</t>
        </is>
      </c>
      <c r="B97" s="24" t="inlineStr">
        <is>
          <t>2026-09-12T16:07:28.570172Z</t>
        </is>
      </c>
      <c r="C97" s="24" t="inlineStr">
        <is>
          <t>2026-09-12T19:30Z</t>
        </is>
      </c>
      <c r="D97" s="24" t="inlineStr">
        <is>
          <t>401858217</t>
        </is>
      </c>
      <c r="E97" s="24" t="inlineStr">
        <is>
          <t>NCAAF</t>
        </is>
      </c>
      <c r="F97" s="24" t="inlineStr">
        <is>
          <t>Duke Blue Devils</t>
        </is>
      </c>
      <c r="G97" s="24" t="inlineStr">
        <is>
          <t>Illinois Fighting Illini</t>
        </is>
      </c>
      <c r="H97" s="24" t="inlineStr">
        <is>
          <t>total</t>
        </is>
      </c>
      <c r="I97" s="24" t="inlineStr">
        <is>
          <t>over</t>
        </is>
      </c>
      <c r="J97" s="25" t="n">
        <v>51.5</v>
      </c>
      <c r="K97" s="24" t="inlineStr">
        <is>
          <t>espn_consensus</t>
        </is>
      </c>
      <c r="L97" s="26" t="n">
        <v>-112</v>
      </c>
      <c r="M97" s="27" t="n">
        <v>1.892857</v>
      </c>
      <c r="N97" s="28" t="n">
        <v>0.528302</v>
      </c>
      <c r="O97" s="28" t="n">
        <v>0.5562</v>
      </c>
      <c r="P97" s="28" t="n">
        <v>0.165</v>
      </c>
      <c r="Q97" s="28" t="n">
        <v>0.027898</v>
      </c>
      <c r="R97" s="26" t="n">
        <v>0</v>
      </c>
      <c r="S97" s="29" t="n">
        <v>1</v>
      </c>
      <c r="T97" s="24" t="inlineStr">
        <is>
          <t>cfb-total-v1</t>
        </is>
      </c>
      <c r="U97" s="24" t="inlineStr">
        <is>
          <t>settled</t>
        </is>
      </c>
      <c r="V97" s="24" t="inlineStr">
        <is>
          <t>win</t>
        </is>
      </c>
      <c r="W97" s="26" t="n">
        <v>31</v>
      </c>
      <c r="X97" s="26" t="n">
        <v>27</v>
      </c>
      <c r="Y97" s="25" t="n"/>
      <c r="Z97" s="26" t="n"/>
      <c r="AA97" s="28" t="n"/>
      <c r="AB97" s="28" t="n"/>
      <c r="AC97" s="30" t="n">
        <v>0.8929</v>
      </c>
      <c r="AD97" s="24" t="inlineStr">
        <is>
          <t>2026-09-13T04:30:59.121525Z</t>
        </is>
      </c>
      <c r="AE97" s="31" t="inlineStr">
        <is>
          <t>Projected total 55.0 pts (Weather adj: +0.0 pts). Total line 51.5 -&gt; P(Over)=0.556, P(Under)=0.444, P(Push)=0.000.</t>
        </is>
      </c>
      <c r="AF97" s="31" t="inlineStr">
        <is>
          <t>College football model; multi-market (moneyline, spread, total).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Duke Blue Devils</t>
        </is>
      </c>
      <c r="AQ97" s="24" t="inlineStr">
        <is>
          <t>Duke Blue Devils</t>
        </is>
      </c>
      <c r="AR97" s="24" t="inlineStr">
        <is>
          <t>Duke Blue Devils</t>
        </is>
      </c>
      <c r="AS97" s="24" t="inlineStr">
        <is>
          <t>Illinois Fighting Illini</t>
        </is>
      </c>
      <c r="AT97" s="24" t="inlineStr">
        <is>
          <t>Illinois Fighting Illini</t>
        </is>
      </c>
      <c r="AU97" s="24" t="inlineStr">
        <is>
          <t>Illinois Fighting Illini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1d168f11d221cd3c</t>
        </is>
      </c>
      <c r="BB97" s="24" t="inlineStr">
        <is>
          <t>cfb_key_number_engine</t>
        </is>
      </c>
      <c r="BC97" s="24" t="inlineStr">
        <is>
          <t>cfb-total-v1</t>
        </is>
      </c>
      <c r="BD97" s="24" t="inlineStr">
        <is>
          <t>1d168f11d221cd3c</t>
        </is>
      </c>
      <c r="BE97" s="24" t="inlineStr">
        <is>
          <t>cfb-v1</t>
        </is>
      </c>
      <c r="BF97" s="24" t="inlineStr">
        <is>
          <t>1</t>
        </is>
      </c>
      <c r="BG97" s="24" t="inlineStr">
        <is>
          <t>1d168f11d221cd3c</t>
        </is>
      </c>
      <c r="BH97" s="24" t="inlineStr">
        <is>
          <t>2026-09-12T16:07:28.570172+00:00</t>
        </is>
      </c>
      <c r="BI97" s="24" t="inlineStr">
        <is>
          <t>["same_event","same_team_same_day","same_league_same_day"]</t>
        </is>
      </c>
      <c r="BJ97" s="25" t="n">
        <v>51.5</v>
      </c>
      <c r="BK97" s="26" t="n">
        <v>-112</v>
      </c>
      <c r="BL97" s="27" t="n">
        <v>1.892857</v>
      </c>
      <c r="BM97" s="28" t="n">
        <v>0.528302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>
        <v>1</v>
      </c>
      <c r="BY97" s="27" t="n">
        <v>0.892857</v>
      </c>
      <c r="BZ97" s="24" t="inlineStr">
        <is>
          <t>2026-09-13T04:30:59.121525Z</t>
        </is>
      </c>
      <c r="CA97" s="31" t="inlineStr">
        <is>
          <t>fixed one-unit hypothetical scoring; no real exposure or execution</t>
        </is>
      </c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0.528302</t>
        </is>
      </c>
      <c r="DK97" s="24" t="n"/>
      <c r="DL97" s="24" t="n"/>
      <c r="DM97" s="24" t="n"/>
      <c r="DN97" s="24" t="n"/>
      <c r="DO97" s="24" t="n"/>
      <c r="DP97" s="24" t="n"/>
      <c r="DQ97" s="24" t="inlineStr">
        <is>
          <t>{"artifact_hash": "1d168f11d221cd3c", "event_id": "401858217", "event_start_utc": "2026-09-12T19:30Z", "features": {"altitude_fatigue_penalty": 0.0, "away_team": "Duke Blue Devils", "efficiency_gap": 0.65, "elo_away": 1684.9, "elo_home": 1662.0, "elo_home_win_prob": 0.5603, "event_id": "401858217", "game_start_utc": "2026-09-12T19:30Z", "home_field_advantage_points": 2.8, "home_team": "Illinois Fighting Illini", "is_dome": false, "is_fbs_vs_fcs": false, "is_neutral_site": false, "projected_away_points": 26.5, "projected_home_points": 28.5, "projected_margin_home": 1.9, "projected_possessions": 12.4, "projected_total": 55.0, "stadium_elevation_ft": 730, "travel_distance_miles": 579.0, "uncertainty": 0.165, "weather_total_adjustment": 0.0}, "historical_source_observation_times_verified": false, "inference_inputs": {"engine_source_sha256": "449ba2f0e86fa9c445730076a0e0bf100fb4914620be53c75c6f3bfe24298f3f", "mu_away": 26.5,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149554796472883421131471675916468247703}, "uinteger": 0}, "spread_home_line": -6.0, "total_line": 51.5}, "market_type": "total", "model_version": "cfb-total-v1", "observed_at_utc": "2026-09-12T16:07:28.570172+00:00", "probabilities": {"over": 0.5562, "push": 0.0, "under": 0.4438}, "replay_scope": "Full precision score means, exact engine parameters and original RNG state; upstream feature construction not certified.", "schema": "cfb-joint-replay-v1", "snapshot_hash": "231148d628b3d3d2ea62ca022ec1efc36fbeec570b07ff46cc86e7318d0707b4", "sport": "NCAAF"}</t>
        </is>
      </c>
    </row>
    <row r="98" ht="36" customHeight="1">
      <c r="A98" s="24" t="inlineStr">
        <is>
          <t>37251b9f011144b2</t>
        </is>
      </c>
      <c r="B98" s="24" t="inlineStr">
        <is>
          <t>2026-09-12T16:07:28.570172Z</t>
        </is>
      </c>
      <c r="C98" s="24" t="inlineStr">
        <is>
          <t>2026-09-12T19:30Z</t>
        </is>
      </c>
      <c r="D98" s="24" t="inlineStr">
        <is>
          <t>401858440</t>
        </is>
      </c>
      <c r="E98" s="24" t="inlineStr">
        <is>
          <t>NCAAF</t>
        </is>
      </c>
      <c r="F98" s="24" t="inlineStr">
        <is>
          <t>Eastern Michigan Eagles</t>
        </is>
      </c>
      <c r="G98" s="24" t="inlineStr">
        <is>
          <t>Michigan State Spartans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espn_consensus</t>
        </is>
      </c>
      <c r="L98" s="26" t="n">
        <v>-850</v>
      </c>
      <c r="M98" s="27" t="n">
        <v>1.117647</v>
      </c>
      <c r="N98" s="28" t="n">
        <v>0.894737</v>
      </c>
      <c r="O98" s="28" t="n">
        <v>0.611421</v>
      </c>
      <c r="P98" s="28" t="n">
        <v>0.165</v>
      </c>
      <c r="Q98" s="28" t="n">
        <v>-0.283316</v>
      </c>
      <c r="R98" s="26" t="n">
        <v>0</v>
      </c>
      <c r="S98" s="29" t="n">
        <v>1</v>
      </c>
      <c r="T98" s="24" t="inlineStr">
        <is>
          <t>college-football-v1</t>
        </is>
      </c>
      <c r="U98" s="24" t="inlineStr">
        <is>
          <t>settled</t>
        </is>
      </c>
      <c r="V98" s="24" t="inlineStr">
        <is>
          <t>win</t>
        </is>
      </c>
      <c r="W98" s="26" t="n">
        <v>7</v>
      </c>
      <c r="X98" s="26" t="n">
        <v>35</v>
      </c>
      <c r="Y98" s="25" t="n"/>
      <c r="Z98" s="26" t="n"/>
      <c r="AA98" s="28" t="n"/>
      <c r="AB98" s="28" t="n"/>
      <c r="AC98" s="30" t="n">
        <v>0.1176</v>
      </c>
      <c r="AD98" s="24" t="inlineStr">
        <is>
          <t>2026-09-13T04:30:59.488919Z</t>
        </is>
      </c>
      <c r="AE98" s="31" t="inlineStr">
        <is>
          <t>CFB Joint Model (negative_binomial): proj score Eastern Michigan Eagles 24.7 @ Michigan State Spartans 29.3 (Margin +4.6). Possessions: 12.4, HFA: +2.8 pts.</t>
        </is>
      </c>
      <c r="AF98" s="31" t="inlineStr">
        <is>
          <t>College football model; multi-market (moneyline, spread, total).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Eastern Michigan Eagles</t>
        </is>
      </c>
      <c r="AQ98" s="24" t="inlineStr">
        <is>
          <t>Eastern Michigan Eagles</t>
        </is>
      </c>
      <c r="AR98" s="24" t="inlineStr">
        <is>
          <t>Eastern Michigan Eagles</t>
        </is>
      </c>
      <c r="AS98" s="24" t="inlineStr">
        <is>
          <t>Michigan State Spartans</t>
        </is>
      </c>
      <c r="AT98" s="24" t="inlineStr">
        <is>
          <t>Michigan State Spartans</t>
        </is>
      </c>
      <c r="AU98" s="24" t="inlineStr">
        <is>
          <t>Michigan State Spartans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1d168f11d221cd3c</t>
        </is>
      </c>
      <c r="BB98" s="24" t="inlineStr">
        <is>
          <t>cfb_key_number_engine</t>
        </is>
      </c>
      <c r="BC98" s="24" t="inlineStr">
        <is>
          <t>college-football-v1</t>
        </is>
      </c>
      <c r="BD98" s="24" t="inlineStr">
        <is>
          <t>1d168f11d221cd3c</t>
        </is>
      </c>
      <c r="BE98" s="24" t="inlineStr">
        <is>
          <t>cfb-v1</t>
        </is>
      </c>
      <c r="BF98" s="24" t="inlineStr">
        <is>
          <t>1</t>
        </is>
      </c>
      <c r="BG98" s="24" t="inlineStr">
        <is>
          <t>1d168f11d221cd3c</t>
        </is>
      </c>
      <c r="BH98" s="24" t="inlineStr">
        <is>
          <t>2026-09-12T16:07:28.570172+00:00</t>
        </is>
      </c>
      <c r="BI98" s="24" t="inlineStr">
        <is>
          <t>["same_event","same_team_same_day","same_league_same_day"]</t>
        </is>
      </c>
      <c r="BJ98" s="25" t="n"/>
      <c r="BK98" s="26" t="n">
        <v>-850</v>
      </c>
      <c r="BL98" s="27" t="n">
        <v>1.117647</v>
      </c>
      <c r="BM98" s="28" t="n">
        <v>0.894737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>
        <v>1</v>
      </c>
      <c r="BY98" s="27" t="n">
        <v>0.117647</v>
      </c>
      <c r="BZ98" s="24" t="inlineStr">
        <is>
          <t>2026-09-13T04:30:59.488919Z</t>
        </is>
      </c>
      <c r="CA98" s="31" t="inlineStr">
        <is>
          <t>fixed one-unit hypothetical scoring; no real exposure or execution</t>
        </is>
      </c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0.894737</t>
        </is>
      </c>
      <c r="DK98" s="24" t="n"/>
      <c r="DL98" s="24" t="n"/>
      <c r="DM98" s="24" t="n"/>
      <c r="DN98" s="24" t="n"/>
      <c r="DO98" s="24" t="n"/>
      <c r="DP98" s="24" t="n"/>
      <c r="DQ98" s="24" t="inlineStr">
        <is>
          <t>{"artifact_hash": "1d168f11d221cd3c", "event_id": "401858440", "event_start_utc": "2026-09-12T19:30Z", "features": {"altitude_fatigue_penalty": 0.0, "away_team": "Eastern Michigan Eagles", "efficiency_gap": 2.031, "elo_away": 1339.9, "elo_home": 1375.8, "elo_home_win_prob": 0.6412, "event_id": "401858440", "game_start_utc": "2026-09-12T19:30Z", "home_field_advantage_points": 2.8, "home_team": "Michigan State Spartans", "is_dome": false, "is_fbs_vs_fcs": false, "is_neutral_site": false, "projected_away_points": 24.7, "projected_home_points": 29.3, "projected_margin_home": 4.6, "projected_possessions": 12.4, "projected_total": 54.0, "stadium_elevation_ft": 850, "travel_distance_miles": 55.0, "uncertainty": 0.165, "weather_total_adjustment": 0.0}, "historical_source_observation_times_verified": false, "inference_inputs": {"engine_source_sha256": "449ba2f0e86fa9c445730076a0e0bf100fb4914620be53c75c6f3bfe24298f3f", "mu_away": 24.7, "mu_home": 29.3,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185100972025663723514018208817011794373}, "uinteger": 0}, "spread_home_line": -17.5, "total_line": 49.5}, "market_type": "moneyline", "model_version": "college-football-v1", "observed_at_utc": "2026-09-12T16:07:28.570172+00:00", "probabilities": {"away": 0.388579, "home": 0.611421}, "replay_scope": "Full precision score means, exact engine parameters and original RNG state; upstream feature construction not certified.", "schema": "cfb-joint-replay-v1", "snapshot_hash": "fee6ef52034cca25d0ba8929f429fa089b90e4de42a028109891912df480d615", "sport": "NCAAF"}</t>
        </is>
      </c>
    </row>
    <row r="99" ht="36" customHeight="1">
      <c r="A99" s="24" t="inlineStr">
        <is>
          <t>f3a16068121141a4</t>
        </is>
      </c>
      <c r="B99" s="24" t="inlineStr">
        <is>
          <t>2026-09-12T16:07:28.570172Z</t>
        </is>
      </c>
      <c r="C99" s="24" t="inlineStr">
        <is>
          <t>2026-09-12T19:30Z</t>
        </is>
      </c>
      <c r="D99" s="24" t="inlineStr">
        <is>
          <t>401858440</t>
        </is>
      </c>
      <c r="E99" s="24" t="inlineStr">
        <is>
          <t>NCAAF</t>
        </is>
      </c>
      <c r="F99" s="24" t="inlineStr">
        <is>
          <t>Eastern Michigan Eagles</t>
        </is>
      </c>
      <c r="G99" s="24" t="inlineStr">
        <is>
          <t>Michigan State Spartans</t>
        </is>
      </c>
      <c r="H99" s="24" t="inlineStr">
        <is>
          <t>spread</t>
        </is>
      </c>
      <c r="I99" s="24" t="inlineStr">
        <is>
          <t>away</t>
        </is>
      </c>
      <c r="J99" s="25" t="n">
        <v>17.5</v>
      </c>
      <c r="K99" s="24" t="inlineStr">
        <is>
          <t>espn_consensus</t>
        </is>
      </c>
      <c r="L99" s="26" t="n">
        <v>-112</v>
      </c>
      <c r="M99" s="27" t="n">
        <v>1.892857</v>
      </c>
      <c r="N99" s="28" t="n">
        <v>0.528302</v>
      </c>
      <c r="O99" s="28" t="n">
        <v>0.790467</v>
      </c>
      <c r="P99" s="28" t="n">
        <v>0.165</v>
      </c>
      <c r="Q99" s="28" t="n">
        <v>0.262165</v>
      </c>
      <c r="R99" s="26" t="n">
        <v>82</v>
      </c>
      <c r="S99" s="29" t="n">
        <v>1.75</v>
      </c>
      <c r="T99" s="24" t="inlineStr">
        <is>
          <t>cfb-spread-v1</t>
        </is>
      </c>
      <c r="U99" s="24" t="inlineStr">
        <is>
          <t>settled</t>
        </is>
      </c>
      <c r="V99" s="24" t="inlineStr">
        <is>
          <t>loss</t>
        </is>
      </c>
      <c r="W99" s="26" t="n">
        <v>7</v>
      </c>
      <c r="X99" s="26" t="n">
        <v>35</v>
      </c>
      <c r="Y99" s="25" t="n"/>
      <c r="Z99" s="26" t="n"/>
      <c r="AA99" s="28" t="n"/>
      <c r="AB99" s="28" t="n"/>
      <c r="AC99" s="30" t="n">
        <v>-1.75</v>
      </c>
      <c r="AD99" s="24" t="inlineStr">
        <is>
          <t>2026-09-13T04:30:59.819800Z</t>
        </is>
      </c>
      <c r="AE99" s="31" t="inlineStr">
        <is>
          <t>Projected home margin +4.6 pts. Spread: Home -17.5 / Away +17.5 -&gt; P(Away cover)=0.790, P(Home cover)=0.210, P(Push)=0.000.</t>
        </is>
      </c>
      <c r="AF99" s="31" t="inlineStr">
        <is>
          <t>College football model; multi-market (moneyline, spread, total).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4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Eastern Michigan Eagles</t>
        </is>
      </c>
      <c r="AQ99" s="24" t="inlineStr">
        <is>
          <t>Eastern Michigan Eagles</t>
        </is>
      </c>
      <c r="AR99" s="24" t="inlineStr">
        <is>
          <t>Eastern Michigan Eagles</t>
        </is>
      </c>
      <c r="AS99" s="24" t="inlineStr">
        <is>
          <t>Michigan State Spartans</t>
        </is>
      </c>
      <c r="AT99" s="24" t="inlineStr">
        <is>
          <t>Michigan State Spartans</t>
        </is>
      </c>
      <c r="AU99" s="24" t="inlineStr">
        <is>
          <t>Michigan State Spartans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1d168f11d221cd3c</t>
        </is>
      </c>
      <c r="BB99" s="24" t="inlineStr">
        <is>
          <t>cfb_key_number_engine</t>
        </is>
      </c>
      <c r="BC99" s="24" t="inlineStr">
        <is>
          <t>cfb-spread-v1</t>
        </is>
      </c>
      <c r="BD99" s="24" t="inlineStr">
        <is>
          <t>1d168f11d221cd3c</t>
        </is>
      </c>
      <c r="BE99" s="24" t="inlineStr">
        <is>
          <t>cfb-v1</t>
        </is>
      </c>
      <c r="BF99" s="24" t="inlineStr">
        <is>
          <t>1</t>
        </is>
      </c>
      <c r="BG99" s="24" t="inlineStr">
        <is>
          <t>1d168f11d221cd3c</t>
        </is>
      </c>
      <c r="BH99" s="24" t="inlineStr">
        <is>
          <t>2026-09-12T16:07:28.570172+00:00</t>
        </is>
      </c>
      <c r="BI99" s="24" t="inlineStr">
        <is>
          <t>["same_event","same_team_same_day","same_league_same_day"]</t>
        </is>
      </c>
      <c r="BJ99" s="25" t="n">
        <v>17.5</v>
      </c>
      <c r="BK99" s="26" t="n">
        <v>-112</v>
      </c>
      <c r="BL99" s="27" t="n">
        <v>1.892857</v>
      </c>
      <c r="BM99" s="28" t="n">
        <v>0.528302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0.528302</t>
        </is>
      </c>
      <c r="DK99" s="24" t="n"/>
      <c r="DL99" s="24" t="n"/>
      <c r="DM99" s="24" t="n"/>
      <c r="DN99" s="24" t="n"/>
      <c r="DO99" s="24" t="n"/>
      <c r="DP99" s="24" t="n"/>
      <c r="DQ99" s="24" t="inlineStr">
        <is>
          <t>{"artifact_hash": "1d168f11d221cd3c", "event_id": "401858440", "event_start_utc": "2026-09-12T19:30Z", "features": {"altitude_fatigue_penalty": 0.0, "away_team": "Eastern Michigan Eagles", "efficiency_gap": 2.031, "elo_away": 1339.9, "elo_home": 1375.8, "elo_home_win_prob": 0.6412, "event_id": "401858440", "game_start_utc": "2026-09-12T19:30Z", "home_field_advantage_points": 2.8, "home_team": "Michigan State Spartans", "is_dome": false, "is_fbs_vs_fcs": false, "is_neutral_site": false, "projected_away_points": 24.7, "projected_home_points": 29.3, "projected_margin_home": 4.6, "projected_possessions": 12.4, "projected_total": 54.0, "stadium_elevation_ft": 850, "travel_distance_miles": 55.0, "uncertainty": 0.165, "weather_total_adjustment": 0.0}, "historical_source_observation_times_verified": false, "inference_inputs": {"engine_source_sha256": "449ba2f0e86fa9c445730076a0e0bf100fb4914620be53c75c6f3bfe24298f3f", "mu_away": 24.7, "mu_home": 29.3,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185100972025663723514018208817011794373}, "uinteger": 0}, "spread_home_line": -17.5, "total_line": 49.5}, "market_type": "spread", "model_version": "cfb-spread-v1", "observed_at_utc": "2026-09-12T16:07:28.570172+00:00", "probabilities": {"away": 0.790467, "home": 0.209533, "push": 0.0}, "replay_scope": "Full precision score means, exact engine parameters and original RNG state; upstream feature construction not certified.", "schema": "cfb-joint-replay-v1", "snapshot_hash": "56cfa46b63ed71d1e3a7ac3030753539a5cf48fc8adb74dc00efa7b23ead0646", "sport": "NCAAF"}</t>
        </is>
      </c>
    </row>
    <row r="100" ht="36" customHeight="1">
      <c r="A100" s="24" t="inlineStr">
        <is>
          <t>2c9f5506e4144bdc</t>
        </is>
      </c>
      <c r="B100" s="24" t="inlineStr">
        <is>
          <t>2026-09-12T16:07:28.570172Z</t>
        </is>
      </c>
      <c r="C100" s="24" t="inlineStr">
        <is>
          <t>2026-09-12T19:30Z</t>
        </is>
      </c>
      <c r="D100" s="24" t="inlineStr">
        <is>
          <t>401858440</t>
        </is>
      </c>
      <c r="E100" s="24" t="inlineStr">
        <is>
          <t>NCAAF</t>
        </is>
      </c>
      <c r="F100" s="24" t="inlineStr">
        <is>
          <t>Eastern Michigan Eagles</t>
        </is>
      </c>
      <c r="G100" s="24" t="inlineStr">
        <is>
          <t>Michigan State Spartans</t>
        </is>
      </c>
      <c r="H100" s="24" t="inlineStr">
        <is>
          <t>total</t>
        </is>
      </c>
      <c r="I100" s="24" t="inlineStr">
        <is>
          <t>over</t>
        </is>
      </c>
      <c r="J100" s="25" t="n">
        <v>49.5</v>
      </c>
      <c r="K100" s="24" t="inlineStr">
        <is>
          <t>espn_consensus</t>
        </is>
      </c>
      <c r="L100" s="26" t="n">
        <v>-110</v>
      </c>
      <c r="M100" s="27" t="n">
        <v>1.909091</v>
      </c>
      <c r="N100" s="28" t="n">
        <v>0.52381</v>
      </c>
      <c r="O100" s="28" t="n">
        <v>0.566133</v>
      </c>
      <c r="P100" s="28" t="n">
        <v>0.165</v>
      </c>
      <c r="Q100" s="28" t="n">
        <v>0.042323</v>
      </c>
      <c r="R100" s="26" t="n">
        <v>0</v>
      </c>
      <c r="S100" s="29" t="n">
        <v>1</v>
      </c>
      <c r="T100" s="24" t="inlineStr">
        <is>
          <t>cfb-total-v1</t>
        </is>
      </c>
      <c r="U100" s="24" t="inlineStr">
        <is>
          <t>settled</t>
        </is>
      </c>
      <c r="V100" s="24" t="inlineStr">
        <is>
          <t>loss</t>
        </is>
      </c>
      <c r="W100" s="26" t="n">
        <v>7</v>
      </c>
      <c r="X100" s="26" t="n">
        <v>35</v>
      </c>
      <c r="Y100" s="25" t="n"/>
      <c r="Z100" s="26" t="n"/>
      <c r="AA100" s="28" t="n"/>
      <c r="AB100" s="28" t="n"/>
      <c r="AC100" s="30" t="n">
        <v>-1</v>
      </c>
      <c r="AD100" s="24" t="inlineStr">
        <is>
          <t>2026-09-13T04:31:00.215221Z</t>
        </is>
      </c>
      <c r="AE100" s="31" t="inlineStr">
        <is>
          <t>Projected total 54.0 pts (Weather adj: +0.0 pts). Total line 49.5 -&gt; P(Over)=0.566, P(Under)=0.434, P(Push)=0.000.</t>
        </is>
      </c>
      <c r="AF100" s="31" t="inlineStr">
        <is>
          <t>College football model; multi-market (moneyline, spread, total).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4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Eastern Michigan Eagles</t>
        </is>
      </c>
      <c r="AQ100" s="24" t="inlineStr">
        <is>
          <t>Eastern Michigan Eagles</t>
        </is>
      </c>
      <c r="AR100" s="24" t="inlineStr">
        <is>
          <t>Eastern Michigan Eagles</t>
        </is>
      </c>
      <c r="AS100" s="24" t="inlineStr">
        <is>
          <t>Michigan State Spartans</t>
        </is>
      </c>
      <c r="AT100" s="24" t="inlineStr">
        <is>
          <t>Michigan State Spartans</t>
        </is>
      </c>
      <c r="AU100" s="24" t="inlineStr">
        <is>
          <t>Michigan State Spartans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1d168f11d221cd3c</t>
        </is>
      </c>
      <c r="BB100" s="24" t="inlineStr">
        <is>
          <t>cfb_key_number_engine</t>
        </is>
      </c>
      <c r="BC100" s="24" t="inlineStr">
        <is>
          <t>cfb-total-v1</t>
        </is>
      </c>
      <c r="BD100" s="24" t="inlineStr">
        <is>
          <t>1d168f11d221cd3c</t>
        </is>
      </c>
      <c r="BE100" s="24" t="inlineStr">
        <is>
          <t>cfb-v1</t>
        </is>
      </c>
      <c r="BF100" s="24" t="inlineStr">
        <is>
          <t>1</t>
        </is>
      </c>
      <c r="BG100" s="24" t="inlineStr">
        <is>
          <t>1d168f11d221cd3c</t>
        </is>
      </c>
      <c r="BH100" s="24" t="inlineStr">
        <is>
          <t>2026-09-12T16:07:28.570172+00:00</t>
        </is>
      </c>
      <c r="BI100" s="24" t="inlineStr">
        <is>
          <t>["same_event","same_team_same_day","same_league_same_day"]</t>
        </is>
      </c>
      <c r="BJ100" s="25" t="n">
        <v>49.5</v>
      </c>
      <c r="BK100" s="26" t="n">
        <v>-110</v>
      </c>
      <c r="BL100" s="27" t="n">
        <v>1.909091</v>
      </c>
      <c r="BM100" s="28" t="n">
        <v>0.52381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0.52381</t>
        </is>
      </c>
      <c r="DK100" s="24" t="n"/>
      <c r="DL100" s="24" t="n"/>
      <c r="DM100" s="24" t="n"/>
      <c r="DN100" s="24" t="n"/>
      <c r="DO100" s="24" t="n"/>
      <c r="DP100" s="24" t="n"/>
      <c r="DQ100" s="24" t="inlineStr">
        <is>
          <t>{"artifact_hash": "1d168f11d221cd3c", "event_id": "401858440", "event_start_utc": "2026-09-12T19:30Z", "features": {"altitude_fatigue_penalty": 0.0, "away_team": "Eastern Michigan Eagles", "efficiency_gap": 2.031, "elo_away": 1339.9, "elo_home": 1375.8, "elo_home_win_prob": 0.6412, "event_id": "401858440", "game_start_utc": "2026-09-12T19:30Z", "home_field_advantage_points": 2.8, "home_team": "Michigan State Spartans", "is_dome": false, "is_fbs_vs_fcs": false, "is_neutral_site": false, "projected_away_points": 24.7, "projected_home_points": 29.3, "projected_margin_home": 4.6, "projected_possessions": 12.4, "projected_total": 54.0, "stadium_elevation_ft": 850, "travel_distance_miles": 55.0, "uncertainty": 0.165, "weather_total_adjustment": 0.0}, "historical_source_observation_times_verified": false, "inference_inputs": {"engine_source_sha256": "449ba2f0e86fa9c445730076a0e0bf100fb4914620be53c75c6f3bfe24298f3f", "mu_away": 24.7, "mu_home": 29.3,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185100972025663723514018208817011794373}, "uinteger": 0}, "spread_home_line": -17.5, "total_line": 49.5}, "market_type": "total", "model_version": "cfb-total-v1", "observed_at_utc": "2026-09-12T16:07:28.570172+00:00", "probabilities": {"over": 0.566133, "push": 0.0, "under": 0.433867}, "replay_scope": "Full precision score means, exact engine parameters and original RNG state; upstream feature construction not certified.", "schema": "cfb-joint-replay-v1", "snapshot_hash": "8b097896e354073f87ae6151fbc131928cd97001742463c3523efec540e7c978", "sport": "NCAAF"}</t>
        </is>
      </c>
    </row>
    <row r="101" ht="36" customHeight="1">
      <c r="A101" s="24" t="inlineStr">
        <is>
          <t>26c9500a2ef84b03</t>
        </is>
      </c>
      <c r="B101" s="24" t="inlineStr">
        <is>
          <t>2026-09-12T16:07:28.570172Z</t>
        </is>
      </c>
      <c r="C101" s="24" t="inlineStr">
        <is>
          <t>2026-09-12T19:30Z</t>
        </is>
      </c>
      <c r="D101" s="24" t="inlineStr">
        <is>
          <t>401858444</t>
        </is>
      </c>
      <c r="E101" s="24" t="inlineStr">
        <is>
          <t>NCAAF</t>
        </is>
      </c>
      <c r="F101" s="24" t="inlineStr">
        <is>
          <t>Maryland Terrapins</t>
        </is>
      </c>
      <c r="G101" s="24" t="inlineStr">
        <is>
          <t>UConn Huskies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espn_consensus</t>
        </is>
      </c>
      <c r="L101" s="26" t="n">
        <v>360</v>
      </c>
      <c r="M101" s="27" t="n">
        <v>4.6</v>
      </c>
      <c r="N101" s="28" t="n">
        <v>0.217391</v>
      </c>
      <c r="O101" s="28" t="n">
        <v>0.873787</v>
      </c>
      <c r="P101" s="28" t="n">
        <v>0.18</v>
      </c>
      <c r="Q101" s="28" t="n">
        <v>0.656396</v>
      </c>
      <c r="R101" s="26" t="n">
        <v>100</v>
      </c>
      <c r="S101" s="29" t="n">
        <v>2</v>
      </c>
      <c r="T101" s="24" t="inlineStr">
        <is>
          <t>college-football-v1</t>
        </is>
      </c>
      <c r="U101" s="24" t="inlineStr">
        <is>
          <t>settled</t>
        </is>
      </c>
      <c r="V101" s="24" t="inlineStr">
        <is>
          <t>loss</t>
        </is>
      </c>
      <c r="W101" s="26" t="n">
        <v>38</v>
      </c>
      <c r="X101" s="26" t="n">
        <v>14</v>
      </c>
      <c r="Y101" s="25" t="n"/>
      <c r="Z101" s="26" t="n"/>
      <c r="AA101" s="28" t="n"/>
      <c r="AB101" s="28" t="n"/>
      <c r="AC101" s="30" t="n">
        <v>-2</v>
      </c>
      <c r="AD101" s="24" t="inlineStr">
        <is>
          <t>2026-09-13T04:31:00.670015Z</t>
        </is>
      </c>
      <c r="AE101" s="31" t="inlineStr">
        <is>
          <t>CFB Joint Model (negative_binomial): proj score Maryland Terrapins 18.0 @ UConn Huskies 36.9 (Margin +18.9). Possessions: 12.4, HFA: +2.8 pts.</t>
        </is>
      </c>
      <c r="AF101" s="31" t="inlineStr">
        <is>
          <t>College football model; multi-market (moneyline, spread, total).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4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Maryland Terrapins</t>
        </is>
      </c>
      <c r="AQ101" s="24" t="inlineStr">
        <is>
          <t>Maryland Terrapins</t>
        </is>
      </c>
      <c r="AR101" s="24" t="inlineStr">
        <is>
          <t>Maryland Terrapins</t>
        </is>
      </c>
      <c r="AS101" s="24" t="inlineStr">
        <is>
          <t>UConn Huskies</t>
        </is>
      </c>
      <c r="AT101" s="24" t="inlineStr">
        <is>
          <t>UConn Huskies</t>
        </is>
      </c>
      <c r="AU101" s="24" t="inlineStr">
        <is>
          <t>UConn Huskies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1d168f11d221cd3c</t>
        </is>
      </c>
      <c r="BB101" s="24" t="inlineStr">
        <is>
          <t>cfb_key_number_engine</t>
        </is>
      </c>
      <c r="BC101" s="24" t="inlineStr">
        <is>
          <t>college-football-v1</t>
        </is>
      </c>
      <c r="BD101" s="24" t="inlineStr">
        <is>
          <t>1d168f11d221cd3c</t>
        </is>
      </c>
      <c r="BE101" s="24" t="inlineStr">
        <is>
          <t>cfb-v1</t>
        </is>
      </c>
      <c r="BF101" s="24" t="inlineStr">
        <is>
          <t>1</t>
        </is>
      </c>
      <c r="BG101" s="24" t="inlineStr">
        <is>
          <t>1d168f11d221cd3c</t>
        </is>
      </c>
      <c r="BH101" s="24" t="inlineStr">
        <is>
          <t>2026-09-12T16:07:28.570172+00:00</t>
        </is>
      </c>
      <c r="BI101" s="24" t="inlineStr">
        <is>
          <t>["same_event","same_team_same_day","same_league_same_day"]</t>
        </is>
      </c>
      <c r="BJ101" s="25" t="n"/>
      <c r="BK101" s="26" t="n">
        <v>360</v>
      </c>
      <c r="BL101" s="27" t="n">
        <v>4.6</v>
      </c>
      <c r="BM101" s="28" t="n">
        <v>0.217391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0.217391</t>
        </is>
      </c>
      <c r="DK101" s="24" t="n"/>
      <c r="DL101" s="24" t="n"/>
      <c r="DM101" s="24" t="n"/>
      <c r="DN101" s="24" t="n"/>
      <c r="DO101" s="24" t="n"/>
      <c r="DP101" s="24" t="n"/>
      <c r="DQ101" s="24" t="inlineStr">
        <is>
          <t>{"artifact_hash": "1d168f11d221cd3c", "event_id": "401858444", "event_start_utc": "2026-09-12T19:30Z", "features": {"altitude_fatigue_penalty": 0.0, "away_team": "Maryland Terrapins", "efficiency_gap": -0.784, "elo_away": 1224.9, "elo_home": 1622.7, "elo_home_win_prob": 0.9349, "event_id": "401858444", "game_start_utc": "2026-09-12T19:30Z", "home_field_advantage_points": 2.8, "home_team": "UConn Huskies", "is_dome": false, "is_fbs_vs_fcs": false, "is_neutral_site": false, "projected_away_points": 18.0, "projected_home_points": 36.9, "projected_margin_home": 18.9, "projected_possessions": 12.4, "projected_total": 54.9, "stadium_elevation_ft": 43, "travel_distance_miles": 297.0, "uncertainty": 0.18, "weather_total_adjustment": 0.0}, "historical_source_observation_times_verified": false, "inference_inputs": {"engine_source_sha256": "449ba2f0e86fa9c445730076a0e0bf100fb4914620be53c75c6f3bfe24298f3f", "mu_away": 18.0, "mu_home": 36.9,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201061438739115341675310244143127330001}, "uinteger": 0}, "spread_home_line": 11.5, "total_line": 52.5}, "market_type": "moneyline", "model_version": "college-football-v1", "observed_at_utc": "2026-09-12T16:07:28.570172+00:00", "probabilities": {"away": 0.126213, "home": 0.873787}, "replay_scope": "Full precision score means, exact engine parameters and original RNG state; upstream feature construction not certified.", "schema": "cfb-joint-replay-v1", "snapshot_hash": "3a3636fa82893e00171e4d76b1b11528e246dd77826baed447b4b4c61d9c5097", "sport": "NCAAF"}</t>
        </is>
      </c>
    </row>
    <row r="102" ht="36" customHeight="1">
      <c r="A102" s="24" t="inlineStr">
        <is>
          <t>8162070914c743da</t>
        </is>
      </c>
      <c r="B102" s="24" t="inlineStr">
        <is>
          <t>2026-09-12T16:07:28.570172Z</t>
        </is>
      </c>
      <c r="C102" s="24" t="inlineStr">
        <is>
          <t>2026-09-12T19:30Z</t>
        </is>
      </c>
      <c r="D102" s="24" t="inlineStr">
        <is>
          <t>401858444</t>
        </is>
      </c>
      <c r="E102" s="24" t="inlineStr">
        <is>
          <t>NCAAF</t>
        </is>
      </c>
      <c r="F102" s="24" t="inlineStr">
        <is>
          <t>Maryland Terrapins</t>
        </is>
      </c>
      <c r="G102" s="24" t="inlineStr">
        <is>
          <t>UConn Huskies</t>
        </is>
      </c>
      <c r="H102" s="24" t="inlineStr">
        <is>
          <t>spread</t>
        </is>
      </c>
      <c r="I102" s="24" t="inlineStr">
        <is>
          <t>home</t>
        </is>
      </c>
      <c r="J102" s="25" t="n">
        <v>11.5</v>
      </c>
      <c r="K102" s="24" t="inlineStr">
        <is>
          <t>espn_consensus</t>
        </is>
      </c>
      <c r="L102" s="26" t="n">
        <v>-108</v>
      </c>
      <c r="M102" s="27" t="n">
        <v>1.925926</v>
      </c>
      <c r="N102" s="28" t="n">
        <v>0.519231</v>
      </c>
      <c r="O102" s="28" t="n">
        <v>0.9588</v>
      </c>
      <c r="P102" s="28" t="n">
        <v>0.18</v>
      </c>
      <c r="Q102" s="28" t="n">
        <v>0.439569</v>
      </c>
      <c r="R102" s="26" t="n">
        <v>100</v>
      </c>
      <c r="S102" s="29" t="n">
        <v>2</v>
      </c>
      <c r="T102" s="24" t="inlineStr">
        <is>
          <t>cfb-spread-v1</t>
        </is>
      </c>
      <c r="U102" s="24" t="inlineStr">
        <is>
          <t>settled</t>
        </is>
      </c>
      <c r="V102" s="24" t="inlineStr">
        <is>
          <t>loss</t>
        </is>
      </c>
      <c r="W102" s="26" t="n">
        <v>38</v>
      </c>
      <c r="X102" s="26" t="n">
        <v>14</v>
      </c>
      <c r="Y102" s="25" t="n"/>
      <c r="Z102" s="26" t="n"/>
      <c r="AA102" s="28" t="n"/>
      <c r="AB102" s="28" t="n"/>
      <c r="AC102" s="30" t="n">
        <v>-2</v>
      </c>
      <c r="AD102" s="24" t="inlineStr">
        <is>
          <t>2026-09-13T04:31:01.009183Z</t>
        </is>
      </c>
      <c r="AE102" s="31" t="inlineStr">
        <is>
          <t>Projected home margin +18.9 pts. Spread: Home +11.5 / Away -11.5 -&gt; P(Away cover)=0.041, P(Home cover)=0.959, P(Push)=0.000.</t>
        </is>
      </c>
      <c r="AF102" s="31" t="inlineStr">
        <is>
          <t>College football model; multi-market (moneyline, spread, total).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4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Maryland Terrapins</t>
        </is>
      </c>
      <c r="AQ102" s="24" t="inlineStr">
        <is>
          <t>Maryland Terrapins</t>
        </is>
      </c>
      <c r="AR102" s="24" t="inlineStr">
        <is>
          <t>Maryland Terrapins</t>
        </is>
      </c>
      <c r="AS102" s="24" t="inlineStr">
        <is>
          <t>UConn Huskies</t>
        </is>
      </c>
      <c r="AT102" s="24" t="inlineStr">
        <is>
          <t>UConn Huskies</t>
        </is>
      </c>
      <c r="AU102" s="24" t="inlineStr">
        <is>
          <t>UConn Huskies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1d168f11d221cd3c</t>
        </is>
      </c>
      <c r="BB102" s="24" t="inlineStr">
        <is>
          <t>cfb_key_number_engine</t>
        </is>
      </c>
      <c r="BC102" s="24" t="inlineStr">
        <is>
          <t>cfb-spread-v1</t>
        </is>
      </c>
      <c r="BD102" s="24" t="inlineStr">
        <is>
          <t>1d168f11d221cd3c</t>
        </is>
      </c>
      <c r="BE102" s="24" t="inlineStr">
        <is>
          <t>cfb-v1</t>
        </is>
      </c>
      <c r="BF102" s="24" t="inlineStr">
        <is>
          <t>1</t>
        </is>
      </c>
      <c r="BG102" s="24" t="inlineStr">
        <is>
          <t>1d168f11d221cd3c</t>
        </is>
      </c>
      <c r="BH102" s="24" t="inlineStr">
        <is>
          <t>2026-09-12T16:07:28.570172+00:00</t>
        </is>
      </c>
      <c r="BI102" s="24" t="inlineStr">
        <is>
          <t>["same_event","same_team_same_day","same_league_same_day"]</t>
        </is>
      </c>
      <c r="BJ102" s="25" t="n">
        <v>11.5</v>
      </c>
      <c r="BK102" s="26" t="n">
        <v>-108</v>
      </c>
      <c r="BL102" s="27" t="n">
        <v>1.925926</v>
      </c>
      <c r="BM102" s="28" t="n">
        <v>0.519231</v>
      </c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0.519231</t>
        </is>
      </c>
      <c r="DK102" s="24" t="n"/>
      <c r="DL102" s="24" t="n"/>
      <c r="DM102" s="24" t="n"/>
      <c r="DN102" s="24" t="n"/>
      <c r="DO102" s="24" t="n"/>
      <c r="DP102" s="24" t="n"/>
      <c r="DQ102" s="24" t="inlineStr">
        <is>
          <t>{"artifact_hash": "1d168f11d221cd3c", "event_id": "401858444", "event_start_utc": "2026-09-12T19:30Z", "features": {"altitude_fatigue_penalty": 0.0, "away_team": "Maryland Terrapins", "efficiency_gap": -0.784, "elo_away": 1224.9, "elo_home": 1622.7, "elo_home_win_prob": 0.9349, "event_id": "401858444", "game_start_utc": "2026-09-12T19:30Z", "home_field_advantage_points": 2.8, "home_team": "UConn Huskies", "is_dome": false, "is_fbs_vs_fcs": false, "is_neutral_site": false, "projected_away_points": 18.0, "projected_home_points": 36.9, "projected_margin_home": 18.9, "projected_possessions": 12.4, "projected_total": 54.9, "stadium_elevation_ft": 43, "travel_distance_miles": 297.0, "uncertainty": 0.18, "weather_total_adjustment": 0.0}, "historical_source_observation_times_verified": false, "inference_inputs": {"engine_source_sha256": "449ba2f0e86fa9c445730076a0e0bf100fb4914620be53c75c6f3bfe24298f3f", "mu_away": 18.0, "mu_home": 36.9,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201061438739115341675310244143127330001}, "uinteger": 0}, "spread_home_line": 11.5, "total_line": 52.5}, "market_type": "spread", "model_version": "cfb-spread-v1", "observed_at_utc": "2026-09-12T16:07:28.570172+00:00", "probabilities": {"away": 0.0412, "home": 0.9588, "push": 0.0}, "replay_scope": "Full precision score means, exact engine parameters and original RNG state; upstream feature construction not certified.", "schema": "cfb-joint-replay-v1", "snapshot_hash": "ee914b2ed3818112cfb2f0530ab62500f9f9e7cdd70b28c5f0dd8a592f36f665", "sport": "NCAAF"}</t>
        </is>
      </c>
    </row>
    <row r="103" ht="36" customHeight="1">
      <c r="A103" s="24" t="inlineStr">
        <is>
          <t>d030e86d809846f1</t>
        </is>
      </c>
      <c r="B103" s="24" t="inlineStr">
        <is>
          <t>2026-09-12T16:07:28.570172Z</t>
        </is>
      </c>
      <c r="C103" s="24" t="inlineStr">
        <is>
          <t>2026-09-12T19:30Z</t>
        </is>
      </c>
      <c r="D103" s="24" t="inlineStr">
        <is>
          <t>401858444</t>
        </is>
      </c>
      <c r="E103" s="24" t="inlineStr">
        <is>
          <t>NCAAF</t>
        </is>
      </c>
      <c r="F103" s="24" t="inlineStr">
        <is>
          <t>Maryland Terrapins</t>
        </is>
      </c>
      <c r="G103" s="24" t="inlineStr">
        <is>
          <t>UConn Huskies</t>
        </is>
      </c>
      <c r="H103" s="24" t="inlineStr">
        <is>
          <t>total</t>
        </is>
      </c>
      <c r="I103" s="24" t="inlineStr">
        <is>
          <t>over</t>
        </is>
      </c>
      <c r="J103" s="25" t="n">
        <v>52.5</v>
      </c>
      <c r="K103" s="24" t="inlineStr">
        <is>
          <t>espn_consensus</t>
        </is>
      </c>
      <c r="L103" s="26" t="n">
        <v>-112</v>
      </c>
      <c r="M103" s="27" t="n">
        <v>1.892857</v>
      </c>
      <c r="N103" s="28" t="n">
        <v>0.528302</v>
      </c>
      <c r="O103" s="28" t="n">
        <v>0.517333</v>
      </c>
      <c r="P103" s="28" t="n">
        <v>0.18</v>
      </c>
      <c r="Q103" s="28" t="n">
        <v>-0.010969</v>
      </c>
      <c r="R103" s="26" t="n">
        <v>0</v>
      </c>
      <c r="S103" s="29" t="n">
        <v>1</v>
      </c>
      <c r="T103" s="24" t="inlineStr">
        <is>
          <t>cfb-total-v1</t>
        </is>
      </c>
      <c r="U103" s="24" t="inlineStr">
        <is>
          <t>settled</t>
        </is>
      </c>
      <c r="V103" s="24" t="inlineStr">
        <is>
          <t>loss</t>
        </is>
      </c>
      <c r="W103" s="26" t="n">
        <v>38</v>
      </c>
      <c r="X103" s="26" t="n">
        <v>14</v>
      </c>
      <c r="Y103" s="25" t="n"/>
      <c r="Z103" s="26" t="n"/>
      <c r="AA103" s="28" t="n"/>
      <c r="AB103" s="28" t="n"/>
      <c r="AC103" s="30" t="n">
        <v>-1</v>
      </c>
      <c r="AD103" s="24" t="inlineStr">
        <is>
          <t>2026-09-13T04:31:01.447773Z</t>
        </is>
      </c>
      <c r="AE103" s="31" t="inlineStr">
        <is>
          <t>Projected total 54.9 pts (Weather adj: +0.0 pts). Total line 52.5 -&gt; P(Over)=0.517, P(Under)=0.483, P(Push)=0.000.</t>
        </is>
      </c>
      <c r="AF103" s="31" t="inlineStr">
        <is>
          <t>College football model; multi-market (moneyline, spread, total).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Maryland Terrapins</t>
        </is>
      </c>
      <c r="AQ103" s="24" t="inlineStr">
        <is>
          <t>Maryland Terrapins</t>
        </is>
      </c>
      <c r="AR103" s="24" t="inlineStr">
        <is>
          <t>Maryland Terrapins</t>
        </is>
      </c>
      <c r="AS103" s="24" t="inlineStr">
        <is>
          <t>UConn Huskies</t>
        </is>
      </c>
      <c r="AT103" s="24" t="inlineStr">
        <is>
          <t>UConn Huskies</t>
        </is>
      </c>
      <c r="AU103" s="24" t="inlineStr">
        <is>
          <t>UConn Huskies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1d168f11d221cd3c</t>
        </is>
      </c>
      <c r="BB103" s="24" t="inlineStr">
        <is>
          <t>cfb_key_number_engine</t>
        </is>
      </c>
      <c r="BC103" s="24" t="inlineStr">
        <is>
          <t>cfb-total-v1</t>
        </is>
      </c>
      <c r="BD103" s="24" t="inlineStr">
        <is>
          <t>1d168f11d221cd3c</t>
        </is>
      </c>
      <c r="BE103" s="24" t="inlineStr">
        <is>
          <t>cfb-v1</t>
        </is>
      </c>
      <c r="BF103" s="24" t="inlineStr">
        <is>
          <t>1</t>
        </is>
      </c>
      <c r="BG103" s="24" t="inlineStr">
        <is>
          <t>1d168f11d221cd3c</t>
        </is>
      </c>
      <c r="BH103" s="24" t="inlineStr">
        <is>
          <t>2026-09-12T16:07:28.570172+00:00</t>
        </is>
      </c>
      <c r="BI103" s="24" t="inlineStr">
        <is>
          <t>["same_event","same_team_same_day","same_league_same_day"]</t>
        </is>
      </c>
      <c r="BJ103" s="25" t="n">
        <v>52.5</v>
      </c>
      <c r="BK103" s="26" t="n">
        <v>-112</v>
      </c>
      <c r="BL103" s="27" t="n">
        <v>1.892857</v>
      </c>
      <c r="BM103" s="28" t="n">
        <v>0.528302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>
        <v>1</v>
      </c>
      <c r="BY103" s="27" t="n">
        <v>-1</v>
      </c>
      <c r="BZ103" s="24" t="inlineStr">
        <is>
          <t>2026-09-13T04:31:01.447773Z</t>
        </is>
      </c>
      <c r="CA103" s="31" t="inlineStr">
        <is>
          <t>fixed one-unit hypothetical scoring; no real exposure or execution</t>
        </is>
      </c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0.528302</t>
        </is>
      </c>
      <c r="DK103" s="24" t="n"/>
      <c r="DL103" s="24" t="n"/>
      <c r="DM103" s="24" t="n"/>
      <c r="DN103" s="24" t="n"/>
      <c r="DO103" s="24" t="n"/>
      <c r="DP103" s="24" t="n"/>
      <c r="DQ103" s="24" t="inlineStr">
        <is>
          <t>{"artifact_hash": "1d168f11d221cd3c", "event_id": "401858444", "event_start_utc": "2026-09-12T19:30Z", "features": {"altitude_fatigue_penalty": 0.0, "away_team": "Maryland Terrapins", "efficiency_gap": -0.784, "elo_away": 1224.9, "elo_home": 1622.7, "elo_home_win_prob": 0.9349, "event_id": "401858444", "game_start_utc": "2026-09-12T19:30Z", "home_field_advantage_points": 2.8, "home_team": "UConn Huskies", "is_dome": false, "is_fbs_vs_fcs": false, "is_neutral_site": false, "projected_away_points": 18.0, "projected_home_points": 36.9, "projected_margin_home": 18.9, "projected_possessions": 12.4, "projected_total": 54.9, "stadium_elevation_ft": 43, "travel_distance_miles": 297.0, "uncertainty": 0.18, "weather_total_adjustment": 0.0}, "historical_source_observation_times_verified": false, "inference_inputs": {"engine_source_sha256": "449ba2f0e86fa9c445730076a0e0bf100fb4914620be53c75c6f3bfe24298f3f", "mu_away": 18.0, "mu_home": 36.9,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201061438739115341675310244143127330001}, "uinteger": 0}, "spread_home_line": 11.5, "total_line": 52.5}, "market_type": "total", "model_version": "cfb-total-v1", "observed_at_utc": "2026-09-12T16:07:28.570172+00:00", "probabilities": {"over": 0.517333, "push": 0.0, "under": 0.482667}, "replay_scope": "Full precision score means, exact engine parameters and original RNG state; upstream feature construction not certified.", "schema": "cfb-joint-replay-v1", "snapshot_hash": "10650493d7fef9e89752f0eabbe8ef2f58f72403ece9b5779c28affa62c8d626", "sport": "NCAAF"}</t>
        </is>
      </c>
    </row>
    <row r="104" ht="36" customHeight="1">
      <c r="A104" s="24" t="inlineStr">
        <is>
          <t>f6593abc158a4d63</t>
        </is>
      </c>
      <c r="B104" s="24" t="inlineStr">
        <is>
          <t>2026-09-12T16:07:28.570172Z</t>
        </is>
      </c>
      <c r="C104" s="24" t="inlineStr">
        <is>
          <t>2026-09-12T19:30Z</t>
        </is>
      </c>
      <c r="D104" s="24" t="inlineStr">
        <is>
          <t>401860884</t>
        </is>
      </c>
      <c r="E104" s="24" t="inlineStr">
        <is>
          <t>NCAAF</t>
        </is>
      </c>
      <c r="F104" s="24" t="inlineStr">
        <is>
          <t>UTSA Roadrunners</t>
        </is>
      </c>
      <c r="G104" s="24" t="inlineStr">
        <is>
          <t>Texas State Bobcats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espn_consensus</t>
        </is>
      </c>
      <c r="L104" s="26" t="n">
        <v>-142</v>
      </c>
      <c r="M104" s="27" t="n">
        <v>1.704225</v>
      </c>
      <c r="N104" s="28" t="n">
        <v>0.586777</v>
      </c>
      <c r="O104" s="28" t="n">
        <v>0.570357</v>
      </c>
      <c r="P104" s="28" t="n">
        <v>0.18</v>
      </c>
      <c r="Q104" s="28" t="n">
        <v>-0.01642</v>
      </c>
      <c r="R104" s="26" t="n">
        <v>0</v>
      </c>
      <c r="S104" s="29" t="n">
        <v>1</v>
      </c>
      <c r="T104" s="24" t="inlineStr">
        <is>
          <t>college-football-v1</t>
        </is>
      </c>
      <c r="U104" s="24" t="inlineStr">
        <is>
          <t>settled</t>
        </is>
      </c>
      <c r="V104" s="24" t="inlineStr">
        <is>
          <t>loss</t>
        </is>
      </c>
      <c r="W104" s="26" t="n">
        <v>31</v>
      </c>
      <c r="X104" s="26" t="n">
        <v>26</v>
      </c>
      <c r="Y104" s="25" t="n"/>
      <c r="Z104" s="26" t="n"/>
      <c r="AA104" s="28" t="n"/>
      <c r="AB104" s="28" t="n"/>
      <c r="AC104" s="30" t="n">
        <v>-1</v>
      </c>
      <c r="AD104" s="24" t="inlineStr">
        <is>
          <t>2026-09-13T04:31:01.818339Z</t>
        </is>
      </c>
      <c r="AE104" s="31" t="inlineStr">
        <is>
          <t>CFB Joint Model (negative_binomial): proj score UTSA Roadrunners 25.1 @ Texas State Bobcats 28.0 (Margin +2.9). Possessions: 12.4, HFA: +2.8 pts.</t>
        </is>
      </c>
      <c r="AF104" s="31" t="inlineStr">
        <is>
          <t>College football model; multi-market (moneyline, spread, total).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UTSA Roadrunners</t>
        </is>
      </c>
      <c r="AQ104" s="24" t="inlineStr">
        <is>
          <t>UTSA Roadrunners</t>
        </is>
      </c>
      <c r="AR104" s="24" t="inlineStr">
        <is>
          <t>UTSA Roadrunners</t>
        </is>
      </c>
      <c r="AS104" s="24" t="inlineStr">
        <is>
          <t>Texas State Bobcats</t>
        </is>
      </c>
      <c r="AT104" s="24" t="inlineStr">
        <is>
          <t>Texas State Bobcats</t>
        </is>
      </c>
      <c r="AU104" s="24" t="inlineStr">
        <is>
          <t>Texas State Bobcats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1d168f11d221cd3c</t>
        </is>
      </c>
      <c r="BB104" s="24" t="inlineStr">
        <is>
          <t>cfb_key_number_engine</t>
        </is>
      </c>
      <c r="BC104" s="24" t="inlineStr">
        <is>
          <t>college-football-v1</t>
        </is>
      </c>
      <c r="BD104" s="24" t="inlineStr">
        <is>
          <t>1d168f11d221cd3c</t>
        </is>
      </c>
      <c r="BE104" s="24" t="inlineStr">
        <is>
          <t>cfb-v1</t>
        </is>
      </c>
      <c r="BF104" s="24" t="inlineStr">
        <is>
          <t>1</t>
        </is>
      </c>
      <c r="BG104" s="24" t="inlineStr">
        <is>
          <t>1d168f11d221cd3c</t>
        </is>
      </c>
      <c r="BH104" s="24" t="inlineStr">
        <is>
          <t>2026-09-12T16:07:28.570172+00:00</t>
        </is>
      </c>
      <c r="BI104" s="24" t="inlineStr">
        <is>
          <t>["same_event","same_team_same_day","same_league_same_day"]</t>
        </is>
      </c>
      <c r="BJ104" s="25" t="n"/>
      <c r="BK104" s="26" t="n">
        <v>-142</v>
      </c>
      <c r="BL104" s="27" t="n">
        <v>1.704225</v>
      </c>
      <c r="BM104" s="28" t="n">
        <v>0.586777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>
        <v>1</v>
      </c>
      <c r="BY104" s="27" t="n">
        <v>-1</v>
      </c>
      <c r="BZ104" s="24" t="inlineStr">
        <is>
          <t>2026-09-13T04:31:01.818339Z</t>
        </is>
      </c>
      <c r="CA104" s="31" t="inlineStr">
        <is>
          <t>fixed one-unit hypothetical scoring; no real exposure or execution</t>
        </is>
      </c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0.586777</t>
        </is>
      </c>
      <c r="DK104" s="24" t="n"/>
      <c r="DL104" s="24" t="n"/>
      <c r="DM104" s="24" t="n"/>
      <c r="DN104" s="24" t="n"/>
      <c r="DO104" s="24" t="n"/>
      <c r="DP104" s="24" t="n"/>
      <c r="DQ104" s="24" t="inlineStr">
        <is>
          <t>{"artifact_hash": "1d168f11d221cd3c", "event_id": "401860884", "event_start_utc": "2026-09-12T19:30Z", "features": {"altitude_fatigue_penalty": 0.0, "away_team": "UTSA Roadrunners", "efficiency_gap": -1.154, "elo_away": 1534.1, "elo_home": 1540.5, "elo_home_win_prob": 0.6014, "event_id": "401860884", "game_start_utc": "2026-09-12T19:30Z", "home_field_advantage_points": 2.8, "home_team": "Texas State Bobcats", "is_dome": false, "is_fbs_vs_fcs": false, "is_neutral_site": false, "projected_away_points": 25.1, "projected_home_points": 28.0, "projected_margin_home": 2.9, "projected_possessions": 12.4, "projected_total": 53.1, "stadium_elevation_ft": 600, "travel_distance_miles": 47.0, "uncertainty": 0.18, "weather_total_adjustment": 0.0}, "historical_source_observation_times_verified": false, "inference_inputs": {"engine_source_sha256": "449ba2f0e86fa9c445730076a0e0bf100fb4914620be53c75c6f3bfe24298f3f", "mu_away": 25.1,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25278369439158576595632004335668904028}, "uinteger": 0}, "spread_home_line": -2.5, "total_line": 65.5}, "market_type": "moneyline", "model_version": "college-football-v1", "observed_at_utc": "2026-09-12T16:07:28.570172+00:00", "probabilities": {"away": 0.429643, "home": 0.570357}, "replay_scope": "Full precision score means, exact engine parameters and original RNG state; upstream feature construction not certified.", "schema": "cfb-joint-replay-v1", "snapshot_hash": "ebf848b75e2404b7caf040ece381727d9672f6cfba414ee471cd40737bd2f31b", "sport": "NCAAF"}</t>
        </is>
      </c>
    </row>
    <row r="105" ht="36" customHeight="1">
      <c r="A105" s="24" t="inlineStr">
        <is>
          <t>cab2f24da1da4c2d</t>
        </is>
      </c>
      <c r="B105" s="24" t="inlineStr">
        <is>
          <t>2026-09-12T16:07:28.570172Z</t>
        </is>
      </c>
      <c r="C105" s="24" t="inlineStr">
        <is>
          <t>2026-09-12T19:30Z</t>
        </is>
      </c>
      <c r="D105" s="24" t="inlineStr">
        <is>
          <t>401860884</t>
        </is>
      </c>
      <c r="E105" s="24" t="inlineStr">
        <is>
          <t>NCAAF</t>
        </is>
      </c>
      <c r="F105" s="24" t="inlineStr">
        <is>
          <t>UTSA Roadrunners</t>
        </is>
      </c>
      <c r="G105" s="24" t="inlineStr">
        <is>
          <t>Texas State Bobcats</t>
        </is>
      </c>
      <c r="H105" s="24" t="inlineStr">
        <is>
          <t>spread</t>
        </is>
      </c>
      <c r="I105" s="24" t="inlineStr">
        <is>
          <t>home</t>
        </is>
      </c>
      <c r="J105" s="25" t="n">
        <v>-2.5</v>
      </c>
      <c r="K105" s="24" t="inlineStr">
        <is>
          <t>espn_consensus</t>
        </is>
      </c>
      <c r="L105" s="26" t="n">
        <v>-115</v>
      </c>
      <c r="M105" s="27" t="n">
        <v>1.869565</v>
      </c>
      <c r="N105" s="28" t="n">
        <v>0.534884</v>
      </c>
      <c r="O105" s="28" t="n">
        <v>0.5096000000000001</v>
      </c>
      <c r="P105" s="28" t="n">
        <v>0.18</v>
      </c>
      <c r="Q105" s="28" t="n">
        <v>-0.025284</v>
      </c>
      <c r="R105" s="26" t="n">
        <v>0</v>
      </c>
      <c r="S105" s="29" t="n">
        <v>1</v>
      </c>
      <c r="T105" s="24" t="inlineStr">
        <is>
          <t>cfb-spread-v1</t>
        </is>
      </c>
      <c r="U105" s="24" t="inlineStr">
        <is>
          <t>settled</t>
        </is>
      </c>
      <c r="V105" s="24" t="inlineStr">
        <is>
          <t>loss</t>
        </is>
      </c>
      <c r="W105" s="26" t="n">
        <v>31</v>
      </c>
      <c r="X105" s="26" t="n">
        <v>26</v>
      </c>
      <c r="Y105" s="25" t="n"/>
      <c r="Z105" s="26" t="n"/>
      <c r="AA105" s="28" t="n"/>
      <c r="AB105" s="28" t="n"/>
      <c r="AC105" s="30" t="n">
        <v>-1</v>
      </c>
      <c r="AD105" s="24" t="inlineStr">
        <is>
          <t>2026-09-13T04:31:02.149979Z</t>
        </is>
      </c>
      <c r="AE105" s="31" t="inlineStr">
        <is>
          <t>Projected home margin +2.9 pts. Spread: Home -2.5 / Away +2.5 -&gt; P(Away cover)=0.490, P(Home cover)=0.510, P(Push)=0.000.</t>
        </is>
      </c>
      <c r="AF105" s="31" t="inlineStr">
        <is>
          <t>College football model; multi-market (moneyline, spread, total).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UTSA Roadrunners</t>
        </is>
      </c>
      <c r="AQ105" s="24" t="inlineStr">
        <is>
          <t>UTSA Roadrunners</t>
        </is>
      </c>
      <c r="AR105" s="24" t="inlineStr">
        <is>
          <t>UTSA Roadrunners</t>
        </is>
      </c>
      <c r="AS105" s="24" t="inlineStr">
        <is>
          <t>Texas State Bobcats</t>
        </is>
      </c>
      <c r="AT105" s="24" t="inlineStr">
        <is>
          <t>Texas State Bobcats</t>
        </is>
      </c>
      <c r="AU105" s="24" t="inlineStr">
        <is>
          <t>Texas State Bobcats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1d168f11d221cd3c</t>
        </is>
      </c>
      <c r="BB105" s="24" t="inlineStr">
        <is>
          <t>cfb_key_number_engine</t>
        </is>
      </c>
      <c r="BC105" s="24" t="inlineStr">
        <is>
          <t>cfb-spread-v1</t>
        </is>
      </c>
      <c r="BD105" s="24" t="inlineStr">
        <is>
          <t>1d168f11d221cd3c</t>
        </is>
      </c>
      <c r="BE105" s="24" t="inlineStr">
        <is>
          <t>cfb-v1</t>
        </is>
      </c>
      <c r="BF105" s="24" t="inlineStr">
        <is>
          <t>1</t>
        </is>
      </c>
      <c r="BG105" s="24" t="inlineStr">
        <is>
          <t>1d168f11d221cd3c</t>
        </is>
      </c>
      <c r="BH105" s="24" t="inlineStr">
        <is>
          <t>2026-09-12T16:07:28.570172+00:00</t>
        </is>
      </c>
      <c r="BI105" s="24" t="inlineStr">
        <is>
          <t>["same_event","same_team_same_day","same_league_same_day"]</t>
        </is>
      </c>
      <c r="BJ105" s="25" t="n">
        <v>-2.5</v>
      </c>
      <c r="BK105" s="26" t="n">
        <v>-115</v>
      </c>
      <c r="BL105" s="27" t="n">
        <v>1.869565</v>
      </c>
      <c r="BM105" s="28" t="n">
        <v>0.534884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>
        <v>1</v>
      </c>
      <c r="BY105" s="27" t="n">
        <v>-1</v>
      </c>
      <c r="BZ105" s="24" t="inlineStr">
        <is>
          <t>2026-09-13T04:31:02.149979Z</t>
        </is>
      </c>
      <c r="CA105" s="31" t="inlineStr">
        <is>
          <t>fixed one-unit hypothetical scoring; no real exposure or execution</t>
        </is>
      </c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0.534884</t>
        </is>
      </c>
      <c r="DK105" s="24" t="n"/>
      <c r="DL105" s="24" t="n"/>
      <c r="DM105" s="24" t="n"/>
      <c r="DN105" s="24" t="n"/>
      <c r="DO105" s="24" t="n"/>
      <c r="DP105" s="24" t="n"/>
      <c r="DQ105" s="24" t="inlineStr">
        <is>
          <t>{"artifact_hash": "1d168f11d221cd3c", "event_id": "401860884", "event_start_utc": "2026-09-12T19:30Z", "features": {"altitude_fatigue_penalty": 0.0, "away_team": "UTSA Roadrunners", "efficiency_gap": -1.154, "elo_away": 1534.1, "elo_home": 1540.5, "elo_home_win_prob": 0.6014, "event_id": "401860884", "game_start_utc": "2026-09-12T19:30Z", "home_field_advantage_points": 2.8, "home_team": "Texas State Bobcats", "is_dome": false, "is_fbs_vs_fcs": false, "is_neutral_site": false, "projected_away_points": 25.1, "projected_home_points": 28.0, "projected_margin_home": 2.9, "projected_possessions": 12.4, "projected_total": 53.1, "stadium_elevation_ft": 600, "travel_distance_miles": 47.0, "uncertainty": 0.18, "weather_total_adjustment": 0.0}, "historical_source_observation_times_verified": false, "inference_inputs": {"engine_source_sha256": "449ba2f0e86fa9c445730076a0e0bf100fb4914620be53c75c6f3bfe24298f3f", "mu_away": 25.1,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25278369439158576595632004335668904028}, "uinteger": 0}, "spread_home_line": -2.5, "total_line": 65.5}, "market_type": "spread", "model_version": "cfb-spread-v1", "observed_at_utc": "2026-09-12T16:07:28.570172+00:00", "probabilities": {"away": 0.4904, "home": 0.5096, "push": 0.0}, "replay_scope": "Full precision score means, exact engine parameters and original RNG state; upstream feature construction not certified.", "schema": "cfb-joint-replay-v1", "snapshot_hash": "8942bc52ea3c4e3535d16fcfdc120d9cdd87c8f1d5d43ae27ac6bf1eb20afa13", "sport": "NCAAF"}</t>
        </is>
      </c>
    </row>
    <row r="106" ht="36" customHeight="1">
      <c r="A106" s="24" t="inlineStr">
        <is>
          <t>6e7c15c14ec7495c</t>
        </is>
      </c>
      <c r="B106" s="24" t="inlineStr">
        <is>
          <t>2026-09-12T16:07:28.570172Z</t>
        </is>
      </c>
      <c r="C106" s="24" t="inlineStr">
        <is>
          <t>2026-09-12T19:30Z</t>
        </is>
      </c>
      <c r="D106" s="24" t="inlineStr">
        <is>
          <t>401860884</t>
        </is>
      </c>
      <c r="E106" s="24" t="inlineStr">
        <is>
          <t>NCAAF</t>
        </is>
      </c>
      <c r="F106" s="24" t="inlineStr">
        <is>
          <t>UTSA Roadrunners</t>
        </is>
      </c>
      <c r="G106" s="24" t="inlineStr">
        <is>
          <t>Texas State Bobcats</t>
        </is>
      </c>
      <c r="H106" s="24" t="inlineStr">
        <is>
          <t>total</t>
        </is>
      </c>
      <c r="I106" s="24" t="inlineStr">
        <is>
          <t>under</t>
        </is>
      </c>
      <c r="J106" s="25" t="n">
        <v>65.5</v>
      </c>
      <c r="K106" s="24" t="inlineStr">
        <is>
          <t>espn_consensus</t>
        </is>
      </c>
      <c r="L106" s="26" t="n">
        <v>-110</v>
      </c>
      <c r="M106" s="27" t="n">
        <v>1.909091</v>
      </c>
      <c r="N106" s="28" t="n">
        <v>0.52381</v>
      </c>
      <c r="O106" s="28" t="n">
        <v>0.744533</v>
      </c>
      <c r="P106" s="28" t="n">
        <v>0.18</v>
      </c>
      <c r="Q106" s="28" t="n">
        <v>0.220723</v>
      </c>
      <c r="R106" s="26" t="n">
        <v>52</v>
      </c>
      <c r="S106" s="29" t="n">
        <v>1.25</v>
      </c>
      <c r="T106" s="24" t="inlineStr">
        <is>
          <t>cfb-total-v1</t>
        </is>
      </c>
      <c r="U106" s="24" t="inlineStr">
        <is>
          <t>settled</t>
        </is>
      </c>
      <c r="V106" s="24" t="inlineStr">
        <is>
          <t>win</t>
        </is>
      </c>
      <c r="W106" s="26" t="n">
        <v>31</v>
      </c>
      <c r="X106" s="26" t="n">
        <v>26</v>
      </c>
      <c r="Y106" s="25" t="n"/>
      <c r="Z106" s="26" t="n"/>
      <c r="AA106" s="28" t="n"/>
      <c r="AB106" s="28" t="n"/>
      <c r="AC106" s="30" t="n">
        <v>1.1364</v>
      </c>
      <c r="AD106" s="24" t="inlineStr">
        <is>
          <t>2026-09-13T04:31:02.524955Z</t>
        </is>
      </c>
      <c r="AE106" s="31" t="inlineStr">
        <is>
          <t>Projected total 53.1 pts (Weather adj: +0.0 pts). Total line 65.5 -&gt; P(Over)=0.255, P(Under)=0.745, P(Push)=0.000.</t>
        </is>
      </c>
      <c r="AF106" s="31" t="inlineStr">
        <is>
          <t>College football model; multi-market (moneyline, spread, total).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4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UTSA Roadrunners</t>
        </is>
      </c>
      <c r="AQ106" s="24" t="inlineStr">
        <is>
          <t>UTSA Roadrunners</t>
        </is>
      </c>
      <c r="AR106" s="24" t="inlineStr">
        <is>
          <t>UTSA Roadrunners</t>
        </is>
      </c>
      <c r="AS106" s="24" t="inlineStr">
        <is>
          <t>Texas State Bobcats</t>
        </is>
      </c>
      <c r="AT106" s="24" t="inlineStr">
        <is>
          <t>Texas State Bobcats</t>
        </is>
      </c>
      <c r="AU106" s="24" t="inlineStr">
        <is>
          <t>Texas State Bobcats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1d168f11d221cd3c</t>
        </is>
      </c>
      <c r="BB106" s="24" t="inlineStr">
        <is>
          <t>cfb_key_number_engine</t>
        </is>
      </c>
      <c r="BC106" s="24" t="inlineStr">
        <is>
          <t>cfb-total-v1</t>
        </is>
      </c>
      <c r="BD106" s="24" t="inlineStr">
        <is>
          <t>1d168f11d221cd3c</t>
        </is>
      </c>
      <c r="BE106" s="24" t="inlineStr">
        <is>
          <t>cfb-v1</t>
        </is>
      </c>
      <c r="BF106" s="24" t="inlineStr">
        <is>
          <t>1</t>
        </is>
      </c>
      <c r="BG106" s="24" t="inlineStr">
        <is>
          <t>1d168f11d221cd3c</t>
        </is>
      </c>
      <c r="BH106" s="24" t="inlineStr">
        <is>
          <t>2026-09-12T16:07:28.570172+00:00</t>
        </is>
      </c>
      <c r="BI106" s="24" t="inlineStr">
        <is>
          <t>["same_event","same_team_same_day","same_league_same_day"]</t>
        </is>
      </c>
      <c r="BJ106" s="25" t="n">
        <v>65.5</v>
      </c>
      <c r="BK106" s="26" t="n">
        <v>-110</v>
      </c>
      <c r="BL106" s="27" t="n">
        <v>1.909091</v>
      </c>
      <c r="BM106" s="28" t="n">
        <v>0.52381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0.52381</t>
        </is>
      </c>
      <c r="DK106" s="24" t="n"/>
      <c r="DL106" s="24" t="n"/>
      <c r="DM106" s="24" t="n"/>
      <c r="DN106" s="24" t="n"/>
      <c r="DO106" s="24" t="n"/>
      <c r="DP106" s="24" t="n"/>
      <c r="DQ106" s="24" t="inlineStr">
        <is>
          <t>{"artifact_hash": "1d168f11d221cd3c", "event_id": "401860884", "event_start_utc": "2026-09-12T19:30Z", "features": {"altitude_fatigue_penalty": 0.0, "away_team": "UTSA Roadrunners", "efficiency_gap": -1.154, "elo_away": 1534.1, "elo_home": 1540.5, "elo_home_win_prob": 0.6014, "event_id": "401860884", "game_start_utc": "2026-09-12T19:30Z", "home_field_advantage_points": 2.8, "home_team": "Texas State Bobcats", "is_dome": false, "is_fbs_vs_fcs": false, "is_neutral_site": false, "projected_away_points": 25.1, "projected_home_points": 28.0, "projected_margin_home": 2.9, "projected_possessions": 12.4, "projected_total": 53.1, "stadium_elevation_ft": 600, "travel_distance_miles": 47.0, "uncertainty": 0.18, "weather_total_adjustment": 0.0}, "historical_source_observation_times_verified": false, "inference_inputs": {"engine_source_sha256": "449ba2f0e86fa9c445730076a0e0bf100fb4914620be53c75c6f3bfe24298f3f", "mu_away": 25.1,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25278369439158576595632004335668904028}, "uinteger": 0}, "spread_home_line": -2.5, "total_line": 65.5}, "market_type": "total", "model_version": "cfb-total-v1", "observed_at_utc": "2026-09-12T16:07:28.570172+00:00", "probabilities": {"over": 0.255467, "push": 0.0, "under": 0.744533}, "replay_scope": "Full precision score means, exact engine parameters and original RNG state; upstream feature construction not certified.", "schema": "cfb-joint-replay-v1", "snapshot_hash": "f7f6542756f83a7a0fb679ea8b5513101a27b33fc76d9bdf89caefbb5f1c4fa2", "sport": "NCAAF"}</t>
        </is>
      </c>
    </row>
    <row r="107" ht="36" customHeight="1">
      <c r="A107" s="24" t="inlineStr">
        <is>
          <t>743b6abcde5f4864</t>
        </is>
      </c>
      <c r="B107" s="24" t="inlineStr">
        <is>
          <t>2026-09-12T16:07:28.570172Z</t>
        </is>
      </c>
      <c r="C107" s="24" t="inlineStr">
        <is>
          <t>2026-09-12T19:30Z</t>
        </is>
      </c>
      <c r="D107" s="24" t="inlineStr">
        <is>
          <t>401862708</t>
        </is>
      </c>
      <c r="E107" s="24" t="inlineStr">
        <is>
          <t>NCAAF</t>
        </is>
      </c>
      <c r="F107" s="24" t="inlineStr">
        <is>
          <t>UL Monroe Warhawks</t>
        </is>
      </c>
      <c r="G107" s="24" t="inlineStr">
        <is>
          <t>UAB Blazers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espn_consensus</t>
        </is>
      </c>
      <c r="L107" s="26" t="n">
        <v>-360</v>
      </c>
      <c r="M107" s="27" t="n">
        <v>1.277778</v>
      </c>
      <c r="N107" s="28" t="n">
        <v>0.782609</v>
      </c>
      <c r="O107" s="28" t="n">
        <v>0.684733</v>
      </c>
      <c r="P107" s="28" t="n">
        <v>0.165</v>
      </c>
      <c r="Q107" s="28" t="n">
        <v>-0.097876</v>
      </c>
      <c r="R107" s="26" t="n">
        <v>0</v>
      </c>
      <c r="S107" s="29" t="n">
        <v>1</v>
      </c>
      <c r="T107" s="24" t="inlineStr">
        <is>
          <t>college-football-v1</t>
        </is>
      </c>
      <c r="U107" s="24" t="inlineStr">
        <is>
          <t>settled</t>
        </is>
      </c>
      <c r="V107" s="24" t="inlineStr">
        <is>
          <t>win</t>
        </is>
      </c>
      <c r="W107" s="26" t="n">
        <v>20</v>
      </c>
      <c r="X107" s="26" t="n">
        <v>26</v>
      </c>
      <c r="Y107" s="25" t="n"/>
      <c r="Z107" s="26" t="n"/>
      <c r="AA107" s="28" t="n"/>
      <c r="AB107" s="28" t="n"/>
      <c r="AC107" s="30" t="n">
        <v>0.2778</v>
      </c>
      <c r="AD107" s="24" t="inlineStr">
        <is>
          <t>2026-09-13T04:31:02.895145Z</t>
        </is>
      </c>
      <c r="AE107" s="31" t="inlineStr">
        <is>
          <t>CFB Joint Model (negative_binomial): proj score UL Monroe Warhawks 22.8 @ UAB Blazers 30.4 (Margin +7.6). Possessions: 12.4, HFA: +2.8 pts.</t>
        </is>
      </c>
      <c r="AF107" s="31" t="inlineStr">
        <is>
          <t>College football model; multi-market (moneyline, spread, total).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UL Monroe Warhawks</t>
        </is>
      </c>
      <c r="AQ107" s="24" t="inlineStr">
        <is>
          <t>UL Monroe Warhawks</t>
        </is>
      </c>
      <c r="AR107" s="24" t="inlineStr">
        <is>
          <t>UL Monroe Warhawks</t>
        </is>
      </c>
      <c r="AS107" s="24" t="inlineStr">
        <is>
          <t>UAB Blazers</t>
        </is>
      </c>
      <c r="AT107" s="24" t="inlineStr">
        <is>
          <t>UAB Blazers</t>
        </is>
      </c>
      <c r="AU107" s="24" t="inlineStr">
        <is>
          <t>UAB Blazers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1d168f11d221cd3c</t>
        </is>
      </c>
      <c r="BB107" s="24" t="inlineStr">
        <is>
          <t>cfb_key_number_engine</t>
        </is>
      </c>
      <c r="BC107" s="24" t="inlineStr">
        <is>
          <t>college-football-v1</t>
        </is>
      </c>
      <c r="BD107" s="24" t="inlineStr">
        <is>
          <t>1d168f11d221cd3c</t>
        </is>
      </c>
      <c r="BE107" s="24" t="inlineStr">
        <is>
          <t>cfb-v1</t>
        </is>
      </c>
      <c r="BF107" s="24" t="inlineStr">
        <is>
          <t>1</t>
        </is>
      </c>
      <c r="BG107" s="24" t="inlineStr">
        <is>
          <t>1d168f11d221cd3c</t>
        </is>
      </c>
      <c r="BH107" s="24" t="inlineStr">
        <is>
          <t>2026-09-12T16:07:28.570172+00:00</t>
        </is>
      </c>
      <c r="BI107" s="24" t="inlineStr">
        <is>
          <t>["same_event","same_team_same_day","same_league_same_day"]</t>
        </is>
      </c>
      <c r="BJ107" s="25" t="n"/>
      <c r="BK107" s="26" t="n">
        <v>-360</v>
      </c>
      <c r="BL107" s="27" t="n">
        <v>1.277778</v>
      </c>
      <c r="BM107" s="28" t="n">
        <v>0.782609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>
        <v>1</v>
      </c>
      <c r="BY107" s="27" t="n">
        <v>0.277778</v>
      </c>
      <c r="BZ107" s="24" t="inlineStr">
        <is>
          <t>2026-09-13T04:31:02.895145Z</t>
        </is>
      </c>
      <c r="CA107" s="31" t="inlineStr">
        <is>
          <t>fixed one-unit hypothetical scoring; no real exposure or execution</t>
        </is>
      </c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0.782609</t>
        </is>
      </c>
      <c r="DK107" s="24" t="n"/>
      <c r="DL107" s="24" t="n"/>
      <c r="DM107" s="24" t="n"/>
      <c r="DN107" s="24" t="n"/>
      <c r="DO107" s="24" t="n"/>
      <c r="DP107" s="24" t="n"/>
      <c r="DQ107" s="24" t="inlineStr">
        <is>
          <t>{"artifact_hash": "1d168f11d221cd3c", "event_id": "401862708", "event_start_utc": "2026-09-12T19:30Z", "features": {"altitude_fatigue_penalty": 0.0, "away_team": "UL Monroe Warhawks", "efficiency_gap": 0.782, "elo_away": 1138.8, "elo_home": 1258.9, "elo_home_win_prob": 0.7438, "event_id": "401862708", "game_start_utc": "2026-09-12T19:30Z", "home_field_advantage_points": 2.8, "home_team": "UAB Blazers", "is_dome": false, "is_fbs_vs_fcs": false, "is_neutral_site": false, "projected_away_points": 22.8, "projected_home_points": 30.4, "projected_margin_home": 7.6, "projected_possessions": 12.4, "projected_total": 53.1, "stadium_elevation_ft": 600, "travel_distance_miles": 312.0, "uncertainty": 0.165, "weather_total_adjustment": 0.0}, "historical_source_observation_times_verified": false, "inference_inputs": {"engine_source_sha256": "449ba2f0e86fa9c445730076a0e0bf100fb4914620be53c75c6f3bfe24298f3f", "mu_away": 22.8, "mu_home": 30.4,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138011097330956169166458287198740373042}, "uinteger": 0}, "spread_home_line": -9.5, "total_line": 54.5}, "market_type": "moneyline", "model_version": "college-football-v1", "observed_at_utc": "2026-09-12T16:07:28.570172+00:00", "probabilities": {"away": 0.315267, "home": 0.684733}, "replay_scope": "Full precision score means, exact engine parameters and original RNG state; upstream feature construction not certified.", "schema": "cfb-joint-replay-v1", "snapshot_hash": "830fb8cb541b77ddf9c7e3e5c9b7b8f7fa696fb5115a37a778804ee0aa0d426d", "sport": "NCAAF"}</t>
        </is>
      </c>
    </row>
    <row r="108" ht="36" customHeight="1">
      <c r="A108" s="24" t="inlineStr">
        <is>
          <t>efc8bccd60c74d3f</t>
        </is>
      </c>
      <c r="B108" s="24" t="inlineStr">
        <is>
          <t>2026-09-12T16:07:28.570172Z</t>
        </is>
      </c>
      <c r="C108" s="24" t="inlineStr">
        <is>
          <t>2026-09-12T19:30Z</t>
        </is>
      </c>
      <c r="D108" s="24" t="inlineStr">
        <is>
          <t>401862708</t>
        </is>
      </c>
      <c r="E108" s="24" t="inlineStr">
        <is>
          <t>NCAAF</t>
        </is>
      </c>
      <c r="F108" s="24" t="inlineStr">
        <is>
          <t>UL Monroe Warhawks</t>
        </is>
      </c>
      <c r="G108" s="24" t="inlineStr">
        <is>
          <t>UAB Blazers</t>
        </is>
      </c>
      <c r="H108" s="24" t="inlineStr">
        <is>
          <t>spread</t>
        </is>
      </c>
      <c r="I108" s="24" t="inlineStr">
        <is>
          <t>away</t>
        </is>
      </c>
      <c r="J108" s="25" t="n">
        <v>9.5</v>
      </c>
      <c r="K108" s="24" t="inlineStr">
        <is>
          <t>espn_consensus</t>
        </is>
      </c>
      <c r="L108" s="26" t="n">
        <v>-108</v>
      </c>
      <c r="M108" s="27" t="n">
        <v>1.925926</v>
      </c>
      <c r="N108" s="28" t="n">
        <v>0.519231</v>
      </c>
      <c r="O108" s="28" t="n">
        <v>0.543667</v>
      </c>
      <c r="P108" s="28" t="n">
        <v>0.165</v>
      </c>
      <c r="Q108" s="28" t="n">
        <v>0.024436</v>
      </c>
      <c r="R108" s="26" t="n">
        <v>0</v>
      </c>
      <c r="S108" s="29" t="n">
        <v>1</v>
      </c>
      <c r="T108" s="24" t="inlineStr">
        <is>
          <t>cfb-spread-v1</t>
        </is>
      </c>
      <c r="U108" s="24" t="inlineStr">
        <is>
          <t>settled</t>
        </is>
      </c>
      <c r="V108" s="24" t="inlineStr">
        <is>
          <t>win</t>
        </is>
      </c>
      <c r="W108" s="26" t="n">
        <v>20</v>
      </c>
      <c r="X108" s="26" t="n">
        <v>26</v>
      </c>
      <c r="Y108" s="25" t="n"/>
      <c r="Z108" s="26" t="n"/>
      <c r="AA108" s="28" t="n"/>
      <c r="AB108" s="28" t="n"/>
      <c r="AC108" s="30" t="n">
        <v>0.9258999999999999</v>
      </c>
      <c r="AD108" s="24" t="inlineStr">
        <is>
          <t>2026-09-13T04:31:03.224405Z</t>
        </is>
      </c>
      <c r="AE108" s="31" t="inlineStr">
        <is>
          <t>Projected home margin +7.6 pts. Spread: Home -9.5 / Away +9.5 -&gt; P(Away cover)=0.544, P(Home cover)=0.456, P(Push)=0.000.</t>
        </is>
      </c>
      <c r="AF108" s="31" t="inlineStr">
        <is>
          <t>College football model; multi-market (moneyline, spread, total).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UL Monroe Warhawks</t>
        </is>
      </c>
      <c r="AQ108" s="24" t="inlineStr">
        <is>
          <t>UL Monroe Warhawks</t>
        </is>
      </c>
      <c r="AR108" s="24" t="inlineStr">
        <is>
          <t>UL Monroe Warhawks</t>
        </is>
      </c>
      <c r="AS108" s="24" t="inlineStr">
        <is>
          <t>UAB Blazers</t>
        </is>
      </c>
      <c r="AT108" s="24" t="inlineStr">
        <is>
          <t>UAB Blazers</t>
        </is>
      </c>
      <c r="AU108" s="24" t="inlineStr">
        <is>
          <t>UAB Blazers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1d168f11d221cd3c</t>
        </is>
      </c>
      <c r="BB108" s="24" t="inlineStr">
        <is>
          <t>cfb_key_number_engine</t>
        </is>
      </c>
      <c r="BC108" s="24" t="inlineStr">
        <is>
          <t>cfb-spread-v1</t>
        </is>
      </c>
      <c r="BD108" s="24" t="inlineStr">
        <is>
          <t>1d168f11d221cd3c</t>
        </is>
      </c>
      <c r="BE108" s="24" t="inlineStr">
        <is>
          <t>cfb-v1</t>
        </is>
      </c>
      <c r="BF108" s="24" t="inlineStr">
        <is>
          <t>1</t>
        </is>
      </c>
      <c r="BG108" s="24" t="inlineStr">
        <is>
          <t>1d168f11d221cd3c</t>
        </is>
      </c>
      <c r="BH108" s="24" t="inlineStr">
        <is>
          <t>2026-09-12T16:07:28.570172+00:00</t>
        </is>
      </c>
      <c r="BI108" s="24" t="inlineStr">
        <is>
          <t>["same_event","same_team_same_day","same_league_same_day"]</t>
        </is>
      </c>
      <c r="BJ108" s="25" t="n">
        <v>9.5</v>
      </c>
      <c r="BK108" s="26" t="n">
        <v>-108</v>
      </c>
      <c r="BL108" s="27" t="n">
        <v>1.925926</v>
      </c>
      <c r="BM108" s="28" t="n">
        <v>0.519231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>
        <v>1</v>
      </c>
      <c r="BY108" s="27" t="n">
        <v>0.925926</v>
      </c>
      <c r="BZ108" s="24" t="inlineStr">
        <is>
          <t>2026-09-13T04:31:03.224405Z</t>
        </is>
      </c>
      <c r="CA108" s="31" t="inlineStr">
        <is>
          <t>fixed one-unit hypothetical scoring; no real exposure or execution</t>
        </is>
      </c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0.519231</t>
        </is>
      </c>
      <c r="DK108" s="24" t="n"/>
      <c r="DL108" s="24" t="n"/>
      <c r="DM108" s="24" t="n"/>
      <c r="DN108" s="24" t="n"/>
      <c r="DO108" s="24" t="n"/>
      <c r="DP108" s="24" t="n"/>
      <c r="DQ108" s="24" t="inlineStr">
        <is>
          <t>{"artifact_hash": "1d168f11d221cd3c", "event_id": "401862708", "event_start_utc": "2026-09-12T19:30Z", "features": {"altitude_fatigue_penalty": 0.0, "away_team": "UL Monroe Warhawks", "efficiency_gap": 0.782, "elo_away": 1138.8, "elo_home": 1258.9, "elo_home_win_prob": 0.7438, "event_id": "401862708", "game_start_utc": "2026-09-12T19:30Z", "home_field_advantage_points": 2.8, "home_team": "UAB Blazers", "is_dome": false, "is_fbs_vs_fcs": false, "is_neutral_site": false, "projected_away_points": 22.8, "projected_home_points": 30.4, "projected_margin_home": 7.6, "projected_possessions": 12.4, "projected_total": 53.1, "stadium_elevation_ft": 600, "travel_distance_miles": 312.0, "uncertainty": 0.165, "weather_total_adjustment": 0.0}, "historical_source_observation_times_verified": false, "inference_inputs": {"engine_source_sha256": "449ba2f0e86fa9c445730076a0e0bf100fb4914620be53c75c6f3bfe24298f3f", "mu_away": 22.8, "mu_home": 30.4,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138011097330956169166458287198740373042}, "uinteger": 0}, "spread_home_line": -9.5, "total_line": 54.5}, "market_type": "spread", "model_version": "cfb-spread-v1", "observed_at_utc": "2026-09-12T16:07:28.570172+00:00", "probabilities": {"away": 0.543667, "home": 0.456333, "push": 0.0}, "replay_scope": "Full precision score means, exact engine parameters and original RNG state; upstream feature construction not certified.", "schema": "cfb-joint-replay-v1", "snapshot_hash": "cd43ad17073012955ded4429542809ed1411d860ee2850c348f1e3398839cd7f", "sport": "NCAAF"}</t>
        </is>
      </c>
    </row>
    <row r="109" ht="36" customHeight="1">
      <c r="A109" s="24" t="inlineStr">
        <is>
          <t>8cd86a9bc8924707</t>
        </is>
      </c>
      <c r="B109" s="24" t="inlineStr">
        <is>
          <t>2026-09-12T16:07:28.570172Z</t>
        </is>
      </c>
      <c r="C109" s="24" t="inlineStr">
        <is>
          <t>2026-09-12T19:30Z</t>
        </is>
      </c>
      <c r="D109" s="24" t="inlineStr">
        <is>
          <t>401862708</t>
        </is>
      </c>
      <c r="E109" s="24" t="inlineStr">
        <is>
          <t>NCAAF</t>
        </is>
      </c>
      <c r="F109" s="24" t="inlineStr">
        <is>
          <t>UL Monroe Warhawks</t>
        </is>
      </c>
      <c r="G109" s="24" t="inlineStr">
        <is>
          <t>UAB Blazers</t>
        </is>
      </c>
      <c r="H109" s="24" t="inlineStr">
        <is>
          <t>total</t>
        </is>
      </c>
      <c r="I109" s="24" t="inlineStr">
        <is>
          <t>under</t>
        </is>
      </c>
      <c r="J109" s="25" t="n">
        <v>54.5</v>
      </c>
      <c r="K109" s="24" t="inlineStr">
        <is>
          <t>espn_consensus</t>
        </is>
      </c>
      <c r="L109" s="26" t="n">
        <v>-110</v>
      </c>
      <c r="M109" s="27" t="n">
        <v>1.909091</v>
      </c>
      <c r="N109" s="28" t="n">
        <v>0.52381</v>
      </c>
      <c r="O109" s="28" t="n">
        <v>0.545067</v>
      </c>
      <c r="P109" s="28" t="n">
        <v>0.165</v>
      </c>
      <c r="Q109" s="28" t="n">
        <v>0.021257</v>
      </c>
      <c r="R109" s="26" t="n">
        <v>0</v>
      </c>
      <c r="S109" s="29" t="n">
        <v>1</v>
      </c>
      <c r="T109" s="24" t="inlineStr">
        <is>
          <t>cfb-total-v1</t>
        </is>
      </c>
      <c r="U109" s="24" t="inlineStr">
        <is>
          <t>settled</t>
        </is>
      </c>
      <c r="V109" s="24" t="inlineStr">
        <is>
          <t>win</t>
        </is>
      </c>
      <c r="W109" s="26" t="n">
        <v>20</v>
      </c>
      <c r="X109" s="26" t="n">
        <v>26</v>
      </c>
      <c r="Y109" s="25" t="n"/>
      <c r="Z109" s="26" t="n"/>
      <c r="AA109" s="28" t="n"/>
      <c r="AB109" s="28" t="n"/>
      <c r="AC109" s="30" t="n">
        <v>0.9091</v>
      </c>
      <c r="AD109" s="24" t="inlineStr">
        <is>
          <t>2026-09-13T04:31:03.669063Z</t>
        </is>
      </c>
      <c r="AE109" s="31" t="inlineStr">
        <is>
          <t>Projected total 53.1 pts (Weather adj: +0.0 pts). Total line 54.5 -&gt; P(Over)=0.455, P(Under)=0.545, P(Push)=0.000.</t>
        </is>
      </c>
      <c r="AF109" s="31" t="inlineStr">
        <is>
          <t>College football model; multi-market (moneyline, spread, total).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paper_call</t>
        </is>
      </c>
      <c r="AL109" s="26" t="n">
        <v>4</v>
      </c>
      <c r="AM109" s="24" t="inlineStr">
        <is>
          <t>RESEARCH_OBSERVATION</t>
        </is>
      </c>
      <c r="AN109" s="24" t="inlineStr">
        <is>
          <t>CALL</t>
        </is>
      </c>
      <c r="AO109" s="24" t="inlineStr">
        <is>
          <t>PAPER_CALL_LOW_EDGE</t>
        </is>
      </c>
      <c r="AP109" s="24" t="inlineStr">
        <is>
          <t>UL Monroe Warhawks</t>
        </is>
      </c>
      <c r="AQ109" s="24" t="inlineStr">
        <is>
          <t>UL Monroe Warhawks</t>
        </is>
      </c>
      <c r="AR109" s="24" t="inlineStr">
        <is>
          <t>UL Monroe Warhawks</t>
        </is>
      </c>
      <c r="AS109" s="24" t="inlineStr">
        <is>
          <t>UAB Blazers</t>
        </is>
      </c>
      <c r="AT109" s="24" t="inlineStr">
        <is>
          <t>UAB Blazers</t>
        </is>
      </c>
      <c r="AU109" s="24" t="inlineStr">
        <is>
          <t>UAB Blazers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1d168f11d221cd3c</t>
        </is>
      </c>
      <c r="BB109" s="24" t="inlineStr">
        <is>
          <t>cfb_key_number_engine</t>
        </is>
      </c>
      <c r="BC109" s="24" t="inlineStr">
        <is>
          <t>cfb-total-v1</t>
        </is>
      </c>
      <c r="BD109" s="24" t="inlineStr">
        <is>
          <t>1d168f11d221cd3c</t>
        </is>
      </c>
      <c r="BE109" s="24" t="inlineStr">
        <is>
          <t>cfb-v1</t>
        </is>
      </c>
      <c r="BF109" s="24" t="inlineStr">
        <is>
          <t>1</t>
        </is>
      </c>
      <c r="BG109" s="24" t="inlineStr">
        <is>
          <t>1d168f11d221cd3c</t>
        </is>
      </c>
      <c r="BH109" s="24" t="inlineStr">
        <is>
          <t>2026-09-12T16:07:28.570172+00:00</t>
        </is>
      </c>
      <c r="BI109" s="24" t="inlineStr">
        <is>
          <t>["same_event","same_team_same_day","same_league_same_day"]</t>
        </is>
      </c>
      <c r="BJ109" s="25" t="n">
        <v>54.5</v>
      </c>
      <c r="BK109" s="26" t="n">
        <v>-110</v>
      </c>
      <c r="BL109" s="27" t="n">
        <v>1.909091</v>
      </c>
      <c r="BM109" s="28" t="n">
        <v>0.52381</v>
      </c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>
        <v>1</v>
      </c>
      <c r="BY109" s="27" t="n">
        <v>0.909091</v>
      </c>
      <c r="BZ109" s="24" t="inlineStr">
        <is>
          <t>2026-09-13T04:31:03.669063Z</t>
        </is>
      </c>
      <c r="CA109" s="31" t="inlineStr">
        <is>
          <t>fixed one-unit hypothetical scoring; no real exposure or execution</t>
        </is>
      </c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0.52381</t>
        </is>
      </c>
      <c r="DK109" s="24" t="n"/>
      <c r="DL109" s="24" t="n"/>
      <c r="DM109" s="24" t="n"/>
      <c r="DN109" s="24" t="n"/>
      <c r="DO109" s="24" t="n"/>
      <c r="DP109" s="24" t="n"/>
      <c r="DQ109" s="24" t="inlineStr">
        <is>
          <t>{"artifact_hash": "1d168f11d221cd3c", "event_id": "401862708", "event_start_utc": "2026-09-12T19:30Z", "features": {"altitude_fatigue_penalty": 0.0, "away_team": "UL Monroe Warhawks", "efficiency_gap": 0.782, "elo_away": 1138.8, "elo_home": 1258.9, "elo_home_win_prob": 0.7438, "event_id": "401862708", "game_start_utc": "2026-09-12T19:30Z", "home_field_advantage_points": 2.8, "home_team": "UAB Blazers", "is_dome": false, "is_fbs_vs_fcs": false, "is_neutral_site": false, "projected_away_points": 22.8, "projected_home_points": 30.4, "projected_margin_home": 7.6, "projected_possessions": 12.4, "projected_total": 53.1, "stadium_elevation_ft": 600, "travel_distance_miles": 312.0, "uncertainty": 0.165, "weather_total_adjustment": 0.0}, "historical_source_observation_times_verified": false, "inference_inputs": {"engine_source_sha256": "449ba2f0e86fa9c445730076a0e0bf100fb4914620be53c75c6f3bfe24298f3f", "mu_away": 22.8, "mu_home": 30.4,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138011097330956169166458287198740373042}, "uinteger": 0}, "spread_home_line": -9.5, "total_line": 54.5}, "market_type": "total", "model_version": "cfb-total-v1", "observed_at_utc": "2026-09-12T16:07:28.570172+00:00", "probabilities": {"over": 0.454933, "push": 0.0, "under": 0.545067}, "replay_scope": "Full precision score means, exact engine parameters and original RNG state; upstream feature construction not certified.", "schema": "cfb-joint-replay-v1", "snapshot_hash": "b6606b68a17819c6b6496ac4b43ce2b27cf65706fc48ff34d606940afe3911a9", "sport": "NCAAF"}</t>
        </is>
      </c>
    </row>
    <row r="110" ht="36" customHeight="1">
      <c r="A110" s="24" t="inlineStr">
        <is>
          <t>7f77fe8562704834</t>
        </is>
      </c>
      <c r="B110" s="24" t="inlineStr">
        <is>
          <t>2026-09-12T16:07:28.570172Z</t>
        </is>
      </c>
      <c r="C110" s="24" t="inlineStr">
        <is>
          <t>2026-09-12T19:30Z</t>
        </is>
      </c>
      <c r="D110" s="24" t="inlineStr">
        <is>
          <t>401866412</t>
        </is>
      </c>
      <c r="E110" s="24" t="inlineStr">
        <is>
          <t>NCAAF</t>
        </is>
      </c>
      <c r="F110" s="24" t="inlineStr">
        <is>
          <t>Robert Morris Colonials</t>
        </is>
      </c>
      <c r="G110" s="24" t="inlineStr">
        <is>
          <t>Akron Zips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espn_consensus</t>
        </is>
      </c>
      <c r="L110" s="26" t="n">
        <v>-3600</v>
      </c>
      <c r="M110" s="27" t="n">
        <v>1.027778</v>
      </c>
      <c r="N110" s="28" t="n">
        <v>0.972973</v>
      </c>
      <c r="O110" s="28" t="n">
        <v>0.617843</v>
      </c>
      <c r="P110" s="28" t="n">
        <v>0.18</v>
      </c>
      <c r="Q110" s="28" t="n">
        <v>-0.35513</v>
      </c>
      <c r="R110" s="26" t="n">
        <v>0</v>
      </c>
      <c r="S110" s="29" t="n">
        <v>1</v>
      </c>
      <c r="T110" s="24" t="inlineStr">
        <is>
          <t>college-football-v1</t>
        </is>
      </c>
      <c r="U110" s="24" t="inlineStr">
        <is>
          <t>settled</t>
        </is>
      </c>
      <c r="V110" s="24" t="inlineStr">
        <is>
          <t>win</t>
        </is>
      </c>
      <c r="W110" s="26" t="n">
        <v>10</v>
      </c>
      <c r="X110" s="26" t="n">
        <v>45</v>
      </c>
      <c r="Y110" s="25" t="n"/>
      <c r="Z110" s="26" t="n"/>
      <c r="AA110" s="28" t="n"/>
      <c r="AB110" s="28" t="n"/>
      <c r="AC110" s="30" t="n">
        <v>0.0278</v>
      </c>
      <c r="AD110" s="24" t="inlineStr">
        <is>
          <t>2026-09-13T04:31:04.044397Z</t>
        </is>
      </c>
      <c r="AE110" s="31" t="inlineStr">
        <is>
          <t>CFB Joint Model (negative_binomial): proj score Robert Morris Colonials 23.9 @ Akron Zips 28.5 (Margin +4.5). Possessions: 12.4, HFA: +2.8 pts.</t>
        </is>
      </c>
      <c r="AF110" s="31" t="inlineStr">
        <is>
          <t>College football model; multi-market (moneyline, spread, total).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Robert Morris Colonials</t>
        </is>
      </c>
      <c r="AQ110" s="24" t="inlineStr">
        <is>
          <t>Robert Morris Colonials</t>
        </is>
      </c>
      <c r="AR110" s="24" t="inlineStr">
        <is>
          <t>Robert Morris Colonials</t>
        </is>
      </c>
      <c r="AS110" s="24" t="inlineStr">
        <is>
          <t>Akron Zips</t>
        </is>
      </c>
      <c r="AT110" s="24" t="inlineStr">
        <is>
          <t>Akron Zips</t>
        </is>
      </c>
      <c r="AU110" s="24" t="inlineStr">
        <is>
          <t>Akron Zips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1d168f11d221cd3c</t>
        </is>
      </c>
      <c r="BB110" s="24" t="inlineStr">
        <is>
          <t>cfb_key_number_engine</t>
        </is>
      </c>
      <c r="BC110" s="24" t="inlineStr">
        <is>
          <t>college-football-v1</t>
        </is>
      </c>
      <c r="BD110" s="24" t="inlineStr">
        <is>
          <t>1d168f11d221cd3c</t>
        </is>
      </c>
      <c r="BE110" s="24" t="inlineStr">
        <is>
          <t>cfb-v1</t>
        </is>
      </c>
      <c r="BF110" s="24" t="inlineStr">
        <is>
          <t>1</t>
        </is>
      </c>
      <c r="BG110" s="24" t="inlineStr">
        <is>
          <t>1d168f11d221cd3c</t>
        </is>
      </c>
      <c r="BH110" s="24" t="inlineStr">
        <is>
          <t>2026-09-12T16:07:28.570172+00:00</t>
        </is>
      </c>
      <c r="BI110" s="24" t="inlineStr">
        <is>
          <t>["same_event","same_team_same_day","same_league_same_day"]</t>
        </is>
      </c>
      <c r="BJ110" s="25" t="n"/>
      <c r="BK110" s="26" t="n">
        <v>-3600</v>
      </c>
      <c r="BL110" s="27" t="n">
        <v>1.027778</v>
      </c>
      <c r="BM110" s="28" t="n">
        <v>0.972973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>
        <v>1</v>
      </c>
      <c r="BY110" s="27" t="n">
        <v>0.027778</v>
      </c>
      <c r="BZ110" s="24" t="inlineStr">
        <is>
          <t>2026-09-13T04:31:04.044397Z</t>
        </is>
      </c>
      <c r="CA110" s="31" t="inlineStr">
        <is>
          <t>fixed one-unit hypothetical scoring; no real exposure or execution</t>
        </is>
      </c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False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0.972973</t>
        </is>
      </c>
      <c r="DK110" s="24" t="n"/>
      <c r="DL110" s="24" t="n"/>
      <c r="DM110" s="24" t="n"/>
      <c r="DN110" s="24" t="n"/>
      <c r="DO110" s="24" t="n"/>
      <c r="DP110" s="24" t="n"/>
      <c r="DQ110" s="24" t="inlineStr">
        <is>
          <t>{"artifact_hash": "1d168f11d221cd3c", "event_id": "401866412", "event_start_utc": "2026-09-12T19:30Z", "features": {"altitude_fatigue_penalty": 0.0, "away_team": "Robert Morris Colonials", "efficiency_gap": -0.275, "elo_away": 1337.5, "elo_home": 1383.9, "elo_home_win_prob": 0.6551, "event_id": "401866412", "game_start_utc": "2026-09-12T19:30Z", "home_field_advantage_points": 2.8, "home_team": "Akron Zips", "is_dome": false, "is_fbs_vs_fcs": false, "is_neutral_site": false, "projected_away_points": 23.9, "projected_home_points": 28.5, "projected_margin_home": 4.5,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321786150666379150710523321994851771788}, "uinteger": 0}, "spread_home_line": -27.5, "total_line": 46.5}, "market_type": "moneyline", "model_version": "college-football-v1", "observed_at_utc": "2026-09-12T16:07:28.570172+00:00", "probabilities": {"away": 0.382157, "home": 0.617843}, "replay_scope": "Full precision score means, exact engine parameters and original RNG state; upstream feature construction not certified.", "schema": "cfb-joint-replay-v1", "snapshot_hash": "49a39380f7b0ce1e497cb1ac123a88e675d1ca2c8f9703b9c2fde626f783b601", "sport": "NCAAF"}</t>
        </is>
      </c>
    </row>
    <row r="111" ht="36" customHeight="1">
      <c r="A111" s="24" t="inlineStr">
        <is>
          <t>7007b44b2f8c40c9</t>
        </is>
      </c>
      <c r="B111" s="24" t="inlineStr">
        <is>
          <t>2026-09-12T16:07:28.570172Z</t>
        </is>
      </c>
      <c r="C111" s="24" t="inlineStr">
        <is>
          <t>2026-09-12T19:30Z</t>
        </is>
      </c>
      <c r="D111" s="24" t="inlineStr">
        <is>
          <t>401866412</t>
        </is>
      </c>
      <c r="E111" s="24" t="inlineStr">
        <is>
          <t>NCAAF</t>
        </is>
      </c>
      <c r="F111" s="24" t="inlineStr">
        <is>
          <t>Robert Morris Colonials</t>
        </is>
      </c>
      <c r="G111" s="24" t="inlineStr">
        <is>
          <t>Akron Zips</t>
        </is>
      </c>
      <c r="H111" s="24" t="inlineStr">
        <is>
          <t>spread</t>
        </is>
      </c>
      <c r="I111" s="24" t="inlineStr">
        <is>
          <t>away</t>
        </is>
      </c>
      <c r="J111" s="25" t="n">
        <v>27.5</v>
      </c>
      <c r="K111" s="24" t="inlineStr">
        <is>
          <t>espn_consensus</t>
        </is>
      </c>
      <c r="L111" s="26" t="n">
        <v>-110</v>
      </c>
      <c r="M111" s="27" t="n">
        <v>1.909091</v>
      </c>
      <c r="N111" s="28" t="n">
        <v>0.52381</v>
      </c>
      <c r="O111" s="28" t="n">
        <v>0.919133</v>
      </c>
      <c r="P111" s="28" t="n">
        <v>0.18</v>
      </c>
      <c r="Q111" s="28" t="n">
        <v>0.395323</v>
      </c>
      <c r="R111" s="26" t="n">
        <v>100</v>
      </c>
      <c r="S111" s="29" t="n">
        <v>2</v>
      </c>
      <c r="T111" s="24" t="inlineStr">
        <is>
          <t>cfb-spread-v1</t>
        </is>
      </c>
      <c r="U111" s="24" t="inlineStr">
        <is>
          <t>settled</t>
        </is>
      </c>
      <c r="V111" s="24" t="inlineStr">
        <is>
          <t>loss</t>
        </is>
      </c>
      <c r="W111" s="26" t="n">
        <v>10</v>
      </c>
      <c r="X111" s="26" t="n">
        <v>45</v>
      </c>
      <c r="Y111" s="25" t="n"/>
      <c r="Z111" s="26" t="n"/>
      <c r="AA111" s="28" t="n"/>
      <c r="AB111" s="28" t="n"/>
      <c r="AC111" s="30" t="n">
        <v>-2</v>
      </c>
      <c r="AD111" s="24" t="inlineStr">
        <is>
          <t>2026-09-13T04:31:04.372239Z</t>
        </is>
      </c>
      <c r="AE111" s="31" t="inlineStr">
        <is>
          <t>Projected home margin +4.5 pts. Spread: Home -27.5 / Away +27.5 -&gt; P(Away cover)=0.919, P(Home cover)=0.081, P(Push)=0.000.</t>
        </is>
      </c>
      <c r="AF111" s="31" t="inlineStr">
        <is>
          <t>College football model; multi-market (moneyline, spread, total).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4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Robert Morris Colonials</t>
        </is>
      </c>
      <c r="AQ111" s="24" t="inlineStr">
        <is>
          <t>Robert Morris Colonials</t>
        </is>
      </c>
      <c r="AR111" s="24" t="inlineStr">
        <is>
          <t>Robert Morris Colonials</t>
        </is>
      </c>
      <c r="AS111" s="24" t="inlineStr">
        <is>
          <t>Akron Zips</t>
        </is>
      </c>
      <c r="AT111" s="24" t="inlineStr">
        <is>
          <t>Akron Zips</t>
        </is>
      </c>
      <c r="AU111" s="24" t="inlineStr">
        <is>
          <t>Akron Zips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1d168f11d221cd3c</t>
        </is>
      </c>
      <c r="BB111" s="24" t="inlineStr">
        <is>
          <t>cfb_key_number_engine</t>
        </is>
      </c>
      <c r="BC111" s="24" t="inlineStr">
        <is>
          <t>cfb-spread-v1</t>
        </is>
      </c>
      <c r="BD111" s="24" t="inlineStr">
        <is>
          <t>1d168f11d221cd3c</t>
        </is>
      </c>
      <c r="BE111" s="24" t="inlineStr">
        <is>
          <t>cfb-v1</t>
        </is>
      </c>
      <c r="BF111" s="24" t="inlineStr">
        <is>
          <t>1</t>
        </is>
      </c>
      <c r="BG111" s="24" t="inlineStr">
        <is>
          <t>1d168f11d221cd3c</t>
        </is>
      </c>
      <c r="BH111" s="24" t="inlineStr">
        <is>
          <t>2026-09-12T16:07:28.570172+00:00</t>
        </is>
      </c>
      <c r="BI111" s="24" t="inlineStr">
        <is>
          <t>["same_event","same_team_same_day","same_league_same_day"]</t>
        </is>
      </c>
      <c r="BJ111" s="25" t="n">
        <v>27.5</v>
      </c>
      <c r="BK111" s="26" t="n">
        <v>-110</v>
      </c>
      <c r="BL111" s="27" t="n">
        <v>1.909091</v>
      </c>
      <c r="BM111" s="28" t="n">
        <v>0.52381</v>
      </c>
      <c r="BN111" s="28" t="n"/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True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0.52381</t>
        </is>
      </c>
      <c r="DK111" s="24" t="n"/>
      <c r="DL111" s="24" t="n"/>
      <c r="DM111" s="24" t="n"/>
      <c r="DN111" s="24" t="n"/>
      <c r="DO111" s="24" t="n"/>
      <c r="DP111" s="24" t="n"/>
      <c r="DQ111" s="24" t="inlineStr">
        <is>
          <t>{"artifact_hash": "1d168f11d221cd3c", "event_id": "401866412", "event_start_utc": "2026-09-12T19:30Z", "features": {"altitude_fatigue_penalty": 0.0, "away_team": "Robert Morris Colonials", "efficiency_gap": -0.275, "elo_away": 1337.5, "elo_home": 1383.9, "elo_home_win_prob": 0.6551, "event_id": "401866412", "game_start_utc": "2026-09-12T19:30Z", "home_field_advantage_points": 2.8, "home_team": "Akron Zips", "is_dome": false, "is_fbs_vs_fcs": false, "is_neutral_site": false, "projected_away_points": 23.9, "projected_home_points": 28.5, "projected_margin_home": 4.5,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321786150666379150710523321994851771788}, "uinteger": 0}, "spread_home_line": -27.5, "total_line": 46.5}, "market_type": "spread", "model_version": "cfb-spread-v1", "observed_at_utc": "2026-09-12T16:07:28.570172+00:00", "probabilities": {"away": 0.919133, "home": 0.080867, "push": 0.0}, "replay_scope": "Full precision score means, exact engine parameters and original RNG state; upstream feature construction not certified.", "schema": "cfb-joint-replay-v1", "snapshot_hash": "d04787c53b242e392e75486b22c6ea6473db678686183cf5a9c3df4b8d753373", "sport": "NCAAF"}</t>
        </is>
      </c>
    </row>
    <row r="112" ht="36" customHeight="1">
      <c r="A112" s="24" t="inlineStr">
        <is>
          <t>041218ad0d4d4fa0</t>
        </is>
      </c>
      <c r="B112" s="24" t="inlineStr">
        <is>
          <t>2026-09-12T16:07:28.570172Z</t>
        </is>
      </c>
      <c r="C112" s="24" t="inlineStr">
        <is>
          <t>2026-09-12T19:30Z</t>
        </is>
      </c>
      <c r="D112" s="24" t="inlineStr">
        <is>
          <t>401866412</t>
        </is>
      </c>
      <c r="E112" s="24" t="inlineStr">
        <is>
          <t>NCAAF</t>
        </is>
      </c>
      <c r="F112" s="24" t="inlineStr">
        <is>
          <t>Robert Morris Colonials</t>
        </is>
      </c>
      <c r="G112" s="24" t="inlineStr">
        <is>
          <t>Akron Zips</t>
        </is>
      </c>
      <c r="H112" s="24" t="inlineStr">
        <is>
          <t>total</t>
        </is>
      </c>
      <c r="I112" s="24" t="inlineStr">
        <is>
          <t>over</t>
        </is>
      </c>
      <c r="J112" s="25" t="n">
        <v>46.5</v>
      </c>
      <c r="K112" s="24" t="inlineStr">
        <is>
          <t>espn_consensus</t>
        </is>
      </c>
      <c r="L112" s="26" t="n">
        <v>-110</v>
      </c>
      <c r="M112" s="27" t="n">
        <v>1.909091</v>
      </c>
      <c r="N112" s="28" t="n">
        <v>0.52381</v>
      </c>
      <c r="O112" s="28" t="n">
        <v>0.594933</v>
      </c>
      <c r="P112" s="28" t="n">
        <v>0.18</v>
      </c>
      <c r="Q112" s="28" t="n">
        <v>0.07112300000000001</v>
      </c>
      <c r="R112" s="26" t="n">
        <v>0</v>
      </c>
      <c r="S112" s="29" t="n">
        <v>1</v>
      </c>
      <c r="T112" s="24" t="inlineStr">
        <is>
          <t>cfb-total-v1</t>
        </is>
      </c>
      <c r="U112" s="24" t="inlineStr">
        <is>
          <t>settled</t>
        </is>
      </c>
      <c r="V112" s="24" t="inlineStr">
        <is>
          <t>win</t>
        </is>
      </c>
      <c r="W112" s="26" t="n">
        <v>10</v>
      </c>
      <c r="X112" s="26" t="n">
        <v>45</v>
      </c>
      <c r="Y112" s="25" t="n"/>
      <c r="Z112" s="26" t="n"/>
      <c r="AA112" s="28" t="n"/>
      <c r="AB112" s="28" t="n"/>
      <c r="AC112" s="30" t="n">
        <v>0.9091</v>
      </c>
      <c r="AD112" s="24" t="inlineStr">
        <is>
          <t>2026-09-13T04:31:04.741738Z</t>
        </is>
      </c>
      <c r="AE112" s="31" t="inlineStr">
        <is>
          <t>Projected total 52.4 pts (Weather adj: +0.0 pts). Total line 46.5 -&gt; P(Over)=0.595, P(Under)=0.405, P(Push)=0.000.</t>
        </is>
      </c>
      <c r="AF112" s="31" t="inlineStr">
        <is>
          <t>College football model; multi-market (moneyline, spread, total).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4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Robert Morris Colonials</t>
        </is>
      </c>
      <c r="AQ112" s="24" t="inlineStr">
        <is>
          <t>Robert Morris Colonials</t>
        </is>
      </c>
      <c r="AR112" s="24" t="inlineStr">
        <is>
          <t>Robert Morris Colonials</t>
        </is>
      </c>
      <c r="AS112" s="24" t="inlineStr">
        <is>
          <t>Akron Zips</t>
        </is>
      </c>
      <c r="AT112" s="24" t="inlineStr">
        <is>
          <t>Akron Zips</t>
        </is>
      </c>
      <c r="AU112" s="24" t="inlineStr">
        <is>
          <t>Akron Zips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1d168f11d221cd3c</t>
        </is>
      </c>
      <c r="BB112" s="24" t="inlineStr">
        <is>
          <t>cfb_key_number_engine</t>
        </is>
      </c>
      <c r="BC112" s="24" t="inlineStr">
        <is>
          <t>cfb-total-v1</t>
        </is>
      </c>
      <c r="BD112" s="24" t="inlineStr">
        <is>
          <t>1d168f11d221cd3c</t>
        </is>
      </c>
      <c r="BE112" s="24" t="inlineStr">
        <is>
          <t>cfb-v1</t>
        </is>
      </c>
      <c r="BF112" s="24" t="inlineStr">
        <is>
          <t>1</t>
        </is>
      </c>
      <c r="BG112" s="24" t="inlineStr">
        <is>
          <t>1d168f11d221cd3c</t>
        </is>
      </c>
      <c r="BH112" s="24" t="inlineStr">
        <is>
          <t>2026-09-12T16:07:28.570172+00:00</t>
        </is>
      </c>
      <c r="BI112" s="24" t="inlineStr">
        <is>
          <t>["same_event","same_team_same_day","same_league_same_day"]</t>
        </is>
      </c>
      <c r="BJ112" s="25" t="n">
        <v>46.5</v>
      </c>
      <c r="BK112" s="26" t="n">
        <v>-110</v>
      </c>
      <c r="BL112" s="27" t="n">
        <v>1.909091</v>
      </c>
      <c r="BM112" s="28" t="n">
        <v>0.52381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0.52381</t>
        </is>
      </c>
      <c r="DK112" s="24" t="n"/>
      <c r="DL112" s="24" t="n"/>
      <c r="DM112" s="24" t="n"/>
      <c r="DN112" s="24" t="n"/>
      <c r="DO112" s="24" t="n"/>
      <c r="DP112" s="24" t="n"/>
      <c r="DQ112" s="24" t="inlineStr">
        <is>
          <t>{"artifact_hash": "1d168f11d221cd3c", "event_id": "401866412", "event_start_utc": "2026-09-12T19:30Z", "features": {"altitude_fatigue_penalty": 0.0, "away_team": "Robert Morris Colonials", "efficiency_gap": -0.275, "elo_away": 1337.5, "elo_home": 1383.9, "elo_home_win_prob": 0.6551, "event_id": "401866412", "game_start_utc": "2026-09-12T19:30Z", "home_field_advantage_points": 2.8, "home_team": "Akron Zips", "is_dome": false, "is_fbs_vs_fcs": false, "is_neutral_site": false, "projected_away_points": 23.9, "projected_home_points": 28.5, "projected_margin_home": 4.5,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321786150666379150710523321994851771788}, "uinteger": 0}, "spread_home_line": -27.5, "total_line": 46.5}, "market_type": "total", "model_version": "cfb-total-v1", "observed_at_utc": "2026-09-12T16:07:28.570172+00:00", "probabilities": {"over": 0.594933, "push": 0.0, "under": 0.405067}, "replay_scope": "Full precision score means, exact engine parameters and original RNG state; upstream feature construction not certified.", "schema": "cfb-joint-replay-v1", "snapshot_hash": "68160d8f4b8eb4a05962b11e06afce11416762fc6af3c1d849f0924414dc4e27", "sport": "NCAAF"}</t>
        </is>
      </c>
    </row>
    <row r="113" ht="36" customHeight="1">
      <c r="A113" s="24" t="inlineStr">
        <is>
          <t>d4abfafbcdfc4774</t>
        </is>
      </c>
      <c r="B113" s="24" t="inlineStr">
        <is>
          <t>2026-09-12T16:07:28.570172Z</t>
        </is>
      </c>
      <c r="C113" s="24" t="inlineStr">
        <is>
          <t>2026-09-12T19:30Z</t>
        </is>
      </c>
      <c r="D113" s="24" t="inlineStr">
        <is>
          <t>401866419</t>
        </is>
      </c>
      <c r="E113" s="24" t="inlineStr">
        <is>
          <t>NCAAF</t>
        </is>
      </c>
      <c r="F113" s="24" t="inlineStr">
        <is>
          <t>Central Connecticut Blue Devils</t>
        </is>
      </c>
      <c r="G113" s="24" t="inlineStr">
        <is>
          <t>Toledo Rockets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espn_consensus</t>
        </is>
      </c>
      <c r="L113" s="26" t="n">
        <v>-20001</v>
      </c>
      <c r="M113" s="27" t="n">
        <v>1.005</v>
      </c>
      <c r="N113" s="28" t="n">
        <v>0.995025</v>
      </c>
      <c r="O113" s="28" t="n">
        <v>0.793512</v>
      </c>
      <c r="P113" s="28" t="n">
        <v>0.18</v>
      </c>
      <c r="Q113" s="28" t="n">
        <v>-0.201513</v>
      </c>
      <c r="R113" s="26" t="n">
        <v>0</v>
      </c>
      <c r="S113" s="29" t="n">
        <v>1</v>
      </c>
      <c r="T113" s="24" t="inlineStr">
        <is>
          <t>college-football-v1</t>
        </is>
      </c>
      <c r="U113" s="24" t="inlineStr">
        <is>
          <t>settled</t>
        </is>
      </c>
      <c r="V113" s="24" t="inlineStr">
        <is>
          <t>win</t>
        </is>
      </c>
      <c r="W113" s="26" t="n">
        <v>10</v>
      </c>
      <c r="X113" s="26" t="n">
        <v>63</v>
      </c>
      <c r="Y113" s="25" t="n"/>
      <c r="Z113" s="26" t="n"/>
      <c r="AA113" s="28" t="n"/>
      <c r="AB113" s="28" t="n"/>
      <c r="AC113" s="30" t="n">
        <v>0.005</v>
      </c>
      <c r="AD113" s="24" t="inlineStr">
        <is>
          <t>2026-09-13T04:31:05.124607Z</t>
        </is>
      </c>
      <c r="AE113" s="31" t="inlineStr">
        <is>
          <t>CFB Joint Model (negative_binomial): proj score Central Connecticut Blue Devils 19.7 @ Toledo Rockets 32.8 (Margin +13.1). Possessions: 12.4, HFA: +2.8 pts.</t>
        </is>
      </c>
      <c r="AF113" s="31" t="inlineStr">
        <is>
          <t>College football model; multi-market (moneyline, spread, total).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Central Connecticut Blue Devils</t>
        </is>
      </c>
      <c r="AQ113" s="24" t="inlineStr">
        <is>
          <t>Central Connecticut Blue Devils</t>
        </is>
      </c>
      <c r="AR113" s="24" t="inlineStr">
        <is>
          <t>Central Connecticut Blue Devils</t>
        </is>
      </c>
      <c r="AS113" s="24" t="inlineStr">
        <is>
          <t>Toledo Rockets</t>
        </is>
      </c>
      <c r="AT113" s="24" t="inlineStr">
        <is>
          <t>Toledo Rockets</t>
        </is>
      </c>
      <c r="AU113" s="24" t="inlineStr">
        <is>
          <t>Toledo Rockets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1d168f11d221cd3c</t>
        </is>
      </c>
      <c r="BB113" s="24" t="inlineStr">
        <is>
          <t>cfb_key_number_engine</t>
        </is>
      </c>
      <c r="BC113" s="24" t="inlineStr">
        <is>
          <t>college-football-v1</t>
        </is>
      </c>
      <c r="BD113" s="24" t="inlineStr">
        <is>
          <t>1d168f11d221cd3c</t>
        </is>
      </c>
      <c r="BE113" s="24" t="inlineStr">
        <is>
          <t>cfb-v1</t>
        </is>
      </c>
      <c r="BF113" s="24" t="inlineStr">
        <is>
          <t>1</t>
        </is>
      </c>
      <c r="BG113" s="24" t="inlineStr">
        <is>
          <t>1d168f11d221cd3c</t>
        </is>
      </c>
      <c r="BH113" s="24" t="inlineStr">
        <is>
          <t>2026-09-12T16:07:28.570172+00:00</t>
        </is>
      </c>
      <c r="BI113" s="24" t="inlineStr">
        <is>
          <t>["same_event","same_team_same_day","same_league_same_day"]</t>
        </is>
      </c>
      <c r="BJ113" s="25" t="n"/>
      <c r="BK113" s="26" t="n">
        <v>-20001</v>
      </c>
      <c r="BL113" s="27" t="n">
        <v>1.005</v>
      </c>
      <c r="BM113" s="28" t="n">
        <v>0.995025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>
        <v>1</v>
      </c>
      <c r="BY113" s="27" t="n">
        <v>0.005</v>
      </c>
      <c r="BZ113" s="24" t="inlineStr">
        <is>
          <t>2026-09-13T04:31:05.124607Z</t>
        </is>
      </c>
      <c r="CA113" s="31" t="inlineStr">
        <is>
          <t>fixed one-unit hypothetical scoring; no real exposure or execution</t>
        </is>
      </c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0.995025</t>
        </is>
      </c>
      <c r="DK113" s="24" t="n"/>
      <c r="DL113" s="24" t="n"/>
      <c r="DM113" s="24" t="n"/>
      <c r="DN113" s="24" t="n"/>
      <c r="DO113" s="24" t="n"/>
      <c r="DP113" s="24" t="n"/>
      <c r="DQ113" s="24" t="inlineStr">
        <is>
          <t>{"artifact_hash": "1d168f11d221cd3c", "event_id": "401866419", "event_start_utc": "2026-09-12T19:30Z", "features": {"altitude_fatigue_penalty": 0.0, "away_team": "Central Connecticut Blue Devils", "efficiency_gap": -0.062, "elo_away": 1337.5, "elo_home": 1592.6, "elo_home_win_prob": 0.8633, "event_id": "401866419", "game_start_utc": "2026-09-12T19:30Z", "home_field_advantage_points": 2.8, "home_team": "Toledo Rockets", "is_dome": false, "is_fbs_vs_fcs": false, "is_neutral_site": false, "projected_away_points": 19.7, "projected_home_points": 32.8, "projected_margin_home": 13.1, "projected_possessions": 12.4, "projected_total": 52.5,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19.7, "mu_home": 32.8,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227803485389093427347238235340743840542}, "uinteger": 0}, "spread_home_line": -36.5, "total_line": 53.5}, "market_type": "moneyline", "model_version": "college-football-v1", "observed_at_utc": "2026-09-12T16:07:28.570172+00:00", "probabilities": {"away": 0.206488, "home": 0.793512}, "replay_scope": "Full precision score means, exact engine parameters and original RNG state; upstream feature construction not certified.", "schema": "cfb-joint-replay-v1", "snapshot_hash": "0a07eefb2167ce9732b06591639e99e955e14d29cea48f9dba77990aeca6afcc", "sport": "NCAAF"}</t>
        </is>
      </c>
    </row>
    <row r="114" ht="36" customHeight="1">
      <c r="A114" s="24" t="inlineStr">
        <is>
          <t>1430e612fce14301</t>
        </is>
      </c>
      <c r="B114" s="24" t="inlineStr">
        <is>
          <t>2026-09-12T16:07:28.570172Z</t>
        </is>
      </c>
      <c r="C114" s="24" t="inlineStr">
        <is>
          <t>2026-09-12T19:30Z</t>
        </is>
      </c>
      <c r="D114" s="24" t="inlineStr">
        <is>
          <t>401866419</t>
        </is>
      </c>
      <c r="E114" s="24" t="inlineStr">
        <is>
          <t>NCAAF</t>
        </is>
      </c>
      <c r="F114" s="24" t="inlineStr">
        <is>
          <t>Central Connecticut Blue Devils</t>
        </is>
      </c>
      <c r="G114" s="24" t="inlineStr">
        <is>
          <t>Toledo Rockets</t>
        </is>
      </c>
      <c r="H114" s="24" t="inlineStr">
        <is>
          <t>spread</t>
        </is>
      </c>
      <c r="I114" s="24" t="inlineStr">
        <is>
          <t>away</t>
        </is>
      </c>
      <c r="J114" s="25" t="n">
        <v>36.5</v>
      </c>
      <c r="K114" s="24" t="inlineStr">
        <is>
          <t>espn_consensus</t>
        </is>
      </c>
      <c r="L114" s="26" t="n">
        <v>-112</v>
      </c>
      <c r="M114" s="27" t="n">
        <v>1.892857</v>
      </c>
      <c r="N114" s="28" t="n">
        <v>0.528302</v>
      </c>
      <c r="O114" s="28" t="n">
        <v>0.924133</v>
      </c>
      <c r="P114" s="28" t="n">
        <v>0.18</v>
      </c>
      <c r="Q114" s="28" t="n">
        <v>0.395831</v>
      </c>
      <c r="R114" s="26" t="n">
        <v>100</v>
      </c>
      <c r="S114" s="29" t="n">
        <v>2</v>
      </c>
      <c r="T114" s="24" t="inlineStr">
        <is>
          <t>cfb-spread-v1</t>
        </is>
      </c>
      <c r="U114" s="24" t="inlineStr">
        <is>
          <t>settled</t>
        </is>
      </c>
      <c r="V114" s="24" t="inlineStr">
        <is>
          <t>loss</t>
        </is>
      </c>
      <c r="W114" s="26" t="n">
        <v>10</v>
      </c>
      <c r="X114" s="26" t="n">
        <v>63</v>
      </c>
      <c r="Y114" s="25" t="n"/>
      <c r="Z114" s="26" t="n"/>
      <c r="AA114" s="28" t="n"/>
      <c r="AB114" s="28" t="n"/>
      <c r="AC114" s="30" t="n">
        <v>-2</v>
      </c>
      <c r="AD114" s="24" t="inlineStr">
        <is>
          <t>2026-09-13T04:31:05.454227Z</t>
        </is>
      </c>
      <c r="AE114" s="31" t="inlineStr">
        <is>
          <t>Projected home margin +13.1 pts. Spread: Home -36.5 / Away +36.5 -&gt; P(Away cover)=0.924, P(Home cover)=0.076, P(Push)=0.000.</t>
        </is>
      </c>
      <c r="AF114" s="31" t="inlineStr">
        <is>
          <t>College football model; multi-market (moneyline, spread, total).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4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Central Connecticut Blue Devils</t>
        </is>
      </c>
      <c r="AQ114" s="24" t="inlineStr">
        <is>
          <t>Central Connecticut Blue Devils</t>
        </is>
      </c>
      <c r="AR114" s="24" t="inlineStr">
        <is>
          <t>Central Connecticut Blue Devils</t>
        </is>
      </c>
      <c r="AS114" s="24" t="inlineStr">
        <is>
          <t>Toledo Rockets</t>
        </is>
      </c>
      <c r="AT114" s="24" t="inlineStr">
        <is>
          <t>Toledo Rockets</t>
        </is>
      </c>
      <c r="AU114" s="24" t="inlineStr">
        <is>
          <t>Toledo Rockets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1d168f11d221cd3c</t>
        </is>
      </c>
      <c r="BB114" s="24" t="inlineStr">
        <is>
          <t>cfb_key_number_engine</t>
        </is>
      </c>
      <c r="BC114" s="24" t="inlineStr">
        <is>
          <t>cfb-spread-v1</t>
        </is>
      </c>
      <c r="BD114" s="24" t="inlineStr">
        <is>
          <t>1d168f11d221cd3c</t>
        </is>
      </c>
      <c r="BE114" s="24" t="inlineStr">
        <is>
          <t>cfb-v1</t>
        </is>
      </c>
      <c r="BF114" s="24" t="inlineStr">
        <is>
          <t>1</t>
        </is>
      </c>
      <c r="BG114" s="24" t="inlineStr">
        <is>
          <t>1d168f11d221cd3c</t>
        </is>
      </c>
      <c r="BH114" s="24" t="inlineStr">
        <is>
          <t>2026-09-12T16:07:28.570172+00:00</t>
        </is>
      </c>
      <c r="BI114" s="24" t="inlineStr">
        <is>
          <t>["same_event","same_team_same_day","same_league_same_day"]</t>
        </is>
      </c>
      <c r="BJ114" s="25" t="n">
        <v>36.5</v>
      </c>
      <c r="BK114" s="26" t="n">
        <v>-112</v>
      </c>
      <c r="BL114" s="27" t="n">
        <v>1.892857</v>
      </c>
      <c r="BM114" s="28" t="n">
        <v>0.528302</v>
      </c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0.528302</t>
        </is>
      </c>
      <c r="DK114" s="24" t="n"/>
      <c r="DL114" s="24" t="n"/>
      <c r="DM114" s="24" t="n"/>
      <c r="DN114" s="24" t="n"/>
      <c r="DO114" s="24" t="n"/>
      <c r="DP114" s="24" t="n"/>
      <c r="DQ114" s="24" t="inlineStr">
        <is>
          <t>{"artifact_hash": "1d168f11d221cd3c", "event_id": "401866419", "event_start_utc": "2026-09-12T19:30Z", "features": {"altitude_fatigue_penalty": 0.0, "away_team": "Central Connecticut Blue Devils", "efficiency_gap": -0.062, "elo_away": 1337.5, "elo_home": 1592.6, "elo_home_win_prob": 0.8633, "event_id": "401866419", "game_start_utc": "2026-09-12T19:30Z", "home_field_advantage_points": 2.8, "home_team": "Toledo Rockets", "is_dome": false, "is_fbs_vs_fcs": false, "is_neutral_site": false, "projected_away_points": 19.7, "projected_home_points": 32.8, "projected_margin_home": 13.1, "projected_possessions": 12.4, "projected_total": 52.5,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19.7, "mu_home": 32.8,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227803485389093427347238235340743840542}, "uinteger": 0}, "spread_home_line": -36.5, "total_line": 53.5}, "market_type": "spread", "model_version": "cfb-spread-v1", "observed_at_utc": "2026-09-12T16:07:28.570172+00:00", "probabilities": {"away": 0.924133, "home": 0.075867, "push": 0.0}, "replay_scope": "Full precision score means, exact engine parameters and original RNG state; upstream feature construction not certified.", "schema": "cfb-joint-replay-v1", "snapshot_hash": "a5ee471f57784b118f9c13842364b1d2979a00ad2285299df0e65b5316cdd133", "sport": "NCAAF"}</t>
        </is>
      </c>
    </row>
    <row r="115" ht="36" customHeight="1">
      <c r="A115" s="24" t="inlineStr">
        <is>
          <t>b2c23ce0d7db44ad</t>
        </is>
      </c>
      <c r="B115" s="24" t="inlineStr">
        <is>
          <t>2026-09-12T16:07:28.570172Z</t>
        </is>
      </c>
      <c r="C115" s="24" t="inlineStr">
        <is>
          <t>2026-09-12T19:30Z</t>
        </is>
      </c>
      <c r="D115" s="24" t="inlineStr">
        <is>
          <t>401866419</t>
        </is>
      </c>
      <c r="E115" s="24" t="inlineStr">
        <is>
          <t>NCAAF</t>
        </is>
      </c>
      <c r="F115" s="24" t="inlineStr">
        <is>
          <t>Central Connecticut Blue Devils</t>
        </is>
      </c>
      <c r="G115" s="24" t="inlineStr">
        <is>
          <t>Toledo Rockets</t>
        </is>
      </c>
      <c r="H115" s="24" t="inlineStr">
        <is>
          <t>total</t>
        </is>
      </c>
      <c r="I115" s="24" t="inlineStr">
        <is>
          <t>under</t>
        </is>
      </c>
      <c r="J115" s="25" t="n">
        <v>53.5</v>
      </c>
      <c r="K115" s="24" t="inlineStr">
        <is>
          <t>espn_consensus</t>
        </is>
      </c>
      <c r="L115" s="26" t="n">
        <v>-112</v>
      </c>
      <c r="M115" s="27" t="n">
        <v>1.892857</v>
      </c>
      <c r="N115" s="28" t="n">
        <v>0.528302</v>
      </c>
      <c r="O115" s="28" t="n">
        <v>0.5478</v>
      </c>
      <c r="P115" s="28" t="n">
        <v>0.18</v>
      </c>
      <c r="Q115" s="28" t="n">
        <v>0.019498</v>
      </c>
      <c r="R115" s="26" t="n">
        <v>0</v>
      </c>
      <c r="S115" s="29" t="n">
        <v>1</v>
      </c>
      <c r="T115" s="24" t="inlineStr">
        <is>
          <t>cfb-total-v1</t>
        </is>
      </c>
      <c r="U115" s="24" t="inlineStr">
        <is>
          <t>settled</t>
        </is>
      </c>
      <c r="V115" s="24" t="inlineStr">
        <is>
          <t>loss</t>
        </is>
      </c>
      <c r="W115" s="26" t="n">
        <v>10</v>
      </c>
      <c r="X115" s="26" t="n">
        <v>63</v>
      </c>
      <c r="Y115" s="25" t="n"/>
      <c r="Z115" s="26" t="n"/>
      <c r="AA115" s="28" t="n"/>
      <c r="AB115" s="28" t="n"/>
      <c r="AC115" s="30" t="n">
        <v>-1</v>
      </c>
      <c r="AD115" s="24" t="inlineStr">
        <is>
          <t>2026-09-13T04:31:05.889359Z</t>
        </is>
      </c>
      <c r="AE115" s="31" t="inlineStr">
        <is>
          <t>Projected total 52.5 pts (Weather adj: +0.0 pts). Total line 53.5 -&gt; P(Over)=0.452, P(Under)=0.548, P(Push)=0.000.</t>
        </is>
      </c>
      <c r="AF115" s="31" t="inlineStr">
        <is>
          <t>College football model; multi-market (moneyline, spread, total).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Central Connecticut Blue Devils</t>
        </is>
      </c>
      <c r="AQ115" s="24" t="inlineStr">
        <is>
          <t>Central Connecticut Blue Devils</t>
        </is>
      </c>
      <c r="AR115" s="24" t="inlineStr">
        <is>
          <t>Central Connecticut Blue Devils</t>
        </is>
      </c>
      <c r="AS115" s="24" t="inlineStr">
        <is>
          <t>Toledo Rockets</t>
        </is>
      </c>
      <c r="AT115" s="24" t="inlineStr">
        <is>
          <t>Toledo Rockets</t>
        </is>
      </c>
      <c r="AU115" s="24" t="inlineStr">
        <is>
          <t>Toledo Rockets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1d168f11d221cd3c</t>
        </is>
      </c>
      <c r="BB115" s="24" t="inlineStr">
        <is>
          <t>cfb_key_number_engine</t>
        </is>
      </c>
      <c r="BC115" s="24" t="inlineStr">
        <is>
          <t>cfb-total-v1</t>
        </is>
      </c>
      <c r="BD115" s="24" t="inlineStr">
        <is>
          <t>1d168f11d221cd3c</t>
        </is>
      </c>
      <c r="BE115" s="24" t="inlineStr">
        <is>
          <t>cfb-v1</t>
        </is>
      </c>
      <c r="BF115" s="24" t="inlineStr">
        <is>
          <t>1</t>
        </is>
      </c>
      <c r="BG115" s="24" t="inlineStr">
        <is>
          <t>1d168f11d221cd3c</t>
        </is>
      </c>
      <c r="BH115" s="24" t="inlineStr">
        <is>
          <t>2026-09-12T16:07:28.570172+00:00</t>
        </is>
      </c>
      <c r="BI115" s="24" t="inlineStr">
        <is>
          <t>["same_event","same_team_same_day","same_league_same_day"]</t>
        </is>
      </c>
      <c r="BJ115" s="25" t="n">
        <v>53.5</v>
      </c>
      <c r="BK115" s="26" t="n">
        <v>-112</v>
      </c>
      <c r="BL115" s="27" t="n">
        <v>1.892857</v>
      </c>
      <c r="BM115" s="28" t="n">
        <v>0.528302</v>
      </c>
      <c r="BN115" s="28" t="n"/>
      <c r="BO115" s="28" t="n"/>
      <c r="BP115" s="25" t="n"/>
      <c r="BQ115" s="27" t="n"/>
      <c r="BR115" s="28" t="n"/>
      <c r="BS115" s="28" t="n"/>
      <c r="BT115" s="28" t="n"/>
      <c r="BU115" s="25" t="n"/>
      <c r="BV115" s="29" t="n"/>
      <c r="BW115" s="24" t="n"/>
      <c r="BX115" s="30" t="n">
        <v>1</v>
      </c>
      <c r="BY115" s="27" t="n">
        <v>-1</v>
      </c>
      <c r="BZ115" s="24" t="inlineStr">
        <is>
          <t>2026-09-13T04:31:05.889359Z</t>
        </is>
      </c>
      <c r="CA115" s="31" t="inlineStr">
        <is>
          <t>fixed one-unit hypothetical scoring; no real exposure or execution</t>
        </is>
      </c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0.528302</t>
        </is>
      </c>
      <c r="DK115" s="24" t="n"/>
      <c r="DL115" s="24" t="n"/>
      <c r="DM115" s="24" t="n"/>
      <c r="DN115" s="24" t="n"/>
      <c r="DO115" s="24" t="n"/>
      <c r="DP115" s="24" t="n"/>
      <c r="DQ115" s="24" t="inlineStr">
        <is>
          <t>{"artifact_hash": "1d168f11d221cd3c", "event_id": "401866419", "event_start_utc": "2026-09-12T19:30Z", "features": {"altitude_fatigue_penalty": 0.0, "away_team": "Central Connecticut Blue Devils", "efficiency_gap": -0.062, "elo_away": 1337.5, "elo_home": 1592.6, "elo_home_win_prob": 0.8633, "event_id": "401866419", "game_start_utc": "2026-09-12T19:30Z", "home_field_advantage_points": 2.8, "home_team": "Toledo Rockets", "is_dome": false, "is_fbs_vs_fcs": false, "is_neutral_site": false, "projected_away_points": 19.7, "projected_home_points": 32.8, "projected_margin_home": 13.1, "projected_possessions": 12.4, "projected_total": 52.5,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19.7, "mu_home": 32.8,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227803485389093427347238235340743840542}, "uinteger": 0}, "spread_home_line": -36.5, "total_line": 53.5}, "market_type": "total", "model_version": "cfb-total-v1", "observed_at_utc": "2026-09-12T16:07:28.570172+00:00", "probabilities": {"over": 0.4522, "push": 0.0, "under": 0.5478}, "replay_scope": "Full precision score means, exact engine parameters and original RNG state; upstream feature construction not certified.", "schema": "cfb-joint-replay-v1", "snapshot_hash": "93a4c2f19743bd463122285928bcd2db7e2be4815e183fc84c4c3e6d68a2a3e8", "sport": "NCAAF"}</t>
        </is>
      </c>
    </row>
    <row r="116" ht="36" customHeight="1">
      <c r="A116" s="24" t="inlineStr">
        <is>
          <t>a19eb1fa32914b77</t>
        </is>
      </c>
      <c r="B116" s="24" t="inlineStr">
        <is>
          <t>2026-09-12T16:07:28.570172Z</t>
        </is>
      </c>
      <c r="C116" s="24" t="inlineStr">
        <is>
          <t>2026-09-12T19:30Z</t>
        </is>
      </c>
      <c r="D116" s="24" t="inlineStr">
        <is>
          <t>401866420</t>
        </is>
      </c>
      <c r="E116" s="24" t="inlineStr">
        <is>
          <t>NCAAF</t>
        </is>
      </c>
      <c r="F116" s="24" t="inlineStr">
        <is>
          <t>Sacred Heart Pioneers</t>
        </is>
      </c>
      <c r="G116" s="24" t="inlineStr">
        <is>
          <t>Massachusetts Minutemen</t>
        </is>
      </c>
      <c r="H116" s="24" t="inlineStr">
        <is>
          <t>moneyline</t>
        </is>
      </c>
      <c r="I116" s="24" t="inlineStr">
        <is>
          <t>away</t>
        </is>
      </c>
      <c r="J116" s="25" t="n"/>
      <c r="K116" s="24" t="inlineStr">
        <is>
          <t>espn_consensus</t>
        </is>
      </c>
      <c r="L116" s="26" t="n">
        <v>1200</v>
      </c>
      <c r="M116" s="27" t="n">
        <v>13</v>
      </c>
      <c r="N116" s="28" t="n">
        <v>0.07692300000000001</v>
      </c>
      <c r="O116" s="28" t="n">
        <v>0.6461710000000001</v>
      </c>
      <c r="P116" s="28" t="n">
        <v>0.18</v>
      </c>
      <c r="Q116" s="28" t="n">
        <v>0.569248</v>
      </c>
      <c r="R116" s="26" t="n">
        <v>100</v>
      </c>
      <c r="S116" s="29" t="n">
        <v>2</v>
      </c>
      <c r="T116" s="24" t="inlineStr">
        <is>
          <t>college-football-v1</t>
        </is>
      </c>
      <c r="U116" s="24" t="inlineStr">
        <is>
          <t>settled</t>
        </is>
      </c>
      <c r="V116" s="24" t="inlineStr">
        <is>
          <t>loss</t>
        </is>
      </c>
      <c r="W116" s="26" t="n">
        <v>10</v>
      </c>
      <c r="X116" s="26" t="n">
        <v>37</v>
      </c>
      <c r="Y116" s="25" t="n"/>
      <c r="Z116" s="26" t="n"/>
      <c r="AA116" s="28" t="n"/>
      <c r="AB116" s="28" t="n"/>
      <c r="AC116" s="30" t="n">
        <v>-2</v>
      </c>
      <c r="AD116" s="24" t="inlineStr">
        <is>
          <t>2026-09-13T04:31:06.267471Z</t>
        </is>
      </c>
      <c r="AE116" s="31" t="inlineStr">
        <is>
          <t>CFB Joint Model (negative_binomial): proj score Sacred Heart Pioneers 29.4 @ Massachusetts Minutemen 23.6 (Margin -5.8). Possessions: 12.4, HFA: +2.8 pts.</t>
        </is>
      </c>
      <c r="AF116" s="31" t="inlineStr">
        <is>
          <t>College football model; multi-market (moneyline, spread, total).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model_qualified</t>
        </is>
      </c>
      <c r="AL116" s="26" t="n">
        <v>4</v>
      </c>
      <c r="AM116" s="24" t="inlineStr">
        <is>
          <t>QUALIFIED_SHADOW_CALL</t>
        </is>
      </c>
      <c r="AN116" s="24" t="inlineStr">
        <is>
          <t>CALL</t>
        </is>
      </c>
      <c r="AO116" s="24" t="inlineStr">
        <is>
          <t>QUALIFIED</t>
        </is>
      </c>
      <c r="AP116" s="24" t="inlineStr">
        <is>
          <t>Sacred Heart Pioneers</t>
        </is>
      </c>
      <c r="AQ116" s="24" t="inlineStr">
        <is>
          <t>Sacred Heart Pioneers</t>
        </is>
      </c>
      <c r="AR116" s="24" t="inlineStr">
        <is>
          <t>Sacred Heart Pioneers</t>
        </is>
      </c>
      <c r="AS116" s="24" t="inlineStr">
        <is>
          <t>Massachusetts Minutemen</t>
        </is>
      </c>
      <c r="AT116" s="24" t="inlineStr">
        <is>
          <t>Massachusetts Minutemen</t>
        </is>
      </c>
      <c r="AU116" s="24" t="inlineStr">
        <is>
          <t>Massachusetts Minutemen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1d168f11d221cd3c</t>
        </is>
      </c>
      <c r="BB116" s="24" t="inlineStr">
        <is>
          <t>cfb_key_number_engine</t>
        </is>
      </c>
      <c r="BC116" s="24" t="inlineStr">
        <is>
          <t>college-football-v1</t>
        </is>
      </c>
      <c r="BD116" s="24" t="inlineStr">
        <is>
          <t>1d168f11d221cd3c</t>
        </is>
      </c>
      <c r="BE116" s="24" t="inlineStr">
        <is>
          <t>cfb-v1</t>
        </is>
      </c>
      <c r="BF116" s="24" t="inlineStr">
        <is>
          <t>1</t>
        </is>
      </c>
      <c r="BG116" s="24" t="inlineStr">
        <is>
          <t>1d168f11d221cd3c</t>
        </is>
      </c>
      <c r="BH116" s="24" t="inlineStr">
        <is>
          <t>2026-09-12T16:07:28.570172+00:00</t>
        </is>
      </c>
      <c r="BI116" s="24" t="inlineStr">
        <is>
          <t>["same_event","same_team_same_day","same_league_same_day"]</t>
        </is>
      </c>
      <c r="BJ116" s="25" t="n"/>
      <c r="BK116" s="26" t="n">
        <v>1200</v>
      </c>
      <c r="BL116" s="27" t="n">
        <v>13</v>
      </c>
      <c r="BM116" s="28" t="n">
        <v>0.07692300000000001</v>
      </c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0.076923</t>
        </is>
      </c>
      <c r="DK116" s="24" t="n"/>
      <c r="DL116" s="24" t="n"/>
      <c r="DM116" s="24" t="n"/>
      <c r="DN116" s="24" t="n"/>
      <c r="DO116" s="24" t="n"/>
      <c r="DP116" s="24" t="n"/>
      <c r="DQ116" s="24" t="inlineStr">
        <is>
          <t>{"artifact_hash": "1d168f11d221cd3c", "event_id": "401866420", "event_start_utc": "2026-09-12T19:30Z", "features": {"altitude_fatigue_penalty": 0.0, "away_team": "Sacred Heart Pioneers", "efficiency_gap": 0.399, "elo_away": 1337.5, "elo_home": 1129.7, "elo_home_win_prob": 0.3054, "event_id": "401866420", "game_start_utc": "2026-09-12T19:30Z", "home_field_advantage_points": 2.8, "home_team": "Massachusetts Minutemen", "is_dome": false, "is_fbs_vs_fcs": false, "is_neutral_site": false, "projected_away_points": 29.4, "projected_home_points": 23.6, "projected_margin_home": -5.8,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29.4, "mu_home": 23.6,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305675887904081485408392373176967629105}, "uinteger": 0}, "spread_home_line": -23.5, "total_line": 53.5}, "market_type": "moneyline", "model_version": "college-football-v1", "observed_at_utc": "2026-09-12T16:07:28.570172+00:00", "probabilities": {"away": 0.646171, "home": 0.353829}, "replay_scope": "Full precision score means, exact engine parameters and original RNG state; upstream feature construction not certified.", "schema": "cfb-joint-replay-v1", "snapshot_hash": "667287b76b02df70f5687819652fd49a3de92f909c2316bfc084589f71e24c7d", "sport": "NCAAF"}</t>
        </is>
      </c>
    </row>
    <row r="117" ht="36" customHeight="1">
      <c r="A117" s="24" t="inlineStr">
        <is>
          <t>d46d7a35925040ea</t>
        </is>
      </c>
      <c r="B117" s="24" t="inlineStr">
        <is>
          <t>2026-09-12T16:07:28.570172Z</t>
        </is>
      </c>
      <c r="C117" s="24" t="inlineStr">
        <is>
          <t>2026-09-12T19:30Z</t>
        </is>
      </c>
      <c r="D117" s="24" t="inlineStr">
        <is>
          <t>401866420</t>
        </is>
      </c>
      <c r="E117" s="24" t="inlineStr">
        <is>
          <t>NCAAF</t>
        </is>
      </c>
      <c r="F117" s="24" t="inlineStr">
        <is>
          <t>Sacred Heart Pioneers</t>
        </is>
      </c>
      <c r="G117" s="24" t="inlineStr">
        <is>
          <t>Massachusetts Minutemen</t>
        </is>
      </c>
      <c r="H117" s="24" t="inlineStr">
        <is>
          <t>spread</t>
        </is>
      </c>
      <c r="I117" s="24" t="inlineStr">
        <is>
          <t>away</t>
        </is>
      </c>
      <c r="J117" s="25" t="n">
        <v>23.5</v>
      </c>
      <c r="K117" s="24" t="inlineStr">
        <is>
          <t>espn_consensus</t>
        </is>
      </c>
      <c r="L117" s="26" t="n">
        <v>-108</v>
      </c>
      <c r="M117" s="27" t="n">
        <v>1.925926</v>
      </c>
      <c r="N117" s="28" t="n">
        <v>0.519231</v>
      </c>
      <c r="O117" s="28" t="n">
        <v>0.954867</v>
      </c>
      <c r="P117" s="28" t="n">
        <v>0.18</v>
      </c>
      <c r="Q117" s="28" t="n">
        <v>0.435636</v>
      </c>
      <c r="R117" s="26" t="n">
        <v>100</v>
      </c>
      <c r="S117" s="29" t="n">
        <v>2</v>
      </c>
      <c r="T117" s="24" t="inlineStr">
        <is>
          <t>cfb-spread-v1</t>
        </is>
      </c>
      <c r="U117" s="24" t="inlineStr">
        <is>
          <t>settled</t>
        </is>
      </c>
      <c r="V117" s="24" t="inlineStr">
        <is>
          <t>loss</t>
        </is>
      </c>
      <c r="W117" s="26" t="n">
        <v>10</v>
      </c>
      <c r="X117" s="26" t="n">
        <v>37</v>
      </c>
      <c r="Y117" s="25" t="n"/>
      <c r="Z117" s="26" t="n"/>
      <c r="AA117" s="28" t="n"/>
      <c r="AB117" s="28" t="n"/>
      <c r="AC117" s="30" t="n">
        <v>-2</v>
      </c>
      <c r="AD117" s="24" t="inlineStr">
        <is>
          <t>2026-09-13T04:31:06.602261Z</t>
        </is>
      </c>
      <c r="AE117" s="31" t="inlineStr">
        <is>
          <t>Projected home margin -5.8 pts. Spread: Home -23.5 / Away +23.5 -&gt; P(Away cover)=0.955, P(Home cover)=0.045, P(Push)=0.000.</t>
        </is>
      </c>
      <c r="AF117" s="31" t="inlineStr">
        <is>
          <t>College football model; multi-market (moneyline, spread, total).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model_qualified</t>
        </is>
      </c>
      <c r="AL117" s="26" t="n">
        <v>4</v>
      </c>
      <c r="AM117" s="24" t="inlineStr">
        <is>
          <t>QUALIFIED_SHADOW_CALL</t>
        </is>
      </c>
      <c r="AN117" s="24" t="inlineStr">
        <is>
          <t>CALL</t>
        </is>
      </c>
      <c r="AO117" s="24" t="inlineStr">
        <is>
          <t>QUALIFIED</t>
        </is>
      </c>
      <c r="AP117" s="24" t="inlineStr">
        <is>
          <t>Sacred Heart Pioneers</t>
        </is>
      </c>
      <c r="AQ117" s="24" t="inlineStr">
        <is>
          <t>Sacred Heart Pioneers</t>
        </is>
      </c>
      <c r="AR117" s="24" t="inlineStr">
        <is>
          <t>Sacred Heart Pioneers</t>
        </is>
      </c>
      <c r="AS117" s="24" t="inlineStr">
        <is>
          <t>Massachusetts Minutemen</t>
        </is>
      </c>
      <c r="AT117" s="24" t="inlineStr">
        <is>
          <t>Massachusetts Minutemen</t>
        </is>
      </c>
      <c r="AU117" s="24" t="inlineStr">
        <is>
          <t>Massachusetts Minutemen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1d168f11d221cd3c</t>
        </is>
      </c>
      <c r="BB117" s="24" t="inlineStr">
        <is>
          <t>cfb_key_number_engine</t>
        </is>
      </c>
      <c r="BC117" s="24" t="inlineStr">
        <is>
          <t>cfb-spread-v1</t>
        </is>
      </c>
      <c r="BD117" s="24" t="inlineStr">
        <is>
          <t>1d168f11d221cd3c</t>
        </is>
      </c>
      <c r="BE117" s="24" t="inlineStr">
        <is>
          <t>cfb-v1</t>
        </is>
      </c>
      <c r="BF117" s="24" t="inlineStr">
        <is>
          <t>1</t>
        </is>
      </c>
      <c r="BG117" s="24" t="inlineStr">
        <is>
          <t>1d168f11d221cd3c</t>
        </is>
      </c>
      <c r="BH117" s="24" t="inlineStr">
        <is>
          <t>2026-09-12T16:07:28.570172+00:00</t>
        </is>
      </c>
      <c r="BI117" s="24" t="inlineStr">
        <is>
          <t>["same_event","same_team_same_day","same_league_same_day"]</t>
        </is>
      </c>
      <c r="BJ117" s="25" t="n">
        <v>23.5</v>
      </c>
      <c r="BK117" s="26" t="n">
        <v>-108</v>
      </c>
      <c r="BL117" s="27" t="n">
        <v>1.925926</v>
      </c>
      <c r="BM117" s="28" t="n">
        <v>0.519231</v>
      </c>
      <c r="BN117" s="28" t="n"/>
      <c r="BO117" s="28" t="n"/>
      <c r="BP117" s="25" t="n"/>
      <c r="BQ117" s="27" t="n"/>
      <c r="BR117" s="28" t="n"/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0.519231</t>
        </is>
      </c>
      <c r="DK117" s="24" t="n"/>
      <c r="DL117" s="24" t="n"/>
      <c r="DM117" s="24" t="n"/>
      <c r="DN117" s="24" t="n"/>
      <c r="DO117" s="24" t="n"/>
      <c r="DP117" s="24" t="n"/>
      <c r="DQ117" s="24" t="inlineStr">
        <is>
          <t>{"artifact_hash": "1d168f11d221cd3c", "event_id": "401866420", "event_start_utc": "2026-09-12T19:30Z", "features": {"altitude_fatigue_penalty": 0.0, "away_team": "Sacred Heart Pioneers", "efficiency_gap": 0.399, "elo_away": 1337.5, "elo_home": 1129.7, "elo_home_win_prob": 0.3054, "event_id": "401866420", "game_start_utc": "2026-09-12T19:30Z", "home_field_advantage_points": 2.8, "home_team": "Massachusetts Minutemen", "is_dome": false, "is_fbs_vs_fcs": false, "is_neutral_site": false, "projected_away_points": 29.4, "projected_home_points": 23.6, "projected_margin_home": -5.8,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29.4, "mu_home": 23.6,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305675887904081485408392373176967629105}, "uinteger": 0}, "spread_home_line": -23.5, "total_line": 53.5}, "market_type": "spread", "model_version": "cfb-spread-v1", "observed_at_utc": "2026-09-12T16:07:28.570172+00:00", "probabilities": {"away": 0.954867, "home": 0.045133, "push": 0.0}, "replay_scope": "Full precision score means, exact engine parameters and original RNG state; upstream feature construction not certified.", "schema": "cfb-joint-replay-v1", "snapshot_hash": "375200ca17897046ebb0066ccc1ee654fd76850c190d2ee017d34dcadb7c1790", "sport": "NCAAF"}</t>
        </is>
      </c>
    </row>
    <row r="118" ht="36" customHeight="1">
      <c r="A118" s="24" t="inlineStr">
        <is>
          <t>fec669eeaa8e4cb5</t>
        </is>
      </c>
      <c r="B118" s="24" t="inlineStr">
        <is>
          <t>2026-09-12T16:07:28.570172Z</t>
        </is>
      </c>
      <c r="C118" s="24" t="inlineStr">
        <is>
          <t>2026-09-12T19:30Z</t>
        </is>
      </c>
      <c r="D118" s="24" t="inlineStr">
        <is>
          <t>401866420</t>
        </is>
      </c>
      <c r="E118" s="24" t="inlineStr">
        <is>
          <t>NCAAF</t>
        </is>
      </c>
      <c r="F118" s="24" t="inlineStr">
        <is>
          <t>Sacred Heart Pioneers</t>
        </is>
      </c>
      <c r="G118" s="24" t="inlineStr">
        <is>
          <t>Massachusetts Minutemen</t>
        </is>
      </c>
      <c r="H118" s="24" t="inlineStr">
        <is>
          <t>total</t>
        </is>
      </c>
      <c r="I118" s="24" t="inlineStr">
        <is>
          <t>under</t>
        </is>
      </c>
      <c r="J118" s="25" t="n">
        <v>53.5</v>
      </c>
      <c r="K118" s="24" t="inlineStr">
        <is>
          <t>espn_consensus</t>
        </is>
      </c>
      <c r="L118" s="26" t="n">
        <v>-108</v>
      </c>
      <c r="M118" s="27" t="n">
        <v>1.925926</v>
      </c>
      <c r="N118" s="28" t="n">
        <v>0.519231</v>
      </c>
      <c r="O118" s="28" t="n">
        <v>0.531533</v>
      </c>
      <c r="P118" s="28" t="n">
        <v>0.18</v>
      </c>
      <c r="Q118" s="28" t="n">
        <v>0.012302</v>
      </c>
      <c r="R118" s="26" t="n">
        <v>0</v>
      </c>
      <c r="S118" s="29" t="n">
        <v>1</v>
      </c>
      <c r="T118" s="24" t="inlineStr">
        <is>
          <t>cfb-total-v1</t>
        </is>
      </c>
      <c r="U118" s="24" t="inlineStr">
        <is>
          <t>settled</t>
        </is>
      </c>
      <c r="V118" s="24" t="inlineStr">
        <is>
          <t>win</t>
        </is>
      </c>
      <c r="W118" s="26" t="n">
        <v>10</v>
      </c>
      <c r="X118" s="26" t="n">
        <v>37</v>
      </c>
      <c r="Y118" s="25" t="n"/>
      <c r="Z118" s="26" t="n"/>
      <c r="AA118" s="28" t="n"/>
      <c r="AB118" s="28" t="n"/>
      <c r="AC118" s="30" t="n">
        <v>0.9258999999999999</v>
      </c>
      <c r="AD118" s="24" t="inlineStr">
        <is>
          <t>2026-09-13T04:31:06.969932Z</t>
        </is>
      </c>
      <c r="AE118" s="31" t="inlineStr">
        <is>
          <t>Projected total 53.0 pts (Weather adj: +0.0 pts). Total line 53.5 -&gt; P(Over)=0.468, P(Under)=0.532, P(Push)=0.000.</t>
        </is>
      </c>
      <c r="AF118" s="31" t="inlineStr">
        <is>
          <t>College football model; multi-market (moneyline, spread, total).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Sacred Heart Pioneers</t>
        </is>
      </c>
      <c r="AQ118" s="24" t="inlineStr">
        <is>
          <t>Sacred Heart Pioneers</t>
        </is>
      </c>
      <c r="AR118" s="24" t="inlineStr">
        <is>
          <t>Sacred Heart Pioneers</t>
        </is>
      </c>
      <c r="AS118" s="24" t="inlineStr">
        <is>
          <t>Massachusetts Minutemen</t>
        </is>
      </c>
      <c r="AT118" s="24" t="inlineStr">
        <is>
          <t>Massachusetts Minutemen</t>
        </is>
      </c>
      <c r="AU118" s="24" t="inlineStr">
        <is>
          <t>Massachusetts Minutemen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1d168f11d221cd3c</t>
        </is>
      </c>
      <c r="BB118" s="24" t="inlineStr">
        <is>
          <t>cfb_key_number_engine</t>
        </is>
      </c>
      <c r="BC118" s="24" t="inlineStr">
        <is>
          <t>cfb-total-v1</t>
        </is>
      </c>
      <c r="BD118" s="24" t="inlineStr">
        <is>
          <t>1d168f11d221cd3c</t>
        </is>
      </c>
      <c r="BE118" s="24" t="inlineStr">
        <is>
          <t>cfb-v1</t>
        </is>
      </c>
      <c r="BF118" s="24" t="inlineStr">
        <is>
          <t>1</t>
        </is>
      </c>
      <c r="BG118" s="24" t="inlineStr">
        <is>
          <t>1d168f11d221cd3c</t>
        </is>
      </c>
      <c r="BH118" s="24" t="inlineStr">
        <is>
          <t>2026-09-12T16:07:28.570172+00:00</t>
        </is>
      </c>
      <c r="BI118" s="24" t="inlineStr">
        <is>
          <t>["same_event","same_team_same_day","same_league_same_day"]</t>
        </is>
      </c>
      <c r="BJ118" s="25" t="n">
        <v>53.5</v>
      </c>
      <c r="BK118" s="26" t="n">
        <v>-108</v>
      </c>
      <c r="BL118" s="27" t="n">
        <v>1.925926</v>
      </c>
      <c r="BM118" s="28" t="n">
        <v>0.519231</v>
      </c>
      <c r="BN118" s="28" t="n"/>
      <c r="BO118" s="28" t="n"/>
      <c r="BP118" s="25" t="n"/>
      <c r="BQ118" s="27" t="n"/>
      <c r="BR118" s="28" t="n"/>
      <c r="BS118" s="28" t="n"/>
      <c r="BT118" s="28" t="n"/>
      <c r="BU118" s="25" t="n"/>
      <c r="BV118" s="29" t="n"/>
      <c r="BW118" s="24" t="n"/>
      <c r="BX118" s="30" t="n">
        <v>1</v>
      </c>
      <c r="BY118" s="27" t="n">
        <v>0.925926</v>
      </c>
      <c r="BZ118" s="24" t="inlineStr">
        <is>
          <t>2026-09-13T04:31:06.969932Z</t>
        </is>
      </c>
      <c r="CA118" s="31" t="inlineStr">
        <is>
          <t>fixed one-unit hypothetical scoring; no real exposure or execution</t>
        </is>
      </c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0.519231</t>
        </is>
      </c>
      <c r="DK118" s="24" t="n"/>
      <c r="DL118" s="24" t="n"/>
      <c r="DM118" s="24" t="n"/>
      <c r="DN118" s="24" t="n"/>
      <c r="DO118" s="24" t="n"/>
      <c r="DP118" s="24" t="n"/>
      <c r="DQ118" s="24" t="inlineStr">
        <is>
          <t>{"artifact_hash": "1d168f11d221cd3c", "event_id": "401866420", "event_start_utc": "2026-09-12T19:30Z", "features": {"altitude_fatigue_penalty": 0.0, "away_team": "Sacred Heart Pioneers", "efficiency_gap": 0.399, "elo_away": 1337.5, "elo_home": 1129.7, "elo_home_win_prob": 0.3054, "event_id": "401866420", "game_start_utc": "2026-09-12T19:30Z", "home_field_advantage_points": 2.8, "home_team": "Massachusetts Minutemen", "is_dome": false, "is_fbs_vs_fcs": false, "is_neutral_site": false, "projected_away_points": 29.4, "projected_home_points": 23.6, "projected_margin_home": -5.8,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29.4, "mu_home": 23.6,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305675887904081485408392373176967629105}, "uinteger": 0}, "spread_home_line": -23.5, "total_line": 53.5}, "market_type": "total", "model_version": "cfb-total-v1", "observed_at_utc": "2026-09-12T16:07:28.570172+00:00", "probabilities": {"over": 0.468467, "push": 0.0, "under": 0.531533}, "replay_scope": "Full precision score means, exact engine parameters and original RNG state; upstream feature construction not certified.", "schema": "cfb-joint-replay-v1", "snapshot_hash": "03ea7cc6b439b717a57554c7f8e4a3a3895986c095b37266a5abb4a8c8ce7c5d", "sport": "NCAAF"}</t>
        </is>
      </c>
    </row>
    <row r="119" ht="36" customHeight="1">
      <c r="A119" s="24" t="inlineStr">
        <is>
          <t>b5fb0ff6fabc4d4a</t>
        </is>
      </c>
      <c r="B119" s="24" t="inlineStr">
        <is>
          <t>2026-09-12T16:07:28.570172Z</t>
        </is>
      </c>
      <c r="C119" s="24" t="inlineStr">
        <is>
          <t>2026-09-12T19:45Z</t>
        </is>
      </c>
      <c r="D119" s="24" t="inlineStr">
        <is>
          <t>401862705</t>
        </is>
      </c>
      <c r="E119" s="24" t="inlineStr">
        <is>
          <t>NCAAF</t>
        </is>
      </c>
      <c r="F119" s="24" t="inlineStr">
        <is>
          <t>UNLV Rebels</t>
        </is>
      </c>
      <c r="G119" s="24" t="inlineStr">
        <is>
          <t>North Texas Mean Green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espn_consensus</t>
        </is>
      </c>
      <c r="L119" s="26" t="n">
        <v>136</v>
      </c>
      <c r="M119" s="27" t="n">
        <v>2.36</v>
      </c>
      <c r="N119" s="28" t="n">
        <v>0.423729</v>
      </c>
      <c r="O119" s="28" t="n">
        <v>0.570925</v>
      </c>
      <c r="P119" s="28" t="n">
        <v>0.165</v>
      </c>
      <c r="Q119" s="28" t="n">
        <v>0.147196</v>
      </c>
      <c r="R119" s="26" t="n">
        <v>25</v>
      </c>
      <c r="S119" s="29" t="n">
        <v>1</v>
      </c>
      <c r="T119" s="24" t="inlineStr">
        <is>
          <t>college-football-v1</t>
        </is>
      </c>
      <c r="U119" s="24" t="inlineStr">
        <is>
          <t>settled</t>
        </is>
      </c>
      <c r="V119" s="24" t="inlineStr">
        <is>
          <t>win</t>
        </is>
      </c>
      <c r="W119" s="26" t="n">
        <v>6</v>
      </c>
      <c r="X119" s="26" t="n">
        <v>44</v>
      </c>
      <c r="Y119" s="25" t="n"/>
      <c r="Z119" s="26" t="n"/>
      <c r="AA119" s="28" t="n"/>
      <c r="AB119" s="28" t="n"/>
      <c r="AC119" s="30" t="n">
        <v>1.36</v>
      </c>
      <c r="AD119" s="24" t="inlineStr">
        <is>
          <t>2026-09-13T04:31:07.346637Z</t>
        </is>
      </c>
      <c r="AE119" s="31" t="inlineStr">
        <is>
          <t>CFB Joint Model (negative_binomial): proj score UNLV Rebels 25.2 @ North Texas Mean Green 28.0 (Margin +2.8). Possessions: 12.4, HFA: +2.8 pts.</t>
        </is>
      </c>
      <c r="AF119" s="31" t="inlineStr">
        <is>
          <t>College football model; multi-market (moneyline, spread, total).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4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UNLV Rebels</t>
        </is>
      </c>
      <c r="AQ119" s="24" t="inlineStr">
        <is>
          <t>UNLV Rebels</t>
        </is>
      </c>
      <c r="AR119" s="24" t="inlineStr">
        <is>
          <t>UNLV Rebels</t>
        </is>
      </c>
      <c r="AS119" s="24" t="inlineStr">
        <is>
          <t>North Texas Mean Green</t>
        </is>
      </c>
      <c r="AT119" s="24" t="inlineStr">
        <is>
          <t>North Texas Mean Green</t>
        </is>
      </c>
      <c r="AU119" s="24" t="inlineStr">
        <is>
          <t>North Texas Mean Green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1d168f11d221cd3c</t>
        </is>
      </c>
      <c r="BB119" s="24" t="inlineStr">
        <is>
          <t>cfb_key_number_engine</t>
        </is>
      </c>
      <c r="BC119" s="24" t="inlineStr">
        <is>
          <t>college-football-v1</t>
        </is>
      </c>
      <c r="BD119" s="24" t="inlineStr">
        <is>
          <t>1d168f11d221cd3c</t>
        </is>
      </c>
      <c r="BE119" s="24" t="inlineStr">
        <is>
          <t>cfb-v1</t>
        </is>
      </c>
      <c r="BF119" s="24" t="inlineStr">
        <is>
          <t>1</t>
        </is>
      </c>
      <c r="BG119" s="24" t="inlineStr">
        <is>
          <t>1d168f11d221cd3c</t>
        </is>
      </c>
      <c r="BH119" s="24" t="inlineStr">
        <is>
          <t>2026-09-12T16:07:28.570172+00:00</t>
        </is>
      </c>
      <c r="BI119" s="24" t="inlineStr">
        <is>
          <t>["same_event","same_team_same_day","same_league_same_day"]</t>
        </is>
      </c>
      <c r="BJ119" s="25" t="n"/>
      <c r="BK119" s="26" t="n">
        <v>136</v>
      </c>
      <c r="BL119" s="27" t="n">
        <v>2.36</v>
      </c>
      <c r="BM119" s="28" t="n">
        <v>0.423729</v>
      </c>
      <c r="BN119" s="28" t="n"/>
      <c r="BO119" s="28" t="n"/>
      <c r="BP119" s="25" t="n"/>
      <c r="BQ119" s="27" t="n"/>
      <c r="BR119" s="28" t="n"/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True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0.423729</t>
        </is>
      </c>
      <c r="DK119" s="24" t="n"/>
      <c r="DL119" s="24" t="n"/>
      <c r="DM119" s="24" t="n"/>
      <c r="DN119" s="24" t="n"/>
      <c r="DO119" s="24" t="n"/>
      <c r="DP119" s="24" t="n"/>
      <c r="DQ119" s="24" t="inlineStr">
        <is>
          <t>{"artifact_hash": "1d168f11d221cd3c", "event_id": "401862705", "event_start_utc": "2026-09-12T19:45Z", "features": {"altitude_fatigue_penalty": 0.0, "away_team": "UNLV Rebels", "efficiency_gap": -0.531, "elo_away": 1584.0, "elo_home": 1588.6, "elo_home_win_prob": 0.5988, "event_id": "401862705", "game_start_utc": "2026-09-12T19:45Z", "home_field_advantage_points": 2.8, "home_team": "North Texas Mean Green", "is_dome": false, "is_fbs_vs_fcs": false, "is_neutral_site": false, "projected_away_points": 25.2, "projected_home_points": 28.0, "projected_margin_home": 2.8, "projected_possessions": 12.4, "projected_total": 53.2, "stadium_elevation_ft": 650, "travel_distance_miles": 1042.0, "uncertainty": 0.165, "weather_total_adjustment": 0.0}, "historical_source_observation_times_verified": false, "inference_inputs": {"engine_source_sha256": "449ba2f0e86fa9c445730076a0e0bf100fb4914620be53c75c6f3bfe24298f3f", "mu_away": 25.2,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194211006152936674433431397647270987815}, "uinteger": 0}, "spread_home_line": 3.0, "total_line": 57.5}, "market_type": "moneyline", "model_version": "college-football-v1", "observed_at_utc": "2026-09-12T16:07:28.570172+00:00", "probabilities": {"away": 0.429075, "home": 0.570925}, "replay_scope": "Full precision score means, exact engine parameters and original RNG state; upstream feature construction not certified.", "schema": "cfb-joint-replay-v1", "snapshot_hash": "c6cecd71f13d9345826837edeae4bcac645794489949ce4ddc2cfdcfcf7f5182", "sport": "NCAAF"}</t>
        </is>
      </c>
    </row>
    <row r="120" ht="36" customHeight="1">
      <c r="A120" s="24" t="inlineStr">
        <is>
          <t>40602abc625e4abb</t>
        </is>
      </c>
      <c r="B120" s="24" t="inlineStr">
        <is>
          <t>2026-09-12T16:07:28.570172Z</t>
        </is>
      </c>
      <c r="C120" s="24" t="inlineStr">
        <is>
          <t>2026-09-12T19:45Z</t>
        </is>
      </c>
      <c r="D120" s="24" t="inlineStr">
        <is>
          <t>401862705</t>
        </is>
      </c>
      <c r="E120" s="24" t="inlineStr">
        <is>
          <t>NCAAF</t>
        </is>
      </c>
      <c r="F120" s="24" t="inlineStr">
        <is>
          <t>UNLV Rebels</t>
        </is>
      </c>
      <c r="G120" s="24" t="inlineStr">
        <is>
          <t>North Texas Mean Green</t>
        </is>
      </c>
      <c r="H120" s="24" t="inlineStr">
        <is>
          <t>spread</t>
        </is>
      </c>
      <c r="I120" s="24" t="inlineStr">
        <is>
          <t>home</t>
        </is>
      </c>
      <c r="J120" s="25" t="n">
        <v>3</v>
      </c>
      <c r="K120" s="24" t="inlineStr">
        <is>
          <t>espn_consensus</t>
        </is>
      </c>
      <c r="L120" s="26" t="n">
        <v>-108</v>
      </c>
      <c r="M120" s="27" t="n">
        <v>1.925926</v>
      </c>
      <c r="N120" s="28" t="n">
        <v>0.519231</v>
      </c>
      <c r="O120" s="28" t="n">
        <v>0.633333</v>
      </c>
      <c r="P120" s="28" t="n">
        <v>0.165</v>
      </c>
      <c r="Q120" s="28" t="n">
        <v>0.114102</v>
      </c>
      <c r="R120" s="26" t="n">
        <v>8</v>
      </c>
      <c r="S120" s="29" t="n">
        <v>1</v>
      </c>
      <c r="T120" s="24" t="inlineStr">
        <is>
          <t>cfb-spread-v1</t>
        </is>
      </c>
      <c r="U120" s="24" t="inlineStr">
        <is>
          <t>settled</t>
        </is>
      </c>
      <c r="V120" s="24" t="inlineStr">
        <is>
          <t>win</t>
        </is>
      </c>
      <c r="W120" s="26" t="n">
        <v>6</v>
      </c>
      <c r="X120" s="26" t="n">
        <v>44</v>
      </c>
      <c r="Y120" s="25" t="n"/>
      <c r="Z120" s="26" t="n"/>
      <c r="AA120" s="28" t="n"/>
      <c r="AB120" s="28" t="n"/>
      <c r="AC120" s="30" t="n">
        <v>0.9258999999999999</v>
      </c>
      <c r="AD120" s="24" t="inlineStr">
        <is>
          <t>2026-09-13T04:31:07.682891Z</t>
        </is>
      </c>
      <c r="AE120" s="31" t="inlineStr">
        <is>
          <t>Projected home margin +2.8 pts. Spread: Home +3.0 / Away -3.0 -&gt; P(Away cover)=0.346, P(Home cover)=0.633, P(Push)=0.021.</t>
        </is>
      </c>
      <c r="AF120" s="31" t="inlineStr">
        <is>
          <t>College football model; multi-market (moneyline, spread, total).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4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UNLV Rebels</t>
        </is>
      </c>
      <c r="AQ120" s="24" t="inlineStr">
        <is>
          <t>UNLV Rebels</t>
        </is>
      </c>
      <c r="AR120" s="24" t="inlineStr">
        <is>
          <t>UNLV Rebels</t>
        </is>
      </c>
      <c r="AS120" s="24" t="inlineStr">
        <is>
          <t>North Texas Mean Green</t>
        </is>
      </c>
      <c r="AT120" s="24" t="inlineStr">
        <is>
          <t>North Texas Mean Green</t>
        </is>
      </c>
      <c r="AU120" s="24" t="inlineStr">
        <is>
          <t>North Texas Mean Green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1d168f11d221cd3c</t>
        </is>
      </c>
      <c r="BB120" s="24" t="inlineStr">
        <is>
          <t>cfb_key_number_engine</t>
        </is>
      </c>
      <c r="BC120" s="24" t="inlineStr">
        <is>
          <t>cfb-spread-v1</t>
        </is>
      </c>
      <c r="BD120" s="24" t="inlineStr">
        <is>
          <t>1d168f11d221cd3c</t>
        </is>
      </c>
      <c r="BE120" s="24" t="inlineStr">
        <is>
          <t>cfb-v1</t>
        </is>
      </c>
      <c r="BF120" s="24" t="inlineStr">
        <is>
          <t>1</t>
        </is>
      </c>
      <c r="BG120" s="24" t="inlineStr">
        <is>
          <t>1d168f11d221cd3c</t>
        </is>
      </c>
      <c r="BH120" s="24" t="inlineStr">
        <is>
          <t>2026-09-12T16:07:28.570172+00:00</t>
        </is>
      </c>
      <c r="BI120" s="24" t="inlineStr">
        <is>
          <t>["same_event","same_team_same_day","same_league_same_day"]</t>
        </is>
      </c>
      <c r="BJ120" s="25" t="n">
        <v>3</v>
      </c>
      <c r="BK120" s="26" t="n">
        <v>-108</v>
      </c>
      <c r="BL120" s="27" t="n">
        <v>1.925926</v>
      </c>
      <c r="BM120" s="28" t="n">
        <v>0.519231</v>
      </c>
      <c r="BN120" s="28" t="n"/>
      <c r="BO120" s="28" t="n"/>
      <c r="BP120" s="25" t="n"/>
      <c r="BQ120" s="27" t="n"/>
      <c r="BR120" s="28" t="n"/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0.519231</t>
        </is>
      </c>
      <c r="DK120" s="24" t="n"/>
      <c r="DL120" s="24" t="n"/>
      <c r="DM120" s="24" t="n"/>
      <c r="DN120" s="24" t="n"/>
      <c r="DO120" s="24" t="n"/>
      <c r="DP120" s="24" t="n"/>
      <c r="DQ120" s="24" t="inlineStr">
        <is>
          <t>{"artifact_hash": "1d168f11d221cd3c", "event_id": "401862705", "event_start_utc": "2026-09-12T19:45Z", "features": {"altitude_fatigue_penalty": 0.0, "away_team": "UNLV Rebels", "efficiency_gap": -0.531, "elo_away": 1584.0, "elo_home": 1588.6, "elo_home_win_prob": 0.5988, "event_id": "401862705", "game_start_utc": "2026-09-12T19:45Z", "home_field_advantage_points": 2.8, "home_team": "North Texas Mean Green", "is_dome": false, "is_fbs_vs_fcs": false, "is_neutral_site": false, "projected_away_points": 25.2, "projected_home_points": 28.0, "projected_margin_home": 2.8, "projected_possessions": 12.4, "projected_total": 53.2, "stadium_elevation_ft": 650, "travel_distance_miles": 1042.0, "uncertainty": 0.165, "weather_total_adjustment": 0.0}, "historical_source_observation_times_verified": false, "inference_inputs": {"engine_source_sha256": "449ba2f0e86fa9c445730076a0e0bf100fb4914620be53c75c6f3bfe24298f3f", "mu_away": 25.2,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194211006152936674433431397647270987815}, "uinteger": 0}, "spread_home_line": 3.0, "total_line": 57.5}, "market_type": "spread", "model_version": "cfb-spread-v1", "observed_at_utc": "2026-09-12T16:07:28.570172+00:00", "probabilities": {"away": 0.346133, "home": 0.633333, "push": 0.020533}, "replay_scope": "Full precision score means, exact engine parameters and original RNG state; upstream feature construction not certified.", "schema": "cfb-joint-replay-v1", "snapshot_hash": "cc55057a0f15014e050e63bc79e7c9299460c665f733d116a77f262d446b09c6", "sport": "NCAAF"}</t>
        </is>
      </c>
    </row>
    <row r="121" ht="36" customHeight="1">
      <c r="A121" s="24" t="inlineStr">
        <is>
          <t>e867e44c1d174bb6</t>
        </is>
      </c>
      <c r="B121" s="24" t="inlineStr">
        <is>
          <t>2026-09-12T16:07:28.570172Z</t>
        </is>
      </c>
      <c r="C121" s="24" t="inlineStr">
        <is>
          <t>2026-09-12T19:45Z</t>
        </is>
      </c>
      <c r="D121" s="24" t="inlineStr">
        <is>
          <t>401862705</t>
        </is>
      </c>
      <c r="E121" s="24" t="inlineStr">
        <is>
          <t>NCAAF</t>
        </is>
      </c>
      <c r="F121" s="24" t="inlineStr">
        <is>
          <t>UNLV Rebels</t>
        </is>
      </c>
      <c r="G121" s="24" t="inlineStr">
        <is>
          <t>North Texas Mean Green</t>
        </is>
      </c>
      <c r="H121" s="24" t="inlineStr">
        <is>
          <t>total</t>
        </is>
      </c>
      <c r="I121" s="24" t="inlineStr">
        <is>
          <t>under</t>
        </is>
      </c>
      <c r="J121" s="25" t="n">
        <v>57.5</v>
      </c>
      <c r="K121" s="24" t="inlineStr">
        <is>
          <t>espn_consensus</t>
        </is>
      </c>
      <c r="L121" s="26" t="n">
        <v>100</v>
      </c>
      <c r="M121" s="27" t="n">
        <v>2</v>
      </c>
      <c r="N121" s="28" t="n">
        <v>0.5</v>
      </c>
      <c r="O121" s="28" t="n">
        <v>0.604867</v>
      </c>
      <c r="P121" s="28" t="n">
        <v>0.165</v>
      </c>
      <c r="Q121" s="28" t="n">
        <v>0.104867</v>
      </c>
      <c r="R121" s="26" t="n">
        <v>3</v>
      </c>
      <c r="S121" s="29" t="n">
        <v>1</v>
      </c>
      <c r="T121" s="24" t="inlineStr">
        <is>
          <t>cfb-total-v1</t>
        </is>
      </c>
      <c r="U121" s="24" t="inlineStr">
        <is>
          <t>settled</t>
        </is>
      </c>
      <c r="V121" s="24" t="inlineStr">
        <is>
          <t>win</t>
        </is>
      </c>
      <c r="W121" s="26" t="n">
        <v>6</v>
      </c>
      <c r="X121" s="26" t="n">
        <v>44</v>
      </c>
      <c r="Y121" s="25" t="n"/>
      <c r="Z121" s="26" t="n"/>
      <c r="AA121" s="28" t="n"/>
      <c r="AB121" s="28" t="n"/>
      <c r="AC121" s="30" t="n">
        <v>1</v>
      </c>
      <c r="AD121" s="24" t="inlineStr">
        <is>
          <t>2026-09-13T04:31:08.092261Z</t>
        </is>
      </c>
      <c r="AE121" s="31" t="inlineStr">
        <is>
          <t>Projected total 53.2 pts (Weather adj: +0.0 pts). Total line 57.5 -&gt; P(Over)=0.395, P(Under)=0.605, P(Push)=0.000.</t>
        </is>
      </c>
      <c r="AF121" s="31" t="inlineStr">
        <is>
          <t>College football model; multi-market (moneyline, spread, total).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4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UNLV Rebels</t>
        </is>
      </c>
      <c r="AQ121" s="24" t="inlineStr">
        <is>
          <t>UNLV Rebels</t>
        </is>
      </c>
      <c r="AR121" s="24" t="inlineStr">
        <is>
          <t>UNLV Rebels</t>
        </is>
      </c>
      <c r="AS121" s="24" t="inlineStr">
        <is>
          <t>North Texas Mean Green</t>
        </is>
      </c>
      <c r="AT121" s="24" t="inlineStr">
        <is>
          <t>North Texas Mean Green</t>
        </is>
      </c>
      <c r="AU121" s="24" t="inlineStr">
        <is>
          <t>North Texas Mean Green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1d168f11d221cd3c</t>
        </is>
      </c>
      <c r="BB121" s="24" t="inlineStr">
        <is>
          <t>cfb_key_number_engine</t>
        </is>
      </c>
      <c r="BC121" s="24" t="inlineStr">
        <is>
          <t>cfb-total-v1</t>
        </is>
      </c>
      <c r="BD121" s="24" t="inlineStr">
        <is>
          <t>1d168f11d221cd3c</t>
        </is>
      </c>
      <c r="BE121" s="24" t="inlineStr">
        <is>
          <t>cfb-v1</t>
        </is>
      </c>
      <c r="BF121" s="24" t="inlineStr">
        <is>
          <t>1</t>
        </is>
      </c>
      <c r="BG121" s="24" t="inlineStr">
        <is>
          <t>1d168f11d221cd3c</t>
        </is>
      </c>
      <c r="BH121" s="24" t="inlineStr">
        <is>
          <t>2026-09-12T16:07:28.570172+00:00</t>
        </is>
      </c>
      <c r="BI121" s="24" t="inlineStr">
        <is>
          <t>["same_event","same_team_same_day","same_league_same_day"]</t>
        </is>
      </c>
      <c r="BJ121" s="25" t="n">
        <v>57.5</v>
      </c>
      <c r="BK121" s="26" t="n">
        <v>100</v>
      </c>
      <c r="BL121" s="27" t="n">
        <v>2</v>
      </c>
      <c r="BM121" s="28" t="n">
        <v>0.5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0.5</t>
        </is>
      </c>
      <c r="DK121" s="24" t="n"/>
      <c r="DL121" s="24" t="n"/>
      <c r="DM121" s="24" t="n"/>
      <c r="DN121" s="24" t="n"/>
      <c r="DO121" s="24" t="n"/>
      <c r="DP121" s="24" t="n"/>
      <c r="DQ121" s="24" t="inlineStr">
        <is>
          <t>{"artifact_hash": "1d168f11d221cd3c", "event_id": "401862705", "event_start_utc": "2026-09-12T19:45Z", "features": {"altitude_fatigue_penalty": 0.0, "away_team": "UNLV Rebels", "efficiency_gap": -0.531, "elo_away": 1584.0, "elo_home": 1588.6, "elo_home_win_prob": 0.5988, "event_id": "401862705", "game_start_utc": "2026-09-12T19:45Z", "home_field_advantage_points": 2.8, "home_team": "North Texas Mean Green", "is_dome": false, "is_fbs_vs_fcs": false, "is_neutral_site": false, "projected_away_points": 25.2, "projected_home_points": 28.0, "projected_margin_home": 2.8, "projected_possessions": 12.4, "projected_total": 53.2, "stadium_elevation_ft": 650, "travel_distance_miles": 1042.0, "uncertainty": 0.165, "weather_total_adjustment": 0.0}, "historical_source_observation_times_verified": false, "inference_inputs": {"engine_source_sha256": "449ba2f0e86fa9c445730076a0e0bf100fb4914620be53c75c6f3bfe24298f3f", "mu_away": 25.2,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194211006152936674433431397647270987815}, "uinteger": 0}, "spread_home_line": 3.0, "total_line": 57.5}, "market_type": "total", "model_version": "cfb-total-v1", "observed_at_utc": "2026-09-12T16:07:28.570172+00:00", "probabilities": {"over": 0.395133, "push": 0.0, "under": 0.604867}, "replay_scope": "Full precision score means, exact engine parameters and original RNG state; upstream feature construction not certified.", "schema": "cfb-joint-replay-v1", "snapshot_hash": "0257a13792a7b050b5165a453a9fc2e9f8e7caf59a7d5bdd097915b8056a58a7", "sport": "NCAAF"}</t>
        </is>
      </c>
    </row>
    <row r="122" ht="36" customHeight="1">
      <c r="A122" s="24" t="inlineStr">
        <is>
          <t>934fc9c1bc714aff</t>
        </is>
      </c>
      <c r="B122" s="24" t="inlineStr">
        <is>
          <t>2026-09-12T16:07:28.570172Z</t>
        </is>
      </c>
      <c r="C122" s="24" t="inlineStr">
        <is>
          <t>2026-09-12T20:00Z</t>
        </is>
      </c>
      <c r="D122" s="24" t="inlineStr">
        <is>
          <t>401858223</t>
        </is>
      </c>
      <c r="E122" s="24" t="inlineStr">
        <is>
          <t>NCAAF</t>
        </is>
      </c>
      <c r="F122" s="24" t="inlineStr">
        <is>
          <t>UC Davis Aggies</t>
        </is>
      </c>
      <c r="G122" s="24" t="inlineStr">
        <is>
          <t>SMU Mustangs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espn_consensus</t>
        </is>
      </c>
      <c r="L122" s="26" t="n">
        <v>-3600</v>
      </c>
      <c r="M122" s="27" t="n">
        <v>1.027778</v>
      </c>
      <c r="N122" s="28" t="n">
        <v>0.972973</v>
      </c>
      <c r="O122" s="28" t="n">
        <v>0.883672</v>
      </c>
      <c r="P122" s="28" t="n">
        <v>0.18</v>
      </c>
      <c r="Q122" s="28" t="n">
        <v>-0.08930100000000001</v>
      </c>
      <c r="R122" s="26" t="n">
        <v>0</v>
      </c>
      <c r="S122" s="29" t="n">
        <v>1</v>
      </c>
      <c r="T122" s="24" t="inlineStr">
        <is>
          <t>college-football-v1</t>
        </is>
      </c>
      <c r="U122" s="24" t="inlineStr">
        <is>
          <t>settled</t>
        </is>
      </c>
      <c r="V122" s="24" t="inlineStr">
        <is>
          <t>win</t>
        </is>
      </c>
      <c r="W122" s="26" t="n">
        <v>10</v>
      </c>
      <c r="X122" s="26" t="n">
        <v>56</v>
      </c>
      <c r="Y122" s="25" t="n"/>
      <c r="Z122" s="26" t="n"/>
      <c r="AA122" s="28" t="n"/>
      <c r="AB122" s="28" t="n"/>
      <c r="AC122" s="30" t="n">
        <v>0.0278</v>
      </c>
      <c r="AD122" s="24" t="inlineStr">
        <is>
          <t>2026-09-13T04:31:08.605560Z</t>
        </is>
      </c>
      <c r="AE122" s="31" t="inlineStr">
        <is>
          <t>CFB Joint Model (negative_binomial): proj score UC Davis Aggies 17.0 @ SMU Mustangs 36.6 (Margin +19.5). Possessions: 12.4, HFA: +2.8 pts.</t>
        </is>
      </c>
      <c r="AF122" s="31" t="inlineStr">
        <is>
          <t>College football model; multi-market (moneyline, spread, total).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4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PAPER_CALL_LOW_EDGE</t>
        </is>
      </c>
      <c r="AP122" s="24" t="inlineStr">
        <is>
          <t>UC Davis Aggies</t>
        </is>
      </c>
      <c r="AQ122" s="24" t="inlineStr">
        <is>
          <t>UC Davis Aggies</t>
        </is>
      </c>
      <c r="AR122" s="24" t="inlineStr">
        <is>
          <t>UC Davis Aggies</t>
        </is>
      </c>
      <c r="AS122" s="24" t="inlineStr">
        <is>
          <t>SMU Mustangs</t>
        </is>
      </c>
      <c r="AT122" s="24" t="inlineStr">
        <is>
          <t>SMU Mustangs</t>
        </is>
      </c>
      <c r="AU122" s="24" t="inlineStr">
        <is>
          <t>SMU Mustangs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1d168f11d221cd3c</t>
        </is>
      </c>
      <c r="BB122" s="24" t="inlineStr">
        <is>
          <t>cfb_key_number_engine</t>
        </is>
      </c>
      <c r="BC122" s="24" t="inlineStr">
        <is>
          <t>college-football-v1</t>
        </is>
      </c>
      <c r="BD122" s="24" t="inlineStr">
        <is>
          <t>1d168f11d221cd3c</t>
        </is>
      </c>
      <c r="BE122" s="24" t="inlineStr">
        <is>
          <t>cfb-v1</t>
        </is>
      </c>
      <c r="BF122" s="24" t="inlineStr">
        <is>
          <t>1</t>
        </is>
      </c>
      <c r="BG122" s="24" t="inlineStr">
        <is>
          <t>1d168f11d221cd3c</t>
        </is>
      </c>
      <c r="BH122" s="24" t="inlineStr">
        <is>
          <t>2026-09-12T16:07:28.570172+00:00</t>
        </is>
      </c>
      <c r="BI122" s="24" t="inlineStr">
        <is>
          <t>["same_event","same_team_same_day","same_league_same_day"]</t>
        </is>
      </c>
      <c r="BJ122" s="25" t="n"/>
      <c r="BK122" s="26" t="n">
        <v>-3600</v>
      </c>
      <c r="BL122" s="27" t="n">
        <v>1.027778</v>
      </c>
      <c r="BM122" s="28" t="n">
        <v>0.972973</v>
      </c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n"/>
      <c r="BX122" s="30" t="n">
        <v>1</v>
      </c>
      <c r="BY122" s="27" t="n">
        <v>0.027778</v>
      </c>
      <c r="BZ122" s="24" t="inlineStr">
        <is>
          <t>2026-09-13T04:31:08.605560Z</t>
        </is>
      </c>
      <c r="CA122" s="31" t="inlineStr">
        <is>
          <t>fixed one-unit hypothetical scoring; no real exposure or execution</t>
        </is>
      </c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False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0.972973</t>
        </is>
      </c>
      <c r="DK122" s="24" t="n"/>
      <c r="DL122" s="24" t="n"/>
      <c r="DM122" s="24" t="n"/>
      <c r="DN122" s="24" t="n"/>
      <c r="DO122" s="24" t="n"/>
      <c r="DP122" s="24" t="n"/>
      <c r="DQ122" s="24" t="inlineStr">
        <is>
          <t>{"artifact_hash": "1d168f11d221cd3c", "event_id": "401858223", "event_start_utc": "2026-09-12T20:00Z", "features": {"altitude_fatigue_penalty": 0.0, "away_team": "UC Davis Aggies", "efficiency_gap": 1.354, "elo_away": 1337.5, "elo_home": 1750.8, "elo_home_win_prob": 0.9401, "event_id": "401858223", "game_start_utc": "2026-09-12T20:00Z", "home_field_advantage_points": 2.8, "home_team": "SMU Mustangs", "is_dome": false, "is_fbs_vs_fcs": false, "is_neutral_site": false, "projected_away_points": 17.0, "projected_home_points": 36.6, "projected_margin_home": 19.5,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36.6,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174594113010267609685094374488243666797}, "uinteger": 0}, "spread_home_line": -32.5, "total_line": 58.5}, "market_type": "moneyline", "model_version": "college-football-v1", "observed_at_utc": "2026-09-12T16:07:28.570172+00:00", "probabilities": {"away": 0.116328, "home": 0.883672}, "replay_scope": "Full precision score means, exact engine parameters and original RNG state; upstream feature construction not certified.", "schema": "cfb-joint-replay-v1", "snapshot_hash": "d3ac6d4dcffee0b9775e8dea5c23d7a9ef79ad66e91458f6b8d0b34fe9b0a986", "sport": "NCAAF"}</t>
        </is>
      </c>
    </row>
    <row r="123" ht="36" customHeight="1">
      <c r="A123" s="24" t="inlineStr">
        <is>
          <t>fde67c76836c4414</t>
        </is>
      </c>
      <c r="B123" s="24" t="inlineStr">
        <is>
          <t>2026-09-12T16:07:28.570172Z</t>
        </is>
      </c>
      <c r="C123" s="24" t="inlineStr">
        <is>
          <t>2026-09-12T20:00Z</t>
        </is>
      </c>
      <c r="D123" s="24" t="inlineStr">
        <is>
          <t>401858223</t>
        </is>
      </c>
      <c r="E123" s="24" t="inlineStr">
        <is>
          <t>NCAAF</t>
        </is>
      </c>
      <c r="F123" s="24" t="inlineStr">
        <is>
          <t>UC Davis Aggies</t>
        </is>
      </c>
      <c r="G123" s="24" t="inlineStr">
        <is>
          <t>SMU Mustangs</t>
        </is>
      </c>
      <c r="H123" s="24" t="inlineStr">
        <is>
          <t>spread</t>
        </is>
      </c>
      <c r="I123" s="24" t="inlineStr">
        <is>
          <t>away</t>
        </is>
      </c>
      <c r="J123" s="25" t="n">
        <v>32.5</v>
      </c>
      <c r="K123" s="24" t="inlineStr">
        <is>
          <t>espn_consensus</t>
        </is>
      </c>
      <c r="L123" s="26" t="n">
        <v>-112</v>
      </c>
      <c r="M123" s="27" t="n">
        <v>1.892857</v>
      </c>
      <c r="N123" s="28" t="n">
        <v>0.528302</v>
      </c>
      <c r="O123" s="28" t="n">
        <v>0.7954</v>
      </c>
      <c r="P123" s="28" t="n">
        <v>0.18</v>
      </c>
      <c r="Q123" s="28" t="n">
        <v>0.267098</v>
      </c>
      <c r="R123" s="26" t="n">
        <v>76</v>
      </c>
      <c r="S123" s="29" t="n">
        <v>1.5</v>
      </c>
      <c r="T123" s="24" t="inlineStr">
        <is>
          <t>cfb-spread-v1</t>
        </is>
      </c>
      <c r="U123" s="24" t="inlineStr">
        <is>
          <t>settled</t>
        </is>
      </c>
      <c r="V123" s="24" t="inlineStr">
        <is>
          <t>loss</t>
        </is>
      </c>
      <c r="W123" s="26" t="n">
        <v>10</v>
      </c>
      <c r="X123" s="26" t="n">
        <v>56</v>
      </c>
      <c r="Y123" s="25" t="n"/>
      <c r="Z123" s="26" t="n"/>
      <c r="AA123" s="28" t="n"/>
      <c r="AB123" s="28" t="n"/>
      <c r="AC123" s="30" t="n">
        <v>-1.5</v>
      </c>
      <c r="AD123" s="24" t="inlineStr">
        <is>
          <t>2026-09-13T04:31:08.942386Z</t>
        </is>
      </c>
      <c r="AE123" s="31" t="inlineStr">
        <is>
          <t>Projected home margin +19.5 pts. Spread: Home -32.5 / Away +32.5 -&gt; P(Away cover)=0.795, P(Home cover)=0.205, P(Push)=0.000.</t>
        </is>
      </c>
      <c r="AF123" s="31" t="inlineStr">
        <is>
          <t>College football model; multi-market (moneyline, spread, total).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4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UC Davis Aggies</t>
        </is>
      </c>
      <c r="AQ123" s="24" t="inlineStr">
        <is>
          <t>UC Davis Aggies</t>
        </is>
      </c>
      <c r="AR123" s="24" t="inlineStr">
        <is>
          <t>UC Davis Aggies</t>
        </is>
      </c>
      <c r="AS123" s="24" t="inlineStr">
        <is>
          <t>SMU Mustangs</t>
        </is>
      </c>
      <c r="AT123" s="24" t="inlineStr">
        <is>
          <t>SMU Mustangs</t>
        </is>
      </c>
      <c r="AU123" s="24" t="inlineStr">
        <is>
          <t>SMU Mustangs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1d168f11d221cd3c</t>
        </is>
      </c>
      <c r="BB123" s="24" t="inlineStr">
        <is>
          <t>cfb_key_number_engine</t>
        </is>
      </c>
      <c r="BC123" s="24" t="inlineStr">
        <is>
          <t>cfb-spread-v1</t>
        </is>
      </c>
      <c r="BD123" s="24" t="inlineStr">
        <is>
          <t>1d168f11d221cd3c</t>
        </is>
      </c>
      <c r="BE123" s="24" t="inlineStr">
        <is>
          <t>cfb-v1</t>
        </is>
      </c>
      <c r="BF123" s="24" t="inlineStr">
        <is>
          <t>1</t>
        </is>
      </c>
      <c r="BG123" s="24" t="inlineStr">
        <is>
          <t>1d168f11d221cd3c</t>
        </is>
      </c>
      <c r="BH123" s="24" t="inlineStr">
        <is>
          <t>2026-09-12T16:07:28.570172+00:00</t>
        </is>
      </c>
      <c r="BI123" s="24" t="inlineStr">
        <is>
          <t>["same_event","same_team_same_day","same_league_same_day"]</t>
        </is>
      </c>
      <c r="BJ123" s="25" t="n">
        <v>32.5</v>
      </c>
      <c r="BK123" s="26" t="n">
        <v>-112</v>
      </c>
      <c r="BL123" s="27" t="n">
        <v>1.892857</v>
      </c>
      <c r="BM123" s="28" t="n">
        <v>0.528302</v>
      </c>
      <c r="BN123" s="28" t="n"/>
      <c r="BO123" s="28" t="n"/>
      <c r="BP123" s="25" t="n"/>
      <c r="BQ123" s="27" t="n"/>
      <c r="BR123" s="28" t="n"/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True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0.528302</t>
        </is>
      </c>
      <c r="DK123" s="24" t="n"/>
      <c r="DL123" s="24" t="n"/>
      <c r="DM123" s="24" t="n"/>
      <c r="DN123" s="24" t="n"/>
      <c r="DO123" s="24" t="n"/>
      <c r="DP123" s="24" t="n"/>
      <c r="DQ123" s="24" t="inlineStr">
        <is>
          <t>{"artifact_hash": "1d168f11d221cd3c", "event_id": "401858223", "event_start_utc": "2026-09-12T20:00Z", "features": {"altitude_fatigue_penalty": 0.0, "away_team": "UC Davis Aggies", "efficiency_gap": 1.354, "elo_away": 1337.5, "elo_home": 1750.8, "elo_home_win_prob": 0.9401, "event_id": "401858223", "game_start_utc": "2026-09-12T20:00Z", "home_field_advantage_points": 2.8, "home_team": "SMU Mustangs", "is_dome": false, "is_fbs_vs_fcs": false, "is_neutral_site": false, "projected_away_points": 17.0, "projected_home_points": 36.6, "projected_margin_home": 19.5,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36.6,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174594113010267609685094374488243666797}, "uinteger": 0}, "spread_home_line": -32.5, "total_line": 58.5}, "market_type": "spread", "model_version": "cfb-spread-v1", "observed_at_utc": "2026-09-12T16:07:28.570172+00:00", "probabilities": {"away": 0.7954, "home": 0.2046, "push": 0.0}, "replay_scope": "Full precision score means, exact engine parameters and original RNG state; upstream feature construction not certified.", "schema": "cfb-joint-replay-v1", "snapshot_hash": "ba729191fe65cfaff4ebfd915e6fbe0e848ee4803f696ddcc99d198c91fb4663", "sport": "NCAAF"}</t>
        </is>
      </c>
    </row>
    <row r="124" ht="36" customHeight="1">
      <c r="A124" s="24" t="inlineStr">
        <is>
          <t>d53427963c924eba</t>
        </is>
      </c>
      <c r="B124" s="24" t="inlineStr">
        <is>
          <t>2026-09-12T16:07:28.570172Z</t>
        </is>
      </c>
      <c r="C124" s="24" t="inlineStr">
        <is>
          <t>2026-09-12T20:00Z</t>
        </is>
      </c>
      <c r="D124" s="24" t="inlineStr">
        <is>
          <t>401858223</t>
        </is>
      </c>
      <c r="E124" s="24" t="inlineStr">
        <is>
          <t>NCAAF</t>
        </is>
      </c>
      <c r="F124" s="24" t="inlineStr">
        <is>
          <t>UC Davis Aggies</t>
        </is>
      </c>
      <c r="G124" s="24" t="inlineStr">
        <is>
          <t>SMU Mustangs</t>
        </is>
      </c>
      <c r="H124" s="24" t="inlineStr">
        <is>
          <t>total</t>
        </is>
      </c>
      <c r="I124" s="24" t="inlineStr">
        <is>
          <t>under</t>
        </is>
      </c>
      <c r="J124" s="25" t="n">
        <v>58.5</v>
      </c>
      <c r="K124" s="24" t="inlineStr">
        <is>
          <t>espn_consensus</t>
        </is>
      </c>
      <c r="L124" s="26" t="n">
        <v>-105</v>
      </c>
      <c r="M124" s="27" t="n">
        <v>1.952381</v>
      </c>
      <c r="N124" s="28" t="n">
        <v>0.512195</v>
      </c>
      <c r="O124" s="28" t="n">
        <v>0.625533</v>
      </c>
      <c r="P124" s="28" t="n">
        <v>0.18</v>
      </c>
      <c r="Q124" s="28" t="n">
        <v>0.113338</v>
      </c>
      <c r="R124" s="26" t="n">
        <v>0</v>
      </c>
      <c r="S124" s="29" t="n">
        <v>1</v>
      </c>
      <c r="T124" s="24" t="inlineStr">
        <is>
          <t>cfb-total-v1</t>
        </is>
      </c>
      <c r="U124" s="24" t="inlineStr">
        <is>
          <t>settled</t>
        </is>
      </c>
      <c r="V124" s="24" t="inlineStr">
        <is>
          <t>loss</t>
        </is>
      </c>
      <c r="W124" s="26" t="n">
        <v>10</v>
      </c>
      <c r="X124" s="26" t="n">
        <v>56</v>
      </c>
      <c r="Y124" s="25" t="n"/>
      <c r="Z124" s="26" t="n"/>
      <c r="AA124" s="28" t="n"/>
      <c r="AB124" s="28" t="n"/>
      <c r="AC124" s="30" t="n">
        <v>-1</v>
      </c>
      <c r="AD124" s="24" t="inlineStr">
        <is>
          <t>2026-09-13T04:31:09.344660Z</t>
        </is>
      </c>
      <c r="AE124" s="31" t="inlineStr">
        <is>
          <t>Projected total 53.6 pts (Weather adj: +0.0 pts). Total line 58.5 -&gt; P(Over)=0.374, P(Under)=0.626, P(Push)=0.000.</t>
        </is>
      </c>
      <c r="AF124" s="31" t="inlineStr">
        <is>
          <t>College football model; multi-market (moneyline, spread, total).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4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UC Davis Aggies</t>
        </is>
      </c>
      <c r="AQ124" s="24" t="inlineStr">
        <is>
          <t>UC Davis Aggies</t>
        </is>
      </c>
      <c r="AR124" s="24" t="inlineStr">
        <is>
          <t>UC Davis Aggies</t>
        </is>
      </c>
      <c r="AS124" s="24" t="inlineStr">
        <is>
          <t>SMU Mustangs</t>
        </is>
      </c>
      <c r="AT124" s="24" t="inlineStr">
        <is>
          <t>SMU Mustangs</t>
        </is>
      </c>
      <c r="AU124" s="24" t="inlineStr">
        <is>
          <t>SMU Mustangs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1d168f11d221cd3c</t>
        </is>
      </c>
      <c r="BB124" s="24" t="inlineStr">
        <is>
          <t>cfb_key_number_engine</t>
        </is>
      </c>
      <c r="BC124" s="24" t="inlineStr">
        <is>
          <t>cfb-total-v1</t>
        </is>
      </c>
      <c r="BD124" s="24" t="inlineStr">
        <is>
          <t>1d168f11d221cd3c</t>
        </is>
      </c>
      <c r="BE124" s="24" t="inlineStr">
        <is>
          <t>cfb-v1</t>
        </is>
      </c>
      <c r="BF124" s="24" t="inlineStr">
        <is>
          <t>1</t>
        </is>
      </c>
      <c r="BG124" s="24" t="inlineStr">
        <is>
          <t>1d168f11d221cd3c</t>
        </is>
      </c>
      <c r="BH124" s="24" t="inlineStr">
        <is>
          <t>2026-09-12T16:07:28.570172+00:00</t>
        </is>
      </c>
      <c r="BI124" s="24" t="inlineStr">
        <is>
          <t>["same_event","same_team_same_day","same_league_same_day"]</t>
        </is>
      </c>
      <c r="BJ124" s="25" t="n">
        <v>58.5</v>
      </c>
      <c r="BK124" s="26" t="n">
        <v>-105</v>
      </c>
      <c r="BL124" s="27" t="n">
        <v>1.952381</v>
      </c>
      <c r="BM124" s="28" t="n">
        <v>0.512195</v>
      </c>
      <c r="BN124" s="28" t="n"/>
      <c r="BO124" s="28" t="n"/>
      <c r="BP124" s="25" t="n"/>
      <c r="BQ124" s="27" t="n"/>
      <c r="BR124" s="28" t="n"/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True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0.512195</t>
        </is>
      </c>
      <c r="DK124" s="24" t="n"/>
      <c r="DL124" s="24" t="n"/>
      <c r="DM124" s="24" t="n"/>
      <c r="DN124" s="24" t="n"/>
      <c r="DO124" s="24" t="n"/>
      <c r="DP124" s="24" t="n"/>
      <c r="DQ124" s="24" t="inlineStr">
        <is>
          <t>{"artifact_hash": "1d168f11d221cd3c", "event_id": "401858223", "event_start_utc": "2026-09-12T20:00Z", "features": {"altitude_fatigue_penalty": 0.0, "away_team": "UC Davis Aggies", "efficiency_gap": 1.354, "elo_away": 1337.5, "elo_home": 1750.8, "elo_home_win_prob": 0.9401, "event_id": "401858223", "game_start_utc": "2026-09-12T20:00Z", "home_field_advantage_points": 2.8, "home_team": "SMU Mustangs", "is_dome": false, "is_fbs_vs_fcs": false, "is_neutral_site": false, "projected_away_points": 17.0, "projected_home_points": 36.6, "projected_margin_home": 19.5,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36.6,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174594113010267609685094374488243666797}, "uinteger": 0}, "spread_home_line": -32.5, "total_line": 58.5}, "market_type": "total", "model_version": "cfb-total-v1", "observed_at_utc": "2026-09-12T16:07:28.570172+00:00", "probabilities": {"over": 0.374467, "push": 0.0, "under": 0.625533}, "replay_scope": "Full precision score means, exact engine parameters and original RNG state; upstream feature construction not certified.", "schema": "cfb-joint-replay-v1", "snapshot_hash": "22dc51726b977861859a230f0444e4afd3b9e5a620a70795041e88b745e2038a", "sport": "NCAAF"}</t>
        </is>
      </c>
    </row>
    <row r="125" ht="36" customHeight="1">
      <c r="A125" s="24" t="inlineStr">
        <is>
          <t>f6ee49dcbf744bda</t>
        </is>
      </c>
      <c r="B125" s="24" t="inlineStr">
        <is>
          <t>2026-09-12T16:07:28.570172Z</t>
        </is>
      </c>
      <c r="C125" s="24" t="inlineStr">
        <is>
          <t>2026-09-12T20:00Z</t>
        </is>
      </c>
      <c r="D125" s="24" t="inlineStr">
        <is>
          <t>401864506</t>
        </is>
      </c>
      <c r="E125" s="24" t="inlineStr">
        <is>
          <t>NCAAF</t>
        </is>
      </c>
      <c r="F125" s="24" t="inlineStr">
        <is>
          <t>Northern Colorado Bears</t>
        </is>
      </c>
      <c r="G125" s="24" t="inlineStr">
        <is>
          <t>Wyoming Cowboys</t>
        </is>
      </c>
      <c r="H125" s="24" t="inlineStr">
        <is>
          <t>moneyline</t>
        </is>
      </c>
      <c r="I125" s="24" t="inlineStr">
        <is>
          <t>away</t>
        </is>
      </c>
      <c r="J125" s="25" t="n"/>
      <c r="K125" s="24" t="inlineStr">
        <is>
          <t>espn_consensus</t>
        </is>
      </c>
      <c r="L125" s="26" t="n">
        <v>1000</v>
      </c>
      <c r="M125" s="27" t="n">
        <v>11</v>
      </c>
      <c r="N125" s="28" t="n">
        <v>0.090909</v>
      </c>
      <c r="O125" s="28" t="n">
        <v>0.526944</v>
      </c>
      <c r="P125" s="28" t="n">
        <v>0.18</v>
      </c>
      <c r="Q125" s="28" t="n">
        <v>0.436035</v>
      </c>
      <c r="R125" s="26" t="n">
        <v>100</v>
      </c>
      <c r="S125" s="29" t="n">
        <v>2</v>
      </c>
      <c r="T125" s="24" t="inlineStr">
        <is>
          <t>college-football-v1</t>
        </is>
      </c>
      <c r="U125" s="24" t="inlineStr">
        <is>
          <t>settled</t>
        </is>
      </c>
      <c r="V125" s="24" t="inlineStr">
        <is>
          <t>loss</t>
        </is>
      </c>
      <c r="W125" s="26" t="n">
        <v>13</v>
      </c>
      <c r="X125" s="26" t="n">
        <v>21</v>
      </c>
      <c r="Y125" s="25" t="n"/>
      <c r="Z125" s="26" t="n"/>
      <c r="AA125" s="28" t="n"/>
      <c r="AB125" s="28" t="n"/>
      <c r="AC125" s="30" t="n">
        <v>-2</v>
      </c>
      <c r="AD125" s="24" t="inlineStr">
        <is>
          <t>2026-09-13T04:31:09.716270Z</t>
        </is>
      </c>
      <c r="AE125" s="31" t="inlineStr">
        <is>
          <t>CFB Joint Model (negative_binomial): proj score Northern Colorado Bears 26.9 @ Wyoming Cowboys 25.8 (Margin -1.0). Possessions: 12.4, HFA: +2.8 pts.</t>
        </is>
      </c>
      <c r="AF125" s="31" t="inlineStr">
        <is>
          <t>College football model; multi-market (moneyline, spread, total).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4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Northern Colorado Bears</t>
        </is>
      </c>
      <c r="AQ125" s="24" t="inlineStr">
        <is>
          <t>Northern Colorado Bears</t>
        </is>
      </c>
      <c r="AR125" s="24" t="inlineStr">
        <is>
          <t>Northern Colorado Bears</t>
        </is>
      </c>
      <c r="AS125" s="24" t="inlineStr">
        <is>
          <t>Wyoming Cowboys</t>
        </is>
      </c>
      <c r="AT125" s="24" t="inlineStr">
        <is>
          <t>Wyoming Cowboys</t>
        </is>
      </c>
      <c r="AU125" s="24" t="inlineStr">
        <is>
          <t>Wyoming Cowboys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1d168f11d221cd3c</t>
        </is>
      </c>
      <c r="BB125" s="24" t="inlineStr">
        <is>
          <t>cfb_key_number_engine</t>
        </is>
      </c>
      <c r="BC125" s="24" t="inlineStr">
        <is>
          <t>college-football-v1</t>
        </is>
      </c>
      <c r="BD125" s="24" t="inlineStr">
        <is>
          <t>1d168f11d221cd3c</t>
        </is>
      </c>
      <c r="BE125" s="24" t="inlineStr">
        <is>
          <t>cfb-v1</t>
        </is>
      </c>
      <c r="BF125" s="24" t="inlineStr">
        <is>
          <t>1</t>
        </is>
      </c>
      <c r="BG125" s="24" t="inlineStr">
        <is>
          <t>1d168f11d221cd3c</t>
        </is>
      </c>
      <c r="BH125" s="24" t="inlineStr">
        <is>
          <t>2026-09-12T16:07:28.570172+00:00</t>
        </is>
      </c>
      <c r="BI125" s="24" t="inlineStr">
        <is>
          <t>["same_event","same_team_same_day","same_league_same_day"]</t>
        </is>
      </c>
      <c r="BJ125" s="25" t="n"/>
      <c r="BK125" s="26" t="n">
        <v>1000</v>
      </c>
      <c r="BL125" s="27" t="n">
        <v>11</v>
      </c>
      <c r="BM125" s="28" t="n">
        <v>0.090909</v>
      </c>
      <c r="BN125" s="28" t="n"/>
      <c r="BO125" s="28" t="n"/>
      <c r="BP125" s="25" t="n"/>
      <c r="BQ125" s="27" t="n"/>
      <c r="BR125" s="28" t="n"/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0.090909</t>
        </is>
      </c>
      <c r="DK125" s="24" t="n"/>
      <c r="DL125" s="24" t="n"/>
      <c r="DM125" s="24" t="n"/>
      <c r="DN125" s="24" t="n"/>
      <c r="DO125" s="24" t="n"/>
      <c r="DP125" s="24" t="n"/>
      <c r="DQ125" s="24" t="inlineStr">
        <is>
          <t>{"artifact_hash": "1d168f11d221cd3c", "event_id": "401864506", "event_start_utc": "2026-09-12T20:00Z", "features": {"altitude_fatigue_penalty": 0.0, "away_team": "Northern Colorado Bears", "efficiency_gap": 0.224, "elo_away": 1337.5, "elo_home": 1247.4, "elo_home_win_prob": 0.464, "event_id": "401864506", "game_start_utc": "2026-09-12T20:00Z", "home_field_advantage_points": 2.8, "home_team": "Wyoming Cowboys", "is_dome": false, "is_fbs_vs_fcs": false, "is_neutral_site": false, "projected_away_points": 26.9, "projected_home_points": 25.8, "projected_margin_home": -1.0,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26.9, "mu_home": 25.8,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137226832386043629745446263497353598808}, "uinteger": 0}, "spread_home_line": -23.5, "total_line": 44.5}, "market_type": "moneyline", "model_version": "college-football-v1", "observed_at_utc": "2026-09-12T16:07:28.570172+00:00", "probabilities": {"away": 0.526944, "home": 0.473056}, "replay_scope": "Full precision score means, exact engine parameters and original RNG state; upstream feature construction not certified.", "schema": "cfb-joint-replay-v1", "snapshot_hash": "5eb9f6f71fad9bb9891d9d1b932acdc82fb303d4ec111bb0532286d92ad4bee0", "sport": "NCAAF"}</t>
        </is>
      </c>
    </row>
    <row r="126" ht="36" customHeight="1">
      <c r="A126" s="24" t="inlineStr">
        <is>
          <t>de687c2ee83d44c4</t>
        </is>
      </c>
      <c r="B126" s="24" t="inlineStr">
        <is>
          <t>2026-09-12T16:07:28.570172Z</t>
        </is>
      </c>
      <c r="C126" s="24" t="inlineStr">
        <is>
          <t>2026-09-12T20:00Z</t>
        </is>
      </c>
      <c r="D126" s="24" t="inlineStr">
        <is>
          <t>401864506</t>
        </is>
      </c>
      <c r="E126" s="24" t="inlineStr">
        <is>
          <t>NCAAF</t>
        </is>
      </c>
      <c r="F126" s="24" t="inlineStr">
        <is>
          <t>Northern Colorado Bears</t>
        </is>
      </c>
      <c r="G126" s="24" t="inlineStr">
        <is>
          <t>Wyoming Cowboys</t>
        </is>
      </c>
      <c r="H126" s="24" t="inlineStr">
        <is>
          <t>spread</t>
        </is>
      </c>
      <c r="I126" s="24" t="inlineStr">
        <is>
          <t>away</t>
        </is>
      </c>
      <c r="J126" s="25" t="n">
        <v>23.5</v>
      </c>
      <c r="K126" s="24" t="inlineStr">
        <is>
          <t>espn_consensus</t>
        </is>
      </c>
      <c r="L126" s="26" t="n">
        <v>-112</v>
      </c>
      <c r="M126" s="27" t="n">
        <v>1.892857</v>
      </c>
      <c r="N126" s="28" t="n">
        <v>0.528302</v>
      </c>
      <c r="O126" s="28" t="n">
        <v>0.927067</v>
      </c>
      <c r="P126" s="28" t="n">
        <v>0.18</v>
      </c>
      <c r="Q126" s="28" t="n">
        <v>0.398765</v>
      </c>
      <c r="R126" s="26" t="n">
        <v>100</v>
      </c>
      <c r="S126" s="29" t="n">
        <v>2</v>
      </c>
      <c r="T126" s="24" t="inlineStr">
        <is>
          <t>cfb-spread-v1</t>
        </is>
      </c>
      <c r="U126" s="24" t="inlineStr">
        <is>
          <t>settled</t>
        </is>
      </c>
      <c r="V126" s="24" t="inlineStr">
        <is>
          <t>win</t>
        </is>
      </c>
      <c r="W126" s="26" t="n">
        <v>13</v>
      </c>
      <c r="X126" s="26" t="n">
        <v>21</v>
      </c>
      <c r="Y126" s="25" t="n"/>
      <c r="Z126" s="26" t="n"/>
      <c r="AA126" s="28" t="n"/>
      <c r="AB126" s="28" t="n"/>
      <c r="AC126" s="30" t="n">
        <v>1.7857</v>
      </c>
      <c r="AD126" s="24" t="inlineStr">
        <is>
          <t>2026-09-13T04:31:10.047076Z</t>
        </is>
      </c>
      <c r="AE126" s="31" t="inlineStr">
        <is>
          <t>Projected home margin -1.0 pts. Spread: Home -23.5 / Away +23.5 -&gt; P(Away cover)=0.927, P(Home cover)=0.073, P(Push)=0.000.</t>
        </is>
      </c>
      <c r="AF126" s="31" t="inlineStr">
        <is>
          <t>College football model; multi-market (moneyline, spread, total).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4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Northern Colorado Bears</t>
        </is>
      </c>
      <c r="AQ126" s="24" t="inlineStr">
        <is>
          <t>Northern Colorado Bears</t>
        </is>
      </c>
      <c r="AR126" s="24" t="inlineStr">
        <is>
          <t>Northern Colorado Bears</t>
        </is>
      </c>
      <c r="AS126" s="24" t="inlineStr">
        <is>
          <t>Wyoming Cowboys</t>
        </is>
      </c>
      <c r="AT126" s="24" t="inlineStr">
        <is>
          <t>Wyoming Cowboys</t>
        </is>
      </c>
      <c r="AU126" s="24" t="inlineStr">
        <is>
          <t>Wyoming Cowboys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1d168f11d221cd3c</t>
        </is>
      </c>
      <c r="BB126" s="24" t="inlineStr">
        <is>
          <t>cfb_key_number_engine</t>
        </is>
      </c>
      <c r="BC126" s="24" t="inlineStr">
        <is>
          <t>cfb-spread-v1</t>
        </is>
      </c>
      <c r="BD126" s="24" t="inlineStr">
        <is>
          <t>1d168f11d221cd3c</t>
        </is>
      </c>
      <c r="BE126" s="24" t="inlineStr">
        <is>
          <t>cfb-v1</t>
        </is>
      </c>
      <c r="BF126" s="24" t="inlineStr">
        <is>
          <t>1</t>
        </is>
      </c>
      <c r="BG126" s="24" t="inlineStr">
        <is>
          <t>1d168f11d221cd3c</t>
        </is>
      </c>
      <c r="BH126" s="24" t="inlineStr">
        <is>
          <t>2026-09-12T16:07:28.570172+00:00</t>
        </is>
      </c>
      <c r="BI126" s="24" t="inlineStr">
        <is>
          <t>["same_event","same_team_same_day","same_league_same_day"]</t>
        </is>
      </c>
      <c r="BJ126" s="25" t="n">
        <v>23.5</v>
      </c>
      <c r="BK126" s="26" t="n">
        <v>-112</v>
      </c>
      <c r="BL126" s="27" t="n">
        <v>1.892857</v>
      </c>
      <c r="BM126" s="28" t="n">
        <v>0.528302</v>
      </c>
      <c r="BN126" s="28" t="n"/>
      <c r="BO126" s="28" t="n"/>
      <c r="BP126" s="25" t="n"/>
      <c r="BQ126" s="27" t="n"/>
      <c r="BR126" s="28" t="n"/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0.528302</t>
        </is>
      </c>
      <c r="DK126" s="24" t="n"/>
      <c r="DL126" s="24" t="n"/>
      <c r="DM126" s="24" t="n"/>
      <c r="DN126" s="24" t="n"/>
      <c r="DO126" s="24" t="n"/>
      <c r="DP126" s="24" t="n"/>
      <c r="DQ126" s="24" t="inlineStr">
        <is>
          <t>{"artifact_hash": "1d168f11d221cd3c", "event_id": "401864506", "event_start_utc": "2026-09-12T20:00Z", "features": {"altitude_fatigue_penalty": 0.0, "away_team": "Northern Colorado Bears", "efficiency_gap": 0.224, "elo_away": 1337.5, "elo_home": 1247.4, "elo_home_win_prob": 0.464, "event_id": "401864506", "game_start_utc": "2026-09-12T20:00Z", "home_field_advantage_points": 2.8, "home_team": "Wyoming Cowboys", "is_dome": false, "is_fbs_vs_fcs": false, "is_neutral_site": false, "projected_away_points": 26.9, "projected_home_points": 25.8, "projected_margin_home": -1.0,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26.9, "mu_home": 25.8,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137226832386043629745446263497353598808}, "uinteger": 0}, "spread_home_line": -23.5, "total_line": 44.5}, "market_type": "spread", "model_version": "cfb-spread-v1", "observed_at_utc": "2026-09-12T16:07:28.570172+00:00", "probabilities": {"away": 0.927067, "home": 0.072933, "push": 0.0}, "replay_scope": "Full precision score means, exact engine parameters and original RNG state; upstream feature construction not certified.", "schema": "cfb-joint-replay-v1", "snapshot_hash": "e05e3b15587d41b7c09d1c1bc4faa9235210d8a83879c84cae9747f6a5805f3b", "sport": "NCAAF"}</t>
        </is>
      </c>
    </row>
    <row r="127" ht="36" customHeight="1">
      <c r="A127" s="24" t="inlineStr">
        <is>
          <t>e6031f06a61c4663</t>
        </is>
      </c>
      <c r="B127" s="24" t="inlineStr">
        <is>
          <t>2026-09-12T16:07:28.570172Z</t>
        </is>
      </c>
      <c r="C127" s="24" t="inlineStr">
        <is>
          <t>2026-09-12T20:00Z</t>
        </is>
      </c>
      <c r="D127" s="24" t="inlineStr">
        <is>
          <t>401864506</t>
        </is>
      </c>
      <c r="E127" s="24" t="inlineStr">
        <is>
          <t>NCAAF</t>
        </is>
      </c>
      <c r="F127" s="24" t="inlineStr">
        <is>
          <t>Northern Colorado Bears</t>
        </is>
      </c>
      <c r="G127" s="24" t="inlineStr">
        <is>
          <t>Wyoming Cowboys</t>
        </is>
      </c>
      <c r="H127" s="24" t="inlineStr">
        <is>
          <t>total</t>
        </is>
      </c>
      <c r="I127" s="24" t="inlineStr">
        <is>
          <t>over</t>
        </is>
      </c>
      <c r="J127" s="25" t="n">
        <v>44.5</v>
      </c>
      <c r="K127" s="24" t="inlineStr">
        <is>
          <t>espn_consensus</t>
        </is>
      </c>
      <c r="L127" s="26" t="n">
        <v>-102</v>
      </c>
      <c r="M127" s="27" t="n">
        <v>1.980392</v>
      </c>
      <c r="N127" s="28" t="n">
        <v>0.50495</v>
      </c>
      <c r="O127" s="28" t="n">
        <v>0.640467</v>
      </c>
      <c r="P127" s="28" t="n">
        <v>0.18</v>
      </c>
      <c r="Q127" s="28" t="n">
        <v>0.135517</v>
      </c>
      <c r="R127" s="26" t="n">
        <v>10</v>
      </c>
      <c r="S127" s="29" t="n">
        <v>1</v>
      </c>
      <c r="T127" s="24" t="inlineStr">
        <is>
          <t>cfb-total-v1</t>
        </is>
      </c>
      <c r="U127" s="24" t="inlineStr">
        <is>
          <t>settled</t>
        </is>
      </c>
      <c r="V127" s="24" t="inlineStr">
        <is>
          <t>loss</t>
        </is>
      </c>
      <c r="W127" s="26" t="n">
        <v>13</v>
      </c>
      <c r="X127" s="26" t="n">
        <v>21</v>
      </c>
      <c r="Y127" s="25" t="n"/>
      <c r="Z127" s="26" t="n"/>
      <c r="AA127" s="28" t="n"/>
      <c r="AB127" s="28" t="n"/>
      <c r="AC127" s="30" t="n">
        <v>-1</v>
      </c>
      <c r="AD127" s="24" t="inlineStr">
        <is>
          <t>2026-09-13T04:31:10.424878Z</t>
        </is>
      </c>
      <c r="AE127" s="31" t="inlineStr">
        <is>
          <t>Projected total 52.7 pts (Weather adj: +0.0 pts). Total line 44.5 -&gt; P(Over)=0.640, P(Under)=0.360, P(Push)=0.000.</t>
        </is>
      </c>
      <c r="AF127" s="31" t="inlineStr">
        <is>
          <t>College football model; multi-market (moneyline, spread, total).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4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Northern Colorado Bears</t>
        </is>
      </c>
      <c r="AQ127" s="24" t="inlineStr">
        <is>
          <t>Northern Colorado Bears</t>
        </is>
      </c>
      <c r="AR127" s="24" t="inlineStr">
        <is>
          <t>Northern Colorado Bears</t>
        </is>
      </c>
      <c r="AS127" s="24" t="inlineStr">
        <is>
          <t>Wyoming Cowboys</t>
        </is>
      </c>
      <c r="AT127" s="24" t="inlineStr">
        <is>
          <t>Wyoming Cowboys</t>
        </is>
      </c>
      <c r="AU127" s="24" t="inlineStr">
        <is>
          <t>Wyoming Cowboys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1d168f11d221cd3c</t>
        </is>
      </c>
      <c r="BB127" s="24" t="inlineStr">
        <is>
          <t>cfb_key_number_engine</t>
        </is>
      </c>
      <c r="BC127" s="24" t="inlineStr">
        <is>
          <t>cfb-total-v1</t>
        </is>
      </c>
      <c r="BD127" s="24" t="inlineStr">
        <is>
          <t>1d168f11d221cd3c</t>
        </is>
      </c>
      <c r="BE127" s="24" t="inlineStr">
        <is>
          <t>cfb-v1</t>
        </is>
      </c>
      <c r="BF127" s="24" t="inlineStr">
        <is>
          <t>1</t>
        </is>
      </c>
      <c r="BG127" s="24" t="inlineStr">
        <is>
          <t>1d168f11d221cd3c</t>
        </is>
      </c>
      <c r="BH127" s="24" t="inlineStr">
        <is>
          <t>2026-09-12T16:07:28.570172+00:00</t>
        </is>
      </c>
      <c r="BI127" s="24" t="inlineStr">
        <is>
          <t>["same_event","same_team_same_day","same_league_same_day"]</t>
        </is>
      </c>
      <c r="BJ127" s="25" t="n">
        <v>44.5</v>
      </c>
      <c r="BK127" s="26" t="n">
        <v>-102</v>
      </c>
      <c r="BL127" s="27" t="n">
        <v>1.980392</v>
      </c>
      <c r="BM127" s="28" t="n">
        <v>0.50495</v>
      </c>
      <c r="BN127" s="28" t="n"/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0.50495</t>
        </is>
      </c>
      <c r="DK127" s="24" t="n"/>
      <c r="DL127" s="24" t="n"/>
      <c r="DM127" s="24" t="n"/>
      <c r="DN127" s="24" t="n"/>
      <c r="DO127" s="24" t="n"/>
      <c r="DP127" s="24" t="n"/>
      <c r="DQ127" s="24" t="inlineStr">
        <is>
          <t>{"artifact_hash": "1d168f11d221cd3c", "event_id": "401864506", "event_start_utc": "2026-09-12T20:00Z", "features": {"altitude_fatigue_penalty": 0.0, "away_team": "Northern Colorado Bears", "efficiency_gap": 0.224, "elo_away": 1337.5, "elo_home": 1247.4, "elo_home_win_prob": 0.464, "event_id": "401864506", "game_start_utc": "2026-09-12T20:00Z", "home_field_advantage_points": 2.8, "home_team": "Wyoming Cowboys", "is_dome": false, "is_fbs_vs_fcs": false, "is_neutral_site": false, "projected_away_points": 26.9, "projected_home_points": 25.8, "projected_margin_home": -1.0,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26.9, "mu_home": 25.8,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137226832386043629745446263497353598808}, "uinteger": 0}, "spread_home_line": -23.5, "total_line": 44.5}, "market_type": "total", "model_version": "cfb-total-v1", "observed_at_utc": "2026-09-12T16:07:28.570172+00:00", "probabilities": {"over": 0.640467, "push": 0.0, "under": 0.359533}, "replay_scope": "Full precision score means, exact engine parameters and original RNG state; upstream feature construction not certified.", "schema": "cfb-joint-replay-v1", "snapshot_hash": "15095c96c14fe393b9ed0c5f07b11fd3795684e1f494e24518595ade8b725bf9", "sport": "NCAAF"}</t>
        </is>
      </c>
    </row>
    <row r="128" ht="36" customHeight="1">
      <c r="A128" s="24" t="inlineStr">
        <is>
          <t>f9a39bfddd3c4446</t>
        </is>
      </c>
      <c r="B128" s="24" t="inlineStr">
        <is>
          <t>2026-09-12T16:07:28.570172Z</t>
        </is>
      </c>
      <c r="C128" s="24" t="inlineStr">
        <is>
          <t>2026-09-12T20:00Z</t>
        </is>
      </c>
      <c r="D128" s="24" t="inlineStr">
        <is>
          <t>401865252</t>
        </is>
      </c>
      <c r="E128" s="24" t="inlineStr">
        <is>
          <t>NCAAF</t>
        </is>
      </c>
      <c r="F128" s="24" t="inlineStr">
        <is>
          <t>Mercyhurst Lakers</t>
        </is>
      </c>
      <c r="G128" s="24" t="inlineStr">
        <is>
          <t>New Mexico Lobos</t>
        </is>
      </c>
      <c r="H128" s="24" t="inlineStr">
        <is>
          <t>spread</t>
        </is>
      </c>
      <c r="I128" s="24" t="inlineStr">
        <is>
          <t>away</t>
        </is>
      </c>
      <c r="J128" s="25" t="n">
        <v>42.5</v>
      </c>
      <c r="K128" s="24" t="inlineStr">
        <is>
          <t>espn_consensus</t>
        </is>
      </c>
      <c r="L128" s="26" t="n">
        <v>-115</v>
      </c>
      <c r="M128" s="27" t="n">
        <v>1.869565</v>
      </c>
      <c r="N128" s="28" t="n">
        <v>0.534884</v>
      </c>
      <c r="O128" s="28" t="n">
        <v>0.935267</v>
      </c>
      <c r="P128" s="28" t="n">
        <v>0.18</v>
      </c>
      <c r="Q128" s="28" t="n">
        <v>0.400383</v>
      </c>
      <c r="R128" s="26" t="n">
        <v>100</v>
      </c>
      <c r="S128" s="29" t="n">
        <v>2</v>
      </c>
      <c r="T128" s="24" t="inlineStr">
        <is>
          <t>cfb-spread-v1</t>
        </is>
      </c>
      <c r="U128" s="24" t="inlineStr">
        <is>
          <t>settled</t>
        </is>
      </c>
      <c r="V128" s="24" t="inlineStr">
        <is>
          <t>loss</t>
        </is>
      </c>
      <c r="W128" s="26" t="n">
        <v>7</v>
      </c>
      <c r="X128" s="26" t="n">
        <v>70</v>
      </c>
      <c r="Y128" s="25" t="n"/>
      <c r="Z128" s="26" t="n"/>
      <c r="AA128" s="28" t="n"/>
      <c r="AB128" s="28" t="n"/>
      <c r="AC128" s="30" t="n">
        <v>-2</v>
      </c>
      <c r="AD128" s="24" t="inlineStr">
        <is>
          <t>2026-09-13T04:31:10.870259Z</t>
        </is>
      </c>
      <c r="AE128" s="31" t="inlineStr">
        <is>
          <t>Projected home margin +17.3 pts. Spread: Home -42.5 / Away +42.5 -&gt; P(Away cover)=0.935, P(Home cover)=0.065, P(Push)=0.000.</t>
        </is>
      </c>
      <c r="AF128" s="31" t="inlineStr">
        <is>
          <t>College football model; multi-market (moneyline, spread, total).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model_qualified</t>
        </is>
      </c>
      <c r="AL128" s="26" t="n">
        <v>4</v>
      </c>
      <c r="AM128" s="24" t="inlineStr">
        <is>
          <t>QUALIFIED_SHADOW_CALL</t>
        </is>
      </c>
      <c r="AN128" s="24" t="inlineStr">
        <is>
          <t>CALL</t>
        </is>
      </c>
      <c r="AO128" s="24" t="inlineStr">
        <is>
          <t>QUALIFIED</t>
        </is>
      </c>
      <c r="AP128" s="24" t="inlineStr">
        <is>
          <t>Mercyhurst Lakers</t>
        </is>
      </c>
      <c r="AQ128" s="24" t="inlineStr">
        <is>
          <t>Mercyhurst Lakers</t>
        </is>
      </c>
      <c r="AR128" s="24" t="inlineStr">
        <is>
          <t>Mercyhurst Lakers</t>
        </is>
      </c>
      <c r="AS128" s="24" t="inlineStr">
        <is>
          <t>New Mexico Lobos</t>
        </is>
      </c>
      <c r="AT128" s="24" t="inlineStr">
        <is>
          <t>New Mexico Lobos</t>
        </is>
      </c>
      <c r="AU128" s="24" t="inlineStr">
        <is>
          <t>New Mexico Lobos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1d168f11d221cd3c</t>
        </is>
      </c>
      <c r="BB128" s="24" t="inlineStr">
        <is>
          <t>cfb_key_number_engine</t>
        </is>
      </c>
      <c r="BC128" s="24" t="inlineStr">
        <is>
          <t>cfb-spread-v1</t>
        </is>
      </c>
      <c r="BD128" s="24" t="inlineStr">
        <is>
          <t>1d168f11d221cd3c</t>
        </is>
      </c>
      <c r="BE128" s="24" t="inlineStr">
        <is>
          <t>cfb-v1</t>
        </is>
      </c>
      <c r="BF128" s="24" t="inlineStr">
        <is>
          <t>1</t>
        </is>
      </c>
      <c r="BG128" s="24" t="inlineStr">
        <is>
          <t>1d168f11d221cd3c</t>
        </is>
      </c>
      <c r="BH128" s="24" t="inlineStr">
        <is>
          <t>2026-09-12T16:07:28.570172+00:00</t>
        </is>
      </c>
      <c r="BI128" s="24" t="inlineStr">
        <is>
          <t>["same_event","same_team_same_day","same_league_same_day"]</t>
        </is>
      </c>
      <c r="BJ128" s="25" t="n">
        <v>42.5</v>
      </c>
      <c r="BK128" s="26" t="n">
        <v>-115</v>
      </c>
      <c r="BL128" s="27" t="n">
        <v>1.869565</v>
      </c>
      <c r="BM128" s="28" t="n">
        <v>0.534884</v>
      </c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True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0.534884</t>
        </is>
      </c>
      <c r="DK128" s="24" t="n"/>
      <c r="DL128" s="24" t="n"/>
      <c r="DM128" s="24" t="n"/>
      <c r="DN128" s="24" t="n"/>
      <c r="DO128" s="24" t="n"/>
      <c r="DP128" s="24" t="n"/>
      <c r="DQ128" s="24" t="inlineStr">
        <is>
          <t>{"artifact_hash": "1d168f11d221cd3c", "event_id": "401865252", "event_start_utc": "2026-09-12T20:00Z", "features": {"altitude_fatigue_penalty": 0.0, "away_team": "Mercyhurst Lakers", "efficiency_gap": 1.165, "elo_away": 1337.5, "elo_home": 1696.7, "elo_home_win_prob": 0.92, "event_id": "401865252", "game_start_utc": "2026-09-12T20:00Z", "home_field_advantage_points": 2.8, "home_team": "New Mexico Lobos", "is_dome": false, "is_fbs_vs_fcs": false, "is_neutral_site": false, "projected_away_points": 18.0, "projected_home_points": 35.3, "projected_margin_home": 17.3,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18.0, "mu_home": 35.3,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133596036812530247307262061361373248200}, "uinteger": 0}, "spread_home_line": -42.5, "total_line": 54.5}, "market_type": "spread", "model_version": "cfb-spread-v1", "observed_at_utc": "2026-09-12T16:07:28.570172+00:00", "probabilities": {"away": 0.935267, "home": 0.064733, "push": 0.0}, "replay_scope": "Full precision score means, exact engine parameters and original RNG state; upstream feature construction not certified.", "schema": "cfb-joint-replay-v1", "snapshot_hash": "c81644419a8ca3a717fd83c4cd70cc1cd90a1a55f139adae9bf64e1ba20d2990", "sport": "NCAAF"}</t>
        </is>
      </c>
    </row>
    <row r="129" ht="36" customHeight="1">
      <c r="A129" s="24" t="inlineStr">
        <is>
          <t>0e70b301fc924a79</t>
        </is>
      </c>
      <c r="B129" s="24" t="inlineStr">
        <is>
          <t>2026-09-12T16:07:28.570172Z</t>
        </is>
      </c>
      <c r="C129" s="24" t="inlineStr">
        <is>
          <t>2026-09-12T20:00Z</t>
        </is>
      </c>
      <c r="D129" s="24" t="inlineStr">
        <is>
          <t>401865252</t>
        </is>
      </c>
      <c r="E129" s="24" t="inlineStr">
        <is>
          <t>NCAAF</t>
        </is>
      </c>
      <c r="F129" s="24" t="inlineStr">
        <is>
          <t>Mercyhurst Lakers</t>
        </is>
      </c>
      <c r="G129" s="24" t="inlineStr">
        <is>
          <t>New Mexico Lobos</t>
        </is>
      </c>
      <c r="H129" s="24" t="inlineStr">
        <is>
          <t>total</t>
        </is>
      </c>
      <c r="I129" s="24" t="inlineStr">
        <is>
          <t>under</t>
        </is>
      </c>
      <c r="J129" s="25" t="n">
        <v>54.5</v>
      </c>
      <c r="K129" s="24" t="inlineStr">
        <is>
          <t>espn_consensus</t>
        </is>
      </c>
      <c r="L129" s="26" t="n">
        <v>-112</v>
      </c>
      <c r="M129" s="27" t="n">
        <v>1.892857</v>
      </c>
      <c r="N129" s="28" t="n">
        <v>0.528302</v>
      </c>
      <c r="O129" s="28" t="n">
        <v>0.546867</v>
      </c>
      <c r="P129" s="28" t="n">
        <v>0.18</v>
      </c>
      <c r="Q129" s="28" t="n">
        <v>0.018565</v>
      </c>
      <c r="R129" s="26" t="n">
        <v>0</v>
      </c>
      <c r="S129" s="29" t="n">
        <v>1</v>
      </c>
      <c r="T129" s="24" t="inlineStr">
        <is>
          <t>cfb-total-v1</t>
        </is>
      </c>
      <c r="U129" s="24" t="inlineStr">
        <is>
          <t>settled</t>
        </is>
      </c>
      <c r="V129" s="24" t="inlineStr">
        <is>
          <t>loss</t>
        </is>
      </c>
      <c r="W129" s="26" t="n">
        <v>7</v>
      </c>
      <c r="X129" s="26" t="n">
        <v>70</v>
      </c>
      <c r="Y129" s="25" t="n"/>
      <c r="Z129" s="26" t="n"/>
      <c r="AA129" s="28" t="n"/>
      <c r="AB129" s="28" t="n"/>
      <c r="AC129" s="30" t="n">
        <v>-1</v>
      </c>
      <c r="AD129" s="24" t="inlineStr">
        <is>
          <t>2026-09-13T04:31:11.242959Z</t>
        </is>
      </c>
      <c r="AE129" s="31" t="inlineStr">
        <is>
          <t>Projected total 53.3 pts (Weather adj: +0.0 pts). Total line 54.5 -&gt; P(Over)=0.453, P(Under)=0.547, P(Push)=0.000.</t>
        </is>
      </c>
      <c r="AF129" s="31" t="inlineStr">
        <is>
          <t>College football model; multi-market (moneyline, spread, total).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Mercyhurst Lakers</t>
        </is>
      </c>
      <c r="AQ129" s="24" t="inlineStr">
        <is>
          <t>Mercyhurst Lakers</t>
        </is>
      </c>
      <c r="AR129" s="24" t="inlineStr">
        <is>
          <t>Mercyhurst Lakers</t>
        </is>
      </c>
      <c r="AS129" s="24" t="inlineStr">
        <is>
          <t>New Mexico Lobos</t>
        </is>
      </c>
      <c r="AT129" s="24" t="inlineStr">
        <is>
          <t>New Mexico Lobos</t>
        </is>
      </c>
      <c r="AU129" s="24" t="inlineStr">
        <is>
          <t>New Mexico Lobos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1d168f11d221cd3c</t>
        </is>
      </c>
      <c r="BB129" s="24" t="inlineStr">
        <is>
          <t>cfb_key_number_engine</t>
        </is>
      </c>
      <c r="BC129" s="24" t="inlineStr">
        <is>
          <t>cfb-total-v1</t>
        </is>
      </c>
      <c r="BD129" s="24" t="inlineStr">
        <is>
          <t>1d168f11d221cd3c</t>
        </is>
      </c>
      <c r="BE129" s="24" t="inlineStr">
        <is>
          <t>cfb-v1</t>
        </is>
      </c>
      <c r="BF129" s="24" t="inlineStr">
        <is>
          <t>1</t>
        </is>
      </c>
      <c r="BG129" s="24" t="inlineStr">
        <is>
          <t>1d168f11d221cd3c</t>
        </is>
      </c>
      <c r="BH129" s="24" t="inlineStr">
        <is>
          <t>2026-09-12T16:07:28.570172+00:00</t>
        </is>
      </c>
      <c r="BI129" s="24" t="inlineStr">
        <is>
          <t>["same_event","same_team_same_day","same_league_same_day"]</t>
        </is>
      </c>
      <c r="BJ129" s="25" t="n">
        <v>54.5</v>
      </c>
      <c r="BK129" s="26" t="n">
        <v>-112</v>
      </c>
      <c r="BL129" s="27" t="n">
        <v>1.892857</v>
      </c>
      <c r="BM129" s="28" t="n">
        <v>0.528302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>
        <v>1</v>
      </c>
      <c r="BY129" s="27" t="n">
        <v>-1</v>
      </c>
      <c r="BZ129" s="24" t="inlineStr">
        <is>
          <t>2026-09-13T04:31:11.242959Z</t>
        </is>
      </c>
      <c r="CA129" s="31" t="inlineStr">
        <is>
          <t>fixed one-unit hypothetical scoring; no real exposure or execution</t>
        </is>
      </c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True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0.528302</t>
        </is>
      </c>
      <c r="DK129" s="24" t="n"/>
      <c r="DL129" s="24" t="n"/>
      <c r="DM129" s="24" t="n"/>
      <c r="DN129" s="24" t="n"/>
      <c r="DO129" s="24" t="n"/>
      <c r="DP129" s="24" t="n"/>
      <c r="DQ129" s="24" t="inlineStr">
        <is>
          <t>{"artifact_hash": "1d168f11d221cd3c", "event_id": "401865252", "event_start_utc": "2026-09-12T20:00Z", "features": {"altitude_fatigue_penalty": 0.0, "away_team": "Mercyhurst Lakers", "efficiency_gap": 1.165, "elo_away": 1337.5, "elo_home": 1696.7, "elo_home_win_prob": 0.92, "event_id": "401865252", "game_start_utc": "2026-09-12T20:00Z", "home_field_advantage_points": 2.8, "home_team": "New Mexico Lobos", "is_dome": false, "is_fbs_vs_fcs": false, "is_neutral_site": false, "projected_away_points": 18.0, "projected_home_points": 35.3, "projected_margin_home": 17.3,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18.0, "mu_home": 35.3,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133596036812530247307262061361373248200}, "uinteger": 0}, "spread_home_line": -42.5, "total_line": 54.5}, "market_type": "total", "model_version": "cfb-total-v1", "observed_at_utc": "2026-09-12T16:07:28.570172+00:00", "probabilities": {"over": 0.453133, "push": 0.0, "under": 0.546867}, "replay_scope": "Full precision score means, exact engine parameters and original RNG state; upstream feature construction not certified.", "schema": "cfb-joint-replay-v1", "snapshot_hash": "37e2496a9925a93617c57ca126388e1e71d1c8d88700ada24be535f5f71c6ea5", "sport": "NCAAF"}</t>
        </is>
      </c>
    </row>
    <row r="130" ht="36" customHeight="1">
      <c r="A130" s="24" t="inlineStr">
        <is>
          <t>743e84d1272848e1</t>
        </is>
      </c>
      <c r="B130" s="24" t="inlineStr">
        <is>
          <t>2026-09-12T16:07:28.570172Z</t>
        </is>
      </c>
      <c r="C130" s="24" t="inlineStr">
        <is>
          <t>2026-09-12T20:00Z</t>
        </is>
      </c>
      <c r="D130" s="24" t="inlineStr">
        <is>
          <t>401868326</t>
        </is>
      </c>
      <c r="E130" s="24" t="inlineStr">
        <is>
          <t>NCAAF</t>
        </is>
      </c>
      <c r="F130" s="24" t="inlineStr">
        <is>
          <t>Alabama State Hornets</t>
        </is>
      </c>
      <c r="G130" s="24" t="inlineStr">
        <is>
          <t>Troy Trojans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espn_consensus</t>
        </is>
      </c>
      <c r="L130" s="26" t="n">
        <v>-2100</v>
      </c>
      <c r="M130" s="27" t="n">
        <v>1.047619</v>
      </c>
      <c r="N130" s="28" t="n">
        <v>0.954545</v>
      </c>
      <c r="O130" s="28" t="n">
        <v>0.622864</v>
      </c>
      <c r="P130" s="28" t="n">
        <v>0.18</v>
      </c>
      <c r="Q130" s="28" t="n">
        <v>-0.331681</v>
      </c>
      <c r="R130" s="26" t="n">
        <v>0</v>
      </c>
      <c r="S130" s="29" t="n">
        <v>1</v>
      </c>
      <c r="T130" s="24" t="inlineStr">
        <is>
          <t>college-football-v1</t>
        </is>
      </c>
      <c r="U130" s="24" t="inlineStr">
        <is>
          <t>settled</t>
        </is>
      </c>
      <c r="V130" s="24" t="inlineStr">
        <is>
          <t>win</t>
        </is>
      </c>
      <c r="W130" s="26" t="n">
        <v>17</v>
      </c>
      <c r="X130" s="26" t="n">
        <v>34</v>
      </c>
      <c r="Y130" s="25" t="n"/>
      <c r="Z130" s="26" t="n"/>
      <c r="AA130" s="28" t="n"/>
      <c r="AB130" s="28" t="n"/>
      <c r="AC130" s="30" t="n">
        <v>0.0476</v>
      </c>
      <c r="AD130" s="24" t="inlineStr">
        <is>
          <t>2026-09-13T04:31:11.615227Z</t>
        </is>
      </c>
      <c r="AE130" s="31" t="inlineStr">
        <is>
          <t>CFB Joint Model (negative_binomial): proj score Alabama State Hornets 23.9 @ Troy Trojans 29.0 (Margin +5.1). Possessions: 12.4, HFA: +2.8 pts.</t>
        </is>
      </c>
      <c r="AF130" s="31" t="inlineStr">
        <is>
          <t>College football model; multi-market (moneyline, spread, total).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4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PAPER_CALL_LOW_EDGE</t>
        </is>
      </c>
      <c r="AP130" s="24" t="inlineStr">
        <is>
          <t>Alabama State Hornets</t>
        </is>
      </c>
      <c r="AQ130" s="24" t="inlineStr">
        <is>
          <t>Alabama State Hornets</t>
        </is>
      </c>
      <c r="AR130" s="24" t="inlineStr">
        <is>
          <t>Alabama State Hornets</t>
        </is>
      </c>
      <c r="AS130" s="24" t="inlineStr">
        <is>
          <t>Troy Trojans</t>
        </is>
      </c>
      <c r="AT130" s="24" t="inlineStr">
        <is>
          <t>Troy Trojans</t>
        </is>
      </c>
      <c r="AU130" s="24" t="inlineStr">
        <is>
          <t>Troy Trojans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1d168f11d221cd3c</t>
        </is>
      </c>
      <c r="BB130" s="24" t="inlineStr">
        <is>
          <t>cfb_key_number_engine</t>
        </is>
      </c>
      <c r="BC130" s="24" t="inlineStr">
        <is>
          <t>college-football-v1</t>
        </is>
      </c>
      <c r="BD130" s="24" t="inlineStr">
        <is>
          <t>1d168f11d221cd3c</t>
        </is>
      </c>
      <c r="BE130" s="24" t="inlineStr">
        <is>
          <t>cfb-v1</t>
        </is>
      </c>
      <c r="BF130" s="24" t="inlineStr">
        <is>
          <t>1</t>
        </is>
      </c>
      <c r="BG130" s="24" t="inlineStr">
        <is>
          <t>1d168f11d221cd3c</t>
        </is>
      </c>
      <c r="BH130" s="24" t="inlineStr">
        <is>
          <t>2026-09-12T16:07:28.570172+00:00</t>
        </is>
      </c>
      <c r="BI130" s="24" t="inlineStr">
        <is>
          <t>["same_event","same_team_same_day","same_league_same_day"]</t>
        </is>
      </c>
      <c r="BJ130" s="25" t="n"/>
      <c r="BK130" s="26" t="n">
        <v>-2100</v>
      </c>
      <c r="BL130" s="27" t="n">
        <v>1.047619</v>
      </c>
      <c r="BM130" s="28" t="n">
        <v>0.954545</v>
      </c>
      <c r="BN130" s="28" t="n"/>
      <c r="BO130" s="28" t="n"/>
      <c r="BP130" s="25" t="n"/>
      <c r="BQ130" s="27" t="n"/>
      <c r="BR130" s="28" t="n"/>
      <c r="BS130" s="28" t="n"/>
      <c r="BT130" s="28" t="n"/>
      <c r="BU130" s="25" t="n"/>
      <c r="BV130" s="29" t="n"/>
      <c r="BW130" s="24" t="n"/>
      <c r="BX130" s="30" t="n">
        <v>1</v>
      </c>
      <c r="BY130" s="27" t="n">
        <v>0.047619</v>
      </c>
      <c r="BZ130" s="24" t="inlineStr">
        <is>
          <t>2026-09-13T04:31:11.615227Z</t>
        </is>
      </c>
      <c r="CA130" s="31" t="inlineStr">
        <is>
          <t>fixed one-unit hypothetical scoring; no real exposure or execution</t>
        </is>
      </c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0.954545</t>
        </is>
      </c>
      <c r="DK130" s="24" t="n"/>
      <c r="DL130" s="24" t="n"/>
      <c r="DM130" s="24" t="n"/>
      <c r="DN130" s="24" t="n"/>
      <c r="DO130" s="24" t="n"/>
      <c r="DP130" s="24" t="n"/>
      <c r="DQ130" s="24" t="inlineStr">
        <is>
          <t>{"artifact_hash": "1d168f11d221cd3c", "event_id": "401868326", "event_start_utc": "2026-09-12T20:00Z", "features": {"altitude_fatigue_penalty": 0.0, "away_team": "Alabama State Hornets", "efficiency_gap": 0.499, "elo_away": 1337.5, "elo_home": 1397.2, "elo_home_win_prob": 0.6721, "event_id": "401868326", "game_start_utc": "2026-09-12T20:00Z", "home_field_advantage_points": 2.8, "home_team": "Troy Trojans", "is_dome": false, "is_fbs_vs_fcs": false, "is_neutral_site": false, "projected_away_points": 23.9, "projected_home_points": 29.0, "projected_margin_home": 5.1,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276048739801124786464078209340480860971}, "uinteger": 0}, "spread_home_line": -23.5, "total_line": 51.5}, "market_type": "moneyline", "model_version": "college-football-v1", "observed_at_utc": "2026-09-12T16:07:28.570172+00:00", "probabilities": {"away": 0.377136, "home": 0.622864}, "replay_scope": "Full precision score means, exact engine parameters and original RNG state; upstream feature construction not certified.", "schema": "cfb-joint-replay-v1", "snapshot_hash": "d35be42c9310932f4474574106a7a44debca28694fea9d3c6b11b8cdf96ffce5", "sport": "NCAAF"}</t>
        </is>
      </c>
    </row>
    <row r="131" ht="36" customHeight="1">
      <c r="A131" s="24" t="inlineStr">
        <is>
          <t>e52336d4df4844fb</t>
        </is>
      </c>
      <c r="B131" s="24" t="inlineStr">
        <is>
          <t>2026-09-12T16:07:28.570172Z</t>
        </is>
      </c>
      <c r="C131" s="24" t="inlineStr">
        <is>
          <t>2026-09-12T20:00Z</t>
        </is>
      </c>
      <c r="D131" s="24" t="inlineStr">
        <is>
          <t>401868326</t>
        </is>
      </c>
      <c r="E131" s="24" t="inlineStr">
        <is>
          <t>NCAAF</t>
        </is>
      </c>
      <c r="F131" s="24" t="inlineStr">
        <is>
          <t>Alabama State Hornets</t>
        </is>
      </c>
      <c r="G131" s="24" t="inlineStr">
        <is>
          <t>Troy Trojans</t>
        </is>
      </c>
      <c r="H131" s="24" t="inlineStr">
        <is>
          <t>spread</t>
        </is>
      </c>
      <c r="I131" s="24" t="inlineStr">
        <is>
          <t>away</t>
        </is>
      </c>
      <c r="J131" s="25" t="n">
        <v>23.5</v>
      </c>
      <c r="K131" s="24" t="inlineStr">
        <is>
          <t>espn_consensus</t>
        </is>
      </c>
      <c r="L131" s="26" t="n">
        <v>-105</v>
      </c>
      <c r="M131" s="27" t="n">
        <v>1.952381</v>
      </c>
      <c r="N131" s="28" t="n">
        <v>0.512195</v>
      </c>
      <c r="O131" s="28" t="n">
        <v>0.8658</v>
      </c>
      <c r="P131" s="28" t="n">
        <v>0.18</v>
      </c>
      <c r="Q131" s="28" t="n">
        <v>0.353605</v>
      </c>
      <c r="R131" s="26" t="n">
        <v>100</v>
      </c>
      <c r="S131" s="29" t="n">
        <v>2</v>
      </c>
      <c r="T131" s="24" t="inlineStr">
        <is>
          <t>cfb-spread-v1</t>
        </is>
      </c>
      <c r="U131" s="24" t="inlineStr">
        <is>
          <t>settled</t>
        </is>
      </c>
      <c r="V131" s="24" t="inlineStr">
        <is>
          <t>win</t>
        </is>
      </c>
      <c r="W131" s="26" t="n">
        <v>17</v>
      </c>
      <c r="X131" s="26" t="n">
        <v>34</v>
      </c>
      <c r="Y131" s="25" t="n"/>
      <c r="Z131" s="26" t="n"/>
      <c r="AA131" s="28" t="n"/>
      <c r="AB131" s="28" t="n"/>
      <c r="AC131" s="30" t="n">
        <v>1.9048</v>
      </c>
      <c r="AD131" s="24" t="inlineStr">
        <is>
          <t>2026-09-13T04:31:11.949212Z</t>
        </is>
      </c>
      <c r="AE131" s="31" t="inlineStr">
        <is>
          <t>Projected home margin +5.1 pts. Spread: Home -23.5 / Away +23.5 -&gt; P(Away cover)=0.866, P(Home cover)=0.134, P(Push)=0.000.</t>
        </is>
      </c>
      <c r="AF131" s="31" t="inlineStr">
        <is>
          <t>College football model; multi-market (moneyline, spread, total).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4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Alabama State Hornets</t>
        </is>
      </c>
      <c r="AQ131" s="24" t="inlineStr">
        <is>
          <t>Alabama State Hornets</t>
        </is>
      </c>
      <c r="AR131" s="24" t="inlineStr">
        <is>
          <t>Alabama State Hornets</t>
        </is>
      </c>
      <c r="AS131" s="24" t="inlineStr">
        <is>
          <t>Troy Trojans</t>
        </is>
      </c>
      <c r="AT131" s="24" t="inlineStr">
        <is>
          <t>Troy Trojans</t>
        </is>
      </c>
      <c r="AU131" s="24" t="inlineStr">
        <is>
          <t>Troy Trojans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1d168f11d221cd3c</t>
        </is>
      </c>
      <c r="BB131" s="24" t="inlineStr">
        <is>
          <t>cfb_key_number_engine</t>
        </is>
      </c>
      <c r="BC131" s="24" t="inlineStr">
        <is>
          <t>cfb-spread-v1</t>
        </is>
      </c>
      <c r="BD131" s="24" t="inlineStr">
        <is>
          <t>1d168f11d221cd3c</t>
        </is>
      </c>
      <c r="BE131" s="24" t="inlineStr">
        <is>
          <t>cfb-v1</t>
        </is>
      </c>
      <c r="BF131" s="24" t="inlineStr">
        <is>
          <t>1</t>
        </is>
      </c>
      <c r="BG131" s="24" t="inlineStr">
        <is>
          <t>1d168f11d221cd3c</t>
        </is>
      </c>
      <c r="BH131" s="24" t="inlineStr">
        <is>
          <t>2026-09-12T16:07:28.570172+00:00</t>
        </is>
      </c>
      <c r="BI131" s="24" t="inlineStr">
        <is>
          <t>["same_event","same_team_same_day","same_league_same_day"]</t>
        </is>
      </c>
      <c r="BJ131" s="25" t="n">
        <v>23.5</v>
      </c>
      <c r="BK131" s="26" t="n">
        <v>-105</v>
      </c>
      <c r="BL131" s="27" t="n">
        <v>1.952381</v>
      </c>
      <c r="BM131" s="28" t="n">
        <v>0.512195</v>
      </c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0.512195</t>
        </is>
      </c>
      <c r="DK131" s="24" t="n"/>
      <c r="DL131" s="24" t="n"/>
      <c r="DM131" s="24" t="n"/>
      <c r="DN131" s="24" t="n"/>
      <c r="DO131" s="24" t="n"/>
      <c r="DP131" s="24" t="n"/>
      <c r="DQ131" s="24" t="inlineStr">
        <is>
          <t>{"artifact_hash": "1d168f11d221cd3c", "event_id": "401868326", "event_start_utc": "2026-09-12T20:00Z", "features": {"altitude_fatigue_penalty": 0.0, "away_team": "Alabama State Hornets", "efficiency_gap": 0.499, "elo_away": 1337.5, "elo_home": 1397.2, "elo_home_win_prob": 0.6721, "event_id": "401868326", "game_start_utc": "2026-09-12T20:00Z", "home_field_advantage_points": 2.8, "home_team": "Troy Trojans", "is_dome": false, "is_fbs_vs_fcs": false, "is_neutral_site": false, "projected_away_points": 23.9, "projected_home_points": 29.0, "projected_margin_home": 5.1,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276048739801124786464078209340480860971}, "uinteger": 0}, "spread_home_line": -23.5, "total_line": 51.5}, "market_type": "spread", "model_version": "cfb-spread-v1", "observed_at_utc": "2026-09-12T16:07:28.570172+00:00", "probabilities": {"away": 0.8658, "home": 0.1342, "push": 0.0}, "replay_scope": "Full precision score means, exact engine parameters and original RNG state; upstream feature construction not certified.", "schema": "cfb-joint-replay-v1", "snapshot_hash": "b23035bdaae2d7e698545ab1f7e1d3d0de2648390532e4773bc0877ef0f597ec", "sport": "NCAAF"}</t>
        </is>
      </c>
    </row>
    <row r="132" ht="36" customHeight="1">
      <c r="A132" s="24" t="inlineStr">
        <is>
          <t>39a330cde75f48de</t>
        </is>
      </c>
      <c r="B132" s="24" t="inlineStr">
        <is>
          <t>2026-09-12T16:07:28.570172Z</t>
        </is>
      </c>
      <c r="C132" s="24" t="inlineStr">
        <is>
          <t>2026-09-12T20:00Z</t>
        </is>
      </c>
      <c r="D132" s="24" t="inlineStr">
        <is>
          <t>401868326</t>
        </is>
      </c>
      <c r="E132" s="24" t="inlineStr">
        <is>
          <t>NCAAF</t>
        </is>
      </c>
      <c r="F132" s="24" t="inlineStr">
        <is>
          <t>Alabama State Hornets</t>
        </is>
      </c>
      <c r="G132" s="24" t="inlineStr">
        <is>
          <t>Troy Trojans</t>
        </is>
      </c>
      <c r="H132" s="24" t="inlineStr">
        <is>
          <t>total</t>
        </is>
      </c>
      <c r="I132" s="24" t="inlineStr">
        <is>
          <t>over</t>
        </is>
      </c>
      <c r="J132" s="25" t="n">
        <v>51.5</v>
      </c>
      <c r="K132" s="24" t="inlineStr">
        <is>
          <t>espn_consensus</t>
        </is>
      </c>
      <c r="L132" s="26" t="n">
        <v>-115</v>
      </c>
      <c r="M132" s="27" t="n">
        <v>1.869565</v>
      </c>
      <c r="N132" s="28" t="n">
        <v>0.534884</v>
      </c>
      <c r="O132" s="28" t="n">
        <v>0.500533</v>
      </c>
      <c r="P132" s="28" t="n">
        <v>0.18</v>
      </c>
      <c r="Q132" s="28" t="n">
        <v>-0.034351</v>
      </c>
      <c r="R132" s="26" t="n">
        <v>0</v>
      </c>
      <c r="S132" s="29" t="n">
        <v>1</v>
      </c>
      <c r="T132" s="24" t="inlineStr">
        <is>
          <t>cfb-total-v1</t>
        </is>
      </c>
      <c r="U132" s="24" t="inlineStr">
        <is>
          <t>settled</t>
        </is>
      </c>
      <c r="V132" s="24" t="inlineStr">
        <is>
          <t>loss</t>
        </is>
      </c>
      <c r="W132" s="26" t="n">
        <v>17</v>
      </c>
      <c r="X132" s="26" t="n">
        <v>34</v>
      </c>
      <c r="Y132" s="25" t="n"/>
      <c r="Z132" s="26" t="n"/>
      <c r="AA132" s="28" t="n"/>
      <c r="AB132" s="28" t="n"/>
      <c r="AC132" s="30" t="n">
        <v>-1</v>
      </c>
      <c r="AD132" s="24" t="inlineStr">
        <is>
          <t>2026-09-13T04:31:12.321870Z</t>
        </is>
      </c>
      <c r="AE132" s="31" t="inlineStr">
        <is>
          <t>Projected total 53.0 pts (Weather adj: +0.0 pts). Total line 51.5 -&gt; P(Over)=0.501, P(Under)=0.499, P(Push)=0.000.</t>
        </is>
      </c>
      <c r="AF132" s="31" t="inlineStr">
        <is>
          <t>College football model; multi-market (moneyline, spread, total).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Alabama State Hornets</t>
        </is>
      </c>
      <c r="AQ132" s="24" t="inlineStr">
        <is>
          <t>Alabama State Hornets</t>
        </is>
      </c>
      <c r="AR132" s="24" t="inlineStr">
        <is>
          <t>Alabama State Hornets</t>
        </is>
      </c>
      <c r="AS132" s="24" t="inlineStr">
        <is>
          <t>Troy Trojans</t>
        </is>
      </c>
      <c r="AT132" s="24" t="inlineStr">
        <is>
          <t>Troy Trojans</t>
        </is>
      </c>
      <c r="AU132" s="24" t="inlineStr">
        <is>
          <t>Troy Trojans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1d168f11d221cd3c</t>
        </is>
      </c>
      <c r="BB132" s="24" t="inlineStr">
        <is>
          <t>cfb_key_number_engine</t>
        </is>
      </c>
      <c r="BC132" s="24" t="inlineStr">
        <is>
          <t>cfb-total-v1</t>
        </is>
      </c>
      <c r="BD132" s="24" t="inlineStr">
        <is>
          <t>1d168f11d221cd3c</t>
        </is>
      </c>
      <c r="BE132" s="24" t="inlineStr">
        <is>
          <t>cfb-v1</t>
        </is>
      </c>
      <c r="BF132" s="24" t="inlineStr">
        <is>
          <t>1</t>
        </is>
      </c>
      <c r="BG132" s="24" t="inlineStr">
        <is>
          <t>1d168f11d221cd3c</t>
        </is>
      </c>
      <c r="BH132" s="24" t="inlineStr">
        <is>
          <t>2026-09-12T16:07:28.570172+00:00</t>
        </is>
      </c>
      <c r="BI132" s="24" t="inlineStr">
        <is>
          <t>["same_event","same_team_same_day","same_league_same_day"]</t>
        </is>
      </c>
      <c r="BJ132" s="25" t="n">
        <v>51.5</v>
      </c>
      <c r="BK132" s="26" t="n">
        <v>-115</v>
      </c>
      <c r="BL132" s="27" t="n">
        <v>1.869565</v>
      </c>
      <c r="BM132" s="28" t="n">
        <v>0.534884</v>
      </c>
      <c r="BN132" s="28" t="n"/>
      <c r="BO132" s="28" t="n"/>
      <c r="BP132" s="25" t="n"/>
      <c r="BQ132" s="27" t="n"/>
      <c r="BR132" s="28" t="n"/>
      <c r="BS132" s="28" t="n"/>
      <c r="BT132" s="28" t="n"/>
      <c r="BU132" s="25" t="n"/>
      <c r="BV132" s="29" t="n"/>
      <c r="BW132" s="24" t="n"/>
      <c r="BX132" s="30" t="n">
        <v>1</v>
      </c>
      <c r="BY132" s="27" t="n">
        <v>-1</v>
      </c>
      <c r="BZ132" s="24" t="inlineStr">
        <is>
          <t>2026-09-13T04:31:12.321870Z</t>
        </is>
      </c>
      <c r="CA132" s="31" t="inlineStr">
        <is>
          <t>fixed one-unit hypothetical scoring; no real exposure or execution</t>
        </is>
      </c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False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0.534884</t>
        </is>
      </c>
      <c r="DK132" s="24" t="n"/>
      <c r="DL132" s="24" t="n"/>
      <c r="DM132" s="24" t="n"/>
      <c r="DN132" s="24" t="n"/>
      <c r="DO132" s="24" t="n"/>
      <c r="DP132" s="24" t="n"/>
      <c r="DQ132" s="24" t="inlineStr">
        <is>
          <t>{"artifact_hash": "1d168f11d221cd3c", "event_id": "401868326", "event_start_utc": "2026-09-12T20:00Z", "features": {"altitude_fatigue_penalty": 0.0, "away_team": "Alabama State Hornets", "efficiency_gap": 0.499, "elo_away": 1337.5, "elo_home": 1397.2, "elo_home_win_prob": 0.6721, "event_id": "401868326", "game_start_utc": "2026-09-12T20:00Z", "home_field_advantage_points": 2.8, "home_team": "Troy Trojans", "is_dome": false, "is_fbs_vs_fcs": false, "is_neutral_site": false, "projected_away_points": 23.9, "projected_home_points": 29.0, "projected_margin_home": 5.1,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23.9,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276048739801124786464078209340480860971}, "uinteger": 0}, "spread_home_line": -23.5, "total_line": 51.5}, "market_type": "total", "model_version": "cfb-total-v1", "observed_at_utc": "2026-09-12T16:07:28.570172+00:00", "probabilities": {"over": 0.500533, "push": 0.0, "under": 0.499467}, "replay_scope": "Full precision score means, exact engine parameters and original RNG state; upstream feature construction not certified.", "schema": "cfb-joint-replay-v1", "snapshot_hash": "7fb6b7c175edf467c2004e18f323f41c30b38efb7b5e4f8d69feb18d3e3546bd", "sport": "NCAAF"}</t>
        </is>
      </c>
    </row>
    <row r="133" ht="36" customHeight="1">
      <c r="A133" s="24" t="inlineStr">
        <is>
          <t>38ac5779091f4fc6</t>
        </is>
      </c>
      <c r="B133" s="24" t="inlineStr">
        <is>
          <t>2026-09-12T16:07:28.570172Z</t>
        </is>
      </c>
      <c r="C133" s="24" t="inlineStr">
        <is>
          <t>2026-09-12T20:15Z</t>
        </is>
      </c>
      <c r="D133" s="24" t="inlineStr">
        <is>
          <t>401856684</t>
        </is>
      </c>
      <c r="E133" s="24" t="inlineStr">
        <is>
          <t>NCAAF</t>
        </is>
      </c>
      <c r="F133" s="24" t="inlineStr">
        <is>
          <t>Delaware Blue Hens</t>
        </is>
      </c>
      <c r="G133" s="24" t="inlineStr">
        <is>
          <t>Vanderbilt Commodores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espn_consensus</t>
        </is>
      </c>
      <c r="L133" s="26" t="n">
        <v>-1350</v>
      </c>
      <c r="M133" s="27" t="n">
        <v>1.074074</v>
      </c>
      <c r="N133" s="28" t="n">
        <v>0.931034</v>
      </c>
      <c r="O133" s="28" t="n">
        <v>0.815147</v>
      </c>
      <c r="P133" s="28" t="n">
        <v>0.18</v>
      </c>
      <c r="Q133" s="28" t="n">
        <v>-0.115887</v>
      </c>
      <c r="R133" s="26" t="n">
        <v>0</v>
      </c>
      <c r="S133" s="29" t="n">
        <v>1</v>
      </c>
      <c r="T133" s="24" t="inlineStr">
        <is>
          <t>college-football-v1</t>
        </is>
      </c>
      <c r="U133" s="24" t="inlineStr">
        <is>
          <t>settled</t>
        </is>
      </c>
      <c r="V133" s="24" t="inlineStr">
        <is>
          <t>win</t>
        </is>
      </c>
      <c r="W133" s="26" t="n">
        <v>26</v>
      </c>
      <c r="X133" s="26" t="n">
        <v>35</v>
      </c>
      <c r="Y133" s="25" t="n"/>
      <c r="Z133" s="26" t="n"/>
      <c r="AA133" s="28" t="n"/>
      <c r="AB133" s="28" t="n"/>
      <c r="AC133" s="30" t="n">
        <v>0.0741</v>
      </c>
      <c r="AD133" s="24" t="inlineStr">
        <is>
          <t>2026-09-13T04:31:12.701156Z</t>
        </is>
      </c>
      <c r="AE133" s="31" t="inlineStr">
        <is>
          <t>CFB Joint Model (negative_binomial): proj score Delaware Blue Hens 19.8 @ Vanderbilt Commodores 34.3 (Margin +14.6). Possessions: 12.4, HFA: +2.8 pts.</t>
        </is>
      </c>
      <c r="AF133" s="31" t="inlineStr">
        <is>
          <t>College football model; multi-market (moneyline, spread, total).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Delaware Blue Hens</t>
        </is>
      </c>
      <c r="AQ133" s="24" t="inlineStr">
        <is>
          <t>Delaware Blue Hens</t>
        </is>
      </c>
      <c r="AR133" s="24" t="inlineStr">
        <is>
          <t>Delaware Blue Hens</t>
        </is>
      </c>
      <c r="AS133" s="24" t="inlineStr">
        <is>
          <t>Vanderbilt Commodores</t>
        </is>
      </c>
      <c r="AT133" s="24" t="inlineStr">
        <is>
          <t>Vanderbilt Commodores</t>
        </is>
      </c>
      <c r="AU133" s="24" t="inlineStr">
        <is>
          <t>Vanderbilt Commodores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1d168f11d221cd3c</t>
        </is>
      </c>
      <c r="BB133" s="24" t="inlineStr">
        <is>
          <t>cfb_key_number_engine</t>
        </is>
      </c>
      <c r="BC133" s="24" t="inlineStr">
        <is>
          <t>college-football-v1</t>
        </is>
      </c>
      <c r="BD133" s="24" t="inlineStr">
        <is>
          <t>1d168f11d221cd3c</t>
        </is>
      </c>
      <c r="BE133" s="24" t="inlineStr">
        <is>
          <t>cfb-v1</t>
        </is>
      </c>
      <c r="BF133" s="24" t="inlineStr">
        <is>
          <t>1</t>
        </is>
      </c>
      <c r="BG133" s="24" t="inlineStr">
        <is>
          <t>1d168f11d221cd3c</t>
        </is>
      </c>
      <c r="BH133" s="24" t="inlineStr">
        <is>
          <t>2026-09-12T16:07:28.570172+00:00</t>
        </is>
      </c>
      <c r="BI133" s="24" t="inlineStr">
        <is>
          <t>["same_event","same_team_same_day","same_league_same_day"]</t>
        </is>
      </c>
      <c r="BJ133" s="25" t="n"/>
      <c r="BK133" s="26" t="n">
        <v>-1350</v>
      </c>
      <c r="BL133" s="27" t="n">
        <v>1.074074</v>
      </c>
      <c r="BM133" s="28" t="n">
        <v>0.931034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>
        <v>1</v>
      </c>
      <c r="BY133" s="27" t="n">
        <v>0.074074</v>
      </c>
      <c r="BZ133" s="24" t="inlineStr">
        <is>
          <t>2026-09-13T04:31:12.701156Z</t>
        </is>
      </c>
      <c r="CA133" s="31" t="inlineStr">
        <is>
          <t>fixed one-unit hypothetical scoring; no real exposure or execution</t>
        </is>
      </c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False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0.931034</t>
        </is>
      </c>
      <c r="DK133" s="24" t="n"/>
      <c r="DL133" s="24" t="n"/>
      <c r="DM133" s="24" t="n"/>
      <c r="DN133" s="24" t="n"/>
      <c r="DO133" s="24" t="n"/>
      <c r="DP133" s="24" t="n"/>
      <c r="DQ133" s="24" t="inlineStr">
        <is>
          <t>{"artifact_hash": "1d168f11d221cd3c", "event_id": "401856684", "event_start_utc": "2026-09-12T20:15Z", "features": {"altitude_fatigue_penalty": 0.0, "away_team": "Delaware Blue Hens", "efficiency_gap": 2.209, "elo_away": 1388.3, "elo_home": 1680.3, "elo_home_win_prob": 0.8865, "event_id": "401856684", "game_start_utc": "2026-09-12T20:15Z", "home_field_advantage_points": 2.8, "home_team": "Vanderbilt Commodores", "is_dome": false, "is_fbs_vs_fcs": false, "is_neutral_site": false, "projected_away_points": 19.8, "projected_home_points": 34.3, "projected_margin_home": 14.6, "projected_possessions": 12.4, "projected_total": 54.1, "stadium_elevation_ft": 540, "travel_distance_miles": 649.0, "uncertainty": 0.18, "weather_total_adjustment": 0.0}, "historical_source_observation_times_verified": false, "inference_inputs": {"engine_source_sha256": "449ba2f0e86fa9c445730076a0e0bf100fb4914620be53c75c6f3bfe24298f3f", "mu_away": 19.8, "mu_home": 34.3,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33340464617964693697825454613827122199}, "uinteger": 0}, "spread_home_line": -21.0, "total_line": 54.5}, "market_type": "moneyline", "model_version": "college-football-v1", "observed_at_utc": "2026-09-12T16:07:28.570172+00:00", "probabilities": {"away": 0.184853, "home": 0.815147}, "replay_scope": "Full precision score means, exact engine parameters and original RNG state; upstream feature construction not certified.", "schema": "cfb-joint-replay-v1", "snapshot_hash": "709f3baa2cd3d92dcc1789bcc041bff27790600433fbb47c0730287423e42c32", "sport": "NCAAF"}</t>
        </is>
      </c>
    </row>
    <row r="134" ht="36" customHeight="1">
      <c r="A134" s="24" t="inlineStr">
        <is>
          <t>d299fb5227964952</t>
        </is>
      </c>
      <c r="B134" s="24" t="inlineStr">
        <is>
          <t>2026-09-12T16:07:28.570172Z</t>
        </is>
      </c>
      <c r="C134" s="24" t="inlineStr">
        <is>
          <t>2026-09-12T20:15Z</t>
        </is>
      </c>
      <c r="D134" s="24" t="inlineStr">
        <is>
          <t>401856684</t>
        </is>
      </c>
      <c r="E134" s="24" t="inlineStr">
        <is>
          <t>NCAAF</t>
        </is>
      </c>
      <c r="F134" s="24" t="inlineStr">
        <is>
          <t>Delaware Blue Hens</t>
        </is>
      </c>
      <c r="G134" s="24" t="inlineStr">
        <is>
          <t>Vanderbilt Commodores</t>
        </is>
      </c>
      <c r="H134" s="24" t="inlineStr">
        <is>
          <t>spread</t>
        </is>
      </c>
      <c r="I134" s="24" t="inlineStr">
        <is>
          <t>away</t>
        </is>
      </c>
      <c r="J134" s="25" t="n">
        <v>21</v>
      </c>
      <c r="K134" s="24" t="inlineStr">
        <is>
          <t>espn_consensus</t>
        </is>
      </c>
      <c r="L134" s="26" t="n">
        <v>-112</v>
      </c>
      <c r="M134" s="27" t="n">
        <v>1.892857</v>
      </c>
      <c r="N134" s="28" t="n">
        <v>0.528302</v>
      </c>
      <c r="O134" s="28" t="n">
        <v>0.643</v>
      </c>
      <c r="P134" s="28" t="n">
        <v>0.18</v>
      </c>
      <c r="Q134" s="28" t="n">
        <v>0.114698</v>
      </c>
      <c r="R134" s="26" t="n">
        <v>0</v>
      </c>
      <c r="S134" s="29" t="n">
        <v>1</v>
      </c>
      <c r="T134" s="24" t="inlineStr">
        <is>
          <t>cfb-spread-v1</t>
        </is>
      </c>
      <c r="U134" s="24" t="inlineStr">
        <is>
          <t>settled</t>
        </is>
      </c>
      <c r="V134" s="24" t="inlineStr">
        <is>
          <t>win</t>
        </is>
      </c>
      <c r="W134" s="26" t="n">
        <v>26</v>
      </c>
      <c r="X134" s="26" t="n">
        <v>35</v>
      </c>
      <c r="Y134" s="25" t="n"/>
      <c r="Z134" s="26" t="n"/>
      <c r="AA134" s="28" t="n"/>
      <c r="AB134" s="28" t="n"/>
      <c r="AC134" s="30" t="n">
        <v>0.8929</v>
      </c>
      <c r="AD134" s="24" t="inlineStr">
        <is>
          <t>2026-09-13T04:31:13.109007Z</t>
        </is>
      </c>
      <c r="AE134" s="31" t="inlineStr">
        <is>
          <t>Projected home margin +14.6 pts. Spread: Home -21.0 / Away +21.0 -&gt; P(Away cover)=0.643, P(Home cover)=0.332, P(Push)=0.025.</t>
        </is>
      </c>
      <c r="AF134" s="31" t="inlineStr">
        <is>
          <t>College football model; multi-market (moneyline, spread, total).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4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Delaware Blue Hens</t>
        </is>
      </c>
      <c r="AQ134" s="24" t="inlineStr">
        <is>
          <t>Delaware Blue Hens</t>
        </is>
      </c>
      <c r="AR134" s="24" t="inlineStr">
        <is>
          <t>Delaware Blue Hens</t>
        </is>
      </c>
      <c r="AS134" s="24" t="inlineStr">
        <is>
          <t>Vanderbilt Commodores</t>
        </is>
      </c>
      <c r="AT134" s="24" t="inlineStr">
        <is>
          <t>Vanderbilt Commodores</t>
        </is>
      </c>
      <c r="AU134" s="24" t="inlineStr">
        <is>
          <t>Vanderbilt Commodores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1d168f11d221cd3c</t>
        </is>
      </c>
      <c r="BB134" s="24" t="inlineStr">
        <is>
          <t>cfb_key_number_engine</t>
        </is>
      </c>
      <c r="BC134" s="24" t="inlineStr">
        <is>
          <t>cfb-spread-v1</t>
        </is>
      </c>
      <c r="BD134" s="24" t="inlineStr">
        <is>
          <t>1d168f11d221cd3c</t>
        </is>
      </c>
      <c r="BE134" s="24" t="inlineStr">
        <is>
          <t>cfb-v1</t>
        </is>
      </c>
      <c r="BF134" s="24" t="inlineStr">
        <is>
          <t>1</t>
        </is>
      </c>
      <c r="BG134" s="24" t="inlineStr">
        <is>
          <t>1d168f11d221cd3c</t>
        </is>
      </c>
      <c r="BH134" s="24" t="inlineStr">
        <is>
          <t>2026-09-12T16:07:28.570172+00:00</t>
        </is>
      </c>
      <c r="BI134" s="24" t="inlineStr">
        <is>
          <t>["same_event","same_team_same_day","same_league_same_day"]</t>
        </is>
      </c>
      <c r="BJ134" s="25" t="n">
        <v>21</v>
      </c>
      <c r="BK134" s="26" t="n">
        <v>-112</v>
      </c>
      <c r="BL134" s="27" t="n">
        <v>1.892857</v>
      </c>
      <c r="BM134" s="28" t="n">
        <v>0.528302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0.528302</t>
        </is>
      </c>
      <c r="DK134" s="24" t="n"/>
      <c r="DL134" s="24" t="n"/>
      <c r="DM134" s="24" t="n"/>
      <c r="DN134" s="24" t="n"/>
      <c r="DO134" s="24" t="n"/>
      <c r="DP134" s="24" t="n"/>
      <c r="DQ134" s="24" t="inlineStr">
        <is>
          <t>{"artifact_hash": "1d168f11d221cd3c", "event_id": "401856684", "event_start_utc": "2026-09-12T20:15Z", "features": {"altitude_fatigue_penalty": 0.0, "away_team": "Delaware Blue Hens", "efficiency_gap": 2.209, "elo_away": 1388.3, "elo_home": 1680.3, "elo_home_win_prob": 0.8865, "event_id": "401856684", "game_start_utc": "2026-09-12T20:15Z", "home_field_advantage_points": 2.8, "home_team": "Vanderbilt Commodores", "is_dome": false, "is_fbs_vs_fcs": false, "is_neutral_site": false, "projected_away_points": 19.8, "projected_home_points": 34.3, "projected_margin_home": 14.6, "projected_possessions": 12.4, "projected_total": 54.1, "stadium_elevation_ft": 540, "travel_distance_miles": 649.0, "uncertainty": 0.18, "weather_total_adjustment": 0.0}, "historical_source_observation_times_verified": false, "inference_inputs": {"engine_source_sha256": "449ba2f0e86fa9c445730076a0e0bf100fb4914620be53c75c6f3bfe24298f3f", "mu_away": 19.8, "mu_home": 34.3,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33340464617964693697825454613827122199}, "uinteger": 0}, "spread_home_line": -21.0, "total_line": 54.5}, "market_type": "spread", "model_version": "cfb-spread-v1", "observed_at_utc": "2026-09-12T16:07:28.570172+00:00", "probabilities": {"away": 0.643, "home": 0.331867, "push": 0.025133}, "replay_scope": "Full precision score means, exact engine parameters and original RNG state; upstream feature construction not certified.", "schema": "cfb-joint-replay-v1", "snapshot_hash": "a7524f3ab456b486d63c53dc23fefc16ad66ed3314a68584878c1f42d36a45d2", "sport": "NCAAF"}</t>
        </is>
      </c>
    </row>
    <row r="135" ht="36" customHeight="1">
      <c r="A135" s="24" t="inlineStr">
        <is>
          <t>f411ace81db1441e</t>
        </is>
      </c>
      <c r="B135" s="24" t="inlineStr">
        <is>
          <t>2026-09-12T16:07:28.570172Z</t>
        </is>
      </c>
      <c r="C135" s="24" t="inlineStr">
        <is>
          <t>2026-09-12T20:15Z</t>
        </is>
      </c>
      <c r="D135" s="24" t="inlineStr">
        <is>
          <t>401856684</t>
        </is>
      </c>
      <c r="E135" s="24" t="inlineStr">
        <is>
          <t>NCAAF</t>
        </is>
      </c>
      <c r="F135" s="24" t="inlineStr">
        <is>
          <t>Delaware Blue Hens</t>
        </is>
      </c>
      <c r="G135" s="24" t="inlineStr">
        <is>
          <t>Vanderbilt Commodores</t>
        </is>
      </c>
      <c r="H135" s="24" t="inlineStr">
        <is>
          <t>total</t>
        </is>
      </c>
      <c r="I135" s="24" t="inlineStr">
        <is>
          <t>under</t>
        </is>
      </c>
      <c r="J135" s="25" t="n">
        <v>54.5</v>
      </c>
      <c r="K135" s="24" t="inlineStr">
        <is>
          <t>espn_consensus</t>
        </is>
      </c>
      <c r="L135" s="26" t="n">
        <v>-105</v>
      </c>
      <c r="M135" s="27" t="n">
        <v>1.952381</v>
      </c>
      <c r="N135" s="28" t="n">
        <v>0.512195</v>
      </c>
      <c r="O135" s="28" t="n">
        <v>0.532</v>
      </c>
      <c r="P135" s="28" t="n">
        <v>0.18</v>
      </c>
      <c r="Q135" s="28" t="n">
        <v>0.019805</v>
      </c>
      <c r="R135" s="26" t="n">
        <v>0</v>
      </c>
      <c r="S135" s="29" t="n">
        <v>1</v>
      </c>
      <c r="T135" s="24" t="inlineStr">
        <is>
          <t>cfb-total-v1</t>
        </is>
      </c>
      <c r="U135" s="24" t="inlineStr">
        <is>
          <t>settled</t>
        </is>
      </c>
      <c r="V135" s="24" t="inlineStr">
        <is>
          <t>loss</t>
        </is>
      </c>
      <c r="W135" s="26" t="n">
        <v>26</v>
      </c>
      <c r="X135" s="26" t="n">
        <v>35</v>
      </c>
      <c r="Y135" s="25" t="n"/>
      <c r="Z135" s="26" t="n"/>
      <c r="AA135" s="28" t="n"/>
      <c r="AB135" s="28" t="n"/>
      <c r="AC135" s="30" t="n">
        <v>-1</v>
      </c>
      <c r="AD135" s="24" t="inlineStr">
        <is>
          <t>2026-09-13T04:31:13.483270Z</t>
        </is>
      </c>
      <c r="AE135" s="31" t="inlineStr">
        <is>
          <t>Projected total 54.1 pts (Weather adj: +0.0 pts). Total line 54.5 -&gt; P(Over)=0.468, P(Under)=0.532, P(Push)=0.000.</t>
        </is>
      </c>
      <c r="AF135" s="31" t="inlineStr">
        <is>
          <t>College football model; multi-market (moneyline, spread, total).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Delaware Blue Hens</t>
        </is>
      </c>
      <c r="AQ135" s="24" t="inlineStr">
        <is>
          <t>Delaware Blue Hens</t>
        </is>
      </c>
      <c r="AR135" s="24" t="inlineStr">
        <is>
          <t>Delaware Blue Hens</t>
        </is>
      </c>
      <c r="AS135" s="24" t="inlineStr">
        <is>
          <t>Vanderbilt Commodores</t>
        </is>
      </c>
      <c r="AT135" s="24" t="inlineStr">
        <is>
          <t>Vanderbilt Commodores</t>
        </is>
      </c>
      <c r="AU135" s="24" t="inlineStr">
        <is>
          <t>Vanderbilt Commodores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1d168f11d221cd3c</t>
        </is>
      </c>
      <c r="BB135" s="24" t="inlineStr">
        <is>
          <t>cfb_key_number_engine</t>
        </is>
      </c>
      <c r="BC135" s="24" t="inlineStr">
        <is>
          <t>cfb-total-v1</t>
        </is>
      </c>
      <c r="BD135" s="24" t="inlineStr">
        <is>
          <t>1d168f11d221cd3c</t>
        </is>
      </c>
      <c r="BE135" s="24" t="inlineStr">
        <is>
          <t>cfb-v1</t>
        </is>
      </c>
      <c r="BF135" s="24" t="inlineStr">
        <is>
          <t>1</t>
        </is>
      </c>
      <c r="BG135" s="24" t="inlineStr">
        <is>
          <t>1d168f11d221cd3c</t>
        </is>
      </c>
      <c r="BH135" s="24" t="inlineStr">
        <is>
          <t>2026-09-12T16:07:28.570172+00:00</t>
        </is>
      </c>
      <c r="BI135" s="24" t="inlineStr">
        <is>
          <t>["same_event","same_team_same_day","same_league_same_day"]</t>
        </is>
      </c>
      <c r="BJ135" s="25" t="n">
        <v>54.5</v>
      </c>
      <c r="BK135" s="26" t="n">
        <v>-105</v>
      </c>
      <c r="BL135" s="27" t="n">
        <v>1.952381</v>
      </c>
      <c r="BM135" s="28" t="n">
        <v>0.512195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>
        <v>1</v>
      </c>
      <c r="BY135" s="27" t="n">
        <v>-1</v>
      </c>
      <c r="BZ135" s="24" t="inlineStr">
        <is>
          <t>2026-09-13T04:31:13.483270Z</t>
        </is>
      </c>
      <c r="CA135" s="31" t="inlineStr">
        <is>
          <t>fixed one-unit hypothetical scoring; no real exposure or execution</t>
        </is>
      </c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0.512195</t>
        </is>
      </c>
      <c r="DK135" s="24" t="n"/>
      <c r="DL135" s="24" t="n"/>
      <c r="DM135" s="24" t="n"/>
      <c r="DN135" s="24" t="n"/>
      <c r="DO135" s="24" t="n"/>
      <c r="DP135" s="24" t="n"/>
      <c r="DQ135" s="24" t="inlineStr">
        <is>
          <t>{"artifact_hash": "1d168f11d221cd3c", "event_id": "401856684", "event_start_utc": "2026-09-12T20:15Z", "features": {"altitude_fatigue_penalty": 0.0, "away_team": "Delaware Blue Hens", "efficiency_gap": 2.209, "elo_away": 1388.3, "elo_home": 1680.3, "elo_home_win_prob": 0.8865, "event_id": "401856684", "game_start_utc": "2026-09-12T20:15Z", "home_field_advantage_points": 2.8, "home_team": "Vanderbilt Commodores", "is_dome": false, "is_fbs_vs_fcs": false, "is_neutral_site": false, "projected_away_points": 19.8, "projected_home_points": 34.3, "projected_margin_home": 14.6, "projected_possessions": 12.4, "projected_total": 54.1, "stadium_elevation_ft": 540, "travel_distance_miles": 649.0, "uncertainty": 0.18, "weather_total_adjustment": 0.0}, "historical_source_observation_times_verified": false, "inference_inputs": {"engine_source_sha256": "449ba2f0e86fa9c445730076a0e0bf100fb4914620be53c75c6f3bfe24298f3f", "mu_away": 19.8, "mu_home": 34.3,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33340464617964693697825454613827122199}, "uinteger": 0}, "spread_home_line": -21.0, "total_line": 54.5}, "market_type": "total", "model_version": "cfb-total-v1", "observed_at_utc": "2026-09-12T16:07:28.570172+00:00", "probabilities": {"over": 0.468, "push": 0.0, "under": 0.532}, "replay_scope": "Full precision score means, exact engine parameters and original RNG state; upstream feature construction not certified.", "schema": "cfb-joint-replay-v1", "snapshot_hash": "c561a9e9d7ea8603e15cab964f6e104d69f3a121ec9b78e9593b8d03ba3d6cfc", "sport": "NCAAF"}</t>
        </is>
      </c>
    </row>
    <row r="136" ht="36" customHeight="1">
      <c r="A136" s="24" t="inlineStr">
        <is>
          <t>83d365901d8f44b7</t>
        </is>
      </c>
      <c r="B136" s="24" t="inlineStr">
        <is>
          <t>2026-09-12T16:07:28.570172Z</t>
        </is>
      </c>
      <c r="C136" s="24" t="inlineStr">
        <is>
          <t>2026-09-12T21:30Z</t>
        </is>
      </c>
      <c r="D136" s="24" t="inlineStr">
        <is>
          <t>401856672</t>
        </is>
      </c>
      <c r="E136" s="24" t="inlineStr">
        <is>
          <t>NCAAF</t>
        </is>
      </c>
      <c r="F136" s="24" t="inlineStr">
        <is>
          <t>Campbell Fighting Camels</t>
        </is>
      </c>
      <c r="G136" s="24" t="inlineStr">
        <is>
          <t>Florida Gators</t>
        </is>
      </c>
      <c r="H136" s="24" t="inlineStr">
        <is>
          <t>spread</t>
        </is>
      </c>
      <c r="I136" s="24" t="inlineStr">
        <is>
          <t>away</t>
        </is>
      </c>
      <c r="J136" s="25" t="n">
        <v>50.5</v>
      </c>
      <c r="K136" s="24" t="inlineStr">
        <is>
          <t>espn_consensus</t>
        </is>
      </c>
      <c r="L136" s="26" t="n">
        <v>-108</v>
      </c>
      <c r="M136" s="27" t="n">
        <v>1.925926</v>
      </c>
      <c r="N136" s="28" t="n">
        <v>0.519231</v>
      </c>
      <c r="O136" s="28" t="n">
        <v>0.990267</v>
      </c>
      <c r="P136" s="28" t="n">
        <v>0.18</v>
      </c>
      <c r="Q136" s="28" t="n">
        <v>0.471036</v>
      </c>
      <c r="R136" s="26" t="n">
        <v>100</v>
      </c>
      <c r="S136" s="29" t="n">
        <v>2</v>
      </c>
      <c r="T136" s="24" t="inlineStr">
        <is>
          <t>cfb-spread-v1</t>
        </is>
      </c>
      <c r="U136" s="24" t="inlineStr">
        <is>
          <t>settled</t>
        </is>
      </c>
      <c r="V136" s="24" t="inlineStr">
        <is>
          <t>win</t>
        </is>
      </c>
      <c r="W136" s="26" t="n">
        <v>3</v>
      </c>
      <c r="X136" s="26" t="n">
        <v>52</v>
      </c>
      <c r="Y136" s="25" t="n"/>
      <c r="Z136" s="26" t="n"/>
      <c r="AA136" s="28" t="n"/>
      <c r="AB136" s="28" t="n"/>
      <c r="AC136" s="30" t="n">
        <v>1.8519</v>
      </c>
      <c r="AD136" s="24" t="inlineStr">
        <is>
          <t>2026-09-13T04:31:13.859094Z</t>
        </is>
      </c>
      <c r="AE136" s="31" t="inlineStr">
        <is>
          <t>Projected home margin +10.2 pts. Spread: Home -50.5 / Away +50.5 -&gt; P(Away cover)=0.990, P(Home cover)=0.010, P(Push)=0.000.</t>
        </is>
      </c>
      <c r="AF136" s="31" t="inlineStr">
        <is>
          <t>College football model; multi-market (moneyline, spread, total).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model_qualified</t>
        </is>
      </c>
      <c r="AL136" s="26" t="n">
        <v>4</v>
      </c>
      <c r="AM136" s="24" t="inlineStr">
        <is>
          <t>QUALIFIED_SHADOW_CALL</t>
        </is>
      </c>
      <c r="AN136" s="24" t="inlineStr">
        <is>
          <t>CALL</t>
        </is>
      </c>
      <c r="AO136" s="24" t="inlineStr">
        <is>
          <t>QUALIFIED</t>
        </is>
      </c>
      <c r="AP136" s="24" t="inlineStr">
        <is>
          <t>Campbell Fighting Camels</t>
        </is>
      </c>
      <c r="AQ136" s="24" t="inlineStr">
        <is>
          <t>Campbell Fighting Camels</t>
        </is>
      </c>
      <c r="AR136" s="24" t="inlineStr">
        <is>
          <t>Campbell Fighting Camels</t>
        </is>
      </c>
      <c r="AS136" s="24" t="inlineStr">
        <is>
          <t>Florida Gators</t>
        </is>
      </c>
      <c r="AT136" s="24" t="inlineStr">
        <is>
          <t>Florida Gators</t>
        </is>
      </c>
      <c r="AU136" s="24" t="inlineStr">
        <is>
          <t>Florida Gators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1d168f11d221cd3c</t>
        </is>
      </c>
      <c r="BB136" s="24" t="inlineStr">
        <is>
          <t>cfb_key_number_engine</t>
        </is>
      </c>
      <c r="BC136" s="24" t="inlineStr">
        <is>
          <t>cfb-spread-v1</t>
        </is>
      </c>
      <c r="BD136" s="24" t="inlineStr">
        <is>
          <t>1d168f11d221cd3c</t>
        </is>
      </c>
      <c r="BE136" s="24" t="inlineStr">
        <is>
          <t>cfb-v1</t>
        </is>
      </c>
      <c r="BF136" s="24" t="inlineStr">
        <is>
          <t>1</t>
        </is>
      </c>
      <c r="BG136" s="24" t="inlineStr">
        <is>
          <t>1d168f11d221cd3c</t>
        </is>
      </c>
      <c r="BH136" s="24" t="inlineStr">
        <is>
          <t>2026-09-12T16:07:28.570172+00:00</t>
        </is>
      </c>
      <c r="BI136" s="24" t="inlineStr">
        <is>
          <t>["same_event","same_team_same_day","same_league_same_day"]</t>
        </is>
      </c>
      <c r="BJ136" s="25" t="n">
        <v>50.5</v>
      </c>
      <c r="BK136" s="26" t="n">
        <v>-108</v>
      </c>
      <c r="BL136" s="27" t="n">
        <v>1.925926</v>
      </c>
      <c r="BM136" s="28" t="n">
        <v>0.519231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True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0.519231</t>
        </is>
      </c>
      <c r="DK136" s="24" t="n"/>
      <c r="DL136" s="24" t="n"/>
      <c r="DM136" s="24" t="n"/>
      <c r="DN136" s="24" t="n"/>
      <c r="DO136" s="24" t="n"/>
      <c r="DP136" s="24" t="n"/>
      <c r="DQ136" s="24" t="inlineStr">
        <is>
          <t>{"artifact_hash": "1d168f11d221cd3c", "event_id": "401856672", "event_start_utc": "2026-09-12T21:30Z", "features": {"altitude_fatigue_penalty": 0.0, "away_team": "Campbell Fighting Camels", "efficiency_gap": 2.786, "elo_away": 1337.5, "elo_home": 1522.4, "elo_home_win_prob": 0.8082, "event_id": "401856672", "game_start_utc": "2026-09-12T21:30Z", "home_field_advantage_points": 2.8, "home_team": "Florida Gators", "is_dome": false, "is_fbs_vs_fcs": false, "is_neutral_site": false, "projected_away_points": 22.4, "projected_home_points": 32.6, "projected_margin_home": 10.2, "projected_possessions": 12.4, "projected_total": 55.0,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22.4, "mu_home": 32.6,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104848507094096917933141328802189402058}, "uinteger": 0}, "spread_home_line": -50.5, "total_line": 65.5}, "market_type": "spread", "model_version": "cfb-spread-v1", "observed_at_utc": "2026-09-12T16:07:28.570172+00:00", "probabilities": {"away": 0.990267, "home": 0.009733, "push": 0.0}, "replay_scope": "Full precision score means, exact engine parameters and original RNG state; upstream feature construction not certified.", "schema": "cfb-joint-replay-v1", "snapshot_hash": "25c7b6881cbd902015206787972de4feddb030e3ce44f0e246d125d2e7d97240", "sport": "NCAAF"}</t>
        </is>
      </c>
    </row>
    <row r="137" ht="36" customHeight="1">
      <c r="A137" s="24" t="inlineStr">
        <is>
          <t>2876a483df414e60</t>
        </is>
      </c>
      <c r="B137" s="24" t="inlineStr">
        <is>
          <t>2026-09-12T16:07:28.570172Z</t>
        </is>
      </c>
      <c r="C137" s="24" t="inlineStr">
        <is>
          <t>2026-09-12T21:30Z</t>
        </is>
      </c>
      <c r="D137" s="24" t="inlineStr">
        <is>
          <t>401856672</t>
        </is>
      </c>
      <c r="E137" s="24" t="inlineStr">
        <is>
          <t>NCAAF</t>
        </is>
      </c>
      <c r="F137" s="24" t="inlineStr">
        <is>
          <t>Campbell Fighting Camels</t>
        </is>
      </c>
      <c r="G137" s="24" t="inlineStr">
        <is>
          <t>Florida Gators</t>
        </is>
      </c>
      <c r="H137" s="24" t="inlineStr">
        <is>
          <t>total</t>
        </is>
      </c>
      <c r="I137" s="24" t="inlineStr">
        <is>
          <t>under</t>
        </is>
      </c>
      <c r="J137" s="25" t="n">
        <v>65.5</v>
      </c>
      <c r="K137" s="24" t="inlineStr">
        <is>
          <t>espn_consensus</t>
        </is>
      </c>
      <c r="L137" s="26" t="n">
        <v>-102</v>
      </c>
      <c r="M137" s="27" t="n">
        <v>1.980392</v>
      </c>
      <c r="N137" s="28" t="n">
        <v>0.50495</v>
      </c>
      <c r="O137" s="28" t="n">
        <v>0.717267</v>
      </c>
      <c r="P137" s="28" t="n">
        <v>0.18</v>
      </c>
      <c r="Q137" s="28" t="n">
        <v>0.212317</v>
      </c>
      <c r="R137" s="26" t="n">
        <v>48</v>
      </c>
      <c r="S137" s="29" t="n">
        <v>1.25</v>
      </c>
      <c r="T137" s="24" t="inlineStr">
        <is>
          <t>cfb-total-v1</t>
        </is>
      </c>
      <c r="U137" s="24" t="inlineStr">
        <is>
          <t>settled</t>
        </is>
      </c>
      <c r="V137" s="24" t="inlineStr">
        <is>
          <t>win</t>
        </is>
      </c>
      <c r="W137" s="26" t="n">
        <v>3</v>
      </c>
      <c r="X137" s="26" t="n">
        <v>52</v>
      </c>
      <c r="Y137" s="25" t="n"/>
      <c r="Z137" s="26" t="n"/>
      <c r="AA137" s="28" t="n"/>
      <c r="AB137" s="28" t="n"/>
      <c r="AC137" s="30" t="n">
        <v>1.2255</v>
      </c>
      <c r="AD137" s="24" t="inlineStr">
        <is>
          <t>2026-09-13T04:31:14.235224Z</t>
        </is>
      </c>
      <c r="AE137" s="31" t="inlineStr">
        <is>
          <t>Projected total 55.0 pts (Weather adj: +0.0 pts). Total line 65.5 -&gt; P(Over)=0.283, P(Under)=0.717, P(Push)=0.000.</t>
        </is>
      </c>
      <c r="AF137" s="31" t="inlineStr">
        <is>
          <t>College football model; multi-market (moneyline, spread, total).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model_qualified</t>
        </is>
      </c>
      <c r="AL137" s="26" t="n">
        <v>4</v>
      </c>
      <c r="AM137" s="24" t="inlineStr">
        <is>
          <t>QUALIFIED_SHADOW_CALL</t>
        </is>
      </c>
      <c r="AN137" s="24" t="inlineStr">
        <is>
          <t>CALL</t>
        </is>
      </c>
      <c r="AO137" s="24" t="inlineStr">
        <is>
          <t>QUALIFIED</t>
        </is>
      </c>
      <c r="AP137" s="24" t="inlineStr">
        <is>
          <t>Campbell Fighting Camels</t>
        </is>
      </c>
      <c r="AQ137" s="24" t="inlineStr">
        <is>
          <t>Campbell Fighting Camels</t>
        </is>
      </c>
      <c r="AR137" s="24" t="inlineStr">
        <is>
          <t>Campbell Fighting Camels</t>
        </is>
      </c>
      <c r="AS137" s="24" t="inlineStr">
        <is>
          <t>Florida Gators</t>
        </is>
      </c>
      <c r="AT137" s="24" t="inlineStr">
        <is>
          <t>Florida Gators</t>
        </is>
      </c>
      <c r="AU137" s="24" t="inlineStr">
        <is>
          <t>Florida Gators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1d168f11d221cd3c</t>
        </is>
      </c>
      <c r="BB137" s="24" t="inlineStr">
        <is>
          <t>cfb_key_number_engine</t>
        </is>
      </c>
      <c r="BC137" s="24" t="inlineStr">
        <is>
          <t>cfb-total-v1</t>
        </is>
      </c>
      <c r="BD137" s="24" t="inlineStr">
        <is>
          <t>1d168f11d221cd3c</t>
        </is>
      </c>
      <c r="BE137" s="24" t="inlineStr">
        <is>
          <t>cfb-v1</t>
        </is>
      </c>
      <c r="BF137" s="24" t="inlineStr">
        <is>
          <t>1</t>
        </is>
      </c>
      <c r="BG137" s="24" t="inlineStr">
        <is>
          <t>1d168f11d221cd3c</t>
        </is>
      </c>
      <c r="BH137" s="24" t="inlineStr">
        <is>
          <t>2026-09-12T16:07:28.570172+00:00</t>
        </is>
      </c>
      <c r="BI137" s="24" t="inlineStr">
        <is>
          <t>["same_event","same_team_same_day","same_league_same_day"]</t>
        </is>
      </c>
      <c r="BJ137" s="25" t="n">
        <v>65.5</v>
      </c>
      <c r="BK137" s="26" t="n">
        <v>-102</v>
      </c>
      <c r="BL137" s="27" t="n">
        <v>1.980392</v>
      </c>
      <c r="BM137" s="28" t="n">
        <v>0.50495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0.50495</t>
        </is>
      </c>
      <c r="DK137" s="24" t="n"/>
      <c r="DL137" s="24" t="n"/>
      <c r="DM137" s="24" t="n"/>
      <c r="DN137" s="24" t="n"/>
      <c r="DO137" s="24" t="n"/>
      <c r="DP137" s="24" t="n"/>
      <c r="DQ137" s="24" t="inlineStr">
        <is>
          <t>{"artifact_hash": "1d168f11d221cd3c", "event_id": "401856672", "event_start_utc": "2026-09-12T21:30Z", "features": {"altitude_fatigue_penalty": 0.0, "away_team": "Campbell Fighting Camels", "efficiency_gap": 2.786, "elo_away": 1337.5, "elo_home": 1522.4, "elo_home_win_prob": 0.8082, "event_id": "401856672", "game_start_utc": "2026-09-12T21:30Z", "home_field_advantage_points": 2.8, "home_team": "Florida Gators", "is_dome": false, "is_fbs_vs_fcs": false, "is_neutral_site": false, "projected_away_points": 22.4, "projected_home_points": 32.6, "projected_margin_home": 10.2, "projected_possessions": 12.4, "projected_total": 55.0,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22.4, "mu_home": 32.6,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104848507094096917933141328802189402058}, "uinteger": 0}, "spread_home_line": -50.5, "total_line": 65.5}, "market_type": "total", "model_version": "cfb-total-v1", "observed_at_utc": "2026-09-12T16:07:28.570172+00:00", "probabilities": {"over": 0.282733, "push": 0.0, "under": 0.717267}, "replay_scope": "Full precision score means, exact engine parameters and original RNG state; upstream feature construction not certified.", "schema": "cfb-joint-replay-v1", "snapshot_hash": "1f3d78c0824b63739bea169cd9ebcee48cad8adf4533f7d4f111d4a7dfa32c8b", "sport": "NCAAF"}</t>
        </is>
      </c>
    </row>
    <row r="138" ht="36" customHeight="1">
      <c r="A138" s="24" t="inlineStr">
        <is>
          <t>af1ef86f4c534d0c</t>
        </is>
      </c>
      <c r="B138" s="24" t="inlineStr">
        <is>
          <t>2026-09-12T16:07:28.570172Z</t>
        </is>
      </c>
      <c r="C138" s="24" t="inlineStr">
        <is>
          <t>2026-09-12T22:00Z</t>
        </is>
      </c>
      <c r="D138" s="24" t="inlineStr">
        <is>
          <t>401860881</t>
        </is>
      </c>
      <c r="E138" s="24" t="inlineStr">
        <is>
          <t>NCAAF</t>
        </is>
      </c>
      <c r="F138" s="24" t="inlineStr">
        <is>
          <t>Memphis Tigers</t>
        </is>
      </c>
      <c r="G138" s="24" t="inlineStr">
        <is>
          <t>Boise State Broncos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espn_consensus</t>
        </is>
      </c>
      <c r="L138" s="26" t="n">
        <v>295</v>
      </c>
      <c r="M138" s="27" t="n">
        <v>3.95</v>
      </c>
      <c r="N138" s="28" t="n">
        <v>0.253165</v>
      </c>
      <c r="O138" s="28" t="n">
        <v>0.557243</v>
      </c>
      <c r="P138" s="28" t="n">
        <v>0.165</v>
      </c>
      <c r="Q138" s="28" t="n">
        <v>0.304078</v>
      </c>
      <c r="R138" s="26" t="n">
        <v>100</v>
      </c>
      <c r="S138" s="29" t="n">
        <v>2</v>
      </c>
      <c r="T138" s="24" t="inlineStr">
        <is>
          <t>college-football-v1</t>
        </is>
      </c>
      <c r="U138" s="24" t="inlineStr">
        <is>
          <t>settled</t>
        </is>
      </c>
      <c r="V138" s="24" t="inlineStr">
        <is>
          <t>loss</t>
        </is>
      </c>
      <c r="W138" s="26" t="n">
        <v>20</v>
      </c>
      <c r="X138" s="26" t="n">
        <v>38</v>
      </c>
      <c r="Y138" s="25" t="n"/>
      <c r="Z138" s="26" t="n"/>
      <c r="AA138" s="28" t="n"/>
      <c r="AB138" s="28" t="n"/>
      <c r="AC138" s="30" t="n">
        <v>-2</v>
      </c>
      <c r="AD138" s="24" t="inlineStr">
        <is>
          <t>2026-09-13T04:31:14.607605Z</t>
        </is>
      </c>
      <c r="AE138" s="31" t="inlineStr">
        <is>
          <t>CFB Joint Model (negative_binomial): proj score Memphis Tigers 27.9 @ Boise State Broncos 25.9 (Margin -1.9). Possessions: 12.4, HFA: +2.8 pts.</t>
        </is>
      </c>
      <c r="AF138" s="31" t="inlineStr">
        <is>
          <t>College football model; multi-market (moneyline, spread, total).</t>
        </is>
      </c>
      <c r="AG138" s="24" t="inlineStr">
        <is>
          <t>review_required</t>
        </is>
      </c>
      <c r="AH138" s="24" t="n"/>
      <c r="AI138" s="31" t="n"/>
      <c r="AJ138" s="31" t="n"/>
      <c r="AK138" s="24" t="inlineStr">
        <is>
          <t>model_qualified</t>
        </is>
      </c>
      <c r="AL138" s="26" t="n">
        <v>4</v>
      </c>
      <c r="AM138" s="24" t="inlineStr">
        <is>
          <t>QUALIFIED_SHADOW_CALL</t>
        </is>
      </c>
      <c r="AN138" s="24" t="inlineStr">
        <is>
          <t>CALL</t>
        </is>
      </c>
      <c r="AO138" s="24" t="inlineStr">
        <is>
          <t>QUALIFIED</t>
        </is>
      </c>
      <c r="AP138" s="24" t="inlineStr">
        <is>
          <t>Memphis Tigers</t>
        </is>
      </c>
      <c r="AQ138" s="24" t="inlineStr">
        <is>
          <t>Memphis Tigers</t>
        </is>
      </c>
      <c r="AR138" s="24" t="inlineStr">
        <is>
          <t>Memphis Tigers</t>
        </is>
      </c>
      <c r="AS138" s="24" t="inlineStr">
        <is>
          <t>Boise State Broncos</t>
        </is>
      </c>
      <c r="AT138" s="24" t="inlineStr">
        <is>
          <t>Boise State Broncos</t>
        </is>
      </c>
      <c r="AU138" s="24" t="inlineStr">
        <is>
          <t>Boise State Broncos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1d168f11d221cd3c</t>
        </is>
      </c>
      <c r="BB138" s="24" t="inlineStr">
        <is>
          <t>cfb_key_number_engine</t>
        </is>
      </c>
      <c r="BC138" s="24" t="inlineStr">
        <is>
          <t>college-football-v1</t>
        </is>
      </c>
      <c r="BD138" s="24" t="inlineStr">
        <is>
          <t>1d168f11d221cd3c</t>
        </is>
      </c>
      <c r="BE138" s="24" t="inlineStr">
        <is>
          <t>cfb-v1</t>
        </is>
      </c>
      <c r="BF138" s="24" t="inlineStr">
        <is>
          <t>1</t>
        </is>
      </c>
      <c r="BG138" s="24" t="inlineStr">
        <is>
          <t>1d168f11d221cd3c</t>
        </is>
      </c>
      <c r="BH138" s="24" t="inlineStr">
        <is>
          <t>2026-09-12T16:07:28.570172+00:00</t>
        </is>
      </c>
      <c r="BI138" s="24" t="inlineStr">
        <is>
          <t>["same_event","same_team_same_day","same_league_same_day"]</t>
        </is>
      </c>
      <c r="BJ138" s="25" t="n"/>
      <c r="BK138" s="26" t="n">
        <v>295</v>
      </c>
      <c r="BL138" s="27" t="n">
        <v>3.95</v>
      </c>
      <c r="BM138" s="28" t="n">
        <v>0.253165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0.253165</t>
        </is>
      </c>
      <c r="DK138" s="24" t="n"/>
      <c r="DL138" s="24" t="n"/>
      <c r="DM138" s="24" t="n"/>
      <c r="DN138" s="24" t="n"/>
      <c r="DO138" s="24" t="n"/>
      <c r="DP138" s="24" t="n"/>
      <c r="DQ138" s="24" t="inlineStr">
        <is>
          <t>{"artifact_hash": "1d168f11d221cd3c", "event_id": "401860881", "event_start_utc": "2026-09-12T22:00Z", "features": {"altitude_fatigue_penalty": 0.0, "away_team": "Memphis Tigers", "efficiency_gap": -0.524, "elo_away": 1602.6, "elo_home": 1486.9, "elo_home_win_prob": 0.4275, "event_id": "401860881", "game_start_utc": "2026-09-12T22:00Z", "home_field_advantage_points": 2.8, "home_team": "Boise State Broncos", "is_dome": false, "is_fbs_vs_fcs": false, "is_neutral_site": false, "projected_away_points": 27.9, "projected_home_points": 25.9, "projected_margin_home": -1.9, "projected_possessions": 12.4, "projected_total": 53.8, "stadium_elevation_ft": 2695, "travel_distance_miles": 1510.0, "uncertainty": 0.165, "weather_total_adjustment": 0.0}, "historical_source_observation_times_verified": false, "inference_inputs": {"engine_source_sha256": "449ba2f0e86fa9c445730076a0e0bf100fb4914620be53c75c6f3bfe24298f3f", "mu_away": 27.9, "mu_home": 25.9,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162215989355632093082685262954621239486}, "uinteger": 0}, "spread_home_line": -9.5, "total_line": 55.5}, "market_type": "moneyline", "model_version": "college-football-v1", "observed_at_utc": "2026-09-12T16:07:28.570172+00:00", "probabilities": {"away": 0.557243, "home": 0.442757}, "replay_scope": "Full precision score means, exact engine parameters and original RNG state; upstream feature construction not certified.", "schema": "cfb-joint-replay-v1", "snapshot_hash": "2dc426564079497b2caf14c9c1a904013577688e84c677e4d0e04cf42006be58", "sport": "NCAAF"}</t>
        </is>
      </c>
    </row>
    <row r="139" ht="36" customHeight="1">
      <c r="A139" s="24" t="inlineStr">
        <is>
          <t>7885e692a7fb49d5</t>
        </is>
      </c>
      <c r="B139" s="24" t="inlineStr">
        <is>
          <t>2026-09-12T16:07:28.570172Z</t>
        </is>
      </c>
      <c r="C139" s="24" t="inlineStr">
        <is>
          <t>2026-09-12T22:00Z</t>
        </is>
      </c>
      <c r="D139" s="24" t="inlineStr">
        <is>
          <t>401860881</t>
        </is>
      </c>
      <c r="E139" s="24" t="inlineStr">
        <is>
          <t>NCAAF</t>
        </is>
      </c>
      <c r="F139" s="24" t="inlineStr">
        <is>
          <t>Memphis Tigers</t>
        </is>
      </c>
      <c r="G139" s="24" t="inlineStr">
        <is>
          <t>Boise State Broncos</t>
        </is>
      </c>
      <c r="H139" s="24" t="inlineStr">
        <is>
          <t>spread</t>
        </is>
      </c>
      <c r="I139" s="24" t="inlineStr">
        <is>
          <t>away</t>
        </is>
      </c>
      <c r="J139" s="25" t="n">
        <v>9.5</v>
      </c>
      <c r="K139" s="24" t="inlineStr">
        <is>
          <t>espn_consensus</t>
        </is>
      </c>
      <c r="L139" s="26" t="n">
        <v>-112</v>
      </c>
      <c r="M139" s="27" t="n">
        <v>1.892857</v>
      </c>
      <c r="N139" s="28" t="n">
        <v>0.528302</v>
      </c>
      <c r="O139" s="28" t="n">
        <v>0.7611329999999999</v>
      </c>
      <c r="P139" s="28" t="n">
        <v>0.165</v>
      </c>
      <c r="Q139" s="28" t="n">
        <v>0.232831</v>
      </c>
      <c r="R139" s="26" t="n">
        <v>67</v>
      </c>
      <c r="S139" s="29" t="n">
        <v>1.5</v>
      </c>
      <c r="T139" s="24" t="inlineStr">
        <is>
          <t>cfb-spread-v1</t>
        </is>
      </c>
      <c r="U139" s="24" t="inlineStr">
        <is>
          <t>settled</t>
        </is>
      </c>
      <c r="V139" s="24" t="inlineStr">
        <is>
          <t>loss</t>
        </is>
      </c>
      <c r="W139" s="26" t="n">
        <v>20</v>
      </c>
      <c r="X139" s="26" t="n">
        <v>38</v>
      </c>
      <c r="Y139" s="25" t="n"/>
      <c r="Z139" s="26" t="n"/>
      <c r="AA139" s="28" t="n"/>
      <c r="AB139" s="28" t="n"/>
      <c r="AC139" s="30" t="n">
        <v>-1.5</v>
      </c>
      <c r="AD139" s="24" t="inlineStr">
        <is>
          <t>2026-09-13T04:31:14.941657Z</t>
        </is>
      </c>
      <c r="AE139" s="31" t="inlineStr">
        <is>
          <t>Projected home margin -1.9 pts. Spread: Home -9.5 / Away +9.5 -&gt; P(Away cover)=0.761, P(Home cover)=0.239, P(Push)=0.000.</t>
        </is>
      </c>
      <c r="AF139" s="31" t="inlineStr">
        <is>
          <t>College football model; multi-market (moneyline, spread, total).</t>
        </is>
      </c>
      <c r="AG139" s="24" t="inlineStr">
        <is>
          <t>review_required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4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Memphis Tigers</t>
        </is>
      </c>
      <c r="AQ139" s="24" t="inlineStr">
        <is>
          <t>Memphis Tigers</t>
        </is>
      </c>
      <c r="AR139" s="24" t="inlineStr">
        <is>
          <t>Memphis Tigers</t>
        </is>
      </c>
      <c r="AS139" s="24" t="inlineStr">
        <is>
          <t>Boise State Broncos</t>
        </is>
      </c>
      <c r="AT139" s="24" t="inlineStr">
        <is>
          <t>Boise State Broncos</t>
        </is>
      </c>
      <c r="AU139" s="24" t="inlineStr">
        <is>
          <t>Boise State Broncos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1d168f11d221cd3c</t>
        </is>
      </c>
      <c r="BB139" s="24" t="inlineStr">
        <is>
          <t>cfb_key_number_engine</t>
        </is>
      </c>
      <c r="BC139" s="24" t="inlineStr">
        <is>
          <t>cfb-spread-v1</t>
        </is>
      </c>
      <c r="BD139" s="24" t="inlineStr">
        <is>
          <t>1d168f11d221cd3c</t>
        </is>
      </c>
      <c r="BE139" s="24" t="inlineStr">
        <is>
          <t>cfb-v1</t>
        </is>
      </c>
      <c r="BF139" s="24" t="inlineStr">
        <is>
          <t>1</t>
        </is>
      </c>
      <c r="BG139" s="24" t="inlineStr">
        <is>
          <t>1d168f11d221cd3c</t>
        </is>
      </c>
      <c r="BH139" s="24" t="inlineStr">
        <is>
          <t>2026-09-12T16:07:28.570172+00:00</t>
        </is>
      </c>
      <c r="BI139" s="24" t="inlineStr">
        <is>
          <t>["same_event","same_team_same_day","same_league_same_day"]</t>
        </is>
      </c>
      <c r="BJ139" s="25" t="n">
        <v>9.5</v>
      </c>
      <c r="BK139" s="26" t="n">
        <v>-112</v>
      </c>
      <c r="BL139" s="27" t="n">
        <v>1.892857</v>
      </c>
      <c r="BM139" s="28" t="n">
        <v>0.528302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0.528302</t>
        </is>
      </c>
      <c r="DK139" s="24" t="n"/>
      <c r="DL139" s="24" t="n"/>
      <c r="DM139" s="24" t="n"/>
      <c r="DN139" s="24" t="n"/>
      <c r="DO139" s="24" t="n"/>
      <c r="DP139" s="24" t="n"/>
      <c r="DQ139" s="24" t="inlineStr">
        <is>
          <t>{"artifact_hash": "1d168f11d221cd3c", "event_id": "401860881", "event_start_utc": "2026-09-12T22:00Z", "features": {"altitude_fatigue_penalty": 0.0, "away_team": "Memphis Tigers", "efficiency_gap": -0.524, "elo_away": 1602.6, "elo_home": 1486.9, "elo_home_win_prob": 0.4275, "event_id": "401860881", "game_start_utc": "2026-09-12T22:00Z", "home_field_advantage_points": 2.8, "home_team": "Boise State Broncos", "is_dome": false, "is_fbs_vs_fcs": false, "is_neutral_site": false, "projected_away_points": 27.9, "projected_home_points": 25.9, "projected_margin_home": -1.9, "projected_possessions": 12.4, "projected_total": 53.8, "stadium_elevation_ft": 2695, "travel_distance_miles": 1510.0, "uncertainty": 0.165, "weather_total_adjustment": 0.0}, "historical_source_observation_times_verified": false, "inference_inputs": {"engine_source_sha256": "449ba2f0e86fa9c445730076a0e0bf100fb4914620be53c75c6f3bfe24298f3f", "mu_away": 27.9, "mu_home": 25.9,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162215989355632093082685262954621239486}, "uinteger": 0}, "spread_home_line": -9.5, "total_line": 55.5}, "market_type": "spread", "model_version": "cfb-spread-v1", "observed_at_utc": "2026-09-12T16:07:28.570172+00:00", "probabilities": {"away": 0.761133, "home": 0.238867, "push": 0.0}, "replay_scope": "Full precision score means, exact engine parameters and original RNG state; upstream feature construction not certified.", "schema": "cfb-joint-replay-v1", "snapshot_hash": "3f072dc3d2785fbf3d52f6d9172e8aeed642810f3d15af7e6c36e758dcc2c877", "sport": "NCAAF"}</t>
        </is>
      </c>
    </row>
    <row r="140" ht="36" customHeight="1">
      <c r="A140" s="24" t="inlineStr">
        <is>
          <t>1baa184b327b406b</t>
        </is>
      </c>
      <c r="B140" s="24" t="inlineStr">
        <is>
          <t>2026-09-12T16:07:28.570172Z</t>
        </is>
      </c>
      <c r="C140" s="24" t="inlineStr">
        <is>
          <t>2026-09-12T22:00Z</t>
        </is>
      </c>
      <c r="D140" s="24" t="inlineStr">
        <is>
          <t>401860881</t>
        </is>
      </c>
      <c r="E140" s="24" t="inlineStr">
        <is>
          <t>NCAAF</t>
        </is>
      </c>
      <c r="F140" s="24" t="inlineStr">
        <is>
          <t>Memphis Tigers</t>
        </is>
      </c>
      <c r="G140" s="24" t="inlineStr">
        <is>
          <t>Boise State Broncos</t>
        </is>
      </c>
      <c r="H140" s="24" t="inlineStr">
        <is>
          <t>total</t>
        </is>
      </c>
      <c r="I140" s="24" t="inlineStr">
        <is>
          <t>under</t>
        </is>
      </c>
      <c r="J140" s="25" t="n">
        <v>55.5</v>
      </c>
      <c r="K140" s="24" t="inlineStr">
        <is>
          <t>espn_consensus</t>
        </is>
      </c>
      <c r="L140" s="26" t="n">
        <v>-110</v>
      </c>
      <c r="M140" s="27" t="n">
        <v>1.909091</v>
      </c>
      <c r="N140" s="28" t="n">
        <v>0.52381</v>
      </c>
      <c r="O140" s="28" t="n">
        <v>0.5566</v>
      </c>
      <c r="P140" s="28" t="n">
        <v>0.165</v>
      </c>
      <c r="Q140" s="28" t="n">
        <v>0.03279</v>
      </c>
      <c r="R140" s="26" t="n">
        <v>0</v>
      </c>
      <c r="S140" s="29" t="n">
        <v>1</v>
      </c>
      <c r="T140" s="24" t="inlineStr">
        <is>
          <t>cfb-total-v1</t>
        </is>
      </c>
      <c r="U140" s="24" t="inlineStr">
        <is>
          <t>settled</t>
        </is>
      </c>
      <c r="V140" s="24" t="inlineStr">
        <is>
          <t>loss</t>
        </is>
      </c>
      <c r="W140" s="26" t="n">
        <v>20</v>
      </c>
      <c r="X140" s="26" t="n">
        <v>38</v>
      </c>
      <c r="Y140" s="25" t="n"/>
      <c r="Z140" s="26" t="n"/>
      <c r="AA140" s="28" t="n"/>
      <c r="AB140" s="28" t="n"/>
      <c r="AC140" s="30" t="n">
        <v>-1</v>
      </c>
      <c r="AD140" s="24" t="inlineStr">
        <is>
          <t>2026-09-13T04:31:15.390308Z</t>
        </is>
      </c>
      <c r="AE140" s="31" t="inlineStr">
        <is>
          <t>Projected total 53.8 pts (Weather adj: +0.0 pts). Total line 55.5 -&gt; P(Over)=0.443, P(Under)=0.557, P(Push)=0.000.</t>
        </is>
      </c>
      <c r="AF140" s="31" t="inlineStr">
        <is>
          <t>College football model; multi-market (moneyline, spread, total).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model_qualified</t>
        </is>
      </c>
      <c r="AL140" s="26" t="n">
        <v>4</v>
      </c>
      <c r="AM140" s="24" t="inlineStr">
        <is>
          <t>QUALIFIED_SHADOW_CALL</t>
        </is>
      </c>
      <c r="AN140" s="24" t="inlineStr">
        <is>
          <t>CALL</t>
        </is>
      </c>
      <c r="AO140" s="24" t="inlineStr">
        <is>
          <t>QUALIFIED</t>
        </is>
      </c>
      <c r="AP140" s="24" t="inlineStr">
        <is>
          <t>Memphis Tigers</t>
        </is>
      </c>
      <c r="AQ140" s="24" t="inlineStr">
        <is>
          <t>Memphis Tigers</t>
        </is>
      </c>
      <c r="AR140" s="24" t="inlineStr">
        <is>
          <t>Memphis Tigers</t>
        </is>
      </c>
      <c r="AS140" s="24" t="inlineStr">
        <is>
          <t>Boise State Broncos</t>
        </is>
      </c>
      <c r="AT140" s="24" t="inlineStr">
        <is>
          <t>Boise State Broncos</t>
        </is>
      </c>
      <c r="AU140" s="24" t="inlineStr">
        <is>
          <t>Boise State Broncos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1d168f11d221cd3c</t>
        </is>
      </c>
      <c r="BB140" s="24" t="inlineStr">
        <is>
          <t>cfb_key_number_engine</t>
        </is>
      </c>
      <c r="BC140" s="24" t="inlineStr">
        <is>
          <t>cfb-total-v1</t>
        </is>
      </c>
      <c r="BD140" s="24" t="inlineStr">
        <is>
          <t>1d168f11d221cd3c</t>
        </is>
      </c>
      <c r="BE140" s="24" t="inlineStr">
        <is>
          <t>cfb-v1</t>
        </is>
      </c>
      <c r="BF140" s="24" t="inlineStr">
        <is>
          <t>1</t>
        </is>
      </c>
      <c r="BG140" s="24" t="inlineStr">
        <is>
          <t>1d168f11d221cd3c</t>
        </is>
      </c>
      <c r="BH140" s="24" t="inlineStr">
        <is>
          <t>2026-09-12T16:07:28.570172+00:00</t>
        </is>
      </c>
      <c r="BI140" s="24" t="inlineStr">
        <is>
          <t>["same_event","same_team_same_day","same_league_same_day"]</t>
        </is>
      </c>
      <c r="BJ140" s="25" t="n">
        <v>55.5</v>
      </c>
      <c r="BK140" s="26" t="n">
        <v>-110</v>
      </c>
      <c r="BL140" s="27" t="n">
        <v>1.909091</v>
      </c>
      <c r="BM140" s="28" t="n">
        <v>0.52381</v>
      </c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0.52381</t>
        </is>
      </c>
      <c r="DK140" s="24" t="n"/>
      <c r="DL140" s="24" t="n"/>
      <c r="DM140" s="24" t="n"/>
      <c r="DN140" s="24" t="n"/>
      <c r="DO140" s="24" t="n"/>
      <c r="DP140" s="24" t="n"/>
      <c r="DQ140" s="24" t="inlineStr">
        <is>
          <t>{"artifact_hash": "1d168f11d221cd3c", "event_id": "401860881", "event_start_utc": "2026-09-12T22:00Z", "features": {"altitude_fatigue_penalty": 0.0, "away_team": "Memphis Tigers", "efficiency_gap": -0.524, "elo_away": 1602.6, "elo_home": 1486.9, "elo_home_win_prob": 0.4275, "event_id": "401860881", "game_start_utc": "2026-09-12T22:00Z", "home_field_advantage_points": 2.8, "home_team": "Boise State Broncos", "is_dome": false, "is_fbs_vs_fcs": false, "is_neutral_site": false, "projected_away_points": 27.9, "projected_home_points": 25.9, "projected_margin_home": -1.9, "projected_possessions": 12.4, "projected_total": 53.8, "stadium_elevation_ft": 2695, "travel_distance_miles": 1510.0, "uncertainty": 0.165, "weather_total_adjustment": 0.0}, "historical_source_observation_times_verified": false, "inference_inputs": {"engine_source_sha256": "449ba2f0e86fa9c445730076a0e0bf100fb4914620be53c75c6f3bfe24298f3f", "mu_away": 27.9, "mu_home": 25.9,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162215989355632093082685262954621239486}, "uinteger": 0}, "spread_home_line": -9.5, "total_line": 55.5}, "market_type": "total", "model_version": "cfb-total-v1", "observed_at_utc": "2026-09-12T16:07:28.570172+00:00", "probabilities": {"over": 0.4434, "push": 0.0, "under": 0.5566}, "replay_scope": "Full precision score means, exact engine parameters and original RNG state; upstream feature construction not certified.", "schema": "cfb-joint-replay-v1", "snapshot_hash": "4efaea8e87a2054257998d3342f6a911b2098b3f5944d72d03eb444f6558f753", "sport": "NCAAF"}</t>
        </is>
      </c>
    </row>
    <row r="141" ht="36" customHeight="1">
      <c r="A141" s="24" t="inlineStr">
        <is>
          <t>676b006e7bac4c2d</t>
        </is>
      </c>
      <c r="B141" s="24" t="inlineStr">
        <is>
          <t>2026-09-12T16:07:28.570172Z</t>
        </is>
      </c>
      <c r="C141" s="24" t="inlineStr">
        <is>
          <t>2026-09-12T22:00Z</t>
        </is>
      </c>
      <c r="D141" s="24" t="inlineStr">
        <is>
          <t>401866414</t>
        </is>
      </c>
      <c r="E141" s="24" t="inlineStr">
        <is>
          <t>NCAAF</t>
        </is>
      </c>
      <c r="F141" s="24" t="inlineStr">
        <is>
          <t>Buffalo Bulls</t>
        </is>
      </c>
      <c r="G141" s="24" t="inlineStr">
        <is>
          <t>Florida International Panthers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espn_consensus</t>
        </is>
      </c>
      <c r="L141" s="26" t="n">
        <v>-410</v>
      </c>
      <c r="M141" s="27" t="n">
        <v>1.243902</v>
      </c>
      <c r="N141" s="28" t="n">
        <v>0.803922</v>
      </c>
      <c r="O141" s="28" t="n">
        <v>0.514024</v>
      </c>
      <c r="P141" s="28" t="n">
        <v>0.18</v>
      </c>
      <c r="Q141" s="28" t="n">
        <v>-0.289898</v>
      </c>
      <c r="R141" s="26" t="n">
        <v>0</v>
      </c>
      <c r="S141" s="29" t="n">
        <v>1</v>
      </c>
      <c r="T141" s="24" t="inlineStr">
        <is>
          <t>college-football-v1</t>
        </is>
      </c>
      <c r="U141" s="24" t="inlineStr">
        <is>
          <t>settled</t>
        </is>
      </c>
      <c r="V141" s="24" t="inlineStr">
        <is>
          <t>win</t>
        </is>
      </c>
      <c r="W141" s="26" t="n">
        <v>20</v>
      </c>
      <c r="X141" s="26" t="n">
        <v>33</v>
      </c>
      <c r="Y141" s="25" t="n"/>
      <c r="Z141" s="26" t="n"/>
      <c r="AA141" s="28" t="n"/>
      <c r="AB141" s="28" t="n"/>
      <c r="AC141" s="30" t="n">
        <v>0.2439</v>
      </c>
      <c r="AD141" s="24" t="inlineStr">
        <is>
          <t>2026-09-13T04:31:15.767116Z</t>
        </is>
      </c>
      <c r="AE141" s="31" t="inlineStr">
        <is>
          <t>CFB Joint Model (negative_binomial): proj score Buffalo Bulls 26.0 @ Florida International Panthers 26.7 (Margin +0.7). Possessions: 12.4, HFA: +2.8 pts.</t>
        </is>
      </c>
      <c r="AF141" s="31" t="inlineStr">
        <is>
          <t>College football model; multi-market (moneyline, spread, total).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Buffalo Bulls</t>
        </is>
      </c>
      <c r="AQ141" s="24" t="inlineStr">
        <is>
          <t>Buffalo Bulls</t>
        </is>
      </c>
      <c r="AR141" s="24" t="inlineStr">
        <is>
          <t>Buffalo Bulls</t>
        </is>
      </c>
      <c r="AS141" s="24" t="inlineStr">
        <is>
          <t>Florida International Panthers</t>
        </is>
      </c>
      <c r="AT141" s="24" t="inlineStr">
        <is>
          <t>Florida International Panthers</t>
        </is>
      </c>
      <c r="AU141" s="24" t="inlineStr">
        <is>
          <t>Florida International Panthers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1d168f11d221cd3c</t>
        </is>
      </c>
      <c r="BB141" s="24" t="inlineStr">
        <is>
          <t>cfb_key_number_engine</t>
        </is>
      </c>
      <c r="BC141" s="24" t="inlineStr">
        <is>
          <t>college-football-v1</t>
        </is>
      </c>
      <c r="BD141" s="24" t="inlineStr">
        <is>
          <t>1d168f11d221cd3c</t>
        </is>
      </c>
      <c r="BE141" s="24" t="inlineStr">
        <is>
          <t>cfb-v1</t>
        </is>
      </c>
      <c r="BF141" s="24" t="inlineStr">
        <is>
          <t>1</t>
        </is>
      </c>
      <c r="BG141" s="24" t="inlineStr">
        <is>
          <t>1d168f11d221cd3c</t>
        </is>
      </c>
      <c r="BH141" s="24" t="inlineStr">
        <is>
          <t>2026-09-12T16:07:28.570172+00:00</t>
        </is>
      </c>
      <c r="BI141" s="24" t="inlineStr">
        <is>
          <t>["same_event","same_team_same_day","same_league_same_day"]</t>
        </is>
      </c>
      <c r="BJ141" s="25" t="n"/>
      <c r="BK141" s="26" t="n">
        <v>-410</v>
      </c>
      <c r="BL141" s="27" t="n">
        <v>1.243902</v>
      </c>
      <c r="BM141" s="28" t="n">
        <v>0.803922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>
        <v>1</v>
      </c>
      <c r="BY141" s="27" t="n">
        <v>0.243902</v>
      </c>
      <c r="BZ141" s="24" t="inlineStr">
        <is>
          <t>2026-09-13T04:31:15.767116Z</t>
        </is>
      </c>
      <c r="CA141" s="31" t="inlineStr">
        <is>
          <t>fixed one-unit hypothetical scoring; no real exposure or execution</t>
        </is>
      </c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0.803922</t>
        </is>
      </c>
      <c r="DK141" s="24" t="n"/>
      <c r="DL141" s="24" t="n"/>
      <c r="DM141" s="24" t="n"/>
      <c r="DN141" s="24" t="n"/>
      <c r="DO141" s="24" t="n"/>
      <c r="DP141" s="24" t="n"/>
      <c r="DQ141" s="24" t="inlineStr">
        <is>
          <t>{"artifact_hash": "1d168f11d221cd3c", "event_id": "401866414", "event_start_utc": "2026-09-12T22:00Z", "features": {"altitude_fatigue_penalty": 0.0, "away_team": "Buffalo Bulls", "efficiency_gap": 0.0, "elo_away": 1385.6, "elo_home": 1337.5, "elo_home_win_prob": 0.5243, "event_id": "401866414", "game_start_utc": "2026-09-12T22:00Z", "home_field_advantage_points": 2.8, "home_team": "Florida International Panthers", "is_dome": false, "is_fbs_vs_fcs": false, "is_neutral_site": false, "projected_away_points": 26.0, "projected_home_points": 26.7, "projected_margin_home": 0.7,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26.0, "mu_home": 26.7,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89662508263849850428587132468882033910}, "uinteger": 0}, "spread_home_line": -10.0, "total_line": 47.5}, "market_type": "moneyline", "model_version": "college-football-v1", "observed_at_utc": "2026-09-12T16:07:28.570172+00:00", "probabilities": {"away": 0.485976, "home": 0.514024}, "replay_scope": "Full precision score means, exact engine parameters and original RNG state; upstream feature construction not certified.", "schema": "cfb-joint-replay-v1", "snapshot_hash": "5cc1ff112af4a240c2b6cf9d843e22354d893dfe7727e7a1facc81192f1fd692", "sport": "NCAAF"}</t>
        </is>
      </c>
    </row>
    <row r="142" ht="36" customHeight="1">
      <c r="A142" s="24" t="inlineStr">
        <is>
          <t>a4dd7c93f8eb4d71</t>
        </is>
      </c>
      <c r="B142" s="24" t="inlineStr">
        <is>
          <t>2026-09-12T16:07:28.570172Z</t>
        </is>
      </c>
      <c r="C142" s="24" t="inlineStr">
        <is>
          <t>2026-09-12T22:00Z</t>
        </is>
      </c>
      <c r="D142" s="24" t="inlineStr">
        <is>
          <t>401866414</t>
        </is>
      </c>
      <c r="E142" s="24" t="inlineStr">
        <is>
          <t>NCAAF</t>
        </is>
      </c>
      <c r="F142" s="24" t="inlineStr">
        <is>
          <t>Buffalo Bulls</t>
        </is>
      </c>
      <c r="G142" s="24" t="inlineStr">
        <is>
          <t>Florida International Panthers</t>
        </is>
      </c>
      <c r="H142" s="24" t="inlineStr">
        <is>
          <t>spread</t>
        </is>
      </c>
      <c r="I142" s="24" t="inlineStr">
        <is>
          <t>away</t>
        </is>
      </c>
      <c r="J142" s="25" t="n">
        <v>10</v>
      </c>
      <c r="K142" s="24" t="inlineStr">
        <is>
          <t>espn_consensus</t>
        </is>
      </c>
      <c r="L142" s="26" t="n">
        <v>-108</v>
      </c>
      <c r="M142" s="27" t="n">
        <v>1.925926</v>
      </c>
      <c r="N142" s="28" t="n">
        <v>0.519231</v>
      </c>
      <c r="O142" s="28" t="n">
        <v>0.712933</v>
      </c>
      <c r="P142" s="28" t="n">
        <v>0.18</v>
      </c>
      <c r="Q142" s="28" t="n">
        <v>0.193702</v>
      </c>
      <c r="R142" s="26" t="n">
        <v>39</v>
      </c>
      <c r="S142" s="29" t="n">
        <v>1</v>
      </c>
      <c r="T142" s="24" t="inlineStr">
        <is>
          <t>cfb-spread-v1</t>
        </is>
      </c>
      <c r="U142" s="24" t="inlineStr">
        <is>
          <t>settled</t>
        </is>
      </c>
      <c r="V142" s="24" t="inlineStr">
        <is>
          <t>loss</t>
        </is>
      </c>
      <c r="W142" s="26" t="n">
        <v>20</v>
      </c>
      <c r="X142" s="26" t="n">
        <v>33</v>
      </c>
      <c r="Y142" s="25" t="n"/>
      <c r="Z142" s="26" t="n"/>
      <c r="AA142" s="28" t="n"/>
      <c r="AB142" s="28" t="n"/>
      <c r="AC142" s="30" t="n">
        <v>-1</v>
      </c>
      <c r="AD142" s="24" t="inlineStr">
        <is>
          <t>2026-09-13T04:31:16.097698Z</t>
        </is>
      </c>
      <c r="AE142" s="31" t="inlineStr">
        <is>
          <t>Projected home margin +0.7 pts. Spread: Home -10.0 / Away +10.0 -&gt; P(Away cover)=0.713, P(Home cover)=0.265, P(Push)=0.022.</t>
        </is>
      </c>
      <c r="AF142" s="31" t="inlineStr">
        <is>
          <t>College football model; multi-market (moneyline, spread, total).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4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Buffalo Bulls</t>
        </is>
      </c>
      <c r="AQ142" s="24" t="inlineStr">
        <is>
          <t>Buffalo Bulls</t>
        </is>
      </c>
      <c r="AR142" s="24" t="inlineStr">
        <is>
          <t>Buffalo Bulls</t>
        </is>
      </c>
      <c r="AS142" s="24" t="inlineStr">
        <is>
          <t>Florida International Panthers</t>
        </is>
      </c>
      <c r="AT142" s="24" t="inlineStr">
        <is>
          <t>Florida International Panthers</t>
        </is>
      </c>
      <c r="AU142" s="24" t="inlineStr">
        <is>
          <t>Florida International Panthers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1d168f11d221cd3c</t>
        </is>
      </c>
      <c r="BB142" s="24" t="inlineStr">
        <is>
          <t>cfb_key_number_engine</t>
        </is>
      </c>
      <c r="BC142" s="24" t="inlineStr">
        <is>
          <t>cfb-spread-v1</t>
        </is>
      </c>
      <c r="BD142" s="24" t="inlineStr">
        <is>
          <t>1d168f11d221cd3c</t>
        </is>
      </c>
      <c r="BE142" s="24" t="inlineStr">
        <is>
          <t>cfb-v1</t>
        </is>
      </c>
      <c r="BF142" s="24" t="inlineStr">
        <is>
          <t>1</t>
        </is>
      </c>
      <c r="BG142" s="24" t="inlineStr">
        <is>
          <t>1d168f11d221cd3c</t>
        </is>
      </c>
      <c r="BH142" s="24" t="inlineStr">
        <is>
          <t>2026-09-12T16:07:28.570172+00:00</t>
        </is>
      </c>
      <c r="BI142" s="24" t="inlineStr">
        <is>
          <t>["same_event","same_team_same_day","same_league_same_day"]</t>
        </is>
      </c>
      <c r="BJ142" s="25" t="n">
        <v>10</v>
      </c>
      <c r="BK142" s="26" t="n">
        <v>-108</v>
      </c>
      <c r="BL142" s="27" t="n">
        <v>1.925926</v>
      </c>
      <c r="BM142" s="28" t="n">
        <v>0.519231</v>
      </c>
      <c r="BN142" s="28" t="n"/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0.519231</t>
        </is>
      </c>
      <c r="DK142" s="24" t="n"/>
      <c r="DL142" s="24" t="n"/>
      <c r="DM142" s="24" t="n"/>
      <c r="DN142" s="24" t="n"/>
      <c r="DO142" s="24" t="n"/>
      <c r="DP142" s="24" t="n"/>
      <c r="DQ142" s="24" t="inlineStr">
        <is>
          <t>{"artifact_hash": "1d168f11d221cd3c", "event_id": "401866414", "event_start_utc": "2026-09-12T22:00Z", "features": {"altitude_fatigue_penalty": 0.0, "away_team": "Buffalo Bulls", "efficiency_gap": 0.0, "elo_away": 1385.6, "elo_home": 1337.5, "elo_home_win_prob": 0.5243, "event_id": "401866414", "game_start_utc": "2026-09-12T22:00Z", "home_field_advantage_points": 2.8, "home_team": "Florida International Panthers", "is_dome": false, "is_fbs_vs_fcs": false, "is_neutral_site": false, "projected_away_points": 26.0, "projected_home_points": 26.7, "projected_margin_home": 0.7,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26.0, "mu_home": 26.7,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89662508263849850428587132468882033910}, "uinteger": 0}, "spread_home_line": -10.0, "total_line": 47.5}, "market_type": "spread", "model_version": "cfb-spread-v1", "observed_at_utc": "2026-09-12T16:07:28.570172+00:00", "probabilities": {"away": 0.712933, "home": 0.2652, "push": 0.021867}, "replay_scope": "Full precision score means, exact engine parameters and original RNG state; upstream feature construction not certified.", "schema": "cfb-joint-replay-v1", "snapshot_hash": "4deae3fd8d7892ce9dcf70ec3f3a1669d7eecad28b382be103b55fd4c970aee6", "sport": "NCAAF"}</t>
        </is>
      </c>
    </row>
    <row r="143" ht="36" customHeight="1">
      <c r="A143" s="24" t="inlineStr">
        <is>
          <t>08dd18fa157140eb</t>
        </is>
      </c>
      <c r="B143" s="24" t="inlineStr">
        <is>
          <t>2026-09-12T16:07:28.570172Z</t>
        </is>
      </c>
      <c r="C143" s="24" t="inlineStr">
        <is>
          <t>2026-09-12T22:00Z</t>
        </is>
      </c>
      <c r="D143" s="24" t="inlineStr">
        <is>
          <t>401866414</t>
        </is>
      </c>
      <c r="E143" s="24" t="inlineStr">
        <is>
          <t>NCAAF</t>
        </is>
      </c>
      <c r="F143" s="24" t="inlineStr">
        <is>
          <t>Buffalo Bulls</t>
        </is>
      </c>
      <c r="G143" s="24" t="inlineStr">
        <is>
          <t>Florida International Panthers</t>
        </is>
      </c>
      <c r="H143" s="24" t="inlineStr">
        <is>
          <t>total</t>
        </is>
      </c>
      <c r="I143" s="24" t="inlineStr">
        <is>
          <t>over</t>
        </is>
      </c>
      <c r="J143" s="25" t="n">
        <v>47.5</v>
      </c>
      <c r="K143" s="24" t="inlineStr">
        <is>
          <t>espn_consensus</t>
        </is>
      </c>
      <c r="L143" s="26" t="n">
        <v>-105</v>
      </c>
      <c r="M143" s="27" t="n">
        <v>1.952381</v>
      </c>
      <c r="N143" s="28" t="n">
        <v>0.512195</v>
      </c>
      <c r="O143" s="28" t="n">
        <v>0.5838</v>
      </c>
      <c r="P143" s="28" t="n">
        <v>0.18</v>
      </c>
      <c r="Q143" s="28" t="n">
        <v>0.071605</v>
      </c>
      <c r="R143" s="26" t="n">
        <v>0</v>
      </c>
      <c r="S143" s="29" t="n">
        <v>1</v>
      </c>
      <c r="T143" s="24" t="inlineStr">
        <is>
          <t>cfb-total-v1</t>
        </is>
      </c>
      <c r="U143" s="24" t="inlineStr">
        <is>
          <t>settled</t>
        </is>
      </c>
      <c r="V143" s="24" t="inlineStr">
        <is>
          <t>win</t>
        </is>
      </c>
      <c r="W143" s="26" t="n">
        <v>20</v>
      </c>
      <c r="X143" s="26" t="n">
        <v>33</v>
      </c>
      <c r="Y143" s="25" t="n"/>
      <c r="Z143" s="26" t="n"/>
      <c r="AA143" s="28" t="n"/>
      <c r="AB143" s="28" t="n"/>
      <c r="AC143" s="30" t="n">
        <v>0.9524</v>
      </c>
      <c r="AD143" s="24" t="inlineStr">
        <is>
          <t>2026-09-13T04:31:16.474003Z</t>
        </is>
      </c>
      <c r="AE143" s="31" t="inlineStr">
        <is>
          <t>Projected total 52.6 pts (Weather adj: +0.0 pts). Total line 47.5 -&gt; P(Over)=0.584, P(Under)=0.416, P(Push)=0.000.</t>
        </is>
      </c>
      <c r="AF143" s="31" t="inlineStr">
        <is>
          <t>College football model; multi-market (moneyline, spread, total).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4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Buffalo Bulls</t>
        </is>
      </c>
      <c r="AQ143" s="24" t="inlineStr">
        <is>
          <t>Buffalo Bulls</t>
        </is>
      </c>
      <c r="AR143" s="24" t="inlineStr">
        <is>
          <t>Buffalo Bulls</t>
        </is>
      </c>
      <c r="AS143" s="24" t="inlineStr">
        <is>
          <t>Florida International Panthers</t>
        </is>
      </c>
      <c r="AT143" s="24" t="inlineStr">
        <is>
          <t>Florida International Panthers</t>
        </is>
      </c>
      <c r="AU143" s="24" t="inlineStr">
        <is>
          <t>Florida International Panthers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1d168f11d221cd3c</t>
        </is>
      </c>
      <c r="BB143" s="24" t="inlineStr">
        <is>
          <t>cfb_key_number_engine</t>
        </is>
      </c>
      <c r="BC143" s="24" t="inlineStr">
        <is>
          <t>cfb-total-v1</t>
        </is>
      </c>
      <c r="BD143" s="24" t="inlineStr">
        <is>
          <t>1d168f11d221cd3c</t>
        </is>
      </c>
      <c r="BE143" s="24" t="inlineStr">
        <is>
          <t>cfb-v1</t>
        </is>
      </c>
      <c r="BF143" s="24" t="inlineStr">
        <is>
          <t>1</t>
        </is>
      </c>
      <c r="BG143" s="24" t="inlineStr">
        <is>
          <t>1d168f11d221cd3c</t>
        </is>
      </c>
      <c r="BH143" s="24" t="inlineStr">
        <is>
          <t>2026-09-12T16:07:28.570172+00:00</t>
        </is>
      </c>
      <c r="BI143" s="24" t="inlineStr">
        <is>
          <t>["same_event","same_team_same_day","same_league_same_day"]</t>
        </is>
      </c>
      <c r="BJ143" s="25" t="n">
        <v>47.5</v>
      </c>
      <c r="BK143" s="26" t="n">
        <v>-105</v>
      </c>
      <c r="BL143" s="27" t="n">
        <v>1.952381</v>
      </c>
      <c r="BM143" s="28" t="n">
        <v>0.512195</v>
      </c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0.512195</t>
        </is>
      </c>
      <c r="DK143" s="24" t="n"/>
      <c r="DL143" s="24" t="n"/>
      <c r="DM143" s="24" t="n"/>
      <c r="DN143" s="24" t="n"/>
      <c r="DO143" s="24" t="n"/>
      <c r="DP143" s="24" t="n"/>
      <c r="DQ143" s="24" t="inlineStr">
        <is>
          <t>{"artifact_hash": "1d168f11d221cd3c", "event_id": "401866414", "event_start_utc": "2026-09-12T22:00Z", "features": {"altitude_fatigue_penalty": 0.0, "away_team": "Buffalo Bulls", "efficiency_gap": 0.0, "elo_away": 1385.6, "elo_home": 1337.5, "elo_home_win_prob": 0.5243, "event_id": "401866414", "game_start_utc": "2026-09-12T22:00Z", "home_field_advantage_points": 2.8, "home_team": "Florida International Panthers", "is_dome": false, "is_fbs_vs_fcs": false, "is_neutral_site": false, "projected_away_points": 26.0, "projected_home_points": 26.7, "projected_margin_home": 0.7,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26.0, "mu_home": 26.7,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89662508263849850428587132468882033910}, "uinteger": 0}, "spread_home_line": -10.0, "total_line": 47.5}, "market_type": "total", "model_version": "cfb-total-v1", "observed_at_utc": "2026-09-12T16:07:28.570172+00:00", "probabilities": {"over": 0.5838, "push": 0.0, "under": 0.4162}, "replay_scope": "Full precision score means, exact engine parameters and original RNG state; upstream feature construction not certified.", "schema": "cfb-joint-replay-v1", "snapshot_hash": "445536f8d4aa96d06a3562b54fa9bbdb15fe2c86d81a8e66f46522185a8d0f4d", "sport": "NCAAF"}</t>
        </is>
      </c>
    </row>
    <row r="144" ht="36" customHeight="1">
      <c r="A144" s="24" t="inlineStr">
        <is>
          <t>ee6e9d4399f74b17</t>
        </is>
      </c>
      <c r="B144" s="24" t="inlineStr">
        <is>
          <t>2026-09-12T16:07:28.570172Z</t>
        </is>
      </c>
      <c r="C144" s="24" t="inlineStr">
        <is>
          <t>2026-09-12T22:00Z</t>
        </is>
      </c>
      <c r="D144" s="24" t="inlineStr">
        <is>
          <t>401866418</t>
        </is>
      </c>
      <c r="E144" s="24" t="inlineStr">
        <is>
          <t>NCAAF</t>
        </is>
      </c>
      <c r="F144" s="24" t="inlineStr">
        <is>
          <t>Jacksonville State Gamecocks</t>
        </is>
      </c>
      <c r="G144" s="24" t="inlineStr">
        <is>
          <t>Ohio Bobcats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espn_consensus</t>
        </is>
      </c>
      <c r="L144" s="26" t="n">
        <v>-130</v>
      </c>
      <c r="M144" s="27" t="n">
        <v>1.769231</v>
      </c>
      <c r="N144" s="28" t="n">
        <v>0.565217</v>
      </c>
      <c r="O144" s="28" t="n">
        <v>0.6495919999999999</v>
      </c>
      <c r="P144" s="28" t="n">
        <v>0.165</v>
      </c>
      <c r="Q144" s="28" t="n">
        <v>0.08437500000000001</v>
      </c>
      <c r="R144" s="26" t="n">
        <v>0</v>
      </c>
      <c r="S144" s="29" t="n">
        <v>1</v>
      </c>
      <c r="T144" s="24" t="inlineStr">
        <is>
          <t>college-football-v1</t>
        </is>
      </c>
      <c r="U144" s="24" t="inlineStr">
        <is>
          <t>settled</t>
        </is>
      </c>
      <c r="V144" s="24" t="inlineStr">
        <is>
          <t>win</t>
        </is>
      </c>
      <c r="W144" s="26" t="n">
        <v>27</v>
      </c>
      <c r="X144" s="26" t="n">
        <v>29</v>
      </c>
      <c r="Y144" s="25" t="n"/>
      <c r="Z144" s="26" t="n"/>
      <c r="AA144" s="28" t="n"/>
      <c r="AB144" s="28" t="n"/>
      <c r="AC144" s="30" t="n">
        <v>0.7692</v>
      </c>
      <c r="AD144" s="24" t="inlineStr">
        <is>
          <t>2026-09-13T04:31:16.858235Z</t>
        </is>
      </c>
      <c r="AE144" s="31" t="inlineStr">
        <is>
          <t>CFB Joint Model (negative_binomial): proj score Jacksonville State Gamecocks 23.0 @ Ohio Bobcats 29.0 (Margin +6.0). Possessions: 12.4, HFA: +2.8 pts.</t>
        </is>
      </c>
      <c r="AF144" s="31" t="inlineStr">
        <is>
          <t>College football model; multi-market (moneyline, spread, total).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model_qualified</t>
        </is>
      </c>
      <c r="AL144" s="26" t="n">
        <v>4</v>
      </c>
      <c r="AM144" s="24" t="inlineStr">
        <is>
          <t>QUALIFIED_SHADOW_CALL</t>
        </is>
      </c>
      <c r="AN144" s="24" t="inlineStr">
        <is>
          <t>CALL</t>
        </is>
      </c>
      <c r="AO144" s="24" t="inlineStr">
        <is>
          <t>QUALIFIED</t>
        </is>
      </c>
      <c r="AP144" s="24" t="inlineStr">
        <is>
          <t>Jacksonville State Gamecocks</t>
        </is>
      </c>
      <c r="AQ144" s="24" t="inlineStr">
        <is>
          <t>Jacksonville State Gamecocks</t>
        </is>
      </c>
      <c r="AR144" s="24" t="inlineStr">
        <is>
          <t>Jacksonville State Gamecocks</t>
        </is>
      </c>
      <c r="AS144" s="24" t="inlineStr">
        <is>
          <t>Ohio Bobcats</t>
        </is>
      </c>
      <c r="AT144" s="24" t="inlineStr">
        <is>
          <t>Ohio Bobcats</t>
        </is>
      </c>
      <c r="AU144" s="24" t="inlineStr">
        <is>
          <t>Ohio Bobcats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1d168f11d221cd3c</t>
        </is>
      </c>
      <c r="BB144" s="24" t="inlineStr">
        <is>
          <t>cfb_key_number_engine</t>
        </is>
      </c>
      <c r="BC144" s="24" t="inlineStr">
        <is>
          <t>college-football-v1</t>
        </is>
      </c>
      <c r="BD144" s="24" t="inlineStr">
        <is>
          <t>1d168f11d221cd3c</t>
        </is>
      </c>
      <c r="BE144" s="24" t="inlineStr">
        <is>
          <t>cfb-v1</t>
        </is>
      </c>
      <c r="BF144" s="24" t="inlineStr">
        <is>
          <t>1</t>
        </is>
      </c>
      <c r="BG144" s="24" t="inlineStr">
        <is>
          <t>1d168f11d221cd3c</t>
        </is>
      </c>
      <c r="BH144" s="24" t="inlineStr">
        <is>
          <t>2026-09-12T16:07:28.570172+00:00</t>
        </is>
      </c>
      <c r="BI144" s="24" t="inlineStr">
        <is>
          <t>["same_event","same_team_same_day","same_league_same_day"]</t>
        </is>
      </c>
      <c r="BJ144" s="25" t="n"/>
      <c r="BK144" s="26" t="n">
        <v>-130</v>
      </c>
      <c r="BL144" s="27" t="n">
        <v>1.769231</v>
      </c>
      <c r="BM144" s="28" t="n">
        <v>0.565217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0.565217</t>
        </is>
      </c>
      <c r="DK144" s="24" t="n"/>
      <c r="DL144" s="24" t="n"/>
      <c r="DM144" s="24" t="n"/>
      <c r="DN144" s="24" t="n"/>
      <c r="DO144" s="24" t="n"/>
      <c r="DP144" s="24" t="n"/>
      <c r="DQ144" s="24" t="inlineStr">
        <is>
          <t>{"artifact_hash": "1d168f11d221cd3c", "event_id": "401866418", "event_start_utc": "2026-09-12T22:00Z", "features": {"altitude_fatigue_penalty": 0.0, "away_team": "Jacksonville State Gamecocks", "efficiency_gap": 0.027, "elo_away": 1531.9, "elo_home": 1618.6, "elo_home_win_prob": 0.7055, "event_id": "401866418", "game_start_utc": "2026-09-12T22:00Z", "home_field_advantage_points": 2.8, "home_team": "Ohio Bobcats", "is_dome": false, "is_fbs_vs_fcs": false, "is_neutral_site": false, "projected_away_points": 23.0, "projected_home_points": 29.0, "projected_margin_home": 6.0, "projected_possessions": 12.4, "projected_total": 52.1, "stadium_elevation_ft": 640, "travel_distance_miles": 431.0, "uncertainty": 0.165, "weather_total_adjustment": 0.0}, "historical_source_observation_times_verified": false, "inference_inputs": {"engine_source_sha256": "449ba2f0e86fa9c445730076a0e0bf100fb4914620be53c75c6f3bfe24298f3f", "mu_away": 23.0,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4567327277397216313209375714069377566}, "uinteger": 0}, "spread_home_line": -2.5, "total_line": 50.5}, "market_type": "moneyline", "model_version": "college-football-v1", "observed_at_utc": "2026-09-12T16:07:28.570172+00:00", "probabilities": {"away": 0.350408, "home": 0.649592}, "replay_scope": "Full precision score means, exact engine parameters and original RNG state; upstream feature construction not certified.", "schema": "cfb-joint-replay-v1", "snapshot_hash": "4daca5201f36af7e18dc4cbc06cb45246f4a28f7db81602d9eb54bc30cb5ab84", "sport": "NCAAF"}</t>
        </is>
      </c>
    </row>
    <row r="145" ht="36" customHeight="1">
      <c r="A145" s="24" t="inlineStr">
        <is>
          <t>fd2fc6c139834782</t>
        </is>
      </c>
      <c r="B145" s="24" t="inlineStr">
        <is>
          <t>2026-09-12T16:07:28.570172Z</t>
        </is>
      </c>
      <c r="C145" s="24" t="inlineStr">
        <is>
          <t>2026-09-12T22:00Z</t>
        </is>
      </c>
      <c r="D145" s="24" t="inlineStr">
        <is>
          <t>401866418</t>
        </is>
      </c>
      <c r="E145" s="24" t="inlineStr">
        <is>
          <t>NCAAF</t>
        </is>
      </c>
      <c r="F145" s="24" t="inlineStr">
        <is>
          <t>Jacksonville State Gamecocks</t>
        </is>
      </c>
      <c r="G145" s="24" t="inlineStr">
        <is>
          <t>Ohio Bobcats</t>
        </is>
      </c>
      <c r="H145" s="24" t="inlineStr">
        <is>
          <t>spread</t>
        </is>
      </c>
      <c r="I145" s="24" t="inlineStr">
        <is>
          <t>home</t>
        </is>
      </c>
      <c r="J145" s="25" t="n">
        <v>-2.5</v>
      </c>
      <c r="K145" s="24" t="inlineStr">
        <is>
          <t>espn_consensus</t>
        </is>
      </c>
      <c r="L145" s="26" t="n">
        <v>-105</v>
      </c>
      <c r="M145" s="27" t="n">
        <v>1.952381</v>
      </c>
      <c r="N145" s="28" t="n">
        <v>0.512195</v>
      </c>
      <c r="O145" s="28" t="n">
        <v>0.5884</v>
      </c>
      <c r="P145" s="28" t="n">
        <v>0.165</v>
      </c>
      <c r="Q145" s="28" t="n">
        <v>0.07620499999999999</v>
      </c>
      <c r="R145" s="26" t="n">
        <v>0</v>
      </c>
      <c r="S145" s="29" t="n">
        <v>1</v>
      </c>
      <c r="T145" s="24" t="inlineStr">
        <is>
          <t>cfb-spread-v1</t>
        </is>
      </c>
      <c r="U145" s="24" t="inlineStr">
        <is>
          <t>settled</t>
        </is>
      </c>
      <c r="V145" s="24" t="inlineStr">
        <is>
          <t>loss</t>
        </is>
      </c>
      <c r="W145" s="26" t="n">
        <v>27</v>
      </c>
      <c r="X145" s="26" t="n">
        <v>29</v>
      </c>
      <c r="Y145" s="25" t="n"/>
      <c r="Z145" s="26" t="n"/>
      <c r="AA145" s="28" t="n"/>
      <c r="AB145" s="28" t="n"/>
      <c r="AC145" s="30" t="n">
        <v>-1</v>
      </c>
      <c r="AD145" s="24" t="inlineStr">
        <is>
          <t>2026-09-13T04:31:17.192344Z</t>
        </is>
      </c>
      <c r="AE145" s="31" t="inlineStr">
        <is>
          <t>Projected home margin +6.0 pts. Spread: Home -2.5 / Away +2.5 -&gt; P(Away cover)=0.412, P(Home cover)=0.588, P(Push)=0.000.</t>
        </is>
      </c>
      <c r="AF145" s="31" t="inlineStr">
        <is>
          <t>College football model; multi-market (moneyline, spread, total).</t>
        </is>
      </c>
      <c r="AG145" s="24" t="inlineStr">
        <is>
          <t>review_required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4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Jacksonville State Gamecocks</t>
        </is>
      </c>
      <c r="AQ145" s="24" t="inlineStr">
        <is>
          <t>Jacksonville State Gamecocks</t>
        </is>
      </c>
      <c r="AR145" s="24" t="inlineStr">
        <is>
          <t>Jacksonville State Gamecocks</t>
        </is>
      </c>
      <c r="AS145" s="24" t="inlineStr">
        <is>
          <t>Ohio Bobcats</t>
        </is>
      </c>
      <c r="AT145" s="24" t="inlineStr">
        <is>
          <t>Ohio Bobcats</t>
        </is>
      </c>
      <c r="AU145" s="24" t="inlineStr">
        <is>
          <t>Ohio Bobcats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1d168f11d221cd3c</t>
        </is>
      </c>
      <c r="BB145" s="24" t="inlineStr">
        <is>
          <t>cfb_key_number_engine</t>
        </is>
      </c>
      <c r="BC145" s="24" t="inlineStr">
        <is>
          <t>cfb-spread-v1</t>
        </is>
      </c>
      <c r="BD145" s="24" t="inlineStr">
        <is>
          <t>1d168f11d221cd3c</t>
        </is>
      </c>
      <c r="BE145" s="24" t="inlineStr">
        <is>
          <t>cfb-v1</t>
        </is>
      </c>
      <c r="BF145" s="24" t="inlineStr">
        <is>
          <t>1</t>
        </is>
      </c>
      <c r="BG145" s="24" t="inlineStr">
        <is>
          <t>1d168f11d221cd3c</t>
        </is>
      </c>
      <c r="BH145" s="24" t="inlineStr">
        <is>
          <t>2026-09-12T16:07:28.570172+00:00</t>
        </is>
      </c>
      <c r="BI145" s="24" t="inlineStr">
        <is>
          <t>["same_event","same_team_same_day","same_league_same_day"]</t>
        </is>
      </c>
      <c r="BJ145" s="25" t="n">
        <v>-2.5</v>
      </c>
      <c r="BK145" s="26" t="n">
        <v>-105</v>
      </c>
      <c r="BL145" s="27" t="n">
        <v>1.952381</v>
      </c>
      <c r="BM145" s="28" t="n">
        <v>0.512195</v>
      </c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0.512195</t>
        </is>
      </c>
      <c r="DK145" s="24" t="n"/>
      <c r="DL145" s="24" t="n"/>
      <c r="DM145" s="24" t="n"/>
      <c r="DN145" s="24" t="n"/>
      <c r="DO145" s="24" t="n"/>
      <c r="DP145" s="24" t="n"/>
      <c r="DQ145" s="24" t="inlineStr">
        <is>
          <t>{"artifact_hash": "1d168f11d221cd3c", "event_id": "401866418", "event_start_utc": "2026-09-12T22:00Z", "features": {"altitude_fatigue_penalty": 0.0, "away_team": "Jacksonville State Gamecocks", "efficiency_gap": 0.027, "elo_away": 1531.9, "elo_home": 1618.6, "elo_home_win_prob": 0.7055, "event_id": "401866418", "game_start_utc": "2026-09-12T22:00Z", "home_field_advantage_points": 2.8, "home_team": "Ohio Bobcats", "is_dome": false, "is_fbs_vs_fcs": false, "is_neutral_site": false, "projected_away_points": 23.0, "projected_home_points": 29.0, "projected_margin_home": 6.0, "projected_possessions": 12.4, "projected_total": 52.1, "stadium_elevation_ft": 640, "travel_distance_miles": 431.0, "uncertainty": 0.165, "weather_total_adjustment": 0.0}, "historical_source_observation_times_verified": false, "inference_inputs": {"engine_source_sha256": "449ba2f0e86fa9c445730076a0e0bf100fb4914620be53c75c6f3bfe24298f3f", "mu_away": 23.0,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4567327277397216313209375714069377566}, "uinteger": 0}, "spread_home_line": -2.5, "total_line": 50.5}, "market_type": "spread", "model_version": "cfb-spread-v1", "observed_at_utc": "2026-09-12T16:07:28.570172+00:00", "probabilities": {"away": 0.4116, "home": 0.5884, "push": 0.0}, "replay_scope": "Full precision score means, exact engine parameters and original RNG state; upstream feature construction not certified.", "schema": "cfb-joint-replay-v1", "snapshot_hash": "4aeac94bf4644ff4fb884b37cab2cb11886798add832e0b38a8a4c5fe6ba0fb0", "sport": "NCAAF"}</t>
        </is>
      </c>
    </row>
    <row r="146" ht="36" customHeight="1">
      <c r="A146" s="24" t="inlineStr">
        <is>
          <t>a61db87678414019</t>
        </is>
      </c>
      <c r="B146" s="24" t="inlineStr">
        <is>
          <t>2026-09-12T16:07:28.570172Z</t>
        </is>
      </c>
      <c r="C146" s="24" t="inlineStr">
        <is>
          <t>2026-09-12T22:00Z</t>
        </is>
      </c>
      <c r="D146" s="24" t="inlineStr">
        <is>
          <t>401866418</t>
        </is>
      </c>
      <c r="E146" s="24" t="inlineStr">
        <is>
          <t>NCAAF</t>
        </is>
      </c>
      <c r="F146" s="24" t="inlineStr">
        <is>
          <t>Jacksonville State Gamecocks</t>
        </is>
      </c>
      <c r="G146" s="24" t="inlineStr">
        <is>
          <t>Ohio Bobcats</t>
        </is>
      </c>
      <c r="H146" s="24" t="inlineStr">
        <is>
          <t>total</t>
        </is>
      </c>
      <c r="I146" s="24" t="inlineStr">
        <is>
          <t>under</t>
        </is>
      </c>
      <c r="J146" s="25" t="n">
        <v>50.5</v>
      </c>
      <c r="K146" s="24" t="inlineStr">
        <is>
          <t>espn_consensus</t>
        </is>
      </c>
      <c r="L146" s="26" t="n">
        <v>-112</v>
      </c>
      <c r="M146" s="27" t="n">
        <v>1.892857</v>
      </c>
      <c r="N146" s="28" t="n">
        <v>0.528302</v>
      </c>
      <c r="O146" s="28" t="n">
        <v>0.501733</v>
      </c>
      <c r="P146" s="28" t="n">
        <v>0.165</v>
      </c>
      <c r="Q146" s="28" t="n">
        <v>-0.026569</v>
      </c>
      <c r="R146" s="26" t="n">
        <v>0</v>
      </c>
      <c r="S146" s="29" t="n">
        <v>1</v>
      </c>
      <c r="T146" s="24" t="inlineStr">
        <is>
          <t>cfb-total-v1</t>
        </is>
      </c>
      <c r="U146" s="24" t="inlineStr">
        <is>
          <t>settled</t>
        </is>
      </c>
      <c r="V146" s="24" t="inlineStr">
        <is>
          <t>loss</t>
        </is>
      </c>
      <c r="W146" s="26" t="n">
        <v>27</v>
      </c>
      <c r="X146" s="26" t="n">
        <v>29</v>
      </c>
      <c r="Y146" s="25" t="n"/>
      <c r="Z146" s="26" t="n"/>
      <c r="AA146" s="28" t="n"/>
      <c r="AB146" s="28" t="n"/>
      <c r="AC146" s="30" t="n">
        <v>-1</v>
      </c>
      <c r="AD146" s="24" t="inlineStr">
        <is>
          <t>2026-09-13T04:31:17.634848Z</t>
        </is>
      </c>
      <c r="AE146" s="31" t="inlineStr">
        <is>
          <t>Projected total 52.1 pts (Weather adj: +0.0 pts). Total line 50.5 -&gt; P(Over)=0.498, P(Under)=0.502, P(Push)=0.000.</t>
        </is>
      </c>
      <c r="AF146" s="31" t="inlineStr">
        <is>
          <t>College football model; multi-market (moneyline, spread, total).</t>
        </is>
      </c>
      <c r="AG146" s="24" t="inlineStr">
        <is>
          <t>review_required</t>
        </is>
      </c>
      <c r="AH146" s="24" t="n"/>
      <c r="AI146" s="31" t="n"/>
      <c r="AJ146" s="31" t="n"/>
      <c r="AK146" s="24" t="inlineStr">
        <is>
          <t>paper_call</t>
        </is>
      </c>
      <c r="AL146" s="26" t="n">
        <v>4</v>
      </c>
      <c r="AM146" s="24" t="inlineStr">
        <is>
          <t>RESEARCH_OBSERVATION</t>
        </is>
      </c>
      <c r="AN146" s="24" t="inlineStr">
        <is>
          <t>CALL</t>
        </is>
      </c>
      <c r="AO146" s="24" t="inlineStr">
        <is>
          <t>PAPER_CALL_LOW_EDGE</t>
        </is>
      </c>
      <c r="AP146" s="24" t="inlineStr">
        <is>
          <t>Jacksonville State Gamecocks</t>
        </is>
      </c>
      <c r="AQ146" s="24" t="inlineStr">
        <is>
          <t>Jacksonville State Gamecocks</t>
        </is>
      </c>
      <c r="AR146" s="24" t="inlineStr">
        <is>
          <t>Jacksonville State Gamecocks</t>
        </is>
      </c>
      <c r="AS146" s="24" t="inlineStr">
        <is>
          <t>Ohio Bobcats</t>
        </is>
      </c>
      <c r="AT146" s="24" t="inlineStr">
        <is>
          <t>Ohio Bobcats</t>
        </is>
      </c>
      <c r="AU146" s="24" t="inlineStr">
        <is>
          <t>Ohio Bobcats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1d168f11d221cd3c</t>
        </is>
      </c>
      <c r="BB146" s="24" t="inlineStr">
        <is>
          <t>cfb_key_number_engine</t>
        </is>
      </c>
      <c r="BC146" s="24" t="inlineStr">
        <is>
          <t>cfb-total-v1</t>
        </is>
      </c>
      <c r="BD146" s="24" t="inlineStr">
        <is>
          <t>1d168f11d221cd3c</t>
        </is>
      </c>
      <c r="BE146" s="24" t="inlineStr">
        <is>
          <t>cfb-v1</t>
        </is>
      </c>
      <c r="BF146" s="24" t="inlineStr">
        <is>
          <t>1</t>
        </is>
      </c>
      <c r="BG146" s="24" t="inlineStr">
        <is>
          <t>1d168f11d221cd3c</t>
        </is>
      </c>
      <c r="BH146" s="24" t="inlineStr">
        <is>
          <t>2026-09-12T16:07:28.570172+00:00</t>
        </is>
      </c>
      <c r="BI146" s="24" t="inlineStr">
        <is>
          <t>["same_event","same_team_same_day","same_league_same_day"]</t>
        </is>
      </c>
      <c r="BJ146" s="25" t="n">
        <v>50.5</v>
      </c>
      <c r="BK146" s="26" t="n">
        <v>-112</v>
      </c>
      <c r="BL146" s="27" t="n">
        <v>1.892857</v>
      </c>
      <c r="BM146" s="28" t="n">
        <v>0.528302</v>
      </c>
      <c r="BN146" s="28" t="n"/>
      <c r="BO146" s="28" t="n"/>
      <c r="BP146" s="25" t="n"/>
      <c r="BQ146" s="27" t="n"/>
      <c r="BR146" s="28" t="n"/>
      <c r="BS146" s="28" t="n"/>
      <c r="BT146" s="28" t="n"/>
      <c r="BU146" s="25" t="n"/>
      <c r="BV146" s="29" t="n"/>
      <c r="BW146" s="24" t="n"/>
      <c r="BX146" s="30" t="n">
        <v>1</v>
      </c>
      <c r="BY146" s="27" t="n">
        <v>-1</v>
      </c>
      <c r="BZ146" s="24" t="inlineStr">
        <is>
          <t>2026-09-13T04:31:17.634848Z</t>
        </is>
      </c>
      <c r="CA146" s="31" t="inlineStr">
        <is>
          <t>fixed one-unit hypothetical scoring; no real exposure or execution</t>
        </is>
      </c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False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0.528302</t>
        </is>
      </c>
      <c r="DK146" s="24" t="n"/>
      <c r="DL146" s="24" t="n"/>
      <c r="DM146" s="24" t="n"/>
      <c r="DN146" s="24" t="n"/>
      <c r="DO146" s="24" t="n"/>
      <c r="DP146" s="24" t="n"/>
      <c r="DQ146" s="24" t="inlineStr">
        <is>
          <t>{"artifact_hash": "1d168f11d221cd3c", "event_id": "401866418", "event_start_utc": "2026-09-12T22:00Z", "features": {"altitude_fatigue_penalty": 0.0, "away_team": "Jacksonville State Gamecocks", "efficiency_gap": 0.027, "elo_away": 1531.9, "elo_home": 1618.6, "elo_home_win_prob": 0.7055, "event_id": "401866418", "game_start_utc": "2026-09-12T22:00Z", "home_field_advantage_points": 2.8, "home_team": "Ohio Bobcats", "is_dome": false, "is_fbs_vs_fcs": false, "is_neutral_site": false, "projected_away_points": 23.0, "projected_home_points": 29.0, "projected_margin_home": 6.0, "projected_possessions": 12.4, "projected_total": 52.1, "stadium_elevation_ft": 640, "travel_distance_miles": 431.0, "uncertainty": 0.165, "weather_total_adjustment": 0.0}, "historical_source_observation_times_verified": false, "inference_inputs": {"engine_source_sha256": "449ba2f0e86fa9c445730076a0e0bf100fb4914620be53c75c6f3bfe24298f3f", "mu_away": 23.0, "mu_home": 29.0,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4567327277397216313209375714069377566}, "uinteger": 0}, "spread_home_line": -2.5, "total_line": 50.5}, "market_type": "total", "model_version": "cfb-total-v1", "observed_at_utc": "2026-09-12T16:07:28.570172+00:00", "probabilities": {"over": 0.498267, "push": 0.0, "under": 0.501733}, "replay_scope": "Full precision score means, exact engine parameters and original RNG state; upstream feature construction not certified.", "schema": "cfb-joint-replay-v1", "snapshot_hash": "2f4f826a6cf0b6c718e95cbd456dbc3c296628604b02aeeada93067c7c7c04ef", "sport": "NCAAF"}</t>
        </is>
      </c>
    </row>
    <row r="147" ht="36" customHeight="1">
      <c r="A147" s="24" t="inlineStr">
        <is>
          <t>0d888dfcf9274e45</t>
        </is>
      </c>
      <c r="B147" s="24" t="inlineStr">
        <is>
          <t>2026-09-12T16:07:28.570172Z</t>
        </is>
      </c>
      <c r="C147" s="24" t="inlineStr">
        <is>
          <t>2026-09-12T22:30Z</t>
        </is>
      </c>
      <c r="D147" s="24" t="inlineStr">
        <is>
          <t>401866421</t>
        </is>
      </c>
      <c r="E147" s="24" t="inlineStr">
        <is>
          <t>NCAAF</t>
        </is>
      </c>
      <c r="F147" s="24" t="inlineStr">
        <is>
          <t>Monmouth Hawks</t>
        </is>
      </c>
      <c r="G147" s="24" t="inlineStr">
        <is>
          <t>Western Michigan Broncos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espn_consensus</t>
        </is>
      </c>
      <c r="L147" s="26" t="n">
        <v>-4000</v>
      </c>
      <c r="M147" s="27" t="n">
        <v>1.025</v>
      </c>
      <c r="N147" s="28" t="n">
        <v>0.97561</v>
      </c>
      <c r="O147" s="28" t="n">
        <v>0.856141</v>
      </c>
      <c r="P147" s="28" t="n">
        <v>0.18</v>
      </c>
      <c r="Q147" s="28" t="n">
        <v>-0.119469</v>
      </c>
      <c r="R147" s="26" t="n">
        <v>0</v>
      </c>
      <c r="S147" s="29" t="n">
        <v>1</v>
      </c>
      <c r="T147" s="24" t="inlineStr">
        <is>
          <t>college-football-v1</t>
        </is>
      </c>
      <c r="U147" s="24" t="inlineStr">
        <is>
          <t>settled</t>
        </is>
      </c>
      <c r="V147" s="24" t="inlineStr">
        <is>
          <t>win</t>
        </is>
      </c>
      <c r="W147" s="26" t="n">
        <v>14</v>
      </c>
      <c r="X147" s="26" t="n">
        <v>49</v>
      </c>
      <c r="Y147" s="25" t="n"/>
      <c r="Z147" s="26" t="n"/>
      <c r="AA147" s="28" t="n"/>
      <c r="AB147" s="28" t="n"/>
      <c r="AC147" s="30" t="n">
        <v>0.025</v>
      </c>
      <c r="AD147" s="24" t="inlineStr">
        <is>
          <t>2026-09-13T04:31:18.036874Z</t>
        </is>
      </c>
      <c r="AE147" s="31" t="inlineStr">
        <is>
          <t>CFB Joint Model (negative_binomial): proj score Monmouth Hawks 17.5 @ Western Michigan Broncos 34.8 (Margin +17.3). Possessions: 12.4, HFA: +2.8 pts.</t>
        </is>
      </c>
      <c r="AF147" s="31" t="inlineStr">
        <is>
          <t>College football model; multi-market (moneyline, spread, total).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paper_call</t>
        </is>
      </c>
      <c r="AL147" s="26" t="n">
        <v>4</v>
      </c>
      <c r="AM147" s="24" t="inlineStr">
        <is>
          <t>RESEARCH_OBSERVATION</t>
        </is>
      </c>
      <c r="AN147" s="24" t="inlineStr">
        <is>
          <t>CALL</t>
        </is>
      </c>
      <c r="AO147" s="24" t="inlineStr">
        <is>
          <t>PAPER_CALL_LOW_EDGE</t>
        </is>
      </c>
      <c r="AP147" s="24" t="inlineStr">
        <is>
          <t>Monmouth Hawks</t>
        </is>
      </c>
      <c r="AQ147" s="24" t="inlineStr">
        <is>
          <t>Monmouth Hawks</t>
        </is>
      </c>
      <c r="AR147" s="24" t="inlineStr">
        <is>
          <t>Monmouth Hawks</t>
        </is>
      </c>
      <c r="AS147" s="24" t="inlineStr">
        <is>
          <t>Western Michigan Broncos</t>
        </is>
      </c>
      <c r="AT147" s="24" t="inlineStr">
        <is>
          <t>Western Michigan Broncos</t>
        </is>
      </c>
      <c r="AU147" s="24" t="inlineStr">
        <is>
          <t>Western Michigan Broncos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1d168f11d221cd3c</t>
        </is>
      </c>
      <c r="BB147" s="24" t="inlineStr">
        <is>
          <t>cfb_key_number_engine</t>
        </is>
      </c>
      <c r="BC147" s="24" t="inlineStr">
        <is>
          <t>college-football-v1</t>
        </is>
      </c>
      <c r="BD147" s="24" t="inlineStr">
        <is>
          <t>1d168f11d221cd3c</t>
        </is>
      </c>
      <c r="BE147" s="24" t="inlineStr">
        <is>
          <t>cfb-v1</t>
        </is>
      </c>
      <c r="BF147" s="24" t="inlineStr">
        <is>
          <t>1</t>
        </is>
      </c>
      <c r="BG147" s="24" t="inlineStr">
        <is>
          <t>1d168f11d221cd3c</t>
        </is>
      </c>
      <c r="BH147" s="24" t="inlineStr">
        <is>
          <t>2026-09-12T16:07:28.570172+00:00</t>
        </is>
      </c>
      <c r="BI147" s="24" t="inlineStr">
        <is>
          <t>["same_event","same_team_same_day","same_league_same_day"]</t>
        </is>
      </c>
      <c r="BJ147" s="25" t="n"/>
      <c r="BK147" s="26" t="n">
        <v>-4000</v>
      </c>
      <c r="BL147" s="27" t="n">
        <v>1.025</v>
      </c>
      <c r="BM147" s="28" t="n">
        <v>0.97561</v>
      </c>
      <c r="BN147" s="28" t="n"/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>
        <v>1</v>
      </c>
      <c r="BY147" s="27" t="n">
        <v>0.025</v>
      </c>
      <c r="BZ147" s="24" t="inlineStr">
        <is>
          <t>2026-09-13T04:31:18.036874Z</t>
        </is>
      </c>
      <c r="CA147" s="31" t="inlineStr">
        <is>
          <t>fixed one-unit hypothetical scoring; no real exposure or execution</t>
        </is>
      </c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False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0.97561</t>
        </is>
      </c>
      <c r="DK147" s="24" t="n"/>
      <c r="DL147" s="24" t="n"/>
      <c r="DM147" s="24" t="n"/>
      <c r="DN147" s="24" t="n"/>
      <c r="DO147" s="24" t="n"/>
      <c r="DP147" s="24" t="n"/>
      <c r="DQ147" s="24" t="inlineStr">
        <is>
          <t>{"artifact_hash": "1d168f11d221cd3c", "event_id": "401866421", "event_start_utc": "2026-09-12T22:30Z", "features": {"altitude_fatigue_penalty": 0.0, "away_team": "Monmouth Hawks", "efficiency_gap": 0.098, "elo_away": 1337.5, "elo_home": 1696.6, "elo_home_win_prob": 0.9199, "event_id": "401866421", "game_start_utc": "2026-09-12T22:30Z", "home_field_advantage_points": 2.8, "home_team": "Western Michigan Broncos", "is_dome": false, "is_fbs_vs_fcs": false, "is_neutral_site": false, "projected_away_points": 17.5, "projected_home_points": 34.8, "projected_margin_home": 17.3,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17.5, "mu_home": 34.8,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257967890564434285485016352406149697400}, "uinteger": 0}, "spread_home_line": -28.5, "total_line": 53.5}, "market_type": "moneyline", "model_version": "college-football-v1", "observed_at_utc": "2026-09-12T16:07:28.570172+00:00", "probabilities": {"away": 0.143859, "home": 0.856141}, "replay_scope": "Full precision score means, exact engine parameters and original RNG state; upstream feature construction not certified.", "schema": "cfb-joint-replay-v1", "snapshot_hash": "c2b673b1ecbd435dbaffd1e31b2dbe09a38fb8bcbb37db5580491af2fe2967db", "sport": "NCAAF"}</t>
        </is>
      </c>
    </row>
    <row r="148" ht="36" customHeight="1">
      <c r="A148" s="24" t="inlineStr">
        <is>
          <t>e4351543989840d0</t>
        </is>
      </c>
      <c r="B148" s="24" t="inlineStr">
        <is>
          <t>2026-09-12T16:07:28.570172Z</t>
        </is>
      </c>
      <c r="C148" s="24" t="inlineStr">
        <is>
          <t>2026-09-12T22:30Z</t>
        </is>
      </c>
      <c r="D148" s="24" t="inlineStr">
        <is>
          <t>401866421</t>
        </is>
      </c>
      <c r="E148" s="24" t="inlineStr">
        <is>
          <t>NCAAF</t>
        </is>
      </c>
      <c r="F148" s="24" t="inlineStr">
        <is>
          <t>Monmouth Hawks</t>
        </is>
      </c>
      <c r="G148" s="24" t="inlineStr">
        <is>
          <t>Western Michigan Broncos</t>
        </is>
      </c>
      <c r="H148" s="24" t="inlineStr">
        <is>
          <t>spread</t>
        </is>
      </c>
      <c r="I148" s="24" t="inlineStr">
        <is>
          <t>away</t>
        </is>
      </c>
      <c r="J148" s="25" t="n">
        <v>28.5</v>
      </c>
      <c r="K148" s="24" t="inlineStr">
        <is>
          <t>espn_consensus</t>
        </is>
      </c>
      <c r="L148" s="26" t="n">
        <v>-112</v>
      </c>
      <c r="M148" s="27" t="n">
        <v>1.892857</v>
      </c>
      <c r="N148" s="28" t="n">
        <v>0.528302</v>
      </c>
      <c r="O148" s="28" t="n">
        <v>0.756867</v>
      </c>
      <c r="P148" s="28" t="n">
        <v>0.18</v>
      </c>
      <c r="Q148" s="28" t="n">
        <v>0.228565</v>
      </c>
      <c r="R148" s="26" t="n">
        <v>56</v>
      </c>
      <c r="S148" s="29" t="n">
        <v>1.25</v>
      </c>
      <c r="T148" s="24" t="inlineStr">
        <is>
          <t>cfb-spread-v1</t>
        </is>
      </c>
      <c r="U148" s="24" t="inlineStr">
        <is>
          <t>settled</t>
        </is>
      </c>
      <c r="V148" s="24" t="inlineStr">
        <is>
          <t>loss</t>
        </is>
      </c>
      <c r="W148" s="26" t="n">
        <v>14</v>
      </c>
      <c r="X148" s="26" t="n">
        <v>49</v>
      </c>
      <c r="Y148" s="25" t="n"/>
      <c r="Z148" s="26" t="n"/>
      <c r="AA148" s="28" t="n"/>
      <c r="AB148" s="28" t="n"/>
      <c r="AC148" s="30" t="n">
        <v>-1.25</v>
      </c>
      <c r="AD148" s="24" t="inlineStr">
        <is>
          <t>2026-09-13T04:31:18.377094Z</t>
        </is>
      </c>
      <c r="AE148" s="31" t="inlineStr">
        <is>
          <t>Projected home margin +17.3 pts. Spread: Home -28.5 / Away +28.5 -&gt; P(Away cover)=0.757, P(Home cover)=0.243, P(Push)=0.000.</t>
        </is>
      </c>
      <c r="AF148" s="31" t="inlineStr">
        <is>
          <t>College football model; multi-market (moneyline, spread, total).</t>
        </is>
      </c>
      <c r="AG148" s="24" t="inlineStr">
        <is>
          <t>review_required</t>
        </is>
      </c>
      <c r="AH148" s="24" t="n"/>
      <c r="AI148" s="31" t="n"/>
      <c r="AJ148" s="31" t="n"/>
      <c r="AK148" s="24" t="inlineStr">
        <is>
          <t>model_qualified</t>
        </is>
      </c>
      <c r="AL148" s="26" t="n">
        <v>4</v>
      </c>
      <c r="AM148" s="24" t="inlineStr">
        <is>
          <t>QUALIFIED_SHADOW_CALL</t>
        </is>
      </c>
      <c r="AN148" s="24" t="inlineStr">
        <is>
          <t>CALL</t>
        </is>
      </c>
      <c r="AO148" s="24" t="inlineStr">
        <is>
          <t>QUALIFIED</t>
        </is>
      </c>
      <c r="AP148" s="24" t="inlineStr">
        <is>
          <t>Monmouth Hawks</t>
        </is>
      </c>
      <c r="AQ148" s="24" t="inlineStr">
        <is>
          <t>Monmouth Hawks</t>
        </is>
      </c>
      <c r="AR148" s="24" t="inlineStr">
        <is>
          <t>Monmouth Hawks</t>
        </is>
      </c>
      <c r="AS148" s="24" t="inlineStr">
        <is>
          <t>Western Michigan Broncos</t>
        </is>
      </c>
      <c r="AT148" s="24" t="inlineStr">
        <is>
          <t>Western Michigan Broncos</t>
        </is>
      </c>
      <c r="AU148" s="24" t="inlineStr">
        <is>
          <t>Western Michigan Broncos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1d168f11d221cd3c</t>
        </is>
      </c>
      <c r="BB148" s="24" t="inlineStr">
        <is>
          <t>cfb_key_number_engine</t>
        </is>
      </c>
      <c r="BC148" s="24" t="inlineStr">
        <is>
          <t>cfb-spread-v1</t>
        </is>
      </c>
      <c r="BD148" s="24" t="inlineStr">
        <is>
          <t>1d168f11d221cd3c</t>
        </is>
      </c>
      <c r="BE148" s="24" t="inlineStr">
        <is>
          <t>cfb-v1</t>
        </is>
      </c>
      <c r="BF148" s="24" t="inlineStr">
        <is>
          <t>1</t>
        </is>
      </c>
      <c r="BG148" s="24" t="inlineStr">
        <is>
          <t>1d168f11d221cd3c</t>
        </is>
      </c>
      <c r="BH148" s="24" t="inlineStr">
        <is>
          <t>2026-09-12T16:07:28.570172+00:00</t>
        </is>
      </c>
      <c r="BI148" s="24" t="inlineStr">
        <is>
          <t>["same_event","same_team_same_day","same_league_same_day"]</t>
        </is>
      </c>
      <c r="BJ148" s="25" t="n">
        <v>28.5</v>
      </c>
      <c r="BK148" s="26" t="n">
        <v>-112</v>
      </c>
      <c r="BL148" s="27" t="n">
        <v>1.892857</v>
      </c>
      <c r="BM148" s="28" t="n">
        <v>0.528302</v>
      </c>
      <c r="BN148" s="28" t="n"/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True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0.528302</t>
        </is>
      </c>
      <c r="DK148" s="24" t="n"/>
      <c r="DL148" s="24" t="n"/>
      <c r="DM148" s="24" t="n"/>
      <c r="DN148" s="24" t="n"/>
      <c r="DO148" s="24" t="n"/>
      <c r="DP148" s="24" t="n"/>
      <c r="DQ148" s="24" t="inlineStr">
        <is>
          <t>{"artifact_hash": "1d168f11d221cd3c", "event_id": "401866421", "event_start_utc": "2026-09-12T22:30Z", "features": {"altitude_fatigue_penalty": 0.0, "away_team": "Monmouth Hawks", "efficiency_gap": 0.098, "elo_away": 1337.5, "elo_home": 1696.6, "elo_home_win_prob": 0.9199, "event_id": "401866421", "game_start_utc": "2026-09-12T22:30Z", "home_field_advantage_points": 2.8, "home_team": "Western Michigan Broncos", "is_dome": false, "is_fbs_vs_fcs": false, "is_neutral_site": false, "projected_away_points": 17.5, "projected_home_points": 34.8, "projected_margin_home": 17.3,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17.5, "mu_home": 34.8,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257967890564434285485016352406149697400}, "uinteger": 0}, "spread_home_line": -28.5, "total_line": 53.5}, "market_type": "spread", "model_version": "cfb-spread-v1", "observed_at_utc": "2026-09-12T16:07:28.570172+00:00", "probabilities": {"away": 0.756867, "home": 0.243133, "push": 0.0}, "replay_scope": "Full precision score means, exact engine parameters and original RNG state; upstream feature construction not certified.", "schema": "cfb-joint-replay-v1", "snapshot_hash": "6ddf79c7c961b5bd53f26447c2bf537bcf16d14095281240e6242a699ea12c09", "sport": "NCAAF"}</t>
        </is>
      </c>
    </row>
    <row r="149" ht="36" customHeight="1">
      <c r="A149" s="24" t="inlineStr">
        <is>
          <t>50c372ebe1d04883</t>
        </is>
      </c>
      <c r="B149" s="24" t="inlineStr">
        <is>
          <t>2026-09-12T16:07:28.570172Z</t>
        </is>
      </c>
      <c r="C149" s="24" t="inlineStr">
        <is>
          <t>2026-09-12T22:30Z</t>
        </is>
      </c>
      <c r="D149" s="24" t="inlineStr">
        <is>
          <t>401866421</t>
        </is>
      </c>
      <c r="E149" s="24" t="inlineStr">
        <is>
          <t>NCAAF</t>
        </is>
      </c>
      <c r="F149" s="24" t="inlineStr">
        <is>
          <t>Monmouth Hawks</t>
        </is>
      </c>
      <c r="G149" s="24" t="inlineStr">
        <is>
          <t>Western Michigan Broncos</t>
        </is>
      </c>
      <c r="H149" s="24" t="inlineStr">
        <is>
          <t>total</t>
        </is>
      </c>
      <c r="I149" s="24" t="inlineStr">
        <is>
          <t>under</t>
        </is>
      </c>
      <c r="J149" s="25" t="n">
        <v>53.5</v>
      </c>
      <c r="K149" s="24" t="inlineStr">
        <is>
          <t>espn_consensus</t>
        </is>
      </c>
      <c r="L149" s="26" t="n">
        <v>-108</v>
      </c>
      <c r="M149" s="27" t="n">
        <v>1.925926</v>
      </c>
      <c r="N149" s="28" t="n">
        <v>0.519231</v>
      </c>
      <c r="O149" s="28" t="n">
        <v>0.5554</v>
      </c>
      <c r="P149" s="28" t="n">
        <v>0.18</v>
      </c>
      <c r="Q149" s="28" t="n">
        <v>0.036169</v>
      </c>
      <c r="R149" s="26" t="n">
        <v>0</v>
      </c>
      <c r="S149" s="29" t="n">
        <v>1</v>
      </c>
      <c r="T149" s="24" t="inlineStr">
        <is>
          <t>cfb-total-v1</t>
        </is>
      </c>
      <c r="U149" s="24" t="inlineStr">
        <is>
          <t>settled</t>
        </is>
      </c>
      <c r="V149" s="24" t="inlineStr">
        <is>
          <t>loss</t>
        </is>
      </c>
      <c r="W149" s="26" t="n">
        <v>14</v>
      </c>
      <c r="X149" s="26" t="n">
        <v>49</v>
      </c>
      <c r="Y149" s="25" t="n"/>
      <c r="Z149" s="26" t="n"/>
      <c r="AA149" s="28" t="n"/>
      <c r="AB149" s="28" t="n"/>
      <c r="AC149" s="30" t="n">
        <v>-1</v>
      </c>
      <c r="AD149" s="24" t="inlineStr">
        <is>
          <t>2026-09-13T04:31:18.745710Z</t>
        </is>
      </c>
      <c r="AE149" s="31" t="inlineStr">
        <is>
          <t>Projected total 52.3 pts (Weather adj: +0.0 pts). Total line 53.5 -&gt; P(Over)=0.445, P(Under)=0.555, P(Push)=0.000.</t>
        </is>
      </c>
      <c r="AF149" s="31" t="inlineStr">
        <is>
          <t>College football model; multi-market (moneyline, spread, total).</t>
        </is>
      </c>
      <c r="AG149" s="24" t="inlineStr">
        <is>
          <t>review_required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4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Monmouth Hawks</t>
        </is>
      </c>
      <c r="AQ149" s="24" t="inlineStr">
        <is>
          <t>Monmouth Hawks</t>
        </is>
      </c>
      <c r="AR149" s="24" t="inlineStr">
        <is>
          <t>Monmouth Hawks</t>
        </is>
      </c>
      <c r="AS149" s="24" t="inlineStr">
        <is>
          <t>Western Michigan Broncos</t>
        </is>
      </c>
      <c r="AT149" s="24" t="inlineStr">
        <is>
          <t>Western Michigan Broncos</t>
        </is>
      </c>
      <c r="AU149" s="24" t="inlineStr">
        <is>
          <t>Western Michigan Broncos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1d168f11d221cd3c</t>
        </is>
      </c>
      <c r="BB149" s="24" t="inlineStr">
        <is>
          <t>cfb_key_number_engine</t>
        </is>
      </c>
      <c r="BC149" s="24" t="inlineStr">
        <is>
          <t>cfb-total-v1</t>
        </is>
      </c>
      <c r="BD149" s="24" t="inlineStr">
        <is>
          <t>1d168f11d221cd3c</t>
        </is>
      </c>
      <c r="BE149" s="24" t="inlineStr">
        <is>
          <t>cfb-v1</t>
        </is>
      </c>
      <c r="BF149" s="24" t="inlineStr">
        <is>
          <t>1</t>
        </is>
      </c>
      <c r="BG149" s="24" t="inlineStr">
        <is>
          <t>1d168f11d221cd3c</t>
        </is>
      </c>
      <c r="BH149" s="24" t="inlineStr">
        <is>
          <t>2026-09-12T16:07:28.570172+00:00</t>
        </is>
      </c>
      <c r="BI149" s="24" t="inlineStr">
        <is>
          <t>["same_event","same_team_same_day","same_league_same_day"]</t>
        </is>
      </c>
      <c r="BJ149" s="25" t="n">
        <v>53.5</v>
      </c>
      <c r="BK149" s="26" t="n">
        <v>-108</v>
      </c>
      <c r="BL149" s="27" t="n">
        <v>1.925926</v>
      </c>
      <c r="BM149" s="28" t="n">
        <v>0.519231</v>
      </c>
      <c r="BN149" s="28" t="n"/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0.519231</t>
        </is>
      </c>
      <c r="DK149" s="24" t="n"/>
      <c r="DL149" s="24" t="n"/>
      <c r="DM149" s="24" t="n"/>
      <c r="DN149" s="24" t="n"/>
      <c r="DO149" s="24" t="n"/>
      <c r="DP149" s="24" t="n"/>
      <c r="DQ149" s="24" t="inlineStr">
        <is>
          <t>{"artifact_hash": "1d168f11d221cd3c", "event_id": "401866421", "event_start_utc": "2026-09-12T22:30Z", "features": {"altitude_fatigue_penalty": 0.0, "away_team": "Monmouth Hawks", "efficiency_gap": 0.098, "elo_away": 1337.5, "elo_home": 1696.6, "elo_home_win_prob": 0.9199, "event_id": "401866421", "game_start_utc": "2026-09-12T22:30Z", "home_field_advantage_points": 2.8, "home_team": "Western Michigan Broncos", "is_dome": false, "is_fbs_vs_fcs": false, "is_neutral_site": false, "projected_away_points": 17.5, "projected_home_points": 34.8, "projected_margin_home": 17.3,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17.5, "mu_home": 34.8,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257967890564434285485016352406149697400}, "uinteger": 0}, "spread_home_line": -28.5, "total_line": 53.5}, "market_type": "total", "model_version": "cfb-total-v1", "observed_at_utc": "2026-09-12T16:07:28.570172+00:00", "probabilities": {"over": 0.4446, "push": 0.0, "under": 0.5554}, "replay_scope": "Full precision score means, exact engine parameters and original RNG state; upstream feature construction not certified.", "schema": "cfb-joint-replay-v1", "snapshot_hash": "c6e29b7260b194495e18b0d4c5ceda2279d9156fdbe4cc29cda69336c15d8340", "sport": "NCAAF"}</t>
        </is>
      </c>
    </row>
    <row r="150" ht="36" customHeight="1">
      <c r="A150" s="24" t="inlineStr">
        <is>
          <t>d1deb81069c84d81</t>
        </is>
      </c>
      <c r="B150" s="24" t="inlineStr">
        <is>
          <t>2026-09-12T22:41:47.836186Z</t>
        </is>
      </c>
      <c r="C150" s="24" t="inlineStr">
        <is>
          <t>2026-09-12T23:00Z</t>
        </is>
      </c>
      <c r="D150" s="24" t="inlineStr">
        <is>
          <t>401856681</t>
        </is>
      </c>
      <c r="E150" s="24" t="inlineStr">
        <is>
          <t>NCAAF</t>
        </is>
      </c>
      <c r="F150" s="24" t="inlineStr">
        <is>
          <t>Tennessee Volunteers</t>
        </is>
      </c>
      <c r="G150" s="24" t="inlineStr">
        <is>
          <t>Georgia Tech Yellow Jackets</t>
        </is>
      </c>
      <c r="H150" s="24" t="inlineStr">
        <is>
          <t>moneyline</t>
        </is>
      </c>
      <c r="I150" s="24" t="inlineStr">
        <is>
          <t>away</t>
        </is>
      </c>
      <c r="J150" s="25" t="n"/>
      <c r="K150" s="24" t="inlineStr">
        <is>
          <t>espn_consensus</t>
        </is>
      </c>
      <c r="L150" s="26" t="n">
        <v>-500</v>
      </c>
      <c r="M150" s="27" t="n">
        <v>1.2</v>
      </c>
      <c r="N150" s="28" t="n">
        <v>0.833333</v>
      </c>
      <c r="O150" s="28" t="n">
        <v>0.642443</v>
      </c>
      <c r="P150" s="28" t="n">
        <v>0.165</v>
      </c>
      <c r="Q150" s="28" t="n">
        <v>-0.19089</v>
      </c>
      <c r="R150" s="26" t="n">
        <v>0</v>
      </c>
      <c r="S150" s="29" t="n">
        <v>1</v>
      </c>
      <c r="T150" s="24" t="inlineStr">
        <is>
          <t>college-football-v1</t>
        </is>
      </c>
      <c r="U150" s="24" t="inlineStr">
        <is>
          <t>settled</t>
        </is>
      </c>
      <c r="V150" s="24" t="inlineStr">
        <is>
          <t>win</t>
        </is>
      </c>
      <c r="W150" s="26" t="n">
        <v>45</v>
      </c>
      <c r="X150" s="26" t="n">
        <v>24</v>
      </c>
      <c r="Y150" s="25" t="n"/>
      <c r="Z150" s="26" t="n"/>
      <c r="AA150" s="28" t="n"/>
      <c r="AB150" s="28" t="n"/>
      <c r="AC150" s="30" t="n">
        <v>0.2</v>
      </c>
      <c r="AD150" s="24" t="inlineStr">
        <is>
          <t>2026-09-13T04:32:00.439245Z</t>
        </is>
      </c>
      <c r="AE150" s="31" t="inlineStr">
        <is>
          <t>CFB Joint Model (negative_binomial): proj score Tennessee Volunteers 30.5 @ Georgia Tech Yellow Jackets 24.9 (Margin -5.7). Possessions: 12.4, HFA: +2.8 pts.</t>
        </is>
      </c>
      <c r="AF150" s="31" t="inlineStr">
        <is>
          <t>College football model; multi-market (moneyline, spread, total).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paper_call</t>
        </is>
      </c>
      <c r="AL150" s="26" t="n">
        <v>4</v>
      </c>
      <c r="AM150" s="24" t="inlineStr">
        <is>
          <t>RESEARCH_OBSERVATION</t>
        </is>
      </c>
      <c r="AN150" s="24" t="inlineStr">
        <is>
          <t>CALL</t>
        </is>
      </c>
      <c r="AO150" s="24" t="inlineStr">
        <is>
          <t>PAPER_CALL_LOW_EDGE</t>
        </is>
      </c>
      <c r="AP150" s="24" t="inlineStr">
        <is>
          <t>Tennessee Volunteers</t>
        </is>
      </c>
      <c r="AQ150" s="24" t="inlineStr">
        <is>
          <t>Tennessee Volunteers</t>
        </is>
      </c>
      <c r="AR150" s="24" t="inlineStr">
        <is>
          <t>Tennessee Volunteers</t>
        </is>
      </c>
      <c r="AS150" s="24" t="inlineStr">
        <is>
          <t>Georgia Tech Yellow Jackets</t>
        </is>
      </c>
      <c r="AT150" s="24" t="inlineStr">
        <is>
          <t>Georgia Tech Yellow Jackets</t>
        </is>
      </c>
      <c r="AU150" s="24" t="inlineStr">
        <is>
          <t>Georgia Tech Yellow Jackets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1d168f11d221cd3c</t>
        </is>
      </c>
      <c r="BB150" s="24" t="inlineStr">
        <is>
          <t>cfb_key_number_engine</t>
        </is>
      </c>
      <c r="BC150" s="24" t="inlineStr">
        <is>
          <t>college-football-v1</t>
        </is>
      </c>
      <c r="BD150" s="24" t="inlineStr">
        <is>
          <t>1d168f11d221cd3c</t>
        </is>
      </c>
      <c r="BE150" s="24" t="inlineStr">
        <is>
          <t>cfb-v1</t>
        </is>
      </c>
      <c r="BF150" s="24" t="inlineStr">
        <is>
          <t>1</t>
        </is>
      </c>
      <c r="BG150" s="24" t="inlineStr">
        <is>
          <t>1d168f11d221cd3c</t>
        </is>
      </c>
      <c r="BH150" s="24" t="inlineStr">
        <is>
          <t>2026-09-12T22:41:47.836186+00:00</t>
        </is>
      </c>
      <c r="BI150" s="24" t="inlineStr">
        <is>
          <t>["same_event","same_team_same_day","same_league_same_day"]</t>
        </is>
      </c>
      <c r="BJ150" s="25" t="n"/>
      <c r="BK150" s="26" t="n">
        <v>-500</v>
      </c>
      <c r="BL150" s="27" t="n">
        <v>1.2</v>
      </c>
      <c r="BM150" s="28" t="n">
        <v>0.833333</v>
      </c>
      <c r="BN150" s="28" t="n"/>
      <c r="BO150" s="28" t="n"/>
      <c r="BP150" s="25" t="n"/>
      <c r="BQ150" s="27" t="n"/>
      <c r="BR150" s="28" t="n"/>
      <c r="BS150" s="28" t="n"/>
      <c r="BT150" s="28" t="n"/>
      <c r="BU150" s="25" t="n"/>
      <c r="BV150" s="29" t="n"/>
      <c r="BW150" s="24" t="n"/>
      <c r="BX150" s="30" t="n">
        <v>1</v>
      </c>
      <c r="BY150" s="27" t="n">
        <v>0.2</v>
      </c>
      <c r="BZ150" s="24" t="inlineStr">
        <is>
          <t>2026-09-13T04:32:00.439245Z</t>
        </is>
      </c>
      <c r="CA150" s="31" t="inlineStr">
        <is>
          <t>fixed one-unit hypothetical scoring; no real exposure or execution</t>
        </is>
      </c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False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0.833333</t>
        </is>
      </c>
      <c r="DK150" s="24" t="n"/>
      <c r="DL150" s="24" t="n"/>
      <c r="DM150" s="24" t="n"/>
      <c r="DN150" s="24" t="n"/>
      <c r="DO150" s="24" t="n"/>
      <c r="DP150" s="24" t="n"/>
      <c r="DQ150" s="24" t="inlineStr">
        <is>
          <t>{"artifact_hash": "1d168f11d221cd3c", "event_id": "401856681", "event_start_utc": "2026-09-12T23:00Z", "features": {"altitude_fatigue_penalty": 0.0, "away_team": "Tennessee Volunteers", "efficiency_gap": -1.538, "elo_away": 1644.1, "elo_home": 1441.2, "elo_home_win_prob": 0.3114, "event_id": "401856681", "game_start_utc": "2026-09-12T23:00Z", "home_field_advantage_points": 2.8, "home_team": "Georgia Tech Yellow Jackets", "is_dome": false, "is_fbs_vs_fcs": false, "is_neutral_site": false, "projected_away_points": 30.5, "projected_home_points": 24.9, "projected_margin_home": -5.7, "projected_possessions": 12.4, "projected_total": 55.4, "stadium_elevation_ft": 970, "travel_distance_miles": 153.0, "uncertainty": 0.165, "weather_total_adjustment": 0.0}, "historical_source_observation_times_verified": false, "inference_inputs": {"engine_source_sha256": "449ba2f0e86fa9c445730076a0e0bf100fb4914620be53c75c6f3bfe24298f3f", "mu_away": 30.5, "mu_home": 24.9,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176935398558200349464082670766526542272}, "uinteger": 0}, "spread_home_line": 12.5, "total_line": 55.5}, "market_type": "moneyline", "model_version": "college-football-v1", "observed_at_utc": "2026-09-12T22:41:47.836186+00:00", "probabilities": {"away": 0.642443, "home": 0.357557}, "replay_scope": "Full precision score means, exact engine parameters and original RNG state; upstream feature construction not certified.", "schema": "cfb-joint-replay-v1", "snapshot_hash": "d8f6fdac51df6e733513045c8011b678ea4540651b572d1fc9166d162de11fc0", "sport": "NCAAF"}</t>
        </is>
      </c>
    </row>
    <row r="151" ht="36" customHeight="1">
      <c r="A151" s="24" t="inlineStr">
        <is>
          <t>7c9ed5be3a8f4ef6</t>
        </is>
      </c>
      <c r="B151" s="24" t="inlineStr">
        <is>
          <t>2026-09-12T22:41:47.836186Z</t>
        </is>
      </c>
      <c r="C151" s="24" t="inlineStr">
        <is>
          <t>2026-09-12T23:00Z</t>
        </is>
      </c>
      <c r="D151" s="24" t="inlineStr">
        <is>
          <t>401856681</t>
        </is>
      </c>
      <c r="E151" s="24" t="inlineStr">
        <is>
          <t>NCAAF</t>
        </is>
      </c>
      <c r="F151" s="24" t="inlineStr">
        <is>
          <t>Tennessee Volunteers</t>
        </is>
      </c>
      <c r="G151" s="24" t="inlineStr">
        <is>
          <t>Georgia Tech Yellow Jackets</t>
        </is>
      </c>
      <c r="H151" s="24" t="inlineStr">
        <is>
          <t>spread</t>
        </is>
      </c>
      <c r="I151" s="24" t="inlineStr">
        <is>
          <t>home</t>
        </is>
      </c>
      <c r="J151" s="25" t="n">
        <v>12.5</v>
      </c>
      <c r="K151" s="24" t="inlineStr">
        <is>
          <t>espn_consensus</t>
        </is>
      </c>
      <c r="L151" s="26" t="n">
        <v>-112</v>
      </c>
      <c r="M151" s="27" t="n">
        <v>1.892857</v>
      </c>
      <c r="N151" s="28" t="n">
        <v>0.528302</v>
      </c>
      <c r="O151" s="28" t="n">
        <v>0.6584</v>
      </c>
      <c r="P151" s="28" t="n">
        <v>0.165</v>
      </c>
      <c r="Q151" s="28" t="n">
        <v>0.130098</v>
      </c>
      <c r="R151" s="26" t="n">
        <v>16</v>
      </c>
      <c r="S151" s="29" t="n">
        <v>1</v>
      </c>
      <c r="T151" s="24" t="inlineStr">
        <is>
          <t>cfb-spread-v1</t>
        </is>
      </c>
      <c r="U151" s="24" t="inlineStr">
        <is>
          <t>settled</t>
        </is>
      </c>
      <c r="V151" s="24" t="inlineStr">
        <is>
          <t>loss</t>
        </is>
      </c>
      <c r="W151" s="26" t="n">
        <v>45</v>
      </c>
      <c r="X151" s="26" t="n">
        <v>24</v>
      </c>
      <c r="Y151" s="25" t="n"/>
      <c r="Z151" s="26" t="n"/>
      <c r="AA151" s="28" t="n"/>
      <c r="AB151" s="28" t="n"/>
      <c r="AC151" s="30" t="n">
        <v>-1</v>
      </c>
      <c r="AD151" s="24" t="inlineStr">
        <is>
          <t>2026-09-13T04:32:00.850335Z</t>
        </is>
      </c>
      <c r="AE151" s="31" t="inlineStr">
        <is>
          <t>Projected home margin -5.7 pts. Spread: Home +12.5 / Away -12.5 -&gt; P(Away cover)=0.342, P(Home cover)=0.658, P(Push)=0.000.</t>
        </is>
      </c>
      <c r="AF151" s="31" t="inlineStr">
        <is>
          <t>College football model; multi-market (moneyline, spread, total).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4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Tennessee Volunteers</t>
        </is>
      </c>
      <c r="AQ151" s="24" t="inlineStr">
        <is>
          <t>Tennessee Volunteers</t>
        </is>
      </c>
      <c r="AR151" s="24" t="inlineStr">
        <is>
          <t>Tennessee Volunteers</t>
        </is>
      </c>
      <c r="AS151" s="24" t="inlineStr">
        <is>
          <t>Georgia Tech Yellow Jackets</t>
        </is>
      </c>
      <c r="AT151" s="24" t="inlineStr">
        <is>
          <t>Georgia Tech Yellow Jackets</t>
        </is>
      </c>
      <c r="AU151" s="24" t="inlineStr">
        <is>
          <t>Georgia Tech Yellow Jackets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1d168f11d221cd3c</t>
        </is>
      </c>
      <c r="BB151" s="24" t="inlineStr">
        <is>
          <t>cfb_key_number_engine</t>
        </is>
      </c>
      <c r="BC151" s="24" t="inlineStr">
        <is>
          <t>cfb-spread-v1</t>
        </is>
      </c>
      <c r="BD151" s="24" t="inlineStr">
        <is>
          <t>1d168f11d221cd3c</t>
        </is>
      </c>
      <c r="BE151" s="24" t="inlineStr">
        <is>
          <t>cfb-v1</t>
        </is>
      </c>
      <c r="BF151" s="24" t="inlineStr">
        <is>
          <t>1</t>
        </is>
      </c>
      <c r="BG151" s="24" t="inlineStr">
        <is>
          <t>1d168f11d221cd3c</t>
        </is>
      </c>
      <c r="BH151" s="24" t="inlineStr">
        <is>
          <t>2026-09-12T22:41:47.836186+00:00</t>
        </is>
      </c>
      <c r="BI151" s="24" t="inlineStr">
        <is>
          <t>["same_event","same_team_same_day","same_league_same_day"]</t>
        </is>
      </c>
      <c r="BJ151" s="25" t="n">
        <v>12.5</v>
      </c>
      <c r="BK151" s="26" t="n">
        <v>-112</v>
      </c>
      <c r="BL151" s="27" t="n">
        <v>1.892857</v>
      </c>
      <c r="BM151" s="28" t="n">
        <v>0.528302</v>
      </c>
      <c r="BN151" s="28" t="n"/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0.528302</t>
        </is>
      </c>
      <c r="DK151" s="24" t="n"/>
      <c r="DL151" s="24" t="n"/>
      <c r="DM151" s="24" t="n"/>
      <c r="DN151" s="24" t="n"/>
      <c r="DO151" s="24" t="n"/>
      <c r="DP151" s="24" t="n"/>
      <c r="DQ151" s="24" t="inlineStr">
        <is>
          <t>{"artifact_hash": "1d168f11d221cd3c", "event_id": "401856681", "event_start_utc": "2026-09-12T23:00Z", "features": {"altitude_fatigue_penalty": 0.0, "away_team": "Tennessee Volunteers", "efficiency_gap": -1.538, "elo_away": 1644.1, "elo_home": 1441.2, "elo_home_win_prob": 0.3114, "event_id": "401856681", "game_start_utc": "2026-09-12T23:00Z", "home_field_advantage_points": 2.8, "home_team": "Georgia Tech Yellow Jackets", "is_dome": false, "is_fbs_vs_fcs": false, "is_neutral_site": false, "projected_away_points": 30.5, "projected_home_points": 24.9, "projected_margin_home": -5.7, "projected_possessions": 12.4, "projected_total": 55.4, "stadium_elevation_ft": 970, "travel_distance_miles": 153.0, "uncertainty": 0.165, "weather_total_adjustment": 0.0}, "historical_source_observation_times_verified": false, "inference_inputs": {"engine_source_sha256": "449ba2f0e86fa9c445730076a0e0bf100fb4914620be53c75c6f3bfe24298f3f", "mu_away": 30.5, "mu_home": 24.9,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176935398558200349464082670766526542272}, "uinteger": 0}, "spread_home_line": 12.5, "total_line": 55.5}, "market_type": "spread", "model_version": "cfb-spread-v1", "observed_at_utc": "2026-09-12T22:41:47.836186+00:00", "probabilities": {"away": 0.3416, "home": 0.6584, "push": 0.0}, "replay_scope": "Full precision score means, exact engine parameters and original RNG state; upstream feature construction not certified.", "schema": "cfb-joint-replay-v1", "snapshot_hash": "3629d9f24d5f6aac805baee262c926fd88742e86df4e16ce14f144f9eb9348aa", "sport": "NCAAF"}</t>
        </is>
      </c>
    </row>
    <row r="152" ht="36" customHeight="1">
      <c r="A152" s="24" t="inlineStr">
        <is>
          <t>79b33807b34e463e</t>
        </is>
      </c>
      <c r="B152" s="24" t="inlineStr">
        <is>
          <t>2026-09-12T22:41:47.836186Z</t>
        </is>
      </c>
      <c r="C152" s="24" t="inlineStr">
        <is>
          <t>2026-09-12T23:00Z</t>
        </is>
      </c>
      <c r="D152" s="24" t="inlineStr">
        <is>
          <t>401856681</t>
        </is>
      </c>
      <c r="E152" s="24" t="inlineStr">
        <is>
          <t>NCAAF</t>
        </is>
      </c>
      <c r="F152" s="24" t="inlineStr">
        <is>
          <t>Tennessee Volunteers</t>
        </is>
      </c>
      <c r="G152" s="24" t="inlineStr">
        <is>
          <t>Georgia Tech Yellow Jackets</t>
        </is>
      </c>
      <c r="H152" s="24" t="inlineStr">
        <is>
          <t>total</t>
        </is>
      </c>
      <c r="I152" s="24" t="inlineStr">
        <is>
          <t>under</t>
        </is>
      </c>
      <c r="J152" s="25" t="n">
        <v>55.5</v>
      </c>
      <c r="K152" s="24" t="inlineStr">
        <is>
          <t>espn_consensus</t>
        </is>
      </c>
      <c r="L152" s="26" t="n">
        <v>-110</v>
      </c>
      <c r="M152" s="27" t="n">
        <v>1.909091</v>
      </c>
      <c r="N152" s="28" t="n">
        <v>0.52381</v>
      </c>
      <c r="O152" s="28" t="n">
        <v>0.527</v>
      </c>
      <c r="P152" s="28" t="n">
        <v>0.165</v>
      </c>
      <c r="Q152" s="28" t="n">
        <v>0.00319</v>
      </c>
      <c r="R152" s="26" t="n">
        <v>0</v>
      </c>
      <c r="S152" s="29" t="n">
        <v>1</v>
      </c>
      <c r="T152" s="24" t="inlineStr">
        <is>
          <t>cfb-total-v1</t>
        </is>
      </c>
      <c r="U152" s="24" t="inlineStr">
        <is>
          <t>settled</t>
        </is>
      </c>
      <c r="V152" s="24" t="inlineStr">
        <is>
          <t>loss</t>
        </is>
      </c>
      <c r="W152" s="26" t="n">
        <v>45</v>
      </c>
      <c r="X152" s="26" t="n">
        <v>24</v>
      </c>
      <c r="Y152" s="25" t="n"/>
      <c r="Z152" s="26" t="n"/>
      <c r="AA152" s="28" t="n"/>
      <c r="AB152" s="28" t="n"/>
      <c r="AC152" s="30" t="n">
        <v>-1</v>
      </c>
      <c r="AD152" s="24" t="inlineStr">
        <is>
          <t>2026-09-13T04:32:01.236873Z</t>
        </is>
      </c>
      <c r="AE152" s="31" t="inlineStr">
        <is>
          <t>Projected total 55.4 pts (Weather adj: +0.0 pts). Total line 55.5 -&gt; P(Over)=0.473, P(Under)=0.527, P(Push)=0.000.</t>
        </is>
      </c>
      <c r="AF152" s="31" t="inlineStr">
        <is>
          <t>College football model; multi-market (moneyline, spread, total).</t>
        </is>
      </c>
      <c r="AG152" s="24" t="inlineStr">
        <is>
          <t>review_required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4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PAPER_CALL_LOW_EDGE</t>
        </is>
      </c>
      <c r="AP152" s="24" t="inlineStr">
        <is>
          <t>Tennessee Volunteers</t>
        </is>
      </c>
      <c r="AQ152" s="24" t="inlineStr">
        <is>
          <t>Tennessee Volunteers</t>
        </is>
      </c>
      <c r="AR152" s="24" t="inlineStr">
        <is>
          <t>Tennessee Volunteers</t>
        </is>
      </c>
      <c r="AS152" s="24" t="inlineStr">
        <is>
          <t>Georgia Tech Yellow Jackets</t>
        </is>
      </c>
      <c r="AT152" s="24" t="inlineStr">
        <is>
          <t>Georgia Tech Yellow Jackets</t>
        </is>
      </c>
      <c r="AU152" s="24" t="inlineStr">
        <is>
          <t>Georgia Tech Yellow Jackets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1d168f11d221cd3c</t>
        </is>
      </c>
      <c r="BB152" s="24" t="inlineStr">
        <is>
          <t>cfb_key_number_engine</t>
        </is>
      </c>
      <c r="BC152" s="24" t="inlineStr">
        <is>
          <t>cfb-total-v1</t>
        </is>
      </c>
      <c r="BD152" s="24" t="inlineStr">
        <is>
          <t>1d168f11d221cd3c</t>
        </is>
      </c>
      <c r="BE152" s="24" t="inlineStr">
        <is>
          <t>cfb-v1</t>
        </is>
      </c>
      <c r="BF152" s="24" t="inlineStr">
        <is>
          <t>1</t>
        </is>
      </c>
      <c r="BG152" s="24" t="inlineStr">
        <is>
          <t>1d168f11d221cd3c</t>
        </is>
      </c>
      <c r="BH152" s="24" t="inlineStr">
        <is>
          <t>2026-09-12T22:41:47.836186+00:00</t>
        </is>
      </c>
      <c r="BI152" s="24" t="inlineStr">
        <is>
          <t>["same_event","same_team_same_day","same_league_same_day"]</t>
        </is>
      </c>
      <c r="BJ152" s="25" t="n">
        <v>55.5</v>
      </c>
      <c r="BK152" s="26" t="n">
        <v>-110</v>
      </c>
      <c r="BL152" s="27" t="n">
        <v>1.909091</v>
      </c>
      <c r="BM152" s="28" t="n">
        <v>0.52381</v>
      </c>
      <c r="BN152" s="28" t="n"/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>
        <v>1</v>
      </c>
      <c r="BY152" s="27" t="n">
        <v>-1</v>
      </c>
      <c r="BZ152" s="24" t="inlineStr">
        <is>
          <t>2026-09-13T04:32:01.236873Z</t>
        </is>
      </c>
      <c r="CA152" s="31" t="inlineStr">
        <is>
          <t>fixed one-unit hypothetical scoring; no real exposure or execution</t>
        </is>
      </c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True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0.52381</t>
        </is>
      </c>
      <c r="DK152" s="24" t="n"/>
      <c r="DL152" s="24" t="n"/>
      <c r="DM152" s="24" t="n"/>
      <c r="DN152" s="24" t="n"/>
      <c r="DO152" s="24" t="n"/>
      <c r="DP152" s="24" t="n"/>
      <c r="DQ152" s="24" t="inlineStr">
        <is>
          <t>{"artifact_hash": "1d168f11d221cd3c", "event_id": "401856681", "event_start_utc": "2026-09-12T23:00Z", "features": {"altitude_fatigue_penalty": 0.0, "away_team": "Tennessee Volunteers", "efficiency_gap": -1.538, "elo_away": 1644.1, "elo_home": 1441.2, "elo_home_win_prob": 0.3114, "event_id": "401856681", "game_start_utc": "2026-09-12T23:00Z", "home_field_advantage_points": 2.8, "home_team": "Georgia Tech Yellow Jackets", "is_dome": false, "is_fbs_vs_fcs": false, "is_neutral_site": false, "projected_away_points": 30.5, "projected_home_points": 24.9, "projected_margin_home": -5.7, "projected_possessions": 12.4, "projected_total": 55.4, "stadium_elevation_ft": 970, "travel_distance_miles": 153.0, "uncertainty": 0.165, "weather_total_adjustment": 0.0}, "historical_source_observation_times_verified": false, "inference_inputs": {"engine_source_sha256": "449ba2f0e86fa9c445730076a0e0bf100fb4914620be53c75c6f3bfe24298f3f", "mu_away": 30.5, "mu_home": 24.9,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176935398558200349464082670766526542272}, "uinteger": 0}, "spread_home_line": 12.5, "total_line": 55.5}, "market_type": "total", "model_version": "cfb-total-v1", "observed_at_utc": "2026-09-12T22:41:47.836186+00:00", "probabilities": {"over": 0.473, "push": 0.0, "under": 0.527}, "replay_scope": "Full precision score means, exact engine parameters and original RNG state; upstream feature construction not certified.", "schema": "cfb-joint-replay-v1", "snapshot_hash": "91524a1900464026f036c644bc4055264791e15a71df2c9a964ae33ea87751fd", "sport": "NCAAF"}</t>
        </is>
      </c>
    </row>
    <row r="153" ht="36" customHeight="1">
      <c r="A153" s="24" t="inlineStr">
        <is>
          <t>6afa950525354df4</t>
        </is>
      </c>
      <c r="B153" s="24" t="inlineStr">
        <is>
          <t>2026-09-12T22:41:47.836186Z</t>
        </is>
      </c>
      <c r="C153" s="24" t="inlineStr">
        <is>
          <t>2026-09-12T23:00Z</t>
        </is>
      </c>
      <c r="D153" s="24" t="inlineStr">
        <is>
          <t>401856787</t>
        </is>
      </c>
      <c r="E153" s="24" t="inlineStr">
        <is>
          <t>NCAAF</t>
        </is>
      </c>
      <c r="F153" s="24" t="inlineStr">
        <is>
          <t>Southern Jaguars</t>
        </is>
      </c>
      <c r="G153" s="24" t="inlineStr">
        <is>
          <t>Houston Cougars</t>
        </is>
      </c>
      <c r="H153" s="24" t="inlineStr">
        <is>
          <t>spread</t>
        </is>
      </c>
      <c r="I153" s="24" t="inlineStr">
        <is>
          <t>away</t>
        </is>
      </c>
      <c r="J153" s="25" t="n">
        <v>51.5</v>
      </c>
      <c r="K153" s="24" t="inlineStr">
        <is>
          <t>espn_consensus</t>
        </is>
      </c>
      <c r="L153" s="26" t="n">
        <v>-102</v>
      </c>
      <c r="M153" s="27" t="n">
        <v>1.980392</v>
      </c>
      <c r="N153" s="28" t="n">
        <v>0.50495</v>
      </c>
      <c r="O153" s="28" t="n">
        <v>0.983667</v>
      </c>
      <c r="P153" s="28" t="n">
        <v>0.18</v>
      </c>
      <c r="Q153" s="28" t="n">
        <v>0.478717</v>
      </c>
      <c r="R153" s="26" t="n">
        <v>100</v>
      </c>
      <c r="S153" s="29" t="n">
        <v>2</v>
      </c>
      <c r="T153" s="24" t="inlineStr">
        <is>
          <t>cfb-spread-v1</t>
        </is>
      </c>
      <c r="U153" s="24" t="inlineStr">
        <is>
          <t>settled</t>
        </is>
      </c>
      <c r="V153" s="24" t="inlineStr">
        <is>
          <t>loss</t>
        </is>
      </c>
      <c r="W153" s="26" t="n">
        <v>6</v>
      </c>
      <c r="X153" s="26" t="n">
        <v>77</v>
      </c>
      <c r="Y153" s="25" t="n"/>
      <c r="Z153" s="26" t="n"/>
      <c r="AA153" s="28" t="n"/>
      <c r="AB153" s="28" t="n"/>
      <c r="AC153" s="30" t="n">
        <v>-2</v>
      </c>
      <c r="AD153" s="24" t="inlineStr">
        <is>
          <t>2026-09-13T04:32:01.711914Z</t>
        </is>
      </c>
      <c r="AE153" s="31" t="inlineStr">
        <is>
          <t>Projected home margin +16.0 pts. Spread: Home -51.5 / Away +51.5 -&gt; P(Away cover)=0.984, P(Home cover)=0.016, P(Push)=0.000.</t>
        </is>
      </c>
      <c r="AF153" s="31" t="inlineStr">
        <is>
          <t>College football model; multi-market (moneyline, spread, total).</t>
        </is>
      </c>
      <c r="AG153" s="24" t="inlineStr">
        <is>
          <t>review_required</t>
        </is>
      </c>
      <c r="AH153" s="24" t="n"/>
      <c r="AI153" s="31" t="n"/>
      <c r="AJ153" s="31" t="n"/>
      <c r="AK153" s="24" t="inlineStr">
        <is>
          <t>model_qualified</t>
        </is>
      </c>
      <c r="AL153" s="26" t="n">
        <v>4</v>
      </c>
      <c r="AM153" s="24" t="inlineStr">
        <is>
          <t>QUALIFIED_SHADOW_CALL</t>
        </is>
      </c>
      <c r="AN153" s="24" t="inlineStr">
        <is>
          <t>CALL</t>
        </is>
      </c>
      <c r="AO153" s="24" t="inlineStr">
        <is>
          <t>QUALIFIED</t>
        </is>
      </c>
      <c r="AP153" s="24" t="inlineStr">
        <is>
          <t>Southern Jaguars</t>
        </is>
      </c>
      <c r="AQ153" s="24" t="inlineStr">
        <is>
          <t>Southern Jaguars</t>
        </is>
      </c>
      <c r="AR153" s="24" t="inlineStr">
        <is>
          <t>Southern Jaguars</t>
        </is>
      </c>
      <c r="AS153" s="24" t="inlineStr">
        <is>
          <t>Houston Cougars</t>
        </is>
      </c>
      <c r="AT153" s="24" t="inlineStr">
        <is>
          <t>Houston Cougars</t>
        </is>
      </c>
      <c r="AU153" s="24" t="inlineStr">
        <is>
          <t>Houston Cougars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1d168f11d221cd3c</t>
        </is>
      </c>
      <c r="BB153" s="24" t="inlineStr">
        <is>
          <t>cfb_key_number_engine</t>
        </is>
      </c>
      <c r="BC153" s="24" t="inlineStr">
        <is>
          <t>cfb-spread-v1</t>
        </is>
      </c>
      <c r="BD153" s="24" t="inlineStr">
        <is>
          <t>1d168f11d221cd3c</t>
        </is>
      </c>
      <c r="BE153" s="24" t="inlineStr">
        <is>
          <t>cfb-v1</t>
        </is>
      </c>
      <c r="BF153" s="24" t="inlineStr">
        <is>
          <t>1</t>
        </is>
      </c>
      <c r="BG153" s="24" t="inlineStr">
        <is>
          <t>1d168f11d221cd3c</t>
        </is>
      </c>
      <c r="BH153" s="24" t="inlineStr">
        <is>
          <t>2026-09-12T22:41:47.836186+00:00</t>
        </is>
      </c>
      <c r="BI153" s="24" t="inlineStr">
        <is>
          <t>["same_event","same_team_same_day","same_league_same_day"]</t>
        </is>
      </c>
      <c r="BJ153" s="25" t="n">
        <v>51.5</v>
      </c>
      <c r="BK153" s="26" t="n">
        <v>-102</v>
      </c>
      <c r="BL153" s="27" t="n">
        <v>1.980392</v>
      </c>
      <c r="BM153" s="28" t="n">
        <v>0.50495</v>
      </c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0.50495</t>
        </is>
      </c>
      <c r="DK153" s="24" t="n"/>
      <c r="DL153" s="24" t="n"/>
      <c r="DM153" s="24" t="n"/>
      <c r="DN153" s="24" t="n"/>
      <c r="DO153" s="24" t="n"/>
      <c r="DP153" s="24" t="n"/>
      <c r="DQ153" s="24" t="inlineStr">
        <is>
          <t>{"artifact_hash": "1d168f11d221cd3c", "event_id": "401856787", "event_start_utc": "2026-09-12T23:00Z", "features": {"altitude_fatigue_penalty": 0.0, "away_team": "Southern Jaguars", "efficiency_gap": 1.594, "elo_away": 1337.5, "elo_home": 1664.9, "elo_home_win_prob": 0.9054, "event_id": "401856787", "game_start_utc": "2026-09-12T23:00Z", "home_field_advantage_points": 2.8, "home_team": "Houston Cougars", "is_dome": false, "is_fbs_vs_fcs": false, "is_neutral_site": false, "projected_away_points": 18.9, "projected_home_points": 34.9, "projected_margin_home": 16.0, "projected_possessions": 12.4, "projected_total": 53.8,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18.9, "mu_home": 34.9,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100365564207077422615685858145392209274}, "uinteger": 0}, "spread_home_line": -51.5, "total_line": 61.5}, "market_type": "spread", "model_version": "cfb-spread-v1", "observed_at_utc": "2026-09-12T22:41:47.836186+00:00", "probabilities": {"away": 0.983667, "home": 0.016333, "push": 0.0}, "replay_scope": "Full precision score means, exact engine parameters and original RNG state; upstream feature construction not certified.", "schema": "cfb-joint-replay-v1", "snapshot_hash": "2e7aab570e0b1d1904bfd19460b1bbd374e7e870beea6e5b495e873c37939cd7", "sport": "NCAAF"}</t>
        </is>
      </c>
    </row>
    <row r="154" ht="36" customHeight="1">
      <c r="A154" s="24" t="inlineStr">
        <is>
          <t>18f140b11901486f</t>
        </is>
      </c>
      <c r="B154" s="24" t="inlineStr">
        <is>
          <t>2026-09-12T22:41:47.836186Z</t>
        </is>
      </c>
      <c r="C154" s="24" t="inlineStr">
        <is>
          <t>2026-09-12T23:00Z</t>
        </is>
      </c>
      <c r="D154" s="24" t="inlineStr">
        <is>
          <t>401856787</t>
        </is>
      </c>
      <c r="E154" s="24" t="inlineStr">
        <is>
          <t>NCAAF</t>
        </is>
      </c>
      <c r="F154" s="24" t="inlineStr">
        <is>
          <t>Southern Jaguars</t>
        </is>
      </c>
      <c r="G154" s="24" t="inlineStr">
        <is>
          <t>Houston Cougars</t>
        </is>
      </c>
      <c r="H154" s="24" t="inlineStr">
        <is>
          <t>total</t>
        </is>
      </c>
      <c r="I154" s="24" t="inlineStr">
        <is>
          <t>under</t>
        </is>
      </c>
      <c r="J154" s="25" t="n">
        <v>61.5</v>
      </c>
      <c r="K154" s="24" t="inlineStr">
        <is>
          <t>espn_consensus</t>
        </is>
      </c>
      <c r="L154" s="26" t="n">
        <v>-102</v>
      </c>
      <c r="M154" s="27" t="n">
        <v>1.980392</v>
      </c>
      <c r="N154" s="28" t="n">
        <v>0.50495</v>
      </c>
      <c r="O154" s="28" t="n">
        <v>0.677</v>
      </c>
      <c r="P154" s="28" t="n">
        <v>0.18</v>
      </c>
      <c r="Q154" s="28" t="n">
        <v>0.17205</v>
      </c>
      <c r="R154" s="26" t="n">
        <v>28</v>
      </c>
      <c r="S154" s="29" t="n">
        <v>1</v>
      </c>
      <c r="T154" s="24" t="inlineStr">
        <is>
          <t>cfb-total-v1</t>
        </is>
      </c>
      <c r="U154" s="24" t="inlineStr">
        <is>
          <t>settled</t>
        </is>
      </c>
      <c r="V154" s="24" t="inlineStr">
        <is>
          <t>loss</t>
        </is>
      </c>
      <c r="W154" s="26" t="n">
        <v>6</v>
      </c>
      <c r="X154" s="26" t="n">
        <v>77</v>
      </c>
      <c r="Y154" s="25" t="n"/>
      <c r="Z154" s="26" t="n"/>
      <c r="AA154" s="28" t="n"/>
      <c r="AB154" s="28" t="n"/>
      <c r="AC154" s="30" t="n">
        <v>-1</v>
      </c>
      <c r="AD154" s="24" t="inlineStr">
        <is>
          <t>2026-09-13T04:32:02.089457Z</t>
        </is>
      </c>
      <c r="AE154" s="31" t="inlineStr">
        <is>
          <t>Projected total 53.8 pts (Weather adj: +0.0 pts). Total line 61.5 -&gt; P(Over)=0.323, P(Under)=0.677, P(Push)=0.000.</t>
        </is>
      </c>
      <c r="AF154" s="31" t="inlineStr">
        <is>
          <t>College football model; multi-market (moneyline, spread, total).</t>
        </is>
      </c>
      <c r="AG154" s="24" t="inlineStr">
        <is>
          <t>review_required</t>
        </is>
      </c>
      <c r="AH154" s="24" t="n"/>
      <c r="AI154" s="31" t="n"/>
      <c r="AJ154" s="31" t="n"/>
      <c r="AK154" s="24" t="inlineStr">
        <is>
          <t>model_qualified</t>
        </is>
      </c>
      <c r="AL154" s="26" t="n">
        <v>4</v>
      </c>
      <c r="AM154" s="24" t="inlineStr">
        <is>
          <t>QUALIFIED_SHADOW_CALL</t>
        </is>
      </c>
      <c r="AN154" s="24" t="inlineStr">
        <is>
          <t>CALL</t>
        </is>
      </c>
      <c r="AO154" s="24" t="inlineStr">
        <is>
          <t>QUALIFIED</t>
        </is>
      </c>
      <c r="AP154" s="24" t="inlineStr">
        <is>
          <t>Southern Jaguars</t>
        </is>
      </c>
      <c r="AQ154" s="24" t="inlineStr">
        <is>
          <t>Southern Jaguars</t>
        </is>
      </c>
      <c r="AR154" s="24" t="inlineStr">
        <is>
          <t>Southern Jaguars</t>
        </is>
      </c>
      <c r="AS154" s="24" t="inlineStr">
        <is>
          <t>Houston Cougars</t>
        </is>
      </c>
      <c r="AT154" s="24" t="inlineStr">
        <is>
          <t>Houston Cougars</t>
        </is>
      </c>
      <c r="AU154" s="24" t="inlineStr">
        <is>
          <t>Houston Cougars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1d168f11d221cd3c</t>
        </is>
      </c>
      <c r="BB154" s="24" t="inlineStr">
        <is>
          <t>cfb_key_number_engine</t>
        </is>
      </c>
      <c r="BC154" s="24" t="inlineStr">
        <is>
          <t>cfb-total-v1</t>
        </is>
      </c>
      <c r="BD154" s="24" t="inlineStr">
        <is>
          <t>1d168f11d221cd3c</t>
        </is>
      </c>
      <c r="BE154" s="24" t="inlineStr">
        <is>
          <t>cfb-v1</t>
        </is>
      </c>
      <c r="BF154" s="24" t="inlineStr">
        <is>
          <t>1</t>
        </is>
      </c>
      <c r="BG154" s="24" t="inlineStr">
        <is>
          <t>1d168f11d221cd3c</t>
        </is>
      </c>
      <c r="BH154" s="24" t="inlineStr">
        <is>
          <t>2026-09-12T22:41:47.836186+00:00</t>
        </is>
      </c>
      <c r="BI154" s="24" t="inlineStr">
        <is>
          <t>["same_event","same_team_same_day","same_league_same_day"]</t>
        </is>
      </c>
      <c r="BJ154" s="25" t="n">
        <v>61.5</v>
      </c>
      <c r="BK154" s="26" t="n">
        <v>-102</v>
      </c>
      <c r="BL154" s="27" t="n">
        <v>1.980392</v>
      </c>
      <c r="BM154" s="28" t="n">
        <v>0.50495</v>
      </c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True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0.50495</t>
        </is>
      </c>
      <c r="DK154" s="24" t="n"/>
      <c r="DL154" s="24" t="n"/>
      <c r="DM154" s="24" t="n"/>
      <c r="DN154" s="24" t="n"/>
      <c r="DO154" s="24" t="n"/>
      <c r="DP154" s="24" t="n"/>
      <c r="DQ154" s="24" t="inlineStr">
        <is>
          <t>{"artifact_hash": "1d168f11d221cd3c", "event_id": "401856787", "event_start_utc": "2026-09-12T23:00Z", "features": {"altitude_fatigue_penalty": 0.0, "away_team": "Southern Jaguars", "efficiency_gap": 1.594, "elo_away": 1337.5, "elo_home": 1664.9, "elo_home_win_prob": 0.9054, "event_id": "401856787", "game_start_utc": "2026-09-12T23:00Z", "home_field_advantage_points": 2.8, "home_team": "Houston Cougars", "is_dome": false, "is_fbs_vs_fcs": false, "is_neutral_site": false, "projected_away_points": 18.9, "projected_home_points": 34.9, "projected_margin_home": 16.0, "projected_possessions": 12.4, "projected_total": 53.8,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18.9, "mu_home": 34.9,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100365564207077422615685858145392209274}, "uinteger": 0}, "spread_home_line": -51.5, "total_line": 61.5}, "market_type": "total", "model_version": "cfb-total-v1", "observed_at_utc": "2026-09-12T22:41:47.836186+00:00", "probabilities": {"over": 0.323, "push": 0.0, "under": 0.677}, "replay_scope": "Full precision score means, exact engine parameters and original RNG state; upstream feature construction not certified.", "schema": "cfb-joint-replay-v1", "snapshot_hash": "bf49e04521e536a279f8a6223a7e23dea6af0e09586131866dbe02a3ad9e3e9a", "sport": "NCAAF"}</t>
        </is>
      </c>
    </row>
    <row r="155" ht="36" customHeight="1">
      <c r="A155" s="24" t="inlineStr">
        <is>
          <t>8db5b93a399446d5</t>
        </is>
      </c>
      <c r="B155" s="24" t="inlineStr">
        <is>
          <t>2026-09-12T22:41:47.836186Z</t>
        </is>
      </c>
      <c r="C155" s="24" t="inlineStr">
        <is>
          <t>2026-09-12T23:00Z</t>
        </is>
      </c>
      <c r="D155" s="24" t="inlineStr">
        <is>
          <t>401856680</t>
        </is>
      </c>
      <c r="E155" s="24" t="inlineStr">
        <is>
          <t>NCAAF</t>
        </is>
      </c>
      <c r="F155" s="24" t="inlineStr">
        <is>
          <t>Towson Tigers</t>
        </is>
      </c>
      <c r="G155" s="24" t="inlineStr">
        <is>
          <t>South Carolina Gamecocks</t>
        </is>
      </c>
      <c r="H155" s="24" t="inlineStr">
        <is>
          <t>spread</t>
        </is>
      </c>
      <c r="I155" s="24" t="inlineStr">
        <is>
          <t>away</t>
        </is>
      </c>
      <c r="J155" s="25" t="n">
        <v>44.5</v>
      </c>
      <c r="K155" s="24" t="inlineStr">
        <is>
          <t>espn_consensus</t>
        </is>
      </c>
      <c r="L155" s="26" t="n">
        <v>-112</v>
      </c>
      <c r="M155" s="27" t="n">
        <v>1.892857</v>
      </c>
      <c r="N155" s="28" t="n">
        <v>0.528302</v>
      </c>
      <c r="O155" s="28" t="n">
        <v>0.978</v>
      </c>
      <c r="P155" s="28" t="n">
        <v>0.18</v>
      </c>
      <c r="Q155" s="28" t="n">
        <v>0.449698</v>
      </c>
      <c r="R155" s="26" t="n">
        <v>100</v>
      </c>
      <c r="S155" s="29" t="n">
        <v>2</v>
      </c>
      <c r="T155" s="24" t="inlineStr">
        <is>
          <t>cfb-spread-v1</t>
        </is>
      </c>
      <c r="U155" s="24" t="inlineStr">
        <is>
          <t>settled</t>
        </is>
      </c>
      <c r="V155" s="24" t="inlineStr">
        <is>
          <t>win</t>
        </is>
      </c>
      <c r="W155" s="26" t="n">
        <v>9</v>
      </c>
      <c r="X155" s="26" t="n">
        <v>45</v>
      </c>
      <c r="Y155" s="25" t="n"/>
      <c r="Z155" s="26" t="n"/>
      <c r="AA155" s="28" t="n"/>
      <c r="AB155" s="28" t="n"/>
      <c r="AC155" s="30" t="n">
        <v>1.7857</v>
      </c>
      <c r="AD155" s="24" t="inlineStr">
        <is>
          <t>2026-09-13T04:32:02.469892Z</t>
        </is>
      </c>
      <c r="AE155" s="31" t="inlineStr">
        <is>
          <t>Projected home margin +10.6 pts. Spread: Home -44.5 / Away +44.5 -&gt; P(Away cover)=0.978, P(Home cover)=0.022, P(Push)=0.000.</t>
        </is>
      </c>
      <c r="AF155" s="31" t="inlineStr">
        <is>
          <t>College football model; multi-market (moneyline, spread, total).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4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Towson Tigers</t>
        </is>
      </c>
      <c r="AQ155" s="24" t="inlineStr">
        <is>
          <t>Towson Tigers</t>
        </is>
      </c>
      <c r="AR155" s="24" t="inlineStr">
        <is>
          <t>Towson Tigers</t>
        </is>
      </c>
      <c r="AS155" s="24" t="inlineStr">
        <is>
          <t>South Carolina Gamecocks</t>
        </is>
      </c>
      <c r="AT155" s="24" t="inlineStr">
        <is>
          <t>South Carolina Gamecocks</t>
        </is>
      </c>
      <c r="AU155" s="24" t="inlineStr">
        <is>
          <t>South Carolina Gamecocks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1d168f11d221cd3c</t>
        </is>
      </c>
      <c r="BB155" s="24" t="inlineStr">
        <is>
          <t>cfb_key_number_engine</t>
        </is>
      </c>
      <c r="BC155" s="24" t="inlineStr">
        <is>
          <t>cfb-spread-v1</t>
        </is>
      </c>
      <c r="BD155" s="24" t="inlineStr">
        <is>
          <t>1d168f11d221cd3c</t>
        </is>
      </c>
      <c r="BE155" s="24" t="inlineStr">
        <is>
          <t>cfb-v1</t>
        </is>
      </c>
      <c r="BF155" s="24" t="inlineStr">
        <is>
          <t>1</t>
        </is>
      </c>
      <c r="BG155" s="24" t="inlineStr">
        <is>
          <t>1d168f11d221cd3c</t>
        </is>
      </c>
      <c r="BH155" s="24" t="inlineStr">
        <is>
          <t>2026-09-12T22:41:47.836186+00:00</t>
        </is>
      </c>
      <c r="BI155" s="24" t="inlineStr">
        <is>
          <t>["same_event","same_team_same_day","same_league_same_day"]</t>
        </is>
      </c>
      <c r="BJ155" s="25" t="n">
        <v>44.5</v>
      </c>
      <c r="BK155" s="26" t="n">
        <v>-112</v>
      </c>
      <c r="BL155" s="27" t="n">
        <v>1.892857</v>
      </c>
      <c r="BM155" s="28" t="n">
        <v>0.528302</v>
      </c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0.528302</t>
        </is>
      </c>
      <c r="DK155" s="24" t="n"/>
      <c r="DL155" s="24" t="n"/>
      <c r="DM155" s="24" t="n"/>
      <c r="DN155" s="24" t="n"/>
      <c r="DO155" s="24" t="n"/>
      <c r="DP155" s="24" t="n"/>
      <c r="DQ155" s="24" t="inlineStr">
        <is>
          <t>{"artifact_hash": "1d168f11d221cd3c", "event_id": "401856680", "event_start_utc": "2026-09-12T23:00Z", "features": {"altitude_fatigue_penalty": 0.0, "away_team": "Towson Tigers", "efficiency_gap": 2.999, "elo_away": 1337.5, "elo_home": 1531.9, "elo_home_win_prob": 0.8166, "event_id": "401856680", "game_start_utc": "2026-09-12T23:00Z", "home_field_advantage_points": 2.8, "home_team": "South Carolina Gamecocks", "is_dome": false, "is_fbs_vs_fcs": false, "is_neutral_site": false, "projected_away_points": 22.1, "projected_home_points": 32.7, "projected_margin_home": 10.6, "projected_possessions": 12.4, "projected_total": 54.8,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22.1, "mu_home": 32.7,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259652970484287388901692659743868571131}, "uinteger": 0}, "spread_home_line": -44.5, "total_line": 57.5}, "market_type": "spread", "model_version": "cfb-spread-v1", "observed_at_utc": "2026-09-12T22:41:47.836186+00:00", "probabilities": {"away": 0.978, "home": 0.022, "push": 0.0}, "replay_scope": "Full precision score means, exact engine parameters and original RNG state; upstream feature construction not certified.", "schema": "cfb-joint-replay-v1", "snapshot_hash": "7dde9a337885b3ed552c2f005a57ceb7701aa2f7b901b30ba70c66c0c8a19e06", "sport": "NCAAF"}</t>
        </is>
      </c>
    </row>
    <row r="156" ht="36" customHeight="1">
      <c r="A156" s="24" t="inlineStr">
        <is>
          <t>b4d00a5862664a62</t>
        </is>
      </c>
      <c r="B156" s="24" t="inlineStr">
        <is>
          <t>2026-09-12T22:41:47.836186Z</t>
        </is>
      </c>
      <c r="C156" s="24" t="inlineStr">
        <is>
          <t>2026-09-12T23:00Z</t>
        </is>
      </c>
      <c r="D156" s="24" t="inlineStr">
        <is>
          <t>401856680</t>
        </is>
      </c>
      <c r="E156" s="24" t="inlineStr">
        <is>
          <t>NCAAF</t>
        </is>
      </c>
      <c r="F156" s="24" t="inlineStr">
        <is>
          <t>Towson Tigers</t>
        </is>
      </c>
      <c r="G156" s="24" t="inlineStr">
        <is>
          <t>South Carolina Gamecocks</t>
        </is>
      </c>
      <c r="H156" s="24" t="inlineStr">
        <is>
          <t>total</t>
        </is>
      </c>
      <c r="I156" s="24" t="inlineStr">
        <is>
          <t>under</t>
        </is>
      </c>
      <c r="J156" s="25" t="n">
        <v>57.5</v>
      </c>
      <c r="K156" s="24" t="inlineStr">
        <is>
          <t>espn_consensus</t>
        </is>
      </c>
      <c r="L156" s="26" t="n">
        <v>-112</v>
      </c>
      <c r="M156" s="27" t="n">
        <v>1.892857</v>
      </c>
      <c r="N156" s="28" t="n">
        <v>0.528302</v>
      </c>
      <c r="O156" s="28" t="n">
        <v>0.5794</v>
      </c>
      <c r="P156" s="28" t="n">
        <v>0.18</v>
      </c>
      <c r="Q156" s="28" t="n">
        <v>0.051098</v>
      </c>
      <c r="R156" s="26" t="n">
        <v>0</v>
      </c>
      <c r="S156" s="29" t="n">
        <v>1</v>
      </c>
      <c r="T156" s="24" t="inlineStr">
        <is>
          <t>cfb-total-v1</t>
        </is>
      </c>
      <c r="U156" s="24" t="inlineStr">
        <is>
          <t>settled</t>
        </is>
      </c>
      <c r="V156" s="24" t="inlineStr">
        <is>
          <t>win</t>
        </is>
      </c>
      <c r="W156" s="26" t="n">
        <v>9</v>
      </c>
      <c r="X156" s="26" t="n">
        <v>45</v>
      </c>
      <c r="Y156" s="25" t="n"/>
      <c r="Z156" s="26" t="n"/>
      <c r="AA156" s="28" t="n"/>
      <c r="AB156" s="28" t="n"/>
      <c r="AC156" s="30" t="n">
        <v>0.8929</v>
      </c>
      <c r="AD156" s="24" t="inlineStr">
        <is>
          <t>2026-09-13T04:32:02.852242Z</t>
        </is>
      </c>
      <c r="AE156" s="31" t="inlineStr">
        <is>
          <t>Projected total 54.8 pts (Weather adj: +0.0 pts). Total line 57.5 -&gt; P(Over)=0.421, P(Under)=0.579, P(Push)=0.000.</t>
        </is>
      </c>
      <c r="AF156" s="31" t="inlineStr">
        <is>
          <t>College football model; multi-market (moneyline, spread, total).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4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Towson Tigers</t>
        </is>
      </c>
      <c r="AQ156" s="24" t="inlineStr">
        <is>
          <t>Towson Tigers</t>
        </is>
      </c>
      <c r="AR156" s="24" t="inlineStr">
        <is>
          <t>Towson Tigers</t>
        </is>
      </c>
      <c r="AS156" s="24" t="inlineStr">
        <is>
          <t>South Carolina Gamecocks</t>
        </is>
      </c>
      <c r="AT156" s="24" t="inlineStr">
        <is>
          <t>South Carolina Gamecocks</t>
        </is>
      </c>
      <c r="AU156" s="24" t="inlineStr">
        <is>
          <t>South Carolina Gamecocks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1d168f11d221cd3c</t>
        </is>
      </c>
      <c r="BB156" s="24" t="inlineStr">
        <is>
          <t>cfb_key_number_engine</t>
        </is>
      </c>
      <c r="BC156" s="24" t="inlineStr">
        <is>
          <t>cfb-total-v1</t>
        </is>
      </c>
      <c r="BD156" s="24" t="inlineStr">
        <is>
          <t>1d168f11d221cd3c</t>
        </is>
      </c>
      <c r="BE156" s="24" t="inlineStr">
        <is>
          <t>cfb-v1</t>
        </is>
      </c>
      <c r="BF156" s="24" t="inlineStr">
        <is>
          <t>1</t>
        </is>
      </c>
      <c r="BG156" s="24" t="inlineStr">
        <is>
          <t>1d168f11d221cd3c</t>
        </is>
      </c>
      <c r="BH156" s="24" t="inlineStr">
        <is>
          <t>2026-09-12T22:41:47.836186+00:00</t>
        </is>
      </c>
      <c r="BI156" s="24" t="inlineStr">
        <is>
          <t>["same_event","same_team_same_day","same_league_same_day"]</t>
        </is>
      </c>
      <c r="BJ156" s="25" t="n">
        <v>57.5</v>
      </c>
      <c r="BK156" s="26" t="n">
        <v>-112</v>
      </c>
      <c r="BL156" s="27" t="n">
        <v>1.892857</v>
      </c>
      <c r="BM156" s="28" t="n">
        <v>0.528302</v>
      </c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0.528302</t>
        </is>
      </c>
      <c r="DK156" s="24" t="n"/>
      <c r="DL156" s="24" t="n"/>
      <c r="DM156" s="24" t="n"/>
      <c r="DN156" s="24" t="n"/>
      <c r="DO156" s="24" t="n"/>
      <c r="DP156" s="24" t="n"/>
      <c r="DQ156" s="24" t="inlineStr">
        <is>
          <t>{"artifact_hash": "1d168f11d221cd3c", "event_id": "401856680", "event_start_utc": "2026-09-12T23:00Z", "features": {"altitude_fatigue_penalty": 0.0, "away_team": "Towson Tigers", "efficiency_gap": 2.999, "elo_away": 1337.5, "elo_home": 1531.9, "elo_home_win_prob": 0.8166, "event_id": "401856680", "game_start_utc": "2026-09-12T23:00Z", "home_field_advantage_points": 2.8, "home_team": "South Carolina Gamecocks", "is_dome": false, "is_fbs_vs_fcs": false, "is_neutral_site": false, "projected_away_points": 22.1, "projected_home_points": 32.7, "projected_margin_home": 10.6, "projected_possessions": 12.4, "projected_total": 54.8,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22.1, "mu_home": 32.7,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259652970484287388901692659743868571131}, "uinteger": 0}, "spread_home_line": -44.5, "total_line": 57.5}, "market_type": "total", "model_version": "cfb-total-v1", "observed_at_utc": "2026-09-12T22:41:47.836186+00:00", "probabilities": {"over": 0.4206, "push": 0.0, "under": 0.5794}, "replay_scope": "Full precision score means, exact engine parameters and original RNG state; upstream feature construction not certified.", "schema": "cfb-joint-replay-v1", "snapshot_hash": "b25abccfacfc626de56fb77d43f56a9d37c9805e9b89323e6b5d56970225f7ee", "sport": "NCAAF"}</t>
        </is>
      </c>
    </row>
    <row r="157" ht="36" customHeight="1">
      <c r="A157" s="24" t="inlineStr">
        <is>
          <t>5baf87193f7847bf</t>
        </is>
      </c>
      <c r="B157" s="24" t="inlineStr">
        <is>
          <t>2026-09-12T22:41:47.836186Z</t>
        </is>
      </c>
      <c r="C157" s="24" t="inlineStr">
        <is>
          <t>2026-09-12T23:00Z</t>
        </is>
      </c>
      <c r="D157" s="24" t="inlineStr">
        <is>
          <t>401856786</t>
        </is>
      </c>
      <c r="E157" s="24" t="inlineStr">
        <is>
          <t>NCAAF</t>
        </is>
      </c>
      <c r="F157" s="24" t="inlineStr">
        <is>
          <t>Western Carolina Catamounts</t>
        </is>
      </c>
      <c r="G157" s="24" t="inlineStr">
        <is>
          <t>Cincinnati Bearcats</t>
        </is>
      </c>
      <c r="H157" s="24" t="inlineStr">
        <is>
          <t>spread</t>
        </is>
      </c>
      <c r="I157" s="24" t="inlineStr">
        <is>
          <t>away</t>
        </is>
      </c>
      <c r="J157" s="25" t="n">
        <v>36.5</v>
      </c>
      <c r="K157" s="24" t="inlineStr">
        <is>
          <t>espn_consensus</t>
        </is>
      </c>
      <c r="L157" s="26" t="n">
        <v>-112</v>
      </c>
      <c r="M157" s="27" t="n">
        <v>1.892857</v>
      </c>
      <c r="N157" s="28" t="n">
        <v>0.528302</v>
      </c>
      <c r="O157" s="28" t="n">
        <v>0.9618</v>
      </c>
      <c r="P157" s="28" t="n">
        <v>0.18</v>
      </c>
      <c r="Q157" s="28" t="n">
        <v>0.433498</v>
      </c>
      <c r="R157" s="26" t="n">
        <v>100</v>
      </c>
      <c r="S157" s="29" t="n">
        <v>2</v>
      </c>
      <c r="T157" s="24" t="inlineStr">
        <is>
          <t>cfb-spread-v1</t>
        </is>
      </c>
      <c r="U157" s="24" t="inlineStr">
        <is>
          <t>settled</t>
        </is>
      </c>
      <c r="V157" s="24" t="inlineStr">
        <is>
          <t>loss</t>
        </is>
      </c>
      <c r="W157" s="26" t="n">
        <v>10</v>
      </c>
      <c r="X157" s="26" t="n">
        <v>62</v>
      </c>
      <c r="Y157" s="25" t="n"/>
      <c r="Z157" s="26" t="n"/>
      <c r="AA157" s="28" t="n"/>
      <c r="AB157" s="28" t="n"/>
      <c r="AC157" s="30" t="n">
        <v>-2</v>
      </c>
      <c r="AD157" s="24" t="inlineStr">
        <is>
          <t>2026-09-13T04:32:03.235537Z</t>
        </is>
      </c>
      <c r="AE157" s="31" t="inlineStr">
        <is>
          <t>Projected home margin +6.2 pts. Spread: Home -36.5 / Away +36.5 -&gt; P(Away cover)=0.962, P(Home cover)=0.038, P(Push)=0.000.</t>
        </is>
      </c>
      <c r="AF157" s="31" t="inlineStr">
        <is>
          <t>College football model; multi-market (moneyline, spread, total).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model_qualified</t>
        </is>
      </c>
      <c r="AL157" s="26" t="n">
        <v>4</v>
      </c>
      <c r="AM157" s="24" t="inlineStr">
        <is>
          <t>QUALIFIED_SHADOW_CALL</t>
        </is>
      </c>
      <c r="AN157" s="24" t="inlineStr">
        <is>
          <t>CALL</t>
        </is>
      </c>
      <c r="AO157" s="24" t="inlineStr">
        <is>
          <t>QUALIFIED</t>
        </is>
      </c>
      <c r="AP157" s="24" t="inlineStr">
        <is>
          <t>Western Carolina Catamounts</t>
        </is>
      </c>
      <c r="AQ157" s="24" t="inlineStr">
        <is>
          <t>Western Carolina Catamounts</t>
        </is>
      </c>
      <c r="AR157" s="24" t="inlineStr">
        <is>
          <t>Western Carolina Catamounts</t>
        </is>
      </c>
      <c r="AS157" s="24" t="inlineStr">
        <is>
          <t>Cincinnati Bearcats</t>
        </is>
      </c>
      <c r="AT157" s="24" t="inlineStr">
        <is>
          <t>Cincinnati Bearcats</t>
        </is>
      </c>
      <c r="AU157" s="24" t="inlineStr">
        <is>
          <t>Cincinnati Bearcats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1d168f11d221cd3c</t>
        </is>
      </c>
      <c r="BB157" s="24" t="inlineStr">
        <is>
          <t>cfb_key_number_engine</t>
        </is>
      </c>
      <c r="BC157" s="24" t="inlineStr">
        <is>
          <t>cfb-spread-v1</t>
        </is>
      </c>
      <c r="BD157" s="24" t="inlineStr">
        <is>
          <t>1d168f11d221cd3c</t>
        </is>
      </c>
      <c r="BE157" s="24" t="inlineStr">
        <is>
          <t>cfb-v1</t>
        </is>
      </c>
      <c r="BF157" s="24" t="inlineStr">
        <is>
          <t>1</t>
        </is>
      </c>
      <c r="BG157" s="24" t="inlineStr">
        <is>
          <t>1d168f11d221cd3c</t>
        </is>
      </c>
      <c r="BH157" s="24" t="inlineStr">
        <is>
          <t>2026-09-12T22:41:47.836186+00:00</t>
        </is>
      </c>
      <c r="BI157" s="24" t="inlineStr">
        <is>
          <t>["same_event","same_team_same_day","same_league_same_day"]</t>
        </is>
      </c>
      <c r="BJ157" s="25" t="n">
        <v>36.5</v>
      </c>
      <c r="BK157" s="26" t="n">
        <v>-112</v>
      </c>
      <c r="BL157" s="27" t="n">
        <v>1.892857</v>
      </c>
      <c r="BM157" s="28" t="n">
        <v>0.528302</v>
      </c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True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0.528302</t>
        </is>
      </c>
      <c r="DK157" s="24" t="n"/>
      <c r="DL157" s="24" t="n"/>
      <c r="DM157" s="24" t="n"/>
      <c r="DN157" s="24" t="n"/>
      <c r="DO157" s="24" t="n"/>
      <c r="DP157" s="24" t="n"/>
      <c r="DQ157" s="24" t="inlineStr">
        <is>
          <t>{"artifact_hash": "1d168f11d221cd3c", "event_id": "401856786", "event_start_utc": "2026-09-12T23:00Z", "features": {"altitude_fatigue_penalty": 0.0, "away_team": "Western Carolina Catamounts", "efficiency_gap": 1.7, "elo_away": 1337.5, "elo_home": 1425.3, "elo_home_win_prob": 0.7067, "event_id": "401856786", "game_start_utc": "2026-09-12T23:00Z", "home_field_advantage_points": 2.8, "home_team": "Cincinnati Bearcats", "is_dome": false, "is_fbs_vs_fcs": false, "is_neutral_site": false, "projected_away_points": 23.8, "projected_home_points": 30.0, "projected_margin_home": 6.2, "projected_possessions": 12.4, "projected_total": 53.8,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23.8, "mu_home": 30.0,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141642573313331992166599196217933259708}, "uinteger": 0}, "spread_home_line": -36.5, "total_line": 61.5}, "market_type": "spread", "model_version": "cfb-spread-v1", "observed_at_utc": "2026-09-12T22:41:47.836186+00:00", "probabilities": {"away": 0.9618, "home": 0.0382, "push": 0.0}, "replay_scope": "Full precision score means, exact engine parameters and original RNG state; upstream feature construction not certified.", "schema": "cfb-joint-replay-v1", "snapshot_hash": "eef142d3f998cd91f4903b70cce28568f7d6dfaf16ba97c5edcc9ff2e5311b6c", "sport": "NCAAF"}</t>
        </is>
      </c>
    </row>
    <row r="158" ht="36" customHeight="1">
      <c r="A158" s="24" t="inlineStr">
        <is>
          <t>54c598292c824422</t>
        </is>
      </c>
      <c r="B158" s="24" t="inlineStr">
        <is>
          <t>2026-09-12T22:41:47.836186Z</t>
        </is>
      </c>
      <c r="C158" s="24" t="inlineStr">
        <is>
          <t>2026-09-12T23:00Z</t>
        </is>
      </c>
      <c r="D158" s="24" t="inlineStr">
        <is>
          <t>401856786</t>
        </is>
      </c>
      <c r="E158" s="24" t="inlineStr">
        <is>
          <t>NCAAF</t>
        </is>
      </c>
      <c r="F158" s="24" t="inlineStr">
        <is>
          <t>Western Carolina Catamounts</t>
        </is>
      </c>
      <c r="G158" s="24" t="inlineStr">
        <is>
          <t>Cincinnati Bearcats</t>
        </is>
      </c>
      <c r="H158" s="24" t="inlineStr">
        <is>
          <t>total</t>
        </is>
      </c>
      <c r="I158" s="24" t="inlineStr">
        <is>
          <t>under</t>
        </is>
      </c>
      <c r="J158" s="25" t="n">
        <v>61.5</v>
      </c>
      <c r="K158" s="24" t="inlineStr">
        <is>
          <t>espn_consensus</t>
        </is>
      </c>
      <c r="L158" s="26" t="n">
        <v>-110</v>
      </c>
      <c r="M158" s="27" t="n">
        <v>1.909091</v>
      </c>
      <c r="N158" s="28" t="n">
        <v>0.52381</v>
      </c>
      <c r="O158" s="28" t="n">
        <v>0.668667</v>
      </c>
      <c r="P158" s="28" t="n">
        <v>0.18</v>
      </c>
      <c r="Q158" s="28" t="n">
        <v>0.144857</v>
      </c>
      <c r="R158" s="26" t="n">
        <v>14</v>
      </c>
      <c r="S158" s="29" t="n">
        <v>1</v>
      </c>
      <c r="T158" s="24" t="inlineStr">
        <is>
          <t>cfb-total-v1</t>
        </is>
      </c>
      <c r="U158" s="24" t="inlineStr">
        <is>
          <t>settled</t>
        </is>
      </c>
      <c r="V158" s="24" t="inlineStr">
        <is>
          <t>loss</t>
        </is>
      </c>
      <c r="W158" s="26" t="n">
        <v>10</v>
      </c>
      <c r="X158" s="26" t="n">
        <v>62</v>
      </c>
      <c r="Y158" s="25" t="n"/>
      <c r="Z158" s="26" t="n"/>
      <c r="AA158" s="28" t="n"/>
      <c r="AB158" s="28" t="n"/>
      <c r="AC158" s="30" t="n">
        <v>-1</v>
      </c>
      <c r="AD158" s="24" t="inlineStr">
        <is>
          <t>2026-09-13T04:32:03.610263Z</t>
        </is>
      </c>
      <c r="AE158" s="31" t="inlineStr">
        <is>
          <t>Projected total 53.8 pts (Weather adj: +0.0 pts). Total line 61.5 -&gt; P(Over)=0.331, P(Under)=0.669, P(Push)=0.000.</t>
        </is>
      </c>
      <c r="AF158" s="31" t="inlineStr">
        <is>
          <t>College football model; multi-market (moneyline, spread, total).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model_qualified</t>
        </is>
      </c>
      <c r="AL158" s="26" t="n">
        <v>4</v>
      </c>
      <c r="AM158" s="24" t="inlineStr">
        <is>
          <t>QUALIFIED_SHADOW_CALL</t>
        </is>
      </c>
      <c r="AN158" s="24" t="inlineStr">
        <is>
          <t>CALL</t>
        </is>
      </c>
      <c r="AO158" s="24" t="inlineStr">
        <is>
          <t>QUALIFIED</t>
        </is>
      </c>
      <c r="AP158" s="24" t="inlineStr">
        <is>
          <t>Western Carolina Catamounts</t>
        </is>
      </c>
      <c r="AQ158" s="24" t="inlineStr">
        <is>
          <t>Western Carolina Catamounts</t>
        </is>
      </c>
      <c r="AR158" s="24" t="inlineStr">
        <is>
          <t>Western Carolina Catamounts</t>
        </is>
      </c>
      <c r="AS158" s="24" t="inlineStr">
        <is>
          <t>Cincinnati Bearcats</t>
        </is>
      </c>
      <c r="AT158" s="24" t="inlineStr">
        <is>
          <t>Cincinnati Bearcats</t>
        </is>
      </c>
      <c r="AU158" s="24" t="inlineStr">
        <is>
          <t>Cincinnati Bearcats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1d168f11d221cd3c</t>
        </is>
      </c>
      <c r="BB158" s="24" t="inlineStr">
        <is>
          <t>cfb_key_number_engine</t>
        </is>
      </c>
      <c r="BC158" s="24" t="inlineStr">
        <is>
          <t>cfb-total-v1</t>
        </is>
      </c>
      <c r="BD158" s="24" t="inlineStr">
        <is>
          <t>1d168f11d221cd3c</t>
        </is>
      </c>
      <c r="BE158" s="24" t="inlineStr">
        <is>
          <t>cfb-v1</t>
        </is>
      </c>
      <c r="BF158" s="24" t="inlineStr">
        <is>
          <t>1</t>
        </is>
      </c>
      <c r="BG158" s="24" t="inlineStr">
        <is>
          <t>1d168f11d221cd3c</t>
        </is>
      </c>
      <c r="BH158" s="24" t="inlineStr">
        <is>
          <t>2026-09-12T22:41:47.836186+00:00</t>
        </is>
      </c>
      <c r="BI158" s="24" t="inlineStr">
        <is>
          <t>["same_event","same_team_same_day","same_league_same_day"]</t>
        </is>
      </c>
      <c r="BJ158" s="25" t="n">
        <v>61.5</v>
      </c>
      <c r="BK158" s="26" t="n">
        <v>-110</v>
      </c>
      <c r="BL158" s="27" t="n">
        <v>1.909091</v>
      </c>
      <c r="BM158" s="28" t="n">
        <v>0.52381</v>
      </c>
      <c r="BN158" s="28" t="n"/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True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0.52381</t>
        </is>
      </c>
      <c r="DK158" s="24" t="n"/>
      <c r="DL158" s="24" t="n"/>
      <c r="DM158" s="24" t="n"/>
      <c r="DN158" s="24" t="n"/>
      <c r="DO158" s="24" t="n"/>
      <c r="DP158" s="24" t="n"/>
      <c r="DQ158" s="24" t="inlineStr">
        <is>
          <t>{"artifact_hash": "1d168f11d221cd3c", "event_id": "401856786", "event_start_utc": "2026-09-12T23:00Z", "features": {"altitude_fatigue_penalty": 0.0, "away_team": "Western Carolina Catamounts", "efficiency_gap": 1.7, "elo_away": 1337.5, "elo_home": 1425.3, "elo_home_win_prob": 0.7067, "event_id": "401856786", "game_start_utc": "2026-09-12T23:00Z", "home_field_advantage_points": 2.8, "home_team": "Cincinnati Bearcats", "is_dome": false, "is_fbs_vs_fcs": false, "is_neutral_site": false, "projected_away_points": 23.8, "projected_home_points": 30.0, "projected_margin_home": 6.2, "projected_possessions": 12.4, "projected_total": 53.8,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23.8, "mu_home": 30.0,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141642573313331992166599196217933259708}, "uinteger": 0}, "spread_home_line": -36.5, "total_line": 61.5}, "market_type": "total", "model_version": "cfb-total-v1", "observed_at_utc": "2026-09-12T22:41:47.836186+00:00", "probabilities": {"over": 0.331333, "push": 0.0, "under": 0.668667}, "replay_scope": "Full precision score means, exact engine parameters and original RNG state; upstream feature construction not certified.", "schema": "cfb-joint-replay-v1", "snapshot_hash": "c38b7b00bbc09c7e05362a2188d46fe849e8bc216ba2b5fe852d7a3929457775", "sport": "NCAAF"}</t>
        </is>
      </c>
    </row>
    <row r="159" ht="36" customHeight="1">
      <c r="A159" s="24" t="inlineStr">
        <is>
          <t>c7b5c7c156cd40a3</t>
        </is>
      </c>
      <c r="B159" s="24" t="inlineStr">
        <is>
          <t>2026-09-12T22:41:47.836186Z</t>
        </is>
      </c>
      <c r="C159" s="24" t="inlineStr">
        <is>
          <t>2026-09-12T23:00Z</t>
        </is>
      </c>
      <c r="D159" s="24" t="inlineStr">
        <is>
          <t>401858441</t>
        </is>
      </c>
      <c r="E159" s="24" t="inlineStr">
        <is>
          <t>NCAAF</t>
        </is>
      </c>
      <c r="F159" s="24" t="inlineStr">
        <is>
          <t>Bowling Green Falcons</t>
        </is>
      </c>
      <c r="G159" s="24" t="inlineStr">
        <is>
          <t>Nebraska Cornhuskers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espn_consensus</t>
        </is>
      </c>
      <c r="L159" s="26" t="n">
        <v>-9000</v>
      </c>
      <c r="M159" s="27" t="n">
        <v>1.011111</v>
      </c>
      <c r="N159" s="28" t="n">
        <v>0.989011</v>
      </c>
      <c r="O159" s="28" t="n">
        <v>0.638051</v>
      </c>
      <c r="P159" s="28" t="n">
        <v>0.18</v>
      </c>
      <c r="Q159" s="28" t="n">
        <v>-0.35096</v>
      </c>
      <c r="R159" s="26" t="n">
        <v>0</v>
      </c>
      <c r="S159" s="29" t="n">
        <v>1</v>
      </c>
      <c r="T159" s="24" t="inlineStr">
        <is>
          <t>college-football-v1</t>
        </is>
      </c>
      <c r="U159" s="24" t="inlineStr">
        <is>
          <t>settled</t>
        </is>
      </c>
      <c r="V159" s="24" t="inlineStr">
        <is>
          <t>win</t>
        </is>
      </c>
      <c r="W159" s="26" t="n">
        <v>7</v>
      </c>
      <c r="X159" s="26" t="n">
        <v>56</v>
      </c>
      <c r="Y159" s="25" t="n"/>
      <c r="Z159" s="26" t="n"/>
      <c r="AA159" s="28" t="n"/>
      <c r="AB159" s="28" t="n"/>
      <c r="AC159" s="30" t="n">
        <v>0.0111</v>
      </c>
      <c r="AD159" s="24" t="inlineStr">
        <is>
          <t>2026-09-13T04:32:04.070434Z</t>
        </is>
      </c>
      <c r="AE159" s="31" t="inlineStr">
        <is>
          <t>CFB Joint Model (negative_binomial): proj score Bowling Green Falcons 24.4 @ Nebraska Cornhuskers 30.1 (Margin +5.6). Possessions: 12.4, HFA: +2.8 pts.</t>
        </is>
      </c>
      <c r="AF159" s="31" t="inlineStr">
        <is>
          <t>College football model; multi-market (moneyline, spread, total).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paper_call</t>
        </is>
      </c>
      <c r="AL159" s="26" t="n">
        <v>4</v>
      </c>
      <c r="AM159" s="24" t="inlineStr">
        <is>
          <t>RESEARCH_OBSERVATION</t>
        </is>
      </c>
      <c r="AN159" s="24" t="inlineStr">
        <is>
          <t>CALL</t>
        </is>
      </c>
      <c r="AO159" s="24" t="inlineStr">
        <is>
          <t>PAPER_CALL_LOW_EDGE</t>
        </is>
      </c>
      <c r="AP159" s="24" t="inlineStr">
        <is>
          <t>Bowling Green Falcons</t>
        </is>
      </c>
      <c r="AQ159" s="24" t="inlineStr">
        <is>
          <t>Bowling Green Falcons</t>
        </is>
      </c>
      <c r="AR159" s="24" t="inlineStr">
        <is>
          <t>Bowling Green Falcons</t>
        </is>
      </c>
      <c r="AS159" s="24" t="inlineStr">
        <is>
          <t>Nebraska Cornhuskers</t>
        </is>
      </c>
      <c r="AT159" s="24" t="inlineStr">
        <is>
          <t>Nebraska Cornhuskers</t>
        </is>
      </c>
      <c r="AU159" s="24" t="inlineStr">
        <is>
          <t>Nebraska Cornhuskers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1d168f11d221cd3c</t>
        </is>
      </c>
      <c r="BB159" s="24" t="inlineStr">
        <is>
          <t>cfb_key_number_engine</t>
        </is>
      </c>
      <c r="BC159" s="24" t="inlineStr">
        <is>
          <t>college-football-v1</t>
        </is>
      </c>
      <c r="BD159" s="24" t="inlineStr">
        <is>
          <t>1d168f11d221cd3c</t>
        </is>
      </c>
      <c r="BE159" s="24" t="inlineStr">
        <is>
          <t>cfb-v1</t>
        </is>
      </c>
      <c r="BF159" s="24" t="inlineStr">
        <is>
          <t>1</t>
        </is>
      </c>
      <c r="BG159" s="24" t="inlineStr">
        <is>
          <t>1d168f11d221cd3c</t>
        </is>
      </c>
      <c r="BH159" s="24" t="inlineStr">
        <is>
          <t>2026-09-12T22:41:47.836186+00:00</t>
        </is>
      </c>
      <c r="BI159" s="24" t="inlineStr">
        <is>
          <t>["same_event","same_team_same_day","same_league_same_day"]</t>
        </is>
      </c>
      <c r="BJ159" s="25" t="n"/>
      <c r="BK159" s="26" t="n">
        <v>-9000</v>
      </c>
      <c r="BL159" s="27" t="n">
        <v>1.011111</v>
      </c>
      <c r="BM159" s="28" t="n">
        <v>0.989011</v>
      </c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>
        <v>1</v>
      </c>
      <c r="BY159" s="27" t="n">
        <v>0.011111</v>
      </c>
      <c r="BZ159" s="24" t="inlineStr">
        <is>
          <t>2026-09-13T04:32:04.070434Z</t>
        </is>
      </c>
      <c r="CA159" s="31" t="inlineStr">
        <is>
          <t>fixed one-unit hypothetical scoring; no real exposure or execution</t>
        </is>
      </c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False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inlineStr">
        <is>
          <t>0.989011</t>
        </is>
      </c>
      <c r="DK159" s="24" t="n"/>
      <c r="DL159" s="24" t="n"/>
      <c r="DM159" s="24" t="n"/>
      <c r="DN159" s="24" t="n"/>
      <c r="DO159" s="24" t="n"/>
      <c r="DP159" s="24" t="n"/>
      <c r="DQ159" s="24" t="inlineStr">
        <is>
          <t>{"artifact_hash": "1d168f11d221cd3c", "event_id": "401858441", "event_start_utc": "2026-09-12T23:00Z", "features": {"altitude_fatigue_penalty": 0.0, "away_team": "Bowling Green Falcons", "efficiency_gap": 2.359, "elo_away": 1389.6, "elo_home": 1462.4, "elo_home_win_prob": 0.6885, "event_id": "401858441", "game_start_utc": "2026-09-12T23:00Z", "home_field_advantage_points": 2.8, "home_team": "Nebraska Cornhuskers", "is_dome": false, "is_fbs_vs_fcs": false, "is_neutral_site": false, "projected_away_points": 24.4, "projected_home_points": 30.1, "projected_margin_home": 5.6, "projected_possessions": 12.4, "projected_total": 54.5, "stadium_elevation_ft": 1180, "travel_distance_miles": 682.0, "uncertainty": 0.18, "weather_total_adjustment": 0.0}, "historical_source_observation_times_verified": false, "inference_inputs": {"engine_source_sha256": "449ba2f0e86fa9c445730076a0e0bf100fb4914620be53c75c6f3bfe24298f3f", "mu_away": 24.4, "mu_home": 30.1,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290687164877905490177358079057434712134}, "uinteger": 0}, "spread_home_line": -30.5, "total_line": 49.5}, "market_type": "moneyline", "model_version": "college-football-v1", "observed_at_utc": "2026-09-12T22:41:47.836186+00:00", "probabilities": {"away": 0.361949, "home": 0.638051}, "replay_scope": "Full precision score means, exact engine parameters and original RNG state; upstream feature construction not certified.", "schema": "cfb-joint-replay-v1", "snapshot_hash": "c01ede56ad81c69258eeeccb9c21b32e565bacb566833412b40dc6c68f04d930", "sport": "NCAAF"}</t>
        </is>
      </c>
    </row>
    <row r="160" ht="36" customHeight="1">
      <c r="A160" s="24" t="inlineStr">
        <is>
          <t>e45bbe9a75d844ab</t>
        </is>
      </c>
      <c r="B160" s="24" t="inlineStr">
        <is>
          <t>2026-09-12T22:41:47.836186Z</t>
        </is>
      </c>
      <c r="C160" s="24" t="inlineStr">
        <is>
          <t>2026-09-12T23:00Z</t>
        </is>
      </c>
      <c r="D160" s="24" t="inlineStr">
        <is>
          <t>401858441</t>
        </is>
      </c>
      <c r="E160" s="24" t="inlineStr">
        <is>
          <t>NCAAF</t>
        </is>
      </c>
      <c r="F160" s="24" t="inlineStr">
        <is>
          <t>Bowling Green Falcons</t>
        </is>
      </c>
      <c r="G160" s="24" t="inlineStr">
        <is>
          <t>Nebraska Cornhuskers</t>
        </is>
      </c>
      <c r="H160" s="24" t="inlineStr">
        <is>
          <t>spread</t>
        </is>
      </c>
      <c r="I160" s="24" t="inlineStr">
        <is>
          <t>away</t>
        </is>
      </c>
      <c r="J160" s="25" t="n">
        <v>30.5</v>
      </c>
      <c r="K160" s="24" t="inlineStr">
        <is>
          <t>espn_consensus</t>
        </is>
      </c>
      <c r="L160" s="26" t="n">
        <v>-105</v>
      </c>
      <c r="M160" s="27" t="n">
        <v>1.952381</v>
      </c>
      <c r="N160" s="28" t="n">
        <v>0.512195</v>
      </c>
      <c r="O160" s="28" t="n">
        <v>0.9322</v>
      </c>
      <c r="P160" s="28" t="n">
        <v>0.18</v>
      </c>
      <c r="Q160" s="28" t="n">
        <v>0.420005</v>
      </c>
      <c r="R160" s="26" t="n">
        <v>100</v>
      </c>
      <c r="S160" s="29" t="n">
        <v>2</v>
      </c>
      <c r="T160" s="24" t="inlineStr">
        <is>
          <t>cfb-spread-v1</t>
        </is>
      </c>
      <c r="U160" s="24" t="inlineStr">
        <is>
          <t>settled</t>
        </is>
      </c>
      <c r="V160" s="24" t="inlineStr">
        <is>
          <t>loss</t>
        </is>
      </c>
      <c r="W160" s="26" t="n">
        <v>7</v>
      </c>
      <c r="X160" s="26" t="n">
        <v>56</v>
      </c>
      <c r="Y160" s="25" t="n"/>
      <c r="Z160" s="26" t="n"/>
      <c r="AA160" s="28" t="n"/>
      <c r="AB160" s="28" t="n"/>
      <c r="AC160" s="30" t="n">
        <v>-2</v>
      </c>
      <c r="AD160" s="24" t="inlineStr">
        <is>
          <t>2026-09-13T04:32:04.410669Z</t>
        </is>
      </c>
      <c r="AE160" s="31" t="inlineStr">
        <is>
          <t>Projected home margin +5.6 pts. Spread: Home -30.5 / Away +30.5 -&gt; P(Away cover)=0.932, P(Home cover)=0.068, P(Push)=0.000.</t>
        </is>
      </c>
      <c r="AF160" s="31" t="inlineStr">
        <is>
          <t>College football model; multi-market (moneyline, spread, total).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model_qualified</t>
        </is>
      </c>
      <c r="AL160" s="26" t="n">
        <v>4</v>
      </c>
      <c r="AM160" s="24" t="inlineStr">
        <is>
          <t>QUALIFIED_SHADOW_CALL</t>
        </is>
      </c>
      <c r="AN160" s="24" t="inlineStr">
        <is>
          <t>CALL</t>
        </is>
      </c>
      <c r="AO160" s="24" t="inlineStr">
        <is>
          <t>QUALIFIED</t>
        </is>
      </c>
      <c r="AP160" s="24" t="inlineStr">
        <is>
          <t>Bowling Green Falcons</t>
        </is>
      </c>
      <c r="AQ160" s="24" t="inlineStr">
        <is>
          <t>Bowling Green Falcons</t>
        </is>
      </c>
      <c r="AR160" s="24" t="inlineStr">
        <is>
          <t>Bowling Green Falcons</t>
        </is>
      </c>
      <c r="AS160" s="24" t="inlineStr">
        <is>
          <t>Nebraska Cornhuskers</t>
        </is>
      </c>
      <c r="AT160" s="24" t="inlineStr">
        <is>
          <t>Nebraska Cornhuskers</t>
        </is>
      </c>
      <c r="AU160" s="24" t="inlineStr">
        <is>
          <t>Nebraska Cornhuskers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1d168f11d221cd3c</t>
        </is>
      </c>
      <c r="BB160" s="24" t="inlineStr">
        <is>
          <t>cfb_key_number_engine</t>
        </is>
      </c>
      <c r="BC160" s="24" t="inlineStr">
        <is>
          <t>cfb-spread-v1</t>
        </is>
      </c>
      <c r="BD160" s="24" t="inlineStr">
        <is>
          <t>1d168f11d221cd3c</t>
        </is>
      </c>
      <c r="BE160" s="24" t="inlineStr">
        <is>
          <t>cfb-v1</t>
        </is>
      </c>
      <c r="BF160" s="24" t="inlineStr">
        <is>
          <t>1</t>
        </is>
      </c>
      <c r="BG160" s="24" t="inlineStr">
        <is>
          <t>1d168f11d221cd3c</t>
        </is>
      </c>
      <c r="BH160" s="24" t="inlineStr">
        <is>
          <t>2026-09-12T22:41:47.836186+00:00</t>
        </is>
      </c>
      <c r="BI160" s="24" t="inlineStr">
        <is>
          <t>["same_event","same_team_same_day","same_league_same_day"]</t>
        </is>
      </c>
      <c r="BJ160" s="25" t="n">
        <v>30.5</v>
      </c>
      <c r="BK160" s="26" t="n">
        <v>-105</v>
      </c>
      <c r="BL160" s="27" t="n">
        <v>1.952381</v>
      </c>
      <c r="BM160" s="28" t="n">
        <v>0.512195</v>
      </c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True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inlineStr">
        <is>
          <t>0.512195</t>
        </is>
      </c>
      <c r="DK160" s="24" t="n"/>
      <c r="DL160" s="24" t="n"/>
      <c r="DM160" s="24" t="n"/>
      <c r="DN160" s="24" t="n"/>
      <c r="DO160" s="24" t="n"/>
      <c r="DP160" s="24" t="n"/>
      <c r="DQ160" s="24" t="inlineStr">
        <is>
          <t>{"artifact_hash": "1d168f11d221cd3c", "event_id": "401858441", "event_start_utc": "2026-09-12T23:00Z", "features": {"altitude_fatigue_penalty": 0.0, "away_team": "Bowling Green Falcons", "efficiency_gap": 2.359, "elo_away": 1389.6, "elo_home": 1462.4, "elo_home_win_prob": 0.6885, "event_id": "401858441", "game_start_utc": "2026-09-12T23:00Z", "home_field_advantage_points": 2.8, "home_team": "Nebraska Cornhuskers", "is_dome": false, "is_fbs_vs_fcs": false, "is_neutral_site": false, "projected_away_points": 24.4, "projected_home_points": 30.1, "projected_margin_home": 5.6, "projected_possessions": 12.4, "projected_total": 54.5, "stadium_elevation_ft": 1180, "travel_distance_miles": 682.0, "uncertainty": 0.18, "weather_total_adjustment": 0.0}, "historical_source_observation_times_verified": false, "inference_inputs": {"engine_source_sha256": "449ba2f0e86fa9c445730076a0e0bf100fb4914620be53c75c6f3bfe24298f3f", "mu_away": 24.4, "mu_home": 30.1,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290687164877905490177358079057434712134}, "uinteger": 0}, "spread_home_line": -30.5, "total_line": 49.5}, "market_type": "spread", "model_version": "cfb-spread-v1", "observed_at_utc": "2026-09-12T22:41:47.836186+00:00", "probabilities": {"away": 0.9322, "home": 0.0678, "push": 0.0}, "replay_scope": "Full precision score means, exact engine parameters and original RNG state; upstream feature construction not certified.", "schema": "cfb-joint-replay-v1", "snapshot_hash": "076e9b29150e7430730bf14282429a566cdd6e16bdc84880b72781cc4b7c3d11", "sport": "NCAAF"}</t>
        </is>
      </c>
    </row>
    <row r="161" ht="36" customHeight="1">
      <c r="A161" s="24" t="inlineStr">
        <is>
          <t>727795be94844437</t>
        </is>
      </c>
      <c r="B161" s="24" t="inlineStr">
        <is>
          <t>2026-09-12T22:41:47.836186Z</t>
        </is>
      </c>
      <c r="C161" s="24" t="inlineStr">
        <is>
          <t>2026-09-12T23:00Z</t>
        </is>
      </c>
      <c r="D161" s="24" t="inlineStr">
        <is>
          <t>401858441</t>
        </is>
      </c>
      <c r="E161" s="24" t="inlineStr">
        <is>
          <t>NCAAF</t>
        </is>
      </c>
      <c r="F161" s="24" t="inlineStr">
        <is>
          <t>Bowling Green Falcons</t>
        </is>
      </c>
      <c r="G161" s="24" t="inlineStr">
        <is>
          <t>Nebraska Cornhuskers</t>
        </is>
      </c>
      <c r="H161" s="24" t="inlineStr">
        <is>
          <t>total</t>
        </is>
      </c>
      <c r="I161" s="24" t="inlineStr">
        <is>
          <t>over</t>
        </is>
      </c>
      <c r="J161" s="25" t="n">
        <v>49.5</v>
      </c>
      <c r="K161" s="24" t="inlineStr">
        <is>
          <t>espn_consensus</t>
        </is>
      </c>
      <c r="L161" s="26" t="n">
        <v>-105</v>
      </c>
      <c r="M161" s="27" t="n">
        <v>1.952381</v>
      </c>
      <c r="N161" s="28" t="n">
        <v>0.512195</v>
      </c>
      <c r="O161" s="28" t="n">
        <v>0.5754</v>
      </c>
      <c r="P161" s="28" t="n">
        <v>0.18</v>
      </c>
      <c r="Q161" s="28" t="n">
        <v>0.063205</v>
      </c>
      <c r="R161" s="26" t="n">
        <v>0</v>
      </c>
      <c r="S161" s="29" t="n">
        <v>1</v>
      </c>
      <c r="T161" s="24" t="inlineStr">
        <is>
          <t>cfb-total-v1</t>
        </is>
      </c>
      <c r="U161" s="24" t="inlineStr">
        <is>
          <t>settled</t>
        </is>
      </c>
      <c r="V161" s="24" t="inlineStr">
        <is>
          <t>win</t>
        </is>
      </c>
      <c r="W161" s="26" t="n">
        <v>7</v>
      </c>
      <c r="X161" s="26" t="n">
        <v>56</v>
      </c>
      <c r="Y161" s="25" t="n"/>
      <c r="Z161" s="26" t="n"/>
      <c r="AA161" s="28" t="n"/>
      <c r="AB161" s="28" t="n"/>
      <c r="AC161" s="30" t="n">
        <v>0.9524</v>
      </c>
      <c r="AD161" s="24" t="inlineStr">
        <is>
          <t>2026-09-13T04:32:04.789864Z</t>
        </is>
      </c>
      <c r="AE161" s="31" t="inlineStr">
        <is>
          <t>Projected total 54.5 pts (Weather adj: +0.0 pts). Total line 49.5 -&gt; P(Over)=0.575, P(Under)=0.425, P(Push)=0.000.</t>
        </is>
      </c>
      <c r="AF161" s="31" t="inlineStr">
        <is>
          <t>College football model; multi-market (moneyline, spread, total).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model_qualified</t>
        </is>
      </c>
      <c r="AL161" s="26" t="n">
        <v>4</v>
      </c>
      <c r="AM161" s="24" t="inlineStr">
        <is>
          <t>QUALIFIED_SHADOW_CALL</t>
        </is>
      </c>
      <c r="AN161" s="24" t="inlineStr">
        <is>
          <t>CALL</t>
        </is>
      </c>
      <c r="AO161" s="24" t="inlineStr">
        <is>
          <t>QUALIFIED</t>
        </is>
      </c>
      <c r="AP161" s="24" t="inlineStr">
        <is>
          <t>Bowling Green Falcons</t>
        </is>
      </c>
      <c r="AQ161" s="24" t="inlineStr">
        <is>
          <t>Bowling Green Falcons</t>
        </is>
      </c>
      <c r="AR161" s="24" t="inlineStr">
        <is>
          <t>Bowling Green Falcons</t>
        </is>
      </c>
      <c r="AS161" s="24" t="inlineStr">
        <is>
          <t>Nebraska Cornhuskers</t>
        </is>
      </c>
      <c r="AT161" s="24" t="inlineStr">
        <is>
          <t>Nebraska Cornhuskers</t>
        </is>
      </c>
      <c r="AU161" s="24" t="inlineStr">
        <is>
          <t>Nebraska Cornhuskers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1d168f11d221cd3c</t>
        </is>
      </c>
      <c r="BB161" s="24" t="inlineStr">
        <is>
          <t>cfb_key_number_engine</t>
        </is>
      </c>
      <c r="BC161" s="24" t="inlineStr">
        <is>
          <t>cfb-total-v1</t>
        </is>
      </c>
      <c r="BD161" s="24" t="inlineStr">
        <is>
          <t>1d168f11d221cd3c</t>
        </is>
      </c>
      <c r="BE161" s="24" t="inlineStr">
        <is>
          <t>cfb-v1</t>
        </is>
      </c>
      <c r="BF161" s="24" t="inlineStr">
        <is>
          <t>1</t>
        </is>
      </c>
      <c r="BG161" s="24" t="inlineStr">
        <is>
          <t>1d168f11d221cd3c</t>
        </is>
      </c>
      <c r="BH161" s="24" t="inlineStr">
        <is>
          <t>2026-09-12T22:41:47.836186+00:00</t>
        </is>
      </c>
      <c r="BI161" s="24" t="inlineStr">
        <is>
          <t>["same_event","same_team_same_day","same_league_same_day"]</t>
        </is>
      </c>
      <c r="BJ161" s="25" t="n">
        <v>49.5</v>
      </c>
      <c r="BK161" s="26" t="n">
        <v>-105</v>
      </c>
      <c r="BL161" s="27" t="n">
        <v>1.952381</v>
      </c>
      <c r="BM161" s="28" t="n">
        <v>0.512195</v>
      </c>
      <c r="BN161" s="28" t="n"/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True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inlineStr">
        <is>
          <t>0.512195</t>
        </is>
      </c>
      <c r="DK161" s="24" t="n"/>
      <c r="DL161" s="24" t="n"/>
      <c r="DM161" s="24" t="n"/>
      <c r="DN161" s="24" t="n"/>
      <c r="DO161" s="24" t="n"/>
      <c r="DP161" s="24" t="n"/>
      <c r="DQ161" s="24" t="inlineStr">
        <is>
          <t>{"artifact_hash": "1d168f11d221cd3c", "event_id": "401858441", "event_start_utc": "2026-09-12T23:00Z", "features": {"altitude_fatigue_penalty": 0.0, "away_team": "Bowling Green Falcons", "efficiency_gap": 2.359, "elo_away": 1389.6, "elo_home": 1462.4, "elo_home_win_prob": 0.6885, "event_id": "401858441", "game_start_utc": "2026-09-12T23:00Z", "home_field_advantage_points": 2.8, "home_team": "Nebraska Cornhuskers", "is_dome": false, "is_fbs_vs_fcs": false, "is_neutral_site": false, "projected_away_points": 24.4, "projected_home_points": 30.1, "projected_margin_home": 5.6, "projected_possessions": 12.4, "projected_total": 54.5, "stadium_elevation_ft": 1180, "travel_distance_miles": 682.0, "uncertainty": 0.18, "weather_total_adjustment": 0.0}, "historical_source_observation_times_verified": false, "inference_inputs": {"engine_source_sha256": "449ba2f0e86fa9c445730076a0e0bf100fb4914620be53c75c6f3bfe24298f3f", "mu_away": 24.4, "mu_home": 30.1,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290687164877905490177358079057434712134}, "uinteger": 0}, "spread_home_line": -30.5, "total_line": 49.5}, "market_type": "total", "model_version": "cfb-total-v1", "observed_at_utc": "2026-09-12T22:41:47.836186+00:00", "probabilities": {"over": 0.5754, "push": 0.0, "under": 0.4246}, "replay_scope": "Full precision score means, exact engine parameters and original RNG state; upstream feature construction not certified.", "schema": "cfb-joint-replay-v1", "snapshot_hash": "c20a07ab6004b80896f224cecfaf6fff5bab9bac4198dfc3a3b96b50f57c2dd3", "sport": "NCAAF"}</t>
        </is>
      </c>
    </row>
    <row r="162" ht="36" customHeight="1">
      <c r="A162" s="24" t="inlineStr">
        <is>
          <t>1222c34298824365</t>
        </is>
      </c>
      <c r="B162" s="24" t="inlineStr">
        <is>
          <t>2026-09-12T22:41:47.836186Z</t>
        </is>
      </c>
      <c r="C162" s="24" t="inlineStr">
        <is>
          <t>2026-09-12T23:00Z</t>
        </is>
      </c>
      <c r="D162" s="24" t="inlineStr">
        <is>
          <t>401860882</t>
        </is>
      </c>
      <c r="E162" s="24" t="inlineStr">
        <is>
          <t>NCAAF</t>
        </is>
      </c>
      <c r="F162" s="24" t="inlineStr">
        <is>
          <t>Southern Utah Thunderbirds</t>
        </is>
      </c>
      <c r="G162" s="24" t="inlineStr">
        <is>
          <t>Colorado State Rams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espn_consensus</t>
        </is>
      </c>
      <c r="L162" s="26" t="n">
        <v>-1350</v>
      </c>
      <c r="M162" s="27" t="n">
        <v>1.074074</v>
      </c>
      <c r="N162" s="28" t="n">
        <v>0.931034</v>
      </c>
      <c r="O162" s="28" t="n">
        <v>0.561339</v>
      </c>
      <c r="P162" s="28" t="n">
        <v>0.18</v>
      </c>
      <c r="Q162" s="28" t="n">
        <v>-0.369695</v>
      </c>
      <c r="R162" s="26" t="n">
        <v>0</v>
      </c>
      <c r="S162" s="29" t="n">
        <v>1</v>
      </c>
      <c r="T162" s="24" t="inlineStr">
        <is>
          <t>college-football-v1</t>
        </is>
      </c>
      <c r="U162" s="24" t="inlineStr">
        <is>
          <t>settled</t>
        </is>
      </c>
      <c r="V162" s="24" t="inlineStr">
        <is>
          <t>win</t>
        </is>
      </c>
      <c r="W162" s="26" t="n">
        <v>24</v>
      </c>
      <c r="X162" s="26" t="n">
        <v>58</v>
      </c>
      <c r="Y162" s="25" t="n"/>
      <c r="Z162" s="26" t="n"/>
      <c r="AA162" s="28" t="n"/>
      <c r="AB162" s="28" t="n"/>
      <c r="AC162" s="30" t="n">
        <v>0.0741</v>
      </c>
      <c r="AD162" s="24" t="inlineStr">
        <is>
          <t>2026-09-13T04:32:05.173578Z</t>
        </is>
      </c>
      <c r="AE162" s="31" t="inlineStr">
        <is>
          <t>CFB Joint Model (negative_binomial): proj score Southern Utah Thunderbirds 25.5 @ Colorado State Rams 27.8 (Margin +2.3). Possessions: 12.4, HFA: +2.8 pts.</t>
        </is>
      </c>
      <c r="AF162" s="31" t="inlineStr">
        <is>
          <t>College football model; multi-market (moneyline, spread, total).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4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PAPER_CALL_LOW_EDGE</t>
        </is>
      </c>
      <c r="AP162" s="24" t="inlineStr">
        <is>
          <t>Southern Utah Thunderbirds</t>
        </is>
      </c>
      <c r="AQ162" s="24" t="inlineStr">
        <is>
          <t>Southern Utah Thunderbirds</t>
        </is>
      </c>
      <c r="AR162" s="24" t="inlineStr">
        <is>
          <t>Southern Utah Thunderbirds</t>
        </is>
      </c>
      <c r="AS162" s="24" t="inlineStr">
        <is>
          <t>Colorado State Rams</t>
        </is>
      </c>
      <c r="AT162" s="24" t="inlineStr">
        <is>
          <t>Colorado State Rams</t>
        </is>
      </c>
      <c r="AU162" s="24" t="inlineStr">
        <is>
          <t>Colorado State Rams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1d168f11d221cd3c</t>
        </is>
      </c>
      <c r="BB162" s="24" t="inlineStr">
        <is>
          <t>cfb_key_number_engine</t>
        </is>
      </c>
      <c r="BC162" s="24" t="inlineStr">
        <is>
          <t>college-football-v1</t>
        </is>
      </c>
      <c r="BD162" s="24" t="inlineStr">
        <is>
          <t>1d168f11d221cd3c</t>
        </is>
      </c>
      <c r="BE162" s="24" t="inlineStr">
        <is>
          <t>cfb-v1</t>
        </is>
      </c>
      <c r="BF162" s="24" t="inlineStr">
        <is>
          <t>1</t>
        </is>
      </c>
      <c r="BG162" s="24" t="inlineStr">
        <is>
          <t>1d168f11d221cd3c</t>
        </is>
      </c>
      <c r="BH162" s="24" t="inlineStr">
        <is>
          <t>2026-09-12T22:41:47.836186+00:00</t>
        </is>
      </c>
      <c r="BI162" s="24" t="inlineStr">
        <is>
          <t>["same_event","same_team_same_day","same_league_same_day"]</t>
        </is>
      </c>
      <c r="BJ162" s="25" t="n"/>
      <c r="BK162" s="26" t="n">
        <v>-1350</v>
      </c>
      <c r="BL162" s="27" t="n">
        <v>1.074074</v>
      </c>
      <c r="BM162" s="28" t="n">
        <v>0.931034</v>
      </c>
      <c r="BN162" s="28" t="n"/>
      <c r="BO162" s="28" t="n"/>
      <c r="BP162" s="25" t="n"/>
      <c r="BQ162" s="27" t="n"/>
      <c r="BR162" s="28" t="n"/>
      <c r="BS162" s="28" t="n"/>
      <c r="BT162" s="28" t="n"/>
      <c r="BU162" s="25" t="n"/>
      <c r="BV162" s="29" t="n"/>
      <c r="BW162" s="24" t="n"/>
      <c r="BX162" s="30" t="n">
        <v>1</v>
      </c>
      <c r="BY162" s="27" t="n">
        <v>0.074074</v>
      </c>
      <c r="BZ162" s="24" t="inlineStr">
        <is>
          <t>2026-09-13T04:32:05.173578Z</t>
        </is>
      </c>
      <c r="CA162" s="31" t="inlineStr">
        <is>
          <t>fixed one-unit hypothetical scoring; no real exposure or execution</t>
        </is>
      </c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False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inlineStr">
        <is>
          <t>0.931034</t>
        </is>
      </c>
      <c r="DK162" s="24" t="n"/>
      <c r="DL162" s="24" t="n"/>
      <c r="DM162" s="24" t="n"/>
      <c r="DN162" s="24" t="n"/>
      <c r="DO162" s="24" t="n"/>
      <c r="DP162" s="24" t="n"/>
      <c r="DQ162" s="24" t="inlineStr">
        <is>
          <t>{"artifact_hash": "1d168f11d221cd3c", "event_id": "401860882", "event_start_utc": "2026-09-12T23:00Z", "features": {"altitude_fatigue_penalty": 0.0, "away_team": "Southern Utah Thunderbirds", "efficiency_gap": 1.005, "elo_away": 1337.5, "elo_home": 1327.7, "elo_home_win_prob": 0.5788, "event_id": "401860882", "game_start_utc": "2026-09-12T23:00Z", "home_field_advantage_points": 2.8, "home_team": "Colorado State Rams", "is_dome": false, "is_fbs_vs_fcs": false, "is_neutral_site": false, "projected_away_points": 25.5, "projected_home_points": 27.8, "projected_margin_home": 2.3,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25.5, "mu_home": 27.8,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107916588052196536384646294494282604}, "uinteger": 0}, "spread_home_line": -19.5, "total_line": 57.5}, "market_type": "moneyline", "model_version": "college-football-v1", "observed_at_utc": "2026-09-12T22:41:47.836186+00:00", "probabilities": {"away": 0.438661, "home": 0.561339}, "replay_scope": "Full precision score means, exact engine parameters and original RNG state; upstream feature construction not certified.", "schema": "cfb-joint-replay-v1", "snapshot_hash": "8310c70232c207fd044fb2db4f2a0a49b056ba3ecad7304c6f260a57fb6cf7f4", "sport": "NCAAF"}</t>
        </is>
      </c>
    </row>
    <row r="163" ht="36" customHeight="1">
      <c r="A163" s="24" t="inlineStr">
        <is>
          <t>49b4a012cbe447dd</t>
        </is>
      </c>
      <c r="B163" s="24" t="inlineStr">
        <is>
          <t>2026-09-12T22:41:47.836186Z</t>
        </is>
      </c>
      <c r="C163" s="24" t="inlineStr">
        <is>
          <t>2026-09-12T23:00Z</t>
        </is>
      </c>
      <c r="D163" s="24" t="inlineStr">
        <is>
          <t>401860882</t>
        </is>
      </c>
      <c r="E163" s="24" t="inlineStr">
        <is>
          <t>NCAAF</t>
        </is>
      </c>
      <c r="F163" s="24" t="inlineStr">
        <is>
          <t>Southern Utah Thunderbirds</t>
        </is>
      </c>
      <c r="G163" s="24" t="inlineStr">
        <is>
          <t>Colorado State Rams</t>
        </is>
      </c>
      <c r="H163" s="24" t="inlineStr">
        <is>
          <t>spread</t>
        </is>
      </c>
      <c r="I163" s="24" t="inlineStr">
        <is>
          <t>away</t>
        </is>
      </c>
      <c r="J163" s="25" t="n">
        <v>19.5</v>
      </c>
      <c r="K163" s="24" t="inlineStr">
        <is>
          <t>espn_consensus</t>
        </is>
      </c>
      <c r="L163" s="26" t="n">
        <v>-108</v>
      </c>
      <c r="M163" s="27" t="n">
        <v>1.925926</v>
      </c>
      <c r="N163" s="28" t="n">
        <v>0.519231</v>
      </c>
      <c r="O163" s="28" t="n">
        <v>0.8538</v>
      </c>
      <c r="P163" s="28" t="n">
        <v>0.18</v>
      </c>
      <c r="Q163" s="28" t="n">
        <v>0.334569</v>
      </c>
      <c r="R163" s="26" t="n">
        <v>100</v>
      </c>
      <c r="S163" s="29" t="n">
        <v>2</v>
      </c>
      <c r="T163" s="24" t="inlineStr">
        <is>
          <t>cfb-spread-v1</t>
        </is>
      </c>
      <c r="U163" s="24" t="inlineStr">
        <is>
          <t>settled</t>
        </is>
      </c>
      <c r="V163" s="24" t="inlineStr">
        <is>
          <t>loss</t>
        </is>
      </c>
      <c r="W163" s="26" t="n">
        <v>24</v>
      </c>
      <c r="X163" s="26" t="n">
        <v>58</v>
      </c>
      <c r="Y163" s="25" t="n"/>
      <c r="Z163" s="26" t="n"/>
      <c r="AA163" s="28" t="n"/>
      <c r="AB163" s="28" t="n"/>
      <c r="AC163" s="30" t="n">
        <v>-2</v>
      </c>
      <c r="AD163" s="24" t="inlineStr">
        <is>
          <t>2026-09-13T04:32:05.554295Z</t>
        </is>
      </c>
      <c r="AE163" s="31" t="inlineStr">
        <is>
          <t>Projected home margin +2.3 pts. Spread: Home -19.5 / Away +19.5 -&gt; P(Away cover)=0.854, P(Home cover)=0.146, P(Push)=0.000.</t>
        </is>
      </c>
      <c r="AF163" s="31" t="inlineStr">
        <is>
          <t>College football model; multi-market (moneyline, spread, total).</t>
        </is>
      </c>
      <c r="AG163" s="24" t="inlineStr">
        <is>
          <t>review_required</t>
        </is>
      </c>
      <c r="AH163" s="24" t="n"/>
      <c r="AI163" s="31" t="n"/>
      <c r="AJ163" s="31" t="n"/>
      <c r="AK163" s="24" t="inlineStr">
        <is>
          <t>model_qualified</t>
        </is>
      </c>
      <c r="AL163" s="26" t="n">
        <v>4</v>
      </c>
      <c r="AM163" s="24" t="inlineStr">
        <is>
          <t>QUALIFIED_SHADOW_CALL</t>
        </is>
      </c>
      <c r="AN163" s="24" t="inlineStr">
        <is>
          <t>CALL</t>
        </is>
      </c>
      <c r="AO163" s="24" t="inlineStr">
        <is>
          <t>QUALIFIED</t>
        </is>
      </c>
      <c r="AP163" s="24" t="inlineStr">
        <is>
          <t>Southern Utah Thunderbirds</t>
        </is>
      </c>
      <c r="AQ163" s="24" t="inlineStr">
        <is>
          <t>Southern Utah Thunderbirds</t>
        </is>
      </c>
      <c r="AR163" s="24" t="inlineStr">
        <is>
          <t>Southern Utah Thunderbirds</t>
        </is>
      </c>
      <c r="AS163" s="24" t="inlineStr">
        <is>
          <t>Colorado State Rams</t>
        </is>
      </c>
      <c r="AT163" s="24" t="inlineStr">
        <is>
          <t>Colorado State Rams</t>
        </is>
      </c>
      <c r="AU163" s="24" t="inlineStr">
        <is>
          <t>Colorado State Rams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1d168f11d221cd3c</t>
        </is>
      </c>
      <c r="BB163" s="24" t="inlineStr">
        <is>
          <t>cfb_key_number_engine</t>
        </is>
      </c>
      <c r="BC163" s="24" t="inlineStr">
        <is>
          <t>cfb-spread-v1</t>
        </is>
      </c>
      <c r="BD163" s="24" t="inlineStr">
        <is>
          <t>1d168f11d221cd3c</t>
        </is>
      </c>
      <c r="BE163" s="24" t="inlineStr">
        <is>
          <t>cfb-v1</t>
        </is>
      </c>
      <c r="BF163" s="24" t="inlineStr">
        <is>
          <t>1</t>
        </is>
      </c>
      <c r="BG163" s="24" t="inlineStr">
        <is>
          <t>1d168f11d221cd3c</t>
        </is>
      </c>
      <c r="BH163" s="24" t="inlineStr">
        <is>
          <t>2026-09-12T22:41:47.836186+00:00</t>
        </is>
      </c>
      <c r="BI163" s="24" t="inlineStr">
        <is>
          <t>["same_event","same_team_same_day","same_league_same_day"]</t>
        </is>
      </c>
      <c r="BJ163" s="25" t="n">
        <v>19.5</v>
      </c>
      <c r="BK163" s="26" t="n">
        <v>-108</v>
      </c>
      <c r="BL163" s="27" t="n">
        <v>1.925926</v>
      </c>
      <c r="BM163" s="28" t="n">
        <v>0.519231</v>
      </c>
      <c r="BN163" s="28" t="n"/>
      <c r="BO163" s="28" t="n"/>
      <c r="BP163" s="25" t="n"/>
      <c r="BQ163" s="27" t="n"/>
      <c r="BR163" s="28" t="n"/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True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inlineStr">
        <is>
          <t>0.519231</t>
        </is>
      </c>
      <c r="DK163" s="24" t="n"/>
      <c r="DL163" s="24" t="n"/>
      <c r="DM163" s="24" t="n"/>
      <c r="DN163" s="24" t="n"/>
      <c r="DO163" s="24" t="n"/>
      <c r="DP163" s="24" t="n"/>
      <c r="DQ163" s="24" t="inlineStr">
        <is>
          <t>{"artifact_hash": "1d168f11d221cd3c", "event_id": "401860882", "event_start_utc": "2026-09-12T23:00Z", "features": {"altitude_fatigue_penalty": 0.0, "away_team": "Southern Utah Thunderbirds", "efficiency_gap": 1.005, "elo_away": 1337.5, "elo_home": 1327.7, "elo_home_win_prob": 0.5788, "event_id": "401860882", "game_start_utc": "2026-09-12T23:00Z", "home_field_advantage_points": 2.8, "home_team": "Colorado State Rams", "is_dome": false, "is_fbs_vs_fcs": false, "is_neutral_site": false, "projected_away_points": 25.5, "projected_home_points": 27.8, "projected_margin_home": 2.3,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25.5, "mu_home": 27.8,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107916588052196536384646294494282604}, "uinteger": 0}, "spread_home_line": -19.5, "total_line": 57.5}, "market_type": "spread", "model_version": "cfb-spread-v1", "observed_at_utc": "2026-09-12T22:41:47.836186+00:00", "probabilities": {"away": 0.8538, "home": 0.1462, "push": 0.0}, "replay_scope": "Full precision score means, exact engine parameters and original RNG state; upstream feature construction not certified.", "schema": "cfb-joint-replay-v1", "snapshot_hash": "8017b9633bab03ac053b2df5f0eb77d33fca7e49d50ef4e891dea9d56ff0e0fd", "sport": "NCAAF"}</t>
        </is>
      </c>
    </row>
    <row r="164" ht="36" customHeight="1">
      <c r="A164" s="24" t="inlineStr">
        <is>
          <t>46e6431dd2ec49da</t>
        </is>
      </c>
      <c r="B164" s="24" t="inlineStr">
        <is>
          <t>2026-09-12T22:41:47.836186Z</t>
        </is>
      </c>
      <c r="C164" s="24" t="inlineStr">
        <is>
          <t>2026-09-12T23:00Z</t>
        </is>
      </c>
      <c r="D164" s="24" t="inlineStr">
        <is>
          <t>401860882</t>
        </is>
      </c>
      <c r="E164" s="24" t="inlineStr">
        <is>
          <t>NCAAF</t>
        </is>
      </c>
      <c r="F164" s="24" t="inlineStr">
        <is>
          <t>Southern Utah Thunderbirds</t>
        </is>
      </c>
      <c r="G164" s="24" t="inlineStr">
        <is>
          <t>Colorado State Rams</t>
        </is>
      </c>
      <c r="H164" s="24" t="inlineStr">
        <is>
          <t>total</t>
        </is>
      </c>
      <c r="I164" s="24" t="inlineStr">
        <is>
          <t>under</t>
        </is>
      </c>
      <c r="J164" s="25" t="n">
        <v>57.5</v>
      </c>
      <c r="K164" s="24" t="inlineStr">
        <is>
          <t>espn_consensus</t>
        </is>
      </c>
      <c r="L164" s="26" t="n">
        <v>-115</v>
      </c>
      <c r="M164" s="27" t="n">
        <v>1.869565</v>
      </c>
      <c r="N164" s="28" t="n">
        <v>0.534884</v>
      </c>
      <c r="O164" s="28" t="n">
        <v>0.6089329999999999</v>
      </c>
      <c r="P164" s="28" t="n">
        <v>0.18</v>
      </c>
      <c r="Q164" s="28" t="n">
        <v>0.074049</v>
      </c>
      <c r="R164" s="26" t="n">
        <v>0</v>
      </c>
      <c r="S164" s="29" t="n">
        <v>1</v>
      </c>
      <c r="T164" s="24" t="inlineStr">
        <is>
          <t>cfb-total-v1</t>
        </is>
      </c>
      <c r="U164" s="24" t="inlineStr">
        <is>
          <t>settled</t>
        </is>
      </c>
      <c r="V164" s="24" t="inlineStr">
        <is>
          <t>loss</t>
        </is>
      </c>
      <c r="W164" s="26" t="n">
        <v>24</v>
      </c>
      <c r="X164" s="26" t="n">
        <v>58</v>
      </c>
      <c r="Y164" s="25" t="n"/>
      <c r="Z164" s="26" t="n"/>
      <c r="AA164" s="28" t="n"/>
      <c r="AB164" s="28" t="n"/>
      <c r="AC164" s="30" t="n">
        <v>-1</v>
      </c>
      <c r="AD164" s="24" t="inlineStr">
        <is>
          <t>2026-09-13T04:32:05.954868Z</t>
        </is>
      </c>
      <c r="AE164" s="31" t="inlineStr">
        <is>
          <t>Projected total 53.3 pts (Weather adj: +0.0 pts). Total line 57.5 -&gt; P(Over)=0.391, P(Under)=0.609, P(Push)=0.000.</t>
        </is>
      </c>
      <c r="AF164" s="31" t="inlineStr">
        <is>
          <t>College football model; multi-market (moneyline, spread, total).</t>
        </is>
      </c>
      <c r="AG164" s="24" t="inlineStr">
        <is>
          <t>review_required</t>
        </is>
      </c>
      <c r="AH164" s="24" t="n"/>
      <c r="AI164" s="31" t="n"/>
      <c r="AJ164" s="31" t="n"/>
      <c r="AK164" s="24" t="inlineStr">
        <is>
          <t>model_qualified</t>
        </is>
      </c>
      <c r="AL164" s="26" t="n">
        <v>4</v>
      </c>
      <c r="AM164" s="24" t="inlineStr">
        <is>
          <t>QUALIFIED_SHADOW_CALL</t>
        </is>
      </c>
      <c r="AN164" s="24" t="inlineStr">
        <is>
          <t>CALL</t>
        </is>
      </c>
      <c r="AO164" s="24" t="inlineStr">
        <is>
          <t>QUALIFIED</t>
        </is>
      </c>
      <c r="AP164" s="24" t="inlineStr">
        <is>
          <t>Southern Utah Thunderbirds</t>
        </is>
      </c>
      <c r="AQ164" s="24" t="inlineStr">
        <is>
          <t>Southern Utah Thunderbirds</t>
        </is>
      </c>
      <c r="AR164" s="24" t="inlineStr">
        <is>
          <t>Southern Utah Thunderbirds</t>
        </is>
      </c>
      <c r="AS164" s="24" t="inlineStr">
        <is>
          <t>Colorado State Rams</t>
        </is>
      </c>
      <c r="AT164" s="24" t="inlineStr">
        <is>
          <t>Colorado State Rams</t>
        </is>
      </c>
      <c r="AU164" s="24" t="inlineStr">
        <is>
          <t>Colorado State Rams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1d168f11d221cd3c</t>
        </is>
      </c>
      <c r="BB164" s="24" t="inlineStr">
        <is>
          <t>cfb_key_number_engine</t>
        </is>
      </c>
      <c r="BC164" s="24" t="inlineStr">
        <is>
          <t>cfb-total-v1</t>
        </is>
      </c>
      <c r="BD164" s="24" t="inlineStr">
        <is>
          <t>1d168f11d221cd3c</t>
        </is>
      </c>
      <c r="BE164" s="24" t="inlineStr">
        <is>
          <t>cfb-v1</t>
        </is>
      </c>
      <c r="BF164" s="24" t="inlineStr">
        <is>
          <t>1</t>
        </is>
      </c>
      <c r="BG164" s="24" t="inlineStr">
        <is>
          <t>1d168f11d221cd3c</t>
        </is>
      </c>
      <c r="BH164" s="24" t="inlineStr">
        <is>
          <t>2026-09-12T22:41:47.836186+00:00</t>
        </is>
      </c>
      <c r="BI164" s="24" t="inlineStr">
        <is>
          <t>["same_event","same_team_same_day","same_league_same_day"]</t>
        </is>
      </c>
      <c r="BJ164" s="25" t="n">
        <v>57.5</v>
      </c>
      <c r="BK164" s="26" t="n">
        <v>-115</v>
      </c>
      <c r="BL164" s="27" t="n">
        <v>1.869565</v>
      </c>
      <c r="BM164" s="28" t="n">
        <v>0.534884</v>
      </c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0.534884</t>
        </is>
      </c>
      <c r="DK164" s="24" t="n"/>
      <c r="DL164" s="24" t="n"/>
      <c r="DM164" s="24" t="n"/>
      <c r="DN164" s="24" t="n"/>
      <c r="DO164" s="24" t="n"/>
      <c r="DP164" s="24" t="n"/>
      <c r="DQ164" s="24" t="inlineStr">
        <is>
          <t>{"artifact_hash": "1d168f11d221cd3c", "event_id": "401860882", "event_start_utc": "2026-09-12T23:00Z", "features": {"altitude_fatigue_penalty": 0.0, "away_team": "Southern Utah Thunderbirds", "efficiency_gap": 1.005, "elo_away": 1337.5, "elo_home": 1327.7, "elo_home_win_prob": 0.5788, "event_id": "401860882", "game_start_utc": "2026-09-12T23:00Z", "home_field_advantage_points": 2.8, "home_team": "Colorado State Rams", "is_dome": false, "is_fbs_vs_fcs": false, "is_neutral_site": false, "projected_away_points": 25.5, "projected_home_points": 27.8, "projected_margin_home": 2.3,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25.5, "mu_home": 27.8,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107916588052196536384646294494282604}, "uinteger": 0}, "spread_home_line": -19.5, "total_line": 57.5}, "market_type": "total", "model_version": "cfb-total-v1", "observed_at_utc": "2026-09-12T22:41:47.836186+00:00", "probabilities": {"over": 0.391067, "push": 0.0, "under": 0.608933}, "replay_scope": "Full precision score means, exact engine parameters and original RNG state; upstream feature construction not certified.", "schema": "cfb-joint-replay-v1", "snapshot_hash": "c2a13f9b2ed69bee4275e94ca4557c852666609aafd6a3d283c0c6e56e01504a", "sport": "NCAAF"}</t>
        </is>
      </c>
    </row>
    <row r="165" ht="36" customHeight="1">
      <c r="A165" s="24" t="inlineStr">
        <is>
          <t>53f62c6926a1469b</t>
        </is>
      </c>
      <c r="B165" s="24" t="inlineStr">
        <is>
          <t>2026-09-12T22:41:47.836186Z</t>
        </is>
      </c>
      <c r="C165" s="24" t="inlineStr">
        <is>
          <t>2026-09-12T23:00Z</t>
        </is>
      </c>
      <c r="D165" s="24" t="inlineStr">
        <is>
          <t>401862707</t>
        </is>
      </c>
      <c r="E165" s="24" t="inlineStr">
        <is>
          <t>NCAAF</t>
        </is>
      </c>
      <c r="F165" s="24" t="inlineStr">
        <is>
          <t>Tulsa Golden Hurricane</t>
        </is>
      </c>
      <c r="G165" s="24" t="inlineStr">
        <is>
          <t>Sam Houston Bearkats</t>
        </is>
      </c>
      <c r="H165" s="24" t="inlineStr">
        <is>
          <t>moneyline</t>
        </is>
      </c>
      <c r="I165" s="24" t="inlineStr">
        <is>
          <t>away</t>
        </is>
      </c>
      <c r="J165" s="25" t="n"/>
      <c r="K165" s="24" t="inlineStr">
        <is>
          <t>espn_consensus</t>
        </is>
      </c>
      <c r="L165" s="26" t="n">
        <v>-500</v>
      </c>
      <c r="M165" s="27" t="n">
        <v>1.2</v>
      </c>
      <c r="N165" s="28" t="n">
        <v>0.833333</v>
      </c>
      <c r="O165" s="28" t="n">
        <v>0.507699</v>
      </c>
      <c r="P165" s="28" t="n">
        <v>0.18</v>
      </c>
      <c r="Q165" s="28" t="n">
        <v>-0.325634</v>
      </c>
      <c r="R165" s="26" t="n">
        <v>0</v>
      </c>
      <c r="S165" s="29" t="n">
        <v>1</v>
      </c>
      <c r="T165" s="24" t="inlineStr">
        <is>
          <t>college-football-v1</t>
        </is>
      </c>
      <c r="U165" s="24" t="inlineStr">
        <is>
          <t>settled</t>
        </is>
      </c>
      <c r="V165" s="24" t="inlineStr">
        <is>
          <t>win</t>
        </is>
      </c>
      <c r="W165" s="26" t="n">
        <v>23</v>
      </c>
      <c r="X165" s="26" t="n">
        <v>17</v>
      </c>
      <c r="Y165" s="25" t="n"/>
      <c r="Z165" s="26" t="n"/>
      <c r="AA165" s="28" t="n"/>
      <c r="AB165" s="28" t="n"/>
      <c r="AC165" s="30" t="n">
        <v>0.2</v>
      </c>
      <c r="AD165" s="24" t="inlineStr">
        <is>
          <t>2026-09-13T04:32:06.416261Z</t>
        </is>
      </c>
      <c r="AE165" s="31" t="inlineStr">
        <is>
          <t>CFB Joint Model (negative_binomial): proj score Tulsa Golden Hurricane 26.7 @ Sam Houston Bearkats 26.4 (Margin -0.2). Possessions: 12.4, HFA: +2.8 pts.</t>
        </is>
      </c>
      <c r="AF165" s="31" t="inlineStr">
        <is>
          <t>College football model; multi-market (moneyline, spread, total).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paper_call</t>
        </is>
      </c>
      <c r="AL165" s="26" t="n">
        <v>4</v>
      </c>
      <c r="AM165" s="24" t="inlineStr">
        <is>
          <t>RESEARCH_OBSERVATION</t>
        </is>
      </c>
      <c r="AN165" s="24" t="inlineStr">
        <is>
          <t>CALL</t>
        </is>
      </c>
      <c r="AO165" s="24" t="inlineStr">
        <is>
          <t>PAPER_CALL_LOW_EDGE</t>
        </is>
      </c>
      <c r="AP165" s="24" t="inlineStr">
        <is>
          <t>Tulsa Golden Hurricane</t>
        </is>
      </c>
      <c r="AQ165" s="24" t="inlineStr">
        <is>
          <t>Tulsa Golden Hurricane</t>
        </is>
      </c>
      <c r="AR165" s="24" t="inlineStr">
        <is>
          <t>Tulsa Golden Hurricane</t>
        </is>
      </c>
      <c r="AS165" s="24" t="inlineStr">
        <is>
          <t>Sam Houston Bearkats</t>
        </is>
      </c>
      <c r="AT165" s="24" t="inlineStr">
        <is>
          <t>Sam Houston Bearkats</t>
        </is>
      </c>
      <c r="AU165" s="24" t="inlineStr">
        <is>
          <t>Sam Houston Bearkats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1d168f11d221cd3c</t>
        </is>
      </c>
      <c r="BB165" s="24" t="inlineStr">
        <is>
          <t>cfb_key_number_engine</t>
        </is>
      </c>
      <c r="BC165" s="24" t="inlineStr">
        <is>
          <t>college-football-v1</t>
        </is>
      </c>
      <c r="BD165" s="24" t="inlineStr">
        <is>
          <t>1d168f11d221cd3c</t>
        </is>
      </c>
      <c r="BE165" s="24" t="inlineStr">
        <is>
          <t>cfb-v1</t>
        </is>
      </c>
      <c r="BF165" s="24" t="inlineStr">
        <is>
          <t>1</t>
        </is>
      </c>
      <c r="BG165" s="24" t="inlineStr">
        <is>
          <t>1d168f11d221cd3c</t>
        </is>
      </c>
      <c r="BH165" s="24" t="inlineStr">
        <is>
          <t>2026-09-12T22:41:47.836186+00:00</t>
        </is>
      </c>
      <c r="BI165" s="24" t="inlineStr">
        <is>
          <t>["same_event","same_team_same_day","same_league_same_day"]</t>
        </is>
      </c>
      <c r="BJ165" s="25" t="n"/>
      <c r="BK165" s="26" t="n">
        <v>-500</v>
      </c>
      <c r="BL165" s="27" t="n">
        <v>1.2</v>
      </c>
      <c r="BM165" s="28" t="n">
        <v>0.833333</v>
      </c>
      <c r="BN165" s="28" t="n"/>
      <c r="BO165" s="28" t="n"/>
      <c r="BP165" s="25" t="n"/>
      <c r="BQ165" s="27" t="n"/>
      <c r="BR165" s="28" t="n"/>
      <c r="BS165" s="28" t="n"/>
      <c r="BT165" s="28" t="n"/>
      <c r="BU165" s="25" t="n"/>
      <c r="BV165" s="29" t="n"/>
      <c r="BW165" s="24" t="n"/>
      <c r="BX165" s="30" t="n">
        <v>1</v>
      </c>
      <c r="BY165" s="27" t="n">
        <v>0.2</v>
      </c>
      <c r="BZ165" s="24" t="inlineStr">
        <is>
          <t>2026-09-13T04:32:06.416261Z</t>
        </is>
      </c>
      <c r="CA165" s="31" t="inlineStr">
        <is>
          <t>fixed one-unit hypothetical scoring; no real exposure or execution</t>
        </is>
      </c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False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inlineStr">
        <is>
          <t>0.833333</t>
        </is>
      </c>
      <c r="DK165" s="24" t="n"/>
      <c r="DL165" s="24" t="n"/>
      <c r="DM165" s="24" t="n"/>
      <c r="DN165" s="24" t="n"/>
      <c r="DO165" s="24" t="n"/>
      <c r="DP165" s="24" t="n"/>
      <c r="DQ165" s="24" t="inlineStr">
        <is>
          <t>{"artifact_hash": "1d168f11d221cd3c", "event_id": "401862707", "event_start_utc": "2026-09-12T23:00Z", "features": {"altitude_fatigue_penalty": 0.0, "away_team": "Tulsa Golden Hurricane", "efficiency_gap": -1.121, "elo_away": 1358.1, "elo_home": 1287.4, "elo_home_win_prob": 0.4918, "event_id": "401862707", "game_start_utc": "2026-09-12T23:00Z", "home_field_advantage_points": 2.8, "home_team": "Sam Houston Bearkats", "is_dome": false, "is_fbs_vs_fcs": false, "is_neutral_site": false, "projected_away_points": 26.7, "projected_home_points": 26.4, "projected_margin_home": -0.2, "projected_possessions": 12.4, "projected_total": 53.1, "stadium_elevation_ft": 380, "travel_distance_miles": 376.0, "uncertainty": 0.18, "weather_total_adjustment": 0.0}, "historical_source_observation_times_verified": false, "inference_inputs": {"engine_source_sha256": "449ba2f0e86fa9c445730076a0e0bf100fb4914620be53c75c6f3bfe24298f3f", "mu_away": 26.7, "mu_home": 26.4,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105582537004387633845250554805238953501}, "uinteger": 0}, "spread_home_line": 12.5, "total_line": 51.5}, "market_type": "moneyline", "model_version": "college-football-v1", "observed_at_utc": "2026-09-12T22:41:47.836186+00:00", "probabilities": {"away": 0.507699, "home": 0.492301}, "replay_scope": "Full precision score means, exact engine parameters and original RNG state; upstream feature construction not certified.", "schema": "cfb-joint-replay-v1", "snapshot_hash": "02ee1e734e9d22f4d8a43af84bbd464fa8db348a837c75e30341b7a057c8e61e", "sport": "NCAAF"}</t>
        </is>
      </c>
    </row>
    <row r="166" ht="36" customHeight="1">
      <c r="A166" s="24" t="inlineStr">
        <is>
          <t>9a10ddad74ed4bd2</t>
        </is>
      </c>
      <c r="B166" s="24" t="inlineStr">
        <is>
          <t>2026-09-12T22:41:47.836186Z</t>
        </is>
      </c>
      <c r="C166" s="24" t="inlineStr">
        <is>
          <t>2026-09-12T23:00Z</t>
        </is>
      </c>
      <c r="D166" s="24" t="inlineStr">
        <is>
          <t>401862707</t>
        </is>
      </c>
      <c r="E166" s="24" t="inlineStr">
        <is>
          <t>NCAAF</t>
        </is>
      </c>
      <c r="F166" s="24" t="inlineStr">
        <is>
          <t>Tulsa Golden Hurricane</t>
        </is>
      </c>
      <c r="G166" s="24" t="inlineStr">
        <is>
          <t>Sam Houston Bearkats</t>
        </is>
      </c>
      <c r="H166" s="24" t="inlineStr">
        <is>
          <t>spread</t>
        </is>
      </c>
      <c r="I166" s="24" t="inlineStr">
        <is>
          <t>home</t>
        </is>
      </c>
      <c r="J166" s="25" t="n">
        <v>12.5</v>
      </c>
      <c r="K166" s="24" t="inlineStr">
        <is>
          <t>espn_consensus</t>
        </is>
      </c>
      <c r="L166" s="26" t="n">
        <v>-112</v>
      </c>
      <c r="M166" s="27" t="n">
        <v>1.892857</v>
      </c>
      <c r="N166" s="28" t="n">
        <v>0.528302</v>
      </c>
      <c r="O166" s="28" t="n">
        <v>0.773667</v>
      </c>
      <c r="P166" s="28" t="n">
        <v>0.18</v>
      </c>
      <c r="Q166" s="28" t="n">
        <v>0.245365</v>
      </c>
      <c r="R166" s="26" t="n">
        <v>65</v>
      </c>
      <c r="S166" s="29" t="n">
        <v>1.5</v>
      </c>
      <c r="T166" s="24" t="inlineStr">
        <is>
          <t>cfb-spread-v1</t>
        </is>
      </c>
      <c r="U166" s="24" t="inlineStr">
        <is>
          <t>settled</t>
        </is>
      </c>
      <c r="V166" s="24" t="inlineStr">
        <is>
          <t>win</t>
        </is>
      </c>
      <c r="W166" s="26" t="n">
        <v>23</v>
      </c>
      <c r="X166" s="26" t="n">
        <v>17</v>
      </c>
      <c r="Y166" s="25" t="n"/>
      <c r="Z166" s="26" t="n"/>
      <c r="AA166" s="28" t="n"/>
      <c r="AB166" s="28" t="n"/>
      <c r="AC166" s="30" t="n">
        <v>1.3393</v>
      </c>
      <c r="AD166" s="24" t="inlineStr">
        <is>
          <t>2026-09-13T04:32:06.753098Z</t>
        </is>
      </c>
      <c r="AE166" s="31" t="inlineStr">
        <is>
          <t>Projected home margin -0.2 pts. Spread: Home +12.5 / Away -12.5 -&gt; P(Away cover)=0.226, P(Home cover)=0.774, P(Push)=0.000.</t>
        </is>
      </c>
      <c r="AF166" s="31" t="inlineStr">
        <is>
          <t>College football model; multi-market (moneyline, spread, total).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4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Tulsa Golden Hurricane</t>
        </is>
      </c>
      <c r="AQ166" s="24" t="inlineStr">
        <is>
          <t>Tulsa Golden Hurricane</t>
        </is>
      </c>
      <c r="AR166" s="24" t="inlineStr">
        <is>
          <t>Tulsa Golden Hurricane</t>
        </is>
      </c>
      <c r="AS166" s="24" t="inlineStr">
        <is>
          <t>Sam Houston Bearkats</t>
        </is>
      </c>
      <c r="AT166" s="24" t="inlineStr">
        <is>
          <t>Sam Houston Bearkats</t>
        </is>
      </c>
      <c r="AU166" s="24" t="inlineStr">
        <is>
          <t>Sam Houston Bearkats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1d168f11d221cd3c</t>
        </is>
      </c>
      <c r="BB166" s="24" t="inlineStr">
        <is>
          <t>cfb_key_number_engine</t>
        </is>
      </c>
      <c r="BC166" s="24" t="inlineStr">
        <is>
          <t>cfb-spread-v1</t>
        </is>
      </c>
      <c r="BD166" s="24" t="inlineStr">
        <is>
          <t>1d168f11d221cd3c</t>
        </is>
      </c>
      <c r="BE166" s="24" t="inlineStr">
        <is>
          <t>cfb-v1</t>
        </is>
      </c>
      <c r="BF166" s="24" t="inlineStr">
        <is>
          <t>1</t>
        </is>
      </c>
      <c r="BG166" s="24" t="inlineStr">
        <is>
          <t>1d168f11d221cd3c</t>
        </is>
      </c>
      <c r="BH166" s="24" t="inlineStr">
        <is>
          <t>2026-09-12T22:41:47.836186+00:00</t>
        </is>
      </c>
      <c r="BI166" s="24" t="inlineStr">
        <is>
          <t>["same_event","same_team_same_day","same_league_same_day"]</t>
        </is>
      </c>
      <c r="BJ166" s="25" t="n">
        <v>12.5</v>
      </c>
      <c r="BK166" s="26" t="n">
        <v>-112</v>
      </c>
      <c r="BL166" s="27" t="n">
        <v>1.892857</v>
      </c>
      <c r="BM166" s="28" t="n">
        <v>0.528302</v>
      </c>
      <c r="BN166" s="28" t="n"/>
      <c r="BO166" s="28" t="n"/>
      <c r="BP166" s="25" t="n"/>
      <c r="BQ166" s="27" t="n"/>
      <c r="BR166" s="28" t="n"/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inlineStr">
        <is>
          <t>0.528302</t>
        </is>
      </c>
      <c r="DK166" s="24" t="n"/>
      <c r="DL166" s="24" t="n"/>
      <c r="DM166" s="24" t="n"/>
      <c r="DN166" s="24" t="n"/>
      <c r="DO166" s="24" t="n"/>
      <c r="DP166" s="24" t="n"/>
      <c r="DQ166" s="24" t="inlineStr">
        <is>
          <t>{"artifact_hash": "1d168f11d221cd3c", "event_id": "401862707", "event_start_utc": "2026-09-12T23:00Z", "features": {"altitude_fatigue_penalty": 0.0, "away_team": "Tulsa Golden Hurricane", "efficiency_gap": -1.121, "elo_away": 1358.1, "elo_home": 1287.4, "elo_home_win_prob": 0.4918, "event_id": "401862707", "game_start_utc": "2026-09-12T23:00Z", "home_field_advantage_points": 2.8, "home_team": "Sam Houston Bearkats", "is_dome": false, "is_fbs_vs_fcs": false, "is_neutral_site": false, "projected_away_points": 26.7, "projected_home_points": 26.4, "projected_margin_home": -0.2, "projected_possessions": 12.4, "projected_total": 53.1, "stadium_elevation_ft": 380, "travel_distance_miles": 376.0, "uncertainty": 0.18, "weather_total_adjustment": 0.0}, "historical_source_observation_times_verified": false, "inference_inputs": {"engine_source_sha256": "449ba2f0e86fa9c445730076a0e0bf100fb4914620be53c75c6f3bfe24298f3f", "mu_away": 26.7, "mu_home": 26.4,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105582537004387633845250554805238953501}, "uinteger": 0}, "spread_home_line": 12.5, "total_line": 51.5}, "market_type": "spread", "model_version": "cfb-spread-v1", "observed_at_utc": "2026-09-12T22:41:47.836186+00:00", "probabilities": {"away": 0.226333, "home": 0.773667, "push": 0.0}, "replay_scope": "Full precision score means, exact engine parameters and original RNG state; upstream feature construction not certified.", "schema": "cfb-joint-replay-v1", "snapshot_hash": "5b36635bce2b3bbebc769a83b0dfdfab9cdc7b784bed481323fb16b524476b9f", "sport": "NCAAF"}</t>
        </is>
      </c>
    </row>
    <row r="167" ht="36" customHeight="1">
      <c r="A167" s="24" t="inlineStr">
        <is>
          <t>196d229bd2a84b3b</t>
        </is>
      </c>
      <c r="B167" s="24" t="inlineStr">
        <is>
          <t>2026-09-12T22:41:47.836186Z</t>
        </is>
      </c>
      <c r="C167" s="24" t="inlineStr">
        <is>
          <t>2026-09-12T23:00Z</t>
        </is>
      </c>
      <c r="D167" s="24" t="inlineStr">
        <is>
          <t>401862707</t>
        </is>
      </c>
      <c r="E167" s="24" t="inlineStr">
        <is>
          <t>NCAAF</t>
        </is>
      </c>
      <c r="F167" s="24" t="inlineStr">
        <is>
          <t>Tulsa Golden Hurricane</t>
        </is>
      </c>
      <c r="G167" s="24" t="inlineStr">
        <is>
          <t>Sam Houston Bearkats</t>
        </is>
      </c>
      <c r="H167" s="24" t="inlineStr">
        <is>
          <t>total</t>
        </is>
      </c>
      <c r="I167" s="24" t="inlineStr">
        <is>
          <t>over</t>
        </is>
      </c>
      <c r="J167" s="25" t="n">
        <v>51.5</v>
      </c>
      <c r="K167" s="24" t="inlineStr">
        <is>
          <t>espn_consensus</t>
        </is>
      </c>
      <c r="L167" s="26" t="n">
        <v>-118</v>
      </c>
      <c r="M167" s="27" t="n">
        <v>1.847458</v>
      </c>
      <c r="N167" s="28" t="n">
        <v>0.541284</v>
      </c>
      <c r="O167" s="28" t="n">
        <v>0.5098</v>
      </c>
      <c r="P167" s="28" t="n">
        <v>0.18</v>
      </c>
      <c r="Q167" s="28" t="n">
        <v>-0.031484</v>
      </c>
      <c r="R167" s="26" t="n">
        <v>0</v>
      </c>
      <c r="S167" s="29" t="n">
        <v>1</v>
      </c>
      <c r="T167" s="24" t="inlineStr">
        <is>
          <t>cfb-total-v1</t>
        </is>
      </c>
      <c r="U167" s="24" t="inlineStr">
        <is>
          <t>settled</t>
        </is>
      </c>
      <c r="V167" s="24" t="inlineStr">
        <is>
          <t>loss</t>
        </is>
      </c>
      <c r="W167" s="26" t="n">
        <v>23</v>
      </c>
      <c r="X167" s="26" t="n">
        <v>17</v>
      </c>
      <c r="Y167" s="25" t="n"/>
      <c r="Z167" s="26" t="n"/>
      <c r="AA167" s="28" t="n"/>
      <c r="AB167" s="28" t="n"/>
      <c r="AC167" s="30" t="n">
        <v>-1</v>
      </c>
      <c r="AD167" s="24" t="inlineStr">
        <is>
          <t>2026-09-13T04:32:07.139896Z</t>
        </is>
      </c>
      <c r="AE167" s="31" t="inlineStr">
        <is>
          <t>Projected total 53.1 pts (Weather adj: +0.0 pts). Total line 51.5 -&gt; P(Over)=0.510, P(Under)=0.490, P(Push)=0.000.</t>
        </is>
      </c>
      <c r="AF167" s="31" t="inlineStr">
        <is>
          <t>College football model; multi-market (moneyline, spread, total).</t>
        </is>
      </c>
      <c r="AG167" s="24" t="inlineStr">
        <is>
          <t>review_required</t>
        </is>
      </c>
      <c r="AH167" s="24" t="n"/>
      <c r="AI167" s="31" t="n"/>
      <c r="AJ167" s="31" t="n"/>
      <c r="AK167" s="24" t="inlineStr">
        <is>
          <t>paper_call</t>
        </is>
      </c>
      <c r="AL167" s="26" t="n">
        <v>4</v>
      </c>
      <c r="AM167" s="24" t="inlineStr">
        <is>
          <t>RESEARCH_OBSERVATION</t>
        </is>
      </c>
      <c r="AN167" s="24" t="inlineStr">
        <is>
          <t>CALL</t>
        </is>
      </c>
      <c r="AO167" s="24" t="inlineStr">
        <is>
          <t>PAPER_CALL_LOW_EDGE</t>
        </is>
      </c>
      <c r="AP167" s="24" t="inlineStr">
        <is>
          <t>Tulsa Golden Hurricane</t>
        </is>
      </c>
      <c r="AQ167" s="24" t="inlineStr">
        <is>
          <t>Tulsa Golden Hurricane</t>
        </is>
      </c>
      <c r="AR167" s="24" t="inlineStr">
        <is>
          <t>Tulsa Golden Hurricane</t>
        </is>
      </c>
      <c r="AS167" s="24" t="inlineStr">
        <is>
          <t>Sam Houston Bearkats</t>
        </is>
      </c>
      <c r="AT167" s="24" t="inlineStr">
        <is>
          <t>Sam Houston Bearkats</t>
        </is>
      </c>
      <c r="AU167" s="24" t="inlineStr">
        <is>
          <t>Sam Houston Bearkats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1d168f11d221cd3c</t>
        </is>
      </c>
      <c r="BB167" s="24" t="inlineStr">
        <is>
          <t>cfb_key_number_engine</t>
        </is>
      </c>
      <c r="BC167" s="24" t="inlineStr">
        <is>
          <t>cfb-total-v1</t>
        </is>
      </c>
      <c r="BD167" s="24" t="inlineStr">
        <is>
          <t>1d168f11d221cd3c</t>
        </is>
      </c>
      <c r="BE167" s="24" t="inlineStr">
        <is>
          <t>cfb-v1</t>
        </is>
      </c>
      <c r="BF167" s="24" t="inlineStr">
        <is>
          <t>1</t>
        </is>
      </c>
      <c r="BG167" s="24" t="inlineStr">
        <is>
          <t>1d168f11d221cd3c</t>
        </is>
      </c>
      <c r="BH167" s="24" t="inlineStr">
        <is>
          <t>2026-09-12T22:41:47.836186+00:00</t>
        </is>
      </c>
      <c r="BI167" s="24" t="inlineStr">
        <is>
          <t>["same_event","same_team_same_day","same_league_same_day"]</t>
        </is>
      </c>
      <c r="BJ167" s="25" t="n">
        <v>51.5</v>
      </c>
      <c r="BK167" s="26" t="n">
        <v>-118</v>
      </c>
      <c r="BL167" s="27" t="n">
        <v>1.847458</v>
      </c>
      <c r="BM167" s="28" t="n">
        <v>0.541284</v>
      </c>
      <c r="BN167" s="28" t="n"/>
      <c r="BO167" s="28" t="n"/>
      <c r="BP167" s="25" t="n"/>
      <c r="BQ167" s="27" t="n"/>
      <c r="BR167" s="28" t="n"/>
      <c r="BS167" s="28" t="n"/>
      <c r="BT167" s="28" t="n"/>
      <c r="BU167" s="25" t="n"/>
      <c r="BV167" s="29" t="n"/>
      <c r="BW167" s="24" t="n"/>
      <c r="BX167" s="30" t="n">
        <v>1</v>
      </c>
      <c r="BY167" s="27" t="n">
        <v>-1</v>
      </c>
      <c r="BZ167" s="24" t="inlineStr">
        <is>
          <t>2026-09-13T04:32:07.139896Z</t>
        </is>
      </c>
      <c r="CA167" s="31" t="inlineStr">
        <is>
          <t>fixed one-unit hypothetical scoring; no real exposure or execution</t>
        </is>
      </c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False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0.541284</t>
        </is>
      </c>
      <c r="DK167" s="24" t="n"/>
      <c r="DL167" s="24" t="n"/>
      <c r="DM167" s="24" t="n"/>
      <c r="DN167" s="24" t="n"/>
      <c r="DO167" s="24" t="n"/>
      <c r="DP167" s="24" t="n"/>
      <c r="DQ167" s="24" t="inlineStr">
        <is>
          <t>{"artifact_hash": "1d168f11d221cd3c", "event_id": "401862707", "event_start_utc": "2026-09-12T23:00Z", "features": {"altitude_fatigue_penalty": 0.0, "away_team": "Tulsa Golden Hurricane", "efficiency_gap": -1.121, "elo_away": 1358.1, "elo_home": 1287.4, "elo_home_win_prob": 0.4918, "event_id": "401862707", "game_start_utc": "2026-09-12T23:00Z", "home_field_advantage_points": 2.8, "home_team": "Sam Houston Bearkats", "is_dome": false, "is_fbs_vs_fcs": false, "is_neutral_site": false, "projected_away_points": 26.7, "projected_home_points": 26.4, "projected_margin_home": -0.2, "projected_possessions": 12.4, "projected_total": 53.1, "stadium_elevation_ft": 380, "travel_distance_miles": 376.0, "uncertainty": 0.18, "weather_total_adjustment": 0.0}, "historical_source_observation_times_verified": false, "inference_inputs": {"engine_source_sha256": "449ba2f0e86fa9c445730076a0e0bf100fb4914620be53c75c6f3bfe24298f3f", "mu_away": 26.7, "mu_home": 26.4,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105582537004387633845250554805238953501}, "uinteger": 0}, "spread_home_line": 12.5, "total_line": 51.5}, "market_type": "total", "model_version": "cfb-total-v1", "observed_at_utc": "2026-09-12T22:41:47.836186+00:00", "probabilities": {"over": 0.5098, "push": 0.0, "under": 0.4902}, "replay_scope": "Full precision score means, exact engine parameters and original RNG state; upstream feature construction not certified.", "schema": "cfb-joint-replay-v1", "snapshot_hash": "80a6251d11612d85aac824a34c021fe29945e4d444e7eb5d2cd4b866906117ac", "sport": "NCAAF"}</t>
        </is>
      </c>
    </row>
    <row r="168" ht="36" customHeight="1">
      <c r="A168" s="24" t="inlineStr">
        <is>
          <t>19d72eb27d5545f3</t>
        </is>
      </c>
      <c r="B168" s="24" t="inlineStr">
        <is>
          <t>2026-09-12T22:41:47.836186Z</t>
        </is>
      </c>
      <c r="C168" s="24" t="inlineStr">
        <is>
          <t>2026-09-12T23:00Z</t>
        </is>
      </c>
      <c r="D168" s="24" t="inlineStr">
        <is>
          <t>401864503</t>
        </is>
      </c>
      <c r="E168" s="24" t="inlineStr">
        <is>
          <t>NCAAF</t>
        </is>
      </c>
      <c r="F168" s="24" t="inlineStr">
        <is>
          <t>Illinois State Redbirds</t>
        </is>
      </c>
      <c r="G168" s="24" t="inlineStr">
        <is>
          <t>Northern Illinois Huskies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espn_consensus</t>
        </is>
      </c>
      <c r="L168" s="26" t="n">
        <v>124</v>
      </c>
      <c r="M168" s="27" t="n">
        <v>2.24</v>
      </c>
      <c r="N168" s="28" t="n">
        <v>0.446429</v>
      </c>
      <c r="O168" s="28" t="n">
        <v>0.538909</v>
      </c>
      <c r="P168" s="28" t="n">
        <v>0.18</v>
      </c>
      <c r="Q168" s="28" t="n">
        <v>0.09248000000000001</v>
      </c>
      <c r="R168" s="26" t="n">
        <v>0</v>
      </c>
      <c r="S168" s="29" t="n">
        <v>1</v>
      </c>
      <c r="T168" s="24" t="inlineStr">
        <is>
          <t>college-football-v1</t>
        </is>
      </c>
      <c r="U168" s="24" t="inlineStr">
        <is>
          <t>settled</t>
        </is>
      </c>
      <c r="V168" s="24" t="inlineStr">
        <is>
          <t>loss</t>
        </is>
      </c>
      <c r="W168" s="26" t="n">
        <v>28</v>
      </c>
      <c r="X168" s="26" t="n">
        <v>24</v>
      </c>
      <c r="Y168" s="25" t="n"/>
      <c r="Z168" s="26" t="n"/>
      <c r="AA168" s="28" t="n"/>
      <c r="AB168" s="28" t="n"/>
      <c r="AC168" s="30" t="n">
        <v>-1</v>
      </c>
      <c r="AD168" s="24" t="inlineStr">
        <is>
          <t>2026-09-13T04:32:07.622096Z</t>
        </is>
      </c>
      <c r="AE168" s="31" t="inlineStr">
        <is>
          <t>CFB Joint Model (negative_binomial): proj score Illinois State Redbirds 25.4 @ Northern Illinois Huskies 26.6 (Margin +1.1). Possessions: 12.4, HFA: +2.8 pts.</t>
        </is>
      </c>
      <c r="AF168" s="31" t="inlineStr">
        <is>
          <t>College football model; multi-market (moneyline, spread, total).</t>
        </is>
      </c>
      <c r="AG168" s="24" t="inlineStr">
        <is>
          <t>review_required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4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Illinois State Redbirds</t>
        </is>
      </c>
      <c r="AQ168" s="24" t="inlineStr">
        <is>
          <t>Illinois State Redbirds</t>
        </is>
      </c>
      <c r="AR168" s="24" t="inlineStr">
        <is>
          <t>Illinois State Redbirds</t>
        </is>
      </c>
      <c r="AS168" s="24" t="inlineStr">
        <is>
          <t>Northern Illinois Huskies</t>
        </is>
      </c>
      <c r="AT168" s="24" t="inlineStr">
        <is>
          <t>Northern Illinois Huskies</t>
        </is>
      </c>
      <c r="AU168" s="24" t="inlineStr">
        <is>
          <t>Northern Illinois Huskies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1d168f11d221cd3c</t>
        </is>
      </c>
      <c r="BB168" s="24" t="inlineStr">
        <is>
          <t>cfb_key_number_engine</t>
        </is>
      </c>
      <c r="BC168" s="24" t="inlineStr">
        <is>
          <t>college-football-v1</t>
        </is>
      </c>
      <c r="BD168" s="24" t="inlineStr">
        <is>
          <t>1d168f11d221cd3c</t>
        </is>
      </c>
      <c r="BE168" s="24" t="inlineStr">
        <is>
          <t>cfb-v1</t>
        </is>
      </c>
      <c r="BF168" s="24" t="inlineStr">
        <is>
          <t>1</t>
        </is>
      </c>
      <c r="BG168" s="24" t="inlineStr">
        <is>
          <t>1d168f11d221cd3c</t>
        </is>
      </c>
      <c r="BH168" s="24" t="inlineStr">
        <is>
          <t>2026-09-12T22:41:47.836186+00:00</t>
        </is>
      </c>
      <c r="BI168" s="24" t="inlineStr">
        <is>
          <t>["same_event","same_team_same_day","same_league_same_day"]</t>
        </is>
      </c>
      <c r="BJ168" s="25" t="n"/>
      <c r="BK168" s="26" t="n">
        <v>124</v>
      </c>
      <c r="BL168" s="27" t="n">
        <v>2.24</v>
      </c>
      <c r="BM168" s="28" t="n">
        <v>0.446429</v>
      </c>
      <c r="BN168" s="28" t="n"/>
      <c r="BO168" s="28" t="n"/>
      <c r="BP168" s="25" t="n"/>
      <c r="BQ168" s="27" t="n"/>
      <c r="BR168" s="28" t="n"/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True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inlineStr">
        <is>
          <t>0.446429</t>
        </is>
      </c>
      <c r="DK168" s="24" t="n"/>
      <c r="DL168" s="24" t="n"/>
      <c r="DM168" s="24" t="n"/>
      <c r="DN168" s="24" t="n"/>
      <c r="DO168" s="24" t="n"/>
      <c r="DP168" s="24" t="n"/>
      <c r="DQ168" s="24" t="inlineStr">
        <is>
          <t>{"artifact_hash": "1d168f11d221cd3c", "event_id": "401864503", "event_start_utc": "2026-09-12T23:00Z", "features": {"altitude_fatigue_penalty": 0.0, "away_team": "Illinois State Redbirds", "efficiency_gap": -0.594, "elo_away": 1337.5, "elo_home": 1300.6, "elo_home_win_prob": 0.5404, "event_id": "401864503", "game_start_utc": "2026-09-12T23:00Z", "home_field_advantage_points": 2.8, "home_team": "Northern Illinois Huskies", "is_dome": false, "is_fbs_vs_fcs": false, "is_neutral_site": false, "projected_away_points": 25.4, "projected_home_points": 26.6, "projected_margin_home": 1.1,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25.4, "mu_home": 26.6,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98379436615889488802134230503748577751}, "uinteger": 0}, "spread_home_line": 2.5, "total_line": 47.5}, "market_type": "moneyline", "model_version": "college-football-v1", "observed_at_utc": "2026-09-12T22:41:47.836186+00:00", "probabilities": {"away": 0.461091, "home": 0.538909}, "replay_scope": "Full precision score means, exact engine parameters and original RNG state; upstream feature construction not certified.", "schema": "cfb-joint-replay-v1", "snapshot_hash": "a100b026a78ef19d069c33b0b21c61f0fc9ba17f26eff8d8d34f6c1068988ed8", "sport": "NCAAF"}</t>
        </is>
      </c>
    </row>
    <row r="169" ht="36" customHeight="1">
      <c r="A169" s="24" t="inlineStr">
        <is>
          <t>8e7a6c3d01544ae1</t>
        </is>
      </c>
      <c r="B169" s="24" t="inlineStr">
        <is>
          <t>2026-09-12T22:41:47.836186Z</t>
        </is>
      </c>
      <c r="C169" s="24" t="inlineStr">
        <is>
          <t>2026-09-12T23:00Z</t>
        </is>
      </c>
      <c r="D169" s="24" t="inlineStr">
        <is>
          <t>401864503</t>
        </is>
      </c>
      <c r="E169" s="24" t="inlineStr">
        <is>
          <t>NCAAF</t>
        </is>
      </c>
      <c r="F169" s="24" t="inlineStr">
        <is>
          <t>Illinois State Redbirds</t>
        </is>
      </c>
      <c r="G169" s="24" t="inlineStr">
        <is>
          <t>Northern Illinois Huskies</t>
        </is>
      </c>
      <c r="H169" s="24" t="inlineStr">
        <is>
          <t>spread</t>
        </is>
      </c>
      <c r="I169" s="24" t="inlineStr">
        <is>
          <t>home</t>
        </is>
      </c>
      <c r="J169" s="25" t="n">
        <v>2.5</v>
      </c>
      <c r="K169" s="24" t="inlineStr">
        <is>
          <t>espn_consensus</t>
        </is>
      </c>
      <c r="L169" s="26" t="n">
        <v>100</v>
      </c>
      <c r="M169" s="27" t="n">
        <v>2</v>
      </c>
      <c r="N169" s="28" t="n">
        <v>0.5</v>
      </c>
      <c r="O169" s="28" t="n">
        <v>0.5988</v>
      </c>
      <c r="P169" s="28" t="n">
        <v>0.18</v>
      </c>
      <c r="Q169" s="28" t="n">
        <v>0.0988</v>
      </c>
      <c r="R169" s="26" t="n">
        <v>0</v>
      </c>
      <c r="S169" s="29" t="n">
        <v>1</v>
      </c>
      <c r="T169" s="24" t="inlineStr">
        <is>
          <t>cfb-spread-v1</t>
        </is>
      </c>
      <c r="U169" s="24" t="inlineStr">
        <is>
          <t>settled</t>
        </is>
      </c>
      <c r="V169" s="24" t="inlineStr">
        <is>
          <t>loss</t>
        </is>
      </c>
      <c r="W169" s="26" t="n">
        <v>28</v>
      </c>
      <c r="X169" s="26" t="n">
        <v>24</v>
      </c>
      <c r="Y169" s="25" t="n"/>
      <c r="Z169" s="26" t="n"/>
      <c r="AA169" s="28" t="n"/>
      <c r="AB169" s="28" t="n"/>
      <c r="AC169" s="30" t="n">
        <v>-1</v>
      </c>
      <c r="AD169" s="24" t="inlineStr">
        <is>
          <t>2026-09-13T04:32:08.447845Z</t>
        </is>
      </c>
      <c r="AE169" s="31" t="inlineStr">
        <is>
          <t>Projected home margin +1.1 pts. Spread: Home +2.5 / Away -2.5 -&gt; P(Away cover)=0.401, P(Home cover)=0.599, P(Push)=0.000.</t>
        </is>
      </c>
      <c r="AF169" s="31" t="inlineStr">
        <is>
          <t>College football model; multi-market (moneyline, spread, total).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model_qualified</t>
        </is>
      </c>
      <c r="AL169" s="26" t="n">
        <v>4</v>
      </c>
      <c r="AM169" s="24" t="inlineStr">
        <is>
          <t>QUALIFIED_SHADOW_CALL</t>
        </is>
      </c>
      <c r="AN169" s="24" t="inlineStr">
        <is>
          <t>CALL</t>
        </is>
      </c>
      <c r="AO169" s="24" t="inlineStr">
        <is>
          <t>QUALIFIED</t>
        </is>
      </c>
      <c r="AP169" s="24" t="inlineStr">
        <is>
          <t>Illinois State Redbirds</t>
        </is>
      </c>
      <c r="AQ169" s="24" t="inlineStr">
        <is>
          <t>Illinois State Redbirds</t>
        </is>
      </c>
      <c r="AR169" s="24" t="inlineStr">
        <is>
          <t>Illinois State Redbirds</t>
        </is>
      </c>
      <c r="AS169" s="24" t="inlineStr">
        <is>
          <t>Northern Illinois Huskies</t>
        </is>
      </c>
      <c r="AT169" s="24" t="inlineStr">
        <is>
          <t>Northern Illinois Huskies</t>
        </is>
      </c>
      <c r="AU169" s="24" t="inlineStr">
        <is>
          <t>Northern Illinois Huskies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1d168f11d221cd3c</t>
        </is>
      </c>
      <c r="BB169" s="24" t="inlineStr">
        <is>
          <t>cfb_key_number_engine</t>
        </is>
      </c>
      <c r="BC169" s="24" t="inlineStr">
        <is>
          <t>cfb-spread-v1</t>
        </is>
      </c>
      <c r="BD169" s="24" t="inlineStr">
        <is>
          <t>1d168f11d221cd3c</t>
        </is>
      </c>
      <c r="BE169" s="24" t="inlineStr">
        <is>
          <t>cfb-v1</t>
        </is>
      </c>
      <c r="BF169" s="24" t="inlineStr">
        <is>
          <t>1</t>
        </is>
      </c>
      <c r="BG169" s="24" t="inlineStr">
        <is>
          <t>1d168f11d221cd3c</t>
        </is>
      </c>
      <c r="BH169" s="24" t="inlineStr">
        <is>
          <t>2026-09-12T22:41:47.836186+00:00</t>
        </is>
      </c>
      <c r="BI169" s="24" t="inlineStr">
        <is>
          <t>["same_event","same_team_same_day","same_league_same_day"]</t>
        </is>
      </c>
      <c r="BJ169" s="25" t="n">
        <v>2.5</v>
      </c>
      <c r="BK169" s="26" t="n">
        <v>100</v>
      </c>
      <c r="BL169" s="27" t="n">
        <v>2</v>
      </c>
      <c r="BM169" s="28" t="n">
        <v>0.5</v>
      </c>
      <c r="BN169" s="28" t="n"/>
      <c r="BO169" s="28" t="n"/>
      <c r="BP169" s="25" t="n"/>
      <c r="BQ169" s="27" t="n"/>
      <c r="BR169" s="28" t="n"/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True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inlineStr">
        <is>
          <t>0.5</t>
        </is>
      </c>
      <c r="DK169" s="24" t="n"/>
      <c r="DL169" s="24" t="n"/>
      <c r="DM169" s="24" t="n"/>
      <c r="DN169" s="24" t="n"/>
      <c r="DO169" s="24" t="n"/>
      <c r="DP169" s="24" t="n"/>
      <c r="DQ169" s="24" t="inlineStr">
        <is>
          <t>{"artifact_hash": "1d168f11d221cd3c", "event_id": "401864503", "event_start_utc": "2026-09-12T23:00Z", "features": {"altitude_fatigue_penalty": 0.0, "away_team": "Illinois State Redbirds", "efficiency_gap": -0.594, "elo_away": 1337.5, "elo_home": 1300.6, "elo_home_win_prob": 0.5404, "event_id": "401864503", "game_start_utc": "2026-09-12T23:00Z", "home_field_advantage_points": 2.8, "home_team": "Northern Illinois Huskies", "is_dome": false, "is_fbs_vs_fcs": false, "is_neutral_site": false, "projected_away_points": 25.4, "projected_home_points": 26.6, "projected_margin_home": 1.1,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25.4, "mu_home": 26.6,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98379436615889488802134230503748577751}, "uinteger": 0}, "spread_home_line": 2.5, "total_line": 47.5}, "market_type": "spread", "model_version": "cfb-spread-v1", "observed_at_utc": "2026-09-12T22:41:47.836186+00:00", "probabilities": {"away": 0.4012, "home": 0.5988, "push": 0.0}, "replay_scope": "Full precision score means, exact engine parameters and original RNG state; upstream feature construction not certified.", "schema": "cfb-joint-replay-v1", "snapshot_hash": "01960507437ad14d5bada8ae6a52243855f53d740fb5710f299519b1bf4217b8", "sport": "NCAAF"}</t>
        </is>
      </c>
    </row>
    <row r="170" ht="36" customHeight="1">
      <c r="A170" s="24" t="inlineStr">
        <is>
          <t>7280fcabc3ac4882</t>
        </is>
      </c>
      <c r="B170" s="24" t="inlineStr">
        <is>
          <t>2026-09-12T22:41:47.836186Z</t>
        </is>
      </c>
      <c r="C170" s="24" t="inlineStr">
        <is>
          <t>2026-09-12T23:00Z</t>
        </is>
      </c>
      <c r="D170" s="24" t="inlineStr">
        <is>
          <t>401864503</t>
        </is>
      </c>
      <c r="E170" s="24" t="inlineStr">
        <is>
          <t>NCAAF</t>
        </is>
      </c>
      <c r="F170" s="24" t="inlineStr">
        <is>
          <t>Illinois State Redbirds</t>
        </is>
      </c>
      <c r="G170" s="24" t="inlineStr">
        <is>
          <t>Northern Illinois Huskies</t>
        </is>
      </c>
      <c r="H170" s="24" t="inlineStr">
        <is>
          <t>total</t>
        </is>
      </c>
      <c r="I170" s="24" t="inlineStr">
        <is>
          <t>over</t>
        </is>
      </c>
      <c r="J170" s="25" t="n">
        <v>47.5</v>
      </c>
      <c r="K170" s="24" t="inlineStr">
        <is>
          <t>espn_consensus</t>
        </is>
      </c>
      <c r="L170" s="26" t="n">
        <v>-115</v>
      </c>
      <c r="M170" s="27" t="n">
        <v>1.869565</v>
      </c>
      <c r="N170" s="28" t="n">
        <v>0.534884</v>
      </c>
      <c r="O170" s="28" t="n">
        <v>0.572</v>
      </c>
      <c r="P170" s="28" t="n">
        <v>0.18</v>
      </c>
      <c r="Q170" s="28" t="n">
        <v>0.037116</v>
      </c>
      <c r="R170" s="26" t="n">
        <v>0</v>
      </c>
      <c r="S170" s="29" t="n">
        <v>1</v>
      </c>
      <c r="T170" s="24" t="inlineStr">
        <is>
          <t>cfb-total-v1</t>
        </is>
      </c>
      <c r="U170" s="24" t="inlineStr">
        <is>
          <t>settled</t>
        </is>
      </c>
      <c r="V170" s="24" t="inlineStr">
        <is>
          <t>win</t>
        </is>
      </c>
      <c r="W170" s="26" t="n">
        <v>28</v>
      </c>
      <c r="X170" s="26" t="n">
        <v>24</v>
      </c>
      <c r="Y170" s="25" t="n"/>
      <c r="Z170" s="26" t="n"/>
      <c r="AA170" s="28" t="n"/>
      <c r="AB170" s="28" t="n"/>
      <c r="AC170" s="30" t="n">
        <v>0.8696</v>
      </c>
      <c r="AD170" s="24" t="inlineStr">
        <is>
          <t>2026-09-13T04:32:08.838415Z</t>
        </is>
      </c>
      <c r="AE170" s="31" t="inlineStr">
        <is>
          <t>Projected total 52.0 pts (Weather adj: +0.0 pts). Total line 47.5 -&gt; P(Over)=0.572, P(Under)=0.428, P(Push)=0.000.</t>
        </is>
      </c>
      <c r="AF170" s="31" t="inlineStr">
        <is>
          <t>College football model; multi-market (moneyline, spread, total).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model_qualified</t>
        </is>
      </c>
      <c r="AL170" s="26" t="n">
        <v>4</v>
      </c>
      <c r="AM170" s="24" t="inlineStr">
        <is>
          <t>QUALIFIED_SHADOW_CALL</t>
        </is>
      </c>
      <c r="AN170" s="24" t="inlineStr">
        <is>
          <t>CALL</t>
        </is>
      </c>
      <c r="AO170" s="24" t="inlineStr">
        <is>
          <t>QUALIFIED</t>
        </is>
      </c>
      <c r="AP170" s="24" t="inlineStr">
        <is>
          <t>Illinois State Redbirds</t>
        </is>
      </c>
      <c r="AQ170" s="24" t="inlineStr">
        <is>
          <t>Illinois State Redbirds</t>
        </is>
      </c>
      <c r="AR170" s="24" t="inlineStr">
        <is>
          <t>Illinois State Redbirds</t>
        </is>
      </c>
      <c r="AS170" s="24" t="inlineStr">
        <is>
          <t>Northern Illinois Huskies</t>
        </is>
      </c>
      <c r="AT170" s="24" t="inlineStr">
        <is>
          <t>Northern Illinois Huskies</t>
        </is>
      </c>
      <c r="AU170" s="24" t="inlineStr">
        <is>
          <t>Northern Illinois Huskies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1d168f11d221cd3c</t>
        </is>
      </c>
      <c r="BB170" s="24" t="inlineStr">
        <is>
          <t>cfb_key_number_engine</t>
        </is>
      </c>
      <c r="BC170" s="24" t="inlineStr">
        <is>
          <t>cfb-total-v1</t>
        </is>
      </c>
      <c r="BD170" s="24" t="inlineStr">
        <is>
          <t>1d168f11d221cd3c</t>
        </is>
      </c>
      <c r="BE170" s="24" t="inlineStr">
        <is>
          <t>cfb-v1</t>
        </is>
      </c>
      <c r="BF170" s="24" t="inlineStr">
        <is>
          <t>1</t>
        </is>
      </c>
      <c r="BG170" s="24" t="inlineStr">
        <is>
          <t>1d168f11d221cd3c</t>
        </is>
      </c>
      <c r="BH170" s="24" t="inlineStr">
        <is>
          <t>2026-09-12T22:41:47.836186+00:00</t>
        </is>
      </c>
      <c r="BI170" s="24" t="inlineStr">
        <is>
          <t>["same_event","same_team_same_day","same_league_same_day"]</t>
        </is>
      </c>
      <c r="BJ170" s="25" t="n">
        <v>47.5</v>
      </c>
      <c r="BK170" s="26" t="n">
        <v>-115</v>
      </c>
      <c r="BL170" s="27" t="n">
        <v>1.869565</v>
      </c>
      <c r="BM170" s="28" t="n">
        <v>0.534884</v>
      </c>
      <c r="BN170" s="28" t="n"/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True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inlineStr">
        <is>
          <t>0.534884</t>
        </is>
      </c>
      <c r="DK170" s="24" t="n"/>
      <c r="DL170" s="24" t="n"/>
      <c r="DM170" s="24" t="n"/>
      <c r="DN170" s="24" t="n"/>
      <c r="DO170" s="24" t="n"/>
      <c r="DP170" s="24" t="n"/>
      <c r="DQ170" s="24" t="inlineStr">
        <is>
          <t>{"artifact_hash": "1d168f11d221cd3c", "event_id": "401864503", "event_start_utc": "2026-09-12T23:00Z", "features": {"altitude_fatigue_penalty": 0.0, "away_team": "Illinois State Redbirds", "efficiency_gap": -0.594, "elo_away": 1337.5, "elo_home": 1300.6, "elo_home_win_prob": 0.5404, "event_id": "401864503", "game_start_utc": "2026-09-12T23:00Z", "home_field_advantage_points": 2.8, "home_team": "Northern Illinois Huskies", "is_dome": false, "is_fbs_vs_fcs": false, "is_neutral_site": false, "projected_away_points": 25.4, "projected_home_points": 26.6, "projected_margin_home": 1.1,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25.4, "mu_home": 26.6,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98379436615889488802134230503748577751}, "uinteger": 0}, "spread_home_line": 2.5, "total_line": 47.5}, "market_type": "total", "model_version": "cfb-total-v1", "observed_at_utc": "2026-09-12T22:41:47.836186+00:00", "probabilities": {"over": 0.572, "push": 0.0, "under": 0.428}, "replay_scope": "Full precision score means, exact engine parameters and original RNG state; upstream feature construction not certified.", "schema": "cfb-joint-replay-v1", "snapshot_hash": "3957a0dde937d706df9f1158ac56e4e6d604f505dbb735ae6c7e5aecda65e57d", "sport": "NCAAF"}</t>
        </is>
      </c>
    </row>
    <row r="171" ht="36" customHeight="1">
      <c r="A171" s="24" t="inlineStr">
        <is>
          <t>4bbe2e09066447c0</t>
        </is>
      </c>
      <c r="B171" s="24" t="inlineStr">
        <is>
          <t>2026-09-12T22:41:47.836186Z</t>
        </is>
      </c>
      <c r="C171" s="24" t="inlineStr">
        <is>
          <t>2026-09-12T23:00Z</t>
        </is>
      </c>
      <c r="D171" s="24" t="inlineStr">
        <is>
          <t>401864575</t>
        </is>
      </c>
      <c r="E171" s="24" t="inlineStr">
        <is>
          <t>NCAAF</t>
        </is>
      </c>
      <c r="F171" s="24" t="inlineStr">
        <is>
          <t>South Alabama Jaguars</t>
        </is>
      </c>
      <c r="G171" s="24" t="inlineStr">
        <is>
          <t>Tulane Green Wave</t>
        </is>
      </c>
      <c r="H171" s="24" t="inlineStr">
        <is>
          <t>moneyline</t>
        </is>
      </c>
      <c r="I171" s="24" t="inlineStr">
        <is>
          <t>home</t>
        </is>
      </c>
      <c r="J171" s="25" t="n"/>
      <c r="K171" s="24" t="inlineStr">
        <is>
          <t>espn_consensus</t>
        </is>
      </c>
      <c r="L171" s="26" t="n">
        <v>-360</v>
      </c>
      <c r="M171" s="27" t="n">
        <v>1.277778</v>
      </c>
      <c r="N171" s="28" t="n">
        <v>0.782609</v>
      </c>
      <c r="O171" s="28" t="n">
        <v>0.724315</v>
      </c>
      <c r="P171" s="28" t="n">
        <v>0.18</v>
      </c>
      <c r="Q171" s="28" t="n">
        <v>-0.058294</v>
      </c>
      <c r="R171" s="26" t="n">
        <v>0</v>
      </c>
      <c r="S171" s="29" t="n">
        <v>1</v>
      </c>
      <c r="T171" s="24" t="inlineStr">
        <is>
          <t>college-football-v1</t>
        </is>
      </c>
      <c r="U171" s="24" t="inlineStr">
        <is>
          <t>settled</t>
        </is>
      </c>
      <c r="V171" s="24" t="inlineStr">
        <is>
          <t>win</t>
        </is>
      </c>
      <c r="W171" s="26" t="n">
        <v>24</v>
      </c>
      <c r="X171" s="26" t="n">
        <v>28</v>
      </c>
      <c r="Y171" s="25" t="n"/>
      <c r="Z171" s="26" t="n"/>
      <c r="AA171" s="28" t="n"/>
      <c r="AB171" s="28" t="n"/>
      <c r="AC171" s="30" t="n">
        <v>0.2778</v>
      </c>
      <c r="AD171" s="24" t="inlineStr">
        <is>
          <t>2026-09-13T04:32:09.220854Z</t>
        </is>
      </c>
      <c r="AE171" s="31" t="inlineStr">
        <is>
          <t>CFB Joint Model (negative_binomial): proj score South Alabama Jaguars 21.8 @ Tulane Green Wave 31.1 (Margin +9.3). Possessions: 12.4, HFA: +2.8 pts.</t>
        </is>
      </c>
      <c r="AF171" s="31" t="inlineStr">
        <is>
          <t>College football model; multi-market (moneyline, spread, total).</t>
        </is>
      </c>
      <c r="AG171" s="24" t="inlineStr">
        <is>
          <t>not_applicable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4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PAPER_CALL_LOW_EDGE</t>
        </is>
      </c>
      <c r="AP171" s="24" t="inlineStr">
        <is>
          <t>South Alabama Jaguars</t>
        </is>
      </c>
      <c r="AQ171" s="24" t="inlineStr">
        <is>
          <t>South Alabama Jaguars</t>
        </is>
      </c>
      <c r="AR171" s="24" t="inlineStr">
        <is>
          <t>South Alabama Jaguars</t>
        </is>
      </c>
      <c r="AS171" s="24" t="inlineStr">
        <is>
          <t>Tulane Green Wave</t>
        </is>
      </c>
      <c r="AT171" s="24" t="inlineStr">
        <is>
          <t>Tulane Green Wave</t>
        </is>
      </c>
      <c r="AU171" s="24" t="inlineStr">
        <is>
          <t>Tulane Green Wave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1d168f11d221cd3c</t>
        </is>
      </c>
      <c r="BB171" s="24" t="inlineStr">
        <is>
          <t>cfb_key_number_engine</t>
        </is>
      </c>
      <c r="BC171" s="24" t="inlineStr">
        <is>
          <t>college-football-v1</t>
        </is>
      </c>
      <c r="BD171" s="24" t="inlineStr">
        <is>
          <t>1d168f11d221cd3c</t>
        </is>
      </c>
      <c r="BE171" s="24" t="inlineStr">
        <is>
          <t>cfb-v1</t>
        </is>
      </c>
      <c r="BF171" s="24" t="inlineStr">
        <is>
          <t>1</t>
        </is>
      </c>
      <c r="BG171" s="24" t="inlineStr">
        <is>
          <t>1d168f11d221cd3c</t>
        </is>
      </c>
      <c r="BH171" s="24" t="inlineStr">
        <is>
          <t>2026-09-12T22:41:47.836186+00:00</t>
        </is>
      </c>
      <c r="BI171" s="24" t="inlineStr">
        <is>
          <t>["same_event","same_team_same_day","same_league_same_day"]</t>
        </is>
      </c>
      <c r="BJ171" s="25" t="n"/>
      <c r="BK171" s="26" t="n">
        <v>-360</v>
      </c>
      <c r="BL171" s="27" t="n">
        <v>1.277778</v>
      </c>
      <c r="BM171" s="28" t="n">
        <v>0.782609</v>
      </c>
      <c r="BN171" s="28" t="n"/>
      <c r="BO171" s="28" t="n"/>
      <c r="BP171" s="25" t="n"/>
      <c r="BQ171" s="27" t="n"/>
      <c r="BR171" s="28" t="n"/>
      <c r="BS171" s="28" t="n"/>
      <c r="BT171" s="28" t="n"/>
      <c r="BU171" s="25" t="n"/>
      <c r="BV171" s="29" t="n"/>
      <c r="BW171" s="24" t="n"/>
      <c r="BX171" s="30" t="n">
        <v>1</v>
      </c>
      <c r="BY171" s="27" t="n">
        <v>0.277778</v>
      </c>
      <c r="BZ171" s="24" t="inlineStr">
        <is>
          <t>2026-09-13T04:32:09.220854Z</t>
        </is>
      </c>
      <c r="CA171" s="31" t="inlineStr">
        <is>
          <t>fixed one-unit hypothetical scoring; no real exposure or execution</t>
        </is>
      </c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False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inlineStr">
        <is>
          <t>0.782609</t>
        </is>
      </c>
      <c r="DK171" s="24" t="n"/>
      <c r="DL171" s="24" t="n"/>
      <c r="DM171" s="24" t="n"/>
      <c r="DN171" s="24" t="n"/>
      <c r="DO171" s="24" t="n"/>
      <c r="DP171" s="24" t="n"/>
      <c r="DQ171" s="24" t="inlineStr">
        <is>
          <t>{"artifact_hash": "1d168f11d221cd3c", "event_id": "401864575", "event_start_utc": "2026-09-12T23:00Z", "features": {"altitude_fatigue_penalty": 0.0, "away_team": "South Alabama Jaguars", "efficiency_gap": 0.054, "elo_away": 1408.7, "elo_home": 1572.0, "elo_home_win_prob": 0.7881, "event_id": "401864575", "game_start_utc": "2026-09-12T23:00Z", "home_field_advantage_points": 2.8, "home_team": "Tulane Green Wave", "is_dome": false, "is_fbs_vs_fcs": false, "is_neutral_site": false, "projected_away_points": 21.8, "projected_home_points": 31.1, "projected_margin_home": 9.3, "projected_possessions": 12.4, "projected_total": 52.9, "stadium_elevation_ft": 5, "travel_distance_miles": 127.0, "uncertainty": 0.18, "weather_total_adjustment": 0.0}, "historical_source_observation_times_verified": false, "inference_inputs": {"engine_source_sha256": "449ba2f0e86fa9c445730076a0e0bf100fb4914620be53c75c6f3bfe24298f3f", "mu_away": 21.8, "mu_home": 31.1,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297504858689604023342194375617774661660}, "uinteger": 0}, "spread_home_line": -9.5, "total_line": 48.5}, "market_type": "moneyline", "model_version": "college-football-v1", "observed_at_utc": "2026-09-12T22:41:47.836186+00:00", "probabilities": {"away": 0.275685, "home": 0.724315}, "replay_scope": "Full precision score means, exact engine parameters and original RNG state; upstream feature construction not certified.", "schema": "cfb-joint-replay-v1", "snapshot_hash": "4bf6183963aeedd618de4c5118c5dde4e358f13a32094b3dba220d3aaa7b5aa3", "sport": "NCAAF"}</t>
        </is>
      </c>
    </row>
    <row r="172" ht="36" customHeight="1">
      <c r="A172" s="24" t="inlineStr">
        <is>
          <t>0c0a748c95c84213</t>
        </is>
      </c>
      <c r="B172" s="24" t="inlineStr">
        <is>
          <t>2026-09-12T22:41:47.836186Z</t>
        </is>
      </c>
      <c r="C172" s="24" t="inlineStr">
        <is>
          <t>2026-09-12T23:00Z</t>
        </is>
      </c>
      <c r="D172" s="24" t="inlineStr">
        <is>
          <t>401864575</t>
        </is>
      </c>
      <c r="E172" s="24" t="inlineStr">
        <is>
          <t>NCAAF</t>
        </is>
      </c>
      <c r="F172" s="24" t="inlineStr">
        <is>
          <t>South Alabama Jaguars</t>
        </is>
      </c>
      <c r="G172" s="24" t="inlineStr">
        <is>
          <t>Tulane Green Wave</t>
        </is>
      </c>
      <c r="H172" s="24" t="inlineStr">
        <is>
          <t>spread</t>
        </is>
      </c>
      <c r="I172" s="24" t="inlineStr">
        <is>
          <t>away</t>
        </is>
      </c>
      <c r="J172" s="25" t="n">
        <v>9.5</v>
      </c>
      <c r="K172" s="24" t="inlineStr">
        <is>
          <t>espn_consensus</t>
        </is>
      </c>
      <c r="L172" s="26" t="n">
        <v>-108</v>
      </c>
      <c r="M172" s="27" t="n">
        <v>1.925926</v>
      </c>
      <c r="N172" s="28" t="n">
        <v>0.519231</v>
      </c>
      <c r="O172" s="28" t="n">
        <v>0.502667</v>
      </c>
      <c r="P172" s="28" t="n">
        <v>0.18</v>
      </c>
      <c r="Q172" s="28" t="n">
        <v>-0.016564</v>
      </c>
      <c r="R172" s="26" t="n">
        <v>0</v>
      </c>
      <c r="S172" s="29" t="n">
        <v>1</v>
      </c>
      <c r="T172" s="24" t="inlineStr">
        <is>
          <t>cfb-spread-v1</t>
        </is>
      </c>
      <c r="U172" s="24" t="inlineStr">
        <is>
          <t>settled</t>
        </is>
      </c>
      <c r="V172" s="24" t="inlineStr">
        <is>
          <t>win</t>
        </is>
      </c>
      <c r="W172" s="26" t="n">
        <v>24</v>
      </c>
      <c r="X172" s="26" t="n">
        <v>28</v>
      </c>
      <c r="Y172" s="25" t="n"/>
      <c r="Z172" s="26" t="n"/>
      <c r="AA172" s="28" t="n"/>
      <c r="AB172" s="28" t="n"/>
      <c r="AC172" s="30" t="n">
        <v>0.9258999999999999</v>
      </c>
      <c r="AD172" s="24" t="inlineStr">
        <is>
          <t>2026-09-13T04:32:09.664961Z</t>
        </is>
      </c>
      <c r="AE172" s="31" t="inlineStr">
        <is>
          <t>Projected home margin +9.3 pts. Spread: Home -9.5 / Away +9.5 -&gt; P(Away cover)=0.503, P(Home cover)=0.497, P(Push)=0.000.</t>
        </is>
      </c>
      <c r="AF172" s="31" t="inlineStr">
        <is>
          <t>College football model; multi-market (moneyline, spread, total).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paper_call</t>
        </is>
      </c>
      <c r="AL172" s="26" t="n">
        <v>4</v>
      </c>
      <c r="AM172" s="24" t="inlineStr">
        <is>
          <t>RESEARCH_OBSERVATION</t>
        </is>
      </c>
      <c r="AN172" s="24" t="inlineStr">
        <is>
          <t>CALL</t>
        </is>
      </c>
      <c r="AO172" s="24" t="inlineStr">
        <is>
          <t>PAPER_CALL_LOW_EDGE</t>
        </is>
      </c>
      <c r="AP172" s="24" t="inlineStr">
        <is>
          <t>South Alabama Jaguars</t>
        </is>
      </c>
      <c r="AQ172" s="24" t="inlineStr">
        <is>
          <t>South Alabama Jaguars</t>
        </is>
      </c>
      <c r="AR172" s="24" t="inlineStr">
        <is>
          <t>South Alabama Jaguars</t>
        </is>
      </c>
      <c r="AS172" s="24" t="inlineStr">
        <is>
          <t>Tulane Green Wave</t>
        </is>
      </c>
      <c r="AT172" s="24" t="inlineStr">
        <is>
          <t>Tulane Green Wave</t>
        </is>
      </c>
      <c r="AU172" s="24" t="inlineStr">
        <is>
          <t>Tulane Green Wave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1d168f11d221cd3c</t>
        </is>
      </c>
      <c r="BB172" s="24" t="inlineStr">
        <is>
          <t>cfb_key_number_engine</t>
        </is>
      </c>
      <c r="BC172" s="24" t="inlineStr">
        <is>
          <t>cfb-spread-v1</t>
        </is>
      </c>
      <c r="BD172" s="24" t="inlineStr">
        <is>
          <t>1d168f11d221cd3c</t>
        </is>
      </c>
      <c r="BE172" s="24" t="inlineStr">
        <is>
          <t>cfb-v1</t>
        </is>
      </c>
      <c r="BF172" s="24" t="inlineStr">
        <is>
          <t>1</t>
        </is>
      </c>
      <c r="BG172" s="24" t="inlineStr">
        <is>
          <t>1d168f11d221cd3c</t>
        </is>
      </c>
      <c r="BH172" s="24" t="inlineStr">
        <is>
          <t>2026-09-12T22:41:47.836186+00:00</t>
        </is>
      </c>
      <c r="BI172" s="24" t="inlineStr">
        <is>
          <t>["same_event","same_team_same_day","same_league_same_day"]</t>
        </is>
      </c>
      <c r="BJ172" s="25" t="n">
        <v>9.5</v>
      </c>
      <c r="BK172" s="26" t="n">
        <v>-108</v>
      </c>
      <c r="BL172" s="27" t="n">
        <v>1.925926</v>
      </c>
      <c r="BM172" s="28" t="n">
        <v>0.519231</v>
      </c>
      <c r="BN172" s="28" t="n"/>
      <c r="BO172" s="28" t="n"/>
      <c r="BP172" s="25" t="n"/>
      <c r="BQ172" s="27" t="n"/>
      <c r="BR172" s="28" t="n"/>
      <c r="BS172" s="28" t="n"/>
      <c r="BT172" s="28" t="n"/>
      <c r="BU172" s="25" t="n"/>
      <c r="BV172" s="29" t="n"/>
      <c r="BW172" s="24" t="n"/>
      <c r="BX172" s="30" t="n">
        <v>1</v>
      </c>
      <c r="BY172" s="27" t="n">
        <v>0.925926</v>
      </c>
      <c r="BZ172" s="24" t="inlineStr">
        <is>
          <t>2026-09-13T04:32:09.664961Z</t>
        </is>
      </c>
      <c r="CA172" s="31" t="inlineStr">
        <is>
          <t>fixed one-unit hypothetical scoring; no real exposure or execution</t>
        </is>
      </c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False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inlineStr">
        <is>
          <t>0.519231</t>
        </is>
      </c>
      <c r="DK172" s="24" t="n"/>
      <c r="DL172" s="24" t="n"/>
      <c r="DM172" s="24" t="n"/>
      <c r="DN172" s="24" t="n"/>
      <c r="DO172" s="24" t="n"/>
      <c r="DP172" s="24" t="n"/>
      <c r="DQ172" s="24" t="inlineStr">
        <is>
          <t>{"artifact_hash": "1d168f11d221cd3c", "event_id": "401864575", "event_start_utc": "2026-09-12T23:00Z", "features": {"altitude_fatigue_penalty": 0.0, "away_team": "South Alabama Jaguars", "efficiency_gap": 0.054, "elo_away": 1408.7, "elo_home": 1572.0, "elo_home_win_prob": 0.7881, "event_id": "401864575", "game_start_utc": "2026-09-12T23:00Z", "home_field_advantage_points": 2.8, "home_team": "Tulane Green Wave", "is_dome": false, "is_fbs_vs_fcs": false, "is_neutral_site": false, "projected_away_points": 21.8, "projected_home_points": 31.1, "projected_margin_home": 9.3, "projected_possessions": 12.4, "projected_total": 52.9, "stadium_elevation_ft": 5, "travel_distance_miles": 127.0, "uncertainty": 0.18, "weather_total_adjustment": 0.0}, "historical_source_observation_times_verified": false, "inference_inputs": {"engine_source_sha256": "449ba2f0e86fa9c445730076a0e0bf100fb4914620be53c75c6f3bfe24298f3f", "mu_away": 21.8, "mu_home": 31.1,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297504858689604023342194375617774661660}, "uinteger": 0}, "spread_home_line": -9.5, "total_line": 48.5}, "market_type": "spread", "model_version": "cfb-spread-v1", "observed_at_utc": "2026-09-12T22:41:47.836186+00:00", "probabilities": {"away": 0.502667, "home": 0.497333, "push": 0.0}, "replay_scope": "Full precision score means, exact engine parameters and original RNG state; upstream feature construction not certified.", "schema": "cfb-joint-replay-v1", "snapshot_hash": "2c7bffce8b76b02df7f3651dc49f16aeed5a0c4cc4728bd2dd05196d3d1ca432", "sport": "NCAAF"}</t>
        </is>
      </c>
    </row>
    <row r="173" ht="36" customHeight="1">
      <c r="A173" s="24" t="inlineStr">
        <is>
          <t>128c2228cdfd41cd</t>
        </is>
      </c>
      <c r="B173" s="24" t="inlineStr">
        <is>
          <t>2026-09-12T22:41:47.836186Z</t>
        </is>
      </c>
      <c r="C173" s="24" t="inlineStr">
        <is>
          <t>2026-09-12T23:00Z</t>
        </is>
      </c>
      <c r="D173" s="24" t="inlineStr">
        <is>
          <t>401864575</t>
        </is>
      </c>
      <c r="E173" s="24" t="inlineStr">
        <is>
          <t>NCAAF</t>
        </is>
      </c>
      <c r="F173" s="24" t="inlineStr">
        <is>
          <t>South Alabama Jaguars</t>
        </is>
      </c>
      <c r="G173" s="24" t="inlineStr">
        <is>
          <t>Tulane Green Wave</t>
        </is>
      </c>
      <c r="H173" s="24" t="inlineStr">
        <is>
          <t>total</t>
        </is>
      </c>
      <c r="I173" s="24" t="inlineStr">
        <is>
          <t>over</t>
        </is>
      </c>
      <c r="J173" s="25" t="n">
        <v>48.5</v>
      </c>
      <c r="K173" s="24" t="inlineStr">
        <is>
          <t>espn_consensus</t>
        </is>
      </c>
      <c r="L173" s="26" t="n">
        <v>-108</v>
      </c>
      <c r="M173" s="27" t="n">
        <v>1.925926</v>
      </c>
      <c r="N173" s="28" t="n">
        <v>0.519231</v>
      </c>
      <c r="O173" s="28" t="n">
        <v>0.565733</v>
      </c>
      <c r="P173" s="28" t="n">
        <v>0.18</v>
      </c>
      <c r="Q173" s="28" t="n">
        <v>0.046502</v>
      </c>
      <c r="R173" s="26" t="n">
        <v>0</v>
      </c>
      <c r="S173" s="29" t="n">
        <v>1</v>
      </c>
      <c r="T173" s="24" t="inlineStr">
        <is>
          <t>cfb-total-v1</t>
        </is>
      </c>
      <c r="U173" s="24" t="inlineStr">
        <is>
          <t>settled</t>
        </is>
      </c>
      <c r="V173" s="24" t="inlineStr">
        <is>
          <t>win</t>
        </is>
      </c>
      <c r="W173" s="26" t="n">
        <v>24</v>
      </c>
      <c r="X173" s="26" t="n">
        <v>28</v>
      </c>
      <c r="Y173" s="25" t="n"/>
      <c r="Z173" s="26" t="n"/>
      <c r="AA173" s="28" t="n"/>
      <c r="AB173" s="28" t="n"/>
      <c r="AC173" s="30" t="n">
        <v>0.9258999999999999</v>
      </c>
      <c r="AD173" s="24" t="inlineStr">
        <is>
          <t>2026-09-13T04:32:10.048369Z</t>
        </is>
      </c>
      <c r="AE173" s="31" t="inlineStr">
        <is>
          <t>Projected total 52.9 pts (Weather adj: +0.0 pts). Total line 48.5 -&gt; P(Over)=0.566, P(Under)=0.434, P(Push)=0.000.</t>
        </is>
      </c>
      <c r="AF173" s="31" t="inlineStr">
        <is>
          <t>College football model; multi-market (moneyline, spread, total).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model_qualified</t>
        </is>
      </c>
      <c r="AL173" s="26" t="n">
        <v>4</v>
      </c>
      <c r="AM173" s="24" t="inlineStr">
        <is>
          <t>QUALIFIED_SHADOW_CALL</t>
        </is>
      </c>
      <c r="AN173" s="24" t="inlineStr">
        <is>
          <t>CALL</t>
        </is>
      </c>
      <c r="AO173" s="24" t="inlineStr">
        <is>
          <t>QUALIFIED</t>
        </is>
      </c>
      <c r="AP173" s="24" t="inlineStr">
        <is>
          <t>South Alabama Jaguars</t>
        </is>
      </c>
      <c r="AQ173" s="24" t="inlineStr">
        <is>
          <t>South Alabama Jaguars</t>
        </is>
      </c>
      <c r="AR173" s="24" t="inlineStr">
        <is>
          <t>South Alabama Jaguars</t>
        </is>
      </c>
      <c r="AS173" s="24" t="inlineStr">
        <is>
          <t>Tulane Green Wave</t>
        </is>
      </c>
      <c r="AT173" s="24" t="inlineStr">
        <is>
          <t>Tulane Green Wave</t>
        </is>
      </c>
      <c r="AU173" s="24" t="inlineStr">
        <is>
          <t>Tulane Green Wave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1d168f11d221cd3c</t>
        </is>
      </c>
      <c r="BB173" s="24" t="inlineStr">
        <is>
          <t>cfb_key_number_engine</t>
        </is>
      </c>
      <c r="BC173" s="24" t="inlineStr">
        <is>
          <t>cfb-total-v1</t>
        </is>
      </c>
      <c r="BD173" s="24" t="inlineStr">
        <is>
          <t>1d168f11d221cd3c</t>
        </is>
      </c>
      <c r="BE173" s="24" t="inlineStr">
        <is>
          <t>cfb-v1</t>
        </is>
      </c>
      <c r="BF173" s="24" t="inlineStr">
        <is>
          <t>1</t>
        </is>
      </c>
      <c r="BG173" s="24" t="inlineStr">
        <is>
          <t>1d168f11d221cd3c</t>
        </is>
      </c>
      <c r="BH173" s="24" t="inlineStr">
        <is>
          <t>2026-09-12T22:41:47.836186+00:00</t>
        </is>
      </c>
      <c r="BI173" s="24" t="inlineStr">
        <is>
          <t>["same_event","same_team_same_day","same_league_same_day"]</t>
        </is>
      </c>
      <c r="BJ173" s="25" t="n">
        <v>48.5</v>
      </c>
      <c r="BK173" s="26" t="n">
        <v>-108</v>
      </c>
      <c r="BL173" s="27" t="n">
        <v>1.925926</v>
      </c>
      <c r="BM173" s="28" t="n">
        <v>0.519231</v>
      </c>
      <c r="BN173" s="28" t="n"/>
      <c r="BO173" s="28" t="n"/>
      <c r="BP173" s="25" t="n"/>
      <c r="BQ173" s="27" t="n"/>
      <c r="BR173" s="28" t="n"/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True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inlineStr">
        <is>
          <t>0.519231</t>
        </is>
      </c>
      <c r="DK173" s="24" t="n"/>
      <c r="DL173" s="24" t="n"/>
      <c r="DM173" s="24" t="n"/>
      <c r="DN173" s="24" t="n"/>
      <c r="DO173" s="24" t="n"/>
      <c r="DP173" s="24" t="n"/>
      <c r="DQ173" s="24" t="inlineStr">
        <is>
          <t>{"artifact_hash": "1d168f11d221cd3c", "event_id": "401864575", "event_start_utc": "2026-09-12T23:00Z", "features": {"altitude_fatigue_penalty": 0.0, "away_team": "South Alabama Jaguars", "efficiency_gap": 0.054, "elo_away": 1408.7, "elo_home": 1572.0, "elo_home_win_prob": 0.7881, "event_id": "401864575", "game_start_utc": "2026-09-12T23:00Z", "home_field_advantage_points": 2.8, "home_team": "Tulane Green Wave", "is_dome": false, "is_fbs_vs_fcs": false, "is_neutral_site": false, "projected_away_points": 21.8, "projected_home_points": 31.1, "projected_margin_home": 9.3, "projected_possessions": 12.4, "projected_total": 52.9, "stadium_elevation_ft": 5, "travel_distance_miles": 127.0, "uncertainty": 0.18, "weather_total_adjustment": 0.0}, "historical_source_observation_times_verified": false, "inference_inputs": {"engine_source_sha256": "449ba2f0e86fa9c445730076a0e0bf100fb4914620be53c75c6f3bfe24298f3f", "mu_away": 21.8, "mu_home": 31.1,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297504858689604023342194375617774661660}, "uinteger": 0}, "spread_home_line": -9.5, "total_line": 48.5}, "market_type": "total", "model_version": "cfb-total-v1", "observed_at_utc": "2026-09-12T22:41:47.836186+00:00", "probabilities": {"over": 0.565733, "push": 0.0, "under": 0.434267}, "replay_scope": "Full precision score means, exact engine parameters and original RNG state; upstream feature construction not certified.", "schema": "cfb-joint-replay-v1", "snapshot_hash": "f81c02539404280f2b627cb8b1c9203451a0cd6c23d380f698bacd416edb43a0", "sport": "NCAAF"}</t>
        </is>
      </c>
    </row>
    <row r="174" ht="36" customHeight="1">
      <c r="A174" s="24" t="inlineStr">
        <is>
          <t>a4eec77198b54ac8</t>
        </is>
      </c>
      <c r="B174" s="24" t="inlineStr">
        <is>
          <t>2026-09-12T22:41:47.836186Z</t>
        </is>
      </c>
      <c r="C174" s="24" t="inlineStr">
        <is>
          <t>2026-09-12T23:00Z</t>
        </is>
      </c>
      <c r="D174" s="24" t="inlineStr">
        <is>
          <t>401868241</t>
        </is>
      </c>
      <c r="E174" s="24" t="inlineStr">
        <is>
          <t>NCAAF</t>
        </is>
      </c>
      <c r="F174" s="24" t="inlineStr">
        <is>
          <t>West Georgia Wolves</t>
        </is>
      </c>
      <c r="G174" s="24" t="inlineStr">
        <is>
          <t>Arkansas State Red Wolves</t>
        </is>
      </c>
      <c r="H174" s="24" t="inlineStr">
        <is>
          <t>moneyline</t>
        </is>
      </c>
      <c r="I174" s="24" t="inlineStr">
        <is>
          <t>home</t>
        </is>
      </c>
      <c r="J174" s="25" t="n"/>
      <c r="K174" s="24" t="inlineStr">
        <is>
          <t>espn_consensus</t>
        </is>
      </c>
      <c r="L174" s="26" t="n">
        <v>-10000</v>
      </c>
      <c r="M174" s="27" t="n">
        <v>1.01</v>
      </c>
      <c r="N174" s="28" t="n">
        <v>0.990099</v>
      </c>
      <c r="O174" s="28" t="n">
        <v>0.609251</v>
      </c>
      <c r="P174" s="28" t="n">
        <v>0.18</v>
      </c>
      <c r="Q174" s="28" t="n">
        <v>-0.380848</v>
      </c>
      <c r="R174" s="26" t="n">
        <v>0</v>
      </c>
      <c r="S174" s="29" t="n">
        <v>1</v>
      </c>
      <c r="T174" s="24" t="inlineStr">
        <is>
          <t>college-football-v1</t>
        </is>
      </c>
      <c r="U174" s="24" t="inlineStr">
        <is>
          <t>settled</t>
        </is>
      </c>
      <c r="V174" s="24" t="inlineStr">
        <is>
          <t>win</t>
        </is>
      </c>
      <c r="W174" s="26" t="n">
        <v>7</v>
      </c>
      <c r="X174" s="26" t="n">
        <v>52</v>
      </c>
      <c r="Y174" s="25" t="n"/>
      <c r="Z174" s="26" t="n"/>
      <c r="AA174" s="28" t="n"/>
      <c r="AB174" s="28" t="n"/>
      <c r="AC174" s="30" t="n">
        <v>0.01</v>
      </c>
      <c r="AD174" s="24" t="inlineStr">
        <is>
          <t>2026-09-13T04:32:10.435041Z</t>
        </is>
      </c>
      <c r="AE174" s="31" t="inlineStr">
        <is>
          <t>CFB Joint Model (negative_binomial): proj score West Georgia Wolves 24.3 @ Arkansas State Red Wolves 28.6 (Margin +4.3). Possessions: 12.4, HFA: +2.8 pts.</t>
        </is>
      </c>
      <c r="AF174" s="31" t="inlineStr">
        <is>
          <t>College football model; multi-market (moneyline, spread, total).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paper_call</t>
        </is>
      </c>
      <c r="AL174" s="26" t="n">
        <v>4</v>
      </c>
      <c r="AM174" s="24" t="inlineStr">
        <is>
          <t>RESEARCH_OBSERVATION</t>
        </is>
      </c>
      <c r="AN174" s="24" t="inlineStr">
        <is>
          <t>CALL</t>
        </is>
      </c>
      <c r="AO174" s="24" t="inlineStr">
        <is>
          <t>PAPER_CALL_LOW_EDGE</t>
        </is>
      </c>
      <c r="AP174" s="24" t="inlineStr">
        <is>
          <t>West Georgia Wolves</t>
        </is>
      </c>
      <c r="AQ174" s="24" t="inlineStr">
        <is>
          <t>West Georgia Wolves</t>
        </is>
      </c>
      <c r="AR174" s="24" t="inlineStr">
        <is>
          <t>West Georgia Wolves</t>
        </is>
      </c>
      <c r="AS174" s="24" t="inlineStr">
        <is>
          <t>Arkansas State Red Wolves</t>
        </is>
      </c>
      <c r="AT174" s="24" t="inlineStr">
        <is>
          <t>Arkansas State Red Wolves</t>
        </is>
      </c>
      <c r="AU174" s="24" t="inlineStr">
        <is>
          <t>Arkansas State Red Wolves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1d168f11d221cd3c</t>
        </is>
      </c>
      <c r="BB174" s="24" t="inlineStr">
        <is>
          <t>cfb_key_number_engine</t>
        </is>
      </c>
      <c r="BC174" s="24" t="inlineStr">
        <is>
          <t>college-football-v1</t>
        </is>
      </c>
      <c r="BD174" s="24" t="inlineStr">
        <is>
          <t>1d168f11d221cd3c</t>
        </is>
      </c>
      <c r="BE174" s="24" t="inlineStr">
        <is>
          <t>cfb-v1</t>
        </is>
      </c>
      <c r="BF174" s="24" t="inlineStr">
        <is>
          <t>1</t>
        </is>
      </c>
      <c r="BG174" s="24" t="inlineStr">
        <is>
          <t>1d168f11d221cd3c</t>
        </is>
      </c>
      <c r="BH174" s="24" t="inlineStr">
        <is>
          <t>2026-09-12T22:41:47.836186+00:00</t>
        </is>
      </c>
      <c r="BI174" s="24" t="inlineStr">
        <is>
          <t>["same_event","same_team_same_day","same_league_same_day"]</t>
        </is>
      </c>
      <c r="BJ174" s="25" t="n"/>
      <c r="BK174" s="26" t="n">
        <v>-10000</v>
      </c>
      <c r="BL174" s="27" t="n">
        <v>1.01</v>
      </c>
      <c r="BM174" s="28" t="n">
        <v>0.990099</v>
      </c>
      <c r="BN174" s="28" t="n"/>
      <c r="BO174" s="28" t="n"/>
      <c r="BP174" s="25" t="n"/>
      <c r="BQ174" s="27" t="n"/>
      <c r="BR174" s="28" t="n"/>
      <c r="BS174" s="28" t="n"/>
      <c r="BT174" s="28" t="n"/>
      <c r="BU174" s="25" t="n"/>
      <c r="BV174" s="29" t="n"/>
      <c r="BW174" s="24" t="n"/>
      <c r="BX174" s="30" t="n">
        <v>1</v>
      </c>
      <c r="BY174" s="27" t="n">
        <v>0.01</v>
      </c>
      <c r="BZ174" s="24" t="inlineStr">
        <is>
          <t>2026-09-13T04:32:10.435041Z</t>
        </is>
      </c>
      <c r="CA174" s="31" t="inlineStr">
        <is>
          <t>fixed one-unit hypothetical scoring; no real exposure or execution</t>
        </is>
      </c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False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inlineStr">
        <is>
          <t>0.990099</t>
        </is>
      </c>
      <c r="DK174" s="24" t="n"/>
      <c r="DL174" s="24" t="n"/>
      <c r="DM174" s="24" t="n"/>
      <c r="DN174" s="24" t="n"/>
      <c r="DO174" s="24" t="n"/>
      <c r="DP174" s="24" t="n"/>
      <c r="DQ174" s="24" t="inlineStr">
        <is>
          <t>{"artifact_hash": "1d168f11d221cd3c", "event_id": "401868241", "event_start_utc": "2026-09-12T23:00Z", "features": {"altitude_fatigue_penalty": 0.0, "away_team": "West Georgia Wolves", "efficiency_gap": 0.233, "elo_away": 1337.5, "elo_home": 1378.9, "elo_home_win_prob": 0.6485, "event_id": "401868241", "game_start_utc": "2026-09-12T23:00Z", "home_field_advantage_points": 2.8, "home_team": "Arkansas State Red Wolves", "is_dome": false, "is_fbs_vs_fcs": false, "is_neutral_site": false, "projected_away_points": 24.3, "projected_home_points": 28.6, "projected_margin_home": 4.3,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24.3,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10600978389384379942788186200882119652}, "uinteger": 0}, "spread_home_line": -31.5, "total_line": 56.5}, "market_type": "moneyline", "model_version": "college-football-v1", "observed_at_utc": "2026-09-12T22:41:47.836186+00:00", "probabilities": {"away": 0.390749, "home": 0.609251}, "replay_scope": "Full precision score means, exact engine parameters and original RNG state; upstream feature construction not certified.", "schema": "cfb-joint-replay-v1", "snapshot_hash": "2e5443a24f150816b07d74017c73a1668273a297ec70c3e59d3555212e7163ae", "sport": "NCAAF"}</t>
        </is>
      </c>
    </row>
    <row r="175" ht="36" customHeight="1">
      <c r="A175" s="24" t="inlineStr">
        <is>
          <t>7df1e40281c94c15</t>
        </is>
      </c>
      <c r="B175" s="24" t="inlineStr">
        <is>
          <t>2026-09-12T22:41:47.836186Z</t>
        </is>
      </c>
      <c r="C175" s="24" t="inlineStr">
        <is>
          <t>2026-09-12T23:00Z</t>
        </is>
      </c>
      <c r="D175" s="24" t="inlineStr">
        <is>
          <t>401868241</t>
        </is>
      </c>
      <c r="E175" s="24" t="inlineStr">
        <is>
          <t>NCAAF</t>
        </is>
      </c>
      <c r="F175" s="24" t="inlineStr">
        <is>
          <t>West Georgia Wolves</t>
        </is>
      </c>
      <c r="G175" s="24" t="inlineStr">
        <is>
          <t>Arkansas State Red Wolves</t>
        </is>
      </c>
      <c r="H175" s="24" t="inlineStr">
        <is>
          <t>spread</t>
        </is>
      </c>
      <c r="I175" s="24" t="inlineStr">
        <is>
          <t>away</t>
        </is>
      </c>
      <c r="J175" s="25" t="n">
        <v>31.5</v>
      </c>
      <c r="K175" s="24" t="inlineStr">
        <is>
          <t>espn_consensus</t>
        </is>
      </c>
      <c r="L175" s="26" t="n">
        <v>-108</v>
      </c>
      <c r="M175" s="27" t="n">
        <v>1.925926</v>
      </c>
      <c r="N175" s="28" t="n">
        <v>0.519231</v>
      </c>
      <c r="O175" s="28" t="n">
        <v>0.9464669999999999</v>
      </c>
      <c r="P175" s="28" t="n">
        <v>0.18</v>
      </c>
      <c r="Q175" s="28" t="n">
        <v>0.427236</v>
      </c>
      <c r="R175" s="26" t="n">
        <v>100</v>
      </c>
      <c r="S175" s="29" t="n">
        <v>2</v>
      </c>
      <c r="T175" s="24" t="inlineStr">
        <is>
          <t>cfb-spread-v1</t>
        </is>
      </c>
      <c r="U175" s="24" t="inlineStr">
        <is>
          <t>settled</t>
        </is>
      </c>
      <c r="V175" s="24" t="inlineStr">
        <is>
          <t>loss</t>
        </is>
      </c>
      <c r="W175" s="26" t="n">
        <v>7</v>
      </c>
      <c r="X175" s="26" t="n">
        <v>52</v>
      </c>
      <c r="Y175" s="25" t="n"/>
      <c r="Z175" s="26" t="n"/>
      <c r="AA175" s="28" t="n"/>
      <c r="AB175" s="28" t="n"/>
      <c r="AC175" s="30" t="n">
        <v>-2</v>
      </c>
      <c r="AD175" s="24" t="inlineStr">
        <is>
          <t>2026-09-13T04:32:10.770338Z</t>
        </is>
      </c>
      <c r="AE175" s="31" t="inlineStr">
        <is>
          <t>Projected home margin +4.3 pts. Spread: Home -31.5 / Away +31.5 -&gt; P(Away cover)=0.946, P(Home cover)=0.054, P(Push)=0.000.</t>
        </is>
      </c>
      <c r="AF175" s="31" t="inlineStr">
        <is>
          <t>College football model; multi-market (moneyline, spread, total).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4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West Georgia Wolves</t>
        </is>
      </c>
      <c r="AQ175" s="24" t="inlineStr">
        <is>
          <t>West Georgia Wolves</t>
        </is>
      </c>
      <c r="AR175" s="24" t="inlineStr">
        <is>
          <t>West Georgia Wolves</t>
        </is>
      </c>
      <c r="AS175" s="24" t="inlineStr">
        <is>
          <t>Arkansas State Red Wolves</t>
        </is>
      </c>
      <c r="AT175" s="24" t="inlineStr">
        <is>
          <t>Arkansas State Red Wolves</t>
        </is>
      </c>
      <c r="AU175" s="24" t="inlineStr">
        <is>
          <t>Arkansas State Red Wolves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1d168f11d221cd3c</t>
        </is>
      </c>
      <c r="BB175" s="24" t="inlineStr">
        <is>
          <t>cfb_key_number_engine</t>
        </is>
      </c>
      <c r="BC175" s="24" t="inlineStr">
        <is>
          <t>cfb-spread-v1</t>
        </is>
      </c>
      <c r="BD175" s="24" t="inlineStr">
        <is>
          <t>1d168f11d221cd3c</t>
        </is>
      </c>
      <c r="BE175" s="24" t="inlineStr">
        <is>
          <t>cfb-v1</t>
        </is>
      </c>
      <c r="BF175" s="24" t="inlineStr">
        <is>
          <t>1</t>
        </is>
      </c>
      <c r="BG175" s="24" t="inlineStr">
        <is>
          <t>1d168f11d221cd3c</t>
        </is>
      </c>
      <c r="BH175" s="24" t="inlineStr">
        <is>
          <t>2026-09-12T22:41:47.836186+00:00</t>
        </is>
      </c>
      <c r="BI175" s="24" t="inlineStr">
        <is>
          <t>["same_event","same_team_same_day","same_league_same_day"]</t>
        </is>
      </c>
      <c r="BJ175" s="25" t="n">
        <v>31.5</v>
      </c>
      <c r="BK175" s="26" t="n">
        <v>-108</v>
      </c>
      <c r="BL175" s="27" t="n">
        <v>1.925926</v>
      </c>
      <c r="BM175" s="28" t="n">
        <v>0.519231</v>
      </c>
      <c r="BN175" s="28" t="n"/>
      <c r="BO175" s="28" t="n"/>
      <c r="BP175" s="25" t="n"/>
      <c r="BQ175" s="27" t="n"/>
      <c r="BR175" s="28" t="n"/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True</t>
        </is>
      </c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n"/>
      <c r="DE175" s="24" t="n"/>
      <c r="DF175" s="24" t="n"/>
      <c r="DG175" s="24" t="n"/>
      <c r="DH175" s="24" t="n"/>
      <c r="DI175" s="24" t="n"/>
      <c r="DJ175" s="24" t="inlineStr">
        <is>
          <t>0.519231</t>
        </is>
      </c>
      <c r="DK175" s="24" t="n"/>
      <c r="DL175" s="24" t="n"/>
      <c r="DM175" s="24" t="n"/>
      <c r="DN175" s="24" t="n"/>
      <c r="DO175" s="24" t="n"/>
      <c r="DP175" s="24" t="n"/>
      <c r="DQ175" s="24" t="inlineStr">
        <is>
          <t>{"artifact_hash": "1d168f11d221cd3c", "event_id": "401868241", "event_start_utc": "2026-09-12T23:00Z", "features": {"altitude_fatigue_penalty": 0.0, "away_team": "West Georgia Wolves", "efficiency_gap": 0.233, "elo_away": 1337.5, "elo_home": 1378.9, "elo_home_win_prob": 0.6485, "event_id": "401868241", "game_start_utc": "2026-09-12T23:00Z", "home_field_advantage_points": 2.8, "home_team": "Arkansas State Red Wolves", "is_dome": false, "is_fbs_vs_fcs": false, "is_neutral_site": false, "projected_away_points": 24.3, "projected_home_points": 28.6, "projected_margin_home": 4.3,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24.3,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10600978389384379942788186200882119652}, "uinteger": 0}, "spread_home_line": -31.5, "total_line": 56.5}, "market_type": "spread", "model_version": "cfb-spread-v1", "observed_at_utc": "2026-09-12T22:41:47.836186+00:00", "probabilities": {"away": 0.946467, "home": 0.053533, "push": 0.0}, "replay_scope": "Full precision score means, exact engine parameters and original RNG state; upstream feature construction not certified.", "schema": "cfb-joint-replay-v1", "snapshot_hash": "99078d86485f0f82ecf63852a22f38979acf8df211c76824446f3456ff2f8119", "sport": "NCAAF"}</t>
        </is>
      </c>
    </row>
    <row r="176" ht="36" customHeight="1">
      <c r="A176" s="24" t="inlineStr">
        <is>
          <t>abd9144dd1164898</t>
        </is>
      </c>
      <c r="B176" s="24" t="inlineStr">
        <is>
          <t>2026-09-12T22:41:47.836186Z</t>
        </is>
      </c>
      <c r="C176" s="24" t="inlineStr">
        <is>
          <t>2026-09-12T23:00Z</t>
        </is>
      </c>
      <c r="D176" s="24" t="inlineStr">
        <is>
          <t>401868241</t>
        </is>
      </c>
      <c r="E176" s="24" t="inlineStr">
        <is>
          <t>NCAAF</t>
        </is>
      </c>
      <c r="F176" s="24" t="inlineStr">
        <is>
          <t>West Georgia Wolves</t>
        </is>
      </c>
      <c r="G176" s="24" t="inlineStr">
        <is>
          <t>Arkansas State Red Wolves</t>
        </is>
      </c>
      <c r="H176" s="24" t="inlineStr">
        <is>
          <t>total</t>
        </is>
      </c>
      <c r="I176" s="24" t="inlineStr">
        <is>
          <t>under</t>
        </is>
      </c>
      <c r="J176" s="25" t="n">
        <v>56.5</v>
      </c>
      <c r="K176" s="24" t="inlineStr">
        <is>
          <t>espn_consensus</t>
        </is>
      </c>
      <c r="L176" s="26" t="n">
        <v>-112</v>
      </c>
      <c r="M176" s="27" t="n">
        <v>1.892857</v>
      </c>
      <c r="N176" s="28" t="n">
        <v>0.528302</v>
      </c>
      <c r="O176" s="28" t="n">
        <v>0.5956669999999999</v>
      </c>
      <c r="P176" s="28" t="n">
        <v>0.18</v>
      </c>
      <c r="Q176" s="28" t="n">
        <v>0.06736499999999999</v>
      </c>
      <c r="R176" s="26" t="n">
        <v>0</v>
      </c>
      <c r="S176" s="29" t="n">
        <v>1</v>
      </c>
      <c r="T176" s="24" t="inlineStr">
        <is>
          <t>cfb-total-v1</t>
        </is>
      </c>
      <c r="U176" s="24" t="inlineStr">
        <is>
          <t>settled</t>
        </is>
      </c>
      <c r="V176" s="24" t="inlineStr">
        <is>
          <t>loss</t>
        </is>
      </c>
      <c r="W176" s="26" t="n">
        <v>7</v>
      </c>
      <c r="X176" s="26" t="n">
        <v>52</v>
      </c>
      <c r="Y176" s="25" t="n"/>
      <c r="Z176" s="26" t="n"/>
      <c r="AA176" s="28" t="n"/>
      <c r="AB176" s="28" t="n"/>
      <c r="AC176" s="30" t="n">
        <v>-1</v>
      </c>
      <c r="AD176" s="24" t="inlineStr">
        <is>
          <t>2026-09-13T04:32:11.149530Z</t>
        </is>
      </c>
      <c r="AE176" s="31" t="inlineStr">
        <is>
          <t>Projected total 52.9 pts (Weather adj: +0.0 pts). Total line 56.5 -&gt; P(Over)=0.404, P(Under)=0.596, P(Push)=0.000.</t>
        </is>
      </c>
      <c r="AF176" s="31" t="inlineStr">
        <is>
          <t>College football model; multi-market (moneyline, spread, total).</t>
        </is>
      </c>
      <c r="AG176" s="24" t="inlineStr">
        <is>
          <t>review_required</t>
        </is>
      </c>
      <c r="AH176" s="24" t="n"/>
      <c r="AI176" s="31" t="n"/>
      <c r="AJ176" s="31" t="n"/>
      <c r="AK176" s="24" t="inlineStr">
        <is>
          <t>model_qualified</t>
        </is>
      </c>
      <c r="AL176" s="26" t="n">
        <v>4</v>
      </c>
      <c r="AM176" s="24" t="inlineStr">
        <is>
          <t>QUALIFIED_SHADOW_CALL</t>
        </is>
      </c>
      <c r="AN176" s="24" t="inlineStr">
        <is>
          <t>CALL</t>
        </is>
      </c>
      <c r="AO176" s="24" t="inlineStr">
        <is>
          <t>QUALIFIED</t>
        </is>
      </c>
      <c r="AP176" s="24" t="inlineStr">
        <is>
          <t>West Georgia Wolves</t>
        </is>
      </c>
      <c r="AQ176" s="24" t="inlineStr">
        <is>
          <t>West Georgia Wolves</t>
        </is>
      </c>
      <c r="AR176" s="24" t="inlineStr">
        <is>
          <t>West Georgia Wolves</t>
        </is>
      </c>
      <c r="AS176" s="24" t="inlineStr">
        <is>
          <t>Arkansas State Red Wolves</t>
        </is>
      </c>
      <c r="AT176" s="24" t="inlineStr">
        <is>
          <t>Arkansas State Red Wolves</t>
        </is>
      </c>
      <c r="AU176" s="24" t="inlineStr">
        <is>
          <t>Arkansas State Red Wolves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1d168f11d221cd3c</t>
        </is>
      </c>
      <c r="BB176" s="24" t="inlineStr">
        <is>
          <t>cfb_key_number_engine</t>
        </is>
      </c>
      <c r="BC176" s="24" t="inlineStr">
        <is>
          <t>cfb-total-v1</t>
        </is>
      </c>
      <c r="BD176" s="24" t="inlineStr">
        <is>
          <t>1d168f11d221cd3c</t>
        </is>
      </c>
      <c r="BE176" s="24" t="inlineStr">
        <is>
          <t>cfb-v1</t>
        </is>
      </c>
      <c r="BF176" s="24" t="inlineStr">
        <is>
          <t>1</t>
        </is>
      </c>
      <c r="BG176" s="24" t="inlineStr">
        <is>
          <t>1d168f11d221cd3c</t>
        </is>
      </c>
      <c r="BH176" s="24" t="inlineStr">
        <is>
          <t>2026-09-12T22:41:47.836186+00:00</t>
        </is>
      </c>
      <c r="BI176" s="24" t="inlineStr">
        <is>
          <t>["same_event","same_team_same_day","same_league_same_day"]</t>
        </is>
      </c>
      <c r="BJ176" s="25" t="n">
        <v>56.5</v>
      </c>
      <c r="BK176" s="26" t="n">
        <v>-112</v>
      </c>
      <c r="BL176" s="27" t="n">
        <v>1.892857</v>
      </c>
      <c r="BM176" s="28" t="n">
        <v>0.528302</v>
      </c>
      <c r="BN176" s="28" t="n"/>
      <c r="BO176" s="28" t="n"/>
      <c r="BP176" s="25" t="n"/>
      <c r="BQ176" s="27" t="n"/>
      <c r="BR176" s="28" t="n"/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True</t>
        </is>
      </c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n"/>
      <c r="DE176" s="24" t="n"/>
      <c r="DF176" s="24" t="n"/>
      <c r="DG176" s="24" t="n"/>
      <c r="DH176" s="24" t="n"/>
      <c r="DI176" s="24" t="n"/>
      <c r="DJ176" s="24" t="inlineStr">
        <is>
          <t>0.528302</t>
        </is>
      </c>
      <c r="DK176" s="24" t="n"/>
      <c r="DL176" s="24" t="n"/>
      <c r="DM176" s="24" t="n"/>
      <c r="DN176" s="24" t="n"/>
      <c r="DO176" s="24" t="n"/>
      <c r="DP176" s="24" t="n"/>
      <c r="DQ176" s="24" t="inlineStr">
        <is>
          <t>{"artifact_hash": "1d168f11d221cd3c", "event_id": "401868241", "event_start_utc": "2026-09-12T23:00Z", "features": {"altitude_fatigue_penalty": 0.0, "away_team": "West Georgia Wolves", "efficiency_gap": 0.233, "elo_away": 1337.5, "elo_home": 1378.9, "elo_home_win_prob": 0.6485, "event_id": "401868241", "game_start_utc": "2026-09-12T23:00Z", "home_field_advantage_points": 2.8, "home_team": "Arkansas State Red Wolves", "is_dome": false, "is_fbs_vs_fcs": false, "is_neutral_site": false, "projected_away_points": 24.3, "projected_home_points": 28.6, "projected_margin_home": 4.3,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24.3,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10600978389384379942788186200882119652}, "uinteger": 0}, "spread_home_line": -31.5, "total_line": 56.5}, "market_type": "total", "model_version": "cfb-total-v1", "observed_at_utc": "2026-09-12T22:41:47.836186+00:00", "probabilities": {"over": 0.404333, "push": 0.0, "under": 0.595667}, "replay_scope": "Full precision score means, exact engine parameters and original RNG state; upstream feature construction not certified.", "schema": "cfb-joint-replay-v1", "snapshot_hash": "089e1cac7af83595885a89ad230c100368dd0af7bfbaa3653ed52b1eaebc368f", "sport": "NCAAF"}</t>
        </is>
      </c>
    </row>
    <row r="177" ht="36" customHeight="1">
      <c r="A177" s="24" t="inlineStr">
        <is>
          <t>4f662f4911444f50</t>
        </is>
      </c>
      <c r="B177" s="24" t="inlineStr">
        <is>
          <t>2026-09-12T22:41:47.836186Z</t>
        </is>
      </c>
      <c r="C177" s="24" t="inlineStr">
        <is>
          <t>2026-09-12T23:00Z</t>
        </is>
      </c>
      <c r="D177" s="24" t="inlineStr">
        <is>
          <t>401869955</t>
        </is>
      </c>
      <c r="E177" s="24" t="inlineStr">
        <is>
          <t>NCAAF</t>
        </is>
      </c>
      <c r="F177" s="24" t="inlineStr">
        <is>
          <t>Georgia State Panthers</t>
        </is>
      </c>
      <c r="G177" s="24" t="inlineStr">
        <is>
          <t>Kennesaw State Owls</t>
        </is>
      </c>
      <c r="H177" s="24" t="inlineStr">
        <is>
          <t>moneyline</t>
        </is>
      </c>
      <c r="I177" s="24" t="inlineStr">
        <is>
          <t>home</t>
        </is>
      </c>
      <c r="J177" s="25" t="n"/>
      <c r="K177" s="24" t="inlineStr">
        <is>
          <t>espn_consensus</t>
        </is>
      </c>
      <c r="L177" s="26" t="n">
        <v>-298</v>
      </c>
      <c r="M177" s="27" t="n">
        <v>1.33557</v>
      </c>
      <c r="N177" s="28" t="n">
        <v>0.748744</v>
      </c>
      <c r="O177" s="28" t="n">
        <v>0.864491</v>
      </c>
      <c r="P177" s="28" t="n">
        <v>0.18</v>
      </c>
      <c r="Q177" s="28" t="n">
        <v>0.115747</v>
      </c>
      <c r="R177" s="26" t="n">
        <v>0</v>
      </c>
      <c r="S177" s="29" t="n">
        <v>1</v>
      </c>
      <c r="T177" s="24" t="inlineStr">
        <is>
          <t>college-football-v1</t>
        </is>
      </c>
      <c r="U177" s="24" t="inlineStr">
        <is>
          <t>settled</t>
        </is>
      </c>
      <c r="V177" s="24" t="inlineStr">
        <is>
          <t>loss</t>
        </is>
      </c>
      <c r="W177" s="26" t="n">
        <v>31</v>
      </c>
      <c r="X177" s="26" t="n">
        <v>17</v>
      </c>
      <c r="Y177" s="25" t="n"/>
      <c r="Z177" s="26" t="n"/>
      <c r="AA177" s="28" t="n"/>
      <c r="AB177" s="28" t="n"/>
      <c r="AC177" s="30" t="n">
        <v>-1</v>
      </c>
      <c r="AD177" s="24" t="inlineStr">
        <is>
          <t>2026-09-13T04:32:11.540059Z</t>
        </is>
      </c>
      <c r="AE177" s="31" t="inlineStr">
        <is>
          <t>CFB Joint Model (negative_binomial): proj score Georgia State Panthers 17.5 @ Kennesaw State Owls 35.4 (Margin +18.0). Possessions: 12.4, HFA: +2.8 pts.</t>
        </is>
      </c>
      <c r="AF177" s="31" t="inlineStr">
        <is>
          <t>College football model; multi-market (moneyline, spread, total).</t>
        </is>
      </c>
      <c r="AG177" s="24" t="inlineStr">
        <is>
          <t>review_required</t>
        </is>
      </c>
      <c r="AH177" s="24" t="n"/>
      <c r="AI177" s="31" t="n"/>
      <c r="AJ177" s="31" t="n"/>
      <c r="AK177" s="24" t="inlineStr">
        <is>
          <t>model_qualified</t>
        </is>
      </c>
      <c r="AL177" s="26" t="n">
        <v>4</v>
      </c>
      <c r="AM177" s="24" t="inlineStr">
        <is>
          <t>QUALIFIED_SHADOW_CALL</t>
        </is>
      </c>
      <c r="AN177" s="24" t="inlineStr">
        <is>
          <t>CALL</t>
        </is>
      </c>
      <c r="AO177" s="24" t="inlineStr">
        <is>
          <t>QUALIFIED</t>
        </is>
      </c>
      <c r="AP177" s="24" t="inlineStr">
        <is>
          <t>Georgia State Panthers</t>
        </is>
      </c>
      <c r="AQ177" s="24" t="inlineStr">
        <is>
          <t>Georgia State Panthers</t>
        </is>
      </c>
      <c r="AR177" s="24" t="inlineStr">
        <is>
          <t>Georgia State Panthers</t>
        </is>
      </c>
      <c r="AS177" s="24" t="inlineStr">
        <is>
          <t>Kennesaw State Owls</t>
        </is>
      </c>
      <c r="AT177" s="24" t="inlineStr">
        <is>
          <t>Kennesaw State Owls</t>
        </is>
      </c>
      <c r="AU177" s="24" t="inlineStr">
        <is>
          <t>Kennesaw State Owls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1d168f11d221cd3c</t>
        </is>
      </c>
      <c r="BB177" s="24" t="inlineStr">
        <is>
          <t>cfb_key_number_engine</t>
        </is>
      </c>
      <c r="BC177" s="24" t="inlineStr">
        <is>
          <t>college-football-v1</t>
        </is>
      </c>
      <c r="BD177" s="24" t="inlineStr">
        <is>
          <t>1d168f11d221cd3c</t>
        </is>
      </c>
      <c r="BE177" s="24" t="inlineStr">
        <is>
          <t>cfb-v1</t>
        </is>
      </c>
      <c r="BF177" s="24" t="inlineStr">
        <is>
          <t>1</t>
        </is>
      </c>
      <c r="BG177" s="24" t="inlineStr">
        <is>
          <t>1d168f11d221cd3c</t>
        </is>
      </c>
      <c r="BH177" s="24" t="inlineStr">
        <is>
          <t>2026-09-12T22:41:47.836186+00:00</t>
        </is>
      </c>
      <c r="BI177" s="24" t="inlineStr">
        <is>
          <t>["same_event","same_team_same_day","same_league_same_day"]</t>
        </is>
      </c>
      <c r="BJ177" s="25" t="n"/>
      <c r="BK177" s="26" t="n">
        <v>-298</v>
      </c>
      <c r="BL177" s="27" t="n">
        <v>1.33557</v>
      </c>
      <c r="BM177" s="28" t="n">
        <v>0.748744</v>
      </c>
      <c r="BN177" s="28" t="n"/>
      <c r="BO177" s="28" t="n"/>
      <c r="BP177" s="25" t="n"/>
      <c r="BQ177" s="27" t="n"/>
      <c r="BR177" s="28" t="n"/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True</t>
        </is>
      </c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n"/>
      <c r="DE177" s="24" t="n"/>
      <c r="DF177" s="24" t="n"/>
      <c r="DG177" s="24" t="n"/>
      <c r="DH177" s="24" t="n"/>
      <c r="DI177" s="24" t="n"/>
      <c r="DJ177" s="24" t="inlineStr">
        <is>
          <t>0.748744</t>
        </is>
      </c>
      <c r="DK177" s="24" t="n"/>
      <c r="DL177" s="24" t="n"/>
      <c r="DM177" s="24" t="n"/>
      <c r="DN177" s="24" t="n"/>
      <c r="DO177" s="24" t="n"/>
      <c r="DP177" s="24" t="n"/>
      <c r="DQ177" s="24" t="inlineStr">
        <is>
          <t>{"artifact_hash": "1d168f11d221cd3c", "event_id": "401869955", "event_start_utc": "2026-09-12T23:00Z", "features": {"altitude_fatigue_penalty": 0.0, "away_team": "Georgia State Panthers", "efficiency_gap": -0.57, "elo_away": 1083.9, "elo_home": 1459.0, "elo_home_win_prob": 0.9264, "event_id": "401869955", "game_start_utc": "2026-09-12T23:00Z", "home_field_advantage_points": 2.8, "home_team": "Kennesaw State Owls", "is_dome": false, "is_fbs_vs_fcs": false, "is_neutral_site": false, "projected_away_points": 17.5, "projected_home_points": 35.4, "projected_margin_home": 18.0, "projected_possessions": 12.4, "projected_total": 52.9, "stadium_elevation_ft": 990, "travel_distance_miles": 23.0, "uncertainty": 0.18, "weather_total_adjustment": 0.0}, "historical_source_observation_times_verified": false, "inference_inputs": {"engine_source_sha256": "449ba2f0e86fa9c445730076a0e0bf100fb4914620be53c75c6f3bfe24298f3f", "mu_away": 17.5, "mu_home": 35.4,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326730361890284222547660107119506437555}, "uinteger": 0}, "spread_home_line": -7.0, "total_line": 55.5}, "market_type": "moneyline", "model_version": "college-football-v1", "observed_at_utc": "2026-09-12T22:41:47.836186+00:00", "probabilities": {"away": 0.135509, "home": 0.864491}, "replay_scope": "Full precision score means, exact engine parameters and original RNG state; upstream feature construction not certified.", "schema": "cfb-joint-replay-v1", "snapshot_hash": "1971f33a278d00d1dc7d4d1fa2132d64618201f9589cb1faf57534b97b360c1d", "sport": "NCAAF"}</t>
        </is>
      </c>
    </row>
    <row r="178" ht="36" customHeight="1">
      <c r="A178" s="24" t="inlineStr">
        <is>
          <t>2f477bcfd16643c3</t>
        </is>
      </c>
      <c r="B178" s="24" t="inlineStr">
        <is>
          <t>2026-09-12T22:41:47.836186Z</t>
        </is>
      </c>
      <c r="C178" s="24" t="inlineStr">
        <is>
          <t>2026-09-12T23:00Z</t>
        </is>
      </c>
      <c r="D178" s="24" t="inlineStr">
        <is>
          <t>401869955</t>
        </is>
      </c>
      <c r="E178" s="24" t="inlineStr">
        <is>
          <t>NCAAF</t>
        </is>
      </c>
      <c r="F178" s="24" t="inlineStr">
        <is>
          <t>Georgia State Panthers</t>
        </is>
      </c>
      <c r="G178" s="24" t="inlineStr">
        <is>
          <t>Kennesaw State Owls</t>
        </is>
      </c>
      <c r="H178" s="24" t="inlineStr">
        <is>
          <t>spread</t>
        </is>
      </c>
      <c r="I178" s="24" t="inlineStr">
        <is>
          <t>home</t>
        </is>
      </c>
      <c r="J178" s="25" t="n">
        <v>-7</v>
      </c>
      <c r="K178" s="24" t="inlineStr">
        <is>
          <t>espn_consensus</t>
        </is>
      </c>
      <c r="L178" s="26" t="n">
        <v>-115</v>
      </c>
      <c r="M178" s="27" t="n">
        <v>1.869565</v>
      </c>
      <c r="N178" s="28" t="n">
        <v>0.534884</v>
      </c>
      <c r="O178" s="28" t="n">
        <v>0.7468669999999999</v>
      </c>
      <c r="P178" s="28" t="n">
        <v>0.18</v>
      </c>
      <c r="Q178" s="28" t="n">
        <v>0.211983</v>
      </c>
      <c r="R178" s="26" t="n">
        <v>48</v>
      </c>
      <c r="S178" s="29" t="n">
        <v>1.25</v>
      </c>
      <c r="T178" s="24" t="inlineStr">
        <is>
          <t>cfb-spread-v1</t>
        </is>
      </c>
      <c r="U178" s="24" t="inlineStr">
        <is>
          <t>settled</t>
        </is>
      </c>
      <c r="V178" s="24" t="inlineStr">
        <is>
          <t>loss</t>
        </is>
      </c>
      <c r="W178" s="26" t="n">
        <v>31</v>
      </c>
      <c r="X178" s="26" t="n">
        <v>17</v>
      </c>
      <c r="Y178" s="25" t="n"/>
      <c r="Z178" s="26" t="n"/>
      <c r="AA178" s="28" t="n"/>
      <c r="AB178" s="28" t="n"/>
      <c r="AC178" s="30" t="n">
        <v>-1.25</v>
      </c>
      <c r="AD178" s="24" t="inlineStr">
        <is>
          <t>2026-09-13T04:32:11.954676Z</t>
        </is>
      </c>
      <c r="AE178" s="31" t="inlineStr">
        <is>
          <t>Projected home margin +18.0 pts. Spread: Home -7.0 / Away +7.0 -&gt; P(Away cover)=0.233, P(Home cover)=0.747, P(Push)=0.021.</t>
        </is>
      </c>
      <c r="AF178" s="31" t="inlineStr">
        <is>
          <t>College football model; multi-market (moneyline, spread, total).</t>
        </is>
      </c>
      <c r="AG178" s="24" t="inlineStr">
        <is>
          <t>review_required</t>
        </is>
      </c>
      <c r="AH178" s="24" t="n"/>
      <c r="AI178" s="31" t="n"/>
      <c r="AJ178" s="31" t="n"/>
      <c r="AK178" s="24" t="inlineStr">
        <is>
          <t>model_qualified</t>
        </is>
      </c>
      <c r="AL178" s="26" t="n">
        <v>4</v>
      </c>
      <c r="AM178" s="24" t="inlineStr">
        <is>
          <t>QUALIFIED_SHADOW_CALL</t>
        </is>
      </c>
      <c r="AN178" s="24" t="inlineStr">
        <is>
          <t>CALL</t>
        </is>
      </c>
      <c r="AO178" s="24" t="inlineStr">
        <is>
          <t>QUALIFIED</t>
        </is>
      </c>
      <c r="AP178" s="24" t="inlineStr">
        <is>
          <t>Georgia State Panthers</t>
        </is>
      </c>
      <c r="AQ178" s="24" t="inlineStr">
        <is>
          <t>Georgia State Panthers</t>
        </is>
      </c>
      <c r="AR178" s="24" t="inlineStr">
        <is>
          <t>Georgia State Panthers</t>
        </is>
      </c>
      <c r="AS178" s="24" t="inlineStr">
        <is>
          <t>Kennesaw State Owls</t>
        </is>
      </c>
      <c r="AT178" s="24" t="inlineStr">
        <is>
          <t>Kennesaw State Owls</t>
        </is>
      </c>
      <c r="AU178" s="24" t="inlineStr">
        <is>
          <t>Kennesaw State Owls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1d168f11d221cd3c</t>
        </is>
      </c>
      <c r="BB178" s="24" t="inlineStr">
        <is>
          <t>cfb_key_number_engine</t>
        </is>
      </c>
      <c r="BC178" s="24" t="inlineStr">
        <is>
          <t>cfb-spread-v1</t>
        </is>
      </c>
      <c r="BD178" s="24" t="inlineStr">
        <is>
          <t>1d168f11d221cd3c</t>
        </is>
      </c>
      <c r="BE178" s="24" t="inlineStr">
        <is>
          <t>cfb-v1</t>
        </is>
      </c>
      <c r="BF178" s="24" t="inlineStr">
        <is>
          <t>1</t>
        </is>
      </c>
      <c r="BG178" s="24" t="inlineStr">
        <is>
          <t>1d168f11d221cd3c</t>
        </is>
      </c>
      <c r="BH178" s="24" t="inlineStr">
        <is>
          <t>2026-09-12T22:41:47.836186+00:00</t>
        </is>
      </c>
      <c r="BI178" s="24" t="inlineStr">
        <is>
          <t>["same_event","same_team_same_day","same_league_same_day"]</t>
        </is>
      </c>
      <c r="BJ178" s="25" t="n">
        <v>-7</v>
      </c>
      <c r="BK178" s="26" t="n">
        <v>-115</v>
      </c>
      <c r="BL178" s="27" t="n">
        <v>1.869565</v>
      </c>
      <c r="BM178" s="28" t="n">
        <v>0.534884</v>
      </c>
      <c r="BN178" s="28" t="n"/>
      <c r="BO178" s="28" t="n"/>
      <c r="BP178" s="25" t="n"/>
      <c r="BQ178" s="27" t="n"/>
      <c r="BR178" s="28" t="n"/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True</t>
        </is>
      </c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/>
      <c r="DH178" s="24" t="n"/>
      <c r="DI178" s="24" t="n"/>
      <c r="DJ178" s="24" t="inlineStr">
        <is>
          <t>0.534884</t>
        </is>
      </c>
      <c r="DK178" s="24" t="n"/>
      <c r="DL178" s="24" t="n"/>
      <c r="DM178" s="24" t="n"/>
      <c r="DN178" s="24" t="n"/>
      <c r="DO178" s="24" t="n"/>
      <c r="DP178" s="24" t="n"/>
      <c r="DQ178" s="24" t="inlineStr">
        <is>
          <t>{"artifact_hash": "1d168f11d221cd3c", "event_id": "401869955", "event_start_utc": "2026-09-12T23:00Z", "features": {"altitude_fatigue_penalty": 0.0, "away_team": "Georgia State Panthers", "efficiency_gap": -0.57, "elo_away": 1083.9, "elo_home": 1459.0, "elo_home_win_prob": 0.9264, "event_id": "401869955", "game_start_utc": "2026-09-12T23:00Z", "home_field_advantage_points": 2.8, "home_team": "Kennesaw State Owls", "is_dome": false, "is_fbs_vs_fcs": false, "is_neutral_site": false, "projected_away_points": 17.5, "projected_home_points": 35.4, "projected_margin_home": 18.0, "projected_possessions": 12.4, "projected_total": 52.9, "stadium_elevation_ft": 990, "travel_distance_miles": 23.0, "uncertainty": 0.18, "weather_total_adjustment": 0.0}, "historical_source_observation_times_verified": false, "inference_inputs": {"engine_source_sha256": "449ba2f0e86fa9c445730076a0e0bf100fb4914620be53c75c6f3bfe24298f3f", "mu_away": 17.5, "mu_home": 35.4,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326730361890284222547660107119506437555}, "uinteger": 0}, "spread_home_line": -7.0, "total_line": 55.5}, "market_type": "spread", "model_version": "cfb-spread-v1", "observed_at_utc": "2026-09-12T22:41:47.836186+00:00", "probabilities": {"away": 0.2326, "home": 0.746867, "push": 0.020533}, "replay_scope": "Full precision score means, exact engine parameters and original RNG state; upstream feature construction not certified.", "schema": "cfb-joint-replay-v1", "snapshot_hash": "92a72aaee9d7fe9310f8e8fa5ac62ecc2914e8dc386666309bcc963bea1852f3", "sport": "NCAAF"}</t>
        </is>
      </c>
    </row>
    <row r="179" ht="36" customHeight="1">
      <c r="A179" s="24" t="inlineStr">
        <is>
          <t>a670ebcc502c44be</t>
        </is>
      </c>
      <c r="B179" s="24" t="inlineStr">
        <is>
          <t>2026-09-12T22:41:47.836186Z</t>
        </is>
      </c>
      <c r="C179" s="24" t="inlineStr">
        <is>
          <t>2026-09-12T23:00Z</t>
        </is>
      </c>
      <c r="D179" s="24" t="inlineStr">
        <is>
          <t>401869955</t>
        </is>
      </c>
      <c r="E179" s="24" t="inlineStr">
        <is>
          <t>NCAAF</t>
        </is>
      </c>
      <c r="F179" s="24" t="inlineStr">
        <is>
          <t>Georgia State Panthers</t>
        </is>
      </c>
      <c r="G179" s="24" t="inlineStr">
        <is>
          <t>Kennesaw State Owls</t>
        </is>
      </c>
      <c r="H179" s="24" t="inlineStr">
        <is>
          <t>total</t>
        </is>
      </c>
      <c r="I179" s="24" t="inlineStr">
        <is>
          <t>under</t>
        </is>
      </c>
      <c r="J179" s="25" t="n">
        <v>55.5</v>
      </c>
      <c r="K179" s="24" t="inlineStr">
        <is>
          <t>espn_consensus</t>
        </is>
      </c>
      <c r="L179" s="26" t="n">
        <v>-110</v>
      </c>
      <c r="M179" s="27" t="n">
        <v>1.909091</v>
      </c>
      <c r="N179" s="28" t="n">
        <v>0.52381</v>
      </c>
      <c r="O179" s="28" t="n">
        <v>0.5794</v>
      </c>
      <c r="P179" s="28" t="n">
        <v>0.18</v>
      </c>
      <c r="Q179" s="28" t="n">
        <v>0.05559</v>
      </c>
      <c r="R179" s="26" t="n">
        <v>0</v>
      </c>
      <c r="S179" s="29" t="n">
        <v>1</v>
      </c>
      <c r="T179" s="24" t="inlineStr">
        <is>
          <t>cfb-total-v1</t>
        </is>
      </c>
      <c r="U179" s="24" t="inlineStr">
        <is>
          <t>settled</t>
        </is>
      </c>
      <c r="V179" s="24" t="inlineStr">
        <is>
          <t>win</t>
        </is>
      </c>
      <c r="W179" s="26" t="n">
        <v>31</v>
      </c>
      <c r="X179" s="26" t="n">
        <v>17</v>
      </c>
      <c r="Y179" s="25" t="n"/>
      <c r="Z179" s="26" t="n"/>
      <c r="AA179" s="28" t="n"/>
      <c r="AB179" s="28" t="n"/>
      <c r="AC179" s="30" t="n">
        <v>0.9091</v>
      </c>
      <c r="AD179" s="24" t="inlineStr">
        <is>
          <t>2026-09-13T04:32:12.336360Z</t>
        </is>
      </c>
      <c r="AE179" s="31" t="inlineStr">
        <is>
          <t>Projected total 52.9 pts (Weather adj: +0.0 pts). Total line 55.5 -&gt; P(Over)=0.421, P(Under)=0.579, P(Push)=0.000.</t>
        </is>
      </c>
      <c r="AF179" s="31" t="inlineStr">
        <is>
          <t>College football model; multi-market (moneyline, spread, total).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4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Georgia State Panthers</t>
        </is>
      </c>
      <c r="AQ179" s="24" t="inlineStr">
        <is>
          <t>Georgia State Panthers</t>
        </is>
      </c>
      <c r="AR179" s="24" t="inlineStr">
        <is>
          <t>Georgia State Panthers</t>
        </is>
      </c>
      <c r="AS179" s="24" t="inlineStr">
        <is>
          <t>Kennesaw State Owls</t>
        </is>
      </c>
      <c r="AT179" s="24" t="inlineStr">
        <is>
          <t>Kennesaw State Owls</t>
        </is>
      </c>
      <c r="AU179" s="24" t="inlineStr">
        <is>
          <t>Kennesaw State Owls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1d168f11d221cd3c</t>
        </is>
      </c>
      <c r="BB179" s="24" t="inlineStr">
        <is>
          <t>cfb_key_number_engine</t>
        </is>
      </c>
      <c r="BC179" s="24" t="inlineStr">
        <is>
          <t>cfb-total-v1</t>
        </is>
      </c>
      <c r="BD179" s="24" t="inlineStr">
        <is>
          <t>1d168f11d221cd3c</t>
        </is>
      </c>
      <c r="BE179" s="24" t="inlineStr">
        <is>
          <t>cfb-v1</t>
        </is>
      </c>
      <c r="BF179" s="24" t="inlineStr">
        <is>
          <t>1</t>
        </is>
      </c>
      <c r="BG179" s="24" t="inlineStr">
        <is>
          <t>1d168f11d221cd3c</t>
        </is>
      </c>
      <c r="BH179" s="24" t="inlineStr">
        <is>
          <t>2026-09-12T22:41:47.836186+00:00</t>
        </is>
      </c>
      <c r="BI179" s="24" t="inlineStr">
        <is>
          <t>["same_event","same_team_same_day","same_league_same_day"]</t>
        </is>
      </c>
      <c r="BJ179" s="25" t="n">
        <v>55.5</v>
      </c>
      <c r="BK179" s="26" t="n">
        <v>-110</v>
      </c>
      <c r="BL179" s="27" t="n">
        <v>1.909091</v>
      </c>
      <c r="BM179" s="28" t="n">
        <v>0.52381</v>
      </c>
      <c r="BN179" s="28" t="n"/>
      <c r="BO179" s="28" t="n"/>
      <c r="BP179" s="25" t="n"/>
      <c r="BQ179" s="27" t="n"/>
      <c r="BR179" s="28" t="n"/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n"/>
      <c r="DE179" s="24" t="n"/>
      <c r="DF179" s="24" t="n"/>
      <c r="DG179" s="24" t="n"/>
      <c r="DH179" s="24" t="n"/>
      <c r="DI179" s="24" t="n"/>
      <c r="DJ179" s="24" t="inlineStr">
        <is>
          <t>0.52381</t>
        </is>
      </c>
      <c r="DK179" s="24" t="n"/>
      <c r="DL179" s="24" t="n"/>
      <c r="DM179" s="24" t="n"/>
      <c r="DN179" s="24" t="n"/>
      <c r="DO179" s="24" t="n"/>
      <c r="DP179" s="24" t="n"/>
      <c r="DQ179" s="24" t="inlineStr">
        <is>
          <t>{"artifact_hash": "1d168f11d221cd3c", "event_id": "401869955", "event_start_utc": "2026-09-12T23:00Z", "features": {"altitude_fatigue_penalty": 0.0, "away_team": "Georgia State Panthers", "efficiency_gap": -0.57, "elo_away": 1083.9, "elo_home": 1459.0, "elo_home_win_prob": 0.9264, "event_id": "401869955", "game_start_utc": "2026-09-12T23:00Z", "home_field_advantage_points": 2.8, "home_team": "Kennesaw State Owls", "is_dome": false, "is_fbs_vs_fcs": false, "is_neutral_site": false, "projected_away_points": 17.5, "projected_home_points": 35.4, "projected_margin_home": 18.0, "projected_possessions": 12.4, "projected_total": 52.9, "stadium_elevation_ft": 990, "travel_distance_miles": 23.0, "uncertainty": 0.18, "weather_total_adjustment": 0.0}, "historical_source_observation_times_verified": false, "inference_inputs": {"engine_source_sha256": "449ba2f0e86fa9c445730076a0e0bf100fb4914620be53c75c6f3bfe24298f3f", "mu_away": 17.5, "mu_home": 35.4,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326730361890284222547660107119506437555}, "uinteger": 0}, "spread_home_line": -7.0, "total_line": 55.5}, "market_type": "total", "model_version": "cfb-total-v1", "observed_at_utc": "2026-09-12T22:41:47.836186+00:00", "probabilities": {"over": 0.4206, "push": 0.0, "under": 0.5794}, "replay_scope": "Full precision score means, exact engine parameters and original RNG state; upstream feature construction not certified.", "schema": "cfb-joint-replay-v1", "snapshot_hash": "d7a46cb03bf661cc22b31391e2e1a5224c89efc6c402409eb11aa373d355bfed", "sport": "NCAAF"}</t>
        </is>
      </c>
    </row>
    <row r="180" ht="36" customHeight="1">
      <c r="A180" s="24" t="inlineStr">
        <is>
          <t>df70b0ac65b1471f</t>
        </is>
      </c>
      <c r="B180" s="24" t="inlineStr">
        <is>
          <t>2026-09-12T22:41:47.836186Z</t>
        </is>
      </c>
      <c r="C180" s="24" t="inlineStr">
        <is>
          <t>2026-09-12T23:00Z</t>
        </is>
      </c>
      <c r="D180" s="24" t="inlineStr">
        <is>
          <t>401871045</t>
        </is>
      </c>
      <c r="E180" s="24" t="inlineStr">
        <is>
          <t>NCAAF</t>
        </is>
      </c>
      <c r="F180" s="24" t="inlineStr">
        <is>
          <t>Middle Tennessee Blue Raiders</t>
        </is>
      </c>
      <c r="G180" s="24" t="inlineStr">
        <is>
          <t>Marshall Thundering Herd</t>
        </is>
      </c>
      <c r="H180" s="24" t="inlineStr">
        <is>
          <t>moneyline</t>
        </is>
      </c>
      <c r="I180" s="24" t="inlineStr">
        <is>
          <t>home</t>
        </is>
      </c>
      <c r="J180" s="25" t="n"/>
      <c r="K180" s="24" t="inlineStr">
        <is>
          <t>espn_consensus</t>
        </is>
      </c>
      <c r="L180" s="26" t="n">
        <v>-535</v>
      </c>
      <c r="M180" s="27" t="n">
        <v>1.186916</v>
      </c>
      <c r="N180" s="28" t="n">
        <v>0.84252</v>
      </c>
      <c r="O180" s="28" t="n">
        <v>0.623104</v>
      </c>
      <c r="P180" s="28" t="n">
        <v>0.18</v>
      </c>
      <c r="Q180" s="28" t="n">
        <v>-0.219416</v>
      </c>
      <c r="R180" s="26" t="n">
        <v>0</v>
      </c>
      <c r="S180" s="29" t="n">
        <v>1</v>
      </c>
      <c r="T180" s="24" t="inlineStr">
        <is>
          <t>college-football-v1</t>
        </is>
      </c>
      <c r="U180" s="24" t="inlineStr">
        <is>
          <t>settled</t>
        </is>
      </c>
      <c r="V180" s="24" t="inlineStr">
        <is>
          <t>win</t>
        </is>
      </c>
      <c r="W180" s="26" t="n">
        <v>26</v>
      </c>
      <c r="X180" s="26" t="n">
        <v>28</v>
      </c>
      <c r="Y180" s="25" t="n"/>
      <c r="Z180" s="26" t="n"/>
      <c r="AA180" s="28" t="n"/>
      <c r="AB180" s="28" t="n"/>
      <c r="AC180" s="30" t="n">
        <v>0.1869</v>
      </c>
      <c r="AD180" s="24" t="inlineStr">
        <is>
          <t>2026-09-13T04:32:12.720410Z</t>
        </is>
      </c>
      <c r="AE180" s="31" t="inlineStr">
        <is>
          <t>CFB Joint Model (negative_binomial): proj score Middle Tennessee Blue Raiders 23.7 @ Marshall Thundering Herd 28.5 (Margin +4.8). Possessions: 12.4, HFA: +2.8 pts.</t>
        </is>
      </c>
      <c r="AF180" s="31" t="inlineStr">
        <is>
          <t>College football model; multi-market (moneyline, spread, total).</t>
        </is>
      </c>
      <c r="AG180" s="24" t="inlineStr">
        <is>
          <t>not_applicable</t>
        </is>
      </c>
      <c r="AH180" s="24" t="n"/>
      <c r="AI180" s="31" t="n"/>
      <c r="AJ180" s="31" t="n"/>
      <c r="AK180" s="24" t="inlineStr">
        <is>
          <t>paper_call</t>
        </is>
      </c>
      <c r="AL180" s="26" t="n">
        <v>4</v>
      </c>
      <c r="AM180" s="24" t="inlineStr">
        <is>
          <t>RESEARCH_OBSERVATION</t>
        </is>
      </c>
      <c r="AN180" s="24" t="inlineStr">
        <is>
          <t>CALL</t>
        </is>
      </c>
      <c r="AO180" s="24" t="inlineStr">
        <is>
          <t>PAPER_CALL_LOW_EDGE</t>
        </is>
      </c>
      <c r="AP180" s="24" t="inlineStr">
        <is>
          <t>Middle Tennessee Blue Raiders</t>
        </is>
      </c>
      <c r="AQ180" s="24" t="inlineStr">
        <is>
          <t>Middle Tennessee Blue Raiders</t>
        </is>
      </c>
      <c r="AR180" s="24" t="inlineStr">
        <is>
          <t>Middle Tennessee Blue Raiders</t>
        </is>
      </c>
      <c r="AS180" s="24" t="inlineStr">
        <is>
          <t>Marshall Thundering Herd</t>
        </is>
      </c>
      <c r="AT180" s="24" t="inlineStr">
        <is>
          <t>Marshall Thundering Herd</t>
        </is>
      </c>
      <c r="AU180" s="24" t="inlineStr">
        <is>
          <t>Marshall Thundering Herd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1d168f11d221cd3c</t>
        </is>
      </c>
      <c r="BB180" s="24" t="inlineStr">
        <is>
          <t>cfb_key_number_engine</t>
        </is>
      </c>
      <c r="BC180" s="24" t="inlineStr">
        <is>
          <t>college-football-v1</t>
        </is>
      </c>
      <c r="BD180" s="24" t="inlineStr">
        <is>
          <t>1d168f11d221cd3c</t>
        </is>
      </c>
      <c r="BE180" s="24" t="inlineStr">
        <is>
          <t>cfb-v1</t>
        </is>
      </c>
      <c r="BF180" s="24" t="inlineStr">
        <is>
          <t>1</t>
        </is>
      </c>
      <c r="BG180" s="24" t="inlineStr">
        <is>
          <t>1d168f11d221cd3c</t>
        </is>
      </c>
      <c r="BH180" s="24" t="inlineStr">
        <is>
          <t>2026-09-12T22:41:47.836186+00:00</t>
        </is>
      </c>
      <c r="BI180" s="24" t="inlineStr">
        <is>
          <t>["same_event","same_team_same_day","same_league_same_day"]</t>
        </is>
      </c>
      <c r="BJ180" s="25" t="n"/>
      <c r="BK180" s="26" t="n">
        <v>-535</v>
      </c>
      <c r="BL180" s="27" t="n">
        <v>1.186916</v>
      </c>
      <c r="BM180" s="28" t="n">
        <v>0.84252</v>
      </c>
      <c r="BN180" s="28" t="n"/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>
        <v>1</v>
      </c>
      <c r="BY180" s="27" t="n">
        <v>0.186916</v>
      </c>
      <c r="BZ180" s="24" t="inlineStr">
        <is>
          <t>2026-09-13T04:32:12.720410Z</t>
        </is>
      </c>
      <c r="CA180" s="31" t="inlineStr">
        <is>
          <t>fixed one-unit hypothetical scoring; no real exposure or execution</t>
        </is>
      </c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False</t>
        </is>
      </c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n"/>
      <c r="DE180" s="24" t="n"/>
      <c r="DF180" s="24" t="n"/>
      <c r="DG180" s="24" t="n"/>
      <c r="DH180" s="24" t="n"/>
      <c r="DI180" s="24" t="n"/>
      <c r="DJ180" s="24" t="inlineStr">
        <is>
          <t>0.84252</t>
        </is>
      </c>
      <c r="DK180" s="24" t="n"/>
      <c r="DL180" s="24" t="n"/>
      <c r="DM180" s="24" t="n"/>
      <c r="DN180" s="24" t="n"/>
      <c r="DO180" s="24" t="n"/>
      <c r="DP180" s="24" t="n"/>
      <c r="DQ180" s="24" t="inlineStr">
        <is>
          <t>{"artifact_hash": "1d168f11d221cd3c", "event_id": "401871045", "event_start_utc": "2026-09-12T23:00Z", "features": {"altitude_fatigue_penalty": 0.0, "away_team": "Middle Tennessee Blue Raiders", "efficiency_gap": -0.175, "elo_away": 1337.5, "elo_home": 1390.7, "elo_home_win_prob": 0.6638, "event_id": "401871045", "game_start_utc": "2026-09-12T23:00Z", "home_field_advantage_points": 2.8, "home_team": "Marshall Thundering Herd", "is_dome": false, "is_fbs_vs_fcs": false, "is_neutral_site": false, "projected_away_points": 23.7, "projected_home_points": 28.5, "projected_margin_home": 4.8, "projected_possessions": 12.4, "projected_total": 52.3, "stadium_elevation_ft": 570, "travel_distance_miles": 281.0, "uncertainty": 0.18, "weather_total_adjustment": 0.0}, "historical_source_observation_times_verified": false, "inference_inputs": {"engine_source_sha256": "449ba2f0e86fa9c445730076a0e0bf100fb4914620be53c75c6f3bfe24298f3f", "mu_away": 23.7,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67814208005151391761261037684572337009}, "uinteger": 0}, "spread_home_line": -12.5, "total_line": 55.5}, "market_type": "moneyline", "model_version": "college-football-v1", "observed_at_utc": "2026-09-12T22:41:47.836186+00:00", "probabilities": {"away": 0.376896, "home": 0.623104}, "replay_scope": "Full precision score means, exact engine parameters and original RNG state; upstream feature construction not certified.", "schema": "cfb-joint-replay-v1", "snapshot_hash": "2eaf0c375115bf9076a270e7418bcc06ed44d9a059d5c9951845126437c4f8fd", "sport": "NCAAF"}</t>
        </is>
      </c>
    </row>
    <row r="181" ht="36" customHeight="1">
      <c r="A181" s="24" t="inlineStr">
        <is>
          <t>ae717abe26bf4aa6</t>
        </is>
      </c>
      <c r="B181" s="24" t="inlineStr">
        <is>
          <t>2026-09-12T22:41:47.836186Z</t>
        </is>
      </c>
      <c r="C181" s="24" t="inlineStr">
        <is>
          <t>2026-09-12T23:00Z</t>
        </is>
      </c>
      <c r="D181" s="24" t="inlineStr">
        <is>
          <t>401871045</t>
        </is>
      </c>
      <c r="E181" s="24" t="inlineStr">
        <is>
          <t>NCAAF</t>
        </is>
      </c>
      <c r="F181" s="24" t="inlineStr">
        <is>
          <t>Middle Tennessee Blue Raiders</t>
        </is>
      </c>
      <c r="G181" s="24" t="inlineStr">
        <is>
          <t>Marshall Thundering Herd</t>
        </is>
      </c>
      <c r="H181" s="24" t="inlineStr">
        <is>
          <t>spread</t>
        </is>
      </c>
      <c r="I181" s="24" t="inlineStr">
        <is>
          <t>away</t>
        </is>
      </c>
      <c r="J181" s="25" t="n">
        <v>12.5</v>
      </c>
      <c r="K181" s="24" t="inlineStr">
        <is>
          <t>espn_consensus</t>
        </is>
      </c>
      <c r="L181" s="26" t="n">
        <v>-108</v>
      </c>
      <c r="M181" s="27" t="n">
        <v>1.925926</v>
      </c>
      <c r="N181" s="28" t="n">
        <v>0.519231</v>
      </c>
      <c r="O181" s="28" t="n">
        <v>0.676</v>
      </c>
      <c r="P181" s="28" t="n">
        <v>0.18</v>
      </c>
      <c r="Q181" s="28" t="n">
        <v>0.156769</v>
      </c>
      <c r="R181" s="26" t="n">
        <v>20</v>
      </c>
      <c r="S181" s="29" t="n">
        <v>1</v>
      </c>
      <c r="T181" s="24" t="inlineStr">
        <is>
          <t>cfb-spread-v1</t>
        </is>
      </c>
      <c r="U181" s="24" t="inlineStr">
        <is>
          <t>settled</t>
        </is>
      </c>
      <c r="V181" s="24" t="inlineStr">
        <is>
          <t>win</t>
        </is>
      </c>
      <c r="W181" s="26" t="n">
        <v>26</v>
      </c>
      <c r="X181" s="26" t="n">
        <v>28</v>
      </c>
      <c r="Y181" s="25" t="n"/>
      <c r="Z181" s="26" t="n"/>
      <c r="AA181" s="28" t="n"/>
      <c r="AB181" s="28" t="n"/>
      <c r="AC181" s="30" t="n">
        <v>0.9258999999999999</v>
      </c>
      <c r="AD181" s="24" t="inlineStr">
        <is>
          <t>2026-09-13T04:32:13.068932Z</t>
        </is>
      </c>
      <c r="AE181" s="31" t="inlineStr">
        <is>
          <t>Projected home margin +4.8 pts. Spread: Home -12.5 / Away +12.5 -&gt; P(Away cover)=0.676, P(Home cover)=0.324, P(Push)=0.000.</t>
        </is>
      </c>
      <c r="AF181" s="31" t="inlineStr">
        <is>
          <t>College football model; multi-market (moneyline, spread, total).</t>
        </is>
      </c>
      <c r="AG181" s="24" t="inlineStr">
        <is>
          <t>not_applicable</t>
        </is>
      </c>
      <c r="AH181" s="24" t="n"/>
      <c r="AI181" s="31" t="n"/>
      <c r="AJ181" s="31" t="n"/>
      <c r="AK181" s="24" t="inlineStr">
        <is>
          <t>model_qualified</t>
        </is>
      </c>
      <c r="AL181" s="26" t="n">
        <v>4</v>
      </c>
      <c r="AM181" s="24" t="inlineStr">
        <is>
          <t>QUALIFIED_SHADOW_CALL</t>
        </is>
      </c>
      <c r="AN181" s="24" t="inlineStr">
        <is>
          <t>CALL</t>
        </is>
      </c>
      <c r="AO181" s="24" t="inlineStr">
        <is>
          <t>QUALIFIED</t>
        </is>
      </c>
      <c r="AP181" s="24" t="inlineStr">
        <is>
          <t>Middle Tennessee Blue Raiders</t>
        </is>
      </c>
      <c r="AQ181" s="24" t="inlineStr">
        <is>
          <t>Middle Tennessee Blue Raiders</t>
        </is>
      </c>
      <c r="AR181" s="24" t="inlineStr">
        <is>
          <t>Middle Tennessee Blue Raiders</t>
        </is>
      </c>
      <c r="AS181" s="24" t="inlineStr">
        <is>
          <t>Marshall Thundering Herd</t>
        </is>
      </c>
      <c r="AT181" s="24" t="inlineStr">
        <is>
          <t>Marshall Thundering Herd</t>
        </is>
      </c>
      <c r="AU181" s="24" t="inlineStr">
        <is>
          <t>Marshall Thundering Herd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1d168f11d221cd3c</t>
        </is>
      </c>
      <c r="BB181" s="24" t="inlineStr">
        <is>
          <t>cfb_key_number_engine</t>
        </is>
      </c>
      <c r="BC181" s="24" t="inlineStr">
        <is>
          <t>cfb-spread-v1</t>
        </is>
      </c>
      <c r="BD181" s="24" t="inlineStr">
        <is>
          <t>1d168f11d221cd3c</t>
        </is>
      </c>
      <c r="BE181" s="24" t="inlineStr">
        <is>
          <t>cfb-v1</t>
        </is>
      </c>
      <c r="BF181" s="24" t="inlineStr">
        <is>
          <t>1</t>
        </is>
      </c>
      <c r="BG181" s="24" t="inlineStr">
        <is>
          <t>1d168f11d221cd3c</t>
        </is>
      </c>
      <c r="BH181" s="24" t="inlineStr">
        <is>
          <t>2026-09-12T22:41:47.836186+00:00</t>
        </is>
      </c>
      <c r="BI181" s="24" t="inlineStr">
        <is>
          <t>["same_event","same_team_same_day","same_league_same_day"]</t>
        </is>
      </c>
      <c r="BJ181" s="25" t="n">
        <v>12.5</v>
      </c>
      <c r="BK181" s="26" t="n">
        <v>-108</v>
      </c>
      <c r="BL181" s="27" t="n">
        <v>1.925926</v>
      </c>
      <c r="BM181" s="28" t="n">
        <v>0.519231</v>
      </c>
      <c r="BN181" s="28" t="n"/>
      <c r="BO181" s="28" t="n"/>
      <c r="BP181" s="25" t="n"/>
      <c r="BQ181" s="27" t="n"/>
      <c r="BR181" s="28" t="n"/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True</t>
        </is>
      </c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n"/>
      <c r="DE181" s="24" t="n"/>
      <c r="DF181" s="24" t="n"/>
      <c r="DG181" s="24" t="n"/>
      <c r="DH181" s="24" t="n"/>
      <c r="DI181" s="24" t="n"/>
      <c r="DJ181" s="24" t="inlineStr">
        <is>
          <t>0.519231</t>
        </is>
      </c>
      <c r="DK181" s="24" t="n"/>
      <c r="DL181" s="24" t="n"/>
      <c r="DM181" s="24" t="n"/>
      <c r="DN181" s="24" t="n"/>
      <c r="DO181" s="24" t="n"/>
      <c r="DP181" s="24" t="n"/>
      <c r="DQ181" s="24" t="inlineStr">
        <is>
          <t>{"artifact_hash": "1d168f11d221cd3c", "event_id": "401871045", "event_start_utc": "2026-09-12T23:00Z", "features": {"altitude_fatigue_penalty": 0.0, "away_team": "Middle Tennessee Blue Raiders", "efficiency_gap": -0.175, "elo_away": 1337.5, "elo_home": 1390.7, "elo_home_win_prob": 0.6638, "event_id": "401871045", "game_start_utc": "2026-09-12T23:00Z", "home_field_advantage_points": 2.8, "home_team": "Marshall Thundering Herd", "is_dome": false, "is_fbs_vs_fcs": false, "is_neutral_site": false, "projected_away_points": 23.7, "projected_home_points": 28.5, "projected_margin_home": 4.8, "projected_possessions": 12.4, "projected_total": 52.3, "stadium_elevation_ft": 570, "travel_distance_miles": 281.0, "uncertainty": 0.18, "weather_total_adjustment": 0.0}, "historical_source_observation_times_verified": false, "inference_inputs": {"engine_source_sha256": "449ba2f0e86fa9c445730076a0e0bf100fb4914620be53c75c6f3bfe24298f3f", "mu_away": 23.7,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67814208005151391761261037684572337009}, "uinteger": 0}, "spread_home_line": -12.5, "total_line": 55.5}, "market_type": "spread", "model_version": "cfb-spread-v1", "observed_at_utc": "2026-09-12T22:41:47.836186+00:00", "probabilities": {"away": 0.676, "home": 0.324, "push": 0.0}, "replay_scope": "Full precision score means, exact engine parameters and original RNG state; upstream feature construction not certified.", "schema": "cfb-joint-replay-v1", "snapshot_hash": "5f1bca5cd349c2ff6aa5a53a398fdea56044447e7bb5ee9fbe36f9482c346ea1", "sport": "NCAAF"}</t>
        </is>
      </c>
    </row>
    <row r="182" ht="36" customHeight="1">
      <c r="A182" s="24" t="inlineStr">
        <is>
          <t>bfd7f4d7ba0f41bb</t>
        </is>
      </c>
      <c r="B182" s="24" t="inlineStr">
        <is>
          <t>2026-09-12T22:41:47.836186Z</t>
        </is>
      </c>
      <c r="C182" s="24" t="inlineStr">
        <is>
          <t>2026-09-12T23:00Z</t>
        </is>
      </c>
      <c r="D182" s="24" t="inlineStr">
        <is>
          <t>401871045</t>
        </is>
      </c>
      <c r="E182" s="24" t="inlineStr">
        <is>
          <t>NCAAF</t>
        </is>
      </c>
      <c r="F182" s="24" t="inlineStr">
        <is>
          <t>Middle Tennessee Blue Raiders</t>
        </is>
      </c>
      <c r="G182" s="24" t="inlineStr">
        <is>
          <t>Marshall Thundering Herd</t>
        </is>
      </c>
      <c r="H182" s="24" t="inlineStr">
        <is>
          <t>total</t>
        </is>
      </c>
      <c r="I182" s="24" t="inlineStr">
        <is>
          <t>under</t>
        </is>
      </c>
      <c r="J182" s="25" t="n">
        <v>55.5</v>
      </c>
      <c r="K182" s="24" t="inlineStr">
        <is>
          <t>espn_consensus</t>
        </is>
      </c>
      <c r="L182" s="26" t="n">
        <v>-110</v>
      </c>
      <c r="M182" s="27" t="n">
        <v>1.909091</v>
      </c>
      <c r="N182" s="28" t="n">
        <v>0.52381</v>
      </c>
      <c r="O182" s="28" t="n">
        <v>0.592733</v>
      </c>
      <c r="P182" s="28" t="n">
        <v>0.18</v>
      </c>
      <c r="Q182" s="28" t="n">
        <v>0.068923</v>
      </c>
      <c r="R182" s="26" t="n">
        <v>0</v>
      </c>
      <c r="S182" s="29" t="n">
        <v>1</v>
      </c>
      <c r="T182" s="24" t="inlineStr">
        <is>
          <t>cfb-total-v1</t>
        </is>
      </c>
      <c r="U182" s="24" t="inlineStr">
        <is>
          <t>settled</t>
        </is>
      </c>
      <c r="V182" s="24" t="inlineStr">
        <is>
          <t>win</t>
        </is>
      </c>
      <c r="W182" s="26" t="n">
        <v>26</v>
      </c>
      <c r="X182" s="26" t="n">
        <v>28</v>
      </c>
      <c r="Y182" s="25" t="n"/>
      <c r="Z182" s="26" t="n"/>
      <c r="AA182" s="28" t="n"/>
      <c r="AB182" s="28" t="n"/>
      <c r="AC182" s="30" t="n">
        <v>0.9091</v>
      </c>
      <c r="AD182" s="24" t="inlineStr">
        <is>
          <t>2026-09-13T04:32:13.447948Z</t>
        </is>
      </c>
      <c r="AE182" s="31" t="inlineStr">
        <is>
          <t>Projected total 52.3 pts (Weather adj: +0.0 pts). Total line 55.5 -&gt; P(Over)=0.407, P(Under)=0.593, P(Push)=0.000.</t>
        </is>
      </c>
      <c r="AF182" s="31" t="inlineStr">
        <is>
          <t>College football model; multi-market (moneyline, spread, total).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model_qualified</t>
        </is>
      </c>
      <c r="AL182" s="26" t="n">
        <v>4</v>
      </c>
      <c r="AM182" s="24" t="inlineStr">
        <is>
          <t>QUALIFIED_SHADOW_CALL</t>
        </is>
      </c>
      <c r="AN182" s="24" t="inlineStr">
        <is>
          <t>CALL</t>
        </is>
      </c>
      <c r="AO182" s="24" t="inlineStr">
        <is>
          <t>QUALIFIED</t>
        </is>
      </c>
      <c r="AP182" s="24" t="inlineStr">
        <is>
          <t>Middle Tennessee Blue Raiders</t>
        </is>
      </c>
      <c r="AQ182" s="24" t="inlineStr">
        <is>
          <t>Middle Tennessee Blue Raiders</t>
        </is>
      </c>
      <c r="AR182" s="24" t="inlineStr">
        <is>
          <t>Middle Tennessee Blue Raiders</t>
        </is>
      </c>
      <c r="AS182" s="24" t="inlineStr">
        <is>
          <t>Marshall Thundering Herd</t>
        </is>
      </c>
      <c r="AT182" s="24" t="inlineStr">
        <is>
          <t>Marshall Thundering Herd</t>
        </is>
      </c>
      <c r="AU182" s="24" t="inlineStr">
        <is>
          <t>Marshall Thundering Herd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1d168f11d221cd3c</t>
        </is>
      </c>
      <c r="BB182" s="24" t="inlineStr">
        <is>
          <t>cfb_key_number_engine</t>
        </is>
      </c>
      <c r="BC182" s="24" t="inlineStr">
        <is>
          <t>cfb-total-v1</t>
        </is>
      </c>
      <c r="BD182" s="24" t="inlineStr">
        <is>
          <t>1d168f11d221cd3c</t>
        </is>
      </c>
      <c r="BE182" s="24" t="inlineStr">
        <is>
          <t>cfb-v1</t>
        </is>
      </c>
      <c r="BF182" s="24" t="inlineStr">
        <is>
          <t>1</t>
        </is>
      </c>
      <c r="BG182" s="24" t="inlineStr">
        <is>
          <t>1d168f11d221cd3c</t>
        </is>
      </c>
      <c r="BH182" s="24" t="inlineStr">
        <is>
          <t>2026-09-12T22:41:47.836186+00:00</t>
        </is>
      </c>
      <c r="BI182" s="24" t="inlineStr">
        <is>
          <t>["same_event","same_team_same_day","same_league_same_day"]</t>
        </is>
      </c>
      <c r="BJ182" s="25" t="n">
        <v>55.5</v>
      </c>
      <c r="BK182" s="26" t="n">
        <v>-110</v>
      </c>
      <c r="BL182" s="27" t="n">
        <v>1.909091</v>
      </c>
      <c r="BM182" s="28" t="n">
        <v>0.52381</v>
      </c>
      <c r="BN182" s="28" t="n"/>
      <c r="BO182" s="28" t="n"/>
      <c r="BP182" s="25" t="n"/>
      <c r="BQ182" s="27" t="n"/>
      <c r="BR182" s="28" t="n"/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True</t>
        </is>
      </c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n"/>
      <c r="DE182" s="24" t="n"/>
      <c r="DF182" s="24" t="n"/>
      <c r="DG182" s="24" t="n"/>
      <c r="DH182" s="24" t="n"/>
      <c r="DI182" s="24" t="n"/>
      <c r="DJ182" s="24" t="inlineStr">
        <is>
          <t>0.52381</t>
        </is>
      </c>
      <c r="DK182" s="24" t="n"/>
      <c r="DL182" s="24" t="n"/>
      <c r="DM182" s="24" t="n"/>
      <c r="DN182" s="24" t="n"/>
      <c r="DO182" s="24" t="n"/>
      <c r="DP182" s="24" t="n"/>
      <c r="DQ182" s="24" t="inlineStr">
        <is>
          <t>{"artifact_hash": "1d168f11d221cd3c", "event_id": "401871045", "event_start_utc": "2026-09-12T23:00Z", "features": {"altitude_fatigue_penalty": 0.0, "away_team": "Middle Tennessee Blue Raiders", "efficiency_gap": -0.175, "elo_away": 1337.5, "elo_home": 1390.7, "elo_home_win_prob": 0.6638, "event_id": "401871045", "game_start_utc": "2026-09-12T23:00Z", "home_field_advantage_points": 2.8, "home_team": "Marshall Thundering Herd", "is_dome": false, "is_fbs_vs_fcs": false, "is_neutral_site": false, "projected_away_points": 23.7, "projected_home_points": 28.5, "projected_margin_home": 4.8, "projected_possessions": 12.4, "projected_total": 52.3, "stadium_elevation_ft": 570, "travel_distance_miles": 281.0, "uncertainty": 0.18, "weather_total_adjustment": 0.0}, "historical_source_observation_times_verified": false, "inference_inputs": {"engine_source_sha256": "449ba2f0e86fa9c445730076a0e0bf100fb4914620be53c75c6f3bfe24298f3f", "mu_away": 23.7, "mu_home": 28.5,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67814208005151391761261037684572337009}, "uinteger": 0}, "spread_home_line": -12.5, "total_line": 55.5}, "market_type": "total", "model_version": "cfb-total-v1", "observed_at_utc": "2026-09-12T22:41:47.836186+00:00", "probabilities": {"over": 0.407267, "push": 0.0, "under": 0.592733}, "replay_scope": "Full precision score means, exact engine parameters and original RNG state; upstream feature construction not certified.", "schema": "cfb-joint-replay-v1", "snapshot_hash": "e58f4b11a92b03fceef5928d4293ce3e4f164cfe707b3548daf1a9ad89252046", "sport": "NCAAF"}</t>
        </is>
      </c>
    </row>
    <row r="183" ht="36" customHeight="1">
      <c r="A183" s="24" t="inlineStr">
        <is>
          <t>b2270ff5be6f418b</t>
        </is>
      </c>
      <c r="B183" s="24" t="inlineStr">
        <is>
          <t>2026-09-12T22:41:47.836186Z</t>
        </is>
      </c>
      <c r="C183" s="24" t="inlineStr">
        <is>
          <t>2026-09-12T23:00Z</t>
        </is>
      </c>
      <c r="D183" s="24" t="inlineStr">
        <is>
          <t>401871046</t>
        </is>
      </c>
      <c r="E183" s="24" t="inlineStr">
        <is>
          <t>NCAAF</t>
        </is>
      </c>
      <c r="F183" s="24" t="inlineStr">
        <is>
          <t>Lindenwood Lions</t>
        </is>
      </c>
      <c r="G183" s="24" t="inlineStr">
        <is>
          <t>Missouri State Bears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espn_consensus</t>
        </is>
      </c>
      <c r="L183" s="26" t="n">
        <v>-850</v>
      </c>
      <c r="M183" s="27" t="n">
        <v>1.117647</v>
      </c>
      <c r="N183" s="28" t="n">
        <v>0.894737</v>
      </c>
      <c r="O183" s="28" t="n">
        <v>0.565261</v>
      </c>
      <c r="P183" s="28" t="n">
        <v>0.18</v>
      </c>
      <c r="Q183" s="28" t="n">
        <v>-0.329476</v>
      </c>
      <c r="R183" s="26" t="n">
        <v>0</v>
      </c>
      <c r="S183" s="29" t="n">
        <v>1</v>
      </c>
      <c r="T183" s="24" t="inlineStr">
        <is>
          <t>college-football-v1</t>
        </is>
      </c>
      <c r="U183" s="24" t="inlineStr">
        <is>
          <t>settled</t>
        </is>
      </c>
      <c r="V183" s="24" t="inlineStr">
        <is>
          <t>win</t>
        </is>
      </c>
      <c r="W183" s="26" t="n">
        <v>14</v>
      </c>
      <c r="X183" s="26" t="n">
        <v>48</v>
      </c>
      <c r="Y183" s="25" t="n"/>
      <c r="Z183" s="26" t="n"/>
      <c r="AA183" s="28" t="n"/>
      <c r="AB183" s="28" t="n"/>
      <c r="AC183" s="30" t="n">
        <v>0.1176</v>
      </c>
      <c r="AD183" s="24" t="inlineStr">
        <is>
          <t>2026-09-13T04:32:13.828882Z</t>
        </is>
      </c>
      <c r="AE183" s="31" t="inlineStr">
        <is>
          <t>CFB Joint Model (negative_binomial): proj score Lindenwood Lions 25.0 @ Missouri State Bears 27.6 (Margin +2.7). Possessions: 12.4, HFA: +2.8 pts.</t>
        </is>
      </c>
      <c r="AF183" s="31" t="inlineStr">
        <is>
          <t>College football model; multi-market (moneyline, spread, total).</t>
        </is>
      </c>
      <c r="AG183" s="24" t="inlineStr">
        <is>
          <t>not_applicable</t>
        </is>
      </c>
      <c r="AH183" s="24" t="n"/>
      <c r="AI183" s="31" t="n"/>
      <c r="AJ183" s="31" t="n"/>
      <c r="AK183" s="24" t="inlineStr">
        <is>
          <t>paper_call</t>
        </is>
      </c>
      <c r="AL183" s="26" t="n">
        <v>4</v>
      </c>
      <c r="AM183" s="24" t="inlineStr">
        <is>
          <t>RESEARCH_OBSERVATION</t>
        </is>
      </c>
      <c r="AN183" s="24" t="inlineStr">
        <is>
          <t>CALL</t>
        </is>
      </c>
      <c r="AO183" s="24" t="inlineStr">
        <is>
          <t>PAPER_CALL_LOW_EDGE</t>
        </is>
      </c>
      <c r="AP183" s="24" t="inlineStr">
        <is>
          <t>Lindenwood Lions</t>
        </is>
      </c>
      <c r="AQ183" s="24" t="inlineStr">
        <is>
          <t>Lindenwood Lions</t>
        </is>
      </c>
      <c r="AR183" s="24" t="inlineStr">
        <is>
          <t>Lindenwood Lions</t>
        </is>
      </c>
      <c r="AS183" s="24" t="inlineStr">
        <is>
          <t>Missouri State Bears</t>
        </is>
      </c>
      <c r="AT183" s="24" t="inlineStr">
        <is>
          <t>Missouri State Bears</t>
        </is>
      </c>
      <c r="AU183" s="24" t="inlineStr">
        <is>
          <t>Missouri State Bears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1d168f11d221cd3c</t>
        </is>
      </c>
      <c r="BB183" s="24" t="inlineStr">
        <is>
          <t>cfb_key_number_engine</t>
        </is>
      </c>
      <c r="BC183" s="24" t="inlineStr">
        <is>
          <t>college-football-v1</t>
        </is>
      </c>
      <c r="BD183" s="24" t="inlineStr">
        <is>
          <t>1d168f11d221cd3c</t>
        </is>
      </c>
      <c r="BE183" s="24" t="inlineStr">
        <is>
          <t>cfb-v1</t>
        </is>
      </c>
      <c r="BF183" s="24" t="inlineStr">
        <is>
          <t>1</t>
        </is>
      </c>
      <c r="BG183" s="24" t="inlineStr">
        <is>
          <t>1d168f11d221cd3c</t>
        </is>
      </c>
      <c r="BH183" s="24" t="inlineStr">
        <is>
          <t>2026-09-12T22:41:47.836186+00:00</t>
        </is>
      </c>
      <c r="BI183" s="24" t="inlineStr">
        <is>
          <t>["same_event","same_team_same_day","same_league_same_day"]</t>
        </is>
      </c>
      <c r="BJ183" s="25" t="n"/>
      <c r="BK183" s="26" t="n">
        <v>-850</v>
      </c>
      <c r="BL183" s="27" t="n">
        <v>1.117647</v>
      </c>
      <c r="BM183" s="28" t="n">
        <v>0.894737</v>
      </c>
      <c r="BN183" s="28" t="n"/>
      <c r="BO183" s="28" t="n"/>
      <c r="BP183" s="25" t="n"/>
      <c r="BQ183" s="27" t="n"/>
      <c r="BR183" s="28" t="n"/>
      <c r="BS183" s="28" t="n"/>
      <c r="BT183" s="28" t="n"/>
      <c r="BU183" s="25" t="n"/>
      <c r="BV183" s="29" t="n"/>
      <c r="BW183" s="24" t="n"/>
      <c r="BX183" s="30" t="n">
        <v>1</v>
      </c>
      <c r="BY183" s="27" t="n">
        <v>0.117647</v>
      </c>
      <c r="BZ183" s="24" t="inlineStr">
        <is>
          <t>2026-09-13T04:32:13.828882Z</t>
        </is>
      </c>
      <c r="CA183" s="31" t="inlineStr">
        <is>
          <t>fixed one-unit hypothetical scoring; no real exposure or execution</t>
        </is>
      </c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False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inlineStr">
        <is>
          <t>0.894737</t>
        </is>
      </c>
      <c r="DK183" s="24" t="n"/>
      <c r="DL183" s="24" t="n"/>
      <c r="DM183" s="24" t="n"/>
      <c r="DN183" s="24" t="n"/>
      <c r="DO183" s="24" t="n"/>
      <c r="DP183" s="24" t="n"/>
      <c r="DQ183" s="24" t="inlineStr">
        <is>
          <t>{"artifact_hash": "1d168f11d221cd3c", "event_id": "401871046", "event_start_utc": "2026-09-12T23:00Z", "features": {"altitude_fatigue_penalty": 0.0, "away_team": "Lindenwood Lions", "efficiency_gap": 0.0, "elo_away": 1337.5, "elo_home": 1337.5, "elo_home_win_prob": 0.5925, "event_id": "401871046", "game_start_utc": "2026-09-12T23:00Z", "home_field_advantage_points": 2.8, "home_team": "Missouri State Bears", "is_dome": false, "is_fbs_vs_fcs": false, "is_neutral_site": false, "projected_away_points": 25.0, "projected_home_points": 27.6, "projected_margin_home": 2.7,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25.0, "mu_home": 27.6,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157294142812730743952146047922507132276}, "uinteger": 0}, "spread_home_line": -16.5, "total_line": 53.5}, "market_type": "moneyline", "model_version": "college-football-v1", "observed_at_utc": "2026-09-12T22:41:47.836186+00:00", "probabilities": {"away": 0.434739, "home": 0.565261}, "replay_scope": "Full precision score means, exact engine parameters and original RNG state; upstream feature construction not certified.", "schema": "cfb-joint-replay-v1", "snapshot_hash": "fc1efaebd1225b25533c28f0c767d4b9a9e22c9f7f3d4ad3ccd0594f7775510f", "sport": "NCAAF"}</t>
        </is>
      </c>
    </row>
    <row r="184" ht="36" customHeight="1">
      <c r="A184" s="24" t="inlineStr">
        <is>
          <t>d08fb19813f84781</t>
        </is>
      </c>
      <c r="B184" s="24" t="inlineStr">
        <is>
          <t>2026-09-12T22:41:47.836186Z</t>
        </is>
      </c>
      <c r="C184" s="24" t="inlineStr">
        <is>
          <t>2026-09-12T23:00Z</t>
        </is>
      </c>
      <c r="D184" s="24" t="inlineStr">
        <is>
          <t>401871046</t>
        </is>
      </c>
      <c r="E184" s="24" t="inlineStr">
        <is>
          <t>NCAAF</t>
        </is>
      </c>
      <c r="F184" s="24" t="inlineStr">
        <is>
          <t>Lindenwood Lions</t>
        </is>
      </c>
      <c r="G184" s="24" t="inlineStr">
        <is>
          <t>Missouri State Bears</t>
        </is>
      </c>
      <c r="H184" s="24" t="inlineStr">
        <is>
          <t>spread</t>
        </is>
      </c>
      <c r="I184" s="24" t="inlineStr">
        <is>
          <t>away</t>
        </is>
      </c>
      <c r="J184" s="25" t="n">
        <v>16.5</v>
      </c>
      <c r="K184" s="24" t="inlineStr">
        <is>
          <t>espn_consensus</t>
        </is>
      </c>
      <c r="L184" s="26" t="n">
        <v>-108</v>
      </c>
      <c r="M184" s="27" t="n">
        <v>1.925926</v>
      </c>
      <c r="N184" s="28" t="n">
        <v>0.519231</v>
      </c>
      <c r="O184" s="28" t="n">
        <v>0.8044</v>
      </c>
      <c r="P184" s="28" t="n">
        <v>0.18</v>
      </c>
      <c r="Q184" s="28" t="n">
        <v>0.285169</v>
      </c>
      <c r="R184" s="26" t="n">
        <v>85</v>
      </c>
      <c r="S184" s="29" t="n">
        <v>1.75</v>
      </c>
      <c r="T184" s="24" t="inlineStr">
        <is>
          <t>cfb-spread-v1</t>
        </is>
      </c>
      <c r="U184" s="24" t="inlineStr">
        <is>
          <t>settled</t>
        </is>
      </c>
      <c r="V184" s="24" t="inlineStr">
        <is>
          <t>loss</t>
        </is>
      </c>
      <c r="W184" s="26" t="n">
        <v>14</v>
      </c>
      <c r="X184" s="26" t="n">
        <v>48</v>
      </c>
      <c r="Y184" s="25" t="n"/>
      <c r="Z184" s="26" t="n"/>
      <c r="AA184" s="28" t="n"/>
      <c r="AB184" s="28" t="n"/>
      <c r="AC184" s="30" t="n">
        <v>-1.75</v>
      </c>
      <c r="AD184" s="24" t="inlineStr">
        <is>
          <t>2026-09-13T04:32:14.247243Z</t>
        </is>
      </c>
      <c r="AE184" s="31" t="inlineStr">
        <is>
          <t>Projected home margin +2.7 pts. Spread: Home -16.5 / Away +16.5 -&gt; P(Away cover)=0.804, P(Home cover)=0.196, P(Push)=0.000.</t>
        </is>
      </c>
      <c r="AF184" s="31" t="inlineStr">
        <is>
          <t>College football model; multi-market (moneyline, spread, total).</t>
        </is>
      </c>
      <c r="AG184" s="24" t="inlineStr">
        <is>
          <t>review_required</t>
        </is>
      </c>
      <c r="AH184" s="24" t="n"/>
      <c r="AI184" s="31" t="n"/>
      <c r="AJ184" s="31" t="n"/>
      <c r="AK184" s="24" t="inlineStr">
        <is>
          <t>model_qualified</t>
        </is>
      </c>
      <c r="AL184" s="26" t="n">
        <v>4</v>
      </c>
      <c r="AM184" s="24" t="inlineStr">
        <is>
          <t>QUALIFIED_SHADOW_CALL</t>
        </is>
      </c>
      <c r="AN184" s="24" t="inlineStr">
        <is>
          <t>CALL</t>
        </is>
      </c>
      <c r="AO184" s="24" t="inlineStr">
        <is>
          <t>QUALIFIED</t>
        </is>
      </c>
      <c r="AP184" s="24" t="inlineStr">
        <is>
          <t>Lindenwood Lions</t>
        </is>
      </c>
      <c r="AQ184" s="24" t="inlineStr">
        <is>
          <t>Lindenwood Lions</t>
        </is>
      </c>
      <c r="AR184" s="24" t="inlineStr">
        <is>
          <t>Lindenwood Lions</t>
        </is>
      </c>
      <c r="AS184" s="24" t="inlineStr">
        <is>
          <t>Missouri State Bears</t>
        </is>
      </c>
      <c r="AT184" s="24" t="inlineStr">
        <is>
          <t>Missouri State Bears</t>
        </is>
      </c>
      <c r="AU184" s="24" t="inlineStr">
        <is>
          <t>Missouri State Bears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1d168f11d221cd3c</t>
        </is>
      </c>
      <c r="BB184" s="24" t="inlineStr">
        <is>
          <t>cfb_key_number_engine</t>
        </is>
      </c>
      <c r="BC184" s="24" t="inlineStr">
        <is>
          <t>cfb-spread-v1</t>
        </is>
      </c>
      <c r="BD184" s="24" t="inlineStr">
        <is>
          <t>1d168f11d221cd3c</t>
        </is>
      </c>
      <c r="BE184" s="24" t="inlineStr">
        <is>
          <t>cfb-v1</t>
        </is>
      </c>
      <c r="BF184" s="24" t="inlineStr">
        <is>
          <t>1</t>
        </is>
      </c>
      <c r="BG184" s="24" t="inlineStr">
        <is>
          <t>1d168f11d221cd3c</t>
        </is>
      </c>
      <c r="BH184" s="24" t="inlineStr">
        <is>
          <t>2026-09-12T22:41:47.836186+00:00</t>
        </is>
      </c>
      <c r="BI184" s="24" t="inlineStr">
        <is>
          <t>["same_event","same_team_same_day","same_league_same_day"]</t>
        </is>
      </c>
      <c r="BJ184" s="25" t="n">
        <v>16.5</v>
      </c>
      <c r="BK184" s="26" t="n">
        <v>-108</v>
      </c>
      <c r="BL184" s="27" t="n">
        <v>1.925926</v>
      </c>
      <c r="BM184" s="28" t="n">
        <v>0.519231</v>
      </c>
      <c r="BN184" s="28" t="n"/>
      <c r="BO184" s="28" t="n"/>
      <c r="BP184" s="25" t="n"/>
      <c r="BQ184" s="27" t="n"/>
      <c r="BR184" s="28" t="n"/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/>
      <c r="DH184" s="24" t="n"/>
      <c r="DI184" s="24" t="n"/>
      <c r="DJ184" s="24" t="inlineStr">
        <is>
          <t>0.519231</t>
        </is>
      </c>
      <c r="DK184" s="24" t="n"/>
      <c r="DL184" s="24" t="n"/>
      <c r="DM184" s="24" t="n"/>
      <c r="DN184" s="24" t="n"/>
      <c r="DO184" s="24" t="n"/>
      <c r="DP184" s="24" t="n"/>
      <c r="DQ184" s="24" t="inlineStr">
        <is>
          <t>{"artifact_hash": "1d168f11d221cd3c", "event_id": "401871046", "event_start_utc": "2026-09-12T23:00Z", "features": {"altitude_fatigue_penalty": 0.0, "away_team": "Lindenwood Lions", "efficiency_gap": 0.0, "elo_away": 1337.5, "elo_home": 1337.5, "elo_home_win_prob": 0.5925, "event_id": "401871046", "game_start_utc": "2026-09-12T23:00Z", "home_field_advantage_points": 2.8, "home_team": "Missouri State Bears", "is_dome": false, "is_fbs_vs_fcs": false, "is_neutral_site": false, "projected_away_points": 25.0, "projected_home_points": 27.6, "projected_margin_home": 2.7,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25.0, "mu_home": 27.6,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157294142812730743952146047922507132276}, "uinteger": 0}, "spread_home_line": -16.5, "total_line": 53.5}, "market_type": "spread", "model_version": "cfb-spread-v1", "observed_at_utc": "2026-09-12T22:41:47.836186+00:00", "probabilities": {"away": 0.8044, "home": 0.1956, "push": 0.0}, "replay_scope": "Full precision score means, exact engine parameters and original RNG state; upstream feature construction not certified.", "schema": "cfb-joint-replay-v1", "snapshot_hash": "2c7dfeb583717647ff1f889f83f4e98cd53b1fe707d110490f9fef5386249a24", "sport": "NCAAF"}</t>
        </is>
      </c>
    </row>
    <row r="185" ht="36" customHeight="1">
      <c r="A185" s="24" t="inlineStr">
        <is>
          <t>8540cc0d1d18415f</t>
        </is>
      </c>
      <c r="B185" s="24" t="inlineStr">
        <is>
          <t>2026-09-12T22:41:47.836186Z</t>
        </is>
      </c>
      <c r="C185" s="24" t="inlineStr">
        <is>
          <t>2026-09-12T23:00Z</t>
        </is>
      </c>
      <c r="D185" s="24" t="inlineStr">
        <is>
          <t>401871046</t>
        </is>
      </c>
      <c r="E185" s="24" t="inlineStr">
        <is>
          <t>NCAAF</t>
        </is>
      </c>
      <c r="F185" s="24" t="inlineStr">
        <is>
          <t>Lindenwood Lions</t>
        </is>
      </c>
      <c r="G185" s="24" t="inlineStr">
        <is>
          <t>Missouri State Bears</t>
        </is>
      </c>
      <c r="H185" s="24" t="inlineStr">
        <is>
          <t>total</t>
        </is>
      </c>
      <c r="I185" s="24" t="inlineStr">
        <is>
          <t>under</t>
        </is>
      </c>
      <c r="J185" s="25" t="n">
        <v>53.5</v>
      </c>
      <c r="K185" s="24" t="inlineStr">
        <is>
          <t>espn_consensus</t>
        </is>
      </c>
      <c r="L185" s="26" t="n">
        <v>-110</v>
      </c>
      <c r="M185" s="27" t="n">
        <v>1.909091</v>
      </c>
      <c r="N185" s="28" t="n">
        <v>0.52381</v>
      </c>
      <c r="O185" s="28" t="n">
        <v>0.543133</v>
      </c>
      <c r="P185" s="28" t="n">
        <v>0.18</v>
      </c>
      <c r="Q185" s="28" t="n">
        <v>0.019323</v>
      </c>
      <c r="R185" s="26" t="n">
        <v>0</v>
      </c>
      <c r="S185" s="29" t="n">
        <v>1</v>
      </c>
      <c r="T185" s="24" t="inlineStr">
        <is>
          <t>cfb-total-v1</t>
        </is>
      </c>
      <c r="U185" s="24" t="inlineStr">
        <is>
          <t>settled</t>
        </is>
      </c>
      <c r="V185" s="24" t="inlineStr">
        <is>
          <t>loss</t>
        </is>
      </c>
      <c r="W185" s="26" t="n">
        <v>14</v>
      </c>
      <c r="X185" s="26" t="n">
        <v>48</v>
      </c>
      <c r="Y185" s="25" t="n"/>
      <c r="Z185" s="26" t="n"/>
      <c r="AA185" s="28" t="n"/>
      <c r="AB185" s="28" t="n"/>
      <c r="AC185" s="30" t="n">
        <v>-1</v>
      </c>
      <c r="AD185" s="24" t="inlineStr">
        <is>
          <t>2026-09-13T04:32:14.634640Z</t>
        </is>
      </c>
      <c r="AE185" s="31" t="inlineStr">
        <is>
          <t>Projected total 52.6 pts (Weather adj: +0.0 pts). Total line 53.5 -&gt; P(Over)=0.457, P(Under)=0.543, P(Push)=0.000.</t>
        </is>
      </c>
      <c r="AF185" s="31" t="inlineStr">
        <is>
          <t>College football model; multi-market (moneyline, spread, total).</t>
        </is>
      </c>
      <c r="AG185" s="24" t="inlineStr">
        <is>
          <t>review_required</t>
        </is>
      </c>
      <c r="AH185" s="24" t="n"/>
      <c r="AI185" s="31" t="n"/>
      <c r="AJ185" s="31" t="n"/>
      <c r="AK185" s="24" t="inlineStr">
        <is>
          <t>paper_call</t>
        </is>
      </c>
      <c r="AL185" s="26" t="n">
        <v>4</v>
      </c>
      <c r="AM185" s="24" t="inlineStr">
        <is>
          <t>RESEARCH_OBSERVATION</t>
        </is>
      </c>
      <c r="AN185" s="24" t="inlineStr">
        <is>
          <t>CALL</t>
        </is>
      </c>
      <c r="AO185" s="24" t="inlineStr">
        <is>
          <t>PAPER_CALL_LOW_EDGE</t>
        </is>
      </c>
      <c r="AP185" s="24" t="inlineStr">
        <is>
          <t>Lindenwood Lions</t>
        </is>
      </c>
      <c r="AQ185" s="24" t="inlineStr">
        <is>
          <t>Lindenwood Lions</t>
        </is>
      </c>
      <c r="AR185" s="24" t="inlineStr">
        <is>
          <t>Lindenwood Lions</t>
        </is>
      </c>
      <c r="AS185" s="24" t="inlineStr">
        <is>
          <t>Missouri State Bears</t>
        </is>
      </c>
      <c r="AT185" s="24" t="inlineStr">
        <is>
          <t>Missouri State Bears</t>
        </is>
      </c>
      <c r="AU185" s="24" t="inlineStr">
        <is>
          <t>Missouri State Bears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1d168f11d221cd3c</t>
        </is>
      </c>
      <c r="BB185" s="24" t="inlineStr">
        <is>
          <t>cfb_key_number_engine</t>
        </is>
      </c>
      <c r="BC185" s="24" t="inlineStr">
        <is>
          <t>cfb-total-v1</t>
        </is>
      </c>
      <c r="BD185" s="24" t="inlineStr">
        <is>
          <t>1d168f11d221cd3c</t>
        </is>
      </c>
      <c r="BE185" s="24" t="inlineStr">
        <is>
          <t>cfb-v1</t>
        </is>
      </c>
      <c r="BF185" s="24" t="inlineStr">
        <is>
          <t>1</t>
        </is>
      </c>
      <c r="BG185" s="24" t="inlineStr">
        <is>
          <t>1d168f11d221cd3c</t>
        </is>
      </c>
      <c r="BH185" s="24" t="inlineStr">
        <is>
          <t>2026-09-12T22:41:47.836186+00:00</t>
        </is>
      </c>
      <c r="BI185" s="24" t="inlineStr">
        <is>
          <t>["same_event","same_team_same_day","same_league_same_day"]</t>
        </is>
      </c>
      <c r="BJ185" s="25" t="n">
        <v>53.5</v>
      </c>
      <c r="BK185" s="26" t="n">
        <v>-110</v>
      </c>
      <c r="BL185" s="27" t="n">
        <v>1.909091</v>
      </c>
      <c r="BM185" s="28" t="n">
        <v>0.52381</v>
      </c>
      <c r="BN185" s="28" t="n"/>
      <c r="BO185" s="28" t="n"/>
      <c r="BP185" s="25" t="n"/>
      <c r="BQ185" s="27" t="n"/>
      <c r="BR185" s="28" t="n"/>
      <c r="BS185" s="28" t="n"/>
      <c r="BT185" s="28" t="n"/>
      <c r="BU185" s="25" t="n"/>
      <c r="BV185" s="29" t="n"/>
      <c r="BW185" s="24" t="n"/>
      <c r="BX185" s="30" t="n">
        <v>1</v>
      </c>
      <c r="BY185" s="27" t="n">
        <v>-1</v>
      </c>
      <c r="BZ185" s="24" t="inlineStr">
        <is>
          <t>2026-09-13T04:32:14.634640Z</t>
        </is>
      </c>
      <c r="CA185" s="31" t="inlineStr">
        <is>
          <t>fixed one-unit hypothetical scoring; no real exposure or execution</t>
        </is>
      </c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n"/>
      <c r="DE185" s="24" t="n"/>
      <c r="DF185" s="24" t="n"/>
      <c r="DG185" s="24" t="n"/>
      <c r="DH185" s="24" t="n"/>
      <c r="DI185" s="24" t="n"/>
      <c r="DJ185" s="24" t="inlineStr">
        <is>
          <t>0.52381</t>
        </is>
      </c>
      <c r="DK185" s="24" t="n"/>
      <c r="DL185" s="24" t="n"/>
      <c r="DM185" s="24" t="n"/>
      <c r="DN185" s="24" t="n"/>
      <c r="DO185" s="24" t="n"/>
      <c r="DP185" s="24" t="n"/>
      <c r="DQ185" s="24" t="inlineStr">
        <is>
          <t>{"artifact_hash": "1d168f11d221cd3c", "event_id": "401871046", "event_start_utc": "2026-09-12T23:00Z", "features": {"altitude_fatigue_penalty": 0.0, "away_team": "Lindenwood Lions", "efficiency_gap": 0.0, "elo_away": 1337.5, "elo_home": 1337.5, "elo_home_win_prob": 0.5925, "event_id": "401871046", "game_start_utc": "2026-09-12T23:00Z", "home_field_advantage_points": 2.8, "home_team": "Missouri State Bears", "is_dome": false, "is_fbs_vs_fcs": false, "is_neutral_site": false, "projected_away_points": 25.0, "projected_home_points": 27.6, "projected_margin_home": 2.7,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25.0, "mu_home": 27.6,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157294142812730743952146047922507132276}, "uinteger": 0}, "spread_home_line": -16.5, "total_line": 53.5}, "market_type": "total", "model_version": "cfb-total-v1", "observed_at_utc": "2026-09-12T22:41:47.836186+00:00", "probabilities": {"over": 0.456867, "push": 0.0, "under": 0.543133}, "replay_scope": "Full precision score means, exact engine parameters and original RNG state; upstream feature construction not certified.", "schema": "cfb-joint-replay-v1", "snapshot_hash": "36d8e2d23325ad540020c6bce30f030c60c44396ad0646d5db2324481beaf704", "sport": "NCAAF"}</t>
        </is>
      </c>
    </row>
    <row r="186" ht="36" customHeight="1">
      <c r="A186" s="24" t="inlineStr">
        <is>
          <t>661d7bb624b54e4f</t>
        </is>
      </c>
      <c r="B186" s="24" t="inlineStr">
        <is>
          <t>2026-09-12T22:41:47.836186Z</t>
        </is>
      </c>
      <c r="C186" s="24" t="inlineStr">
        <is>
          <t>2026-09-12T23:15Z</t>
        </is>
      </c>
      <c r="D186" s="24" t="inlineStr">
        <is>
          <t>401858443</t>
        </is>
      </c>
      <c r="E186" s="24" t="inlineStr">
        <is>
          <t>NCAAF</t>
        </is>
      </c>
      <c r="F186" s="24" t="inlineStr">
        <is>
          <t>San Diego State Aztecs</t>
        </is>
      </c>
      <c r="G186" s="24" t="inlineStr">
        <is>
          <t>UCLA Bruins</t>
        </is>
      </c>
      <c r="H186" s="24" t="inlineStr">
        <is>
          <t>moneyline</t>
        </is>
      </c>
      <c r="I186" s="24" t="inlineStr">
        <is>
          <t>away</t>
        </is>
      </c>
      <c r="J186" s="25" t="n"/>
      <c r="K186" s="24" t="inlineStr">
        <is>
          <t>espn_consensus</t>
        </is>
      </c>
      <c r="L186" s="26" t="n">
        <v>400</v>
      </c>
      <c r="M186" s="27" t="n">
        <v>5</v>
      </c>
      <c r="N186" s="28" t="n">
        <v>0.2</v>
      </c>
      <c r="O186" s="28" t="n">
        <v>0.647821</v>
      </c>
      <c r="P186" s="28" t="n">
        <v>0.18</v>
      </c>
      <c r="Q186" s="28" t="n">
        <v>0.447821</v>
      </c>
      <c r="R186" s="26" t="n">
        <v>100</v>
      </c>
      <c r="S186" s="29" t="n">
        <v>2</v>
      </c>
      <c r="T186" s="24" t="inlineStr">
        <is>
          <t>college-football-v1</t>
        </is>
      </c>
      <c r="U186" s="24" t="inlineStr">
        <is>
          <t>settled</t>
        </is>
      </c>
      <c r="V186" s="24" t="inlineStr">
        <is>
          <t>loss</t>
        </is>
      </c>
      <c r="W186" s="26" t="n">
        <v>10</v>
      </c>
      <c r="X186" s="26" t="n">
        <v>28</v>
      </c>
      <c r="Y186" s="25" t="n"/>
      <c r="Z186" s="26" t="n"/>
      <c r="AA186" s="28" t="n"/>
      <c r="AB186" s="28" t="n"/>
      <c r="AC186" s="30" t="n">
        <v>-2</v>
      </c>
      <c r="AD186" s="24" t="inlineStr">
        <is>
          <t>2026-09-13T04:32:15.016117Z</t>
        </is>
      </c>
      <c r="AE186" s="31" t="inlineStr">
        <is>
          <t>CFB Joint Model (negative_binomial): proj score San Diego State Aztecs 30.4 @ UCLA Bruins 24.4 (Margin -6.0). Possessions: 12.4, HFA: +2.8 pts.</t>
        </is>
      </c>
      <c r="AF186" s="31" t="inlineStr">
        <is>
          <t>College football model; multi-market (moneyline, spread, total).</t>
        </is>
      </c>
      <c r="AG186" s="24" t="inlineStr">
        <is>
          <t>review_required</t>
        </is>
      </c>
      <c r="AH186" s="24" t="n"/>
      <c r="AI186" s="31" t="n"/>
      <c r="AJ186" s="31" t="n"/>
      <c r="AK186" s="24" t="inlineStr">
        <is>
          <t>model_qualified</t>
        </is>
      </c>
      <c r="AL186" s="26" t="n">
        <v>4</v>
      </c>
      <c r="AM186" s="24" t="inlineStr">
        <is>
          <t>QUALIFIED_SHADOW_CALL</t>
        </is>
      </c>
      <c r="AN186" s="24" t="inlineStr">
        <is>
          <t>CALL</t>
        </is>
      </c>
      <c r="AO186" s="24" t="inlineStr">
        <is>
          <t>QUALIFIED</t>
        </is>
      </c>
      <c r="AP186" s="24" t="inlineStr">
        <is>
          <t>San Diego State Aztecs</t>
        </is>
      </c>
      <c r="AQ186" s="24" t="inlineStr">
        <is>
          <t>San Diego State Aztecs</t>
        </is>
      </c>
      <c r="AR186" s="24" t="inlineStr">
        <is>
          <t>San Diego State Aztecs</t>
        </is>
      </c>
      <c r="AS186" s="24" t="inlineStr">
        <is>
          <t>UCLA Bruins</t>
        </is>
      </c>
      <c r="AT186" s="24" t="inlineStr">
        <is>
          <t>UCLA Bruins</t>
        </is>
      </c>
      <c r="AU186" s="24" t="inlineStr">
        <is>
          <t>UCLA Bruins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1d168f11d221cd3c</t>
        </is>
      </c>
      <c r="BB186" s="24" t="inlineStr">
        <is>
          <t>cfb_key_number_engine</t>
        </is>
      </c>
      <c r="BC186" s="24" t="inlineStr">
        <is>
          <t>college-football-v1</t>
        </is>
      </c>
      <c r="BD186" s="24" t="inlineStr">
        <is>
          <t>1d168f11d221cd3c</t>
        </is>
      </c>
      <c r="BE186" s="24" t="inlineStr">
        <is>
          <t>cfb-v1</t>
        </is>
      </c>
      <c r="BF186" s="24" t="inlineStr">
        <is>
          <t>1</t>
        </is>
      </c>
      <c r="BG186" s="24" t="inlineStr">
        <is>
          <t>1d168f11d221cd3c</t>
        </is>
      </c>
      <c r="BH186" s="24" t="inlineStr">
        <is>
          <t>2026-09-12T22:41:47.836186+00:00</t>
        </is>
      </c>
      <c r="BI186" s="24" t="inlineStr">
        <is>
          <t>["same_event","same_team_same_day","same_league_same_day"]</t>
        </is>
      </c>
      <c r="BJ186" s="25" t="n"/>
      <c r="BK186" s="26" t="n">
        <v>400</v>
      </c>
      <c r="BL186" s="27" t="n">
        <v>5</v>
      </c>
      <c r="BM186" s="28" t="n">
        <v>0.2</v>
      </c>
      <c r="BN186" s="28" t="n"/>
      <c r="BO186" s="28" t="n"/>
      <c r="BP186" s="25" t="n"/>
      <c r="BQ186" s="27" t="n"/>
      <c r="BR186" s="28" t="n"/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True</t>
        </is>
      </c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n"/>
      <c r="DE186" s="24" t="n"/>
      <c r="DF186" s="24" t="n"/>
      <c r="DG186" s="24" t="n"/>
      <c r="DH186" s="24" t="n"/>
      <c r="DI186" s="24" t="n"/>
      <c r="DJ186" s="24" t="inlineStr">
        <is>
          <t>0.2</t>
        </is>
      </c>
      <c r="DK186" s="24" t="n"/>
      <c r="DL186" s="24" t="n"/>
      <c r="DM186" s="24" t="n"/>
      <c r="DN186" s="24" t="n"/>
      <c r="DO186" s="24" t="n"/>
      <c r="DP186" s="24" t="n"/>
      <c r="DQ186" s="24" t="inlineStr">
        <is>
          <t>{"artifact_hash": "1d168f11d221cd3c", "event_id": "401858443", "event_start_utc": "2026-09-12T23:15Z", "features": {"altitude_fatigue_penalty": 0.0, "away_team": "San Diego State Aztecs", "efficiency_gap": 1.665, "elo_away": 1570.9, "elo_home": 1359.5, "elo_home_win_prob": 0.3009, "event_id": "401858443", "game_start_utc": "2026-09-12T23:15Z", "home_field_advantage_points": 2.8, "home_team": "UCLA Bruins", "is_dome": false, "is_fbs_vs_fcs": false, "is_neutral_site": false, "projected_away_points": 30.4, "projected_home_points": 24.4, "projected_margin_home": -6.0, "projected_possessions": 12.4, "projected_total": 54.8, "stadium_elevation_ft": 820, "travel_distance_miles": 113.0, "uncertainty": 0.18, "weather_total_adjustment": 0.0}, "historical_source_observation_times_verified": false, "inference_inputs": {"engine_source_sha256": "449ba2f0e86fa9c445730076a0e0bf100fb4914620be53c75c6f3bfe24298f3f", "mu_away": 30.4, "mu_home": 24.4,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15838255138380504818726744740804055776}, "uinteger": 0}, "spread_home_line": -13.5, "total_line": 53.5}, "market_type": "moneyline", "model_version": "college-football-v1", "observed_at_utc": "2026-09-12T22:41:47.836186+00:00", "probabilities": {"away": 0.647821, "home": 0.352179}, "replay_scope": "Full precision score means, exact engine parameters and original RNG state; upstream feature construction not certified.", "schema": "cfb-joint-replay-v1", "snapshot_hash": "b7aa7b70085eb0cd2d665d72dc39f68ff072c2c5c0311d5016f390c23e73e2fd", "sport": "NCAAF"}</t>
        </is>
      </c>
    </row>
    <row r="187" ht="36" customHeight="1">
      <c r="A187" s="24" t="inlineStr">
        <is>
          <t>234e846d48e940e9</t>
        </is>
      </c>
      <c r="B187" s="24" t="inlineStr">
        <is>
          <t>2026-09-12T22:41:47.836186Z</t>
        </is>
      </c>
      <c r="C187" s="24" t="inlineStr">
        <is>
          <t>2026-09-12T23:15Z</t>
        </is>
      </c>
      <c r="D187" s="24" t="inlineStr">
        <is>
          <t>401858443</t>
        </is>
      </c>
      <c r="E187" s="24" t="inlineStr">
        <is>
          <t>NCAAF</t>
        </is>
      </c>
      <c r="F187" s="24" t="inlineStr">
        <is>
          <t>San Diego State Aztecs</t>
        </is>
      </c>
      <c r="G187" s="24" t="inlineStr">
        <is>
          <t>UCLA Bruins</t>
        </is>
      </c>
      <c r="H187" s="24" t="inlineStr">
        <is>
          <t>spread</t>
        </is>
      </c>
      <c r="I187" s="24" t="inlineStr">
        <is>
          <t>away</t>
        </is>
      </c>
      <c r="J187" s="25" t="n">
        <v>13.5</v>
      </c>
      <c r="K187" s="24" t="inlineStr">
        <is>
          <t>espn_consensus</t>
        </is>
      </c>
      <c r="L187" s="26" t="n">
        <v>-112</v>
      </c>
      <c r="M187" s="27" t="n">
        <v>1.892857</v>
      </c>
      <c r="N187" s="28" t="n">
        <v>0.528302</v>
      </c>
      <c r="O187" s="28" t="n">
        <v>0.8822</v>
      </c>
      <c r="P187" s="28" t="n">
        <v>0.18</v>
      </c>
      <c r="Q187" s="28" t="n">
        <v>0.353898</v>
      </c>
      <c r="R187" s="26" t="n">
        <v>100</v>
      </c>
      <c r="S187" s="29" t="n">
        <v>2</v>
      </c>
      <c r="T187" s="24" t="inlineStr">
        <is>
          <t>cfb-spread-v1</t>
        </is>
      </c>
      <c r="U187" s="24" t="inlineStr">
        <is>
          <t>settled</t>
        </is>
      </c>
      <c r="V187" s="24" t="inlineStr">
        <is>
          <t>loss</t>
        </is>
      </c>
      <c r="W187" s="26" t="n">
        <v>10</v>
      </c>
      <c r="X187" s="26" t="n">
        <v>28</v>
      </c>
      <c r="Y187" s="25" t="n"/>
      <c r="Z187" s="26" t="n"/>
      <c r="AA187" s="28" t="n"/>
      <c r="AB187" s="28" t="n"/>
      <c r="AC187" s="30" t="n">
        <v>-2</v>
      </c>
      <c r="AD187" s="24" t="inlineStr">
        <is>
          <t>2026-09-13T04:32:15.359035Z</t>
        </is>
      </c>
      <c r="AE187" s="31" t="inlineStr">
        <is>
          <t>Projected home margin -6.0 pts. Spread: Home -13.5 / Away +13.5 -&gt; P(Away cover)=0.882, P(Home cover)=0.118, P(Push)=0.000.</t>
        </is>
      </c>
      <c r="AF187" s="31" t="inlineStr">
        <is>
          <t>College football model; multi-market (moneyline, spread, total).</t>
        </is>
      </c>
      <c r="AG187" s="24" t="inlineStr">
        <is>
          <t>review_required</t>
        </is>
      </c>
      <c r="AH187" s="24" t="n"/>
      <c r="AI187" s="31" t="n"/>
      <c r="AJ187" s="31" t="n"/>
      <c r="AK187" s="24" t="inlineStr">
        <is>
          <t>model_qualified</t>
        </is>
      </c>
      <c r="AL187" s="26" t="n">
        <v>4</v>
      </c>
      <c r="AM187" s="24" t="inlineStr">
        <is>
          <t>QUALIFIED_SHADOW_CALL</t>
        </is>
      </c>
      <c r="AN187" s="24" t="inlineStr">
        <is>
          <t>CALL</t>
        </is>
      </c>
      <c r="AO187" s="24" t="inlineStr">
        <is>
          <t>QUALIFIED</t>
        </is>
      </c>
      <c r="AP187" s="24" t="inlineStr">
        <is>
          <t>San Diego State Aztecs</t>
        </is>
      </c>
      <c r="AQ187" s="24" t="inlineStr">
        <is>
          <t>San Diego State Aztecs</t>
        </is>
      </c>
      <c r="AR187" s="24" t="inlineStr">
        <is>
          <t>San Diego State Aztecs</t>
        </is>
      </c>
      <c r="AS187" s="24" t="inlineStr">
        <is>
          <t>UCLA Bruins</t>
        </is>
      </c>
      <c r="AT187" s="24" t="inlineStr">
        <is>
          <t>UCLA Bruins</t>
        </is>
      </c>
      <c r="AU187" s="24" t="inlineStr">
        <is>
          <t>UCLA Bruins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1d168f11d221cd3c</t>
        </is>
      </c>
      <c r="BB187" s="24" t="inlineStr">
        <is>
          <t>cfb_key_number_engine</t>
        </is>
      </c>
      <c r="BC187" s="24" t="inlineStr">
        <is>
          <t>cfb-spread-v1</t>
        </is>
      </c>
      <c r="BD187" s="24" t="inlineStr">
        <is>
          <t>1d168f11d221cd3c</t>
        </is>
      </c>
      <c r="BE187" s="24" t="inlineStr">
        <is>
          <t>cfb-v1</t>
        </is>
      </c>
      <c r="BF187" s="24" t="inlineStr">
        <is>
          <t>1</t>
        </is>
      </c>
      <c r="BG187" s="24" t="inlineStr">
        <is>
          <t>1d168f11d221cd3c</t>
        </is>
      </c>
      <c r="BH187" s="24" t="inlineStr">
        <is>
          <t>2026-09-12T22:41:47.836186+00:00</t>
        </is>
      </c>
      <c r="BI187" s="24" t="inlineStr">
        <is>
          <t>["same_event","same_team_same_day","same_league_same_day"]</t>
        </is>
      </c>
      <c r="BJ187" s="25" t="n">
        <v>13.5</v>
      </c>
      <c r="BK187" s="26" t="n">
        <v>-112</v>
      </c>
      <c r="BL187" s="27" t="n">
        <v>1.892857</v>
      </c>
      <c r="BM187" s="28" t="n">
        <v>0.528302</v>
      </c>
      <c r="BN187" s="28" t="n"/>
      <c r="BO187" s="28" t="n"/>
      <c r="BP187" s="25" t="n"/>
      <c r="BQ187" s="27" t="n"/>
      <c r="BR187" s="28" t="n"/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True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inlineStr">
        <is>
          <t>0.528302</t>
        </is>
      </c>
      <c r="DK187" s="24" t="n"/>
      <c r="DL187" s="24" t="n"/>
      <c r="DM187" s="24" t="n"/>
      <c r="DN187" s="24" t="n"/>
      <c r="DO187" s="24" t="n"/>
      <c r="DP187" s="24" t="n"/>
      <c r="DQ187" s="24" t="inlineStr">
        <is>
          <t>{"artifact_hash": "1d168f11d221cd3c", "event_id": "401858443", "event_start_utc": "2026-09-12T23:15Z", "features": {"altitude_fatigue_penalty": 0.0, "away_team": "San Diego State Aztecs", "efficiency_gap": 1.665, "elo_away": 1570.9, "elo_home": 1359.5, "elo_home_win_prob": 0.3009, "event_id": "401858443", "game_start_utc": "2026-09-12T23:15Z", "home_field_advantage_points": 2.8, "home_team": "UCLA Bruins", "is_dome": false, "is_fbs_vs_fcs": false, "is_neutral_site": false, "projected_away_points": 30.4, "projected_home_points": 24.4, "projected_margin_home": -6.0, "projected_possessions": 12.4, "projected_total": 54.8, "stadium_elevation_ft": 820, "travel_distance_miles": 113.0, "uncertainty": 0.18, "weather_total_adjustment": 0.0}, "historical_source_observation_times_verified": false, "inference_inputs": {"engine_source_sha256": "449ba2f0e86fa9c445730076a0e0bf100fb4914620be53c75c6f3bfe24298f3f", "mu_away": 30.4, "mu_home": 24.4,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15838255138380504818726744740804055776}, "uinteger": 0}, "spread_home_line": -13.5, "total_line": 53.5}, "market_type": "spread", "model_version": "cfb-spread-v1", "observed_at_utc": "2026-09-12T22:41:47.836186+00:00", "probabilities": {"away": 0.8822, "home": 0.1178, "push": 0.0}, "replay_scope": "Full precision score means, exact engine parameters and original RNG state; upstream feature construction not certified.", "schema": "cfb-joint-replay-v1", "snapshot_hash": "257288f3bbb6d71af751b36df111851b22f6226e360a1a27b003a3b9f8b6619d", "sport": "NCAAF"}</t>
        </is>
      </c>
    </row>
    <row r="188" ht="36" customHeight="1">
      <c r="A188" s="24" t="inlineStr">
        <is>
          <t>5e85b104538b4964</t>
        </is>
      </c>
      <c r="B188" s="24" t="inlineStr">
        <is>
          <t>2026-09-12T22:41:47.836186Z</t>
        </is>
      </c>
      <c r="C188" s="24" t="inlineStr">
        <is>
          <t>2026-09-12T23:15Z</t>
        </is>
      </c>
      <c r="D188" s="24" t="inlineStr">
        <is>
          <t>401858443</t>
        </is>
      </c>
      <c r="E188" s="24" t="inlineStr">
        <is>
          <t>NCAAF</t>
        </is>
      </c>
      <c r="F188" s="24" t="inlineStr">
        <is>
          <t>San Diego State Aztecs</t>
        </is>
      </c>
      <c r="G188" s="24" t="inlineStr">
        <is>
          <t>UCLA Bruins</t>
        </is>
      </c>
      <c r="H188" s="24" t="inlineStr">
        <is>
          <t>total</t>
        </is>
      </c>
      <c r="I188" s="24" t="inlineStr">
        <is>
          <t>over</t>
        </is>
      </c>
      <c r="J188" s="25" t="n">
        <v>53.5</v>
      </c>
      <c r="K188" s="24" t="inlineStr">
        <is>
          <t>espn_consensus</t>
        </is>
      </c>
      <c r="L188" s="26" t="n">
        <v>-115</v>
      </c>
      <c r="M188" s="27" t="n">
        <v>1.869565</v>
      </c>
      <c r="N188" s="28" t="n">
        <v>0.534884</v>
      </c>
      <c r="O188" s="28" t="n">
        <v>0.502</v>
      </c>
      <c r="P188" s="28" t="n">
        <v>0.18</v>
      </c>
      <c r="Q188" s="28" t="n">
        <v>-0.032884</v>
      </c>
      <c r="R188" s="26" t="n">
        <v>0</v>
      </c>
      <c r="S188" s="29" t="n">
        <v>1</v>
      </c>
      <c r="T188" s="24" t="inlineStr">
        <is>
          <t>cfb-total-v1</t>
        </is>
      </c>
      <c r="U188" s="24" t="inlineStr">
        <is>
          <t>settled</t>
        </is>
      </c>
      <c r="V188" s="24" t="inlineStr">
        <is>
          <t>loss</t>
        </is>
      </c>
      <c r="W188" s="26" t="n">
        <v>10</v>
      </c>
      <c r="X188" s="26" t="n">
        <v>28</v>
      </c>
      <c r="Y188" s="25" t="n"/>
      <c r="Z188" s="26" t="n"/>
      <c r="AA188" s="28" t="n"/>
      <c r="AB188" s="28" t="n"/>
      <c r="AC188" s="30" t="n">
        <v>-1</v>
      </c>
      <c r="AD188" s="24" t="inlineStr">
        <is>
          <t>2026-09-13T04:32:15.742397Z</t>
        </is>
      </c>
      <c r="AE188" s="31" t="inlineStr">
        <is>
          <t>Projected total 54.8 pts (Weather adj: +0.0 pts). Total line 53.5 -&gt; P(Over)=0.502, P(Under)=0.498, P(Push)=0.000.</t>
        </is>
      </c>
      <c r="AF188" s="31" t="inlineStr">
        <is>
          <t>College football model; multi-market (moneyline, spread, total).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paper_call</t>
        </is>
      </c>
      <c r="AL188" s="26" t="n">
        <v>4</v>
      </c>
      <c r="AM188" s="24" t="inlineStr">
        <is>
          <t>RESEARCH_OBSERVATION</t>
        </is>
      </c>
      <c r="AN188" s="24" t="inlineStr">
        <is>
          <t>CALL</t>
        </is>
      </c>
      <c r="AO188" s="24" t="inlineStr">
        <is>
          <t>PAPER_CALL_LOW_EDGE</t>
        </is>
      </c>
      <c r="AP188" s="24" t="inlineStr">
        <is>
          <t>San Diego State Aztecs</t>
        </is>
      </c>
      <c r="AQ188" s="24" t="inlineStr">
        <is>
          <t>San Diego State Aztecs</t>
        </is>
      </c>
      <c r="AR188" s="24" t="inlineStr">
        <is>
          <t>San Diego State Aztecs</t>
        </is>
      </c>
      <c r="AS188" s="24" t="inlineStr">
        <is>
          <t>UCLA Bruins</t>
        </is>
      </c>
      <c r="AT188" s="24" t="inlineStr">
        <is>
          <t>UCLA Bruins</t>
        </is>
      </c>
      <c r="AU188" s="24" t="inlineStr">
        <is>
          <t>UCLA Bruins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1d168f11d221cd3c</t>
        </is>
      </c>
      <c r="BB188" s="24" t="inlineStr">
        <is>
          <t>cfb_key_number_engine</t>
        </is>
      </c>
      <c r="BC188" s="24" t="inlineStr">
        <is>
          <t>cfb-total-v1</t>
        </is>
      </c>
      <c r="BD188" s="24" t="inlineStr">
        <is>
          <t>1d168f11d221cd3c</t>
        </is>
      </c>
      <c r="BE188" s="24" t="inlineStr">
        <is>
          <t>cfb-v1</t>
        </is>
      </c>
      <c r="BF188" s="24" t="inlineStr">
        <is>
          <t>1</t>
        </is>
      </c>
      <c r="BG188" s="24" t="inlineStr">
        <is>
          <t>1d168f11d221cd3c</t>
        </is>
      </c>
      <c r="BH188" s="24" t="inlineStr">
        <is>
          <t>2026-09-12T22:41:47.836186+00:00</t>
        </is>
      </c>
      <c r="BI188" s="24" t="inlineStr">
        <is>
          <t>["same_event","same_team_same_day","same_league_same_day"]</t>
        </is>
      </c>
      <c r="BJ188" s="25" t="n">
        <v>53.5</v>
      </c>
      <c r="BK188" s="26" t="n">
        <v>-115</v>
      </c>
      <c r="BL188" s="27" t="n">
        <v>1.869565</v>
      </c>
      <c r="BM188" s="28" t="n">
        <v>0.534884</v>
      </c>
      <c r="BN188" s="28" t="n"/>
      <c r="BO188" s="28" t="n"/>
      <c r="BP188" s="25" t="n"/>
      <c r="BQ188" s="27" t="n"/>
      <c r="BR188" s="28" t="n"/>
      <c r="BS188" s="28" t="n"/>
      <c r="BT188" s="28" t="n"/>
      <c r="BU188" s="25" t="n"/>
      <c r="BV188" s="29" t="n"/>
      <c r="BW188" s="24" t="n"/>
      <c r="BX188" s="30" t="n">
        <v>1</v>
      </c>
      <c r="BY188" s="27" t="n">
        <v>-1</v>
      </c>
      <c r="BZ188" s="24" t="inlineStr">
        <is>
          <t>2026-09-13T04:32:15.742397Z</t>
        </is>
      </c>
      <c r="CA188" s="31" t="inlineStr">
        <is>
          <t>fixed one-unit hypothetical scoring; no real exposure or execution</t>
        </is>
      </c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False</t>
        </is>
      </c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n"/>
      <c r="DE188" s="24" t="n"/>
      <c r="DF188" s="24" t="n"/>
      <c r="DG188" s="24" t="n"/>
      <c r="DH188" s="24" t="n"/>
      <c r="DI188" s="24" t="n"/>
      <c r="DJ188" s="24" t="inlineStr">
        <is>
          <t>0.534884</t>
        </is>
      </c>
      <c r="DK188" s="24" t="n"/>
      <c r="DL188" s="24" t="n"/>
      <c r="DM188" s="24" t="n"/>
      <c r="DN188" s="24" t="n"/>
      <c r="DO188" s="24" t="n"/>
      <c r="DP188" s="24" t="n"/>
      <c r="DQ188" s="24" t="inlineStr">
        <is>
          <t>{"artifact_hash": "1d168f11d221cd3c", "event_id": "401858443", "event_start_utc": "2026-09-12T23:15Z", "features": {"altitude_fatigue_penalty": 0.0, "away_team": "San Diego State Aztecs", "efficiency_gap": 1.665, "elo_away": 1570.9, "elo_home": 1359.5, "elo_home_win_prob": 0.3009, "event_id": "401858443", "game_start_utc": "2026-09-12T23:15Z", "home_field_advantage_points": 2.8, "home_team": "UCLA Bruins", "is_dome": false, "is_fbs_vs_fcs": false, "is_neutral_site": false, "projected_away_points": 30.4, "projected_home_points": 24.4, "projected_margin_home": -6.0, "projected_possessions": 12.4, "projected_total": 54.8, "stadium_elevation_ft": 820, "travel_distance_miles": 113.0, "uncertainty": 0.18, "weather_total_adjustment": 0.0}, "historical_source_observation_times_verified": false, "inference_inputs": {"engine_source_sha256": "449ba2f0e86fa9c445730076a0e0bf100fb4914620be53c75c6f3bfe24298f3f", "mu_away": 30.4, "mu_home": 24.4,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15838255138380504818726744740804055776}, "uinteger": 0}, "spread_home_line": -13.5, "total_line": 53.5}, "market_type": "total", "model_version": "cfb-total-v1", "observed_at_utc": "2026-09-12T22:41:47.836186+00:00", "probabilities": {"over": 0.502, "push": 0.0, "under": 0.498}, "replay_scope": "Full precision score means, exact engine parameters and original RNG state; upstream feature construction not certified.", "schema": "cfb-joint-replay-v1", "snapshot_hash": "4b5b491a077e1de014f3ebe8b3c19bb10008a62e35ff07bd52d6d2f6832e983e", "sport": "NCAAF"}</t>
        </is>
      </c>
    </row>
    <row r="189" ht="36" customHeight="1">
      <c r="A189" s="24" t="inlineStr">
        <is>
          <t>63e29825510246c3</t>
        </is>
      </c>
      <c r="B189" s="24" t="inlineStr">
        <is>
          <t>2026-09-12T22:41:47.836186Z</t>
        </is>
      </c>
      <c r="C189" s="24" t="inlineStr">
        <is>
          <t>2026-09-12T23:15Z</t>
        </is>
      </c>
      <c r="D189" s="24" t="inlineStr">
        <is>
          <t>401858447</t>
        </is>
      </c>
      <c r="E189" s="24" t="inlineStr">
        <is>
          <t>NCAAF</t>
        </is>
      </c>
      <c r="F189" s="24" t="inlineStr">
        <is>
          <t>Western Illinois Leathernecks</t>
        </is>
      </c>
      <c r="G189" s="24" t="inlineStr">
        <is>
          <t>Wisconsin Badgers</t>
        </is>
      </c>
      <c r="H189" s="24" t="inlineStr">
        <is>
          <t>spread</t>
        </is>
      </c>
      <c r="I189" s="24" t="inlineStr">
        <is>
          <t>away</t>
        </is>
      </c>
      <c r="J189" s="25" t="n">
        <v>43.5</v>
      </c>
      <c r="K189" s="24" t="inlineStr">
        <is>
          <t>espn_consensus</t>
        </is>
      </c>
      <c r="L189" s="26" t="n">
        <v>-108</v>
      </c>
      <c r="M189" s="27" t="n">
        <v>1.925926</v>
      </c>
      <c r="N189" s="28" t="n">
        <v>0.519231</v>
      </c>
      <c r="O189" s="28" t="n">
        <v>0.992933</v>
      </c>
      <c r="P189" s="28" t="n">
        <v>0.18</v>
      </c>
      <c r="Q189" s="28" t="n">
        <v>0.473702</v>
      </c>
      <c r="R189" s="26" t="n">
        <v>100</v>
      </c>
      <c r="S189" s="29" t="n">
        <v>2</v>
      </c>
      <c r="T189" s="24" t="inlineStr">
        <is>
          <t>cfb-spread-v1</t>
        </is>
      </c>
      <c r="U189" s="24" t="inlineStr">
        <is>
          <t>settled</t>
        </is>
      </c>
      <c r="V189" s="24" t="inlineStr">
        <is>
          <t>win</t>
        </is>
      </c>
      <c r="W189" s="26" t="n">
        <v>9</v>
      </c>
      <c r="X189" s="26" t="n">
        <v>36</v>
      </c>
      <c r="Y189" s="25" t="n"/>
      <c r="Z189" s="26" t="n"/>
      <c r="AA189" s="28" t="n"/>
      <c r="AB189" s="28" t="n"/>
      <c r="AC189" s="30" t="n">
        <v>1.8519</v>
      </c>
      <c r="AD189" s="24" t="inlineStr">
        <is>
          <t>2026-09-13T04:32:16.127007Z</t>
        </is>
      </c>
      <c r="AE189" s="31" t="inlineStr">
        <is>
          <t>Projected home margin +0.2 pts. Spread: Home -43.5 / Away +43.5 -&gt; P(Away cover)=0.993, P(Home cover)=0.007, P(Push)=0.000.</t>
        </is>
      </c>
      <c r="AF189" s="31" t="inlineStr">
        <is>
          <t>College football model; multi-market (moneyline, spread, total).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model_qualified</t>
        </is>
      </c>
      <c r="AL189" s="26" t="n">
        <v>4</v>
      </c>
      <c r="AM189" s="24" t="inlineStr">
        <is>
          <t>QUALIFIED_SHADOW_CALL</t>
        </is>
      </c>
      <c r="AN189" s="24" t="inlineStr">
        <is>
          <t>CALL</t>
        </is>
      </c>
      <c r="AO189" s="24" t="inlineStr">
        <is>
          <t>QUALIFIED</t>
        </is>
      </c>
      <c r="AP189" s="24" t="inlineStr">
        <is>
          <t>Western Illinois Leathernecks</t>
        </is>
      </c>
      <c r="AQ189" s="24" t="inlineStr">
        <is>
          <t>Western Illinois Leathernecks</t>
        </is>
      </c>
      <c r="AR189" s="24" t="inlineStr">
        <is>
          <t>Western Illinois Leathernecks</t>
        </is>
      </c>
      <c r="AS189" s="24" t="inlineStr">
        <is>
          <t>Wisconsin Badgers</t>
        </is>
      </c>
      <c r="AT189" s="24" t="inlineStr">
        <is>
          <t>Wisconsin Badgers</t>
        </is>
      </c>
      <c r="AU189" s="24" t="inlineStr">
        <is>
          <t>Wisconsin Badgers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1d168f11d221cd3c</t>
        </is>
      </c>
      <c r="BB189" s="24" t="inlineStr">
        <is>
          <t>cfb_key_number_engine</t>
        </is>
      </c>
      <c r="BC189" s="24" t="inlineStr">
        <is>
          <t>cfb-spread-v1</t>
        </is>
      </c>
      <c r="BD189" s="24" t="inlineStr">
        <is>
          <t>1d168f11d221cd3c</t>
        </is>
      </c>
      <c r="BE189" s="24" t="inlineStr">
        <is>
          <t>cfb-v1</t>
        </is>
      </c>
      <c r="BF189" s="24" t="inlineStr">
        <is>
          <t>1</t>
        </is>
      </c>
      <c r="BG189" s="24" t="inlineStr">
        <is>
          <t>1d168f11d221cd3c</t>
        </is>
      </c>
      <c r="BH189" s="24" t="inlineStr">
        <is>
          <t>2026-09-12T22:41:47.836186+00:00</t>
        </is>
      </c>
      <c r="BI189" s="24" t="inlineStr">
        <is>
          <t>["same_event","same_team_same_day","same_league_same_day"]</t>
        </is>
      </c>
      <c r="BJ189" s="25" t="n">
        <v>43.5</v>
      </c>
      <c r="BK189" s="26" t="n">
        <v>-108</v>
      </c>
      <c r="BL189" s="27" t="n">
        <v>1.925926</v>
      </c>
      <c r="BM189" s="28" t="n">
        <v>0.519231</v>
      </c>
      <c r="BN189" s="28" t="n"/>
      <c r="BO189" s="28" t="n"/>
      <c r="BP189" s="25" t="n"/>
      <c r="BQ189" s="27" t="n"/>
      <c r="BR189" s="28" t="n"/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True</t>
        </is>
      </c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n"/>
      <c r="DE189" s="24" t="n"/>
      <c r="DF189" s="24" t="n"/>
      <c r="DG189" s="24" t="n"/>
      <c r="DH189" s="24" t="n"/>
      <c r="DI189" s="24" t="n"/>
      <c r="DJ189" s="24" t="inlineStr">
        <is>
          <t>0.519231</t>
        </is>
      </c>
      <c r="DK189" s="24" t="n"/>
      <c r="DL189" s="24" t="n"/>
      <c r="DM189" s="24" t="n"/>
      <c r="DN189" s="24" t="n"/>
      <c r="DO189" s="24" t="n"/>
      <c r="DP189" s="24" t="n"/>
      <c r="DQ189" s="24" t="inlineStr">
        <is>
          <t>{"artifact_hash": "1d168f11d221cd3c", "event_id": "401858447", "event_start_utc": "2026-09-12T23:15Z", "features": {"altitude_fatigue_penalty": 0.0, "away_team": "Western Illinois Leathernecks", "efficiency_gap": 1.366, "elo_away": 1337.5, "elo_home": 1278.2, "elo_home_win_prob": 0.5082, "event_id": "401858447", "game_start_utc": "2026-09-12T23:15Z", "home_field_advantage_points": 2.8, "home_team": "Wisconsin Badgers", "is_dome": false, "is_fbs_vs_fcs": false, "is_neutral_site": false, "projected_away_points": 26.7, "projected_home_points": 26.9, "projected_margin_home": 0.2,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26.7, "mu_home": 26.9,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286119089284435563825921579059117733583}, "uinteger": 0}, "spread_home_line": -43.5, "total_line": 53.5}, "market_type": "spread", "model_version": "cfb-spread-v1", "observed_at_utc": "2026-09-12T22:41:47.836186+00:00", "probabilities": {"away": 0.992933, "home": 0.007067, "push": 0.0}, "replay_scope": "Full precision score means, exact engine parameters and original RNG state; upstream feature construction not certified.", "schema": "cfb-joint-replay-v1", "snapshot_hash": "35047b9dc3a4f6a6367f3f6c43eb70f2dae9251c9ba78710b0ee3197192e00fc", "sport": "NCAAF"}</t>
        </is>
      </c>
    </row>
    <row r="190" ht="36" customHeight="1">
      <c r="A190" s="24" t="inlineStr">
        <is>
          <t>067ba00c6c5b43d8</t>
        </is>
      </c>
      <c r="B190" s="24" t="inlineStr">
        <is>
          <t>2026-09-12T22:41:47.836186Z</t>
        </is>
      </c>
      <c r="C190" s="24" t="inlineStr">
        <is>
          <t>2026-09-12T23:15Z</t>
        </is>
      </c>
      <c r="D190" s="24" t="inlineStr">
        <is>
          <t>401858447</t>
        </is>
      </c>
      <c r="E190" s="24" t="inlineStr">
        <is>
          <t>NCAAF</t>
        </is>
      </c>
      <c r="F190" s="24" t="inlineStr">
        <is>
          <t>Western Illinois Leathernecks</t>
        </is>
      </c>
      <c r="G190" s="24" t="inlineStr">
        <is>
          <t>Wisconsin Badgers</t>
        </is>
      </c>
      <c r="H190" s="24" t="inlineStr">
        <is>
          <t>total</t>
        </is>
      </c>
      <c r="I190" s="24" t="inlineStr">
        <is>
          <t>under</t>
        </is>
      </c>
      <c r="J190" s="25" t="n">
        <v>53.5</v>
      </c>
      <c r="K190" s="24" t="inlineStr">
        <is>
          <t>espn_consensus</t>
        </is>
      </c>
      <c r="L190" s="26" t="n">
        <v>-110</v>
      </c>
      <c r="M190" s="27" t="n">
        <v>1.909091</v>
      </c>
      <c r="N190" s="28" t="n">
        <v>0.52381</v>
      </c>
      <c r="O190" s="28" t="n">
        <v>0.523867</v>
      </c>
      <c r="P190" s="28" t="n">
        <v>0.18</v>
      </c>
      <c r="Q190" s="28" t="n">
        <v>5.7e-05</v>
      </c>
      <c r="R190" s="26" t="n">
        <v>0</v>
      </c>
      <c r="S190" s="29" t="n">
        <v>1</v>
      </c>
      <c r="T190" s="24" t="inlineStr">
        <is>
          <t>cfb-total-v1</t>
        </is>
      </c>
      <c r="U190" s="24" t="inlineStr">
        <is>
          <t>settled</t>
        </is>
      </c>
      <c r="V190" s="24" t="inlineStr">
        <is>
          <t>win</t>
        </is>
      </c>
      <c r="W190" s="26" t="n">
        <v>9</v>
      </c>
      <c r="X190" s="26" t="n">
        <v>36</v>
      </c>
      <c r="Y190" s="25" t="n"/>
      <c r="Z190" s="26" t="n"/>
      <c r="AA190" s="28" t="n"/>
      <c r="AB190" s="28" t="n"/>
      <c r="AC190" s="30" t="n">
        <v>0.9091</v>
      </c>
      <c r="AD190" s="24" t="inlineStr">
        <is>
          <t>2026-09-13T04:32:16.576610Z</t>
        </is>
      </c>
      <c r="AE190" s="31" t="inlineStr">
        <is>
          <t>Projected total 53.6 pts (Weather adj: +0.0 pts). Total line 53.5 -&gt; P(Over)=0.476, P(Under)=0.524, P(Push)=0.000.</t>
        </is>
      </c>
      <c r="AF190" s="31" t="inlineStr">
        <is>
          <t>College football model; multi-market (moneyline, spread, total).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paper_call</t>
        </is>
      </c>
      <c r="AL190" s="26" t="n">
        <v>4</v>
      </c>
      <c r="AM190" s="24" t="inlineStr">
        <is>
          <t>RESEARCH_OBSERVATION</t>
        </is>
      </c>
      <c r="AN190" s="24" t="inlineStr">
        <is>
          <t>CALL</t>
        </is>
      </c>
      <c r="AO190" s="24" t="inlineStr">
        <is>
          <t>PAPER_CALL_LOW_EDGE</t>
        </is>
      </c>
      <c r="AP190" s="24" t="inlineStr">
        <is>
          <t>Western Illinois Leathernecks</t>
        </is>
      </c>
      <c r="AQ190" s="24" t="inlineStr">
        <is>
          <t>Western Illinois Leathernecks</t>
        </is>
      </c>
      <c r="AR190" s="24" t="inlineStr">
        <is>
          <t>Western Illinois Leathernecks</t>
        </is>
      </c>
      <c r="AS190" s="24" t="inlineStr">
        <is>
          <t>Wisconsin Badgers</t>
        </is>
      </c>
      <c r="AT190" s="24" t="inlineStr">
        <is>
          <t>Wisconsin Badgers</t>
        </is>
      </c>
      <c r="AU190" s="24" t="inlineStr">
        <is>
          <t>Wisconsin Badgers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1d168f11d221cd3c</t>
        </is>
      </c>
      <c r="BB190" s="24" t="inlineStr">
        <is>
          <t>cfb_key_number_engine</t>
        </is>
      </c>
      <c r="BC190" s="24" t="inlineStr">
        <is>
          <t>cfb-total-v1</t>
        </is>
      </c>
      <c r="BD190" s="24" t="inlineStr">
        <is>
          <t>1d168f11d221cd3c</t>
        </is>
      </c>
      <c r="BE190" s="24" t="inlineStr">
        <is>
          <t>cfb-v1</t>
        </is>
      </c>
      <c r="BF190" s="24" t="inlineStr">
        <is>
          <t>1</t>
        </is>
      </c>
      <c r="BG190" s="24" t="inlineStr">
        <is>
          <t>1d168f11d221cd3c</t>
        </is>
      </c>
      <c r="BH190" s="24" t="inlineStr">
        <is>
          <t>2026-09-12T22:41:47.836186+00:00</t>
        </is>
      </c>
      <c r="BI190" s="24" t="inlineStr">
        <is>
          <t>["same_event","same_team_same_day","same_league_same_day"]</t>
        </is>
      </c>
      <c r="BJ190" s="25" t="n">
        <v>53.5</v>
      </c>
      <c r="BK190" s="26" t="n">
        <v>-110</v>
      </c>
      <c r="BL190" s="27" t="n">
        <v>1.909091</v>
      </c>
      <c r="BM190" s="28" t="n">
        <v>0.52381</v>
      </c>
      <c r="BN190" s="28" t="n"/>
      <c r="BO190" s="28" t="n"/>
      <c r="BP190" s="25" t="n"/>
      <c r="BQ190" s="27" t="n"/>
      <c r="BR190" s="28" t="n"/>
      <c r="BS190" s="28" t="n"/>
      <c r="BT190" s="28" t="n"/>
      <c r="BU190" s="25" t="n"/>
      <c r="BV190" s="29" t="n"/>
      <c r="BW190" s="24" t="n"/>
      <c r="BX190" s="30" t="n">
        <v>1</v>
      </c>
      <c r="BY190" s="27" t="n">
        <v>0.909091</v>
      </c>
      <c r="BZ190" s="24" t="inlineStr">
        <is>
          <t>2026-09-13T04:32:16.576610Z</t>
        </is>
      </c>
      <c r="CA190" s="31" t="inlineStr">
        <is>
          <t>fixed one-unit hypothetical scoring; no real exposure or execution</t>
        </is>
      </c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inlineStr">
        <is>
          <t>0.52381</t>
        </is>
      </c>
      <c r="DK190" s="24" t="n"/>
      <c r="DL190" s="24" t="n"/>
      <c r="DM190" s="24" t="n"/>
      <c r="DN190" s="24" t="n"/>
      <c r="DO190" s="24" t="n"/>
      <c r="DP190" s="24" t="n"/>
      <c r="DQ190" s="24" t="inlineStr">
        <is>
          <t>{"artifact_hash": "1d168f11d221cd3c", "event_id": "401858447", "event_start_utc": "2026-09-12T23:15Z", "features": {"altitude_fatigue_penalty": 0.0, "away_team": "Western Illinois Leathernecks", "efficiency_gap": 1.366, "elo_away": 1337.5, "elo_home": 1278.2, "elo_home_win_prob": 0.5082, "event_id": "401858447", "game_start_utc": "2026-09-12T23:15Z", "home_field_advantage_points": 2.8, "home_team": "Wisconsin Badgers", "is_dome": false, "is_fbs_vs_fcs": false, "is_neutral_site": false, "projected_away_points": 26.7, "projected_home_points": 26.9, "projected_margin_home": 0.2,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26.7, "mu_home": 26.9,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286119089284435563825921579059117733583}, "uinteger": 0}, "spread_home_line": -43.5, "total_line": 53.5}, "market_type": "total", "model_version": "cfb-total-v1", "observed_at_utc": "2026-09-12T22:41:47.836186+00:00", "probabilities": {"over": 0.476133, "push": 0.0, "under": 0.523867}, "replay_scope": "Full precision score means, exact engine parameters and original RNG state; upstream feature construction not certified.", "schema": "cfb-joint-replay-v1", "snapshot_hash": "81fdccc2057c5613b933cff99f95afe3d185ab39356a28a8bc8b5886ee395a0c", "sport": "NCAAF"}</t>
        </is>
      </c>
    </row>
    <row r="191" ht="36" customHeight="1">
      <c r="A191" s="24" t="inlineStr">
        <is>
          <t>c1f2cb78599d465c</t>
        </is>
      </c>
      <c r="B191" s="24" t="inlineStr">
        <is>
          <t>2026-09-12T22:41:47.836186Z</t>
        </is>
      </c>
      <c r="C191" s="24" t="inlineStr">
        <is>
          <t>2026-09-12T23:30Z</t>
        </is>
      </c>
      <c r="D191" s="24" t="inlineStr">
        <is>
          <t>401856682</t>
        </is>
      </c>
      <c r="E191" s="24" t="inlineStr">
        <is>
          <t>NCAAF</t>
        </is>
      </c>
      <c r="F191" s="24" t="inlineStr">
        <is>
          <t>Ohio State Buckeyes</t>
        </is>
      </c>
      <c r="G191" s="24" t="inlineStr">
        <is>
          <t>Texas Longhorns</t>
        </is>
      </c>
      <c r="H191" s="24" t="inlineStr">
        <is>
          <t>moneyline</t>
        </is>
      </c>
      <c r="I191" s="24" t="inlineStr">
        <is>
          <t>home</t>
        </is>
      </c>
      <c r="J191" s="25" t="n"/>
      <c r="K191" s="24" t="inlineStr">
        <is>
          <t>espn_consensus</t>
        </is>
      </c>
      <c r="L191" s="26" t="n">
        <v>-125</v>
      </c>
      <c r="M191" s="27" t="n">
        <v>1.8</v>
      </c>
      <c r="N191" s="28" t="n">
        <v>0.555556</v>
      </c>
      <c r="O191" s="28" t="n">
        <v>0.504139</v>
      </c>
      <c r="P191" s="28" t="n">
        <v>0.165</v>
      </c>
      <c r="Q191" s="28" t="n">
        <v>-0.051417</v>
      </c>
      <c r="R191" s="26" t="n">
        <v>0</v>
      </c>
      <c r="S191" s="29" t="n">
        <v>1</v>
      </c>
      <c r="T191" s="24" t="inlineStr">
        <is>
          <t>college-football-v1</t>
        </is>
      </c>
      <c r="U191" s="24" t="inlineStr">
        <is>
          <t>settled</t>
        </is>
      </c>
      <c r="V191" s="24" t="inlineStr">
        <is>
          <t>win</t>
        </is>
      </c>
      <c r="W191" s="26" t="n">
        <v>23</v>
      </c>
      <c r="X191" s="26" t="n">
        <v>24</v>
      </c>
      <c r="Y191" s="25" t="n"/>
      <c r="Z191" s="26" t="n"/>
      <c r="AA191" s="28" t="n"/>
      <c r="AB191" s="28" t="n"/>
      <c r="AC191" s="30" t="n">
        <v>0.8</v>
      </c>
      <c r="AD191" s="24" t="inlineStr">
        <is>
          <t>2026-09-13T04:32:16.959831Z</t>
        </is>
      </c>
      <c r="AE191" s="31" t="inlineStr">
        <is>
          <t>CFB Joint Model (negative_binomial): proj score Ohio State Buckeyes 28.3 @ Texas Longhorns 28.6 (Margin +0.3). Possessions: 12.4, HFA: +2.8 pts.</t>
        </is>
      </c>
      <c r="AF191" s="31" t="inlineStr">
        <is>
          <t>College football model; multi-market (moneyline, spread, total).</t>
        </is>
      </c>
      <c r="AG191" s="24" t="inlineStr">
        <is>
          <t>not_applicable</t>
        </is>
      </c>
      <c r="AH191" s="24" t="n"/>
      <c r="AI191" s="31" t="n"/>
      <c r="AJ191" s="31" t="n"/>
      <c r="AK191" s="24" t="inlineStr">
        <is>
          <t>paper_call</t>
        </is>
      </c>
      <c r="AL191" s="26" t="n">
        <v>4</v>
      </c>
      <c r="AM191" s="24" t="inlineStr">
        <is>
          <t>RESEARCH_OBSERVATION</t>
        </is>
      </c>
      <c r="AN191" s="24" t="inlineStr">
        <is>
          <t>CALL</t>
        </is>
      </c>
      <c r="AO191" s="24" t="inlineStr">
        <is>
          <t>PAPER_CALL_LOW_EDGE</t>
        </is>
      </c>
      <c r="AP191" s="24" t="inlineStr">
        <is>
          <t>Ohio State Buckeyes</t>
        </is>
      </c>
      <c r="AQ191" s="24" t="inlineStr">
        <is>
          <t>Ohio State Buckeyes</t>
        </is>
      </c>
      <c r="AR191" s="24" t="inlineStr">
        <is>
          <t>Ohio State Buckeyes</t>
        </is>
      </c>
      <c r="AS191" s="24" t="inlineStr">
        <is>
          <t>Texas Longhorns</t>
        </is>
      </c>
      <c r="AT191" s="24" t="inlineStr">
        <is>
          <t>Texas Longhorns</t>
        </is>
      </c>
      <c r="AU191" s="24" t="inlineStr">
        <is>
          <t>Texas Longhorns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1d168f11d221cd3c</t>
        </is>
      </c>
      <c r="BB191" s="24" t="inlineStr">
        <is>
          <t>cfb_key_number_engine</t>
        </is>
      </c>
      <c r="BC191" s="24" t="inlineStr">
        <is>
          <t>college-football-v1</t>
        </is>
      </c>
      <c r="BD191" s="24" t="inlineStr">
        <is>
          <t>1d168f11d221cd3c</t>
        </is>
      </c>
      <c r="BE191" s="24" t="inlineStr">
        <is>
          <t>cfb-v1</t>
        </is>
      </c>
      <c r="BF191" s="24" t="inlineStr">
        <is>
          <t>1</t>
        </is>
      </c>
      <c r="BG191" s="24" t="inlineStr">
        <is>
          <t>1d168f11d221cd3c</t>
        </is>
      </c>
      <c r="BH191" s="24" t="inlineStr">
        <is>
          <t>2026-09-12T22:41:47.836186+00:00</t>
        </is>
      </c>
      <c r="BI191" s="24" t="inlineStr">
        <is>
          <t>["same_event","same_team_same_day","same_league_same_day"]</t>
        </is>
      </c>
      <c r="BJ191" s="25" t="n"/>
      <c r="BK191" s="26" t="n">
        <v>-125</v>
      </c>
      <c r="BL191" s="27" t="n">
        <v>1.8</v>
      </c>
      <c r="BM191" s="28" t="n">
        <v>0.555556</v>
      </c>
      <c r="BN191" s="28" t="n"/>
      <c r="BO191" s="28" t="n"/>
      <c r="BP191" s="25" t="n"/>
      <c r="BQ191" s="27" t="n"/>
      <c r="BR191" s="28" t="n"/>
      <c r="BS191" s="28" t="n"/>
      <c r="BT191" s="28" t="n"/>
      <c r="BU191" s="25" t="n"/>
      <c r="BV191" s="29" t="n"/>
      <c r="BW191" s="24" t="n"/>
      <c r="BX191" s="30" t="n">
        <v>1</v>
      </c>
      <c r="BY191" s="27" t="n">
        <v>0.8</v>
      </c>
      <c r="BZ191" s="24" t="inlineStr">
        <is>
          <t>2026-09-13T04:32:16.959831Z</t>
        </is>
      </c>
      <c r="CA191" s="31" t="inlineStr">
        <is>
          <t>fixed one-unit hypothetical scoring; no real exposure or execution</t>
        </is>
      </c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False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inlineStr">
        <is>
          <t>0.555556</t>
        </is>
      </c>
      <c r="DK191" s="24" t="n"/>
      <c r="DL191" s="24" t="n"/>
      <c r="DM191" s="24" t="n"/>
      <c r="DN191" s="24" t="n"/>
      <c r="DO191" s="24" t="n"/>
      <c r="DP191" s="24" t="n"/>
      <c r="DQ191" s="24" t="inlineStr">
        <is>
          <t>{"artifact_hash": "1d168f11d221cd3c", "event_id": "401856682", "event_start_utc": "2026-09-12T23:30Z", "features": {"altitude_fatigue_penalty": 0.0, "away_team": "Ohio State Buckeyes", "efficiency_gap": 0.107, "elo_away": 1832.8, "elo_home": 1771.9, "elo_home_win_prob": 0.5059, "event_id": "401856682", "game_start_utc": "2026-09-12T23:30Z", "home_field_advantage_points": 2.8, "home_team": "Texas Longhorns", "is_dome": false, "is_fbs_vs_fcs": false, "is_neutral_site": false, "projected_away_points": 28.3, "projected_home_points": 28.6, "projected_margin_home": 0.3, "projected_possessions": 12.4, "projected_total": 57.0, "stadium_elevation_ft": 500, "travel_distance_miles": 1066.0, "uncertainty": 0.165, "weather_total_adjustment": 0.0}, "historical_source_observation_times_verified": false, "inference_inputs": {"engine_source_sha256": "449ba2f0e86fa9c445730076a0e0bf100fb4914620be53c75c6f3bfe24298f3f", "mu_away": 28.3,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205818764069917451904161480718258197936}, "uinteger": 0}, "spread_home_line": -1.5, "total_line": 50.5}, "market_type": "moneyline", "model_version": "college-football-v1", "observed_at_utc": "2026-09-12T22:41:47.836186+00:00", "probabilities": {"away": 0.495861, "home": 0.504139}, "replay_scope": "Full precision score means, exact engine parameters and original RNG state; upstream feature construction not certified.", "schema": "cfb-joint-replay-v1", "snapshot_hash": "124ecd6aaa194581cd2c919e59ff61c31fa4565352c8c641af005fb79c335281", "sport": "NCAAF"}</t>
        </is>
      </c>
    </row>
    <row r="192" ht="36" customHeight="1">
      <c r="A192" s="24" t="inlineStr">
        <is>
          <t>416a52e4ba854b99</t>
        </is>
      </c>
      <c r="B192" s="24" t="inlineStr">
        <is>
          <t>2026-09-12T22:41:47.836186Z</t>
        </is>
      </c>
      <c r="C192" s="24" t="inlineStr">
        <is>
          <t>2026-09-12T23:30Z</t>
        </is>
      </c>
      <c r="D192" s="24" t="inlineStr">
        <is>
          <t>401856682</t>
        </is>
      </c>
      <c r="E192" s="24" t="inlineStr">
        <is>
          <t>NCAAF</t>
        </is>
      </c>
      <c r="F192" s="24" t="inlineStr">
        <is>
          <t>Ohio State Buckeyes</t>
        </is>
      </c>
      <c r="G192" s="24" t="inlineStr">
        <is>
          <t>Texas Longhorns</t>
        </is>
      </c>
      <c r="H192" s="24" t="inlineStr">
        <is>
          <t>spread</t>
        </is>
      </c>
      <c r="I192" s="24" t="inlineStr">
        <is>
          <t>away</t>
        </is>
      </c>
      <c r="J192" s="25" t="n">
        <v>1.5</v>
      </c>
      <c r="K192" s="24" t="inlineStr">
        <is>
          <t>espn_consensus</t>
        </is>
      </c>
      <c r="L192" s="26" t="n">
        <v>-105</v>
      </c>
      <c r="M192" s="27" t="n">
        <v>1.952381</v>
      </c>
      <c r="N192" s="28" t="n">
        <v>0.512195</v>
      </c>
      <c r="O192" s="28" t="n">
        <v>0.535</v>
      </c>
      <c r="P192" s="28" t="n">
        <v>0.165</v>
      </c>
      <c r="Q192" s="28" t="n">
        <v>0.022805</v>
      </c>
      <c r="R192" s="26" t="n">
        <v>0</v>
      </c>
      <c r="S192" s="29" t="n">
        <v>1</v>
      </c>
      <c r="T192" s="24" t="inlineStr">
        <is>
          <t>cfb-spread-v1</t>
        </is>
      </c>
      <c r="U192" s="24" t="inlineStr">
        <is>
          <t>settled</t>
        </is>
      </c>
      <c r="V192" s="24" t="inlineStr">
        <is>
          <t>win</t>
        </is>
      </c>
      <c r="W192" s="26" t="n">
        <v>23</v>
      </c>
      <c r="X192" s="26" t="n">
        <v>24</v>
      </c>
      <c r="Y192" s="25" t="n"/>
      <c r="Z192" s="26" t="n"/>
      <c r="AA192" s="28" t="n"/>
      <c r="AB192" s="28" t="n"/>
      <c r="AC192" s="30" t="n">
        <v>0.9524</v>
      </c>
      <c r="AD192" s="24" t="inlineStr">
        <is>
          <t>2026-09-13T04:32:17.306877Z</t>
        </is>
      </c>
      <c r="AE192" s="31" t="inlineStr">
        <is>
          <t>Projected home margin +0.3 pts. Spread: Home -1.5 / Away +1.5 -&gt; P(Away cover)=0.535, P(Home cover)=0.465, P(Push)=0.000.</t>
        </is>
      </c>
      <c r="AF192" s="31" t="inlineStr">
        <is>
          <t>College football model; multi-market (moneyline, spread, total).</t>
        </is>
      </c>
      <c r="AG192" s="24" t="inlineStr">
        <is>
          <t>not_applicable</t>
        </is>
      </c>
      <c r="AH192" s="24" t="n"/>
      <c r="AI192" s="31" t="n"/>
      <c r="AJ192" s="31" t="n"/>
      <c r="AK192" s="24" t="inlineStr">
        <is>
          <t>paper_call</t>
        </is>
      </c>
      <c r="AL192" s="26" t="n">
        <v>4</v>
      </c>
      <c r="AM192" s="24" t="inlineStr">
        <is>
          <t>RESEARCH_OBSERVATION</t>
        </is>
      </c>
      <c r="AN192" s="24" t="inlineStr">
        <is>
          <t>CALL</t>
        </is>
      </c>
      <c r="AO192" s="24" t="inlineStr">
        <is>
          <t>PAPER_CALL_LOW_EDGE</t>
        </is>
      </c>
      <c r="AP192" s="24" t="inlineStr">
        <is>
          <t>Ohio State Buckeyes</t>
        </is>
      </c>
      <c r="AQ192" s="24" t="inlineStr">
        <is>
          <t>Ohio State Buckeyes</t>
        </is>
      </c>
      <c r="AR192" s="24" t="inlineStr">
        <is>
          <t>Ohio State Buckeyes</t>
        </is>
      </c>
      <c r="AS192" s="24" t="inlineStr">
        <is>
          <t>Texas Longhorns</t>
        </is>
      </c>
      <c r="AT192" s="24" t="inlineStr">
        <is>
          <t>Texas Longhorns</t>
        </is>
      </c>
      <c r="AU192" s="24" t="inlineStr">
        <is>
          <t>Texas Longhorns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1d168f11d221cd3c</t>
        </is>
      </c>
      <c r="BB192" s="24" t="inlineStr">
        <is>
          <t>cfb_key_number_engine</t>
        </is>
      </c>
      <c r="BC192" s="24" t="inlineStr">
        <is>
          <t>cfb-spread-v1</t>
        </is>
      </c>
      <c r="BD192" s="24" t="inlineStr">
        <is>
          <t>1d168f11d221cd3c</t>
        </is>
      </c>
      <c r="BE192" s="24" t="inlineStr">
        <is>
          <t>cfb-v1</t>
        </is>
      </c>
      <c r="BF192" s="24" t="inlineStr">
        <is>
          <t>1</t>
        </is>
      </c>
      <c r="BG192" s="24" t="inlineStr">
        <is>
          <t>1d168f11d221cd3c</t>
        </is>
      </c>
      <c r="BH192" s="24" t="inlineStr">
        <is>
          <t>2026-09-12T22:41:47.836186+00:00</t>
        </is>
      </c>
      <c r="BI192" s="24" t="inlineStr">
        <is>
          <t>["same_event","same_team_same_day","same_league_same_day"]</t>
        </is>
      </c>
      <c r="BJ192" s="25" t="n">
        <v>1.5</v>
      </c>
      <c r="BK192" s="26" t="n">
        <v>-105</v>
      </c>
      <c r="BL192" s="27" t="n">
        <v>1.952381</v>
      </c>
      <c r="BM192" s="28" t="n">
        <v>0.512195</v>
      </c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>
        <v>1</v>
      </c>
      <c r="BY192" s="27" t="n">
        <v>0.952381</v>
      </c>
      <c r="BZ192" s="24" t="inlineStr">
        <is>
          <t>2026-09-13T04:32:17.306877Z</t>
        </is>
      </c>
      <c r="CA192" s="31" t="inlineStr">
        <is>
          <t>fixed one-unit hypothetical scoring; no real exposure or execution</t>
        </is>
      </c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True</t>
        </is>
      </c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n"/>
      <c r="DE192" s="24" t="n"/>
      <c r="DF192" s="24" t="n"/>
      <c r="DG192" s="24" t="n"/>
      <c r="DH192" s="24" t="n"/>
      <c r="DI192" s="24" t="n"/>
      <c r="DJ192" s="24" t="inlineStr">
        <is>
          <t>0.512195</t>
        </is>
      </c>
      <c r="DK192" s="24" t="n"/>
      <c r="DL192" s="24" t="n"/>
      <c r="DM192" s="24" t="n"/>
      <c r="DN192" s="24" t="n"/>
      <c r="DO192" s="24" t="n"/>
      <c r="DP192" s="24" t="n"/>
      <c r="DQ192" s="24" t="inlineStr">
        <is>
          <t>{"artifact_hash": "1d168f11d221cd3c", "event_id": "401856682", "event_start_utc": "2026-09-12T23:30Z", "features": {"altitude_fatigue_penalty": 0.0, "away_team": "Ohio State Buckeyes", "efficiency_gap": 0.107, "elo_away": 1832.8, "elo_home": 1771.9, "elo_home_win_prob": 0.5059, "event_id": "401856682", "game_start_utc": "2026-09-12T23:30Z", "home_field_advantage_points": 2.8, "home_team": "Texas Longhorns", "is_dome": false, "is_fbs_vs_fcs": false, "is_neutral_site": false, "projected_away_points": 28.3, "projected_home_points": 28.6, "projected_margin_home": 0.3, "projected_possessions": 12.4, "projected_total": 57.0, "stadium_elevation_ft": 500, "travel_distance_miles": 1066.0, "uncertainty": 0.165, "weather_total_adjustment": 0.0}, "historical_source_observation_times_verified": false, "inference_inputs": {"engine_source_sha256": "449ba2f0e86fa9c445730076a0e0bf100fb4914620be53c75c6f3bfe24298f3f", "mu_away": 28.3,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205818764069917451904161480718258197936}, "uinteger": 0}, "spread_home_line": -1.5, "total_line": 50.5}, "market_type": "spread", "model_version": "cfb-spread-v1", "observed_at_utc": "2026-09-12T22:41:47.836186+00:00", "probabilities": {"away": 0.535, "home": 0.465, "push": 0.0}, "replay_scope": "Full precision score means, exact engine parameters and original RNG state; upstream feature construction not certified.", "schema": "cfb-joint-replay-v1", "snapshot_hash": "d4e646bdccd50765ea1be5e3d3b8bc0873e7987f3081f7d04cec3f3c54f3a4f2", "sport": "NCAAF"}</t>
        </is>
      </c>
    </row>
    <row r="193" ht="36" customHeight="1">
      <c r="A193" s="24" t="inlineStr">
        <is>
          <t>300c11914f5d421c</t>
        </is>
      </c>
      <c r="B193" s="24" t="inlineStr">
        <is>
          <t>2026-09-12T22:41:47.836186Z</t>
        </is>
      </c>
      <c r="C193" s="24" t="inlineStr">
        <is>
          <t>2026-09-12T23:30Z</t>
        </is>
      </c>
      <c r="D193" s="24" t="inlineStr">
        <is>
          <t>401856682</t>
        </is>
      </c>
      <c r="E193" s="24" t="inlineStr">
        <is>
          <t>NCAAF</t>
        </is>
      </c>
      <c r="F193" s="24" t="inlineStr">
        <is>
          <t>Ohio State Buckeyes</t>
        </is>
      </c>
      <c r="G193" s="24" t="inlineStr">
        <is>
          <t>Texas Longhorns</t>
        </is>
      </c>
      <c r="H193" s="24" t="inlineStr">
        <is>
          <t>total</t>
        </is>
      </c>
      <c r="I193" s="24" t="inlineStr">
        <is>
          <t>over</t>
        </is>
      </c>
      <c r="J193" s="25" t="n">
        <v>50.5</v>
      </c>
      <c r="K193" s="24" t="inlineStr">
        <is>
          <t>espn_consensus</t>
        </is>
      </c>
      <c r="L193" s="26" t="n">
        <v>-115</v>
      </c>
      <c r="M193" s="27" t="n">
        <v>1.869565</v>
      </c>
      <c r="N193" s="28" t="n">
        <v>0.534884</v>
      </c>
      <c r="O193" s="28" t="n">
        <v>0.609267</v>
      </c>
      <c r="P193" s="28" t="n">
        <v>0.165</v>
      </c>
      <c r="Q193" s="28" t="n">
        <v>0.074383</v>
      </c>
      <c r="R193" s="26" t="n">
        <v>0</v>
      </c>
      <c r="S193" s="29" t="n">
        <v>1</v>
      </c>
      <c r="T193" s="24" t="inlineStr">
        <is>
          <t>cfb-total-v1</t>
        </is>
      </c>
      <c r="U193" s="24" t="inlineStr">
        <is>
          <t>settled</t>
        </is>
      </c>
      <c r="V193" s="24" t="inlineStr">
        <is>
          <t>loss</t>
        </is>
      </c>
      <c r="W193" s="26" t="n">
        <v>23</v>
      </c>
      <c r="X193" s="26" t="n">
        <v>24</v>
      </c>
      <c r="Y193" s="25" t="n"/>
      <c r="Z193" s="26" t="n"/>
      <c r="AA193" s="28" t="n"/>
      <c r="AB193" s="28" t="n"/>
      <c r="AC193" s="30" t="n">
        <v>-1</v>
      </c>
      <c r="AD193" s="24" t="inlineStr">
        <is>
          <t>2026-09-13T04:32:17.680904Z</t>
        </is>
      </c>
      <c r="AE193" s="31" t="inlineStr">
        <is>
          <t>Projected total 57.0 pts (Weather adj: +0.0 pts). Total line 50.5 -&gt; P(Over)=0.609, P(Under)=0.391, P(Push)=0.000.</t>
        </is>
      </c>
      <c r="AF193" s="31" t="inlineStr">
        <is>
          <t>College football model; multi-market (moneyline, spread, total).</t>
        </is>
      </c>
      <c r="AG193" s="24" t="inlineStr">
        <is>
          <t>review_required</t>
        </is>
      </c>
      <c r="AH193" s="24" t="n"/>
      <c r="AI193" s="31" t="n"/>
      <c r="AJ193" s="31" t="n"/>
      <c r="AK193" s="24" t="inlineStr">
        <is>
          <t>model_qualified</t>
        </is>
      </c>
      <c r="AL193" s="26" t="n">
        <v>4</v>
      </c>
      <c r="AM193" s="24" t="inlineStr">
        <is>
          <t>QUALIFIED_SHADOW_CALL</t>
        </is>
      </c>
      <c r="AN193" s="24" t="inlineStr">
        <is>
          <t>CALL</t>
        </is>
      </c>
      <c r="AO193" s="24" t="inlineStr">
        <is>
          <t>QUALIFIED</t>
        </is>
      </c>
      <c r="AP193" s="24" t="inlineStr">
        <is>
          <t>Ohio State Buckeyes</t>
        </is>
      </c>
      <c r="AQ193" s="24" t="inlineStr">
        <is>
          <t>Ohio State Buckeyes</t>
        </is>
      </c>
      <c r="AR193" s="24" t="inlineStr">
        <is>
          <t>Ohio State Buckeyes</t>
        </is>
      </c>
      <c r="AS193" s="24" t="inlineStr">
        <is>
          <t>Texas Longhorns</t>
        </is>
      </c>
      <c r="AT193" s="24" t="inlineStr">
        <is>
          <t>Texas Longhorns</t>
        </is>
      </c>
      <c r="AU193" s="24" t="inlineStr">
        <is>
          <t>Texas Longhorns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1d168f11d221cd3c</t>
        </is>
      </c>
      <c r="BB193" s="24" t="inlineStr">
        <is>
          <t>cfb_key_number_engine</t>
        </is>
      </c>
      <c r="BC193" s="24" t="inlineStr">
        <is>
          <t>cfb-total-v1</t>
        </is>
      </c>
      <c r="BD193" s="24" t="inlineStr">
        <is>
          <t>1d168f11d221cd3c</t>
        </is>
      </c>
      <c r="BE193" s="24" t="inlineStr">
        <is>
          <t>cfb-v1</t>
        </is>
      </c>
      <c r="BF193" s="24" t="inlineStr">
        <is>
          <t>1</t>
        </is>
      </c>
      <c r="BG193" s="24" t="inlineStr">
        <is>
          <t>1d168f11d221cd3c</t>
        </is>
      </c>
      <c r="BH193" s="24" t="inlineStr">
        <is>
          <t>2026-09-12T22:41:47.836186+00:00</t>
        </is>
      </c>
      <c r="BI193" s="24" t="inlineStr">
        <is>
          <t>["same_event","same_team_same_day","same_league_same_day"]</t>
        </is>
      </c>
      <c r="BJ193" s="25" t="n">
        <v>50.5</v>
      </c>
      <c r="BK193" s="26" t="n">
        <v>-115</v>
      </c>
      <c r="BL193" s="27" t="n">
        <v>1.869565</v>
      </c>
      <c r="BM193" s="28" t="n">
        <v>0.534884</v>
      </c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True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inlineStr">
        <is>
          <t>0.534884</t>
        </is>
      </c>
      <c r="DK193" s="24" t="n"/>
      <c r="DL193" s="24" t="n"/>
      <c r="DM193" s="24" t="n"/>
      <c r="DN193" s="24" t="n"/>
      <c r="DO193" s="24" t="n"/>
      <c r="DP193" s="24" t="n"/>
      <c r="DQ193" s="24" t="inlineStr">
        <is>
          <t>{"artifact_hash": "1d168f11d221cd3c", "event_id": "401856682", "event_start_utc": "2026-09-12T23:30Z", "features": {"altitude_fatigue_penalty": 0.0, "away_team": "Ohio State Buckeyes", "efficiency_gap": 0.107, "elo_away": 1832.8, "elo_home": 1771.9, "elo_home_win_prob": 0.5059, "event_id": "401856682", "game_start_utc": "2026-09-12T23:30Z", "home_field_advantage_points": 2.8, "home_team": "Texas Longhorns", "is_dome": false, "is_fbs_vs_fcs": false, "is_neutral_site": false, "projected_away_points": 28.3, "projected_home_points": 28.6, "projected_margin_home": 0.3, "projected_possessions": 12.4, "projected_total": 57.0, "stadium_elevation_ft": 500, "travel_distance_miles": 1066.0, "uncertainty": 0.165, "weather_total_adjustment": 0.0}, "historical_source_observation_times_verified": false, "inference_inputs": {"engine_source_sha256": "449ba2f0e86fa9c445730076a0e0bf100fb4914620be53c75c6f3bfe24298f3f", "mu_away": 28.3,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205818764069917451904161480718258197936}, "uinteger": 0}, "spread_home_line": -1.5, "total_line": 50.5}, "market_type": "total", "model_version": "cfb-total-v1", "observed_at_utc": "2026-09-12T22:41:47.836186+00:00", "probabilities": {"over": 0.609267, "push": 0.0, "under": 0.390733}, "replay_scope": "Full precision score means, exact engine parameters and original RNG state; upstream feature construction not certified.", "schema": "cfb-joint-replay-v1", "snapshot_hash": "82707eeaf16460ad77a0a89240006d285996bc109eaa86481d6985267a42a1e7", "sport": "NCAAF"}</t>
        </is>
      </c>
    </row>
    <row r="194" ht="36" customHeight="1">
      <c r="A194" s="24" t="inlineStr">
        <is>
          <t>f0f3698b832e4207</t>
        </is>
      </c>
      <c r="B194" s="24" t="inlineStr">
        <is>
          <t>2026-09-12T22:41:47.836186Z</t>
        </is>
      </c>
      <c r="C194" s="24" t="inlineStr">
        <is>
          <t>2026-09-12T23:30Z</t>
        </is>
      </c>
      <c r="D194" s="24" t="inlineStr">
        <is>
          <t>401867796</t>
        </is>
      </c>
      <c r="E194" s="24" t="inlineStr">
        <is>
          <t>NCAAF</t>
        </is>
      </c>
      <c r="F194" s="24" t="inlineStr">
        <is>
          <t>Louisiana Tech Bulldogs</t>
        </is>
      </c>
      <c r="G194" s="24" t="inlineStr">
        <is>
          <t>LSU Tigers</t>
        </is>
      </c>
      <c r="H194" s="24" t="inlineStr">
        <is>
          <t>moneyline</t>
        </is>
      </c>
      <c r="I194" s="24" t="inlineStr">
        <is>
          <t>home</t>
        </is>
      </c>
      <c r="J194" s="25" t="n"/>
      <c r="K194" s="24" t="inlineStr">
        <is>
          <t>espn_consensus</t>
        </is>
      </c>
      <c r="L194" s="26" t="n">
        <v>-20001</v>
      </c>
      <c r="M194" s="27" t="n">
        <v>1.005</v>
      </c>
      <c r="N194" s="28" t="n">
        <v>0.995025</v>
      </c>
      <c r="O194" s="28" t="n">
        <v>0.536237</v>
      </c>
      <c r="P194" s="28" t="n">
        <v>0.18</v>
      </c>
      <c r="Q194" s="28" t="n">
        <v>-0.458788</v>
      </c>
      <c r="R194" s="26" t="n">
        <v>0</v>
      </c>
      <c r="S194" s="29" t="n">
        <v>1</v>
      </c>
      <c r="T194" s="24" t="inlineStr">
        <is>
          <t>college-football-v1</t>
        </is>
      </c>
      <c r="U194" s="24" t="inlineStr">
        <is>
          <t>settled</t>
        </is>
      </c>
      <c r="V194" s="24" t="inlineStr">
        <is>
          <t>win</t>
        </is>
      </c>
      <c r="W194" s="26" t="n">
        <v>14</v>
      </c>
      <c r="X194" s="26" t="n">
        <v>45</v>
      </c>
      <c r="Y194" s="25" t="n"/>
      <c r="Z194" s="26" t="n"/>
      <c r="AA194" s="28" t="n"/>
      <c r="AB194" s="28" t="n"/>
      <c r="AC194" s="30" t="n">
        <v>0.005</v>
      </c>
      <c r="AD194" s="24" t="inlineStr">
        <is>
          <t>2026-09-13T04:32:18.060823Z</t>
        </is>
      </c>
      <c r="AE194" s="31" t="inlineStr">
        <is>
          <t>CFB Joint Model (negative_binomial): proj score Louisiana Tech Bulldogs 26.6 @ LSU Tigers 28.0 (Margin +1.3). Possessions: 12.4, HFA: +2.8 pts.</t>
        </is>
      </c>
      <c r="AF194" s="31" t="inlineStr">
        <is>
          <t>College football model; multi-market (moneyline, spread, total).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paper_call</t>
        </is>
      </c>
      <c r="AL194" s="26" t="n">
        <v>4</v>
      </c>
      <c r="AM194" s="24" t="inlineStr">
        <is>
          <t>RESEARCH_OBSERVATION</t>
        </is>
      </c>
      <c r="AN194" s="24" t="inlineStr">
        <is>
          <t>CALL</t>
        </is>
      </c>
      <c r="AO194" s="24" t="inlineStr">
        <is>
          <t>PAPER_CALL_LOW_EDGE</t>
        </is>
      </c>
      <c r="AP194" s="24" t="inlineStr">
        <is>
          <t>Louisiana Tech Bulldogs</t>
        </is>
      </c>
      <c r="AQ194" s="24" t="inlineStr">
        <is>
          <t>Louisiana Tech Bulldogs</t>
        </is>
      </c>
      <c r="AR194" s="24" t="inlineStr">
        <is>
          <t>Louisiana Tech Bulldogs</t>
        </is>
      </c>
      <c r="AS194" s="24" t="inlineStr">
        <is>
          <t>LSU Tigers</t>
        </is>
      </c>
      <c r="AT194" s="24" t="inlineStr">
        <is>
          <t>LSU Tigers</t>
        </is>
      </c>
      <c r="AU194" s="24" t="inlineStr">
        <is>
          <t>LSU Tigers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1d168f11d221cd3c</t>
        </is>
      </c>
      <c r="BB194" s="24" t="inlineStr">
        <is>
          <t>cfb_key_number_engine</t>
        </is>
      </c>
      <c r="BC194" s="24" t="inlineStr">
        <is>
          <t>college-football-v1</t>
        </is>
      </c>
      <c r="BD194" s="24" t="inlineStr">
        <is>
          <t>1d168f11d221cd3c</t>
        </is>
      </c>
      <c r="BE194" s="24" t="inlineStr">
        <is>
          <t>cfb-v1</t>
        </is>
      </c>
      <c r="BF194" s="24" t="inlineStr">
        <is>
          <t>1</t>
        </is>
      </c>
      <c r="BG194" s="24" t="inlineStr">
        <is>
          <t>1d168f11d221cd3c</t>
        </is>
      </c>
      <c r="BH194" s="24" t="inlineStr">
        <is>
          <t>2026-09-12T22:41:47.836186+00:00</t>
        </is>
      </c>
      <c r="BI194" s="24" t="inlineStr">
        <is>
          <t>["same_event","same_team_same_day","same_league_same_day"]</t>
        </is>
      </c>
      <c r="BJ194" s="25" t="n"/>
      <c r="BK194" s="26" t="n">
        <v>-20001</v>
      </c>
      <c r="BL194" s="27" t="n">
        <v>1.005</v>
      </c>
      <c r="BM194" s="28" t="n">
        <v>0.995025</v>
      </c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>
        <v>1</v>
      </c>
      <c r="BY194" s="27" t="n">
        <v>0.005</v>
      </c>
      <c r="BZ194" s="24" t="inlineStr">
        <is>
          <t>2026-09-13T04:32:18.060823Z</t>
        </is>
      </c>
      <c r="CA194" s="31" t="inlineStr">
        <is>
          <t>fixed one-unit hypothetical scoring; no real exposure or execution</t>
        </is>
      </c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False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inlineStr">
        <is>
          <t>0.995025</t>
        </is>
      </c>
      <c r="DK194" s="24" t="n"/>
      <c r="DL194" s="24" t="n"/>
      <c r="DM194" s="24" t="n"/>
      <c r="DN194" s="24" t="n"/>
      <c r="DO194" s="24" t="n"/>
      <c r="DP194" s="24" t="n"/>
      <c r="DQ194" s="24" t="inlineStr">
        <is>
          <t>{"artifact_hash": "1d168f11d221cd3c", "event_id": "401867796", "event_start_utc": "2026-09-12T23:30Z", "features": {"altitude_fatigue_penalty": 0.0, "away_team": "Louisiana Tech Bulldogs", "efficiency_gap": 2.786, "elo_away": 1581.7, "elo_home": 1549.1, "elo_home_win_prob": 0.5465, "event_id": "401867796", "game_start_utc": "2026-09-12T23:30Z", "home_field_advantage_points": 2.8, "home_team": "LSU Tigers", "is_dome": false, "is_fbs_vs_fcs": false, "is_neutral_site": false, "projected_away_points": 26.6, "projected_home_points": 28.0, "projected_margin_home": 1.3, "projected_possessions": 12.4, "projected_total": 54.6, "stadium_elevation_ft": 45, "travel_distance_miles": 170.0, "uncertainty": 0.18, "weather_total_adjustment": 0.0}, "historical_source_observation_times_verified": false, "inference_inputs": {"engine_source_sha256": "449ba2f0e86fa9c445730076a0e0bf100fb4914620be53c75c6f3bfe24298f3f", "mu_away": 26.6,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288018515262272538037031055467373763440}, "uinteger": 0}, "spread_home_line": -34.5, "total_line": 55.5}, "market_type": "moneyline", "model_version": "college-football-v1", "observed_at_utc": "2026-09-12T22:41:47.836186+00:00", "probabilities": {"away": 0.463763, "home": 0.536237}, "replay_scope": "Full precision score means, exact engine parameters and original RNG state; upstream feature construction not certified.", "schema": "cfb-joint-replay-v1", "snapshot_hash": "32d5bf2b1ac29d756dc9140660acb30549244872363ee67f2093202354ace984", "sport": "NCAAF"}</t>
        </is>
      </c>
    </row>
    <row r="195" ht="36" customHeight="1">
      <c r="A195" s="24" t="inlineStr">
        <is>
          <t>31c93f2caee34154</t>
        </is>
      </c>
      <c r="B195" s="24" t="inlineStr">
        <is>
          <t>2026-09-12T22:41:47.836186Z</t>
        </is>
      </c>
      <c r="C195" s="24" t="inlineStr">
        <is>
          <t>2026-09-12T23:30Z</t>
        </is>
      </c>
      <c r="D195" s="24" t="inlineStr">
        <is>
          <t>401867796</t>
        </is>
      </c>
      <c r="E195" s="24" t="inlineStr">
        <is>
          <t>NCAAF</t>
        </is>
      </c>
      <c r="F195" s="24" t="inlineStr">
        <is>
          <t>Louisiana Tech Bulldogs</t>
        </is>
      </c>
      <c r="G195" s="24" t="inlineStr">
        <is>
          <t>LSU Tigers</t>
        </is>
      </c>
      <c r="H195" s="24" t="inlineStr">
        <is>
          <t>spread</t>
        </is>
      </c>
      <c r="I195" s="24" t="inlineStr">
        <is>
          <t>away</t>
        </is>
      </c>
      <c r="J195" s="25" t="n">
        <v>34.5</v>
      </c>
      <c r="K195" s="24" t="inlineStr">
        <is>
          <t>espn_consensus</t>
        </is>
      </c>
      <c r="L195" s="26" t="n">
        <v>-102</v>
      </c>
      <c r="M195" s="27" t="n">
        <v>1.980392</v>
      </c>
      <c r="N195" s="28" t="n">
        <v>0.50495</v>
      </c>
      <c r="O195" s="28" t="n">
        <v>0.972</v>
      </c>
      <c r="P195" s="28" t="n">
        <v>0.18</v>
      </c>
      <c r="Q195" s="28" t="n">
        <v>0.46705</v>
      </c>
      <c r="R195" s="26" t="n">
        <v>100</v>
      </c>
      <c r="S195" s="29" t="n">
        <v>2</v>
      </c>
      <c r="T195" s="24" t="inlineStr">
        <is>
          <t>cfb-spread-v1</t>
        </is>
      </c>
      <c r="U195" s="24" t="inlineStr">
        <is>
          <t>settled</t>
        </is>
      </c>
      <c r="V195" s="24" t="inlineStr">
        <is>
          <t>win</t>
        </is>
      </c>
      <c r="W195" s="26" t="n">
        <v>14</v>
      </c>
      <c r="X195" s="26" t="n">
        <v>45</v>
      </c>
      <c r="Y195" s="25" t="n"/>
      <c r="Z195" s="26" t="n"/>
      <c r="AA195" s="28" t="n"/>
      <c r="AB195" s="28" t="n"/>
      <c r="AC195" s="30" t="n">
        <v>1.9608</v>
      </c>
      <c r="AD195" s="24" t="inlineStr">
        <is>
          <t>2026-09-13T04:32:18.417415Z</t>
        </is>
      </c>
      <c r="AE195" s="31" t="inlineStr">
        <is>
          <t>Projected home margin +1.3 pts. Spread: Home -34.5 / Away +34.5 -&gt; P(Away cover)=0.972, P(Home cover)=0.028, P(Push)=0.000.</t>
        </is>
      </c>
      <c r="AF195" s="31" t="inlineStr">
        <is>
          <t>College football model; multi-market (moneyline, spread, total).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model_qualified</t>
        </is>
      </c>
      <c r="AL195" s="26" t="n">
        <v>4</v>
      </c>
      <c r="AM195" s="24" t="inlineStr">
        <is>
          <t>QUALIFIED_SHADOW_CALL</t>
        </is>
      </c>
      <c r="AN195" s="24" t="inlineStr">
        <is>
          <t>CALL</t>
        </is>
      </c>
      <c r="AO195" s="24" t="inlineStr">
        <is>
          <t>QUALIFIED</t>
        </is>
      </c>
      <c r="AP195" s="24" t="inlineStr">
        <is>
          <t>Louisiana Tech Bulldogs</t>
        </is>
      </c>
      <c r="AQ195" s="24" t="inlineStr">
        <is>
          <t>Louisiana Tech Bulldogs</t>
        </is>
      </c>
      <c r="AR195" s="24" t="inlineStr">
        <is>
          <t>Louisiana Tech Bulldogs</t>
        </is>
      </c>
      <c r="AS195" s="24" t="inlineStr">
        <is>
          <t>LSU Tigers</t>
        </is>
      </c>
      <c r="AT195" s="24" t="inlineStr">
        <is>
          <t>LSU Tigers</t>
        </is>
      </c>
      <c r="AU195" s="24" t="inlineStr">
        <is>
          <t>LSU Tigers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1d168f11d221cd3c</t>
        </is>
      </c>
      <c r="BB195" s="24" t="inlineStr">
        <is>
          <t>cfb_key_number_engine</t>
        </is>
      </c>
      <c r="BC195" s="24" t="inlineStr">
        <is>
          <t>cfb-spread-v1</t>
        </is>
      </c>
      <c r="BD195" s="24" t="inlineStr">
        <is>
          <t>1d168f11d221cd3c</t>
        </is>
      </c>
      <c r="BE195" s="24" t="inlineStr">
        <is>
          <t>cfb-v1</t>
        </is>
      </c>
      <c r="BF195" s="24" t="inlineStr">
        <is>
          <t>1</t>
        </is>
      </c>
      <c r="BG195" s="24" t="inlineStr">
        <is>
          <t>1d168f11d221cd3c</t>
        </is>
      </c>
      <c r="BH195" s="24" t="inlineStr">
        <is>
          <t>2026-09-12T22:41:47.836186+00:00</t>
        </is>
      </c>
      <c r="BI195" s="24" t="inlineStr">
        <is>
          <t>["same_event","same_team_same_day","same_league_same_day"]</t>
        </is>
      </c>
      <c r="BJ195" s="25" t="n">
        <v>34.5</v>
      </c>
      <c r="BK195" s="26" t="n">
        <v>-102</v>
      </c>
      <c r="BL195" s="27" t="n">
        <v>1.980392</v>
      </c>
      <c r="BM195" s="28" t="n">
        <v>0.50495</v>
      </c>
      <c r="BN195" s="28" t="n"/>
      <c r="BO195" s="28" t="n"/>
      <c r="BP195" s="25" t="n"/>
      <c r="BQ195" s="27" t="n"/>
      <c r="BR195" s="28" t="n"/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True</t>
        </is>
      </c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n"/>
      <c r="DE195" s="24" t="n"/>
      <c r="DF195" s="24" t="n"/>
      <c r="DG195" s="24" t="n"/>
      <c r="DH195" s="24" t="n"/>
      <c r="DI195" s="24" t="n"/>
      <c r="DJ195" s="24" t="inlineStr">
        <is>
          <t>0.50495</t>
        </is>
      </c>
      <c r="DK195" s="24" t="n"/>
      <c r="DL195" s="24" t="n"/>
      <c r="DM195" s="24" t="n"/>
      <c r="DN195" s="24" t="n"/>
      <c r="DO195" s="24" t="n"/>
      <c r="DP195" s="24" t="n"/>
      <c r="DQ195" s="24" t="inlineStr">
        <is>
          <t>{"artifact_hash": "1d168f11d221cd3c", "event_id": "401867796", "event_start_utc": "2026-09-12T23:30Z", "features": {"altitude_fatigue_penalty": 0.0, "away_team": "Louisiana Tech Bulldogs", "efficiency_gap": 2.786, "elo_away": 1581.7, "elo_home": 1549.1, "elo_home_win_prob": 0.5465, "event_id": "401867796", "game_start_utc": "2026-09-12T23:30Z", "home_field_advantage_points": 2.8, "home_team": "LSU Tigers", "is_dome": false, "is_fbs_vs_fcs": false, "is_neutral_site": false, "projected_away_points": 26.6, "projected_home_points": 28.0, "projected_margin_home": 1.3, "projected_possessions": 12.4, "projected_total": 54.6, "stadium_elevation_ft": 45, "travel_distance_miles": 170.0, "uncertainty": 0.18, "weather_total_adjustment": 0.0}, "historical_source_observation_times_verified": false, "inference_inputs": {"engine_source_sha256": "449ba2f0e86fa9c445730076a0e0bf100fb4914620be53c75c6f3bfe24298f3f", "mu_away": 26.6,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288018515262272538037031055467373763440}, "uinteger": 0}, "spread_home_line": -34.5, "total_line": 55.5}, "market_type": "spread", "model_version": "cfb-spread-v1", "observed_at_utc": "2026-09-12T22:41:47.836186+00:00", "probabilities": {"away": 0.972, "home": 0.028, "push": 0.0}, "replay_scope": "Full precision score means, exact engine parameters and original RNG state; upstream feature construction not certified.", "schema": "cfb-joint-replay-v1", "snapshot_hash": "932d04628e0d51aef83737d5fddb42623987259b4729aa0360380ff2dff7d0eb", "sport": "NCAAF"}</t>
        </is>
      </c>
    </row>
    <row r="196" ht="36" customHeight="1">
      <c r="A196" s="24" t="inlineStr">
        <is>
          <t>42e79f22e7014421</t>
        </is>
      </c>
      <c r="B196" s="24" t="inlineStr">
        <is>
          <t>2026-09-12T22:41:47.836186Z</t>
        </is>
      </c>
      <c r="C196" s="24" t="inlineStr">
        <is>
          <t>2026-09-12T23:30Z</t>
        </is>
      </c>
      <c r="D196" s="24" t="inlineStr">
        <is>
          <t>401867796</t>
        </is>
      </c>
      <c r="E196" s="24" t="inlineStr">
        <is>
          <t>NCAAF</t>
        </is>
      </c>
      <c r="F196" s="24" t="inlineStr">
        <is>
          <t>Louisiana Tech Bulldogs</t>
        </is>
      </c>
      <c r="G196" s="24" t="inlineStr">
        <is>
          <t>LSU Tigers</t>
        </is>
      </c>
      <c r="H196" s="24" t="inlineStr">
        <is>
          <t>total</t>
        </is>
      </c>
      <c r="I196" s="24" t="inlineStr">
        <is>
          <t>under</t>
        </is>
      </c>
      <c r="J196" s="25" t="n">
        <v>55.5</v>
      </c>
      <c r="K196" s="24" t="inlineStr">
        <is>
          <t>espn_consensus</t>
        </is>
      </c>
      <c r="L196" s="26" t="n">
        <v>-118</v>
      </c>
      <c r="M196" s="27" t="n">
        <v>1.847458</v>
      </c>
      <c r="N196" s="28" t="n">
        <v>0.541284</v>
      </c>
      <c r="O196" s="28" t="n">
        <v>0.545867</v>
      </c>
      <c r="P196" s="28" t="n">
        <v>0.18</v>
      </c>
      <c r="Q196" s="28" t="n">
        <v>0.004583</v>
      </c>
      <c r="R196" s="26" t="n">
        <v>0</v>
      </c>
      <c r="S196" s="29" t="n">
        <v>1</v>
      </c>
      <c r="T196" s="24" t="inlineStr">
        <is>
          <t>cfb-total-v1</t>
        </is>
      </c>
      <c r="U196" s="24" t="inlineStr">
        <is>
          <t>settled</t>
        </is>
      </c>
      <c r="V196" s="24" t="inlineStr">
        <is>
          <t>loss</t>
        </is>
      </c>
      <c r="W196" s="26" t="n">
        <v>14</v>
      </c>
      <c r="X196" s="26" t="n">
        <v>45</v>
      </c>
      <c r="Y196" s="25" t="n"/>
      <c r="Z196" s="26" t="n"/>
      <c r="AA196" s="28" t="n"/>
      <c r="AB196" s="28" t="n"/>
      <c r="AC196" s="30" t="n">
        <v>-1</v>
      </c>
      <c r="AD196" s="24" t="inlineStr">
        <is>
          <t>2026-09-13T04:32:18.924415Z</t>
        </is>
      </c>
      <c r="AE196" s="31" t="inlineStr">
        <is>
          <t>Projected total 54.6 pts (Weather adj: +0.0 pts). Total line 55.5 -&gt; P(Over)=0.454, P(Under)=0.546, P(Push)=0.000.</t>
        </is>
      </c>
      <c r="AF196" s="31" t="inlineStr">
        <is>
          <t>College football model; multi-market (moneyline, spread, total).</t>
        </is>
      </c>
      <c r="AG196" s="24" t="inlineStr">
        <is>
          <t>review_required</t>
        </is>
      </c>
      <c r="AH196" s="24" t="n"/>
      <c r="AI196" s="31" t="n"/>
      <c r="AJ196" s="31" t="n"/>
      <c r="AK196" s="24" t="inlineStr">
        <is>
          <t>paper_call</t>
        </is>
      </c>
      <c r="AL196" s="26" t="n">
        <v>4</v>
      </c>
      <c r="AM196" s="24" t="inlineStr">
        <is>
          <t>RESEARCH_OBSERVATION</t>
        </is>
      </c>
      <c r="AN196" s="24" t="inlineStr">
        <is>
          <t>CALL</t>
        </is>
      </c>
      <c r="AO196" s="24" t="inlineStr">
        <is>
          <t>PAPER_CALL_LOW_EDGE</t>
        </is>
      </c>
      <c r="AP196" s="24" t="inlineStr">
        <is>
          <t>Louisiana Tech Bulldogs</t>
        </is>
      </c>
      <c r="AQ196" s="24" t="inlineStr">
        <is>
          <t>Louisiana Tech Bulldogs</t>
        </is>
      </c>
      <c r="AR196" s="24" t="inlineStr">
        <is>
          <t>Louisiana Tech Bulldogs</t>
        </is>
      </c>
      <c r="AS196" s="24" t="inlineStr">
        <is>
          <t>LSU Tigers</t>
        </is>
      </c>
      <c r="AT196" s="24" t="inlineStr">
        <is>
          <t>LSU Tigers</t>
        </is>
      </c>
      <c r="AU196" s="24" t="inlineStr">
        <is>
          <t>LSU Tigers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1d168f11d221cd3c</t>
        </is>
      </c>
      <c r="BB196" s="24" t="inlineStr">
        <is>
          <t>cfb_key_number_engine</t>
        </is>
      </c>
      <c r="BC196" s="24" t="inlineStr">
        <is>
          <t>cfb-total-v1</t>
        </is>
      </c>
      <c r="BD196" s="24" t="inlineStr">
        <is>
          <t>1d168f11d221cd3c</t>
        </is>
      </c>
      <c r="BE196" s="24" t="inlineStr">
        <is>
          <t>cfb-v1</t>
        </is>
      </c>
      <c r="BF196" s="24" t="inlineStr">
        <is>
          <t>1</t>
        </is>
      </c>
      <c r="BG196" s="24" t="inlineStr">
        <is>
          <t>1d168f11d221cd3c</t>
        </is>
      </c>
      <c r="BH196" s="24" t="inlineStr">
        <is>
          <t>2026-09-12T22:41:47.836186+00:00</t>
        </is>
      </c>
      <c r="BI196" s="24" t="inlineStr">
        <is>
          <t>["same_event","same_team_same_day","same_league_same_day"]</t>
        </is>
      </c>
      <c r="BJ196" s="25" t="n">
        <v>55.5</v>
      </c>
      <c r="BK196" s="26" t="n">
        <v>-118</v>
      </c>
      <c r="BL196" s="27" t="n">
        <v>1.847458</v>
      </c>
      <c r="BM196" s="28" t="n">
        <v>0.541284</v>
      </c>
      <c r="BN196" s="28" t="n"/>
      <c r="BO196" s="28" t="n"/>
      <c r="BP196" s="25" t="n"/>
      <c r="BQ196" s="27" t="n"/>
      <c r="BR196" s="28" t="n"/>
      <c r="BS196" s="28" t="n"/>
      <c r="BT196" s="28" t="n"/>
      <c r="BU196" s="25" t="n"/>
      <c r="BV196" s="29" t="n"/>
      <c r="BW196" s="24" t="n"/>
      <c r="BX196" s="30" t="n">
        <v>1</v>
      </c>
      <c r="BY196" s="27" t="n">
        <v>-1</v>
      </c>
      <c r="BZ196" s="24" t="inlineStr">
        <is>
          <t>2026-09-13T04:32:18.924415Z</t>
        </is>
      </c>
      <c r="CA196" s="31" t="inlineStr">
        <is>
          <t>fixed one-unit hypothetical scoring; no real exposure or execution</t>
        </is>
      </c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True</t>
        </is>
      </c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/>
      <c r="DH196" s="24" t="n"/>
      <c r="DI196" s="24" t="n"/>
      <c r="DJ196" s="24" t="inlineStr">
        <is>
          <t>0.541284</t>
        </is>
      </c>
      <c r="DK196" s="24" t="n"/>
      <c r="DL196" s="24" t="n"/>
      <c r="DM196" s="24" t="n"/>
      <c r="DN196" s="24" t="n"/>
      <c r="DO196" s="24" t="n"/>
      <c r="DP196" s="24" t="n"/>
      <c r="DQ196" s="24" t="inlineStr">
        <is>
          <t>{"artifact_hash": "1d168f11d221cd3c", "event_id": "401867796", "event_start_utc": "2026-09-12T23:30Z", "features": {"altitude_fatigue_penalty": 0.0, "away_team": "Louisiana Tech Bulldogs", "efficiency_gap": 2.786, "elo_away": 1581.7, "elo_home": 1549.1, "elo_home_win_prob": 0.5465, "event_id": "401867796", "game_start_utc": "2026-09-12T23:30Z", "home_field_advantage_points": 2.8, "home_team": "LSU Tigers", "is_dome": false, "is_fbs_vs_fcs": false, "is_neutral_site": false, "projected_away_points": 26.6, "projected_home_points": 28.0, "projected_margin_home": 1.3, "projected_possessions": 12.4, "projected_total": 54.6, "stadium_elevation_ft": 45, "travel_distance_miles": 170.0, "uncertainty": 0.18, "weather_total_adjustment": 0.0}, "historical_source_observation_times_verified": false, "inference_inputs": {"engine_source_sha256": "449ba2f0e86fa9c445730076a0e0bf100fb4914620be53c75c6f3bfe24298f3f", "mu_away": 26.6, "mu_home": 28.0,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288018515262272538037031055467373763440}, "uinteger": 0}, "spread_home_line": -34.5, "total_line": 55.5}, "market_type": "total", "model_version": "cfb-total-v1", "observed_at_utc": "2026-09-12T22:41:47.836186+00:00", "probabilities": {"over": 0.454133, "push": 0.0, "under": 0.545867}, "replay_scope": "Full precision score means, exact engine parameters and original RNG state; upstream feature construction not certified.", "schema": "cfb-joint-replay-v1", "snapshot_hash": "8ad5e3cf4ed83780f10e2e477ebaa591f40ad594f94915508fac87f30a9a7760", "sport": "NCAAF"}</t>
        </is>
      </c>
    </row>
    <row r="197" ht="36" customHeight="1">
      <c r="A197" s="24" t="inlineStr">
        <is>
          <t>eb9b6957f1f642f8</t>
        </is>
      </c>
      <c r="B197" s="24" t="inlineStr">
        <is>
          <t>2026-09-12T22:41:47.836186Z</t>
        </is>
      </c>
      <c r="C197" s="24" t="inlineStr">
        <is>
          <t>2026-09-12T23:30Z</t>
        </is>
      </c>
      <c r="D197" s="24" t="inlineStr">
        <is>
          <t>401856783</t>
        </is>
      </c>
      <c r="E197" s="24" t="inlineStr">
        <is>
          <t>NCAAF</t>
        </is>
      </c>
      <c r="F197" s="24" t="inlineStr">
        <is>
          <t>Texas Tech Red Raiders</t>
        </is>
      </c>
      <c r="G197" s="24" t="inlineStr">
        <is>
          <t>Oregon State Beavers</t>
        </is>
      </c>
      <c r="H197" s="24" t="inlineStr">
        <is>
          <t>moneyline</t>
        </is>
      </c>
      <c r="I197" s="24" t="inlineStr">
        <is>
          <t>away</t>
        </is>
      </c>
      <c r="J197" s="25" t="n"/>
      <c r="K197" s="24" t="inlineStr">
        <is>
          <t>espn_consensus</t>
        </is>
      </c>
      <c r="L197" s="26" t="n">
        <v>-3600</v>
      </c>
      <c r="M197" s="27" t="n">
        <v>1.027778</v>
      </c>
      <c r="N197" s="28" t="n">
        <v>0.972973</v>
      </c>
      <c r="O197" s="28" t="n">
        <v>0.904112</v>
      </c>
      <c r="P197" s="28" t="n">
        <v>0.18</v>
      </c>
      <c r="Q197" s="28" t="n">
        <v>-0.06886100000000001</v>
      </c>
      <c r="R197" s="26" t="n">
        <v>0</v>
      </c>
      <c r="S197" s="29" t="n">
        <v>1</v>
      </c>
      <c r="T197" s="24" t="inlineStr">
        <is>
          <t>college-football-v1</t>
        </is>
      </c>
      <c r="U197" s="24" t="inlineStr">
        <is>
          <t>settled</t>
        </is>
      </c>
      <c r="V197" s="24" t="inlineStr">
        <is>
          <t>win</t>
        </is>
      </c>
      <c r="W197" s="26" t="n">
        <v>35</v>
      </c>
      <c r="X197" s="26" t="n">
        <v>24</v>
      </c>
      <c r="Y197" s="25" t="n"/>
      <c r="Z197" s="26" t="n"/>
      <c r="AA197" s="28" t="n"/>
      <c r="AB197" s="28" t="n"/>
      <c r="AC197" s="30" t="n">
        <v>0.0278</v>
      </c>
      <c r="AD197" s="24" t="inlineStr">
        <is>
          <t>2026-09-13T04:32:19.340527Z</t>
        </is>
      </c>
      <c r="AE197" s="31" t="inlineStr">
        <is>
          <t>CFB Joint Model (negative_binomial): proj score Texas Tech Red Raiders 38.1 @ Oregon State Beavers 16.2 (Margin -22.0). Possessions: 12.4, HFA: +2.8 pts.</t>
        </is>
      </c>
      <c r="AF197" s="31" t="inlineStr">
        <is>
          <t>College football model; multi-market (moneyline, spread, total).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paper_call</t>
        </is>
      </c>
      <c r="AL197" s="26" t="n">
        <v>4</v>
      </c>
      <c r="AM197" s="24" t="inlineStr">
        <is>
          <t>RESEARCH_OBSERVATION</t>
        </is>
      </c>
      <c r="AN197" s="24" t="inlineStr">
        <is>
          <t>CALL</t>
        </is>
      </c>
      <c r="AO197" s="24" t="inlineStr">
        <is>
          <t>PAPER_CALL_LOW_EDGE</t>
        </is>
      </c>
      <c r="AP197" s="24" t="inlineStr">
        <is>
          <t>Texas Tech Red Raiders</t>
        </is>
      </c>
      <c r="AQ197" s="24" t="inlineStr">
        <is>
          <t>Texas Tech Red Raiders</t>
        </is>
      </c>
      <c r="AR197" s="24" t="inlineStr">
        <is>
          <t>Texas Tech Red Raiders</t>
        </is>
      </c>
      <c r="AS197" s="24" t="inlineStr">
        <is>
          <t>Oregon State Beavers</t>
        </is>
      </c>
      <c r="AT197" s="24" t="inlineStr">
        <is>
          <t>Oregon State Beavers</t>
        </is>
      </c>
      <c r="AU197" s="24" t="inlineStr">
        <is>
          <t>Oregon State Beavers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1d168f11d221cd3c</t>
        </is>
      </c>
      <c r="BB197" s="24" t="inlineStr">
        <is>
          <t>cfb_key_number_engine</t>
        </is>
      </c>
      <c r="BC197" s="24" t="inlineStr">
        <is>
          <t>college-football-v1</t>
        </is>
      </c>
      <c r="BD197" s="24" t="inlineStr">
        <is>
          <t>1d168f11d221cd3c</t>
        </is>
      </c>
      <c r="BE197" s="24" t="inlineStr">
        <is>
          <t>cfb-v1</t>
        </is>
      </c>
      <c r="BF197" s="24" t="inlineStr">
        <is>
          <t>1</t>
        </is>
      </c>
      <c r="BG197" s="24" t="inlineStr">
        <is>
          <t>1d168f11d221cd3c</t>
        </is>
      </c>
      <c r="BH197" s="24" t="inlineStr">
        <is>
          <t>2026-09-12T22:41:47.836186+00:00</t>
        </is>
      </c>
      <c r="BI197" s="24" t="inlineStr">
        <is>
          <t>["same_event","same_team_same_day","same_league_same_day"]</t>
        </is>
      </c>
      <c r="BJ197" s="25" t="n"/>
      <c r="BK197" s="26" t="n">
        <v>-3600</v>
      </c>
      <c r="BL197" s="27" t="n">
        <v>1.027778</v>
      </c>
      <c r="BM197" s="28" t="n">
        <v>0.972973</v>
      </c>
      <c r="BN197" s="28" t="n"/>
      <c r="BO197" s="28" t="n"/>
      <c r="BP197" s="25" t="n"/>
      <c r="BQ197" s="27" t="n"/>
      <c r="BR197" s="28" t="n"/>
      <c r="BS197" s="28" t="n"/>
      <c r="BT197" s="28" t="n"/>
      <c r="BU197" s="25" t="n"/>
      <c r="BV197" s="29" t="n"/>
      <c r="BW197" s="24" t="n"/>
      <c r="BX197" s="30" t="n">
        <v>1</v>
      </c>
      <c r="BY197" s="27" t="n">
        <v>0.027778</v>
      </c>
      <c r="BZ197" s="24" t="inlineStr">
        <is>
          <t>2026-09-13T04:32:19.340527Z</t>
        </is>
      </c>
      <c r="CA197" s="31" t="inlineStr">
        <is>
          <t>fixed one-unit hypothetical scoring; no real exposure or execution</t>
        </is>
      </c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False</t>
        </is>
      </c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n"/>
      <c r="DE197" s="24" t="n"/>
      <c r="DF197" s="24" t="n"/>
      <c r="DG197" s="24" t="n"/>
      <c r="DH197" s="24" t="n"/>
      <c r="DI197" s="24" t="n"/>
      <c r="DJ197" s="24" t="inlineStr">
        <is>
          <t>0.972973</t>
        </is>
      </c>
      <c r="DK197" s="24" t="n"/>
      <c r="DL197" s="24" t="n"/>
      <c r="DM197" s="24" t="n"/>
      <c r="DN197" s="24" t="n"/>
      <c r="DO197" s="24" t="n"/>
      <c r="DP197" s="24" t="n"/>
      <c r="DQ197" s="24" t="inlineStr">
        <is>
          <t>{"artifact_hash": "1d168f11d221cd3c", "event_id": "401856783", "event_start_utc": "2026-09-12T23:30Z", "features": {"altitude_fatigue_penalty": 0.0, "away_team": "Texas Tech Red Raiders", "efficiency_gap": -0.48, "elo_away": 1751.5, "elo_home": 1148.0, "elo_home_win_prob": 0.0431, "event_id": "401856783", "game_start_utc": "2026-09-12T23:30Z", "home_field_advantage_points": 2.8, "home_team": "Oregon State Beavers", "is_dome": false, "is_fbs_vs_fcs": false, "is_neutral_site": false, "projected_away_points": 38.1, "projected_home_points": 16.2, "projected_margin_home": -22.0, "projected_possessions": 12.4, "projected_total": 54.3, "stadium_elevation_ft": 230, "travel_distance_miles": 1369.0, "uncertainty": 0.18, "weather_total_adjustment": 0.0}, "historical_source_observation_times_verified": false, "inference_inputs": {"engine_source_sha256": "449ba2f0e86fa9c445730076a0e0bf100fb4914620be53c75c6f3bfe24298f3f", "mu_away": 38.1, "mu_home": 16.2,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40258448848880699575569352456598367783}, "uinteger": 0}, "spread_home_line": 25.5, "total_line": 52.5}, "market_type": "moneyline", "model_version": "college-football-v1", "observed_at_utc": "2026-09-12T22:41:47.836186+00:00", "probabilities": {"away": 0.904112, "home": 0.095888}, "replay_scope": "Full precision score means, exact engine parameters and original RNG state; upstream feature construction not certified.", "schema": "cfb-joint-replay-v1", "snapshot_hash": "0bf23f4ffeac5c03ae951ba13d243bcbd7c9a848f65dc63e7de57e627ef56c69", "sport": "NCAAF"}</t>
        </is>
      </c>
    </row>
    <row r="198" ht="36" customHeight="1">
      <c r="A198" s="24" t="inlineStr">
        <is>
          <t>213a0185cd6543b1</t>
        </is>
      </c>
      <c r="B198" s="24" t="inlineStr">
        <is>
          <t>2026-09-12T22:41:47.836186Z</t>
        </is>
      </c>
      <c r="C198" s="24" t="inlineStr">
        <is>
          <t>2026-09-12T23:30Z</t>
        </is>
      </c>
      <c r="D198" s="24" t="inlineStr">
        <is>
          <t>401856783</t>
        </is>
      </c>
      <c r="E198" s="24" t="inlineStr">
        <is>
          <t>NCAAF</t>
        </is>
      </c>
      <c r="F198" s="24" t="inlineStr">
        <is>
          <t>Texas Tech Red Raiders</t>
        </is>
      </c>
      <c r="G198" s="24" t="inlineStr">
        <is>
          <t>Oregon State Beavers</t>
        </is>
      </c>
      <c r="H198" s="24" t="inlineStr">
        <is>
          <t>spread</t>
        </is>
      </c>
      <c r="I198" s="24" t="inlineStr">
        <is>
          <t>home</t>
        </is>
      </c>
      <c r="J198" s="25" t="n">
        <v>25.5</v>
      </c>
      <c r="K198" s="24" t="inlineStr">
        <is>
          <t>espn_consensus</t>
        </is>
      </c>
      <c r="L198" s="26" t="n">
        <v>-108</v>
      </c>
      <c r="M198" s="27" t="n">
        <v>1.925926</v>
      </c>
      <c r="N198" s="28" t="n">
        <v>0.519231</v>
      </c>
      <c r="O198" s="28" t="n">
        <v>0.579267</v>
      </c>
      <c r="P198" s="28" t="n">
        <v>0.18</v>
      </c>
      <c r="Q198" s="28" t="n">
        <v>0.060036</v>
      </c>
      <c r="R198" s="26" t="n">
        <v>0</v>
      </c>
      <c r="S198" s="29" t="n">
        <v>1</v>
      </c>
      <c r="T198" s="24" t="inlineStr">
        <is>
          <t>cfb-spread-v1</t>
        </is>
      </c>
      <c r="U198" s="24" t="inlineStr">
        <is>
          <t>settled</t>
        </is>
      </c>
      <c r="V198" s="24" t="inlineStr">
        <is>
          <t>win</t>
        </is>
      </c>
      <c r="W198" s="26" t="n">
        <v>35</v>
      </c>
      <c r="X198" s="26" t="n">
        <v>24</v>
      </c>
      <c r="Y198" s="25" t="n"/>
      <c r="Z198" s="26" t="n"/>
      <c r="AA198" s="28" t="n"/>
      <c r="AB198" s="28" t="n"/>
      <c r="AC198" s="30" t="n">
        <v>0.9258999999999999</v>
      </c>
      <c r="AD198" s="24" t="inlineStr">
        <is>
          <t>2026-09-13T04:32:19.677774Z</t>
        </is>
      </c>
      <c r="AE198" s="31" t="inlineStr">
        <is>
          <t>Projected home margin -22.0 pts. Spread: Home +25.5 / Away -25.5 -&gt; P(Away cover)=0.421, P(Home cover)=0.579, P(Push)=0.000.</t>
        </is>
      </c>
      <c r="AF198" s="31" t="inlineStr">
        <is>
          <t>College football model; multi-market (moneyline, spread, total).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model_qualified</t>
        </is>
      </c>
      <c r="AL198" s="26" t="n">
        <v>4</v>
      </c>
      <c r="AM198" s="24" t="inlineStr">
        <is>
          <t>QUALIFIED_SHADOW_CALL</t>
        </is>
      </c>
      <c r="AN198" s="24" t="inlineStr">
        <is>
          <t>CALL</t>
        </is>
      </c>
      <c r="AO198" s="24" t="inlineStr">
        <is>
          <t>QUALIFIED</t>
        </is>
      </c>
      <c r="AP198" s="24" t="inlineStr">
        <is>
          <t>Texas Tech Red Raiders</t>
        </is>
      </c>
      <c r="AQ198" s="24" t="inlineStr">
        <is>
          <t>Texas Tech Red Raiders</t>
        </is>
      </c>
      <c r="AR198" s="24" t="inlineStr">
        <is>
          <t>Texas Tech Red Raiders</t>
        </is>
      </c>
      <c r="AS198" s="24" t="inlineStr">
        <is>
          <t>Oregon State Beavers</t>
        </is>
      </c>
      <c r="AT198" s="24" t="inlineStr">
        <is>
          <t>Oregon State Beavers</t>
        </is>
      </c>
      <c r="AU198" s="24" t="inlineStr">
        <is>
          <t>Oregon State Beavers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1d168f11d221cd3c</t>
        </is>
      </c>
      <c r="BB198" s="24" t="inlineStr">
        <is>
          <t>cfb_key_number_engine</t>
        </is>
      </c>
      <c r="BC198" s="24" t="inlineStr">
        <is>
          <t>cfb-spread-v1</t>
        </is>
      </c>
      <c r="BD198" s="24" t="inlineStr">
        <is>
          <t>1d168f11d221cd3c</t>
        </is>
      </c>
      <c r="BE198" s="24" t="inlineStr">
        <is>
          <t>cfb-v1</t>
        </is>
      </c>
      <c r="BF198" s="24" t="inlineStr">
        <is>
          <t>1</t>
        </is>
      </c>
      <c r="BG198" s="24" t="inlineStr">
        <is>
          <t>1d168f11d221cd3c</t>
        </is>
      </c>
      <c r="BH198" s="24" t="inlineStr">
        <is>
          <t>2026-09-12T22:41:47.836186+00:00</t>
        </is>
      </c>
      <c r="BI198" s="24" t="inlineStr">
        <is>
          <t>["same_event","same_team_same_day","same_league_same_day"]</t>
        </is>
      </c>
      <c r="BJ198" s="25" t="n">
        <v>25.5</v>
      </c>
      <c r="BK198" s="26" t="n">
        <v>-108</v>
      </c>
      <c r="BL198" s="27" t="n">
        <v>1.925926</v>
      </c>
      <c r="BM198" s="28" t="n">
        <v>0.519231</v>
      </c>
      <c r="BN198" s="28" t="n"/>
      <c r="BO198" s="28" t="n"/>
      <c r="BP198" s="25" t="n"/>
      <c r="BQ198" s="27" t="n"/>
      <c r="BR198" s="28" t="n"/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True</t>
        </is>
      </c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n"/>
      <c r="DE198" s="24" t="n"/>
      <c r="DF198" s="24" t="n"/>
      <c r="DG198" s="24" t="n"/>
      <c r="DH198" s="24" t="n"/>
      <c r="DI198" s="24" t="n"/>
      <c r="DJ198" s="24" t="inlineStr">
        <is>
          <t>0.519231</t>
        </is>
      </c>
      <c r="DK198" s="24" t="n"/>
      <c r="DL198" s="24" t="n"/>
      <c r="DM198" s="24" t="n"/>
      <c r="DN198" s="24" t="n"/>
      <c r="DO198" s="24" t="n"/>
      <c r="DP198" s="24" t="n"/>
      <c r="DQ198" s="24" t="inlineStr">
        <is>
          <t>{"artifact_hash": "1d168f11d221cd3c", "event_id": "401856783", "event_start_utc": "2026-09-12T23:30Z", "features": {"altitude_fatigue_penalty": 0.0, "away_team": "Texas Tech Red Raiders", "efficiency_gap": -0.48, "elo_away": 1751.5, "elo_home": 1148.0, "elo_home_win_prob": 0.0431, "event_id": "401856783", "game_start_utc": "2026-09-12T23:30Z", "home_field_advantage_points": 2.8, "home_team": "Oregon State Beavers", "is_dome": false, "is_fbs_vs_fcs": false, "is_neutral_site": false, "projected_away_points": 38.1, "projected_home_points": 16.2, "projected_margin_home": -22.0, "projected_possessions": 12.4, "projected_total": 54.3, "stadium_elevation_ft": 230, "travel_distance_miles": 1369.0, "uncertainty": 0.18, "weather_total_adjustment": 0.0}, "historical_source_observation_times_verified": false, "inference_inputs": {"engine_source_sha256": "449ba2f0e86fa9c445730076a0e0bf100fb4914620be53c75c6f3bfe24298f3f", "mu_away": 38.1, "mu_home": 16.2,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40258448848880699575569352456598367783}, "uinteger": 0}, "spread_home_line": 25.5, "total_line": 52.5}, "market_type": "spread", "model_version": "cfb-spread-v1", "observed_at_utc": "2026-09-12T22:41:47.836186+00:00", "probabilities": {"away": 0.420733, "home": 0.579267, "push": 0.0}, "replay_scope": "Full precision score means, exact engine parameters and original RNG state; upstream feature construction not certified.", "schema": "cfb-joint-replay-v1", "snapshot_hash": "c90aef5bdc475daf2851b50ce310f9e1e5f211dc7f7080f7a800d3cb2539bf16", "sport": "NCAAF"}</t>
        </is>
      </c>
    </row>
    <row r="199" ht="36" customHeight="1">
      <c r="A199" s="24" t="inlineStr">
        <is>
          <t>1be60ee0675c442b</t>
        </is>
      </c>
      <c r="B199" s="24" t="inlineStr">
        <is>
          <t>2026-09-12T22:41:47.836186Z</t>
        </is>
      </c>
      <c r="C199" s="24" t="inlineStr">
        <is>
          <t>2026-09-12T23:30Z</t>
        </is>
      </c>
      <c r="D199" s="24" t="inlineStr">
        <is>
          <t>401856783</t>
        </is>
      </c>
      <c r="E199" s="24" t="inlineStr">
        <is>
          <t>NCAAF</t>
        </is>
      </c>
      <c r="F199" s="24" t="inlineStr">
        <is>
          <t>Texas Tech Red Raiders</t>
        </is>
      </c>
      <c r="G199" s="24" t="inlineStr">
        <is>
          <t>Oregon State Beavers</t>
        </is>
      </c>
      <c r="H199" s="24" t="inlineStr">
        <is>
          <t>total</t>
        </is>
      </c>
      <c r="I199" s="24" t="inlineStr">
        <is>
          <t>over</t>
        </is>
      </c>
      <c r="J199" s="25" t="n">
        <v>52.5</v>
      </c>
      <c r="K199" s="24" t="inlineStr">
        <is>
          <t>espn_consensus</t>
        </is>
      </c>
      <c r="L199" s="26" t="n">
        <v>-108</v>
      </c>
      <c r="M199" s="27" t="n">
        <v>1.925926</v>
      </c>
      <c r="N199" s="28" t="n">
        <v>0.519231</v>
      </c>
      <c r="O199" s="28" t="n">
        <v>0.5124</v>
      </c>
      <c r="P199" s="28" t="n">
        <v>0.18</v>
      </c>
      <c r="Q199" s="28" t="n">
        <v>-0.006831</v>
      </c>
      <c r="R199" s="26" t="n">
        <v>0</v>
      </c>
      <c r="S199" s="29" t="n">
        <v>1</v>
      </c>
      <c r="T199" s="24" t="inlineStr">
        <is>
          <t>cfb-total-v1</t>
        </is>
      </c>
      <c r="U199" s="24" t="inlineStr">
        <is>
          <t>settled</t>
        </is>
      </c>
      <c r="V199" s="24" t="inlineStr">
        <is>
          <t>win</t>
        </is>
      </c>
      <c r="W199" s="26" t="n">
        <v>35</v>
      </c>
      <c r="X199" s="26" t="n">
        <v>24</v>
      </c>
      <c r="Y199" s="25" t="n"/>
      <c r="Z199" s="26" t="n"/>
      <c r="AA199" s="28" t="n"/>
      <c r="AB199" s="28" t="n"/>
      <c r="AC199" s="30" t="n">
        <v>0.9258999999999999</v>
      </c>
      <c r="AD199" s="24" t="inlineStr">
        <is>
          <t>2026-09-13T04:32:20.315657Z</t>
        </is>
      </c>
      <c r="AE199" s="31" t="inlineStr">
        <is>
          <t>Projected total 54.3 pts (Weather adj: +0.0 pts). Total line 52.5 -&gt; P(Over)=0.512, P(Under)=0.488, P(Push)=0.000.</t>
        </is>
      </c>
      <c r="AF199" s="31" t="inlineStr">
        <is>
          <t>College football model; multi-market (moneyline, spread, total).</t>
        </is>
      </c>
      <c r="AG199" s="24" t="inlineStr">
        <is>
          <t>not_applicable</t>
        </is>
      </c>
      <c r="AH199" s="24" t="n"/>
      <c r="AI199" s="31" t="n"/>
      <c r="AJ199" s="31" t="n"/>
      <c r="AK199" s="24" t="inlineStr">
        <is>
          <t>paper_call</t>
        </is>
      </c>
      <c r="AL199" s="26" t="n">
        <v>4</v>
      </c>
      <c r="AM199" s="24" t="inlineStr">
        <is>
          <t>RESEARCH_OBSERVATION</t>
        </is>
      </c>
      <c r="AN199" s="24" t="inlineStr">
        <is>
          <t>CALL</t>
        </is>
      </c>
      <c r="AO199" s="24" t="inlineStr">
        <is>
          <t>PAPER_CALL_LOW_EDGE</t>
        </is>
      </c>
      <c r="AP199" s="24" t="inlineStr">
        <is>
          <t>Texas Tech Red Raiders</t>
        </is>
      </c>
      <c r="AQ199" s="24" t="inlineStr">
        <is>
          <t>Texas Tech Red Raiders</t>
        </is>
      </c>
      <c r="AR199" s="24" t="inlineStr">
        <is>
          <t>Texas Tech Red Raiders</t>
        </is>
      </c>
      <c r="AS199" s="24" t="inlineStr">
        <is>
          <t>Oregon State Beavers</t>
        </is>
      </c>
      <c r="AT199" s="24" t="inlineStr">
        <is>
          <t>Oregon State Beavers</t>
        </is>
      </c>
      <c r="AU199" s="24" t="inlineStr">
        <is>
          <t>Oregon State Beavers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1d168f11d221cd3c</t>
        </is>
      </c>
      <c r="BB199" s="24" t="inlineStr">
        <is>
          <t>cfb_key_number_engine</t>
        </is>
      </c>
      <c r="BC199" s="24" t="inlineStr">
        <is>
          <t>cfb-total-v1</t>
        </is>
      </c>
      <c r="BD199" s="24" t="inlineStr">
        <is>
          <t>1d168f11d221cd3c</t>
        </is>
      </c>
      <c r="BE199" s="24" t="inlineStr">
        <is>
          <t>cfb-v1</t>
        </is>
      </c>
      <c r="BF199" s="24" t="inlineStr">
        <is>
          <t>1</t>
        </is>
      </c>
      <c r="BG199" s="24" t="inlineStr">
        <is>
          <t>1d168f11d221cd3c</t>
        </is>
      </c>
      <c r="BH199" s="24" t="inlineStr">
        <is>
          <t>2026-09-12T22:41:47.836186+00:00</t>
        </is>
      </c>
      <c r="BI199" s="24" t="inlineStr">
        <is>
          <t>["same_event","same_team_same_day","same_league_same_day"]</t>
        </is>
      </c>
      <c r="BJ199" s="25" t="n">
        <v>52.5</v>
      </c>
      <c r="BK199" s="26" t="n">
        <v>-108</v>
      </c>
      <c r="BL199" s="27" t="n">
        <v>1.925926</v>
      </c>
      <c r="BM199" s="28" t="n">
        <v>0.519231</v>
      </c>
      <c r="BN199" s="28" t="n"/>
      <c r="BO199" s="28" t="n"/>
      <c r="BP199" s="25" t="n"/>
      <c r="BQ199" s="27" t="n"/>
      <c r="BR199" s="28" t="n"/>
      <c r="BS199" s="28" t="n"/>
      <c r="BT199" s="28" t="n"/>
      <c r="BU199" s="25" t="n"/>
      <c r="BV199" s="29" t="n"/>
      <c r="BW199" s="24" t="n"/>
      <c r="BX199" s="30" t="n">
        <v>1</v>
      </c>
      <c r="BY199" s="27" t="n">
        <v>0.925926</v>
      </c>
      <c r="BZ199" s="24" t="inlineStr">
        <is>
          <t>2026-09-13T04:32:20.315657Z</t>
        </is>
      </c>
      <c r="CA199" s="31" t="inlineStr">
        <is>
          <t>fixed one-unit hypothetical scoring; no real exposure or execution</t>
        </is>
      </c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False</t>
        </is>
      </c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n"/>
      <c r="DE199" s="24" t="n"/>
      <c r="DF199" s="24" t="n"/>
      <c r="DG199" s="24" t="n"/>
      <c r="DH199" s="24" t="n"/>
      <c r="DI199" s="24" t="n"/>
      <c r="DJ199" s="24" t="inlineStr">
        <is>
          <t>0.519231</t>
        </is>
      </c>
      <c r="DK199" s="24" t="n"/>
      <c r="DL199" s="24" t="n"/>
      <c r="DM199" s="24" t="n"/>
      <c r="DN199" s="24" t="n"/>
      <c r="DO199" s="24" t="n"/>
      <c r="DP199" s="24" t="n"/>
      <c r="DQ199" s="24" t="inlineStr">
        <is>
          <t>{"artifact_hash": "1d168f11d221cd3c", "event_id": "401856783", "event_start_utc": "2026-09-12T23:30Z", "features": {"altitude_fatigue_penalty": 0.0, "away_team": "Texas Tech Red Raiders", "efficiency_gap": -0.48, "elo_away": 1751.5, "elo_home": 1148.0, "elo_home_win_prob": 0.0431, "event_id": "401856783", "game_start_utc": "2026-09-12T23:30Z", "home_field_advantage_points": 2.8, "home_team": "Oregon State Beavers", "is_dome": false, "is_fbs_vs_fcs": false, "is_neutral_site": false, "projected_away_points": 38.1, "projected_home_points": 16.2, "projected_margin_home": -22.0, "projected_possessions": 12.4, "projected_total": 54.3, "stadium_elevation_ft": 230, "travel_distance_miles": 1369.0, "uncertainty": 0.18, "weather_total_adjustment": 0.0}, "historical_source_observation_times_verified": false, "inference_inputs": {"engine_source_sha256": "449ba2f0e86fa9c445730076a0e0bf100fb4914620be53c75c6f3bfe24298f3f", "mu_away": 38.1, "mu_home": 16.2,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40258448848880699575569352456598367783}, "uinteger": 0}, "spread_home_line": 25.5, "total_line": 52.5}, "market_type": "total", "model_version": "cfb-total-v1", "observed_at_utc": "2026-09-12T22:41:47.836186+00:00", "probabilities": {"over": 0.5124, "push": 0.0, "under": 0.4876}, "replay_scope": "Full precision score means, exact engine parameters and original RNG state; upstream feature construction not certified.", "schema": "cfb-joint-replay-v1", "snapshot_hash": "cc7068438b9431d58a3205ddb7d67ddf6b6fb5d9d89df7baa985e28d204deaeb", "sport": "NCAAF"}</t>
        </is>
      </c>
    </row>
    <row r="200" ht="36" customHeight="1">
      <c r="A200" s="24" t="inlineStr">
        <is>
          <t>b60d915799634dda</t>
        </is>
      </c>
      <c r="B200" s="24" t="inlineStr">
        <is>
          <t>2026-09-12T22:41:47.836186Z</t>
        </is>
      </c>
      <c r="C200" s="24" t="inlineStr">
        <is>
          <t>2026-09-12T23:30Z</t>
        </is>
      </c>
      <c r="D200" s="24" t="inlineStr">
        <is>
          <t>401856788</t>
        </is>
      </c>
      <c r="E200" s="24" t="inlineStr">
        <is>
          <t>NCAAF</t>
        </is>
      </c>
      <c r="F200" s="24" t="inlineStr">
        <is>
          <t>Iowa State Cyclones</t>
        </is>
      </c>
      <c r="G200" s="24" t="inlineStr">
        <is>
          <t>Iowa Hawkeyes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espn_consensus</t>
        </is>
      </c>
      <c r="L200" s="26" t="n">
        <v>-575</v>
      </c>
      <c r="M200" s="27" t="n">
        <v>1.173913</v>
      </c>
      <c r="N200" s="28" t="n">
        <v>0.8518520000000001</v>
      </c>
      <c r="O200" s="28" t="n">
        <v>0.713277</v>
      </c>
      <c r="P200" s="28" t="n">
        <v>0.18</v>
      </c>
      <c r="Q200" s="28" t="n">
        <v>-0.138575</v>
      </c>
      <c r="R200" s="26" t="n">
        <v>0</v>
      </c>
      <c r="S200" s="29" t="n">
        <v>1</v>
      </c>
      <c r="T200" s="24" t="inlineStr">
        <is>
          <t>college-football-v1</t>
        </is>
      </c>
      <c r="U200" s="24" t="inlineStr">
        <is>
          <t>settled</t>
        </is>
      </c>
      <c r="V200" s="24" t="inlineStr">
        <is>
          <t>win</t>
        </is>
      </c>
      <c r="W200" s="26" t="n">
        <v>13</v>
      </c>
      <c r="X200" s="26" t="n">
        <v>16</v>
      </c>
      <c r="Y200" s="25" t="n"/>
      <c r="Z200" s="26" t="n"/>
      <c r="AA200" s="28" t="n"/>
      <c r="AB200" s="28" t="n"/>
      <c r="AC200" s="30" t="n">
        <v>0.1739</v>
      </c>
      <c r="AD200" s="24" t="inlineStr">
        <is>
          <t>2026-09-13T04:32:20.777634Z</t>
        </is>
      </c>
      <c r="AE200" s="31" t="inlineStr">
        <is>
          <t>CFB Joint Model (negative_binomial): proj score Iowa State Cyclones 23.2 @ Iowa Hawkeyes 32.1 (Margin +8.9). Possessions: 12.4, HFA: +2.8 pts.</t>
        </is>
      </c>
      <c r="AF200" s="31" t="inlineStr">
        <is>
          <t>College football model; multi-market (moneyline, spread, total).</t>
        </is>
      </c>
      <c r="AG200" s="24" t="inlineStr">
        <is>
          <t>not_applicable</t>
        </is>
      </c>
      <c r="AH200" s="24" t="n"/>
      <c r="AI200" s="31" t="n"/>
      <c r="AJ200" s="31" t="n"/>
      <c r="AK200" s="24" t="inlineStr">
        <is>
          <t>paper_call</t>
        </is>
      </c>
      <c r="AL200" s="26" t="n">
        <v>4</v>
      </c>
      <c r="AM200" s="24" t="inlineStr">
        <is>
          <t>RESEARCH_OBSERVATION</t>
        </is>
      </c>
      <c r="AN200" s="24" t="inlineStr">
        <is>
          <t>CALL</t>
        </is>
      </c>
      <c r="AO200" s="24" t="inlineStr">
        <is>
          <t>PAPER_CALL_LOW_EDGE</t>
        </is>
      </c>
      <c r="AP200" s="24" t="inlineStr">
        <is>
          <t>Iowa State Cyclones</t>
        </is>
      </c>
      <c r="AQ200" s="24" t="inlineStr">
        <is>
          <t>Iowa State Cyclones</t>
        </is>
      </c>
      <c r="AR200" s="24" t="inlineStr">
        <is>
          <t>Iowa State Cyclones</t>
        </is>
      </c>
      <c r="AS200" s="24" t="inlineStr">
        <is>
          <t>Iowa Hawkeyes</t>
        </is>
      </c>
      <c r="AT200" s="24" t="inlineStr">
        <is>
          <t>Iowa Hawkeyes</t>
        </is>
      </c>
      <c r="AU200" s="24" t="inlineStr">
        <is>
          <t>Iowa Hawkeyes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1d168f11d221cd3c</t>
        </is>
      </c>
      <c r="BB200" s="24" t="inlineStr">
        <is>
          <t>cfb_key_number_engine</t>
        </is>
      </c>
      <c r="BC200" s="24" t="inlineStr">
        <is>
          <t>college-football-v1</t>
        </is>
      </c>
      <c r="BD200" s="24" t="inlineStr">
        <is>
          <t>1d168f11d221cd3c</t>
        </is>
      </c>
      <c r="BE200" s="24" t="inlineStr">
        <is>
          <t>cfb-v1</t>
        </is>
      </c>
      <c r="BF200" s="24" t="inlineStr">
        <is>
          <t>1</t>
        </is>
      </c>
      <c r="BG200" s="24" t="inlineStr">
        <is>
          <t>1d168f11d221cd3c</t>
        </is>
      </c>
      <c r="BH200" s="24" t="inlineStr">
        <is>
          <t>2026-09-12T22:41:47.836186+00:00</t>
        </is>
      </c>
      <c r="BI200" s="24" t="inlineStr">
        <is>
          <t>["same_event","same_team_same_day","same_league_same_day"]</t>
        </is>
      </c>
      <c r="BJ200" s="25" t="n"/>
      <c r="BK200" s="26" t="n">
        <v>-575</v>
      </c>
      <c r="BL200" s="27" t="n">
        <v>1.173913</v>
      </c>
      <c r="BM200" s="28" t="n">
        <v>0.8518520000000001</v>
      </c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>
        <v>1</v>
      </c>
      <c r="BY200" s="27" t="n">
        <v>0.173913</v>
      </c>
      <c r="BZ200" s="24" t="inlineStr">
        <is>
          <t>2026-09-13T04:32:20.777634Z</t>
        </is>
      </c>
      <c r="CA200" s="31" t="inlineStr">
        <is>
          <t>fixed one-unit hypothetical scoring; no real exposure or execution</t>
        </is>
      </c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n"/>
      <c r="DE200" s="24" t="n"/>
      <c r="DF200" s="24" t="n"/>
      <c r="DG200" s="24" t="n"/>
      <c r="DH200" s="24" t="n"/>
      <c r="DI200" s="24" t="n"/>
      <c r="DJ200" s="24" t="inlineStr">
        <is>
          <t>0.851852</t>
        </is>
      </c>
      <c r="DK200" s="24" t="n"/>
      <c r="DL200" s="24" t="n"/>
      <c r="DM200" s="24" t="n"/>
      <c r="DN200" s="24" t="n"/>
      <c r="DO200" s="24" t="n"/>
      <c r="DP200" s="24" t="n"/>
      <c r="DQ200" s="24" t="inlineStr">
        <is>
          <t>{"artifact_hash": "1d168f11d221cd3c", "event_id": "401856788", "event_start_utc": "2026-09-12T23:30Z", "features": {"altitude_fatigue_penalty": 0.0, "away_team": "Iowa State Cyclones", "efficiency_gap": 1.147, "elo_away": 1611.6, "elo_home": 1763.6, "elo_home_win_prob": 0.7772, "event_id": "401856788", "game_start_utc": "2026-09-12T23:30Z", "home_field_advantage_points": 2.8, "home_team": "Iowa Hawkeyes", "is_dome": false, "is_fbs_vs_fcs": false, "is_neutral_site": false, "projected_away_points": 23.2, "projected_home_points": 32.1, "projected_margin_home": 8.9, "projected_possessions": 12.4, "projected_total": 55.3, "stadium_elevation_ft": 680, "travel_distance_miles": 110.0, "uncertainty": 0.18, "weather_total_adjustment": 0.0}, "historical_source_observation_times_verified": false, "inference_inputs": {"engine_source_sha256": "449ba2f0e86fa9c445730076a0e0bf100fb4914620be53c75c6f3bfe24298f3f", "mu_away": 23.2, "mu_home": 32.1,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240934981693058078117042985193793416399}, "uinteger": 0}, "spread_home_line": -14.0, "total_line": 42.5}, "market_type": "moneyline", "model_version": "college-football-v1", "observed_at_utc": "2026-09-12T22:41:47.836186+00:00", "probabilities": {"away": 0.286723, "home": 0.713277}, "replay_scope": "Full precision score means, exact engine parameters and original RNG state; upstream feature construction not certified.", "schema": "cfb-joint-replay-v1", "snapshot_hash": "95256f1504bffdf6a803cedc5ad511b561a65f25b8dcb72850e2e016672db773", "sport": "NCAAF"}</t>
        </is>
      </c>
    </row>
    <row r="201" ht="36" customHeight="1">
      <c r="A201" s="24" t="inlineStr">
        <is>
          <t>8fd069f622374513</t>
        </is>
      </c>
      <c r="B201" s="24" t="inlineStr">
        <is>
          <t>2026-09-12T22:41:47.836186Z</t>
        </is>
      </c>
      <c r="C201" s="24" t="inlineStr">
        <is>
          <t>2026-09-12T23:30Z</t>
        </is>
      </c>
      <c r="D201" s="24" t="inlineStr">
        <is>
          <t>401856788</t>
        </is>
      </c>
      <c r="E201" s="24" t="inlineStr">
        <is>
          <t>NCAAF</t>
        </is>
      </c>
      <c r="F201" s="24" t="inlineStr">
        <is>
          <t>Iowa State Cyclones</t>
        </is>
      </c>
      <c r="G201" s="24" t="inlineStr">
        <is>
          <t>Iowa Hawkeyes</t>
        </is>
      </c>
      <c r="H201" s="24" t="inlineStr">
        <is>
          <t>spread</t>
        </is>
      </c>
      <c r="I201" s="24" t="inlineStr">
        <is>
          <t>away</t>
        </is>
      </c>
      <c r="J201" s="25" t="n">
        <v>14</v>
      </c>
      <c r="K201" s="24" t="inlineStr">
        <is>
          <t>espn_consensus</t>
        </is>
      </c>
      <c r="L201" s="26" t="n">
        <v>-115</v>
      </c>
      <c r="M201" s="27" t="n">
        <v>1.869565</v>
      </c>
      <c r="N201" s="28" t="n">
        <v>0.534884</v>
      </c>
      <c r="O201" s="28" t="n">
        <v>0.610333</v>
      </c>
      <c r="P201" s="28" t="n">
        <v>0.18</v>
      </c>
      <c r="Q201" s="28" t="n">
        <v>0.075449</v>
      </c>
      <c r="R201" s="26" t="n">
        <v>0</v>
      </c>
      <c r="S201" s="29" t="n">
        <v>1</v>
      </c>
      <c r="T201" s="24" t="inlineStr">
        <is>
          <t>cfb-spread-v1</t>
        </is>
      </c>
      <c r="U201" s="24" t="inlineStr">
        <is>
          <t>settled</t>
        </is>
      </c>
      <c r="V201" s="24" t="inlineStr">
        <is>
          <t>win</t>
        </is>
      </c>
      <c r="W201" s="26" t="n">
        <v>13</v>
      </c>
      <c r="X201" s="26" t="n">
        <v>16</v>
      </c>
      <c r="Y201" s="25" t="n"/>
      <c r="Z201" s="26" t="n"/>
      <c r="AA201" s="28" t="n"/>
      <c r="AB201" s="28" t="n"/>
      <c r="AC201" s="30" t="n">
        <v>0.8696</v>
      </c>
      <c r="AD201" s="24" t="inlineStr">
        <is>
          <t>2026-09-13T04:32:21.146433Z</t>
        </is>
      </c>
      <c r="AE201" s="31" t="inlineStr">
        <is>
          <t>Projected home margin +8.9 pts. Spread: Home -14.0 / Away +14.0 -&gt; P(Away cover)=0.610, P(Home cover)=0.364, P(Push)=0.025.</t>
        </is>
      </c>
      <c r="AF201" s="31" t="inlineStr">
        <is>
          <t>College football model; multi-market (moneyline, spread, total).</t>
        </is>
      </c>
      <c r="AG201" s="24" t="inlineStr">
        <is>
          <t>not_applicable</t>
        </is>
      </c>
      <c r="AH201" s="24" t="n"/>
      <c r="AI201" s="31" t="n"/>
      <c r="AJ201" s="31" t="n"/>
      <c r="AK201" s="24" t="inlineStr">
        <is>
          <t>model_qualified</t>
        </is>
      </c>
      <c r="AL201" s="26" t="n">
        <v>4</v>
      </c>
      <c r="AM201" s="24" t="inlineStr">
        <is>
          <t>QUALIFIED_SHADOW_CALL</t>
        </is>
      </c>
      <c r="AN201" s="24" t="inlineStr">
        <is>
          <t>CALL</t>
        </is>
      </c>
      <c r="AO201" s="24" t="inlineStr">
        <is>
          <t>QUALIFIED</t>
        </is>
      </c>
      <c r="AP201" s="24" t="inlineStr">
        <is>
          <t>Iowa State Cyclones</t>
        </is>
      </c>
      <c r="AQ201" s="24" t="inlineStr">
        <is>
          <t>Iowa State Cyclones</t>
        </is>
      </c>
      <c r="AR201" s="24" t="inlineStr">
        <is>
          <t>Iowa State Cyclones</t>
        </is>
      </c>
      <c r="AS201" s="24" t="inlineStr">
        <is>
          <t>Iowa Hawkeyes</t>
        </is>
      </c>
      <c r="AT201" s="24" t="inlineStr">
        <is>
          <t>Iowa Hawkeyes</t>
        </is>
      </c>
      <c r="AU201" s="24" t="inlineStr">
        <is>
          <t>Iowa Hawkeyes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1d168f11d221cd3c</t>
        </is>
      </c>
      <c r="BB201" s="24" t="inlineStr">
        <is>
          <t>cfb_key_number_engine</t>
        </is>
      </c>
      <c r="BC201" s="24" t="inlineStr">
        <is>
          <t>cfb-spread-v1</t>
        </is>
      </c>
      <c r="BD201" s="24" t="inlineStr">
        <is>
          <t>1d168f11d221cd3c</t>
        </is>
      </c>
      <c r="BE201" s="24" t="inlineStr">
        <is>
          <t>cfb-v1</t>
        </is>
      </c>
      <c r="BF201" s="24" t="inlineStr">
        <is>
          <t>1</t>
        </is>
      </c>
      <c r="BG201" s="24" t="inlineStr">
        <is>
          <t>1d168f11d221cd3c</t>
        </is>
      </c>
      <c r="BH201" s="24" t="inlineStr">
        <is>
          <t>2026-09-12T22:41:47.836186+00:00</t>
        </is>
      </c>
      <c r="BI201" s="24" t="inlineStr">
        <is>
          <t>["same_event","same_team_same_day","same_league_same_day"]</t>
        </is>
      </c>
      <c r="BJ201" s="25" t="n">
        <v>14</v>
      </c>
      <c r="BK201" s="26" t="n">
        <v>-115</v>
      </c>
      <c r="BL201" s="27" t="n">
        <v>1.869565</v>
      </c>
      <c r="BM201" s="28" t="n">
        <v>0.534884</v>
      </c>
      <c r="BN201" s="28" t="n"/>
      <c r="BO201" s="28" t="n"/>
      <c r="BP201" s="25" t="n"/>
      <c r="BQ201" s="27" t="n"/>
      <c r="BR201" s="28" t="n"/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True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inlineStr">
        <is>
          <t>0.534884</t>
        </is>
      </c>
      <c r="DK201" s="24" t="n"/>
      <c r="DL201" s="24" t="n"/>
      <c r="DM201" s="24" t="n"/>
      <c r="DN201" s="24" t="n"/>
      <c r="DO201" s="24" t="n"/>
      <c r="DP201" s="24" t="n"/>
      <c r="DQ201" s="24" t="inlineStr">
        <is>
          <t>{"artifact_hash": "1d168f11d221cd3c", "event_id": "401856788", "event_start_utc": "2026-09-12T23:30Z", "features": {"altitude_fatigue_penalty": 0.0, "away_team": "Iowa State Cyclones", "efficiency_gap": 1.147, "elo_away": 1611.6, "elo_home": 1763.6, "elo_home_win_prob": 0.7772, "event_id": "401856788", "game_start_utc": "2026-09-12T23:30Z", "home_field_advantage_points": 2.8, "home_team": "Iowa Hawkeyes", "is_dome": false, "is_fbs_vs_fcs": false, "is_neutral_site": false, "projected_away_points": 23.2, "projected_home_points": 32.1, "projected_margin_home": 8.9, "projected_possessions": 12.4, "projected_total": 55.3, "stadium_elevation_ft": 680, "travel_distance_miles": 110.0, "uncertainty": 0.18, "weather_total_adjustment": 0.0}, "historical_source_observation_times_verified": false, "inference_inputs": {"engine_source_sha256": "449ba2f0e86fa9c445730076a0e0bf100fb4914620be53c75c6f3bfe24298f3f", "mu_away": 23.2, "mu_home": 32.1,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240934981693058078117042985193793416399}, "uinteger": 0}, "spread_home_line": -14.0, "total_line": 42.5}, "market_type": "spread", "model_version": "cfb-spread-v1", "observed_at_utc": "2026-09-12T22:41:47.836186+00:00", "probabilities": {"away": 0.610333, "home": 0.3644, "push": 0.025267}, "replay_scope": "Full precision score means, exact engine parameters and original RNG state; upstream feature construction not certified.", "schema": "cfb-joint-replay-v1", "snapshot_hash": "2175d475cf0da79f91449a4ad263ad5f1a3821cd6a42553506bf90ac52cdab76", "sport": "NCAAF"}</t>
        </is>
      </c>
    </row>
    <row r="202" ht="36" customHeight="1">
      <c r="A202" s="24" t="inlineStr">
        <is>
          <t>3f670b0aa3e74a58</t>
        </is>
      </c>
      <c r="B202" s="24" t="inlineStr">
        <is>
          <t>2026-09-12T22:41:47.836186Z</t>
        </is>
      </c>
      <c r="C202" s="24" t="inlineStr">
        <is>
          <t>2026-09-12T23:30Z</t>
        </is>
      </c>
      <c r="D202" s="24" t="inlineStr">
        <is>
          <t>401856788</t>
        </is>
      </c>
      <c r="E202" s="24" t="inlineStr">
        <is>
          <t>NCAAF</t>
        </is>
      </c>
      <c r="F202" s="24" t="inlineStr">
        <is>
          <t>Iowa State Cyclones</t>
        </is>
      </c>
      <c r="G202" s="24" t="inlineStr">
        <is>
          <t>Iowa Hawkeyes</t>
        </is>
      </c>
      <c r="H202" s="24" t="inlineStr">
        <is>
          <t>total</t>
        </is>
      </c>
      <c r="I202" s="24" t="inlineStr">
        <is>
          <t>over</t>
        </is>
      </c>
      <c r="J202" s="25" t="n">
        <v>42.5</v>
      </c>
      <c r="K202" s="24" t="inlineStr">
        <is>
          <t>espn_consensus</t>
        </is>
      </c>
      <c r="L202" s="26" t="n">
        <v>-110</v>
      </c>
      <c r="M202" s="27" t="n">
        <v>1.909091</v>
      </c>
      <c r="N202" s="28" t="n">
        <v>0.52381</v>
      </c>
      <c r="O202" s="28" t="n">
        <v>0.730867</v>
      </c>
      <c r="P202" s="28" t="n">
        <v>0.18</v>
      </c>
      <c r="Q202" s="28" t="n">
        <v>0.207057</v>
      </c>
      <c r="R202" s="26" t="n">
        <v>46</v>
      </c>
      <c r="S202" s="29" t="n">
        <v>1.25</v>
      </c>
      <c r="T202" s="24" t="inlineStr">
        <is>
          <t>cfb-total-v1</t>
        </is>
      </c>
      <c r="U202" s="24" t="inlineStr">
        <is>
          <t>settled</t>
        </is>
      </c>
      <c r="V202" s="24" t="inlineStr">
        <is>
          <t>loss</t>
        </is>
      </c>
      <c r="W202" s="26" t="n">
        <v>13</v>
      </c>
      <c r="X202" s="26" t="n">
        <v>16</v>
      </c>
      <c r="Y202" s="25" t="n"/>
      <c r="Z202" s="26" t="n"/>
      <c r="AA202" s="28" t="n"/>
      <c r="AB202" s="28" t="n"/>
      <c r="AC202" s="30" t="n">
        <v>-1.25</v>
      </c>
      <c r="AD202" s="24" t="inlineStr">
        <is>
          <t>2026-09-13T04:32:21.585660Z</t>
        </is>
      </c>
      <c r="AE202" s="31" t="inlineStr">
        <is>
          <t>Projected total 55.3 pts (Weather adj: +0.0 pts). Total line 42.5 -&gt; P(Over)=0.731, P(Under)=0.269, P(Push)=0.000.</t>
        </is>
      </c>
      <c r="AF202" s="31" t="inlineStr">
        <is>
          <t>College football model; multi-market (moneyline, spread, total).</t>
        </is>
      </c>
      <c r="AG202" s="24" t="inlineStr">
        <is>
          <t>review_required</t>
        </is>
      </c>
      <c r="AH202" s="24" t="n"/>
      <c r="AI202" s="31" t="n"/>
      <c r="AJ202" s="31" t="n"/>
      <c r="AK202" s="24" t="inlineStr">
        <is>
          <t>model_qualified</t>
        </is>
      </c>
      <c r="AL202" s="26" t="n">
        <v>4</v>
      </c>
      <c r="AM202" s="24" t="inlineStr">
        <is>
          <t>QUALIFIED_SHADOW_CALL</t>
        </is>
      </c>
      <c r="AN202" s="24" t="inlineStr">
        <is>
          <t>CALL</t>
        </is>
      </c>
      <c r="AO202" s="24" t="inlineStr">
        <is>
          <t>QUALIFIED</t>
        </is>
      </c>
      <c r="AP202" s="24" t="inlineStr">
        <is>
          <t>Iowa State Cyclones</t>
        </is>
      </c>
      <c r="AQ202" s="24" t="inlineStr">
        <is>
          <t>Iowa State Cyclones</t>
        </is>
      </c>
      <c r="AR202" s="24" t="inlineStr">
        <is>
          <t>Iowa State Cyclones</t>
        </is>
      </c>
      <c r="AS202" s="24" t="inlineStr">
        <is>
          <t>Iowa Hawkeyes</t>
        </is>
      </c>
      <c r="AT202" s="24" t="inlineStr">
        <is>
          <t>Iowa Hawkeyes</t>
        </is>
      </c>
      <c r="AU202" s="24" t="inlineStr">
        <is>
          <t>Iowa Hawkeyes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1d168f11d221cd3c</t>
        </is>
      </c>
      <c r="BB202" s="24" t="inlineStr">
        <is>
          <t>cfb_key_number_engine</t>
        </is>
      </c>
      <c r="BC202" s="24" t="inlineStr">
        <is>
          <t>cfb-total-v1</t>
        </is>
      </c>
      <c r="BD202" s="24" t="inlineStr">
        <is>
          <t>1d168f11d221cd3c</t>
        </is>
      </c>
      <c r="BE202" s="24" t="inlineStr">
        <is>
          <t>cfb-v1</t>
        </is>
      </c>
      <c r="BF202" s="24" t="inlineStr">
        <is>
          <t>1</t>
        </is>
      </c>
      <c r="BG202" s="24" t="inlineStr">
        <is>
          <t>1d168f11d221cd3c</t>
        </is>
      </c>
      <c r="BH202" s="24" t="inlineStr">
        <is>
          <t>2026-09-12T22:41:47.836186+00:00</t>
        </is>
      </c>
      <c r="BI202" s="24" t="inlineStr">
        <is>
          <t>["same_event","same_team_same_day","same_league_same_day"]</t>
        </is>
      </c>
      <c r="BJ202" s="25" t="n">
        <v>42.5</v>
      </c>
      <c r="BK202" s="26" t="n">
        <v>-110</v>
      </c>
      <c r="BL202" s="27" t="n">
        <v>1.909091</v>
      </c>
      <c r="BM202" s="28" t="n">
        <v>0.52381</v>
      </c>
      <c r="BN202" s="28" t="n"/>
      <c r="BO202" s="28" t="n"/>
      <c r="BP202" s="25" t="n"/>
      <c r="BQ202" s="27" t="n"/>
      <c r="BR202" s="28" t="n"/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True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inlineStr">
        <is>
          <t>0.52381</t>
        </is>
      </c>
      <c r="DK202" s="24" t="n"/>
      <c r="DL202" s="24" t="n"/>
      <c r="DM202" s="24" t="n"/>
      <c r="DN202" s="24" t="n"/>
      <c r="DO202" s="24" t="n"/>
      <c r="DP202" s="24" t="n"/>
      <c r="DQ202" s="24" t="inlineStr">
        <is>
          <t>{"artifact_hash": "1d168f11d221cd3c", "event_id": "401856788", "event_start_utc": "2026-09-12T23:30Z", "features": {"altitude_fatigue_penalty": 0.0, "away_team": "Iowa State Cyclones", "efficiency_gap": 1.147, "elo_away": 1611.6, "elo_home": 1763.6, "elo_home_win_prob": 0.7772, "event_id": "401856788", "game_start_utc": "2026-09-12T23:30Z", "home_field_advantage_points": 2.8, "home_team": "Iowa Hawkeyes", "is_dome": false, "is_fbs_vs_fcs": false, "is_neutral_site": false, "projected_away_points": 23.2, "projected_home_points": 32.1, "projected_margin_home": 8.9, "projected_possessions": 12.4, "projected_total": 55.3, "stadium_elevation_ft": 680, "travel_distance_miles": 110.0, "uncertainty": 0.18, "weather_total_adjustment": 0.0}, "historical_source_observation_times_verified": false, "inference_inputs": {"engine_source_sha256": "449ba2f0e86fa9c445730076a0e0bf100fb4914620be53c75c6f3bfe24298f3f", "mu_away": 23.2, "mu_home": 32.1,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240934981693058078117042985193793416399}, "uinteger": 0}, "spread_home_line": -14.0, "total_line": 42.5}, "market_type": "total", "model_version": "cfb-total-v1", "observed_at_utc": "2026-09-12T22:41:47.836186+00:00", "probabilities": {"over": 0.730867, "push": 0.0, "under": 0.269133}, "replay_scope": "Full precision score means, exact engine parameters and original RNG state; upstream feature construction not certified.", "schema": "cfb-joint-replay-v1", "snapshot_hash": "b3d33a402f3cfea210e89629ca3021f0f2a9eb18404d1d517e5013f2a36d47ed", "sport": "NCAAF"}</t>
        </is>
      </c>
    </row>
    <row r="203" ht="36" customHeight="1">
      <c r="A203" s="24" t="inlineStr">
        <is>
          <t>7759e4be6ec042b8</t>
        </is>
      </c>
      <c r="B203" s="24" t="inlineStr">
        <is>
          <t>2026-09-12T22:41:47.836186Z</t>
        </is>
      </c>
      <c r="C203" s="24" t="inlineStr">
        <is>
          <t>2026-09-12T23:30Z</t>
        </is>
      </c>
      <c r="D203" s="24" t="inlineStr">
        <is>
          <t>401858219</t>
        </is>
      </c>
      <c r="E203" s="24" t="inlineStr">
        <is>
          <t>NCAAF</t>
        </is>
      </c>
      <c r="F203" s="24" t="inlineStr">
        <is>
          <t>Georgia Southern Eagles</t>
        </is>
      </c>
      <c r="G203" s="24" t="inlineStr">
        <is>
          <t>Clemson Tigers</t>
        </is>
      </c>
      <c r="H203" s="24" t="inlineStr">
        <is>
          <t>moneyline</t>
        </is>
      </c>
      <c r="I203" s="24" t="inlineStr">
        <is>
          <t>home</t>
        </is>
      </c>
      <c r="J203" s="25" t="n"/>
      <c r="K203" s="24" t="inlineStr">
        <is>
          <t>espn_consensus</t>
        </is>
      </c>
      <c r="L203" s="26" t="n">
        <v>-1200</v>
      </c>
      <c r="M203" s="27" t="n">
        <v>1.083333</v>
      </c>
      <c r="N203" s="28" t="n">
        <v>0.923077</v>
      </c>
      <c r="O203" s="28" t="n">
        <v>0.523632</v>
      </c>
      <c r="P203" s="28" t="n">
        <v>0.18</v>
      </c>
      <c r="Q203" s="28" t="n">
        <v>-0.399445</v>
      </c>
      <c r="R203" s="26" t="n">
        <v>0</v>
      </c>
      <c r="S203" s="29" t="n">
        <v>1</v>
      </c>
      <c r="T203" s="24" t="inlineStr">
        <is>
          <t>college-football-v1</t>
        </is>
      </c>
      <c r="U203" s="24" t="inlineStr">
        <is>
          <t>settled</t>
        </is>
      </c>
      <c r="V203" s="24" t="inlineStr">
        <is>
          <t>win</t>
        </is>
      </c>
      <c r="W203" s="26" t="n">
        <v>7</v>
      </c>
      <c r="X203" s="26" t="n">
        <v>22</v>
      </c>
      <c r="Y203" s="25" t="n"/>
      <c r="Z203" s="26" t="n"/>
      <c r="AA203" s="28" t="n"/>
      <c r="AB203" s="28" t="n"/>
      <c r="AC203" s="30" t="n">
        <v>0.0833</v>
      </c>
      <c r="AD203" s="24" t="inlineStr">
        <is>
          <t>2026-09-13T10:00:19.307492Z</t>
        </is>
      </c>
      <c r="AE203" s="31" t="inlineStr">
        <is>
          <t>CFB Joint Model (negative_binomial): proj score Georgia Southern Eagles 26.4 @ Clemson Tigers 27.1 (Margin +0.7). Possessions: 12.4, HFA: +2.8 pts.</t>
        </is>
      </c>
      <c r="AF203" s="31" t="inlineStr">
        <is>
          <t>College football model; multi-market (moneyline, spread, total).</t>
        </is>
      </c>
      <c r="AG203" s="24" t="inlineStr">
        <is>
          <t>not_applicable</t>
        </is>
      </c>
      <c r="AH203" s="24" t="n"/>
      <c r="AI203" s="31" t="n"/>
      <c r="AJ203" s="31" t="n"/>
      <c r="AK203" s="24" t="inlineStr">
        <is>
          <t>paper_call</t>
        </is>
      </c>
      <c r="AL203" s="26" t="n">
        <v>4</v>
      </c>
      <c r="AM203" s="24" t="inlineStr">
        <is>
          <t>RESEARCH_OBSERVATION</t>
        </is>
      </c>
      <c r="AN203" s="24" t="inlineStr">
        <is>
          <t>CALL</t>
        </is>
      </c>
      <c r="AO203" s="24" t="inlineStr">
        <is>
          <t>PAPER_CALL_LOW_EDGE</t>
        </is>
      </c>
      <c r="AP203" s="24" t="inlineStr">
        <is>
          <t>Georgia Southern Eagles</t>
        </is>
      </c>
      <c r="AQ203" s="24" t="inlineStr">
        <is>
          <t>Georgia Southern Eagles</t>
        </is>
      </c>
      <c r="AR203" s="24" t="inlineStr">
        <is>
          <t>Georgia Southern Eagles</t>
        </is>
      </c>
      <c r="AS203" s="24" t="inlineStr">
        <is>
          <t>Clemson Tigers</t>
        </is>
      </c>
      <c r="AT203" s="24" t="inlineStr">
        <is>
          <t>Clemson Tigers</t>
        </is>
      </c>
      <c r="AU203" s="24" t="inlineStr">
        <is>
          <t>Clemson Tigers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1d168f11d221cd3c</t>
        </is>
      </c>
      <c r="BB203" s="24" t="inlineStr">
        <is>
          <t>cfb_key_number_engine</t>
        </is>
      </c>
      <c r="BC203" s="24" t="inlineStr">
        <is>
          <t>college-football-v1</t>
        </is>
      </c>
      <c r="BD203" s="24" t="inlineStr">
        <is>
          <t>1d168f11d221cd3c</t>
        </is>
      </c>
      <c r="BE203" s="24" t="inlineStr">
        <is>
          <t>cfb-v1</t>
        </is>
      </c>
      <c r="BF203" s="24" t="inlineStr">
        <is>
          <t>1</t>
        </is>
      </c>
      <c r="BG203" s="24" t="inlineStr">
        <is>
          <t>1d168f11d221cd3c</t>
        </is>
      </c>
      <c r="BH203" s="24" t="inlineStr">
        <is>
          <t>2026-09-12T22:41:47.836186+00:00</t>
        </is>
      </c>
      <c r="BI203" s="24" t="inlineStr">
        <is>
          <t>["same_event","same_team_same_day","same_league_same_day"]</t>
        </is>
      </c>
      <c r="BJ203" s="25" t="n"/>
      <c r="BK203" s="26" t="n">
        <v>-1200</v>
      </c>
      <c r="BL203" s="27" t="n">
        <v>1.083333</v>
      </c>
      <c r="BM203" s="28" t="n">
        <v>0.923077</v>
      </c>
      <c r="BN203" s="28" t="n"/>
      <c r="BO203" s="28" t="n"/>
      <c r="BP203" s="25" t="n"/>
      <c r="BQ203" s="27" t="n"/>
      <c r="BR203" s="28" t="n"/>
      <c r="BS203" s="28" t="n"/>
      <c r="BT203" s="28" t="n"/>
      <c r="BU203" s="25" t="n"/>
      <c r="BV203" s="29" t="n"/>
      <c r="BW203" s="24" t="n"/>
      <c r="BX203" s="30" t="n">
        <v>1</v>
      </c>
      <c r="BY203" s="27" t="n">
        <v>0.083333</v>
      </c>
      <c r="BZ203" s="24" t="inlineStr">
        <is>
          <t>2026-09-13T10:00:19.307492Z</t>
        </is>
      </c>
      <c r="CA203" s="31" t="inlineStr">
        <is>
          <t>fixed one-unit hypothetical scoring; no real exposure or execution</t>
        </is>
      </c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False</t>
        </is>
      </c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n"/>
      <c r="DE203" s="24" t="n"/>
      <c r="DF203" s="24" t="n"/>
      <c r="DG203" s="24" t="n"/>
      <c r="DH203" s="24" t="n"/>
      <c r="DI203" s="24" t="n"/>
      <c r="DJ203" s="24" t="inlineStr">
        <is>
          <t>0.923077</t>
        </is>
      </c>
      <c r="DK203" s="24" t="n"/>
      <c r="DL203" s="24" t="n"/>
      <c r="DM203" s="24" t="n"/>
      <c r="DN203" s="24" t="n"/>
      <c r="DO203" s="24" t="n"/>
      <c r="DP203" s="24" t="n"/>
      <c r="DQ203" s="24" t="inlineStr">
        <is>
          <t>{"artifact_hash": "1d168f11d221cd3c", "event_id": "401858219", "event_start_utc": "2026-09-12T23:30Z", "features": {"altitude_fatigue_penalty": 0.0, "away_team": "Georgia Southern Eagles", "efficiency_gap": 0.075, "elo_away": 1535.0, "elo_home": 1486.4, "elo_home_win_prob": 0.5236, "event_id": "401858219", "game_start_utc": "2026-09-12T23:30Z", "home_field_advantage_points": 2.8, "home_team": "Clemson Tigers", "is_dome": false, "is_fbs_vs_fcs": false, "is_neutral_site": false, "projected_away_points": 26.4, "projected_home_points": 27.1, "projected_margin_home": 0.7, "projected_possessions": 12.4, "projected_total": 53.5, "stadium_elevation_ft": 750, "travel_distance_miles": 168.0, "uncertainty": 0.18, "weather_total_adjustment": 0.0}, "historical_source_observation_times_verified": false, "inference_inputs": {"engine_source_sha256": "449ba2f0e86fa9c445730076a0e0bf100fb4914620be53c75c6f3bfe24298f3f", "mu_away": 26.4, "mu_home": 27.1,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109132496773766143712793488639612849520}, "uinteger": 0}, "spread_home_line": -19.5, "total_line": 55.5}, "market_type": "moneyline", "model_version": "college-football-v1", "observed_at_utc": "2026-09-12T22:41:47.836186+00:00", "probabilities": {"away": 0.476368, "home": 0.523632}, "replay_scope": "Full precision score means, exact engine parameters and original RNG state; upstream feature construction not certified.", "schema": "cfb-joint-replay-v1", "snapshot_hash": "997f99fdee5ec38d2c6e78d6444660c7e188bace0072d497145fc02f6a93f47a", "sport": "NCAAF"}</t>
        </is>
      </c>
    </row>
    <row r="204" ht="36" customHeight="1">
      <c r="A204" s="24" t="inlineStr">
        <is>
          <t>9a203380c4074b86</t>
        </is>
      </c>
      <c r="B204" s="24" t="inlineStr">
        <is>
          <t>2026-09-12T22:41:47.836186Z</t>
        </is>
      </c>
      <c r="C204" s="24" t="inlineStr">
        <is>
          <t>2026-09-12T23:30Z</t>
        </is>
      </c>
      <c r="D204" s="24" t="inlineStr">
        <is>
          <t>401858219</t>
        </is>
      </c>
      <c r="E204" s="24" t="inlineStr">
        <is>
          <t>NCAAF</t>
        </is>
      </c>
      <c r="F204" s="24" t="inlineStr">
        <is>
          <t>Georgia Southern Eagles</t>
        </is>
      </c>
      <c r="G204" s="24" t="inlineStr">
        <is>
          <t>Clemson Tigers</t>
        </is>
      </c>
      <c r="H204" s="24" t="inlineStr">
        <is>
          <t>spread</t>
        </is>
      </c>
      <c r="I204" s="24" t="inlineStr">
        <is>
          <t>away</t>
        </is>
      </c>
      <c r="J204" s="25" t="n">
        <v>19.5</v>
      </c>
      <c r="K204" s="24" t="inlineStr">
        <is>
          <t>espn_consensus</t>
        </is>
      </c>
      <c r="L204" s="26" t="n">
        <v>-105</v>
      </c>
      <c r="M204" s="27" t="n">
        <v>1.952381</v>
      </c>
      <c r="N204" s="28" t="n">
        <v>0.512195</v>
      </c>
      <c r="O204" s="28" t="n">
        <v>0.872333</v>
      </c>
      <c r="P204" s="28" t="n">
        <v>0.18</v>
      </c>
      <c r="Q204" s="28" t="n">
        <v>0.360138</v>
      </c>
      <c r="R204" s="26" t="n">
        <v>100</v>
      </c>
      <c r="S204" s="29" t="n">
        <v>2</v>
      </c>
      <c r="T204" s="24" t="inlineStr">
        <is>
          <t>cfb-spread-v1</t>
        </is>
      </c>
      <c r="U204" s="24" t="inlineStr">
        <is>
          <t>settled</t>
        </is>
      </c>
      <c r="V204" s="24" t="inlineStr">
        <is>
          <t>win</t>
        </is>
      </c>
      <c r="W204" s="26" t="n">
        <v>7</v>
      </c>
      <c r="X204" s="26" t="n">
        <v>22</v>
      </c>
      <c r="Y204" s="25" t="n"/>
      <c r="Z204" s="26" t="n"/>
      <c r="AA204" s="28" t="n"/>
      <c r="AB204" s="28" t="n"/>
      <c r="AC204" s="30" t="n">
        <v>1.9048</v>
      </c>
      <c r="AD204" s="24" t="inlineStr">
        <is>
          <t>2026-09-13T10:00:19.647924Z</t>
        </is>
      </c>
      <c r="AE204" s="31" t="inlineStr">
        <is>
          <t>Projected home margin +0.7 pts. Spread: Home -19.5 / Away +19.5 -&gt; P(Away cover)=0.872, P(Home cover)=0.128, P(Push)=0.000.</t>
        </is>
      </c>
      <c r="AF204" s="31" t="inlineStr">
        <is>
          <t>College football model; multi-market (moneyline, spread, total).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model_qualified</t>
        </is>
      </c>
      <c r="AL204" s="26" t="n">
        <v>4</v>
      </c>
      <c r="AM204" s="24" t="inlineStr">
        <is>
          <t>QUALIFIED_SHADOW_CALL</t>
        </is>
      </c>
      <c r="AN204" s="24" t="inlineStr">
        <is>
          <t>CALL</t>
        </is>
      </c>
      <c r="AO204" s="24" t="inlineStr">
        <is>
          <t>QUALIFIED</t>
        </is>
      </c>
      <c r="AP204" s="24" t="inlineStr">
        <is>
          <t>Georgia Southern Eagles</t>
        </is>
      </c>
      <c r="AQ204" s="24" t="inlineStr">
        <is>
          <t>Georgia Southern Eagles</t>
        </is>
      </c>
      <c r="AR204" s="24" t="inlineStr">
        <is>
          <t>Georgia Southern Eagles</t>
        </is>
      </c>
      <c r="AS204" s="24" t="inlineStr">
        <is>
          <t>Clemson Tigers</t>
        </is>
      </c>
      <c r="AT204" s="24" t="inlineStr">
        <is>
          <t>Clemson Tigers</t>
        </is>
      </c>
      <c r="AU204" s="24" t="inlineStr">
        <is>
          <t>Clemson Tigers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1d168f11d221cd3c</t>
        </is>
      </c>
      <c r="BB204" s="24" t="inlineStr">
        <is>
          <t>cfb_key_number_engine</t>
        </is>
      </c>
      <c r="BC204" s="24" t="inlineStr">
        <is>
          <t>cfb-spread-v1</t>
        </is>
      </c>
      <c r="BD204" s="24" t="inlineStr">
        <is>
          <t>1d168f11d221cd3c</t>
        </is>
      </c>
      <c r="BE204" s="24" t="inlineStr">
        <is>
          <t>cfb-v1</t>
        </is>
      </c>
      <c r="BF204" s="24" t="inlineStr">
        <is>
          <t>1</t>
        </is>
      </c>
      <c r="BG204" s="24" t="inlineStr">
        <is>
          <t>1d168f11d221cd3c</t>
        </is>
      </c>
      <c r="BH204" s="24" t="inlineStr">
        <is>
          <t>2026-09-12T22:41:47.836186+00:00</t>
        </is>
      </c>
      <c r="BI204" s="24" t="inlineStr">
        <is>
          <t>["same_event","same_team_same_day","same_league_same_day"]</t>
        </is>
      </c>
      <c r="BJ204" s="25" t="n">
        <v>19.5</v>
      </c>
      <c r="BK204" s="26" t="n">
        <v>-105</v>
      </c>
      <c r="BL204" s="27" t="n">
        <v>1.952381</v>
      </c>
      <c r="BM204" s="28" t="n">
        <v>0.512195</v>
      </c>
      <c r="BN204" s="28" t="n"/>
      <c r="BO204" s="28" t="n"/>
      <c r="BP204" s="25" t="n"/>
      <c r="BQ204" s="27" t="n"/>
      <c r="BR204" s="28" t="n"/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n"/>
      <c r="DE204" s="24" t="n"/>
      <c r="DF204" s="24" t="n"/>
      <c r="DG204" s="24" t="n"/>
      <c r="DH204" s="24" t="n"/>
      <c r="DI204" s="24" t="n"/>
      <c r="DJ204" s="24" t="inlineStr">
        <is>
          <t>0.512195</t>
        </is>
      </c>
      <c r="DK204" s="24" t="n"/>
      <c r="DL204" s="24" t="n"/>
      <c r="DM204" s="24" t="n"/>
      <c r="DN204" s="24" t="n"/>
      <c r="DO204" s="24" t="n"/>
      <c r="DP204" s="24" t="n"/>
      <c r="DQ204" s="24" t="inlineStr">
        <is>
          <t>{"artifact_hash": "1d168f11d221cd3c", "event_id": "401858219", "event_start_utc": "2026-09-12T23:30Z", "features": {"altitude_fatigue_penalty": 0.0, "away_team": "Georgia Southern Eagles", "efficiency_gap": 0.075, "elo_away": 1535.0, "elo_home": 1486.4, "elo_home_win_prob": 0.5236, "event_id": "401858219", "game_start_utc": "2026-09-12T23:30Z", "home_field_advantage_points": 2.8, "home_team": "Clemson Tigers", "is_dome": false, "is_fbs_vs_fcs": false, "is_neutral_site": false, "projected_away_points": 26.4, "projected_home_points": 27.1, "projected_margin_home": 0.7, "projected_possessions": 12.4, "projected_total": 53.5, "stadium_elevation_ft": 750, "travel_distance_miles": 168.0, "uncertainty": 0.18, "weather_total_adjustment": 0.0}, "historical_source_observation_times_verified": false, "inference_inputs": {"engine_source_sha256": "449ba2f0e86fa9c445730076a0e0bf100fb4914620be53c75c6f3bfe24298f3f", "mu_away": 26.4, "mu_home": 27.1,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109132496773766143712793488639612849520}, "uinteger": 0}, "spread_home_line": -19.5, "total_line": 55.5}, "market_type": "spread", "model_version": "cfb-spread-v1", "observed_at_utc": "2026-09-12T22:41:47.836186+00:00", "probabilities": {"away": 0.872333, "home": 0.127667, "push": 0.0}, "replay_scope": "Full precision score means, exact engine parameters and original RNG state; upstream feature construction not certified.", "schema": "cfb-joint-replay-v1", "snapshot_hash": "0f8af5269c8d861113841bee8da082ece0eba720f6cc505c7e6fc94c444a5bfd", "sport": "NCAAF"}</t>
        </is>
      </c>
    </row>
    <row r="205" ht="36" customHeight="1">
      <c r="A205" s="24" t="inlineStr">
        <is>
          <t>cafe65a6f3134d7d</t>
        </is>
      </c>
      <c r="B205" s="24" t="inlineStr">
        <is>
          <t>2026-09-12T22:41:47.836186Z</t>
        </is>
      </c>
      <c r="C205" s="24" t="inlineStr">
        <is>
          <t>2026-09-12T23:30Z</t>
        </is>
      </c>
      <c r="D205" s="24" t="inlineStr">
        <is>
          <t>401858219</t>
        </is>
      </c>
      <c r="E205" s="24" t="inlineStr">
        <is>
          <t>NCAAF</t>
        </is>
      </c>
      <c r="F205" s="24" t="inlineStr">
        <is>
          <t>Georgia Southern Eagles</t>
        </is>
      </c>
      <c r="G205" s="24" t="inlineStr">
        <is>
          <t>Clemson Tigers</t>
        </is>
      </c>
      <c r="H205" s="24" t="inlineStr">
        <is>
          <t>total</t>
        </is>
      </c>
      <c r="I205" s="24" t="inlineStr">
        <is>
          <t>under</t>
        </is>
      </c>
      <c r="J205" s="25" t="n">
        <v>55.5</v>
      </c>
      <c r="K205" s="24" t="inlineStr">
        <is>
          <t>espn_consensus</t>
        </is>
      </c>
      <c r="L205" s="26" t="n">
        <v>-118</v>
      </c>
      <c r="M205" s="27" t="n">
        <v>1.847458</v>
      </c>
      <c r="N205" s="28" t="n">
        <v>0.541284</v>
      </c>
      <c r="O205" s="28" t="n">
        <v>0.5644670000000001</v>
      </c>
      <c r="P205" s="28" t="n">
        <v>0.18</v>
      </c>
      <c r="Q205" s="28" t="n">
        <v>0.023183</v>
      </c>
      <c r="R205" s="26" t="n">
        <v>0</v>
      </c>
      <c r="S205" s="29" t="n">
        <v>1</v>
      </c>
      <c r="T205" s="24" t="inlineStr">
        <is>
          <t>cfb-total-v1</t>
        </is>
      </c>
      <c r="U205" s="24" t="inlineStr">
        <is>
          <t>settled</t>
        </is>
      </c>
      <c r="V205" s="24" t="inlineStr">
        <is>
          <t>win</t>
        </is>
      </c>
      <c r="W205" s="26" t="n">
        <v>7</v>
      </c>
      <c r="X205" s="26" t="n">
        <v>22</v>
      </c>
      <c r="Y205" s="25" t="n"/>
      <c r="Z205" s="26" t="n"/>
      <c r="AA205" s="28" t="n"/>
      <c r="AB205" s="28" t="n"/>
      <c r="AC205" s="30" t="n">
        <v>0.8475</v>
      </c>
      <c r="AD205" s="24" t="inlineStr">
        <is>
          <t>2026-09-13T10:00:20.005534Z</t>
        </is>
      </c>
      <c r="AE205" s="31" t="inlineStr">
        <is>
          <t>Projected total 53.5 pts (Weather adj: +0.0 pts). Total line 55.5 -&gt; P(Over)=0.436, P(Under)=0.564, P(Push)=0.000.</t>
        </is>
      </c>
      <c r="AF205" s="31" t="inlineStr">
        <is>
          <t>College football model; multi-market (moneyline, spread, total).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paper_call</t>
        </is>
      </c>
      <c r="AL205" s="26" t="n">
        <v>4</v>
      </c>
      <c r="AM205" s="24" t="inlineStr">
        <is>
          <t>RESEARCH_OBSERVATION</t>
        </is>
      </c>
      <c r="AN205" s="24" t="inlineStr">
        <is>
          <t>CALL</t>
        </is>
      </c>
      <c r="AO205" s="24" t="inlineStr">
        <is>
          <t>PAPER_CALL_LOW_EDGE</t>
        </is>
      </c>
      <c r="AP205" s="24" t="inlineStr">
        <is>
          <t>Georgia Southern Eagles</t>
        </is>
      </c>
      <c r="AQ205" s="24" t="inlineStr">
        <is>
          <t>Georgia Southern Eagles</t>
        </is>
      </c>
      <c r="AR205" s="24" t="inlineStr">
        <is>
          <t>Georgia Southern Eagles</t>
        </is>
      </c>
      <c r="AS205" s="24" t="inlineStr">
        <is>
          <t>Clemson Tigers</t>
        </is>
      </c>
      <c r="AT205" s="24" t="inlineStr">
        <is>
          <t>Clemson Tigers</t>
        </is>
      </c>
      <c r="AU205" s="24" t="inlineStr">
        <is>
          <t>Clemson Tigers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1d168f11d221cd3c</t>
        </is>
      </c>
      <c r="BB205" s="24" t="inlineStr">
        <is>
          <t>cfb_key_number_engine</t>
        </is>
      </c>
      <c r="BC205" s="24" t="inlineStr">
        <is>
          <t>cfb-total-v1</t>
        </is>
      </c>
      <c r="BD205" s="24" t="inlineStr">
        <is>
          <t>1d168f11d221cd3c</t>
        </is>
      </c>
      <c r="BE205" s="24" t="inlineStr">
        <is>
          <t>cfb-v1</t>
        </is>
      </c>
      <c r="BF205" s="24" t="inlineStr">
        <is>
          <t>1</t>
        </is>
      </c>
      <c r="BG205" s="24" t="inlineStr">
        <is>
          <t>1d168f11d221cd3c</t>
        </is>
      </c>
      <c r="BH205" s="24" t="inlineStr">
        <is>
          <t>2026-09-12T22:41:47.836186+00:00</t>
        </is>
      </c>
      <c r="BI205" s="24" t="inlineStr">
        <is>
          <t>["same_event","same_team_same_day","same_league_same_day"]</t>
        </is>
      </c>
      <c r="BJ205" s="25" t="n">
        <v>55.5</v>
      </c>
      <c r="BK205" s="26" t="n">
        <v>-118</v>
      </c>
      <c r="BL205" s="27" t="n">
        <v>1.847458</v>
      </c>
      <c r="BM205" s="28" t="n">
        <v>0.541284</v>
      </c>
      <c r="BN205" s="28" t="n"/>
      <c r="BO205" s="28" t="n"/>
      <c r="BP205" s="25" t="n"/>
      <c r="BQ205" s="27" t="n"/>
      <c r="BR205" s="28" t="n"/>
      <c r="BS205" s="28" t="n"/>
      <c r="BT205" s="28" t="n"/>
      <c r="BU205" s="25" t="n"/>
      <c r="BV205" s="29" t="n"/>
      <c r="BW205" s="24" t="n"/>
      <c r="BX205" s="30" t="n">
        <v>1</v>
      </c>
      <c r="BY205" s="27" t="n">
        <v>0.847458</v>
      </c>
      <c r="BZ205" s="24" t="inlineStr">
        <is>
          <t>2026-09-13T10:00:20.005534Z</t>
        </is>
      </c>
      <c r="CA205" s="31" t="inlineStr">
        <is>
          <t>fixed one-unit hypothetical scoring; no real exposure or execution</t>
        </is>
      </c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True</t>
        </is>
      </c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n"/>
      <c r="DE205" s="24" t="n"/>
      <c r="DF205" s="24" t="n"/>
      <c r="DG205" s="24" t="n"/>
      <c r="DH205" s="24" t="n"/>
      <c r="DI205" s="24" t="n"/>
      <c r="DJ205" s="24" t="inlineStr">
        <is>
          <t>0.541284</t>
        </is>
      </c>
      <c r="DK205" s="24" t="n"/>
      <c r="DL205" s="24" t="n"/>
      <c r="DM205" s="24" t="n"/>
      <c r="DN205" s="24" t="n"/>
      <c r="DO205" s="24" t="n"/>
      <c r="DP205" s="24" t="n"/>
      <c r="DQ205" s="24" t="inlineStr">
        <is>
          <t>{"artifact_hash": "1d168f11d221cd3c", "event_id": "401858219", "event_start_utc": "2026-09-12T23:30Z", "features": {"altitude_fatigue_penalty": 0.0, "away_team": "Georgia Southern Eagles", "efficiency_gap": 0.075, "elo_away": 1535.0, "elo_home": 1486.4, "elo_home_win_prob": 0.5236, "event_id": "401858219", "game_start_utc": "2026-09-12T23:30Z", "home_field_advantage_points": 2.8, "home_team": "Clemson Tigers", "is_dome": false, "is_fbs_vs_fcs": false, "is_neutral_site": false, "projected_away_points": 26.4, "projected_home_points": 27.1, "projected_margin_home": 0.7, "projected_possessions": 12.4, "projected_total": 53.5, "stadium_elevation_ft": 750, "travel_distance_miles": 168.0, "uncertainty": 0.18, "weather_total_adjustment": 0.0}, "historical_source_observation_times_verified": false, "inference_inputs": {"engine_source_sha256": "449ba2f0e86fa9c445730076a0e0bf100fb4914620be53c75c6f3bfe24298f3f", "mu_away": 26.4, "mu_home": 27.1,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109132496773766143712793488639612849520}, "uinteger": 0}, "spread_home_line": -19.5, "total_line": 55.5}, "market_type": "total", "model_version": "cfb-total-v1", "observed_at_utc": "2026-09-12T22:41:47.836186+00:00", "probabilities": {"over": 0.435533, "push": 0.0, "under": 0.564467}, "replay_scope": "Full precision score means, exact engine parameters and original RNG state; upstream feature construction not certified.", "schema": "cfb-joint-replay-v1", "snapshot_hash": "41c13b2409853ed7111793df71fc15242c255834cf4f1f6abfef3c85a2b9faa0", "sport": "NCAAF"}</t>
        </is>
      </c>
    </row>
    <row r="206" ht="36" customHeight="1">
      <c r="A206" s="24" t="inlineStr">
        <is>
          <t>4e6866e5848c4abb</t>
        </is>
      </c>
      <c r="B206" s="24" t="inlineStr">
        <is>
          <t>2026-09-12T22:41:47.836186Z</t>
        </is>
      </c>
      <c r="C206" s="24" t="inlineStr">
        <is>
          <t>2026-09-12T23:30Z</t>
        </is>
      </c>
      <c r="D206" s="24" t="inlineStr">
        <is>
          <t>401862703</t>
        </is>
      </c>
      <c r="E206" s="24" t="inlineStr">
        <is>
          <t>NCAAF</t>
        </is>
      </c>
      <c r="F206" s="24" t="inlineStr">
        <is>
          <t>Navy Midshipmen</t>
        </is>
      </c>
      <c r="G206" s="24" t="inlineStr">
        <is>
          <t>Florida Atlantic Owls</t>
        </is>
      </c>
      <c r="H206" s="24" t="inlineStr">
        <is>
          <t>moneyline</t>
        </is>
      </c>
      <c r="I206" s="24" t="inlineStr">
        <is>
          <t>away</t>
        </is>
      </c>
      <c r="J206" s="25" t="n"/>
      <c r="K206" s="24" t="inlineStr">
        <is>
          <t>espn_consensus</t>
        </is>
      </c>
      <c r="L206" s="26" t="n">
        <v>-198</v>
      </c>
      <c r="M206" s="27" t="n">
        <v>1.505051</v>
      </c>
      <c r="N206" s="28" t="n">
        <v>0.66443</v>
      </c>
      <c r="O206" s="28" t="n">
        <v>0.819523</v>
      </c>
      <c r="P206" s="28" t="n">
        <v>0.18</v>
      </c>
      <c r="Q206" s="28" t="n">
        <v>0.155093</v>
      </c>
      <c r="R206" s="26" t="n">
        <v>20</v>
      </c>
      <c r="S206" s="29" t="n">
        <v>1</v>
      </c>
      <c r="T206" s="24" t="inlineStr">
        <is>
          <t>college-football-v1</t>
        </is>
      </c>
      <c r="U206" s="24" t="inlineStr">
        <is>
          <t>settled</t>
        </is>
      </c>
      <c r="V206" s="24" t="inlineStr">
        <is>
          <t>loss</t>
        </is>
      </c>
      <c r="W206" s="26" t="n">
        <v>30</v>
      </c>
      <c r="X206" s="26" t="n">
        <v>38</v>
      </c>
      <c r="Y206" s="25" t="n"/>
      <c r="Z206" s="26" t="n"/>
      <c r="AA206" s="28" t="n"/>
      <c r="AB206" s="28" t="n"/>
      <c r="AC206" s="30" t="n">
        <v>-1</v>
      </c>
      <c r="AD206" s="24" t="inlineStr">
        <is>
          <t>2026-09-13T04:32:22.116254Z</t>
        </is>
      </c>
      <c r="AE206" s="31" t="inlineStr">
        <is>
          <t>CFB Joint Model (negative_binomial): proj score Navy Midshipmen 34.1 @ Florida Atlantic Owls 19.5 (Margin -14.6). Possessions: 12.4, HFA: +2.8 pts.</t>
        </is>
      </c>
      <c r="AF206" s="31" t="inlineStr">
        <is>
          <t>College football model; multi-market (moneyline, spread, total).</t>
        </is>
      </c>
      <c r="AG206" s="24" t="inlineStr">
        <is>
          <t>review_required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4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Navy Midshipmen</t>
        </is>
      </c>
      <c r="AQ206" s="24" t="inlineStr">
        <is>
          <t>Navy Midshipmen</t>
        </is>
      </c>
      <c r="AR206" s="24" t="inlineStr">
        <is>
          <t>Navy Midshipmen</t>
        </is>
      </c>
      <c r="AS206" s="24" t="inlineStr">
        <is>
          <t>Florida Atlantic Owls</t>
        </is>
      </c>
      <c r="AT206" s="24" t="inlineStr">
        <is>
          <t>Florida Atlantic Owls</t>
        </is>
      </c>
      <c r="AU206" s="24" t="inlineStr">
        <is>
          <t>Florida Atlantic Owls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1d168f11d221cd3c</t>
        </is>
      </c>
      <c r="BB206" s="24" t="inlineStr">
        <is>
          <t>cfb_key_number_engine</t>
        </is>
      </c>
      <c r="BC206" s="24" t="inlineStr">
        <is>
          <t>college-football-v1</t>
        </is>
      </c>
      <c r="BD206" s="24" t="inlineStr">
        <is>
          <t>1d168f11d221cd3c</t>
        </is>
      </c>
      <c r="BE206" s="24" t="inlineStr">
        <is>
          <t>cfb-v1</t>
        </is>
      </c>
      <c r="BF206" s="24" t="inlineStr">
        <is>
          <t>1</t>
        </is>
      </c>
      <c r="BG206" s="24" t="inlineStr">
        <is>
          <t>1d168f11d221cd3c</t>
        </is>
      </c>
      <c r="BH206" s="24" t="inlineStr">
        <is>
          <t>2026-09-12T22:41:47.836186+00:00</t>
        </is>
      </c>
      <c r="BI206" s="24" t="inlineStr">
        <is>
          <t>["same_event","same_team_same_day","same_league_same_day"]</t>
        </is>
      </c>
      <c r="BJ206" s="25" t="n"/>
      <c r="BK206" s="26" t="n">
        <v>-198</v>
      </c>
      <c r="BL206" s="27" t="n">
        <v>1.505051</v>
      </c>
      <c r="BM206" s="28" t="n">
        <v>0.66443</v>
      </c>
      <c r="BN206" s="28" t="n"/>
      <c r="BO206" s="28" t="n"/>
      <c r="BP206" s="25" t="n"/>
      <c r="BQ206" s="27" t="n"/>
      <c r="BR206" s="28" t="n"/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n"/>
      <c r="DE206" s="24" t="n"/>
      <c r="DF206" s="24" t="n"/>
      <c r="DG206" s="24" t="n"/>
      <c r="DH206" s="24" t="n"/>
      <c r="DI206" s="24" t="n"/>
      <c r="DJ206" s="24" t="inlineStr">
        <is>
          <t>0.66443</t>
        </is>
      </c>
      <c r="DK206" s="24" t="n"/>
      <c r="DL206" s="24" t="n"/>
      <c r="DM206" s="24" t="n"/>
      <c r="DN206" s="24" t="n"/>
      <c r="DO206" s="24" t="n"/>
      <c r="DP206" s="24" t="n"/>
      <c r="DQ206" s="24" t="inlineStr">
        <is>
          <t>{"artifact_hash": "1d168f11d221cd3c", "event_id": "401862703", "event_start_utc": "2026-09-12T23:30Z", "features": {"altitude_fatigue_penalty": 0.0, "away_team": "Navy Midshipmen", "efficiency_gap": -0.781, "elo_away": 1678.1, "elo_home": 1256.5, "elo_home_win_prob": 0.1137, "event_id": "401862703", "game_start_utc": "2026-09-12T23:30Z", "home_field_advantage_points": 2.8, "home_team": "Florida Atlantic Owls", "is_dome": false, "is_fbs_vs_fcs": false, "is_neutral_site": false, "projected_away_points": 34.1, "projected_home_points": 19.5, "projected_margin_home": -14.6, "projected_possessions": 12.4, "projected_total": 53.6, "stadium_elevation_ft": 15, "travel_distance_miles": 896.0, "uncertainty": 0.18, "weather_total_adjustment": 0.0}, "historical_source_observation_times_verified": false, "inference_inputs": {"engine_source_sha256": "449ba2f0e86fa9c445730076a0e0bf100fb4914620be53c75c6f3bfe24298f3f", "mu_away": 34.1, "mu_home": 19.5,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300108500026990454162226156180407428023}, "uinteger": 0}, "spread_home_line": 4.0, "total_line": 59.5}, "market_type": "moneyline", "model_version": "college-football-v1", "observed_at_utc": "2026-09-12T22:41:47.836186+00:00", "probabilities": {"away": 0.819523, "home": 0.180477}, "replay_scope": "Full precision score means, exact engine parameters and original RNG state; upstream feature construction not certified.", "schema": "cfb-joint-replay-v1", "snapshot_hash": "559fd4af8d7f1ccb496924118e501a31989602ff7441a3dacc45fa4af8c14f0b", "sport": "NCAAF"}</t>
        </is>
      </c>
    </row>
    <row r="207" ht="36" customHeight="1">
      <c r="A207" s="24" t="inlineStr">
        <is>
          <t>600300e250264776</t>
        </is>
      </c>
      <c r="B207" s="24" t="inlineStr">
        <is>
          <t>2026-09-12T22:41:47.836186Z</t>
        </is>
      </c>
      <c r="C207" s="24" t="inlineStr">
        <is>
          <t>2026-09-12T23:30Z</t>
        </is>
      </c>
      <c r="D207" s="24" t="inlineStr">
        <is>
          <t>401862703</t>
        </is>
      </c>
      <c r="E207" s="24" t="inlineStr">
        <is>
          <t>NCAAF</t>
        </is>
      </c>
      <c r="F207" s="24" t="inlineStr">
        <is>
          <t>Navy Midshipmen</t>
        </is>
      </c>
      <c r="G207" s="24" t="inlineStr">
        <is>
          <t>Florida Atlantic Owls</t>
        </is>
      </c>
      <c r="H207" s="24" t="inlineStr">
        <is>
          <t>spread</t>
        </is>
      </c>
      <c r="I207" s="24" t="inlineStr">
        <is>
          <t>away</t>
        </is>
      </c>
      <c r="J207" s="25" t="n">
        <v>-4</v>
      </c>
      <c r="K207" s="24" t="inlineStr">
        <is>
          <t>espn_consensus</t>
        </is>
      </c>
      <c r="L207" s="26" t="n">
        <v>-112</v>
      </c>
      <c r="M207" s="27" t="n">
        <v>1.892857</v>
      </c>
      <c r="N207" s="28" t="n">
        <v>0.528302</v>
      </c>
      <c r="O207" s="28" t="n">
        <v>0.746</v>
      </c>
      <c r="P207" s="28" t="n">
        <v>0.18</v>
      </c>
      <c r="Q207" s="28" t="n">
        <v>0.217698</v>
      </c>
      <c r="R207" s="26" t="n">
        <v>51</v>
      </c>
      <c r="S207" s="29" t="n">
        <v>1.25</v>
      </c>
      <c r="T207" s="24" t="inlineStr">
        <is>
          <t>cfb-spread-v1</t>
        </is>
      </c>
      <c r="U207" s="24" t="inlineStr">
        <is>
          <t>settled</t>
        </is>
      </c>
      <c r="V207" s="24" t="inlineStr">
        <is>
          <t>loss</t>
        </is>
      </c>
      <c r="W207" s="26" t="n">
        <v>30</v>
      </c>
      <c r="X207" s="26" t="n">
        <v>38</v>
      </c>
      <c r="Y207" s="25" t="n"/>
      <c r="Z207" s="26" t="n"/>
      <c r="AA207" s="28" t="n"/>
      <c r="AB207" s="28" t="n"/>
      <c r="AC207" s="30" t="n">
        <v>-1.25</v>
      </c>
      <c r="AD207" s="24" t="inlineStr">
        <is>
          <t>2026-09-13T04:32:22.478142Z</t>
        </is>
      </c>
      <c r="AE207" s="31" t="inlineStr">
        <is>
          <t>Projected home margin -14.6 pts. Spread: Home +4.0 / Away -4.0 -&gt; P(Away cover)=0.746, P(Home cover)=0.235, P(Push)=0.019.</t>
        </is>
      </c>
      <c r="AF207" s="31" t="inlineStr">
        <is>
          <t>College football model; multi-market (moneyline, spread, total).</t>
        </is>
      </c>
      <c r="AG207" s="24" t="inlineStr">
        <is>
          <t>review_required</t>
        </is>
      </c>
      <c r="AH207" s="24" t="n"/>
      <c r="AI207" s="31" t="n"/>
      <c r="AJ207" s="31" t="n"/>
      <c r="AK207" s="24" t="inlineStr">
        <is>
          <t>model_qualified</t>
        </is>
      </c>
      <c r="AL207" s="26" t="n">
        <v>4</v>
      </c>
      <c r="AM207" s="24" t="inlineStr">
        <is>
          <t>QUALIFIED_SHADOW_CALL</t>
        </is>
      </c>
      <c r="AN207" s="24" t="inlineStr">
        <is>
          <t>CALL</t>
        </is>
      </c>
      <c r="AO207" s="24" t="inlineStr">
        <is>
          <t>QUALIFIED</t>
        </is>
      </c>
      <c r="AP207" s="24" t="inlineStr">
        <is>
          <t>Navy Midshipmen</t>
        </is>
      </c>
      <c r="AQ207" s="24" t="inlineStr">
        <is>
          <t>Navy Midshipmen</t>
        </is>
      </c>
      <c r="AR207" s="24" t="inlineStr">
        <is>
          <t>Navy Midshipmen</t>
        </is>
      </c>
      <c r="AS207" s="24" t="inlineStr">
        <is>
          <t>Florida Atlantic Owls</t>
        </is>
      </c>
      <c r="AT207" s="24" t="inlineStr">
        <is>
          <t>Florida Atlantic Owls</t>
        </is>
      </c>
      <c r="AU207" s="24" t="inlineStr">
        <is>
          <t>Florida Atlantic Owls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1d168f11d221cd3c</t>
        </is>
      </c>
      <c r="BB207" s="24" t="inlineStr">
        <is>
          <t>cfb_key_number_engine</t>
        </is>
      </c>
      <c r="BC207" s="24" t="inlineStr">
        <is>
          <t>cfb-spread-v1</t>
        </is>
      </c>
      <c r="BD207" s="24" t="inlineStr">
        <is>
          <t>1d168f11d221cd3c</t>
        </is>
      </c>
      <c r="BE207" s="24" t="inlineStr">
        <is>
          <t>cfb-v1</t>
        </is>
      </c>
      <c r="BF207" s="24" t="inlineStr">
        <is>
          <t>1</t>
        </is>
      </c>
      <c r="BG207" s="24" t="inlineStr">
        <is>
          <t>1d168f11d221cd3c</t>
        </is>
      </c>
      <c r="BH207" s="24" t="inlineStr">
        <is>
          <t>2026-09-12T22:41:47.836186+00:00</t>
        </is>
      </c>
      <c r="BI207" s="24" t="inlineStr">
        <is>
          <t>["same_event","same_team_same_day","same_league_same_day"]</t>
        </is>
      </c>
      <c r="BJ207" s="25" t="n">
        <v>-4</v>
      </c>
      <c r="BK207" s="26" t="n">
        <v>-112</v>
      </c>
      <c r="BL207" s="27" t="n">
        <v>1.892857</v>
      </c>
      <c r="BM207" s="28" t="n">
        <v>0.528302</v>
      </c>
      <c r="BN207" s="28" t="n"/>
      <c r="BO207" s="28" t="n"/>
      <c r="BP207" s="25" t="n"/>
      <c r="BQ207" s="27" t="n"/>
      <c r="BR207" s="28" t="n"/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inlineStr">
        <is>
          <t>0.528302</t>
        </is>
      </c>
      <c r="DK207" s="24" t="n"/>
      <c r="DL207" s="24" t="n"/>
      <c r="DM207" s="24" t="n"/>
      <c r="DN207" s="24" t="n"/>
      <c r="DO207" s="24" t="n"/>
      <c r="DP207" s="24" t="n"/>
      <c r="DQ207" s="24" t="inlineStr">
        <is>
          <t>{"artifact_hash": "1d168f11d221cd3c", "event_id": "401862703", "event_start_utc": "2026-09-12T23:30Z", "features": {"altitude_fatigue_penalty": 0.0, "away_team": "Navy Midshipmen", "efficiency_gap": -0.781, "elo_away": 1678.1, "elo_home": 1256.5, "elo_home_win_prob": 0.1137, "event_id": "401862703", "game_start_utc": "2026-09-12T23:30Z", "home_field_advantage_points": 2.8, "home_team": "Florida Atlantic Owls", "is_dome": false, "is_fbs_vs_fcs": false, "is_neutral_site": false, "projected_away_points": 34.1, "projected_home_points": 19.5, "projected_margin_home": -14.6, "projected_possessions": 12.4, "projected_total": 53.6, "stadium_elevation_ft": 15, "travel_distance_miles": 896.0, "uncertainty": 0.18, "weather_total_adjustment": 0.0}, "historical_source_observation_times_verified": false, "inference_inputs": {"engine_source_sha256": "449ba2f0e86fa9c445730076a0e0bf100fb4914620be53c75c6f3bfe24298f3f", "mu_away": 34.1, "mu_home": 19.5,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300108500026990454162226156180407428023}, "uinteger": 0}, "spread_home_line": 4.0, "total_line": 59.5}, "market_type": "spread", "model_version": "cfb-spread-v1", "observed_at_utc": "2026-09-12T22:41:47.836186+00:00", "probabilities": {"away": 0.746, "home": 0.235, "push": 0.019}, "replay_scope": "Full precision score means, exact engine parameters and original RNG state; upstream feature construction not certified.", "schema": "cfb-joint-replay-v1", "snapshot_hash": "a1f34a802e8986531c34bc894176c7364ad520990b3c57f65a845afda5535365", "sport": "NCAAF"}</t>
        </is>
      </c>
    </row>
    <row r="208" ht="36" customHeight="1">
      <c r="A208" s="24" t="inlineStr">
        <is>
          <t>725be015b3d94e2b</t>
        </is>
      </c>
      <c r="B208" s="24" t="inlineStr">
        <is>
          <t>2026-09-12T22:41:47.836186Z</t>
        </is>
      </c>
      <c r="C208" s="24" t="inlineStr">
        <is>
          <t>2026-09-12T23:30Z</t>
        </is>
      </c>
      <c r="D208" s="24" t="inlineStr">
        <is>
          <t>401862703</t>
        </is>
      </c>
      <c r="E208" s="24" t="inlineStr">
        <is>
          <t>NCAAF</t>
        </is>
      </c>
      <c r="F208" s="24" t="inlineStr">
        <is>
          <t>Navy Midshipmen</t>
        </is>
      </c>
      <c r="G208" s="24" t="inlineStr">
        <is>
          <t>Florida Atlantic Owls</t>
        </is>
      </c>
      <c r="H208" s="24" t="inlineStr">
        <is>
          <t>total</t>
        </is>
      </c>
      <c r="I208" s="24" t="inlineStr">
        <is>
          <t>under</t>
        </is>
      </c>
      <c r="J208" s="25" t="n">
        <v>59.5</v>
      </c>
      <c r="K208" s="24" t="inlineStr">
        <is>
          <t>espn_consensus</t>
        </is>
      </c>
      <c r="L208" s="26" t="n">
        <v>-110</v>
      </c>
      <c r="M208" s="27" t="n">
        <v>1.909091</v>
      </c>
      <c r="N208" s="28" t="n">
        <v>0.52381</v>
      </c>
      <c r="O208" s="28" t="n">
        <v>0.6382</v>
      </c>
      <c r="P208" s="28" t="n">
        <v>0.18</v>
      </c>
      <c r="Q208" s="28" t="n">
        <v>0.11439</v>
      </c>
      <c r="R208" s="26" t="n">
        <v>0</v>
      </c>
      <c r="S208" s="29" t="n">
        <v>1</v>
      </c>
      <c r="T208" s="24" t="inlineStr">
        <is>
          <t>cfb-total-v1</t>
        </is>
      </c>
      <c r="U208" s="24" t="inlineStr">
        <is>
          <t>settled</t>
        </is>
      </c>
      <c r="V208" s="24" t="inlineStr">
        <is>
          <t>loss</t>
        </is>
      </c>
      <c r="W208" s="26" t="n">
        <v>30</v>
      </c>
      <c r="X208" s="26" t="n">
        <v>38</v>
      </c>
      <c r="Y208" s="25" t="n"/>
      <c r="Z208" s="26" t="n"/>
      <c r="AA208" s="28" t="n"/>
      <c r="AB208" s="28" t="n"/>
      <c r="AC208" s="30" t="n">
        <v>-1</v>
      </c>
      <c r="AD208" s="24" t="inlineStr">
        <is>
          <t>2026-09-13T04:32:22.884306Z</t>
        </is>
      </c>
      <c r="AE208" s="31" t="inlineStr">
        <is>
          <t>Projected total 53.6 pts (Weather adj: +0.0 pts). Total line 59.5 -&gt; P(Over)=0.362, P(Under)=0.638, P(Push)=0.000.</t>
        </is>
      </c>
      <c r="AF208" s="31" t="inlineStr">
        <is>
          <t>College football model; multi-market (moneyline, spread, total).</t>
        </is>
      </c>
      <c r="AG208" s="24" t="inlineStr">
        <is>
          <t>review_required</t>
        </is>
      </c>
      <c r="AH208" s="24" t="n"/>
      <c r="AI208" s="31" t="n"/>
      <c r="AJ208" s="31" t="n"/>
      <c r="AK208" s="24" t="inlineStr">
        <is>
          <t>model_qualified</t>
        </is>
      </c>
      <c r="AL208" s="26" t="n">
        <v>4</v>
      </c>
      <c r="AM208" s="24" t="inlineStr">
        <is>
          <t>QUALIFIED_SHADOW_CALL</t>
        </is>
      </c>
      <c r="AN208" s="24" t="inlineStr">
        <is>
          <t>CALL</t>
        </is>
      </c>
      <c r="AO208" s="24" t="inlineStr">
        <is>
          <t>QUALIFIED</t>
        </is>
      </c>
      <c r="AP208" s="24" t="inlineStr">
        <is>
          <t>Navy Midshipmen</t>
        </is>
      </c>
      <c r="AQ208" s="24" t="inlineStr">
        <is>
          <t>Navy Midshipmen</t>
        </is>
      </c>
      <c r="AR208" s="24" t="inlineStr">
        <is>
          <t>Navy Midshipmen</t>
        </is>
      </c>
      <c r="AS208" s="24" t="inlineStr">
        <is>
          <t>Florida Atlantic Owls</t>
        </is>
      </c>
      <c r="AT208" s="24" t="inlineStr">
        <is>
          <t>Florida Atlantic Owls</t>
        </is>
      </c>
      <c r="AU208" s="24" t="inlineStr">
        <is>
          <t>Florida Atlantic Owls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1d168f11d221cd3c</t>
        </is>
      </c>
      <c r="BB208" s="24" t="inlineStr">
        <is>
          <t>cfb_key_number_engine</t>
        </is>
      </c>
      <c r="BC208" s="24" t="inlineStr">
        <is>
          <t>cfb-total-v1</t>
        </is>
      </c>
      <c r="BD208" s="24" t="inlineStr">
        <is>
          <t>1d168f11d221cd3c</t>
        </is>
      </c>
      <c r="BE208" s="24" t="inlineStr">
        <is>
          <t>cfb-v1</t>
        </is>
      </c>
      <c r="BF208" s="24" t="inlineStr">
        <is>
          <t>1</t>
        </is>
      </c>
      <c r="BG208" s="24" t="inlineStr">
        <is>
          <t>1d168f11d221cd3c</t>
        </is>
      </c>
      <c r="BH208" s="24" t="inlineStr">
        <is>
          <t>2026-09-12T22:41:47.836186+00:00</t>
        </is>
      </c>
      <c r="BI208" s="24" t="inlineStr">
        <is>
          <t>["same_event","same_team_same_day","same_league_same_day"]</t>
        </is>
      </c>
      <c r="BJ208" s="25" t="n">
        <v>59.5</v>
      </c>
      <c r="BK208" s="26" t="n">
        <v>-110</v>
      </c>
      <c r="BL208" s="27" t="n">
        <v>1.909091</v>
      </c>
      <c r="BM208" s="28" t="n">
        <v>0.52381</v>
      </c>
      <c r="BN208" s="28" t="n"/>
      <c r="BO208" s="28" t="n"/>
      <c r="BP208" s="25" t="n"/>
      <c r="BQ208" s="27" t="n"/>
      <c r="BR208" s="28" t="n"/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True</t>
        </is>
      </c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/>
      <c r="DH208" s="24" t="n"/>
      <c r="DI208" s="24" t="n"/>
      <c r="DJ208" s="24" t="inlineStr">
        <is>
          <t>0.52381</t>
        </is>
      </c>
      <c r="DK208" s="24" t="n"/>
      <c r="DL208" s="24" t="n"/>
      <c r="DM208" s="24" t="n"/>
      <c r="DN208" s="24" t="n"/>
      <c r="DO208" s="24" t="n"/>
      <c r="DP208" s="24" t="n"/>
      <c r="DQ208" s="24" t="inlineStr">
        <is>
          <t>{"artifact_hash": "1d168f11d221cd3c", "event_id": "401862703", "event_start_utc": "2026-09-12T23:30Z", "features": {"altitude_fatigue_penalty": 0.0, "away_team": "Navy Midshipmen", "efficiency_gap": -0.781, "elo_away": 1678.1, "elo_home": 1256.5, "elo_home_win_prob": 0.1137, "event_id": "401862703", "game_start_utc": "2026-09-12T23:30Z", "home_field_advantage_points": 2.8, "home_team": "Florida Atlantic Owls", "is_dome": false, "is_fbs_vs_fcs": false, "is_neutral_site": false, "projected_away_points": 34.1, "projected_home_points": 19.5, "projected_margin_home": -14.6, "projected_possessions": 12.4, "projected_total": 53.6, "stadium_elevation_ft": 15, "travel_distance_miles": 896.0, "uncertainty": 0.18, "weather_total_adjustment": 0.0}, "historical_source_observation_times_verified": false, "inference_inputs": {"engine_source_sha256": "449ba2f0e86fa9c445730076a0e0bf100fb4914620be53c75c6f3bfe24298f3f", "mu_away": 34.1, "mu_home": 19.5,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300108500026990454162226156180407428023}, "uinteger": 0}, "spread_home_line": 4.0, "total_line": 59.5}, "market_type": "total", "model_version": "cfb-total-v1", "observed_at_utc": "2026-09-12T22:41:47.836186+00:00", "probabilities": {"over": 0.3618, "push": 0.0, "under": 0.6382}, "replay_scope": "Full precision score means, exact engine parameters and original RNG state; upstream feature construction not certified.", "schema": "cfb-joint-replay-v1", "snapshot_hash": "793cdee279d7c60ba784355c15111a5ec593e9479e0d7b78dda4d6ab48285a26", "sport": "NCAAF"}</t>
        </is>
      </c>
    </row>
    <row r="209" ht="36" customHeight="1">
      <c r="A209" s="24" t="inlineStr">
        <is>
          <t>78c2e320fc3e4b22</t>
        </is>
      </c>
      <c r="B209" s="24" t="inlineStr">
        <is>
          <t>2026-09-12T22:41:47.836186Z</t>
        </is>
      </c>
      <c r="C209" s="24" t="inlineStr">
        <is>
          <t>2026-09-12T23:30Z</t>
        </is>
      </c>
      <c r="D209" s="24" t="inlineStr">
        <is>
          <t>401868008</t>
        </is>
      </c>
      <c r="E209" s="24" t="inlineStr">
        <is>
          <t>NCAAF</t>
        </is>
      </c>
      <c r="F209" s="24" t="inlineStr">
        <is>
          <t>Fordham Rams</t>
        </is>
      </c>
      <c r="G209" s="24" t="inlineStr">
        <is>
          <t>Coastal Carolina Chanticleers</t>
        </is>
      </c>
      <c r="H209" s="24" t="inlineStr">
        <is>
          <t>spread</t>
        </is>
      </c>
      <c r="I209" s="24" t="inlineStr">
        <is>
          <t>away</t>
        </is>
      </c>
      <c r="J209" s="25" t="n">
        <v>36.5</v>
      </c>
      <c r="K209" s="24" t="inlineStr">
        <is>
          <t>espn_consensus</t>
        </is>
      </c>
      <c r="L209" s="26" t="n">
        <v>-108</v>
      </c>
      <c r="M209" s="27" t="n">
        <v>1.925926</v>
      </c>
      <c r="N209" s="28" t="n">
        <v>0.519231</v>
      </c>
      <c r="O209" s="28" t="n">
        <v>0.980333</v>
      </c>
      <c r="P209" s="28" t="n">
        <v>0.18</v>
      </c>
      <c r="Q209" s="28" t="n">
        <v>0.461102</v>
      </c>
      <c r="R209" s="26" t="n">
        <v>100</v>
      </c>
      <c r="S209" s="29" t="n">
        <v>2</v>
      </c>
      <c r="T209" s="24" t="inlineStr">
        <is>
          <t>cfb-spread-v1</t>
        </is>
      </c>
      <c r="U209" s="24" t="inlineStr">
        <is>
          <t>settled</t>
        </is>
      </c>
      <c r="V209" s="24" t="inlineStr">
        <is>
          <t>loss</t>
        </is>
      </c>
      <c r="W209" s="26" t="n">
        <v>7</v>
      </c>
      <c r="X209" s="26" t="n">
        <v>45</v>
      </c>
      <c r="Y209" s="25" t="n"/>
      <c r="Z209" s="26" t="n"/>
      <c r="AA209" s="28" t="n"/>
      <c r="AB209" s="28" t="n"/>
      <c r="AC209" s="30" t="n">
        <v>-2</v>
      </c>
      <c r="AD209" s="24" t="inlineStr">
        <is>
          <t>2026-09-13T04:32:23.276519Z</t>
        </is>
      </c>
      <c r="AE209" s="31" t="inlineStr">
        <is>
          <t>Projected home margin +1.0 pts. Spread: Home -36.5 / Away +36.5 -&gt; P(Away cover)=0.980, P(Home cover)=0.020, P(Push)=0.000.</t>
        </is>
      </c>
      <c r="AF209" s="31" t="inlineStr">
        <is>
          <t>College football model; multi-market (moneyline, spread, total).</t>
        </is>
      </c>
      <c r="AG209" s="24" t="inlineStr">
        <is>
          <t>review_required</t>
        </is>
      </c>
      <c r="AH209" s="24" t="n"/>
      <c r="AI209" s="31" t="n"/>
      <c r="AJ209" s="31" t="n"/>
      <c r="AK209" s="24" t="inlineStr">
        <is>
          <t>model_qualified</t>
        </is>
      </c>
      <c r="AL209" s="26" t="n">
        <v>4</v>
      </c>
      <c r="AM209" s="24" t="inlineStr">
        <is>
          <t>QUALIFIED_SHADOW_CALL</t>
        </is>
      </c>
      <c r="AN209" s="24" t="inlineStr">
        <is>
          <t>CALL</t>
        </is>
      </c>
      <c r="AO209" s="24" t="inlineStr">
        <is>
          <t>QUALIFIED</t>
        </is>
      </c>
      <c r="AP209" s="24" t="inlineStr">
        <is>
          <t>Fordham Rams</t>
        </is>
      </c>
      <c r="AQ209" s="24" t="inlineStr">
        <is>
          <t>Fordham Rams</t>
        </is>
      </c>
      <c r="AR209" s="24" t="inlineStr">
        <is>
          <t>Fordham Rams</t>
        </is>
      </c>
      <c r="AS209" s="24" t="inlineStr">
        <is>
          <t>Coastal Carolina Chanticleers</t>
        </is>
      </c>
      <c r="AT209" s="24" t="inlineStr">
        <is>
          <t>Coastal Carolina Chanticleers</t>
        </is>
      </c>
      <c r="AU209" s="24" t="inlineStr">
        <is>
          <t>Coastal Carolina Chanticleers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1d168f11d221cd3c</t>
        </is>
      </c>
      <c r="BB209" s="24" t="inlineStr">
        <is>
          <t>cfb_key_number_engine</t>
        </is>
      </c>
      <c r="BC209" s="24" t="inlineStr">
        <is>
          <t>cfb-spread-v1</t>
        </is>
      </c>
      <c r="BD209" s="24" t="inlineStr">
        <is>
          <t>1d168f11d221cd3c</t>
        </is>
      </c>
      <c r="BE209" s="24" t="inlineStr">
        <is>
          <t>cfb-v1</t>
        </is>
      </c>
      <c r="BF209" s="24" t="inlineStr">
        <is>
          <t>1</t>
        </is>
      </c>
      <c r="BG209" s="24" t="inlineStr">
        <is>
          <t>1d168f11d221cd3c</t>
        </is>
      </c>
      <c r="BH209" s="24" t="inlineStr">
        <is>
          <t>2026-09-12T22:41:47.836186+00:00</t>
        </is>
      </c>
      <c r="BI209" s="24" t="inlineStr">
        <is>
          <t>["same_event","same_team_same_day","same_league_same_day"]</t>
        </is>
      </c>
      <c r="BJ209" s="25" t="n">
        <v>36.5</v>
      </c>
      <c r="BK209" s="26" t="n">
        <v>-108</v>
      </c>
      <c r="BL209" s="27" t="n">
        <v>1.925926</v>
      </c>
      <c r="BM209" s="28" t="n">
        <v>0.519231</v>
      </c>
      <c r="BN209" s="28" t="n"/>
      <c r="BO209" s="28" t="n"/>
      <c r="BP209" s="25" t="n"/>
      <c r="BQ209" s="27" t="n"/>
      <c r="BR209" s="28" t="n"/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True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inlineStr">
        <is>
          <t>0.519231</t>
        </is>
      </c>
      <c r="DK209" s="24" t="n"/>
      <c r="DL209" s="24" t="n"/>
      <c r="DM209" s="24" t="n"/>
      <c r="DN209" s="24" t="n"/>
      <c r="DO209" s="24" t="n"/>
      <c r="DP209" s="24" t="n"/>
      <c r="DQ209" s="24" t="inlineStr">
        <is>
          <t>{"artifact_hash": "1d168f11d221cd3c", "event_id": "401868008", "event_start_utc": "2026-09-12T23:30Z", "features": {"altitude_fatigue_penalty": 0.0, "away_team": "Fordham Rams", "efficiency_gap": 0.428, "elo_away": 1337.5, "elo_home": 1297.7, "elo_home_win_prob": 0.5362, "event_id": "401868008", "game_start_utc": "2026-09-12T23:30Z", "home_field_advantage_points": 2.8, "home_team": "Coastal Carolina Chanticleers", "is_dome": false, "is_fbs_vs_fcs": false, "is_neutral_site": false, "projected_away_points": 26.0, "projected_home_points": 27.0, "projected_margin_home": 1.0,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26.0, "mu_home": 27.0,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152080603265685276881412916975913852981}, "uinteger": 0}, "spread_home_line": -36.5, "total_line": 54.5}, "market_type": "spread", "model_version": "cfb-spread-v1", "observed_at_utc": "2026-09-12T22:41:47.836186+00:00", "probabilities": {"away": 0.980333, "home": 0.019667, "push": 0.0}, "replay_scope": "Full precision score means, exact engine parameters and original RNG state; upstream feature construction not certified.", "schema": "cfb-joint-replay-v1", "snapshot_hash": "e9efbb1f8f54f5e1486f6d8ea874298161649de283ec56f66843796dc4845167", "sport": "NCAAF"}</t>
        </is>
      </c>
    </row>
    <row r="210" ht="36" customHeight="1">
      <c r="A210" s="24" t="inlineStr">
        <is>
          <t>2b2dcaeed2d04a29</t>
        </is>
      </c>
      <c r="B210" s="24" t="inlineStr">
        <is>
          <t>2026-09-12T22:41:47.836186Z</t>
        </is>
      </c>
      <c r="C210" s="24" t="inlineStr">
        <is>
          <t>2026-09-12T23:30Z</t>
        </is>
      </c>
      <c r="D210" s="24" t="inlineStr">
        <is>
          <t>401868008</t>
        </is>
      </c>
      <c r="E210" s="24" t="inlineStr">
        <is>
          <t>NCAAF</t>
        </is>
      </c>
      <c r="F210" s="24" t="inlineStr">
        <is>
          <t>Fordham Rams</t>
        </is>
      </c>
      <c r="G210" s="24" t="inlineStr">
        <is>
          <t>Coastal Carolina Chanticleers</t>
        </is>
      </c>
      <c r="H210" s="24" t="inlineStr">
        <is>
          <t>total</t>
        </is>
      </c>
      <c r="I210" s="24" t="inlineStr">
        <is>
          <t>under</t>
        </is>
      </c>
      <c r="J210" s="25" t="n">
        <v>54.5</v>
      </c>
      <c r="K210" s="24" t="inlineStr">
        <is>
          <t>espn_consensus</t>
        </is>
      </c>
      <c r="L210" s="26" t="n">
        <v>-115</v>
      </c>
      <c r="M210" s="27" t="n">
        <v>1.869565</v>
      </c>
      <c r="N210" s="28" t="n">
        <v>0.534884</v>
      </c>
      <c r="O210" s="28" t="n">
        <v>0.552467</v>
      </c>
      <c r="P210" s="28" t="n">
        <v>0.18</v>
      </c>
      <c r="Q210" s="28" t="n">
        <v>0.017583</v>
      </c>
      <c r="R210" s="26" t="n">
        <v>0</v>
      </c>
      <c r="S210" s="29" t="n">
        <v>1</v>
      </c>
      <c r="T210" s="24" t="inlineStr">
        <is>
          <t>cfb-total-v1</t>
        </is>
      </c>
      <c r="U210" s="24" t="inlineStr">
        <is>
          <t>settled</t>
        </is>
      </c>
      <c r="V210" s="24" t="inlineStr">
        <is>
          <t>win</t>
        </is>
      </c>
      <c r="W210" s="26" t="n">
        <v>7</v>
      </c>
      <c r="X210" s="26" t="n">
        <v>45</v>
      </c>
      <c r="Y210" s="25" t="n"/>
      <c r="Z210" s="26" t="n"/>
      <c r="AA210" s="28" t="n"/>
      <c r="AB210" s="28" t="n"/>
      <c r="AC210" s="30" t="n">
        <v>0.8696</v>
      </c>
      <c r="AD210" s="24" t="inlineStr">
        <is>
          <t>2026-09-13T04:32:23.657376Z</t>
        </is>
      </c>
      <c r="AE210" s="31" t="inlineStr">
        <is>
          <t>Projected total 52.9 pts (Weather adj: +0.0 pts). Total line 54.5 -&gt; P(Over)=0.448, P(Under)=0.552, P(Push)=0.000.</t>
        </is>
      </c>
      <c r="AF210" s="31" t="inlineStr">
        <is>
          <t>College football model; multi-market (moneyline, spread, total).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paper_call</t>
        </is>
      </c>
      <c r="AL210" s="26" t="n">
        <v>4</v>
      </c>
      <c r="AM210" s="24" t="inlineStr">
        <is>
          <t>RESEARCH_OBSERVATION</t>
        </is>
      </c>
      <c r="AN210" s="24" t="inlineStr">
        <is>
          <t>CALL</t>
        </is>
      </c>
      <c r="AO210" s="24" t="inlineStr">
        <is>
          <t>PAPER_CALL_LOW_EDGE</t>
        </is>
      </c>
      <c r="AP210" s="24" t="inlineStr">
        <is>
          <t>Fordham Rams</t>
        </is>
      </c>
      <c r="AQ210" s="24" t="inlineStr">
        <is>
          <t>Fordham Rams</t>
        </is>
      </c>
      <c r="AR210" s="24" t="inlineStr">
        <is>
          <t>Fordham Rams</t>
        </is>
      </c>
      <c r="AS210" s="24" t="inlineStr">
        <is>
          <t>Coastal Carolina Chanticleers</t>
        </is>
      </c>
      <c r="AT210" s="24" t="inlineStr">
        <is>
          <t>Coastal Carolina Chanticleers</t>
        </is>
      </c>
      <c r="AU210" s="24" t="inlineStr">
        <is>
          <t>Coastal Carolina Chanticleers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1d168f11d221cd3c</t>
        </is>
      </c>
      <c r="BB210" s="24" t="inlineStr">
        <is>
          <t>cfb_key_number_engine</t>
        </is>
      </c>
      <c r="BC210" s="24" t="inlineStr">
        <is>
          <t>cfb-total-v1</t>
        </is>
      </c>
      <c r="BD210" s="24" t="inlineStr">
        <is>
          <t>1d168f11d221cd3c</t>
        </is>
      </c>
      <c r="BE210" s="24" t="inlineStr">
        <is>
          <t>cfb-v1</t>
        </is>
      </c>
      <c r="BF210" s="24" t="inlineStr">
        <is>
          <t>1</t>
        </is>
      </c>
      <c r="BG210" s="24" t="inlineStr">
        <is>
          <t>1d168f11d221cd3c</t>
        </is>
      </c>
      <c r="BH210" s="24" t="inlineStr">
        <is>
          <t>2026-09-12T22:41:47.836186+00:00</t>
        </is>
      </c>
      <c r="BI210" s="24" t="inlineStr">
        <is>
          <t>["same_event","same_team_same_day","same_league_same_day"]</t>
        </is>
      </c>
      <c r="BJ210" s="25" t="n">
        <v>54.5</v>
      </c>
      <c r="BK210" s="26" t="n">
        <v>-115</v>
      </c>
      <c r="BL210" s="27" t="n">
        <v>1.869565</v>
      </c>
      <c r="BM210" s="28" t="n">
        <v>0.534884</v>
      </c>
      <c r="BN210" s="28" t="n"/>
      <c r="BO210" s="28" t="n"/>
      <c r="BP210" s="25" t="n"/>
      <c r="BQ210" s="27" t="n"/>
      <c r="BR210" s="28" t="n"/>
      <c r="BS210" s="28" t="n"/>
      <c r="BT210" s="28" t="n"/>
      <c r="BU210" s="25" t="n"/>
      <c r="BV210" s="29" t="n"/>
      <c r="BW210" s="24" t="n"/>
      <c r="BX210" s="30" t="n">
        <v>1</v>
      </c>
      <c r="BY210" s="27" t="n">
        <v>0.869565</v>
      </c>
      <c r="BZ210" s="24" t="inlineStr">
        <is>
          <t>2026-09-13T04:32:23.657376Z</t>
        </is>
      </c>
      <c r="CA210" s="31" t="inlineStr">
        <is>
          <t>fixed one-unit hypothetical scoring; no real exposure or execution</t>
        </is>
      </c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True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inlineStr">
        <is>
          <t>0.534884</t>
        </is>
      </c>
      <c r="DK210" s="24" t="n"/>
      <c r="DL210" s="24" t="n"/>
      <c r="DM210" s="24" t="n"/>
      <c r="DN210" s="24" t="n"/>
      <c r="DO210" s="24" t="n"/>
      <c r="DP210" s="24" t="n"/>
      <c r="DQ210" s="24" t="inlineStr">
        <is>
          <t>{"artifact_hash": "1d168f11d221cd3c", "event_id": "401868008", "event_start_utc": "2026-09-12T23:30Z", "features": {"altitude_fatigue_penalty": 0.0, "away_team": "Fordham Rams", "efficiency_gap": 0.428, "elo_away": 1337.5, "elo_home": 1297.7, "elo_home_win_prob": 0.5362, "event_id": "401868008", "game_start_utc": "2026-09-12T23:30Z", "home_field_advantage_points": 2.8, "home_team": "Coastal Carolina Chanticleers", "is_dome": false, "is_fbs_vs_fcs": false, "is_neutral_site": false, "projected_away_points": 26.0, "projected_home_points": 27.0, "projected_margin_home": 1.0,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26.0, "mu_home": 27.0,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152080603265685276881412916975913852981}, "uinteger": 0}, "spread_home_line": -36.5, "total_line": 54.5}, "market_type": "total", "model_version": "cfb-total-v1", "observed_at_utc": "2026-09-12T22:41:47.836186+00:00", "probabilities": {"over": 0.447533, "push": 0.0, "under": 0.552467}, "replay_scope": "Full precision score means, exact engine parameters and original RNG state; upstream feature construction not certified.", "schema": "cfb-joint-replay-v1", "snapshot_hash": "9af020f1ad69e91e21e5cda92fc076af80718f943ffa2bb751b30b487e173efa", "sport": "NCAAF"}</t>
        </is>
      </c>
    </row>
    <row r="211" ht="36" customHeight="1">
      <c r="A211" s="24" t="inlineStr">
        <is>
          <t>86791107f5204325</t>
        </is>
      </c>
      <c r="B211" s="24" t="inlineStr">
        <is>
          <t>2026-09-12T22:41:47.836186Z</t>
        </is>
      </c>
      <c r="C211" s="24" t="inlineStr">
        <is>
          <t>2026-09-12T23:45Z</t>
        </is>
      </c>
      <c r="D211" s="24" t="inlineStr">
        <is>
          <t>401856676</t>
        </is>
      </c>
      <c r="E211" s="24" t="inlineStr">
        <is>
          <t>NCAAF</t>
        </is>
      </c>
      <c r="F211" s="24" t="inlineStr">
        <is>
          <t>Charlotte 49ers</t>
        </is>
      </c>
      <c r="G211" s="24" t="inlineStr">
        <is>
          <t>Ole Miss Rebels</t>
        </is>
      </c>
      <c r="H211" s="24" t="inlineStr">
        <is>
          <t>spread</t>
        </is>
      </c>
      <c r="I211" s="24" t="inlineStr">
        <is>
          <t>away</t>
        </is>
      </c>
      <c r="J211" s="25" t="n">
        <v>44.5</v>
      </c>
      <c r="K211" s="24" t="inlineStr">
        <is>
          <t>espn_consensus</t>
        </is>
      </c>
      <c r="L211" s="26" t="n">
        <v>-102</v>
      </c>
      <c r="M211" s="27" t="n">
        <v>1.980392</v>
      </c>
      <c r="N211" s="28" t="n">
        <v>0.50495</v>
      </c>
      <c r="O211" s="28" t="n">
        <v>0.828067</v>
      </c>
      <c r="P211" s="28" t="n">
        <v>0.18</v>
      </c>
      <c r="Q211" s="28" t="n">
        <v>0.323117</v>
      </c>
      <c r="R211" s="26" t="n">
        <v>100</v>
      </c>
      <c r="S211" s="29" t="n">
        <v>2</v>
      </c>
      <c r="T211" s="24" t="inlineStr">
        <is>
          <t>cfb-spread-v1</t>
        </is>
      </c>
      <c r="U211" s="24" t="inlineStr">
        <is>
          <t>settled</t>
        </is>
      </c>
      <c r="V211" s="24" t="inlineStr">
        <is>
          <t>win</t>
        </is>
      </c>
      <c r="W211" s="26" t="n">
        <v>9</v>
      </c>
      <c r="X211" s="26" t="n">
        <v>41</v>
      </c>
      <c r="Y211" s="25" t="n"/>
      <c r="Z211" s="26" t="n"/>
      <c r="AA211" s="28" t="n"/>
      <c r="AB211" s="28" t="n"/>
      <c r="AC211" s="30" t="n">
        <v>1.9608</v>
      </c>
      <c r="AD211" s="24" t="inlineStr">
        <is>
          <t>2026-09-13T04:32:24.116382Z</t>
        </is>
      </c>
      <c r="AE211" s="31" t="inlineStr">
        <is>
          <t>Projected home margin +31.5 pts. Spread: Home -44.5 / Away +44.5 -&gt; P(Away cover)=0.828, P(Home cover)=0.172, P(Push)=0.000.</t>
        </is>
      </c>
      <c r="AF211" s="31" t="inlineStr">
        <is>
          <t>College football model; multi-market (moneyline, spread, total).</t>
        </is>
      </c>
      <c r="AG211" s="24" t="inlineStr">
        <is>
          <t>not_applicable</t>
        </is>
      </c>
      <c r="AH211" s="24" t="n"/>
      <c r="AI211" s="31" t="n"/>
      <c r="AJ211" s="31" t="n"/>
      <c r="AK211" s="24" t="inlineStr">
        <is>
          <t>model_qualified</t>
        </is>
      </c>
      <c r="AL211" s="26" t="n">
        <v>4</v>
      </c>
      <c r="AM211" s="24" t="inlineStr">
        <is>
          <t>QUALIFIED_SHADOW_CALL</t>
        </is>
      </c>
      <c r="AN211" s="24" t="inlineStr">
        <is>
          <t>CALL</t>
        </is>
      </c>
      <c r="AO211" s="24" t="inlineStr">
        <is>
          <t>QUALIFIED</t>
        </is>
      </c>
      <c r="AP211" s="24" t="inlineStr">
        <is>
          <t>Charlotte 49ers</t>
        </is>
      </c>
      <c r="AQ211" s="24" t="inlineStr">
        <is>
          <t>Charlotte 49ers</t>
        </is>
      </c>
      <c r="AR211" s="24" t="inlineStr">
        <is>
          <t>Charlotte 49ers</t>
        </is>
      </c>
      <c r="AS211" s="24" t="inlineStr">
        <is>
          <t>Ole Miss Rebels</t>
        </is>
      </c>
      <c r="AT211" s="24" t="inlineStr">
        <is>
          <t>Ole Miss Rebels</t>
        </is>
      </c>
      <c r="AU211" s="24" t="inlineStr">
        <is>
          <t>Ole Miss Rebels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1d168f11d221cd3c</t>
        </is>
      </c>
      <c r="BB211" s="24" t="inlineStr">
        <is>
          <t>cfb_key_number_engine</t>
        </is>
      </c>
      <c r="BC211" s="24" t="inlineStr">
        <is>
          <t>cfb-spread-v1</t>
        </is>
      </c>
      <c r="BD211" s="24" t="inlineStr">
        <is>
          <t>1d168f11d221cd3c</t>
        </is>
      </c>
      <c r="BE211" s="24" t="inlineStr">
        <is>
          <t>cfb-v1</t>
        </is>
      </c>
      <c r="BF211" s="24" t="inlineStr">
        <is>
          <t>1</t>
        </is>
      </c>
      <c r="BG211" s="24" t="inlineStr">
        <is>
          <t>1d168f11d221cd3c</t>
        </is>
      </c>
      <c r="BH211" s="24" t="inlineStr">
        <is>
          <t>2026-09-12T22:41:47.836186+00:00</t>
        </is>
      </c>
      <c r="BI211" s="24" t="inlineStr">
        <is>
          <t>["same_event","same_team_same_day","same_league_same_day"]</t>
        </is>
      </c>
      <c r="BJ211" s="25" t="n">
        <v>44.5</v>
      </c>
      <c r="BK211" s="26" t="n">
        <v>-102</v>
      </c>
      <c r="BL211" s="27" t="n">
        <v>1.980392</v>
      </c>
      <c r="BM211" s="28" t="n">
        <v>0.50495</v>
      </c>
      <c r="BN211" s="28" t="n"/>
      <c r="BO211" s="28" t="n"/>
      <c r="BP211" s="25" t="n"/>
      <c r="BQ211" s="27" t="n"/>
      <c r="BR211" s="28" t="n"/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True</t>
        </is>
      </c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n"/>
      <c r="DE211" s="24" t="n"/>
      <c r="DF211" s="24" t="n"/>
      <c r="DG211" s="24" t="n"/>
      <c r="DH211" s="24" t="n"/>
      <c r="DI211" s="24" t="n"/>
      <c r="DJ211" s="24" t="inlineStr">
        <is>
          <t>0.50495</t>
        </is>
      </c>
      <c r="DK211" s="24" t="n"/>
      <c r="DL211" s="24" t="n"/>
      <c r="DM211" s="24" t="n"/>
      <c r="DN211" s="24" t="n"/>
      <c r="DO211" s="24" t="n"/>
      <c r="DP211" s="24" t="n"/>
      <c r="DQ211" s="24" t="inlineStr">
        <is>
          <t>{"artifact_hash": "1d168f11d221cd3c", "event_id": "401856676", "event_start_utc": "2026-09-12T23:45Z", "features": {"altitude_fatigue_penalty": 0.0, "away_team": "Charlotte 49ers", "efficiency_gap": 1.257, "elo_away": 1110.6, "elo_home": 1818.2, "elo_home_win_prob": 0.9884, "event_id": "401856676", "game_start_utc": "2026-09-12T23:45Z", "home_field_advantage_points": 2.8, "home_team": "Ole Miss Rebels", "is_dome": false, "is_fbs_vs_fcs": false, "is_neutral_site": false, "projected_away_points": 11.7, "projected_home_points": 43.3, "projected_margin_home": 31.5, "projected_possessions": 12.4, "projected_total": 55.0, "stadium_elevation_ft": 480, "travel_distance_miles": 503.0, "uncertainty": 0.18, "weather_total_adjustment": 0.0}, "historical_source_observation_times_verified": false, "inference_inputs": {"engine_source_sha256": "449ba2f0e86fa9c445730076a0e0bf100fb4914620be53c75c6f3bfe24298f3f", "mu_away": 11.7, "mu_home": 43.3,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93958907186146338408896761164027522117}, "uinteger": 0}, "spread_home_line": -44.5, "total_line": 59.5}, "market_type": "spread", "model_version": "cfb-spread-v1", "observed_at_utc": "2026-09-12T22:41:47.836186+00:00", "probabilities": {"away": 0.828067, "home": 0.171933, "push": 0.0}, "replay_scope": "Full precision score means, exact engine parameters and original RNG state; upstream feature construction not certified.", "schema": "cfb-joint-replay-v1", "snapshot_hash": "b5dc32e57e7ca145af589ae6bde8b065a936f660c828f6af032abab72b610314", "sport": "NCAAF"}</t>
        </is>
      </c>
    </row>
    <row r="212" ht="36" customHeight="1">
      <c r="A212" s="24" t="inlineStr">
        <is>
          <t>bdc858d3a5044624</t>
        </is>
      </c>
      <c r="B212" s="24" t="inlineStr">
        <is>
          <t>2026-09-12T22:41:47.836186Z</t>
        </is>
      </c>
      <c r="C212" s="24" t="inlineStr">
        <is>
          <t>2026-09-12T23:45Z</t>
        </is>
      </c>
      <c r="D212" s="24" t="inlineStr">
        <is>
          <t>401856676</t>
        </is>
      </c>
      <c r="E212" s="24" t="inlineStr">
        <is>
          <t>NCAAF</t>
        </is>
      </c>
      <c r="F212" s="24" t="inlineStr">
        <is>
          <t>Charlotte 49ers</t>
        </is>
      </c>
      <c r="G212" s="24" t="inlineStr">
        <is>
          <t>Ole Miss Rebels</t>
        </is>
      </c>
      <c r="H212" s="24" t="inlineStr">
        <is>
          <t>total</t>
        </is>
      </c>
      <c r="I212" s="24" t="inlineStr">
        <is>
          <t>under</t>
        </is>
      </c>
      <c r="J212" s="25" t="n">
        <v>59.5</v>
      </c>
      <c r="K212" s="24" t="inlineStr">
        <is>
          <t>espn_consensus</t>
        </is>
      </c>
      <c r="L212" s="26" t="n">
        <v>-112</v>
      </c>
      <c r="M212" s="27" t="n">
        <v>1.892857</v>
      </c>
      <c r="N212" s="28" t="n">
        <v>0.528302</v>
      </c>
      <c r="O212" s="28" t="n">
        <v>0.614667</v>
      </c>
      <c r="P212" s="28" t="n">
        <v>0.18</v>
      </c>
      <c r="Q212" s="28" t="n">
        <v>0.086365</v>
      </c>
      <c r="R212" s="26" t="n">
        <v>0</v>
      </c>
      <c r="S212" s="29" t="n">
        <v>1</v>
      </c>
      <c r="T212" s="24" t="inlineStr">
        <is>
          <t>cfb-total-v1</t>
        </is>
      </c>
      <c r="U212" s="24" t="inlineStr">
        <is>
          <t>settled</t>
        </is>
      </c>
      <c r="V212" s="24" t="inlineStr">
        <is>
          <t>win</t>
        </is>
      </c>
      <c r="W212" s="26" t="n">
        <v>9</v>
      </c>
      <c r="X212" s="26" t="n">
        <v>41</v>
      </c>
      <c r="Y212" s="25" t="n"/>
      <c r="Z212" s="26" t="n"/>
      <c r="AA212" s="28" t="n"/>
      <c r="AB212" s="28" t="n"/>
      <c r="AC212" s="30" t="n">
        <v>0.8929</v>
      </c>
      <c r="AD212" s="24" t="inlineStr">
        <is>
          <t>2026-09-13T04:32:24.495653Z</t>
        </is>
      </c>
      <c r="AE212" s="31" t="inlineStr">
        <is>
          <t>Projected total 55.0 pts (Weather adj: +0.0 pts). Total line 59.5 -&gt; P(Over)=0.385, P(Under)=0.615, P(Push)=0.000.</t>
        </is>
      </c>
      <c r="AF212" s="31" t="inlineStr">
        <is>
          <t>College football model; multi-market (moneyline, spread, total).</t>
        </is>
      </c>
      <c r="AG212" s="24" t="inlineStr">
        <is>
          <t>not_applicable</t>
        </is>
      </c>
      <c r="AH212" s="24" t="n"/>
      <c r="AI212" s="31" t="n"/>
      <c r="AJ212" s="31" t="n"/>
      <c r="AK212" s="24" t="inlineStr">
        <is>
          <t>model_qualified</t>
        </is>
      </c>
      <c r="AL212" s="26" t="n">
        <v>4</v>
      </c>
      <c r="AM212" s="24" t="inlineStr">
        <is>
          <t>QUALIFIED_SHADOW_CALL</t>
        </is>
      </c>
      <c r="AN212" s="24" t="inlineStr">
        <is>
          <t>CALL</t>
        </is>
      </c>
      <c r="AO212" s="24" t="inlineStr">
        <is>
          <t>QUALIFIED</t>
        </is>
      </c>
      <c r="AP212" s="24" t="inlineStr">
        <is>
          <t>Charlotte 49ers</t>
        </is>
      </c>
      <c r="AQ212" s="24" t="inlineStr">
        <is>
          <t>Charlotte 49ers</t>
        </is>
      </c>
      <c r="AR212" s="24" t="inlineStr">
        <is>
          <t>Charlotte 49ers</t>
        </is>
      </c>
      <c r="AS212" s="24" t="inlineStr">
        <is>
          <t>Ole Miss Rebels</t>
        </is>
      </c>
      <c r="AT212" s="24" t="inlineStr">
        <is>
          <t>Ole Miss Rebels</t>
        </is>
      </c>
      <c r="AU212" s="24" t="inlineStr">
        <is>
          <t>Ole Miss Rebels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1d168f11d221cd3c</t>
        </is>
      </c>
      <c r="BB212" s="24" t="inlineStr">
        <is>
          <t>cfb_key_number_engine</t>
        </is>
      </c>
      <c r="BC212" s="24" t="inlineStr">
        <is>
          <t>cfb-total-v1</t>
        </is>
      </c>
      <c r="BD212" s="24" t="inlineStr">
        <is>
          <t>1d168f11d221cd3c</t>
        </is>
      </c>
      <c r="BE212" s="24" t="inlineStr">
        <is>
          <t>cfb-v1</t>
        </is>
      </c>
      <c r="BF212" s="24" t="inlineStr">
        <is>
          <t>1</t>
        </is>
      </c>
      <c r="BG212" s="24" t="inlineStr">
        <is>
          <t>1d168f11d221cd3c</t>
        </is>
      </c>
      <c r="BH212" s="24" t="inlineStr">
        <is>
          <t>2026-09-12T22:41:47.836186+00:00</t>
        </is>
      </c>
      <c r="BI212" s="24" t="inlineStr">
        <is>
          <t>["same_event","same_team_same_day","same_league_same_day"]</t>
        </is>
      </c>
      <c r="BJ212" s="25" t="n">
        <v>59.5</v>
      </c>
      <c r="BK212" s="26" t="n">
        <v>-112</v>
      </c>
      <c r="BL212" s="27" t="n">
        <v>1.892857</v>
      </c>
      <c r="BM212" s="28" t="n">
        <v>0.528302</v>
      </c>
      <c r="BN212" s="28" t="n"/>
      <c r="BO212" s="28" t="n"/>
      <c r="BP212" s="25" t="n"/>
      <c r="BQ212" s="27" t="n"/>
      <c r="BR212" s="28" t="n"/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n"/>
      <c r="DE212" s="24" t="n"/>
      <c r="DF212" s="24" t="n"/>
      <c r="DG212" s="24" t="n"/>
      <c r="DH212" s="24" t="n"/>
      <c r="DI212" s="24" t="n"/>
      <c r="DJ212" s="24" t="inlineStr">
        <is>
          <t>0.528302</t>
        </is>
      </c>
      <c r="DK212" s="24" t="n"/>
      <c r="DL212" s="24" t="n"/>
      <c r="DM212" s="24" t="n"/>
      <c r="DN212" s="24" t="n"/>
      <c r="DO212" s="24" t="n"/>
      <c r="DP212" s="24" t="n"/>
      <c r="DQ212" s="24" t="inlineStr">
        <is>
          <t>{"artifact_hash": "1d168f11d221cd3c", "event_id": "401856676", "event_start_utc": "2026-09-12T23:45Z", "features": {"altitude_fatigue_penalty": 0.0, "away_team": "Charlotte 49ers", "efficiency_gap": 1.257, "elo_away": 1110.6, "elo_home": 1818.2, "elo_home_win_prob": 0.9884, "event_id": "401856676", "game_start_utc": "2026-09-12T23:45Z", "home_field_advantage_points": 2.8, "home_team": "Ole Miss Rebels", "is_dome": false, "is_fbs_vs_fcs": false, "is_neutral_site": false, "projected_away_points": 11.7, "projected_home_points": 43.3, "projected_margin_home": 31.5, "projected_possessions": 12.4, "projected_total": 55.0, "stadium_elevation_ft": 480, "travel_distance_miles": 503.0, "uncertainty": 0.18, "weather_total_adjustment": 0.0}, "historical_source_observation_times_verified": false, "inference_inputs": {"engine_source_sha256": "449ba2f0e86fa9c445730076a0e0bf100fb4914620be53c75c6f3bfe24298f3f", "mu_away": 11.7, "mu_home": 43.3,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93958907186146338408896761164027522117}, "uinteger": 0}, "spread_home_line": -44.5, "total_line": 59.5}, "market_type": "total", "model_version": "cfb-total-v1", "observed_at_utc": "2026-09-12T22:41:47.836186+00:00", "probabilities": {"over": 0.385333, "push": 0.0, "under": 0.614667}, "replay_scope": "Full precision score means, exact engine parameters and original RNG state; upstream feature construction not certified.", "schema": "cfb-joint-replay-v1", "snapshot_hash": "e88b771a30575feb2c0708874e1cab95aba26501764d40a6f3f86c2ecf91d575", "sport": "NCAAF"}</t>
        </is>
      </c>
    </row>
    <row r="213" ht="36" customHeight="1">
      <c r="A213" s="24" t="inlineStr">
        <is>
          <t>3369167ab7db4270</t>
        </is>
      </c>
      <c r="B213" s="24" t="inlineStr">
        <is>
          <t>2026-09-12T22:41:47.836186Z</t>
        </is>
      </c>
      <c r="C213" s="24" t="inlineStr">
        <is>
          <t>2026-09-12T23:45Z</t>
        </is>
      </c>
      <c r="D213" s="24" t="inlineStr">
        <is>
          <t>401856671</t>
        </is>
      </c>
      <c r="E213" s="24" t="inlineStr">
        <is>
          <t>NCAAF</t>
        </is>
      </c>
      <c r="F213" s="24" t="inlineStr">
        <is>
          <t>Southern Miss Golden Eagles</t>
        </is>
      </c>
      <c r="G213" s="24" t="inlineStr">
        <is>
          <t>Auburn Tigers</t>
        </is>
      </c>
      <c r="H213" s="24" t="inlineStr">
        <is>
          <t>moneyline</t>
        </is>
      </c>
      <c r="I213" s="24" t="inlineStr">
        <is>
          <t>home</t>
        </is>
      </c>
      <c r="J213" s="25" t="n"/>
      <c r="K213" s="24" t="inlineStr">
        <is>
          <t>espn_consensus</t>
        </is>
      </c>
      <c r="L213" s="26" t="n">
        <v>-10000</v>
      </c>
      <c r="M213" s="27" t="n">
        <v>1.01</v>
      </c>
      <c r="N213" s="28" t="n">
        <v>0.990099</v>
      </c>
      <c r="O213" s="28" t="n">
        <v>0.57624</v>
      </c>
      <c r="P213" s="28" t="n">
        <v>0.18</v>
      </c>
      <c r="Q213" s="28" t="n">
        <v>-0.413859</v>
      </c>
      <c r="R213" s="26" t="n">
        <v>0</v>
      </c>
      <c r="S213" s="29" t="n">
        <v>1</v>
      </c>
      <c r="T213" s="24" t="inlineStr">
        <is>
          <t>college-football-v1</t>
        </is>
      </c>
      <c r="U213" s="24" t="inlineStr">
        <is>
          <t>settled</t>
        </is>
      </c>
      <c r="V213" s="24" t="inlineStr">
        <is>
          <t>win</t>
        </is>
      </c>
      <c r="W213" s="26" t="n">
        <v>8</v>
      </c>
      <c r="X213" s="26" t="n">
        <v>43</v>
      </c>
      <c r="Y213" s="25" t="n"/>
      <c r="Z213" s="26" t="n"/>
      <c r="AA213" s="28" t="n"/>
      <c r="AB213" s="28" t="n"/>
      <c r="AC213" s="30" t="n">
        <v>0.01</v>
      </c>
      <c r="AD213" s="24" t="inlineStr">
        <is>
          <t>2026-09-13T04:32:24.886385Z</t>
        </is>
      </c>
      <c r="AE213" s="31" t="inlineStr">
        <is>
          <t>CFB Joint Model (negative_binomial): proj score Southern Miss Golden Eagles 25.6 @ Auburn Tigers 28.6 (Margin +3.0). Possessions: 12.4, HFA: +2.8 pts.</t>
        </is>
      </c>
      <c r="AF213" s="31" t="inlineStr">
        <is>
          <t>College football model; multi-market (moneyline, spread, total).</t>
        </is>
      </c>
      <c r="AG213" s="24" t="inlineStr">
        <is>
          <t>not_applicable</t>
        </is>
      </c>
      <c r="AH213" s="24" t="n"/>
      <c r="AI213" s="31" t="n"/>
      <c r="AJ213" s="31" t="n"/>
      <c r="AK213" s="24" t="inlineStr">
        <is>
          <t>paper_call</t>
        </is>
      </c>
      <c r="AL213" s="26" t="n">
        <v>4</v>
      </c>
      <c r="AM213" s="24" t="inlineStr">
        <is>
          <t>RESEARCH_OBSERVATION</t>
        </is>
      </c>
      <c r="AN213" s="24" t="inlineStr">
        <is>
          <t>CALL</t>
        </is>
      </c>
      <c r="AO213" s="24" t="inlineStr">
        <is>
          <t>PAPER_CALL_LOW_EDGE</t>
        </is>
      </c>
      <c r="AP213" s="24" t="inlineStr">
        <is>
          <t>Southern Miss Golden Eagles</t>
        </is>
      </c>
      <c r="AQ213" s="24" t="inlineStr">
        <is>
          <t>Southern Miss Golden Eagles</t>
        </is>
      </c>
      <c r="AR213" s="24" t="inlineStr">
        <is>
          <t>Southern Miss Golden Eagles</t>
        </is>
      </c>
      <c r="AS213" s="24" t="inlineStr">
        <is>
          <t>Auburn Tigers</t>
        </is>
      </c>
      <c r="AT213" s="24" t="inlineStr">
        <is>
          <t>Auburn Tigers</t>
        </is>
      </c>
      <c r="AU213" s="24" t="inlineStr">
        <is>
          <t>Auburn Tigers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1d168f11d221cd3c</t>
        </is>
      </c>
      <c r="BB213" s="24" t="inlineStr">
        <is>
          <t>cfb_key_number_engine</t>
        </is>
      </c>
      <c r="BC213" s="24" t="inlineStr">
        <is>
          <t>college-football-v1</t>
        </is>
      </c>
      <c r="BD213" s="24" t="inlineStr">
        <is>
          <t>1d168f11d221cd3c</t>
        </is>
      </c>
      <c r="BE213" s="24" t="inlineStr">
        <is>
          <t>cfb-v1</t>
        </is>
      </c>
      <c r="BF213" s="24" t="inlineStr">
        <is>
          <t>1</t>
        </is>
      </c>
      <c r="BG213" s="24" t="inlineStr">
        <is>
          <t>1d168f11d221cd3c</t>
        </is>
      </c>
      <c r="BH213" s="24" t="inlineStr">
        <is>
          <t>2026-09-12T22:41:47.836186+00:00</t>
        </is>
      </c>
      <c r="BI213" s="24" t="inlineStr">
        <is>
          <t>["same_event","same_team_same_day","same_league_same_day"]</t>
        </is>
      </c>
      <c r="BJ213" s="25" t="n"/>
      <c r="BK213" s="26" t="n">
        <v>-10000</v>
      </c>
      <c r="BL213" s="27" t="n">
        <v>1.01</v>
      </c>
      <c r="BM213" s="28" t="n">
        <v>0.990099</v>
      </c>
      <c r="BN213" s="28" t="n"/>
      <c r="BO213" s="28" t="n"/>
      <c r="BP213" s="25" t="n"/>
      <c r="BQ213" s="27" t="n"/>
      <c r="BR213" s="28" t="n"/>
      <c r="BS213" s="28" t="n"/>
      <c r="BT213" s="28" t="n"/>
      <c r="BU213" s="25" t="n"/>
      <c r="BV213" s="29" t="n"/>
      <c r="BW213" s="24" t="n"/>
      <c r="BX213" s="30" t="n">
        <v>1</v>
      </c>
      <c r="BY213" s="27" t="n">
        <v>0.01</v>
      </c>
      <c r="BZ213" s="24" t="inlineStr">
        <is>
          <t>2026-09-13T04:32:24.886385Z</t>
        </is>
      </c>
      <c r="CA213" s="31" t="inlineStr">
        <is>
          <t>fixed one-unit hypothetical scoring; no real exposure or execution</t>
        </is>
      </c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False</t>
        </is>
      </c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24" t="n"/>
      <c r="DD213" s="24" t="n"/>
      <c r="DE213" s="24" t="n"/>
      <c r="DF213" s="24" t="n"/>
      <c r="DG213" s="24" t="n"/>
      <c r="DH213" s="24" t="n"/>
      <c r="DI213" s="24" t="n"/>
      <c r="DJ213" s="24" t="inlineStr">
        <is>
          <t>0.990099</t>
        </is>
      </c>
      <c r="DK213" s="24" t="n"/>
      <c r="DL213" s="24" t="n"/>
      <c r="DM213" s="24" t="n"/>
      <c r="DN213" s="24" t="n"/>
      <c r="DO213" s="24" t="n"/>
      <c r="DP213" s="24" t="n"/>
      <c r="DQ213" s="24" t="inlineStr">
        <is>
          <t>{"artifact_hash": "1d168f11d221cd3c", "event_id": "401856671", "event_start_utc": "2026-09-12T23:45Z", "features": {"altitude_fatigue_penalty": 0.0, "away_team": "Southern Miss Golden Eagles", "efficiency_gap": 1.506, "elo_away": 1381.5, "elo_home": 1389.0, "elo_home_win_prob": 0.6027, "event_id": "401856671", "game_start_utc": "2026-09-12T23:45Z", "home_field_advantage_points": 2.8, "home_team": "Auburn Tigers", "is_dome": false, "is_fbs_vs_fcs": false, "is_neutral_site": false, "projected_away_points": 25.6, "projected_home_points": 28.6, "projected_margin_home": 3.0, "projected_possessions": 12.4, "projected_total": 54.2, "stadium_elevation_ft": 700, "travel_distance_miles": 242.0, "uncertainty": 0.18, "weather_total_adjustment": 0.0}, "historical_source_observation_times_verified": false, "inference_inputs": {"engine_source_sha256": "449ba2f0e86fa9c445730076a0e0bf100fb4914620be53c75c6f3bfe24298f3f", "mu_away": 25.6,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218189255950719732023802498835261211714}, "uinteger": 0}, "spread_home_line": -32.5, "total_line": 56.5}, "market_type": "moneyline", "model_version": "college-football-v1", "observed_at_utc": "2026-09-12T22:41:47.836186+00:00", "probabilities": {"away": 0.42376, "home": 0.57624}, "replay_scope": "Full precision score means, exact engine parameters and original RNG state; upstream feature construction not certified.", "schema": "cfb-joint-replay-v1", "snapshot_hash": "56b2fe854f1dbd636954ecaab3c8b6cda620f8a5ec5a1c8a00aa66fe821816e8", "sport": "NCAAF"}</t>
        </is>
      </c>
    </row>
    <row r="214" ht="36" customHeight="1">
      <c r="A214" s="24" t="inlineStr">
        <is>
          <t>35dcc76242454fc0</t>
        </is>
      </c>
      <c r="B214" s="24" t="inlineStr">
        <is>
          <t>2026-09-12T22:41:47.836186Z</t>
        </is>
      </c>
      <c r="C214" s="24" t="inlineStr">
        <is>
          <t>2026-09-12T23:45Z</t>
        </is>
      </c>
      <c r="D214" s="24" t="inlineStr">
        <is>
          <t>401856671</t>
        </is>
      </c>
      <c r="E214" s="24" t="inlineStr">
        <is>
          <t>NCAAF</t>
        </is>
      </c>
      <c r="F214" s="24" t="inlineStr">
        <is>
          <t>Southern Miss Golden Eagles</t>
        </is>
      </c>
      <c r="G214" s="24" t="inlineStr">
        <is>
          <t>Auburn Tigers</t>
        </is>
      </c>
      <c r="H214" s="24" t="inlineStr">
        <is>
          <t>spread</t>
        </is>
      </c>
      <c r="I214" s="24" t="inlineStr">
        <is>
          <t>away</t>
        </is>
      </c>
      <c r="J214" s="25" t="n">
        <v>32.5</v>
      </c>
      <c r="K214" s="24" t="inlineStr">
        <is>
          <t>espn_consensus</t>
        </is>
      </c>
      <c r="L214" s="26" t="n">
        <v>-108</v>
      </c>
      <c r="M214" s="27" t="n">
        <v>1.925926</v>
      </c>
      <c r="N214" s="28" t="n">
        <v>0.519231</v>
      </c>
      <c r="O214" s="28" t="n">
        <v>0.956667</v>
      </c>
      <c r="P214" s="28" t="n">
        <v>0.18</v>
      </c>
      <c r="Q214" s="28" t="n">
        <v>0.437436</v>
      </c>
      <c r="R214" s="26" t="n">
        <v>100</v>
      </c>
      <c r="S214" s="29" t="n">
        <v>2</v>
      </c>
      <c r="T214" s="24" t="inlineStr">
        <is>
          <t>cfb-spread-v1</t>
        </is>
      </c>
      <c r="U214" s="24" t="inlineStr">
        <is>
          <t>settled</t>
        </is>
      </c>
      <c r="V214" s="24" t="inlineStr">
        <is>
          <t>loss</t>
        </is>
      </c>
      <c r="W214" s="26" t="n">
        <v>8</v>
      </c>
      <c r="X214" s="26" t="n">
        <v>43</v>
      </c>
      <c r="Y214" s="25" t="n"/>
      <c r="Z214" s="26" t="n"/>
      <c r="AA214" s="28" t="n"/>
      <c r="AB214" s="28" t="n"/>
      <c r="AC214" s="30" t="n">
        <v>-2</v>
      </c>
      <c r="AD214" s="24" t="inlineStr">
        <is>
          <t>2026-09-13T04:32:25.225267Z</t>
        </is>
      </c>
      <c r="AE214" s="31" t="inlineStr">
        <is>
          <t>Projected home margin +3.0 pts. Spread: Home -32.5 / Away +32.5 -&gt; P(Away cover)=0.957, P(Home cover)=0.043, P(Push)=0.000.</t>
        </is>
      </c>
      <c r="AF214" s="31" t="inlineStr">
        <is>
          <t>College football model; multi-market (moneyline, spread, total).</t>
        </is>
      </c>
      <c r="AG214" s="24" t="inlineStr">
        <is>
          <t>review_required</t>
        </is>
      </c>
      <c r="AH214" s="24" t="n"/>
      <c r="AI214" s="31" t="n"/>
      <c r="AJ214" s="31" t="n"/>
      <c r="AK214" s="24" t="inlineStr">
        <is>
          <t>model_qualified</t>
        </is>
      </c>
      <c r="AL214" s="26" t="n">
        <v>4</v>
      </c>
      <c r="AM214" s="24" t="inlineStr">
        <is>
          <t>QUALIFIED_SHADOW_CALL</t>
        </is>
      </c>
      <c r="AN214" s="24" t="inlineStr">
        <is>
          <t>CALL</t>
        </is>
      </c>
      <c r="AO214" s="24" t="inlineStr">
        <is>
          <t>QUALIFIED</t>
        </is>
      </c>
      <c r="AP214" s="24" t="inlineStr">
        <is>
          <t>Southern Miss Golden Eagles</t>
        </is>
      </c>
      <c r="AQ214" s="24" t="inlineStr">
        <is>
          <t>Southern Miss Golden Eagles</t>
        </is>
      </c>
      <c r="AR214" s="24" t="inlineStr">
        <is>
          <t>Southern Miss Golden Eagles</t>
        </is>
      </c>
      <c r="AS214" s="24" t="inlineStr">
        <is>
          <t>Auburn Tigers</t>
        </is>
      </c>
      <c r="AT214" s="24" t="inlineStr">
        <is>
          <t>Auburn Tigers</t>
        </is>
      </c>
      <c r="AU214" s="24" t="inlineStr">
        <is>
          <t>Auburn Tigers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1d168f11d221cd3c</t>
        </is>
      </c>
      <c r="BB214" s="24" t="inlineStr">
        <is>
          <t>cfb_key_number_engine</t>
        </is>
      </c>
      <c r="BC214" s="24" t="inlineStr">
        <is>
          <t>cfb-spread-v1</t>
        </is>
      </c>
      <c r="BD214" s="24" t="inlineStr">
        <is>
          <t>1d168f11d221cd3c</t>
        </is>
      </c>
      <c r="BE214" s="24" t="inlineStr">
        <is>
          <t>cfb-v1</t>
        </is>
      </c>
      <c r="BF214" s="24" t="inlineStr">
        <is>
          <t>1</t>
        </is>
      </c>
      <c r="BG214" s="24" t="inlineStr">
        <is>
          <t>1d168f11d221cd3c</t>
        </is>
      </c>
      <c r="BH214" s="24" t="inlineStr">
        <is>
          <t>2026-09-12T22:41:47.836186+00:00</t>
        </is>
      </c>
      <c r="BI214" s="24" t="inlineStr">
        <is>
          <t>["same_event","same_team_same_day","same_league_same_day"]</t>
        </is>
      </c>
      <c r="BJ214" s="25" t="n">
        <v>32.5</v>
      </c>
      <c r="BK214" s="26" t="n">
        <v>-108</v>
      </c>
      <c r="BL214" s="27" t="n">
        <v>1.925926</v>
      </c>
      <c r="BM214" s="28" t="n">
        <v>0.519231</v>
      </c>
      <c r="BN214" s="28" t="n"/>
      <c r="BO214" s="28" t="n"/>
      <c r="BP214" s="25" t="n"/>
      <c r="BQ214" s="27" t="n"/>
      <c r="BR214" s="28" t="n"/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True</t>
        </is>
      </c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/>
      <c r="DH214" s="24" t="n"/>
      <c r="DI214" s="24" t="n"/>
      <c r="DJ214" s="24" t="inlineStr">
        <is>
          <t>0.519231</t>
        </is>
      </c>
      <c r="DK214" s="24" t="n"/>
      <c r="DL214" s="24" t="n"/>
      <c r="DM214" s="24" t="n"/>
      <c r="DN214" s="24" t="n"/>
      <c r="DO214" s="24" t="n"/>
      <c r="DP214" s="24" t="n"/>
      <c r="DQ214" s="24" t="inlineStr">
        <is>
          <t>{"artifact_hash": "1d168f11d221cd3c", "event_id": "401856671", "event_start_utc": "2026-09-12T23:45Z", "features": {"altitude_fatigue_penalty": 0.0, "away_team": "Southern Miss Golden Eagles", "efficiency_gap": 1.506, "elo_away": 1381.5, "elo_home": 1389.0, "elo_home_win_prob": 0.6027, "event_id": "401856671", "game_start_utc": "2026-09-12T23:45Z", "home_field_advantage_points": 2.8, "home_team": "Auburn Tigers", "is_dome": false, "is_fbs_vs_fcs": false, "is_neutral_site": false, "projected_away_points": 25.6, "projected_home_points": 28.6, "projected_margin_home": 3.0, "projected_possessions": 12.4, "projected_total": 54.2, "stadium_elevation_ft": 700, "travel_distance_miles": 242.0, "uncertainty": 0.18, "weather_total_adjustment": 0.0}, "historical_source_observation_times_verified": false, "inference_inputs": {"engine_source_sha256": "449ba2f0e86fa9c445730076a0e0bf100fb4914620be53c75c6f3bfe24298f3f", "mu_away": 25.6,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218189255950719732023802498835261211714}, "uinteger": 0}, "spread_home_line": -32.5, "total_line": 56.5}, "market_type": "spread", "model_version": "cfb-spread-v1", "observed_at_utc": "2026-09-12T22:41:47.836186+00:00", "probabilities": {"away": 0.956667, "home": 0.043333, "push": 0.0}, "replay_scope": "Full precision score means, exact engine parameters and original RNG state; upstream feature construction not certified.", "schema": "cfb-joint-replay-v1", "snapshot_hash": "6198bc8b2d6514008152331fb5c6ec7de783f1b39ffb01b7cbf4b773ad76afda", "sport": "NCAAF"}</t>
        </is>
      </c>
    </row>
    <row r="215" ht="36" customHeight="1">
      <c r="A215" s="24" t="inlineStr">
        <is>
          <t>ff7285d87a93426d</t>
        </is>
      </c>
      <c r="B215" s="24" t="inlineStr">
        <is>
          <t>2026-09-12T22:41:47.836186Z</t>
        </is>
      </c>
      <c r="C215" s="24" t="inlineStr">
        <is>
          <t>2026-09-12T23:45Z</t>
        </is>
      </c>
      <c r="D215" s="24" t="inlineStr">
        <is>
          <t>401856671</t>
        </is>
      </c>
      <c r="E215" s="24" t="inlineStr">
        <is>
          <t>NCAAF</t>
        </is>
      </c>
      <c r="F215" s="24" t="inlineStr">
        <is>
          <t>Southern Miss Golden Eagles</t>
        </is>
      </c>
      <c r="G215" s="24" t="inlineStr">
        <is>
          <t>Auburn Tigers</t>
        </is>
      </c>
      <c r="H215" s="24" t="inlineStr">
        <is>
          <t>total</t>
        </is>
      </c>
      <c r="I215" s="24" t="inlineStr">
        <is>
          <t>under</t>
        </is>
      </c>
      <c r="J215" s="25" t="n">
        <v>56.5</v>
      </c>
      <c r="K215" s="24" t="inlineStr">
        <is>
          <t>espn_consensus</t>
        </is>
      </c>
      <c r="L215" s="26" t="n">
        <v>-110</v>
      </c>
      <c r="M215" s="27" t="n">
        <v>1.909091</v>
      </c>
      <c r="N215" s="28" t="n">
        <v>0.52381</v>
      </c>
      <c r="O215" s="28" t="n">
        <v>0.565133</v>
      </c>
      <c r="P215" s="28" t="n">
        <v>0.18</v>
      </c>
      <c r="Q215" s="28" t="n">
        <v>0.041323</v>
      </c>
      <c r="R215" s="26" t="n">
        <v>0</v>
      </c>
      <c r="S215" s="29" t="n">
        <v>1</v>
      </c>
      <c r="T215" s="24" t="inlineStr">
        <is>
          <t>cfb-total-v1</t>
        </is>
      </c>
      <c r="U215" s="24" t="inlineStr">
        <is>
          <t>settled</t>
        </is>
      </c>
      <c r="V215" s="24" t="inlineStr">
        <is>
          <t>win</t>
        </is>
      </c>
      <c r="W215" s="26" t="n">
        <v>8</v>
      </c>
      <c r="X215" s="26" t="n">
        <v>43</v>
      </c>
      <c r="Y215" s="25" t="n"/>
      <c r="Z215" s="26" t="n"/>
      <c r="AA215" s="28" t="n"/>
      <c r="AB215" s="28" t="n"/>
      <c r="AC215" s="30" t="n">
        <v>0.9091</v>
      </c>
      <c r="AD215" s="24" t="inlineStr">
        <is>
          <t>2026-09-13T04:32:25.610428Z</t>
        </is>
      </c>
      <c r="AE215" s="31" t="inlineStr">
        <is>
          <t>Projected total 54.2 pts (Weather adj: +0.0 pts). Total line 56.5 -&gt; P(Over)=0.435, P(Under)=0.565, P(Push)=0.000.</t>
        </is>
      </c>
      <c r="AF215" s="31" t="inlineStr">
        <is>
          <t>College football model; multi-market (moneyline, spread, total).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model_qualified</t>
        </is>
      </c>
      <c r="AL215" s="26" t="n">
        <v>4</v>
      </c>
      <c r="AM215" s="24" t="inlineStr">
        <is>
          <t>QUALIFIED_SHADOW_CALL</t>
        </is>
      </c>
      <c r="AN215" s="24" t="inlineStr">
        <is>
          <t>CALL</t>
        </is>
      </c>
      <c r="AO215" s="24" t="inlineStr">
        <is>
          <t>QUALIFIED</t>
        </is>
      </c>
      <c r="AP215" s="24" t="inlineStr">
        <is>
          <t>Southern Miss Golden Eagles</t>
        </is>
      </c>
      <c r="AQ215" s="24" t="inlineStr">
        <is>
          <t>Southern Miss Golden Eagles</t>
        </is>
      </c>
      <c r="AR215" s="24" t="inlineStr">
        <is>
          <t>Southern Miss Golden Eagles</t>
        </is>
      </c>
      <c r="AS215" s="24" t="inlineStr">
        <is>
          <t>Auburn Tigers</t>
        </is>
      </c>
      <c r="AT215" s="24" t="inlineStr">
        <is>
          <t>Auburn Tigers</t>
        </is>
      </c>
      <c r="AU215" s="24" t="inlineStr">
        <is>
          <t>Auburn Tigers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1d168f11d221cd3c</t>
        </is>
      </c>
      <c r="BB215" s="24" t="inlineStr">
        <is>
          <t>cfb_key_number_engine</t>
        </is>
      </c>
      <c r="BC215" s="24" t="inlineStr">
        <is>
          <t>cfb-total-v1</t>
        </is>
      </c>
      <c r="BD215" s="24" t="inlineStr">
        <is>
          <t>1d168f11d221cd3c</t>
        </is>
      </c>
      <c r="BE215" s="24" t="inlineStr">
        <is>
          <t>cfb-v1</t>
        </is>
      </c>
      <c r="BF215" s="24" t="inlineStr">
        <is>
          <t>1</t>
        </is>
      </c>
      <c r="BG215" s="24" t="inlineStr">
        <is>
          <t>1d168f11d221cd3c</t>
        </is>
      </c>
      <c r="BH215" s="24" t="inlineStr">
        <is>
          <t>2026-09-12T22:41:47.836186+00:00</t>
        </is>
      </c>
      <c r="BI215" s="24" t="inlineStr">
        <is>
          <t>["same_event","same_team_same_day","same_league_same_day"]</t>
        </is>
      </c>
      <c r="BJ215" s="25" t="n">
        <v>56.5</v>
      </c>
      <c r="BK215" s="26" t="n">
        <v>-110</v>
      </c>
      <c r="BL215" s="27" t="n">
        <v>1.909091</v>
      </c>
      <c r="BM215" s="28" t="n">
        <v>0.52381</v>
      </c>
      <c r="BN215" s="28" t="n"/>
      <c r="BO215" s="28" t="n"/>
      <c r="BP215" s="25" t="n"/>
      <c r="BQ215" s="27" t="n"/>
      <c r="BR215" s="28" t="n"/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True</t>
        </is>
      </c>
      <c r="CT215" s="24" t="n"/>
      <c r="CU215" s="24" t="n"/>
      <c r="CV215" s="24" t="n"/>
      <c r="CW215" s="24" t="n"/>
      <c r="CX215" s="24" t="n"/>
      <c r="CY215" s="24" t="n"/>
      <c r="CZ215" s="24" t="n"/>
      <c r="DA215" s="24" t="n"/>
      <c r="DB215" s="24" t="n"/>
      <c r="DC215" s="24" t="n"/>
      <c r="DD215" s="24" t="n"/>
      <c r="DE215" s="24" t="n"/>
      <c r="DF215" s="24" t="n"/>
      <c r="DG215" s="24" t="n"/>
      <c r="DH215" s="24" t="n"/>
      <c r="DI215" s="24" t="n"/>
      <c r="DJ215" s="24" t="inlineStr">
        <is>
          <t>0.52381</t>
        </is>
      </c>
      <c r="DK215" s="24" t="n"/>
      <c r="DL215" s="24" t="n"/>
      <c r="DM215" s="24" t="n"/>
      <c r="DN215" s="24" t="n"/>
      <c r="DO215" s="24" t="n"/>
      <c r="DP215" s="24" t="n"/>
      <c r="DQ215" s="24" t="inlineStr">
        <is>
          <t>{"artifact_hash": "1d168f11d221cd3c", "event_id": "401856671", "event_start_utc": "2026-09-12T23:45Z", "features": {"altitude_fatigue_penalty": 0.0, "away_team": "Southern Miss Golden Eagles", "efficiency_gap": 1.506, "elo_away": 1381.5, "elo_home": 1389.0, "elo_home_win_prob": 0.6027, "event_id": "401856671", "game_start_utc": "2026-09-12T23:45Z", "home_field_advantage_points": 2.8, "home_team": "Auburn Tigers", "is_dome": false, "is_fbs_vs_fcs": false, "is_neutral_site": false, "projected_away_points": 25.6, "projected_home_points": 28.6, "projected_margin_home": 3.0, "projected_possessions": 12.4, "projected_total": 54.2, "stadium_elevation_ft": 700, "travel_distance_miles": 242.0, "uncertainty": 0.18, "weather_total_adjustment": 0.0}, "historical_source_observation_times_verified": false, "inference_inputs": {"engine_source_sha256": "449ba2f0e86fa9c445730076a0e0bf100fb4914620be53c75c6f3bfe24298f3f", "mu_away": 25.6, "mu_home": 28.6,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218189255950719732023802498835261211714}, "uinteger": 0}, "spread_home_line": -32.5, "total_line": 56.5}, "market_type": "total", "model_version": "cfb-total-v1", "observed_at_utc": "2026-09-12T22:41:47.836186+00:00", "probabilities": {"over": 0.434867, "push": 0.0, "under": 0.565133}, "replay_scope": "Full precision score means, exact engine parameters and original RNG state; upstream feature construction not certified.", "schema": "cfb-joint-replay-v1", "snapshot_hash": "b210f67ab5ebf4bacc1946fbe04a8b292139d8d109eef6958415c805e928a67c", "sport": "NCAAF"}</t>
        </is>
      </c>
    </row>
    <row r="216" ht="36" customHeight="1">
      <c r="A216" s="24" t="inlineStr">
        <is>
          <t>aa9e866ca9534d38</t>
        </is>
      </c>
      <c r="B216" s="24" t="inlineStr">
        <is>
          <t>2026-09-12T22:41:47.836186Z</t>
        </is>
      </c>
      <c r="C216" s="24" t="inlineStr">
        <is>
          <t>2026-09-13T00:00Z</t>
        </is>
      </c>
      <c r="D216" s="24" t="inlineStr">
        <is>
          <t>401856789</t>
        </is>
      </c>
      <c r="E216" s="24" t="inlineStr">
        <is>
          <t>NCAAF</t>
        </is>
      </c>
      <c r="F216" s="24" t="inlineStr">
        <is>
          <t>Grambling Tigers</t>
        </is>
      </c>
      <c r="G216" s="24" t="inlineStr">
        <is>
          <t>TCU Horned Frogs</t>
        </is>
      </c>
      <c r="H216" s="24" t="inlineStr">
        <is>
          <t>spread</t>
        </is>
      </c>
      <c r="I216" s="24" t="inlineStr">
        <is>
          <t>away</t>
        </is>
      </c>
      <c r="J216" s="25" t="n">
        <v>44.5</v>
      </c>
      <c r="K216" s="24" t="inlineStr">
        <is>
          <t>espn_consensus</t>
        </is>
      </c>
      <c r="L216" s="26" t="n">
        <v>-115</v>
      </c>
      <c r="M216" s="27" t="n">
        <v>1.869565</v>
      </c>
      <c r="N216" s="28" t="n">
        <v>0.534884</v>
      </c>
      <c r="O216" s="28" t="n">
        <v>0.968933</v>
      </c>
      <c r="P216" s="28" t="n">
        <v>0.18</v>
      </c>
      <c r="Q216" s="28" t="n">
        <v>0.434049</v>
      </c>
      <c r="R216" s="26" t="n">
        <v>100</v>
      </c>
      <c r="S216" s="29" t="n">
        <v>2</v>
      </c>
      <c r="T216" s="24" t="inlineStr">
        <is>
          <t>cfb-spread-v1</t>
        </is>
      </c>
      <c r="U216" s="24" t="inlineStr">
        <is>
          <t>settled</t>
        </is>
      </c>
      <c r="V216" s="24" t="inlineStr">
        <is>
          <t>loss</t>
        </is>
      </c>
      <c r="W216" s="26" t="n">
        <v>7</v>
      </c>
      <c r="X216" s="26" t="n">
        <v>63</v>
      </c>
      <c r="Y216" s="25" t="n"/>
      <c r="Z216" s="26" t="n"/>
      <c r="AA216" s="28" t="n"/>
      <c r="AB216" s="28" t="n"/>
      <c r="AC216" s="30" t="n">
        <v>-2</v>
      </c>
      <c r="AD216" s="24" t="inlineStr">
        <is>
          <t>2026-09-13T04:32:25.994222Z</t>
        </is>
      </c>
      <c r="AE216" s="31" t="inlineStr">
        <is>
          <t>Projected home margin +13.2 pts. Spread: Home -44.5 / Away +44.5 -&gt; P(Away cover)=0.969, P(Home cover)=0.031, P(Push)=0.000.</t>
        </is>
      </c>
      <c r="AF216" s="31" t="inlineStr">
        <is>
          <t>College football model; multi-market (moneyline, spread, total).</t>
        </is>
      </c>
      <c r="AG216" s="24" t="inlineStr">
        <is>
          <t>review_required</t>
        </is>
      </c>
      <c r="AH216" s="24" t="n"/>
      <c r="AI216" s="31" t="n"/>
      <c r="AJ216" s="31" t="n"/>
      <c r="AK216" s="24" t="inlineStr">
        <is>
          <t>model_qualified</t>
        </is>
      </c>
      <c r="AL216" s="26" t="n">
        <v>4</v>
      </c>
      <c r="AM216" s="24" t="inlineStr">
        <is>
          <t>QUALIFIED_SHADOW_CALL</t>
        </is>
      </c>
      <c r="AN216" s="24" t="inlineStr">
        <is>
          <t>CALL</t>
        </is>
      </c>
      <c r="AO216" s="24" t="inlineStr">
        <is>
          <t>QUALIFIED</t>
        </is>
      </c>
      <c r="AP216" s="24" t="inlineStr">
        <is>
          <t>Grambling Tigers</t>
        </is>
      </c>
      <c r="AQ216" s="24" t="inlineStr">
        <is>
          <t>Grambling Tigers</t>
        </is>
      </c>
      <c r="AR216" s="24" t="inlineStr">
        <is>
          <t>Grambling Tigers</t>
        </is>
      </c>
      <c r="AS216" s="24" t="inlineStr">
        <is>
          <t>TCU Horned Frogs</t>
        </is>
      </c>
      <c r="AT216" s="24" t="inlineStr">
        <is>
          <t>TCU Horned Frogs</t>
        </is>
      </c>
      <c r="AU216" s="24" t="inlineStr">
        <is>
          <t>TCU Horned Frogs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shadow_qualified</t>
        </is>
      </c>
      <c r="BA216" s="24" t="inlineStr">
        <is>
          <t>1d168f11d221cd3c</t>
        </is>
      </c>
      <c r="BB216" s="24" t="inlineStr">
        <is>
          <t>cfb_key_number_engine</t>
        </is>
      </c>
      <c r="BC216" s="24" t="inlineStr">
        <is>
          <t>cfb-spread-v1</t>
        </is>
      </c>
      <c r="BD216" s="24" t="inlineStr">
        <is>
          <t>1d168f11d221cd3c</t>
        </is>
      </c>
      <c r="BE216" s="24" t="inlineStr">
        <is>
          <t>cfb-v1</t>
        </is>
      </c>
      <c r="BF216" s="24" t="inlineStr">
        <is>
          <t>1</t>
        </is>
      </c>
      <c r="BG216" s="24" t="inlineStr">
        <is>
          <t>1d168f11d221cd3c</t>
        </is>
      </c>
      <c r="BH216" s="24" t="inlineStr">
        <is>
          <t>2026-09-12T22:41:47.836186+00:00</t>
        </is>
      </c>
      <c r="BI216" s="24" t="inlineStr">
        <is>
          <t>["same_event","same_team_same_day","same_league_same_day"]</t>
        </is>
      </c>
      <c r="BJ216" s="25" t="n">
        <v>44.5</v>
      </c>
      <c r="BK216" s="26" t="n">
        <v>-115</v>
      </c>
      <c r="BL216" s="27" t="n">
        <v>1.869565</v>
      </c>
      <c r="BM216" s="28" t="n">
        <v>0.534884</v>
      </c>
      <c r="BN216" s="28" t="n"/>
      <c r="BO216" s="28" t="n"/>
      <c r="BP216" s="25" t="n"/>
      <c r="BQ216" s="27" t="n"/>
      <c r="BR216" s="28" t="n"/>
      <c r="BS216" s="28" t="n"/>
      <c r="BT216" s="28" t="n"/>
      <c r="BU216" s="25" t="n"/>
      <c r="BV216" s="29" t="n"/>
      <c r="BW216" s="24" t="n"/>
      <c r="BX216" s="30" t="n"/>
      <c r="BY216" s="27" t="n"/>
      <c r="BZ216" s="24" t="n"/>
      <c r="CA216" s="31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True</t>
        </is>
      </c>
      <c r="CT216" s="24" t="n"/>
      <c r="CU216" s="24" t="n"/>
      <c r="CV216" s="24" t="n"/>
      <c r="CW216" s="24" t="n"/>
      <c r="CX216" s="24" t="n"/>
      <c r="CY216" s="24" t="n"/>
      <c r="CZ216" s="24" t="n"/>
      <c r="DA216" s="24" t="n"/>
      <c r="DB216" s="24" t="n"/>
      <c r="DC216" s="24" t="n"/>
      <c r="DD216" s="24" t="n"/>
      <c r="DE216" s="24" t="n"/>
      <c r="DF216" s="24" t="n"/>
      <c r="DG216" s="24" t="n"/>
      <c r="DH216" s="24" t="n"/>
      <c r="DI216" s="24" t="n"/>
      <c r="DJ216" s="24" t="inlineStr">
        <is>
          <t>0.534884</t>
        </is>
      </c>
      <c r="DK216" s="24" t="n"/>
      <c r="DL216" s="24" t="n"/>
      <c r="DM216" s="24" t="n"/>
      <c r="DN216" s="24" t="n"/>
      <c r="DO216" s="24" t="n"/>
      <c r="DP216" s="24" t="n"/>
      <c r="DQ216" s="24" t="inlineStr">
        <is>
          <t>{"artifact_hash": "1d168f11d221cd3c", "event_id": "401856789", "event_start_utc": "2026-09-13T00:00Z", "features": {"altitude_fatigue_penalty": 0.0, "away_team": "Grambling Tigers", "efficiency_gap": 1.275, "elo_away": 1337.5, "elo_home": 1596.1, "elo_home_win_prob": 0.8656, "event_id": "401856789", "game_start_utc": "2026-09-13T00:00Z", "home_field_advantage_points": 2.8, "home_team": "TCU Horned Frogs", "is_dome": false, "is_fbs_vs_fcs": false, "is_neutral_site": false, "projected_away_points": 20.0, "projected_home_points": 33.2, "projected_margin_home": 13.2,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33.2,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268889147418179663895782785598019806559}, "uinteger": 0}, "spread_home_line": -44.5, "total_line": 56.5}, "market_type": "spread", "model_version": "cfb-spread-v1", "observed_at_utc": "2026-09-12T22:41:47.836186+00:00", "probabilities": {"away": 0.968933, "home": 0.031067, "push": 0.0}, "replay_scope": "Full precision score means, exact engine parameters and original RNG state; upstream feature construction not certified.", "schema": "cfb-joint-replay-v1", "snapshot_hash": "a7943898d75000d1ec040ed29b92e043ddc058ef9c3262fb55fa236fb1422602", "sport": "NCAAF"}</t>
        </is>
      </c>
    </row>
    <row r="217" ht="36" customHeight="1">
      <c r="A217" s="24" t="inlineStr">
        <is>
          <t>cc6f484d7ff74a1a</t>
        </is>
      </c>
      <c r="B217" s="24" t="inlineStr">
        <is>
          <t>2026-09-12T22:41:47.836186Z</t>
        </is>
      </c>
      <c r="C217" s="24" t="inlineStr">
        <is>
          <t>2026-09-13T00:00Z</t>
        </is>
      </c>
      <c r="D217" s="24" t="inlineStr">
        <is>
          <t>401856789</t>
        </is>
      </c>
      <c r="E217" s="24" t="inlineStr">
        <is>
          <t>NCAAF</t>
        </is>
      </c>
      <c r="F217" s="24" t="inlineStr">
        <is>
          <t>Grambling Tigers</t>
        </is>
      </c>
      <c r="G217" s="24" t="inlineStr">
        <is>
          <t>TCU Horned Frogs</t>
        </is>
      </c>
      <c r="H217" s="24" t="inlineStr">
        <is>
          <t>total</t>
        </is>
      </c>
      <c r="I217" s="24" t="inlineStr">
        <is>
          <t>under</t>
        </is>
      </c>
      <c r="J217" s="25" t="n">
        <v>56.5</v>
      </c>
      <c r="K217" s="24" t="inlineStr">
        <is>
          <t>espn_consensus</t>
        </is>
      </c>
      <c r="L217" s="26" t="n">
        <v>-115</v>
      </c>
      <c r="M217" s="27" t="n">
        <v>1.869565</v>
      </c>
      <c r="N217" s="28" t="n">
        <v>0.534884</v>
      </c>
      <c r="O217" s="28" t="n">
        <v>0.5906</v>
      </c>
      <c r="P217" s="28" t="n">
        <v>0.18</v>
      </c>
      <c r="Q217" s="28" t="n">
        <v>0.055716</v>
      </c>
      <c r="R217" s="26" t="n">
        <v>0</v>
      </c>
      <c r="S217" s="29" t="n">
        <v>1</v>
      </c>
      <c r="T217" s="24" t="inlineStr">
        <is>
          <t>cfb-total-v1</t>
        </is>
      </c>
      <c r="U217" s="24" t="inlineStr">
        <is>
          <t>settled</t>
        </is>
      </c>
      <c r="V217" s="24" t="inlineStr">
        <is>
          <t>loss</t>
        </is>
      </c>
      <c r="W217" s="26" t="n">
        <v>7</v>
      </c>
      <c r="X217" s="26" t="n">
        <v>63</v>
      </c>
      <c r="Y217" s="25" t="n"/>
      <c r="Z217" s="26" t="n"/>
      <c r="AA217" s="28" t="n"/>
      <c r="AB217" s="28" t="n"/>
      <c r="AC217" s="30" t="n">
        <v>-1</v>
      </c>
      <c r="AD217" s="24" t="inlineStr">
        <is>
          <t>2026-09-13T04:32:26.441267Z</t>
        </is>
      </c>
      <c r="AE217" s="31" t="inlineStr">
        <is>
          <t>Projected total 53.2 pts (Weather adj: +0.0 pts). Total line 56.5 -&gt; P(Over)=0.409, P(Under)=0.591, P(Push)=0.000.</t>
        </is>
      </c>
      <c r="AF217" s="31" t="inlineStr">
        <is>
          <t>College football model; multi-market (moneyline, spread, total).</t>
        </is>
      </c>
      <c r="AG217" s="24" t="inlineStr">
        <is>
          <t>review_required</t>
        </is>
      </c>
      <c r="AH217" s="24" t="n"/>
      <c r="AI217" s="31" t="n"/>
      <c r="AJ217" s="31" t="n"/>
      <c r="AK217" s="24" t="inlineStr">
        <is>
          <t>model_qualified</t>
        </is>
      </c>
      <c r="AL217" s="26" t="n">
        <v>4</v>
      </c>
      <c r="AM217" s="24" t="inlineStr">
        <is>
          <t>QUALIFIED_SHADOW_CALL</t>
        </is>
      </c>
      <c r="AN217" s="24" t="inlineStr">
        <is>
          <t>CALL</t>
        </is>
      </c>
      <c r="AO217" s="24" t="inlineStr">
        <is>
          <t>QUALIFIED</t>
        </is>
      </c>
      <c r="AP217" s="24" t="inlineStr">
        <is>
          <t>Grambling Tigers</t>
        </is>
      </c>
      <c r="AQ217" s="24" t="inlineStr">
        <is>
          <t>Grambling Tigers</t>
        </is>
      </c>
      <c r="AR217" s="24" t="inlineStr">
        <is>
          <t>Grambling Tigers</t>
        </is>
      </c>
      <c r="AS217" s="24" t="inlineStr">
        <is>
          <t>TCU Horned Frogs</t>
        </is>
      </c>
      <c r="AT217" s="24" t="inlineStr">
        <is>
          <t>TCU Horned Frogs</t>
        </is>
      </c>
      <c r="AU217" s="24" t="inlineStr">
        <is>
          <t>TCU Horned Frogs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shadow_qualified</t>
        </is>
      </c>
      <c r="BA217" s="24" t="inlineStr">
        <is>
          <t>1d168f11d221cd3c</t>
        </is>
      </c>
      <c r="BB217" s="24" t="inlineStr">
        <is>
          <t>cfb_key_number_engine</t>
        </is>
      </c>
      <c r="BC217" s="24" t="inlineStr">
        <is>
          <t>cfb-total-v1</t>
        </is>
      </c>
      <c r="BD217" s="24" t="inlineStr">
        <is>
          <t>1d168f11d221cd3c</t>
        </is>
      </c>
      <c r="BE217" s="24" t="inlineStr">
        <is>
          <t>cfb-v1</t>
        </is>
      </c>
      <c r="BF217" s="24" t="inlineStr">
        <is>
          <t>1</t>
        </is>
      </c>
      <c r="BG217" s="24" t="inlineStr">
        <is>
          <t>1d168f11d221cd3c</t>
        </is>
      </c>
      <c r="BH217" s="24" t="inlineStr">
        <is>
          <t>2026-09-12T22:41:47.836186+00:00</t>
        </is>
      </c>
      <c r="BI217" s="24" t="inlineStr">
        <is>
          <t>["same_event","same_team_same_day","same_league_same_day"]</t>
        </is>
      </c>
      <c r="BJ217" s="25" t="n">
        <v>56.5</v>
      </c>
      <c r="BK217" s="26" t="n">
        <v>-115</v>
      </c>
      <c r="BL217" s="27" t="n">
        <v>1.869565</v>
      </c>
      <c r="BM217" s="28" t="n">
        <v>0.534884</v>
      </c>
      <c r="BN217" s="28" t="n"/>
      <c r="BO217" s="28" t="n"/>
      <c r="BP217" s="25" t="n"/>
      <c r="BQ217" s="27" t="n"/>
      <c r="BR217" s="28" t="n"/>
      <c r="BS217" s="28" t="n"/>
      <c r="BT217" s="28" t="n"/>
      <c r="BU217" s="25" t="n"/>
      <c r="BV217" s="29" t="n"/>
      <c r="BW217" s="24" t="n"/>
      <c r="BX217" s="30" t="n"/>
      <c r="BY217" s="27" t="n"/>
      <c r="BZ217" s="24" t="n"/>
      <c r="CA217" s="31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True</t>
        </is>
      </c>
      <c r="CT217" s="24" t="n"/>
      <c r="CU217" s="24" t="n"/>
      <c r="CV217" s="24" t="n"/>
      <c r="CW217" s="24" t="n"/>
      <c r="CX217" s="24" t="n"/>
      <c r="CY217" s="24" t="n"/>
      <c r="CZ217" s="24" t="n"/>
      <c r="DA217" s="24" t="n"/>
      <c r="DB217" s="24" t="n"/>
      <c r="DC217" s="24" t="n"/>
      <c r="DD217" s="24" t="n"/>
      <c r="DE217" s="24" t="n"/>
      <c r="DF217" s="24" t="n"/>
      <c r="DG217" s="24" t="n"/>
      <c r="DH217" s="24" t="n"/>
      <c r="DI217" s="24" t="n"/>
      <c r="DJ217" s="24" t="inlineStr">
        <is>
          <t>0.534884</t>
        </is>
      </c>
      <c r="DK217" s="24" t="n"/>
      <c r="DL217" s="24" t="n"/>
      <c r="DM217" s="24" t="n"/>
      <c r="DN217" s="24" t="n"/>
      <c r="DO217" s="24" t="n"/>
      <c r="DP217" s="24" t="n"/>
      <c r="DQ217" s="24" t="inlineStr">
        <is>
          <t>{"artifact_hash": "1d168f11d221cd3c", "event_id": "401856789", "event_start_utc": "2026-09-13T00:00Z", "features": {"altitude_fatigue_penalty": 0.0, "away_team": "Grambling Tigers", "efficiency_gap": 1.275, "elo_away": 1337.5, "elo_home": 1596.1, "elo_home_win_prob": 0.8656, "event_id": "401856789", "game_start_utc": "2026-09-13T00:00Z", "home_field_advantage_points": 2.8, "home_team": "TCU Horned Frogs", "is_dome": false, "is_fbs_vs_fcs": false, "is_neutral_site": false, "projected_away_points": 20.0, "projected_home_points": 33.2, "projected_margin_home": 13.2,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33.2,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268889147418179663895782785598019806559}, "uinteger": 0}, "spread_home_line": -44.5, "total_line": 56.5}, "market_type": "total", "model_version": "cfb-total-v1", "observed_at_utc": "2026-09-12T22:41:47.836186+00:00", "probabilities": {"over": 0.4094, "push": 0.0, "under": 0.5906}, "replay_scope": "Full precision score means, exact engine parameters and original RNG state; upstream feature construction not certified.", "schema": "cfb-joint-replay-v1", "snapshot_hash": "0f5acd0d3e608dfb6903f2d29c1570cf08f1202ad5cbfeb67b5c5797f2ca451a", "sport": "NCAAF"}</t>
        </is>
      </c>
    </row>
    <row r="218" ht="36" customHeight="1">
      <c r="A218" s="24" t="inlineStr">
        <is>
          <t>0c0de93ca5d540b2</t>
        </is>
      </c>
      <c r="B218" s="24" t="inlineStr">
        <is>
          <t>2026-09-12T22:41:47.836186Z</t>
        </is>
      </c>
      <c r="C218" s="24" t="inlineStr">
        <is>
          <t>2026-09-13T00:08Z</t>
        </is>
      </c>
      <c r="D218" s="24" t="inlineStr">
        <is>
          <t>401856784</t>
        </is>
      </c>
      <c r="E218" s="24" t="inlineStr">
        <is>
          <t>NCAAF</t>
        </is>
      </c>
      <c r="F218" s="24" t="inlineStr">
        <is>
          <t>Prairie View A&amp;M Panthers</t>
        </is>
      </c>
      <c r="G218" s="24" t="inlineStr">
        <is>
          <t>Baylor Bears</t>
        </is>
      </c>
      <c r="H218" s="24" t="inlineStr">
        <is>
          <t>spread</t>
        </is>
      </c>
      <c r="I218" s="24" t="inlineStr">
        <is>
          <t>away</t>
        </is>
      </c>
      <c r="J218" s="25" t="n">
        <v>37.5</v>
      </c>
      <c r="K218" s="24" t="inlineStr">
        <is>
          <t>espn_consensus</t>
        </is>
      </c>
      <c r="L218" s="26" t="n">
        <v>-115</v>
      </c>
      <c r="M218" s="27" t="n">
        <v>1.869565</v>
      </c>
      <c r="N218" s="28" t="n">
        <v>0.534884</v>
      </c>
      <c r="O218" s="28" t="n">
        <v>0.977133</v>
      </c>
      <c r="P218" s="28" t="n">
        <v>0.18</v>
      </c>
      <c r="Q218" s="28" t="n">
        <v>0.442249</v>
      </c>
      <c r="R218" s="26" t="n">
        <v>100</v>
      </c>
      <c r="S218" s="29" t="n">
        <v>2</v>
      </c>
      <c r="T218" s="24" t="inlineStr">
        <is>
          <t>cfb-spread-v1</t>
        </is>
      </c>
      <c r="U218" s="24" t="inlineStr">
        <is>
          <t>settled</t>
        </is>
      </c>
      <c r="V218" s="24" t="inlineStr">
        <is>
          <t>loss</t>
        </is>
      </c>
      <c r="W218" s="26" t="n">
        <v>3</v>
      </c>
      <c r="X218" s="26" t="n">
        <v>44</v>
      </c>
      <c r="Y218" s="25" t="n"/>
      <c r="Z218" s="26" t="n"/>
      <c r="AA218" s="28" t="n"/>
      <c r="AB218" s="28" t="n"/>
      <c r="AC218" s="30" t="n">
        <v>-2</v>
      </c>
      <c r="AD218" s="24" t="inlineStr">
        <is>
          <t>2026-09-13T04:32:26.827513Z</t>
        </is>
      </c>
      <c r="AE218" s="31" t="inlineStr">
        <is>
          <t>Projected home margin +2.8 pts. Spread: Home -37.5 / Away +37.5 -&gt; P(Away cover)=0.977, P(Home cover)=0.023, P(Push)=0.000.</t>
        </is>
      </c>
      <c r="AF218" s="31" t="inlineStr">
        <is>
          <t>College football model; multi-market (moneyline, spread, total).</t>
        </is>
      </c>
      <c r="AG218" s="24" t="inlineStr">
        <is>
          <t>review_required</t>
        </is>
      </c>
      <c r="AH218" s="24" t="n"/>
      <c r="AI218" s="31" t="n"/>
      <c r="AJ218" s="31" t="n"/>
      <c r="AK218" s="24" t="inlineStr">
        <is>
          <t>model_qualified</t>
        </is>
      </c>
      <c r="AL218" s="26" t="n">
        <v>4</v>
      </c>
      <c r="AM218" s="24" t="inlineStr">
        <is>
          <t>QUALIFIED_SHADOW_CALL</t>
        </is>
      </c>
      <c r="AN218" s="24" t="inlineStr">
        <is>
          <t>CALL</t>
        </is>
      </c>
      <c r="AO218" s="24" t="inlineStr">
        <is>
          <t>QUALIFIED</t>
        </is>
      </c>
      <c r="AP218" s="24" t="inlineStr">
        <is>
          <t>Prairie View A&amp;M Panthers</t>
        </is>
      </c>
      <c r="AQ218" s="24" t="inlineStr">
        <is>
          <t>Prairie View A&amp;M Panthers</t>
        </is>
      </c>
      <c r="AR218" s="24" t="inlineStr">
        <is>
          <t>Prairie View A&amp;M Panthers</t>
        </is>
      </c>
      <c r="AS218" s="24" t="inlineStr">
        <is>
          <t>Baylor Bears</t>
        </is>
      </c>
      <c r="AT218" s="24" t="inlineStr">
        <is>
          <t>Baylor Bears</t>
        </is>
      </c>
      <c r="AU218" s="24" t="inlineStr">
        <is>
          <t>Baylor Bears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shadow_qualified</t>
        </is>
      </c>
      <c r="BA218" s="24" t="inlineStr">
        <is>
          <t>1d168f11d221cd3c</t>
        </is>
      </c>
      <c r="BB218" s="24" t="inlineStr">
        <is>
          <t>cfb_key_number_engine</t>
        </is>
      </c>
      <c r="BC218" s="24" t="inlineStr">
        <is>
          <t>cfb-spread-v1</t>
        </is>
      </c>
      <c r="BD218" s="24" t="inlineStr">
        <is>
          <t>1d168f11d221cd3c</t>
        </is>
      </c>
      <c r="BE218" s="24" t="inlineStr">
        <is>
          <t>cfb-v1</t>
        </is>
      </c>
      <c r="BF218" s="24" t="inlineStr">
        <is>
          <t>1</t>
        </is>
      </c>
      <c r="BG218" s="24" t="inlineStr">
        <is>
          <t>1d168f11d221cd3c</t>
        </is>
      </c>
      <c r="BH218" s="24" t="inlineStr">
        <is>
          <t>2026-09-12T22:41:47.836186+00:00</t>
        </is>
      </c>
      <c r="BI218" s="24" t="inlineStr">
        <is>
          <t>["same_event","same_team_same_day","same_league_same_day"]</t>
        </is>
      </c>
      <c r="BJ218" s="25" t="n">
        <v>37.5</v>
      </c>
      <c r="BK218" s="26" t="n">
        <v>-115</v>
      </c>
      <c r="BL218" s="27" t="n">
        <v>1.869565</v>
      </c>
      <c r="BM218" s="28" t="n">
        <v>0.534884</v>
      </c>
      <c r="BN218" s="28" t="n"/>
      <c r="BO218" s="28" t="n"/>
      <c r="BP218" s="25" t="n"/>
      <c r="BQ218" s="27" t="n"/>
      <c r="BR218" s="28" t="n"/>
      <c r="BS218" s="28" t="n"/>
      <c r="BT218" s="28" t="n"/>
      <c r="BU218" s="25" t="n"/>
      <c r="BV218" s="29" t="n"/>
      <c r="BW218" s="24" t="n"/>
      <c r="BX218" s="30" t="n"/>
      <c r="BY218" s="27" t="n"/>
      <c r="BZ218" s="24" t="n"/>
      <c r="CA218" s="31" t="n"/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  <c r="CR218" s="24" t="n"/>
      <c r="CS218" s="24" t="inlineStr">
        <is>
          <t>True</t>
        </is>
      </c>
      <c r="CT218" s="24" t="n"/>
      <c r="CU218" s="24" t="n"/>
      <c r="CV218" s="24" t="n"/>
      <c r="CW218" s="24" t="n"/>
      <c r="CX218" s="24" t="n"/>
      <c r="CY218" s="24" t="n"/>
      <c r="CZ218" s="24" t="n"/>
      <c r="DA218" s="24" t="n"/>
      <c r="DB218" s="24" t="n"/>
      <c r="DC218" s="24" t="n"/>
      <c r="DD218" s="24" t="n"/>
      <c r="DE218" s="24" t="n"/>
      <c r="DF218" s="24" t="n"/>
      <c r="DG218" s="24" t="n"/>
      <c r="DH218" s="24" t="n"/>
      <c r="DI218" s="24" t="n"/>
      <c r="DJ218" s="24" t="inlineStr">
        <is>
          <t>0.534884</t>
        </is>
      </c>
      <c r="DK218" s="24" t="n"/>
      <c r="DL218" s="24" t="n"/>
      <c r="DM218" s="24" t="n"/>
      <c r="DN218" s="24" t="n"/>
      <c r="DO218" s="24" t="n"/>
      <c r="DP218" s="24" t="n"/>
      <c r="DQ218" s="24" t="inlineStr">
        <is>
          <t>{"artifact_hash": "1d168f11d221cd3c", "event_id": "401856784", "event_start_utc": "2026-09-13T00:08Z", "features": {"altitude_fatigue_penalty": 0.0, "away_team": "Prairie View A&amp;M Panthers", "efficiency_gap": 1.346, "elo_away": 1337.5, "elo_home": 1341.9, "elo_home_win_prob": 0.5986, "event_id": "401856784", "game_start_utc": "2026-09-13T00:08Z", "home_field_advantage_points": 2.8, "home_team": "Baylor Bears", "is_dome": false, "is_fbs_vs_fcs": false, "is_neutral_site": false, "projected_away_points": 25.2, "projected_home_points": 28.1, "projected_margin_home": 2.8,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25.2, "mu_home": 28.1,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25976905920309326894503360540145254947}, "uinteger": 0}, "spread_home_line": -37.5, "total_line": 55.5}, "market_type": "spread", "model_version": "cfb-spread-v1", "observed_at_utc": "2026-09-12T22:41:47.836186+00:00", "probabilities": {"away": 0.977133, "home": 0.022867, "push": 0.0}, "replay_scope": "Full precision score means, exact engine parameters and original RNG state; upstream feature construction not certified.", "schema": "cfb-joint-replay-v1", "snapshot_hash": "a0d20fad167897f7302121197b08540a7478bf2d337c159f6c7eaf2836680c31", "sport": "NCAAF"}</t>
        </is>
      </c>
    </row>
    <row r="219" ht="36" customHeight="1">
      <c r="A219" s="24" t="inlineStr">
        <is>
          <t>cde0d9d9fce74c0c</t>
        </is>
      </c>
      <c r="B219" s="24" t="inlineStr">
        <is>
          <t>2026-09-12T22:41:47.836186Z</t>
        </is>
      </c>
      <c r="C219" s="24" t="inlineStr">
        <is>
          <t>2026-09-13T00:08Z</t>
        </is>
      </c>
      <c r="D219" s="24" t="inlineStr">
        <is>
          <t>401856784</t>
        </is>
      </c>
      <c r="E219" s="24" t="inlineStr">
        <is>
          <t>NCAAF</t>
        </is>
      </c>
      <c r="F219" s="24" t="inlineStr">
        <is>
          <t>Prairie View A&amp;M Panthers</t>
        </is>
      </c>
      <c r="G219" s="24" t="inlineStr">
        <is>
          <t>Baylor Bears</t>
        </is>
      </c>
      <c r="H219" s="24" t="inlineStr">
        <is>
          <t>total</t>
        </is>
      </c>
      <c r="I219" s="24" t="inlineStr">
        <is>
          <t>under</t>
        </is>
      </c>
      <c r="J219" s="25" t="n">
        <v>55.5</v>
      </c>
      <c r="K219" s="24" t="inlineStr">
        <is>
          <t>espn_consensus</t>
        </is>
      </c>
      <c r="L219" s="26" t="n">
        <v>-110</v>
      </c>
      <c r="M219" s="27" t="n">
        <v>1.909091</v>
      </c>
      <c r="N219" s="28" t="n">
        <v>0.52381</v>
      </c>
      <c r="O219" s="28" t="n">
        <v>0.563667</v>
      </c>
      <c r="P219" s="28" t="n">
        <v>0.18</v>
      </c>
      <c r="Q219" s="28" t="n">
        <v>0.039857</v>
      </c>
      <c r="R219" s="26" t="n">
        <v>0</v>
      </c>
      <c r="S219" s="29" t="n">
        <v>1</v>
      </c>
      <c r="T219" s="24" t="inlineStr">
        <is>
          <t>cfb-total-v1</t>
        </is>
      </c>
      <c r="U219" s="24" t="inlineStr">
        <is>
          <t>settled</t>
        </is>
      </c>
      <c r="V219" s="24" t="inlineStr">
        <is>
          <t>win</t>
        </is>
      </c>
      <c r="W219" s="26" t="n">
        <v>3</v>
      </c>
      <c r="X219" s="26" t="n">
        <v>44</v>
      </c>
      <c r="Y219" s="25" t="n"/>
      <c r="Z219" s="26" t="n"/>
      <c r="AA219" s="28" t="n"/>
      <c r="AB219" s="28" t="n"/>
      <c r="AC219" s="30" t="n">
        <v>0.9091</v>
      </c>
      <c r="AD219" s="24" t="inlineStr">
        <is>
          <t>2026-09-13T04:32:27.212564Z</t>
        </is>
      </c>
      <c r="AE219" s="31" t="inlineStr">
        <is>
          <t>Projected total 53.3 pts (Weather adj: +0.0 pts). Total line 55.5 -&gt; P(Over)=0.436, P(Under)=0.564, P(Push)=0.000.</t>
        </is>
      </c>
      <c r="AF219" s="31" t="inlineStr">
        <is>
          <t>College football model; multi-market (moneyline, spread, total).</t>
        </is>
      </c>
      <c r="AG219" s="24" t="inlineStr">
        <is>
          <t>not_applicable</t>
        </is>
      </c>
      <c r="AH219" s="24" t="n"/>
      <c r="AI219" s="31" t="n"/>
      <c r="AJ219" s="31" t="n"/>
      <c r="AK219" s="24" t="inlineStr">
        <is>
          <t>model_qualified</t>
        </is>
      </c>
      <c r="AL219" s="26" t="n">
        <v>4</v>
      </c>
      <c r="AM219" s="24" t="inlineStr">
        <is>
          <t>QUALIFIED_SHADOW_CALL</t>
        </is>
      </c>
      <c r="AN219" s="24" t="inlineStr">
        <is>
          <t>CALL</t>
        </is>
      </c>
      <c r="AO219" s="24" t="inlineStr">
        <is>
          <t>QUALIFIED</t>
        </is>
      </c>
      <c r="AP219" s="24" t="inlineStr">
        <is>
          <t>Prairie View A&amp;M Panthers</t>
        </is>
      </c>
      <c r="AQ219" s="24" t="inlineStr">
        <is>
          <t>Prairie View A&amp;M Panthers</t>
        </is>
      </c>
      <c r="AR219" s="24" t="inlineStr">
        <is>
          <t>Prairie View A&amp;M Panthers</t>
        </is>
      </c>
      <c r="AS219" s="24" t="inlineStr">
        <is>
          <t>Baylor Bears</t>
        </is>
      </c>
      <c r="AT219" s="24" t="inlineStr">
        <is>
          <t>Baylor Bears</t>
        </is>
      </c>
      <c r="AU219" s="24" t="inlineStr">
        <is>
          <t>Baylor Bears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shadow_qualified</t>
        </is>
      </c>
      <c r="BA219" s="24" t="inlineStr">
        <is>
          <t>1d168f11d221cd3c</t>
        </is>
      </c>
      <c r="BB219" s="24" t="inlineStr">
        <is>
          <t>cfb_key_number_engine</t>
        </is>
      </c>
      <c r="BC219" s="24" t="inlineStr">
        <is>
          <t>cfb-total-v1</t>
        </is>
      </c>
      <c r="BD219" s="24" t="inlineStr">
        <is>
          <t>1d168f11d221cd3c</t>
        </is>
      </c>
      <c r="BE219" s="24" t="inlineStr">
        <is>
          <t>cfb-v1</t>
        </is>
      </c>
      <c r="BF219" s="24" t="inlineStr">
        <is>
          <t>1</t>
        </is>
      </c>
      <c r="BG219" s="24" t="inlineStr">
        <is>
          <t>1d168f11d221cd3c</t>
        </is>
      </c>
      <c r="BH219" s="24" t="inlineStr">
        <is>
          <t>2026-09-12T22:41:47.836186+00:00</t>
        </is>
      </c>
      <c r="BI219" s="24" t="inlineStr">
        <is>
          <t>["same_event","same_team_same_day","same_league_same_day"]</t>
        </is>
      </c>
      <c r="BJ219" s="25" t="n">
        <v>55.5</v>
      </c>
      <c r="BK219" s="26" t="n">
        <v>-110</v>
      </c>
      <c r="BL219" s="27" t="n">
        <v>1.909091</v>
      </c>
      <c r="BM219" s="28" t="n">
        <v>0.52381</v>
      </c>
      <c r="BN219" s="28" t="n"/>
      <c r="BO219" s="28" t="n"/>
      <c r="BP219" s="25" t="n"/>
      <c r="BQ219" s="27" t="n"/>
      <c r="BR219" s="28" t="n"/>
      <c r="BS219" s="28" t="n"/>
      <c r="BT219" s="28" t="n"/>
      <c r="BU219" s="25" t="n"/>
      <c r="BV219" s="29" t="n"/>
      <c r="BW219" s="24" t="n"/>
      <c r="BX219" s="30" t="n"/>
      <c r="BY219" s="27" t="n"/>
      <c r="BZ219" s="24" t="n"/>
      <c r="CA219" s="31" t="n"/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True</t>
        </is>
      </c>
      <c r="CT219" s="24" t="n"/>
      <c r="CU219" s="24" t="n"/>
      <c r="CV219" s="24" t="n"/>
      <c r="CW219" s="24" t="n"/>
      <c r="CX219" s="24" t="n"/>
      <c r="CY219" s="24" t="n"/>
      <c r="CZ219" s="24" t="n"/>
      <c r="DA219" s="24" t="n"/>
      <c r="DB219" s="24" t="n"/>
      <c r="DC219" s="24" t="n"/>
      <c r="DD219" s="24" t="n"/>
      <c r="DE219" s="24" t="n"/>
      <c r="DF219" s="24" t="n"/>
      <c r="DG219" s="24" t="n"/>
      <c r="DH219" s="24" t="n"/>
      <c r="DI219" s="24" t="n"/>
      <c r="DJ219" s="24" t="inlineStr">
        <is>
          <t>0.52381</t>
        </is>
      </c>
      <c r="DK219" s="24" t="n"/>
      <c r="DL219" s="24" t="n"/>
      <c r="DM219" s="24" t="n"/>
      <c r="DN219" s="24" t="n"/>
      <c r="DO219" s="24" t="n"/>
      <c r="DP219" s="24" t="n"/>
      <c r="DQ219" s="24" t="inlineStr">
        <is>
          <t>{"artifact_hash": "1d168f11d221cd3c", "event_id": "401856784", "event_start_utc": "2026-09-13T00:08Z", "features": {"altitude_fatigue_penalty": 0.0, "away_team": "Prairie View A&amp;M Panthers", "efficiency_gap": 1.346, "elo_away": 1337.5, "elo_home": 1341.9, "elo_home_win_prob": 0.5986, "event_id": "401856784", "game_start_utc": "2026-09-13T00:08Z", "home_field_advantage_points": 2.8, "home_team": "Baylor Bears", "is_dome": false, "is_fbs_vs_fcs": false, "is_neutral_site": false, "projected_away_points": 25.2, "projected_home_points": 28.1, "projected_margin_home": 2.8, "projected_possessions": 12.4, "projected_total": 53.3,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25.2, "mu_home": 28.1,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25976905920309326894503360540145254947}, "uinteger": 0}, "spread_home_line": -37.5, "total_line": 55.5}, "market_type": "total", "model_version": "cfb-total-v1", "observed_at_utc": "2026-09-12T22:41:47.836186+00:00", "probabilities": {"over": 0.436333, "push": 0.0, "under": 0.563667}, "replay_scope": "Full precision score means, exact engine parameters and original RNG state; upstream feature construction not certified.", "schema": "cfb-joint-replay-v1", "snapshot_hash": "f22683444df4ce5d0d99a453813c4654f7cb35faa87390bf37cfd533f4dbd6d6", "sport": "NCAAF"}</t>
        </is>
      </c>
    </row>
    <row r="220" ht="36" customHeight="1">
      <c r="A220" s="24" t="inlineStr">
        <is>
          <t>cbad2f064aa94751</t>
        </is>
      </c>
      <c r="B220" s="24" t="inlineStr">
        <is>
          <t>2026-09-12T22:41:47.836186Z</t>
        </is>
      </c>
      <c r="C220" s="24" t="inlineStr">
        <is>
          <t>2026-09-13T01:00Z</t>
        </is>
      </c>
      <c r="D220" s="24" t="inlineStr">
        <is>
          <t>401864504</t>
        </is>
      </c>
      <c r="E220" s="24" t="inlineStr">
        <is>
          <t>NCAAF</t>
        </is>
      </c>
      <c r="F220" s="24" t="inlineStr">
        <is>
          <t>Cal Poly Mustangs</t>
        </is>
      </c>
      <c r="G220" s="24" t="inlineStr">
        <is>
          <t>San José State Spartans</t>
        </is>
      </c>
      <c r="H220" s="24" t="inlineStr">
        <is>
          <t>moneyline</t>
        </is>
      </c>
      <c r="I220" s="24" t="inlineStr">
        <is>
          <t>home</t>
        </is>
      </c>
      <c r="J220" s="25" t="n"/>
      <c r="K220" s="24" t="inlineStr">
        <is>
          <t>espn_consensus</t>
        </is>
      </c>
      <c r="L220" s="26" t="n">
        <v>-1800</v>
      </c>
      <c r="M220" s="27" t="n">
        <v>1.055556</v>
      </c>
      <c r="N220" s="28" t="n">
        <v>0.947368</v>
      </c>
      <c r="O220" s="28" t="n">
        <v>0.663347</v>
      </c>
      <c r="P220" s="28" t="n">
        <v>0.18</v>
      </c>
      <c r="Q220" s="28" t="n">
        <v>-0.284021</v>
      </c>
      <c r="R220" s="26" t="n">
        <v>0</v>
      </c>
      <c r="S220" s="29" t="n">
        <v>1</v>
      </c>
      <c r="T220" s="24" t="inlineStr">
        <is>
          <t>college-football-v1</t>
        </is>
      </c>
      <c r="U220" s="24" t="inlineStr">
        <is>
          <t>settled</t>
        </is>
      </c>
      <c r="V220" s="24" t="inlineStr">
        <is>
          <t>win</t>
        </is>
      </c>
      <c r="W220" s="26" t="n">
        <v>20</v>
      </c>
      <c r="X220" s="26" t="n">
        <v>30</v>
      </c>
      <c r="Y220" s="25" t="n"/>
      <c r="Z220" s="26" t="n"/>
      <c r="AA220" s="28" t="n"/>
      <c r="AB220" s="28" t="n"/>
      <c r="AC220" s="30" t="n">
        <v>0.0556</v>
      </c>
      <c r="AD220" s="24" t="inlineStr">
        <is>
          <t>2026-09-13T04:32:27.601176Z</t>
        </is>
      </c>
      <c r="AE220" s="31" t="inlineStr">
        <is>
          <t>CFB Joint Model (negative_binomial): proj score Cal Poly Mustangs 23.1 @ San José State Spartans 29.9 (Margin +6.7). Possessions: 12.4, HFA: +2.8 pts.</t>
        </is>
      </c>
      <c r="AF220" s="31" t="inlineStr">
        <is>
          <t>College football model; multi-market (moneyline, spread, total).</t>
        </is>
      </c>
      <c r="AG220" s="24" t="inlineStr">
        <is>
          <t>not_applicable</t>
        </is>
      </c>
      <c r="AH220" s="24" t="n"/>
      <c r="AI220" s="31" t="n"/>
      <c r="AJ220" s="31" t="n"/>
      <c r="AK220" s="24" t="inlineStr">
        <is>
          <t>paper_call</t>
        </is>
      </c>
      <c r="AL220" s="26" t="n">
        <v>4</v>
      </c>
      <c r="AM220" s="24" t="inlineStr">
        <is>
          <t>RESEARCH_OBSERVATION</t>
        </is>
      </c>
      <c r="AN220" s="24" t="inlineStr">
        <is>
          <t>CALL</t>
        </is>
      </c>
      <c r="AO220" s="24" t="inlineStr">
        <is>
          <t>PAPER_CALL_LOW_EDGE</t>
        </is>
      </c>
      <c r="AP220" s="24" t="inlineStr">
        <is>
          <t>Cal Poly Mustangs</t>
        </is>
      </c>
      <c r="AQ220" s="24" t="inlineStr">
        <is>
          <t>Cal Poly Mustangs</t>
        </is>
      </c>
      <c r="AR220" s="24" t="inlineStr">
        <is>
          <t>Cal Poly Mustangs</t>
        </is>
      </c>
      <c r="AS220" s="24" t="inlineStr">
        <is>
          <t>San José State Spartans</t>
        </is>
      </c>
      <c r="AT220" s="24" t="inlineStr">
        <is>
          <t>San José State Spartans</t>
        </is>
      </c>
      <c r="AU220" s="24" t="inlineStr">
        <is>
          <t>San José State Spartans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shadow_qualified</t>
        </is>
      </c>
      <c r="BA220" s="24" t="inlineStr">
        <is>
          <t>1d168f11d221cd3c</t>
        </is>
      </c>
      <c r="BB220" s="24" t="inlineStr">
        <is>
          <t>cfb_key_number_engine</t>
        </is>
      </c>
      <c r="BC220" s="24" t="inlineStr">
        <is>
          <t>college-football-v1</t>
        </is>
      </c>
      <c r="BD220" s="24" t="inlineStr">
        <is>
          <t>1d168f11d221cd3c</t>
        </is>
      </c>
      <c r="BE220" s="24" t="inlineStr">
        <is>
          <t>cfb-v1</t>
        </is>
      </c>
      <c r="BF220" s="24" t="inlineStr">
        <is>
          <t>1</t>
        </is>
      </c>
      <c r="BG220" s="24" t="inlineStr">
        <is>
          <t>1d168f11d221cd3c</t>
        </is>
      </c>
      <c r="BH220" s="24" t="inlineStr">
        <is>
          <t>2026-09-12T22:41:47.836186+00:00</t>
        </is>
      </c>
      <c r="BI220" s="24" t="inlineStr">
        <is>
          <t>["same_event","same_team_same_day","same_league_same_day"]</t>
        </is>
      </c>
      <c r="BJ220" s="25" t="n"/>
      <c r="BK220" s="26" t="n">
        <v>-1800</v>
      </c>
      <c r="BL220" s="27" t="n">
        <v>1.055556</v>
      </c>
      <c r="BM220" s="28" t="n">
        <v>0.947368</v>
      </c>
      <c r="BN220" s="28" t="n"/>
      <c r="BO220" s="28" t="n"/>
      <c r="BP220" s="25" t="n"/>
      <c r="BQ220" s="27" t="n"/>
      <c r="BR220" s="28" t="n"/>
      <c r="BS220" s="28" t="n"/>
      <c r="BT220" s="28" t="n"/>
      <c r="BU220" s="25" t="n"/>
      <c r="BV220" s="29" t="n"/>
      <c r="BW220" s="24" t="n"/>
      <c r="BX220" s="30" t="n">
        <v>1</v>
      </c>
      <c r="BY220" s="27" t="n">
        <v>0.055556</v>
      </c>
      <c r="BZ220" s="24" t="inlineStr">
        <is>
          <t>2026-09-13T04:32:27.601176Z</t>
        </is>
      </c>
      <c r="CA220" s="31" t="inlineStr">
        <is>
          <t>fixed one-unit hypothetical scoring; no real exposure or execution</t>
        </is>
      </c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False</t>
        </is>
      </c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/>
      <c r="DH220" s="24" t="n"/>
      <c r="DI220" s="24" t="n"/>
      <c r="DJ220" s="24" t="inlineStr">
        <is>
          <t>0.947368</t>
        </is>
      </c>
      <c r="DK220" s="24" t="n"/>
      <c r="DL220" s="24" t="n"/>
      <c r="DM220" s="24" t="n"/>
      <c r="DN220" s="24" t="n"/>
      <c r="DO220" s="24" t="n"/>
      <c r="DP220" s="24" t="n"/>
      <c r="DQ220" s="24" t="inlineStr">
        <is>
          <t>{"artifact_hash": "1d168f11d221cd3c", "event_id": "401864504", "event_start_utc": "2026-09-13T01:00Z", "features": {"altitude_fatigue_penalty": 0.0, "away_team": "Cal Poly Mustangs", "efficiency_gap": 0.57, "elo_away": 1337.5, "elo_home": 1437.5, "elo_home_win_prob": 0.7211, "event_id": "401864504", "game_start_utc": "2026-09-13T01:00Z", "home_field_advantage_points": 2.8, "home_team": "San Jos\u00e9 State Spartans", "is_dome": false, "is_fbs_vs_fcs": false, "is_neutral_site": false, "projected_away_points": 23.1, "projected_home_points": 29.9, "projected_margin_home": 6.7,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23.1, "mu_home": 29.9,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180859096895271809524136229607643585965}, "uinteger": 0}, "spread_home_line": -21.5, "total_line": 58.5}, "market_type": "moneyline", "model_version": "college-football-v1", "observed_at_utc": "2026-09-12T22:41:47.836186+00:00", "probabilities": {"away": 0.336653, "home": 0.663347}, "replay_scope": "Full precision score means, exact engine parameters and original RNG state; upstream feature construction not certified.", "schema": "cfb-joint-replay-v1", "snapshot_hash": "2678ba19b3f80a0ed17b781696b328037c3bb373b43b03ec23e03cb3e600ad29", "sport": "NCAAF"}</t>
        </is>
      </c>
    </row>
    <row r="221" ht="36" customHeight="1">
      <c r="A221" s="24" t="inlineStr">
        <is>
          <t>087e19e5203f45ef</t>
        </is>
      </c>
      <c r="B221" s="24" t="inlineStr">
        <is>
          <t>2026-09-12T22:41:47.836186Z</t>
        </is>
      </c>
      <c r="C221" s="24" t="inlineStr">
        <is>
          <t>2026-09-13T01:00Z</t>
        </is>
      </c>
      <c r="D221" s="24" t="inlineStr">
        <is>
          <t>401864504</t>
        </is>
      </c>
      <c r="E221" s="24" t="inlineStr">
        <is>
          <t>NCAAF</t>
        </is>
      </c>
      <c r="F221" s="24" t="inlineStr">
        <is>
          <t>Cal Poly Mustangs</t>
        </is>
      </c>
      <c r="G221" s="24" t="inlineStr">
        <is>
          <t>San José State Spartans</t>
        </is>
      </c>
      <c r="H221" s="24" t="inlineStr">
        <is>
          <t>spread</t>
        </is>
      </c>
      <c r="I221" s="24" t="inlineStr">
        <is>
          <t>away</t>
        </is>
      </c>
      <c r="J221" s="25" t="n">
        <v>21.5</v>
      </c>
      <c r="K221" s="24" t="inlineStr">
        <is>
          <t>espn_consensus</t>
        </is>
      </c>
      <c r="L221" s="26" t="n">
        <v>-115</v>
      </c>
      <c r="M221" s="27" t="n">
        <v>1.869565</v>
      </c>
      <c r="N221" s="28" t="n">
        <v>0.534884</v>
      </c>
      <c r="O221" s="28" t="n">
        <v>0.818933</v>
      </c>
      <c r="P221" s="28" t="n">
        <v>0.18</v>
      </c>
      <c r="Q221" s="28" t="n">
        <v>0.284049</v>
      </c>
      <c r="R221" s="26" t="n">
        <v>84</v>
      </c>
      <c r="S221" s="29" t="n">
        <v>1.75</v>
      </c>
      <c r="T221" s="24" t="inlineStr">
        <is>
          <t>cfb-spread-v1</t>
        </is>
      </c>
      <c r="U221" s="24" t="inlineStr">
        <is>
          <t>settled</t>
        </is>
      </c>
      <c r="V221" s="24" t="inlineStr">
        <is>
          <t>win</t>
        </is>
      </c>
      <c r="W221" s="26" t="n">
        <v>20</v>
      </c>
      <c r="X221" s="26" t="n">
        <v>30</v>
      </c>
      <c r="Y221" s="25" t="n"/>
      <c r="Z221" s="26" t="n"/>
      <c r="AA221" s="28" t="n"/>
      <c r="AB221" s="28" t="n"/>
      <c r="AC221" s="30" t="n">
        <v>1.5217</v>
      </c>
      <c r="AD221" s="24" t="inlineStr">
        <is>
          <t>2026-09-13T04:32:27.947073Z</t>
        </is>
      </c>
      <c r="AE221" s="31" t="inlineStr">
        <is>
          <t>Projected home margin +6.7 pts. Spread: Home -21.5 / Away +21.5 -&gt; P(Away cover)=0.819, P(Home cover)=0.181, P(Push)=0.000.</t>
        </is>
      </c>
      <c r="AF221" s="31" t="inlineStr">
        <is>
          <t>College football model; multi-market (moneyline, spread, total).</t>
        </is>
      </c>
      <c r="AG221" s="24" t="inlineStr">
        <is>
          <t>not_applicable</t>
        </is>
      </c>
      <c r="AH221" s="24" t="n"/>
      <c r="AI221" s="31" t="n"/>
      <c r="AJ221" s="31" t="n"/>
      <c r="AK221" s="24" t="inlineStr">
        <is>
          <t>model_qualified</t>
        </is>
      </c>
      <c r="AL221" s="26" t="n">
        <v>4</v>
      </c>
      <c r="AM221" s="24" t="inlineStr">
        <is>
          <t>QUALIFIED_SHADOW_CALL</t>
        </is>
      </c>
      <c r="AN221" s="24" t="inlineStr">
        <is>
          <t>CALL</t>
        </is>
      </c>
      <c r="AO221" s="24" t="inlineStr">
        <is>
          <t>QUALIFIED</t>
        </is>
      </c>
      <c r="AP221" s="24" t="inlineStr">
        <is>
          <t>Cal Poly Mustangs</t>
        </is>
      </c>
      <c r="AQ221" s="24" t="inlineStr">
        <is>
          <t>Cal Poly Mustangs</t>
        </is>
      </c>
      <c r="AR221" s="24" t="inlineStr">
        <is>
          <t>Cal Poly Mustangs</t>
        </is>
      </c>
      <c r="AS221" s="24" t="inlineStr">
        <is>
          <t>San José State Spartans</t>
        </is>
      </c>
      <c r="AT221" s="24" t="inlineStr">
        <is>
          <t>San José State Spartans</t>
        </is>
      </c>
      <c r="AU221" s="24" t="inlineStr">
        <is>
          <t>San José State Spartans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shadow_qualified</t>
        </is>
      </c>
      <c r="BA221" s="24" t="inlineStr">
        <is>
          <t>1d168f11d221cd3c</t>
        </is>
      </c>
      <c r="BB221" s="24" t="inlineStr">
        <is>
          <t>cfb_key_number_engine</t>
        </is>
      </c>
      <c r="BC221" s="24" t="inlineStr">
        <is>
          <t>cfb-spread-v1</t>
        </is>
      </c>
      <c r="BD221" s="24" t="inlineStr">
        <is>
          <t>1d168f11d221cd3c</t>
        </is>
      </c>
      <c r="BE221" s="24" t="inlineStr">
        <is>
          <t>cfb-v1</t>
        </is>
      </c>
      <c r="BF221" s="24" t="inlineStr">
        <is>
          <t>1</t>
        </is>
      </c>
      <c r="BG221" s="24" t="inlineStr">
        <is>
          <t>1d168f11d221cd3c</t>
        </is>
      </c>
      <c r="BH221" s="24" t="inlineStr">
        <is>
          <t>2026-09-12T22:41:47.836186+00:00</t>
        </is>
      </c>
      <c r="BI221" s="24" t="inlineStr">
        <is>
          <t>["same_event","same_team_same_day","same_league_same_day"]</t>
        </is>
      </c>
      <c r="BJ221" s="25" t="n">
        <v>21.5</v>
      </c>
      <c r="BK221" s="26" t="n">
        <v>-115</v>
      </c>
      <c r="BL221" s="27" t="n">
        <v>1.869565</v>
      </c>
      <c r="BM221" s="28" t="n">
        <v>0.534884</v>
      </c>
      <c r="BN221" s="28" t="n"/>
      <c r="BO221" s="28" t="n"/>
      <c r="BP221" s="25" t="n"/>
      <c r="BQ221" s="27" t="n"/>
      <c r="BR221" s="28" t="n"/>
      <c r="BS221" s="28" t="n"/>
      <c r="BT221" s="28" t="n"/>
      <c r="BU221" s="25" t="n"/>
      <c r="BV221" s="29" t="n"/>
      <c r="BW221" s="24" t="n"/>
      <c r="BX221" s="30" t="n"/>
      <c r="BY221" s="27" t="n"/>
      <c r="BZ221" s="24" t="n"/>
      <c r="CA221" s="31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True</t>
        </is>
      </c>
      <c r="CT221" s="24" t="n"/>
      <c r="CU221" s="24" t="n"/>
      <c r="CV221" s="24" t="n"/>
      <c r="CW221" s="24" t="n"/>
      <c r="CX221" s="24" t="n"/>
      <c r="CY221" s="24" t="n"/>
      <c r="CZ221" s="24" t="n"/>
      <c r="DA221" s="24" t="n"/>
      <c r="DB221" s="24" t="n"/>
      <c r="DC221" s="24" t="n"/>
      <c r="DD221" s="24" t="n"/>
      <c r="DE221" s="24" t="n"/>
      <c r="DF221" s="24" t="n"/>
      <c r="DG221" s="24" t="n"/>
      <c r="DH221" s="24" t="n"/>
      <c r="DI221" s="24" t="n"/>
      <c r="DJ221" s="24" t="inlineStr">
        <is>
          <t>0.534884</t>
        </is>
      </c>
      <c r="DK221" s="24" t="n"/>
      <c r="DL221" s="24" t="n"/>
      <c r="DM221" s="24" t="n"/>
      <c r="DN221" s="24" t="n"/>
      <c r="DO221" s="24" t="n"/>
      <c r="DP221" s="24" t="n"/>
      <c r="DQ221" s="24" t="inlineStr">
        <is>
          <t>{"artifact_hash": "1d168f11d221cd3c", "event_id": "401864504", "event_start_utc": "2026-09-13T01:00Z", "features": {"altitude_fatigue_penalty": 0.0, "away_team": "Cal Poly Mustangs", "efficiency_gap": 0.57, "elo_away": 1337.5, "elo_home": 1437.5, "elo_home_win_prob": 0.7211, "event_id": "401864504", "game_start_utc": "2026-09-13T01:00Z", "home_field_advantage_points": 2.8, "home_team": "San Jos\u00e9 State Spartans", "is_dome": false, "is_fbs_vs_fcs": false, "is_neutral_site": false, "projected_away_points": 23.1, "projected_home_points": 29.9, "projected_margin_home": 6.7,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23.1, "mu_home": 29.9,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180859096895271809524136229607643585965}, "uinteger": 0}, "spread_home_line": -21.5, "total_line": 58.5}, "market_type": "spread", "model_version": "cfb-spread-v1", "observed_at_utc": "2026-09-12T22:41:47.836186+00:00", "probabilities": {"away": 0.818933, "home": 0.181067, "push": 0.0}, "replay_scope": "Full precision score means, exact engine parameters and original RNG state; upstream feature construction not certified.", "schema": "cfb-joint-replay-v1", "snapshot_hash": "c53c2c0d7d5255f5db51117e1bb9d8b9e837cdae9e9b50951bb756bc1f63c4d8", "sport": "NCAAF"}</t>
        </is>
      </c>
    </row>
    <row r="222" ht="36" customHeight="1">
      <c r="A222" s="24" t="inlineStr">
        <is>
          <t>2cefb203df474959</t>
        </is>
      </c>
      <c r="B222" s="24" t="inlineStr">
        <is>
          <t>2026-09-12T22:41:47.836186Z</t>
        </is>
      </c>
      <c r="C222" s="24" t="inlineStr">
        <is>
          <t>2026-09-13T01:00Z</t>
        </is>
      </c>
      <c r="D222" s="24" t="inlineStr">
        <is>
          <t>401864504</t>
        </is>
      </c>
      <c r="E222" s="24" t="inlineStr">
        <is>
          <t>NCAAF</t>
        </is>
      </c>
      <c r="F222" s="24" t="inlineStr">
        <is>
          <t>Cal Poly Mustangs</t>
        </is>
      </c>
      <c r="G222" s="24" t="inlineStr">
        <is>
          <t>San José State Spartans</t>
        </is>
      </c>
      <c r="H222" s="24" t="inlineStr">
        <is>
          <t>total</t>
        </is>
      </c>
      <c r="I222" s="24" t="inlineStr">
        <is>
          <t>under</t>
        </is>
      </c>
      <c r="J222" s="25" t="n">
        <v>58.5</v>
      </c>
      <c r="K222" s="24" t="inlineStr">
        <is>
          <t>espn_consensus</t>
        </is>
      </c>
      <c r="L222" s="26" t="n">
        <v>-112</v>
      </c>
      <c r="M222" s="27" t="n">
        <v>1.892857</v>
      </c>
      <c r="N222" s="28" t="n">
        <v>0.528302</v>
      </c>
      <c r="O222" s="28" t="n">
        <v>0.6362</v>
      </c>
      <c r="P222" s="28" t="n">
        <v>0.18</v>
      </c>
      <c r="Q222" s="28" t="n">
        <v>0.107898</v>
      </c>
      <c r="R222" s="26" t="n">
        <v>0</v>
      </c>
      <c r="S222" s="29" t="n">
        <v>1</v>
      </c>
      <c r="T222" s="24" t="inlineStr">
        <is>
          <t>cfb-total-v1</t>
        </is>
      </c>
      <c r="U222" s="24" t="inlineStr">
        <is>
          <t>settled</t>
        </is>
      </c>
      <c r="V222" s="24" t="inlineStr">
        <is>
          <t>win</t>
        </is>
      </c>
      <c r="W222" s="26" t="n">
        <v>20</v>
      </c>
      <c r="X222" s="26" t="n">
        <v>30</v>
      </c>
      <c r="Y222" s="25" t="n"/>
      <c r="Z222" s="26" t="n"/>
      <c r="AA222" s="28" t="n"/>
      <c r="AB222" s="28" t="n"/>
      <c r="AC222" s="30" t="n">
        <v>0.8929</v>
      </c>
      <c r="AD222" s="24" t="inlineStr">
        <is>
          <t>2026-09-13T04:32:28.326458Z</t>
        </is>
      </c>
      <c r="AE222" s="31" t="inlineStr">
        <is>
          <t>Projected total 53.0 pts (Weather adj: +0.0 pts). Total line 58.5 -&gt; P(Over)=0.364, P(Under)=0.636, P(Push)=0.000.</t>
        </is>
      </c>
      <c r="AF222" s="31" t="inlineStr">
        <is>
          <t>College football model; multi-market (moneyline, spread, total).</t>
        </is>
      </c>
      <c r="AG222" s="24" t="inlineStr">
        <is>
          <t>not_applicable</t>
        </is>
      </c>
      <c r="AH222" s="24" t="n"/>
      <c r="AI222" s="31" t="n"/>
      <c r="AJ222" s="31" t="n"/>
      <c r="AK222" s="24" t="inlineStr">
        <is>
          <t>model_qualified</t>
        </is>
      </c>
      <c r="AL222" s="26" t="n">
        <v>4</v>
      </c>
      <c r="AM222" s="24" t="inlineStr">
        <is>
          <t>QUALIFIED_SHADOW_CALL</t>
        </is>
      </c>
      <c r="AN222" s="24" t="inlineStr">
        <is>
          <t>CALL</t>
        </is>
      </c>
      <c r="AO222" s="24" t="inlineStr">
        <is>
          <t>QUALIFIED</t>
        </is>
      </c>
      <c r="AP222" s="24" t="inlineStr">
        <is>
          <t>Cal Poly Mustangs</t>
        </is>
      </c>
      <c r="AQ222" s="24" t="inlineStr">
        <is>
          <t>Cal Poly Mustangs</t>
        </is>
      </c>
      <c r="AR222" s="24" t="inlineStr">
        <is>
          <t>Cal Poly Mustangs</t>
        </is>
      </c>
      <c r="AS222" s="24" t="inlineStr">
        <is>
          <t>San José State Spartans</t>
        </is>
      </c>
      <c r="AT222" s="24" t="inlineStr">
        <is>
          <t>San José State Spartans</t>
        </is>
      </c>
      <c r="AU222" s="24" t="inlineStr">
        <is>
          <t>San José State Spartans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shadow_qualified</t>
        </is>
      </c>
      <c r="BA222" s="24" t="inlineStr">
        <is>
          <t>1d168f11d221cd3c</t>
        </is>
      </c>
      <c r="BB222" s="24" t="inlineStr">
        <is>
          <t>cfb_key_number_engine</t>
        </is>
      </c>
      <c r="BC222" s="24" t="inlineStr">
        <is>
          <t>cfb-total-v1</t>
        </is>
      </c>
      <c r="BD222" s="24" t="inlineStr">
        <is>
          <t>1d168f11d221cd3c</t>
        </is>
      </c>
      <c r="BE222" s="24" t="inlineStr">
        <is>
          <t>cfb-v1</t>
        </is>
      </c>
      <c r="BF222" s="24" t="inlineStr">
        <is>
          <t>1</t>
        </is>
      </c>
      <c r="BG222" s="24" t="inlineStr">
        <is>
          <t>1d168f11d221cd3c</t>
        </is>
      </c>
      <c r="BH222" s="24" t="inlineStr">
        <is>
          <t>2026-09-12T22:41:47.836186+00:00</t>
        </is>
      </c>
      <c r="BI222" s="24" t="inlineStr">
        <is>
          <t>["same_event","same_team_same_day","same_league_same_day"]</t>
        </is>
      </c>
      <c r="BJ222" s="25" t="n">
        <v>58.5</v>
      </c>
      <c r="BK222" s="26" t="n">
        <v>-112</v>
      </c>
      <c r="BL222" s="27" t="n">
        <v>1.892857</v>
      </c>
      <c r="BM222" s="28" t="n">
        <v>0.528302</v>
      </c>
      <c r="BN222" s="28" t="n"/>
      <c r="BO222" s="28" t="n"/>
      <c r="BP222" s="25" t="n"/>
      <c r="BQ222" s="27" t="n"/>
      <c r="BR222" s="28" t="n"/>
      <c r="BS222" s="28" t="n"/>
      <c r="BT222" s="28" t="n"/>
      <c r="BU222" s="25" t="n"/>
      <c r="BV222" s="29" t="n"/>
      <c r="BW222" s="24" t="n"/>
      <c r="BX222" s="30" t="n"/>
      <c r="BY222" s="27" t="n"/>
      <c r="BZ222" s="24" t="n"/>
      <c r="CA222" s="31" t="n"/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True</t>
        </is>
      </c>
      <c r="CT222" s="24" t="n"/>
      <c r="CU222" s="24" t="n"/>
      <c r="CV222" s="24" t="n"/>
      <c r="CW222" s="24" t="n"/>
      <c r="CX222" s="24" t="n"/>
      <c r="CY222" s="24" t="n"/>
      <c r="CZ222" s="24" t="n"/>
      <c r="DA222" s="24" t="n"/>
      <c r="DB222" s="24" t="n"/>
      <c r="DC222" s="24" t="n"/>
      <c r="DD222" s="24" t="n"/>
      <c r="DE222" s="24" t="n"/>
      <c r="DF222" s="24" t="n"/>
      <c r="DG222" s="24" t="n"/>
      <c r="DH222" s="24" t="n"/>
      <c r="DI222" s="24" t="n"/>
      <c r="DJ222" s="24" t="inlineStr">
        <is>
          <t>0.528302</t>
        </is>
      </c>
      <c r="DK222" s="24" t="n"/>
      <c r="DL222" s="24" t="n"/>
      <c r="DM222" s="24" t="n"/>
      <c r="DN222" s="24" t="n"/>
      <c r="DO222" s="24" t="n"/>
      <c r="DP222" s="24" t="n"/>
      <c r="DQ222" s="24" t="inlineStr">
        <is>
          <t>{"artifact_hash": "1d168f11d221cd3c", "event_id": "401864504", "event_start_utc": "2026-09-13T01:00Z", "features": {"altitude_fatigue_penalty": 0.0, "away_team": "Cal Poly Mustangs", "efficiency_gap": 0.57, "elo_away": 1337.5, "elo_home": 1437.5, "elo_home_win_prob": 0.7211, "event_id": "401864504", "game_start_utc": "2026-09-13T01:00Z", "home_field_advantage_points": 2.8, "home_team": "San Jos\u00e9 State Spartans", "is_dome": false, "is_fbs_vs_fcs": false, "is_neutral_site": false, "projected_away_points": 23.1, "projected_home_points": 29.9, "projected_margin_home": 6.7,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23.1, "mu_home": 29.9,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180859096895271809524136229607643585965}, "uinteger": 0}, "spread_home_line": -21.5, "total_line": 58.5}, "market_type": "total", "model_version": "cfb-total-v1", "observed_at_utc": "2026-09-12T22:41:47.836186+00:00", "probabilities": {"over": 0.3638, "push": 0.0, "under": 0.6362}, "replay_scope": "Full precision score means, exact engine parameters and original RNG state; upstream feature construction not certified.", "schema": "cfb-joint-replay-v1", "snapshot_hash": "3745c14407fbdbf2231b824a60bbb2f14a4a123e70a4d5520b4e115d6e7c9f7d", "sport": "NCAAF"}</t>
        </is>
      </c>
    </row>
    <row r="223" ht="36" customHeight="1">
      <c r="A223" s="24" t="inlineStr">
        <is>
          <t>3e5632725cc64ee0</t>
        </is>
      </c>
      <c r="B223" s="24" t="inlineStr">
        <is>
          <t>2026-09-12T22:41:47.836186Z</t>
        </is>
      </c>
      <c r="C223" s="24" t="inlineStr">
        <is>
          <t>2026-09-13T01:00Z</t>
        </is>
      </c>
      <c r="D223" s="24" t="inlineStr">
        <is>
          <t>401864505</t>
        </is>
      </c>
      <c r="E223" s="24" t="inlineStr">
        <is>
          <t>NCAAF</t>
        </is>
      </c>
      <c r="F223" s="24" t="inlineStr">
        <is>
          <t>Texas Southern Tigers</t>
        </is>
      </c>
      <c r="G223" s="24" t="inlineStr">
        <is>
          <t>UTEP Miners</t>
        </is>
      </c>
      <c r="H223" s="24" t="inlineStr">
        <is>
          <t>moneyline</t>
        </is>
      </c>
      <c r="I223" s="24" t="inlineStr">
        <is>
          <t>away</t>
        </is>
      </c>
      <c r="J223" s="25" t="n"/>
      <c r="K223" s="24" t="inlineStr">
        <is>
          <t>espn_consensus</t>
        </is>
      </c>
      <c r="L223" s="26" t="n">
        <v>1700</v>
      </c>
      <c r="M223" s="27" t="n">
        <v>18</v>
      </c>
      <c r="N223" s="28" t="n">
        <v>0.055556</v>
      </c>
      <c r="O223" s="28" t="n">
        <v>0.651093</v>
      </c>
      <c r="P223" s="28" t="n">
        <v>0.18</v>
      </c>
      <c r="Q223" s="28" t="n">
        <v>0.595537</v>
      </c>
      <c r="R223" s="26" t="n">
        <v>100</v>
      </c>
      <c r="S223" s="29" t="n">
        <v>2</v>
      </c>
      <c r="T223" s="24" t="inlineStr">
        <is>
          <t>college-football-v1</t>
        </is>
      </c>
      <c r="U223" s="24" t="inlineStr">
        <is>
          <t>settled</t>
        </is>
      </c>
      <c r="V223" s="24" t="inlineStr">
        <is>
          <t>loss</t>
        </is>
      </c>
      <c r="W223" s="26" t="n">
        <v>10</v>
      </c>
      <c r="X223" s="26" t="n">
        <v>51</v>
      </c>
      <c r="Y223" s="25" t="n"/>
      <c r="Z223" s="26" t="n"/>
      <c r="AA223" s="28" t="n"/>
      <c r="AB223" s="28" t="n"/>
      <c r="AC223" s="30" t="n">
        <v>-2</v>
      </c>
      <c r="AD223" s="24" t="inlineStr">
        <is>
          <t>2026-09-13T10:00:20.446367Z</t>
        </is>
      </c>
      <c r="AE223" s="31" t="inlineStr">
        <is>
          <t>CFB Joint Model (negative_binomial): proj score Texas Southern Tigers 28.9 @ UTEP Miners 23.0 (Margin -5.9). Possessions: 12.4, HFA: +2.8 pts.</t>
        </is>
      </c>
      <c r="AF223" s="31" t="inlineStr">
        <is>
          <t>College football model; multi-market (moneyline, spread, total).</t>
        </is>
      </c>
      <c r="AG223" s="24" t="inlineStr">
        <is>
          <t>review_required</t>
        </is>
      </c>
      <c r="AH223" s="24" t="n"/>
      <c r="AI223" s="31" t="n"/>
      <c r="AJ223" s="31" t="n"/>
      <c r="AK223" s="24" t="inlineStr">
        <is>
          <t>model_qualified</t>
        </is>
      </c>
      <c r="AL223" s="26" t="n">
        <v>4</v>
      </c>
      <c r="AM223" s="24" t="inlineStr">
        <is>
          <t>QUALIFIED_SHADOW_CALL</t>
        </is>
      </c>
      <c r="AN223" s="24" t="inlineStr">
        <is>
          <t>CALL</t>
        </is>
      </c>
      <c r="AO223" s="24" t="inlineStr">
        <is>
          <t>QUALIFIED</t>
        </is>
      </c>
      <c r="AP223" s="24" t="inlineStr">
        <is>
          <t>Texas Southern Tigers</t>
        </is>
      </c>
      <c r="AQ223" s="24" t="inlineStr">
        <is>
          <t>Texas Southern Tigers</t>
        </is>
      </c>
      <c r="AR223" s="24" t="inlineStr">
        <is>
          <t>Texas Southern Tigers</t>
        </is>
      </c>
      <c r="AS223" s="24" t="inlineStr">
        <is>
          <t>UTEP Miners</t>
        </is>
      </c>
      <c r="AT223" s="24" t="inlineStr">
        <is>
          <t>UTEP Miners</t>
        </is>
      </c>
      <c r="AU223" s="24" t="inlineStr">
        <is>
          <t>UTEP Miners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shadow_qualified</t>
        </is>
      </c>
      <c r="BA223" s="24" t="inlineStr">
        <is>
          <t>1d168f11d221cd3c</t>
        </is>
      </c>
      <c r="BB223" s="24" t="inlineStr">
        <is>
          <t>cfb_key_number_engine</t>
        </is>
      </c>
      <c r="BC223" s="24" t="inlineStr">
        <is>
          <t>college-football-v1</t>
        </is>
      </c>
      <c r="BD223" s="24" t="inlineStr">
        <is>
          <t>1d168f11d221cd3c</t>
        </is>
      </c>
      <c r="BE223" s="24" t="inlineStr">
        <is>
          <t>cfb-v1</t>
        </is>
      </c>
      <c r="BF223" s="24" t="inlineStr">
        <is>
          <t>1</t>
        </is>
      </c>
      <c r="BG223" s="24" t="inlineStr">
        <is>
          <t>1d168f11d221cd3c</t>
        </is>
      </c>
      <c r="BH223" s="24" t="inlineStr">
        <is>
          <t>2026-09-12T22:41:47.836186+00:00</t>
        </is>
      </c>
      <c r="BI223" s="24" t="inlineStr">
        <is>
          <t>["same_event","same_team_same_day","same_league_same_day"]</t>
        </is>
      </c>
      <c r="BJ223" s="25" t="n"/>
      <c r="BK223" s="26" t="n">
        <v>1700</v>
      </c>
      <c r="BL223" s="27" t="n">
        <v>18</v>
      </c>
      <c r="BM223" s="28" t="n">
        <v>0.055556</v>
      </c>
      <c r="BN223" s="28" t="n"/>
      <c r="BO223" s="28" t="n"/>
      <c r="BP223" s="25" t="n"/>
      <c r="BQ223" s="27" t="n"/>
      <c r="BR223" s="28" t="n"/>
      <c r="BS223" s="28" t="n"/>
      <c r="BT223" s="28" t="n"/>
      <c r="BU223" s="25" t="n"/>
      <c r="BV223" s="29" t="n"/>
      <c r="BW223" s="24" t="n"/>
      <c r="BX223" s="30" t="n"/>
      <c r="BY223" s="27" t="n"/>
      <c r="BZ223" s="24" t="n"/>
      <c r="CA223" s="31" t="n"/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True</t>
        </is>
      </c>
      <c r="CT223" s="24" t="n"/>
      <c r="CU223" s="24" t="n"/>
      <c r="CV223" s="24" t="n"/>
      <c r="CW223" s="24" t="n"/>
      <c r="CX223" s="24" t="n"/>
      <c r="CY223" s="24" t="n"/>
      <c r="CZ223" s="24" t="n"/>
      <c r="DA223" s="24" t="n"/>
      <c r="DB223" s="24" t="n"/>
      <c r="DC223" s="24" t="n"/>
      <c r="DD223" s="24" t="n"/>
      <c r="DE223" s="24" t="n"/>
      <c r="DF223" s="24" t="n"/>
      <c r="DG223" s="24" t="n"/>
      <c r="DH223" s="24" t="n"/>
      <c r="DI223" s="24" t="n"/>
      <c r="DJ223" s="24" t="inlineStr">
        <is>
          <t>0.055556</t>
        </is>
      </c>
      <c r="DK223" s="24" t="n"/>
      <c r="DL223" s="24" t="n"/>
      <c r="DM223" s="24" t="n"/>
      <c r="DN223" s="24" t="n"/>
      <c r="DO223" s="24" t="n"/>
      <c r="DP223" s="24" t="n"/>
      <c r="DQ223" s="24" t="inlineStr">
        <is>
          <t>{"artifact_hash": "1d168f11d221cd3c", "event_id": "401864505", "event_start_utc": "2026-09-13T01:00Z", "features": {"altitude_fatigue_penalty": 0.0, "away_team": "Texas Southern Tigers", "efficiency_gap": -0.852, "elo_away": 1337.5, "elo_home": 1127.5, "elo_home_win_prob": 0.3026, "event_id": "401864505", "game_start_utc": "2026-09-13T01:00Z", "home_field_advantage_points": 2.8, "home_team": "UTEP Miners", "is_dome": false, "is_fbs_vs_fcs": false, "is_neutral_site": false, "projected_away_points": 28.9, "projected_home_points": 23.0, "projected_margin_home": -5.9,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28.9, "mu_home": 23.0,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273264722992340201340681980643700641856}, "uinteger": 0}, "spread_home_line": -27.5, "total_line": 53.5}, "market_type": "moneyline", "model_version": "college-football-v1", "observed_at_utc": "2026-09-12T22:41:47.836186+00:00", "probabilities": {"away": 0.651093, "home": 0.348907}, "replay_scope": "Full precision score means, exact engine parameters and original RNG state; upstream feature construction not certified.", "schema": "cfb-joint-replay-v1", "snapshot_hash": "e3ed10e56b0ef46bd976a87c161060f6db99eab46858c429ee5d8ad5166006bd", "sport": "NCAAF"}</t>
        </is>
      </c>
    </row>
    <row r="224" ht="36" customHeight="1">
      <c r="A224" s="24" t="inlineStr">
        <is>
          <t>6c7eee34a2834e1c</t>
        </is>
      </c>
      <c r="B224" s="24" t="inlineStr">
        <is>
          <t>2026-09-12T22:41:47.836186Z</t>
        </is>
      </c>
      <c r="C224" s="24" t="inlineStr">
        <is>
          <t>2026-09-13T01:00Z</t>
        </is>
      </c>
      <c r="D224" s="24" t="inlineStr">
        <is>
          <t>401864505</t>
        </is>
      </c>
      <c r="E224" s="24" t="inlineStr">
        <is>
          <t>NCAAF</t>
        </is>
      </c>
      <c r="F224" s="24" t="inlineStr">
        <is>
          <t>Texas Southern Tigers</t>
        </is>
      </c>
      <c r="G224" s="24" t="inlineStr">
        <is>
          <t>UTEP Miners</t>
        </is>
      </c>
      <c r="H224" s="24" t="inlineStr">
        <is>
          <t>spread</t>
        </is>
      </c>
      <c r="I224" s="24" t="inlineStr">
        <is>
          <t>away</t>
        </is>
      </c>
      <c r="J224" s="25" t="n">
        <v>27.5</v>
      </c>
      <c r="K224" s="24" t="inlineStr">
        <is>
          <t>espn_consensus</t>
        </is>
      </c>
      <c r="L224" s="26" t="n">
        <v>-112</v>
      </c>
      <c r="M224" s="27" t="n">
        <v>1.892857</v>
      </c>
      <c r="N224" s="28" t="n">
        <v>0.528302</v>
      </c>
      <c r="O224" s="28" t="n">
        <v>0.972267</v>
      </c>
      <c r="P224" s="28" t="n">
        <v>0.18</v>
      </c>
      <c r="Q224" s="28" t="n">
        <v>0.443965</v>
      </c>
      <c r="R224" s="26" t="n">
        <v>100</v>
      </c>
      <c r="S224" s="29" t="n">
        <v>2</v>
      </c>
      <c r="T224" s="24" t="inlineStr">
        <is>
          <t>cfb-spread-v1</t>
        </is>
      </c>
      <c r="U224" s="24" t="inlineStr">
        <is>
          <t>settled</t>
        </is>
      </c>
      <c r="V224" s="24" t="inlineStr">
        <is>
          <t>loss</t>
        </is>
      </c>
      <c r="W224" s="26" t="n">
        <v>10</v>
      </c>
      <c r="X224" s="26" t="n">
        <v>51</v>
      </c>
      <c r="Y224" s="25" t="n"/>
      <c r="Z224" s="26" t="n"/>
      <c r="AA224" s="28" t="n"/>
      <c r="AB224" s="28" t="n"/>
      <c r="AC224" s="30" t="n">
        <v>-2</v>
      </c>
      <c r="AD224" s="24" t="inlineStr">
        <is>
          <t>2026-09-13T10:00:20.796490Z</t>
        </is>
      </c>
      <c r="AE224" s="31" t="inlineStr">
        <is>
          <t>Projected home margin -5.9 pts. Spread: Home -27.5 / Away +27.5 -&gt; P(Away cover)=0.972, P(Home cover)=0.028, P(Push)=0.000.</t>
        </is>
      </c>
      <c r="AF224" s="31" t="inlineStr">
        <is>
          <t>College football model; multi-market (moneyline, spread, total).</t>
        </is>
      </c>
      <c r="AG224" s="24" t="inlineStr">
        <is>
          <t>review_required</t>
        </is>
      </c>
      <c r="AH224" s="24" t="n"/>
      <c r="AI224" s="31" t="n"/>
      <c r="AJ224" s="31" t="n"/>
      <c r="AK224" s="24" t="inlineStr">
        <is>
          <t>model_qualified</t>
        </is>
      </c>
      <c r="AL224" s="26" t="n">
        <v>4</v>
      </c>
      <c r="AM224" s="24" t="inlineStr">
        <is>
          <t>QUALIFIED_SHADOW_CALL</t>
        </is>
      </c>
      <c r="AN224" s="24" t="inlineStr">
        <is>
          <t>CALL</t>
        </is>
      </c>
      <c r="AO224" s="24" t="inlineStr">
        <is>
          <t>QUALIFIED</t>
        </is>
      </c>
      <c r="AP224" s="24" t="inlineStr">
        <is>
          <t>Texas Southern Tigers</t>
        </is>
      </c>
      <c r="AQ224" s="24" t="inlineStr">
        <is>
          <t>Texas Southern Tigers</t>
        </is>
      </c>
      <c r="AR224" s="24" t="inlineStr">
        <is>
          <t>Texas Southern Tigers</t>
        </is>
      </c>
      <c r="AS224" s="24" t="inlineStr">
        <is>
          <t>UTEP Miners</t>
        </is>
      </c>
      <c r="AT224" s="24" t="inlineStr">
        <is>
          <t>UTEP Miners</t>
        </is>
      </c>
      <c r="AU224" s="24" t="inlineStr">
        <is>
          <t>UTEP Miners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shadow_qualified</t>
        </is>
      </c>
      <c r="BA224" s="24" t="inlineStr">
        <is>
          <t>1d168f11d221cd3c</t>
        </is>
      </c>
      <c r="BB224" s="24" t="inlineStr">
        <is>
          <t>cfb_key_number_engine</t>
        </is>
      </c>
      <c r="BC224" s="24" t="inlineStr">
        <is>
          <t>cfb-spread-v1</t>
        </is>
      </c>
      <c r="BD224" s="24" t="inlineStr">
        <is>
          <t>1d168f11d221cd3c</t>
        </is>
      </c>
      <c r="BE224" s="24" t="inlineStr">
        <is>
          <t>cfb-v1</t>
        </is>
      </c>
      <c r="BF224" s="24" t="inlineStr">
        <is>
          <t>1</t>
        </is>
      </c>
      <c r="BG224" s="24" t="inlineStr">
        <is>
          <t>1d168f11d221cd3c</t>
        </is>
      </c>
      <c r="BH224" s="24" t="inlineStr">
        <is>
          <t>2026-09-12T22:41:47.836186+00:00</t>
        </is>
      </c>
      <c r="BI224" s="24" t="inlineStr">
        <is>
          <t>["same_event","same_team_same_day","same_league_same_day"]</t>
        </is>
      </c>
      <c r="BJ224" s="25" t="n">
        <v>27.5</v>
      </c>
      <c r="BK224" s="26" t="n">
        <v>-112</v>
      </c>
      <c r="BL224" s="27" t="n">
        <v>1.892857</v>
      </c>
      <c r="BM224" s="28" t="n">
        <v>0.528302</v>
      </c>
      <c r="BN224" s="28" t="n"/>
      <c r="BO224" s="28" t="n"/>
      <c r="BP224" s="25" t="n"/>
      <c r="BQ224" s="27" t="n"/>
      <c r="BR224" s="28" t="n"/>
      <c r="BS224" s="28" t="n"/>
      <c r="BT224" s="28" t="n"/>
      <c r="BU224" s="25" t="n"/>
      <c r="BV224" s="29" t="n"/>
      <c r="BW224" s="24" t="n"/>
      <c r="BX224" s="30" t="n"/>
      <c r="BY224" s="27" t="n"/>
      <c r="BZ224" s="24" t="n"/>
      <c r="CA224" s="31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True</t>
        </is>
      </c>
      <c r="CT224" s="24" t="n"/>
      <c r="CU224" s="24" t="n"/>
      <c r="CV224" s="24" t="n"/>
      <c r="CW224" s="24" t="n"/>
      <c r="CX224" s="24" t="n"/>
      <c r="CY224" s="24" t="n"/>
      <c r="CZ224" s="24" t="n"/>
      <c r="DA224" s="24" t="n"/>
      <c r="DB224" s="24" t="n"/>
      <c r="DC224" s="24" t="n"/>
      <c r="DD224" s="24" t="n"/>
      <c r="DE224" s="24" t="n"/>
      <c r="DF224" s="24" t="n"/>
      <c r="DG224" s="24" t="n"/>
      <c r="DH224" s="24" t="n"/>
      <c r="DI224" s="24" t="n"/>
      <c r="DJ224" s="24" t="inlineStr">
        <is>
          <t>0.528302</t>
        </is>
      </c>
      <c r="DK224" s="24" t="n"/>
      <c r="DL224" s="24" t="n"/>
      <c r="DM224" s="24" t="n"/>
      <c r="DN224" s="24" t="n"/>
      <c r="DO224" s="24" t="n"/>
      <c r="DP224" s="24" t="n"/>
      <c r="DQ224" s="24" t="inlineStr">
        <is>
          <t>{"artifact_hash": "1d168f11d221cd3c", "event_id": "401864505", "event_start_utc": "2026-09-13T01:00Z", "features": {"altitude_fatigue_penalty": 0.0, "away_team": "Texas Southern Tigers", "efficiency_gap": -0.852, "elo_away": 1337.5, "elo_home": 1127.5, "elo_home_win_prob": 0.3026, "event_id": "401864505", "game_start_utc": "2026-09-13T01:00Z", "home_field_advantage_points": 2.8, "home_team": "UTEP Miners", "is_dome": false, "is_fbs_vs_fcs": false, "is_neutral_site": false, "projected_away_points": 28.9, "projected_home_points": 23.0, "projected_margin_home": -5.9,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28.9, "mu_home": 23.0,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273264722992340201340681980643700641856}, "uinteger": 0}, "spread_home_line": -27.5, "total_line": 53.5}, "market_type": "spread", "model_version": "cfb-spread-v1", "observed_at_utc": "2026-09-12T22:41:47.836186+00:00", "probabilities": {"away": 0.972267, "home": 0.027733, "push": 0.0}, "replay_scope": "Full precision score means, exact engine parameters and original RNG state; upstream feature construction not certified.", "schema": "cfb-joint-replay-v1", "snapshot_hash": "ea8fccab1773ebad4c71d66b1fbbee229876bbb9e0f46d8c57d974e141b5ef95", "sport": "NCAAF"}</t>
        </is>
      </c>
    </row>
    <row r="225" ht="36" customHeight="1">
      <c r="A225" s="24" t="inlineStr">
        <is>
          <t>a70046a428254b9d</t>
        </is>
      </c>
      <c r="B225" s="24" t="inlineStr">
        <is>
          <t>2026-09-12T22:41:47.836186Z</t>
        </is>
      </c>
      <c r="C225" s="24" t="inlineStr">
        <is>
          <t>2026-09-13T01:00Z</t>
        </is>
      </c>
      <c r="D225" s="24" t="inlineStr">
        <is>
          <t>401864505</t>
        </is>
      </c>
      <c r="E225" s="24" t="inlineStr">
        <is>
          <t>NCAAF</t>
        </is>
      </c>
      <c r="F225" s="24" t="inlineStr">
        <is>
          <t>Texas Southern Tigers</t>
        </is>
      </c>
      <c r="G225" s="24" t="inlineStr">
        <is>
          <t>UTEP Miners</t>
        </is>
      </c>
      <c r="H225" s="24" t="inlineStr">
        <is>
          <t>total</t>
        </is>
      </c>
      <c r="I225" s="24" t="inlineStr">
        <is>
          <t>under</t>
        </is>
      </c>
      <c r="J225" s="25" t="n">
        <v>53.5</v>
      </c>
      <c r="K225" s="24" t="inlineStr">
        <is>
          <t>espn_consensus</t>
        </is>
      </c>
      <c r="L225" s="26" t="n">
        <v>-112</v>
      </c>
      <c r="M225" s="27" t="n">
        <v>1.892857</v>
      </c>
      <c r="N225" s="28" t="n">
        <v>0.528302</v>
      </c>
      <c r="O225" s="28" t="n">
        <v>0.5644670000000001</v>
      </c>
      <c r="P225" s="28" t="n">
        <v>0.18</v>
      </c>
      <c r="Q225" s="28" t="n">
        <v>0.036165</v>
      </c>
      <c r="R225" s="26" t="n">
        <v>0</v>
      </c>
      <c r="S225" s="29" t="n">
        <v>1</v>
      </c>
      <c r="T225" s="24" t="inlineStr">
        <is>
          <t>cfb-total-v1</t>
        </is>
      </c>
      <c r="U225" s="24" t="inlineStr">
        <is>
          <t>settled</t>
        </is>
      </c>
      <c r="V225" s="24" t="inlineStr">
        <is>
          <t>loss</t>
        </is>
      </c>
      <c r="W225" s="26" t="n">
        <v>10</v>
      </c>
      <c r="X225" s="26" t="n">
        <v>51</v>
      </c>
      <c r="Y225" s="25" t="n"/>
      <c r="Z225" s="26" t="n"/>
      <c r="AA225" s="28" t="n"/>
      <c r="AB225" s="28" t="n"/>
      <c r="AC225" s="30" t="n">
        <v>-1</v>
      </c>
      <c r="AD225" s="24" t="inlineStr">
        <is>
          <t>2026-09-13T10:00:21.157759Z</t>
        </is>
      </c>
      <c r="AE225" s="31" t="inlineStr">
        <is>
          <t>Projected total 52.0 pts (Weather adj: +0.0 pts). Total line 53.5 -&gt; P(Over)=0.436, P(Under)=0.564, P(Push)=0.000.</t>
        </is>
      </c>
      <c r="AF225" s="31" t="inlineStr">
        <is>
          <t>College football model; multi-market (moneyline, spread, total).</t>
        </is>
      </c>
      <c r="AG225" s="24" t="inlineStr">
        <is>
          <t>review_required</t>
        </is>
      </c>
      <c r="AH225" s="24" t="n"/>
      <c r="AI225" s="31" t="n"/>
      <c r="AJ225" s="31" t="n"/>
      <c r="AK225" s="24" t="inlineStr">
        <is>
          <t>model_qualified</t>
        </is>
      </c>
      <c r="AL225" s="26" t="n">
        <v>4</v>
      </c>
      <c r="AM225" s="24" t="inlineStr">
        <is>
          <t>QUALIFIED_SHADOW_CALL</t>
        </is>
      </c>
      <c r="AN225" s="24" t="inlineStr">
        <is>
          <t>CALL</t>
        </is>
      </c>
      <c r="AO225" s="24" t="inlineStr">
        <is>
          <t>QUALIFIED</t>
        </is>
      </c>
      <c r="AP225" s="24" t="inlineStr">
        <is>
          <t>Texas Southern Tigers</t>
        </is>
      </c>
      <c r="AQ225" s="24" t="inlineStr">
        <is>
          <t>Texas Southern Tigers</t>
        </is>
      </c>
      <c r="AR225" s="24" t="inlineStr">
        <is>
          <t>Texas Southern Tigers</t>
        </is>
      </c>
      <c r="AS225" s="24" t="inlineStr">
        <is>
          <t>UTEP Miners</t>
        </is>
      </c>
      <c r="AT225" s="24" t="inlineStr">
        <is>
          <t>UTEP Miners</t>
        </is>
      </c>
      <c r="AU225" s="24" t="inlineStr">
        <is>
          <t>UTEP Miners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shadow_qualified</t>
        </is>
      </c>
      <c r="BA225" s="24" t="inlineStr">
        <is>
          <t>1d168f11d221cd3c</t>
        </is>
      </c>
      <c r="BB225" s="24" t="inlineStr">
        <is>
          <t>cfb_key_number_engine</t>
        </is>
      </c>
      <c r="BC225" s="24" t="inlineStr">
        <is>
          <t>cfb-total-v1</t>
        </is>
      </c>
      <c r="BD225" s="24" t="inlineStr">
        <is>
          <t>1d168f11d221cd3c</t>
        </is>
      </c>
      <c r="BE225" s="24" t="inlineStr">
        <is>
          <t>cfb-v1</t>
        </is>
      </c>
      <c r="BF225" s="24" t="inlineStr">
        <is>
          <t>1</t>
        </is>
      </c>
      <c r="BG225" s="24" t="inlineStr">
        <is>
          <t>1d168f11d221cd3c</t>
        </is>
      </c>
      <c r="BH225" s="24" t="inlineStr">
        <is>
          <t>2026-09-12T22:41:47.836186+00:00</t>
        </is>
      </c>
      <c r="BI225" s="24" t="inlineStr">
        <is>
          <t>["same_event","same_team_same_day","same_league_same_day"]</t>
        </is>
      </c>
      <c r="BJ225" s="25" t="n">
        <v>53.5</v>
      </c>
      <c r="BK225" s="26" t="n">
        <v>-112</v>
      </c>
      <c r="BL225" s="27" t="n">
        <v>1.892857</v>
      </c>
      <c r="BM225" s="28" t="n">
        <v>0.528302</v>
      </c>
      <c r="BN225" s="28" t="n"/>
      <c r="BO225" s="28" t="n"/>
      <c r="BP225" s="25" t="n"/>
      <c r="BQ225" s="27" t="n"/>
      <c r="BR225" s="28" t="n"/>
      <c r="BS225" s="28" t="n"/>
      <c r="BT225" s="28" t="n"/>
      <c r="BU225" s="25" t="n"/>
      <c r="BV225" s="29" t="n"/>
      <c r="BW225" s="24" t="n"/>
      <c r="BX225" s="30" t="n"/>
      <c r="BY225" s="27" t="n"/>
      <c r="BZ225" s="24" t="n"/>
      <c r="CA225" s="31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True</t>
        </is>
      </c>
      <c r="CT225" s="24" t="n"/>
      <c r="CU225" s="24" t="n"/>
      <c r="CV225" s="24" t="n"/>
      <c r="CW225" s="24" t="n"/>
      <c r="CX225" s="24" t="n"/>
      <c r="CY225" s="24" t="n"/>
      <c r="CZ225" s="24" t="n"/>
      <c r="DA225" s="24" t="n"/>
      <c r="DB225" s="24" t="n"/>
      <c r="DC225" s="24" t="n"/>
      <c r="DD225" s="24" t="n"/>
      <c r="DE225" s="24" t="n"/>
      <c r="DF225" s="24" t="n"/>
      <c r="DG225" s="24" t="n"/>
      <c r="DH225" s="24" t="n"/>
      <c r="DI225" s="24" t="n"/>
      <c r="DJ225" s="24" t="inlineStr">
        <is>
          <t>0.528302</t>
        </is>
      </c>
      <c r="DK225" s="24" t="n"/>
      <c r="DL225" s="24" t="n"/>
      <c r="DM225" s="24" t="n"/>
      <c r="DN225" s="24" t="n"/>
      <c r="DO225" s="24" t="n"/>
      <c r="DP225" s="24" t="n"/>
      <c r="DQ225" s="24" t="inlineStr">
        <is>
          <t>{"artifact_hash": "1d168f11d221cd3c", "event_id": "401864505", "event_start_utc": "2026-09-13T01:00Z", "features": {"altitude_fatigue_penalty": 0.0, "away_team": "Texas Southern Tigers", "efficiency_gap": -0.852, "elo_away": 1337.5, "elo_home": 1127.5, "elo_home_win_prob": 0.3026, "event_id": "401864505", "game_start_utc": "2026-09-13T01:00Z", "home_field_advantage_points": 2.8, "home_team": "UTEP Miners", "is_dome": false, "is_fbs_vs_fcs": false, "is_neutral_site": false, "projected_away_points": 28.9, "projected_home_points": 23.0, "projected_margin_home": -5.9,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28.9, "mu_home": 23.0,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273264722992340201340681980643700641856}, "uinteger": 0}, "spread_home_line": -27.5, "total_line": 53.5}, "market_type": "total", "model_version": "cfb-total-v1", "observed_at_utc": "2026-09-12T22:41:47.836186+00:00", "probabilities": {"over": 0.435533, "push": 0.0, "under": 0.564467}, "replay_scope": "Full precision score means, exact engine parameters and original RNG state; upstream feature construction not certified.", "schema": "cfb-joint-replay-v1", "snapshot_hash": "ae1bc15afa6efc764b4f59a42495cf8a794db381a14c279c61aa414a2cc395ed", "sport": "NCAAF"}</t>
        </is>
      </c>
    </row>
    <row r="226" ht="36" customHeight="1">
      <c r="A226" s="24" t="inlineStr">
        <is>
          <t>bba8492400814ad1</t>
        </is>
      </c>
      <c r="B226" s="24" t="inlineStr">
        <is>
          <t>2026-09-12T22:41:47.836186Z</t>
        </is>
      </c>
      <c r="C226" s="24" t="inlineStr">
        <is>
          <t>2026-09-13T02:00Z</t>
        </is>
      </c>
      <c r="D226" s="24" t="inlineStr">
        <is>
          <t>401864502</t>
        </is>
      </c>
      <c r="E226" s="24" t="inlineStr">
        <is>
          <t>NCAAF</t>
        </is>
      </c>
      <c r="F226" s="24" t="inlineStr">
        <is>
          <t>North Dakota State Bison</t>
        </is>
      </c>
      <c r="G226" s="24" t="inlineStr">
        <is>
          <t>Air Force Falcons</t>
        </is>
      </c>
      <c r="H226" s="24" t="inlineStr">
        <is>
          <t>moneyline</t>
        </is>
      </c>
      <c r="I226" s="24" t="inlineStr">
        <is>
          <t>away</t>
        </is>
      </c>
      <c r="J226" s="25" t="n"/>
      <c r="K226" s="24" t="inlineStr">
        <is>
          <t>espn_consensus</t>
        </is>
      </c>
      <c r="L226" s="26" t="n">
        <v>-125</v>
      </c>
      <c r="M226" s="27" t="n">
        <v>1.8</v>
      </c>
      <c r="N226" s="28" t="n">
        <v>0.555556</v>
      </c>
      <c r="O226" s="28" t="n">
        <v>0.666488</v>
      </c>
      <c r="P226" s="28" t="n">
        <v>0.25</v>
      </c>
      <c r="Q226" s="28" t="n">
        <v>0.110932</v>
      </c>
      <c r="R226" s="26" t="n">
        <v>0</v>
      </c>
      <c r="S226" s="29" t="n">
        <v>1</v>
      </c>
      <c r="T226" s="24" t="inlineStr">
        <is>
          <t>college-football-v1</t>
        </is>
      </c>
      <c r="U226" s="24" t="inlineStr">
        <is>
          <t>settled</t>
        </is>
      </c>
      <c r="V226" s="24" t="inlineStr">
        <is>
          <t>win</t>
        </is>
      </c>
      <c r="W226" s="26" t="n">
        <v>38</v>
      </c>
      <c r="X226" s="26" t="n">
        <v>32</v>
      </c>
      <c r="Y226" s="25" t="n"/>
      <c r="Z226" s="26" t="n"/>
      <c r="AA226" s="28" t="n"/>
      <c r="AB226" s="28" t="n"/>
      <c r="AC226" s="30" t="n">
        <v>0.8</v>
      </c>
      <c r="AD226" s="24" t="inlineStr">
        <is>
          <t>2026-09-13T10:00:21.529669Z</t>
        </is>
      </c>
      <c r="AE226" s="31" t="inlineStr">
        <is>
          <t>CFB Joint Model (negative_binomial): proj score North Dakota State Bison 29.6 @ Air Force Falcons 22.8 (Margin -6.8). Possessions: 12.4, HFA: +2.8 pts.</t>
        </is>
      </c>
      <c r="AF226" s="31" t="inlineStr">
        <is>
          <t>College football model; multi-market (moneyline, spread, total).</t>
        </is>
      </c>
      <c r="AG226" s="24" t="inlineStr">
        <is>
          <t>not_applicable</t>
        </is>
      </c>
      <c r="AH226" s="24" t="n"/>
      <c r="AI226" s="31" t="n"/>
      <c r="AJ226" s="31" t="n"/>
      <c r="AK226" s="24" t="inlineStr">
        <is>
          <t>model_qualified</t>
        </is>
      </c>
      <c r="AL226" s="26" t="n">
        <v>4</v>
      </c>
      <c r="AM226" s="24" t="inlineStr">
        <is>
          <t>QUALIFIED_SHADOW_CALL</t>
        </is>
      </c>
      <c r="AN226" s="24" t="inlineStr">
        <is>
          <t>CALL</t>
        </is>
      </c>
      <c r="AO226" s="24" t="inlineStr">
        <is>
          <t>QUALIFIED</t>
        </is>
      </c>
      <c r="AP226" s="24" t="inlineStr">
        <is>
          <t>North Dakota State Bison</t>
        </is>
      </c>
      <c r="AQ226" s="24" t="inlineStr">
        <is>
          <t>North Dakota State Bison</t>
        </is>
      </c>
      <c r="AR226" s="24" t="inlineStr">
        <is>
          <t>North Dakota State Bison</t>
        </is>
      </c>
      <c r="AS226" s="24" t="inlineStr">
        <is>
          <t>Air Force Falcons</t>
        </is>
      </c>
      <c r="AT226" s="24" t="inlineStr">
        <is>
          <t>Air Force Falcons</t>
        </is>
      </c>
      <c r="AU226" s="24" t="inlineStr">
        <is>
          <t>Air Force Falcons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shadow_qualified</t>
        </is>
      </c>
      <c r="BA226" s="24" t="inlineStr">
        <is>
          <t>1d168f11d221cd3c</t>
        </is>
      </c>
      <c r="BB226" s="24" t="inlineStr">
        <is>
          <t>cfb_key_number_engine</t>
        </is>
      </c>
      <c r="BC226" s="24" t="inlineStr">
        <is>
          <t>college-football-v1</t>
        </is>
      </c>
      <c r="BD226" s="24" t="inlineStr">
        <is>
          <t>1d168f11d221cd3c</t>
        </is>
      </c>
      <c r="BE226" s="24" t="inlineStr">
        <is>
          <t>cfb-v1</t>
        </is>
      </c>
      <c r="BF226" s="24" t="inlineStr">
        <is>
          <t>1</t>
        </is>
      </c>
      <c r="BG226" s="24" t="inlineStr">
        <is>
          <t>1d168f11d221cd3c</t>
        </is>
      </c>
      <c r="BH226" s="24" t="inlineStr">
        <is>
          <t>2026-09-12T22:41:47.836186+00:00</t>
        </is>
      </c>
      <c r="BI226" s="24" t="inlineStr">
        <is>
          <t>["same_event","same_team_same_day","same_league_same_day"]</t>
        </is>
      </c>
      <c r="BJ226" s="25" t="n"/>
      <c r="BK226" s="26" t="n">
        <v>-125</v>
      </c>
      <c r="BL226" s="27" t="n">
        <v>1.8</v>
      </c>
      <c r="BM226" s="28" t="n">
        <v>0.555556</v>
      </c>
      <c r="BN226" s="28" t="n"/>
      <c r="BO226" s="28" t="n"/>
      <c r="BP226" s="25" t="n"/>
      <c r="BQ226" s="27" t="n"/>
      <c r="BR226" s="28" t="n"/>
      <c r="BS226" s="28" t="n"/>
      <c r="BT226" s="28" t="n"/>
      <c r="BU226" s="25" t="n"/>
      <c r="BV226" s="29" t="n"/>
      <c r="BW226" s="24" t="n"/>
      <c r="BX226" s="30" t="n"/>
      <c r="BY226" s="27" t="n"/>
      <c r="BZ226" s="24" t="n"/>
      <c r="CA226" s="31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True</t>
        </is>
      </c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/>
      <c r="DH226" s="24" t="n"/>
      <c r="DI226" s="24" t="n"/>
      <c r="DJ226" s="24" t="inlineStr">
        <is>
          <t>0.555556</t>
        </is>
      </c>
      <c r="DK226" s="24" t="n"/>
      <c r="DL226" s="24" t="n"/>
      <c r="DM226" s="24" t="n"/>
      <c r="DN226" s="24" t="n"/>
      <c r="DO226" s="24" t="n"/>
      <c r="DP226" s="24" t="n"/>
      <c r="DQ226" s="24" t="inlineStr">
        <is>
          <t>{"artifact_hash": "1d168f11d221cd3c", "event_id": "401864502", "event_start_utc": "2026-09-13T02:00Z", "features": {"altitude_fatigue_penalty": 1.56, "away_team": "North Dakota State Bison", "efficiency_gap": 1.281, "elo_away": 1667.7, "elo_home": 1436.6, "elo_home_win_prob": 0.2777, "event_id": "401864502", "game_start_utc": "2026-09-13T02:00Z", "home_field_advantage_points": 2.8, "home_team": "Air Force Falcons", "is_dome": false, "is_fbs_vs_fcs": true, "is_neutral_site": false, "projected_away_points": 29.6, "projected_home_points": 22.8, "projected_margin_home": -6.8, "projected_possessions": 12.4, "projected_total": 52.4, "stadium_elevation_ft": 6621, "travel_distance_miles": 680.0, "uncertainty": 0.25, "weather_total_adjustment": 0.0}, "historical_source_observation_times_verified": false, "inference_inputs": {"engine_source_sha256": "449ba2f0e86fa9c445730076a0e0bf100fb4914620be53c75c6f3bfe24298f3f", "mu_away": 29.6, "mu_home": 22.8,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264000668598704267621832497849455073131}, "uinteger": 0}, "spread_home_line": 1.5, "total_line": 47.5}, "market_type": "moneyline", "model_version": "college-football-v1", "observed_at_utc": "2026-09-12T22:41:47.836186+00:00", "probabilities": {"away": 0.666488, "home": 0.333512}, "replay_scope": "Full precision score means, exact engine parameters and original RNG state; upstream feature construction not certified.", "schema": "cfb-joint-replay-v1", "snapshot_hash": "52ebab7ff3c717f28c64bf4f0b8ba78eb39a8e4927bf5dbfb1422814743c44f3", "sport": "NCAAF"}</t>
        </is>
      </c>
    </row>
    <row r="227" ht="36" customHeight="1">
      <c r="A227" s="24" t="inlineStr">
        <is>
          <t>4ce5bf0fdf2f465f</t>
        </is>
      </c>
      <c r="B227" s="24" t="inlineStr">
        <is>
          <t>2026-09-12T22:41:47.836186Z</t>
        </is>
      </c>
      <c r="C227" s="24" t="inlineStr">
        <is>
          <t>2026-09-13T02:00Z</t>
        </is>
      </c>
      <c r="D227" s="24" t="inlineStr">
        <is>
          <t>401864502</t>
        </is>
      </c>
      <c r="E227" s="24" t="inlineStr">
        <is>
          <t>NCAAF</t>
        </is>
      </c>
      <c r="F227" s="24" t="inlineStr">
        <is>
          <t>North Dakota State Bison</t>
        </is>
      </c>
      <c r="G227" s="24" t="inlineStr">
        <is>
          <t>Air Force Falcons</t>
        </is>
      </c>
      <c r="H227" s="24" t="inlineStr">
        <is>
          <t>spread</t>
        </is>
      </c>
      <c r="I227" s="24" t="inlineStr">
        <is>
          <t>away</t>
        </is>
      </c>
      <c r="J227" s="25" t="n">
        <v>-1.5</v>
      </c>
      <c r="K227" s="24" t="inlineStr">
        <is>
          <t>espn_consensus</t>
        </is>
      </c>
      <c r="L227" s="26" t="n">
        <v>-115</v>
      </c>
      <c r="M227" s="27" t="n">
        <v>1.869565</v>
      </c>
      <c r="N227" s="28" t="n">
        <v>0.534884</v>
      </c>
      <c r="O227" s="28" t="n">
        <v>0.630467</v>
      </c>
      <c r="P227" s="28" t="n">
        <v>0.25</v>
      </c>
      <c r="Q227" s="28" t="n">
        <v>0.095583</v>
      </c>
      <c r="R227" s="26" t="n">
        <v>0</v>
      </c>
      <c r="S227" s="29" t="n">
        <v>1</v>
      </c>
      <c r="T227" s="24" t="inlineStr">
        <is>
          <t>cfb-spread-v1</t>
        </is>
      </c>
      <c r="U227" s="24" t="inlineStr">
        <is>
          <t>settled</t>
        </is>
      </c>
      <c r="V227" s="24" t="inlineStr">
        <is>
          <t>win</t>
        </is>
      </c>
      <c r="W227" s="26" t="n">
        <v>38</v>
      </c>
      <c r="X227" s="26" t="n">
        <v>32</v>
      </c>
      <c r="Y227" s="25" t="n"/>
      <c r="Z227" s="26" t="n"/>
      <c r="AA227" s="28" t="n"/>
      <c r="AB227" s="28" t="n"/>
      <c r="AC227" s="30" t="n">
        <v>0.8696</v>
      </c>
      <c r="AD227" s="24" t="inlineStr">
        <is>
          <t>2026-09-13T10:00:21.856990Z</t>
        </is>
      </c>
      <c r="AE227" s="31" t="inlineStr">
        <is>
          <t>Projected home margin -6.8 pts. Spread: Home +1.5 / Away -1.5 -&gt; P(Away cover)=0.630, P(Home cover)=0.370, P(Push)=0.000.</t>
        </is>
      </c>
      <c r="AF227" s="31" t="inlineStr">
        <is>
          <t>College football model; multi-market (moneyline, spread, total).</t>
        </is>
      </c>
      <c r="AG227" s="24" t="inlineStr">
        <is>
          <t>not_applicable</t>
        </is>
      </c>
      <c r="AH227" s="24" t="n"/>
      <c r="AI227" s="31" t="n"/>
      <c r="AJ227" s="31" t="n"/>
      <c r="AK227" s="24" t="inlineStr">
        <is>
          <t>model_qualified</t>
        </is>
      </c>
      <c r="AL227" s="26" t="n">
        <v>4</v>
      </c>
      <c r="AM227" s="24" t="inlineStr">
        <is>
          <t>QUALIFIED_SHADOW_CALL</t>
        </is>
      </c>
      <c r="AN227" s="24" t="inlineStr">
        <is>
          <t>CALL</t>
        </is>
      </c>
      <c r="AO227" s="24" t="inlineStr">
        <is>
          <t>QUALIFIED</t>
        </is>
      </c>
      <c r="AP227" s="24" t="inlineStr">
        <is>
          <t>North Dakota State Bison</t>
        </is>
      </c>
      <c r="AQ227" s="24" t="inlineStr">
        <is>
          <t>North Dakota State Bison</t>
        </is>
      </c>
      <c r="AR227" s="24" t="inlineStr">
        <is>
          <t>North Dakota State Bison</t>
        </is>
      </c>
      <c r="AS227" s="24" t="inlineStr">
        <is>
          <t>Air Force Falcons</t>
        </is>
      </c>
      <c r="AT227" s="24" t="inlineStr">
        <is>
          <t>Air Force Falcons</t>
        </is>
      </c>
      <c r="AU227" s="24" t="inlineStr">
        <is>
          <t>Air Force Falcons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shadow_qualified</t>
        </is>
      </c>
      <c r="BA227" s="24" t="inlineStr">
        <is>
          <t>1d168f11d221cd3c</t>
        </is>
      </c>
      <c r="BB227" s="24" t="inlineStr">
        <is>
          <t>cfb_key_number_engine</t>
        </is>
      </c>
      <c r="BC227" s="24" t="inlineStr">
        <is>
          <t>cfb-spread-v1</t>
        </is>
      </c>
      <c r="BD227" s="24" t="inlineStr">
        <is>
          <t>1d168f11d221cd3c</t>
        </is>
      </c>
      <c r="BE227" s="24" t="inlineStr">
        <is>
          <t>cfb-v1</t>
        </is>
      </c>
      <c r="BF227" s="24" t="inlineStr">
        <is>
          <t>1</t>
        </is>
      </c>
      <c r="BG227" s="24" t="inlineStr">
        <is>
          <t>1d168f11d221cd3c</t>
        </is>
      </c>
      <c r="BH227" s="24" t="inlineStr">
        <is>
          <t>2026-09-12T22:41:47.836186+00:00</t>
        </is>
      </c>
      <c r="BI227" s="24" t="inlineStr">
        <is>
          <t>["same_event","same_team_same_day","same_league_same_day"]</t>
        </is>
      </c>
      <c r="BJ227" s="25" t="n">
        <v>-1.5</v>
      </c>
      <c r="BK227" s="26" t="n">
        <v>-115</v>
      </c>
      <c r="BL227" s="27" t="n">
        <v>1.869565</v>
      </c>
      <c r="BM227" s="28" t="n">
        <v>0.534884</v>
      </c>
      <c r="BN227" s="28" t="n"/>
      <c r="BO227" s="28" t="n"/>
      <c r="BP227" s="25" t="n"/>
      <c r="BQ227" s="27" t="n"/>
      <c r="BR227" s="28" t="n"/>
      <c r="BS227" s="28" t="n"/>
      <c r="BT227" s="28" t="n"/>
      <c r="BU227" s="25" t="n"/>
      <c r="BV227" s="29" t="n"/>
      <c r="BW227" s="24" t="n"/>
      <c r="BX227" s="30" t="n"/>
      <c r="BY227" s="27" t="n"/>
      <c r="BZ227" s="24" t="n"/>
      <c r="CA227" s="31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True</t>
        </is>
      </c>
      <c r="CT227" s="24" t="n"/>
      <c r="CU227" s="24" t="n"/>
      <c r="CV227" s="24" t="n"/>
      <c r="CW227" s="24" t="n"/>
      <c r="CX227" s="24" t="n"/>
      <c r="CY227" s="24" t="n"/>
      <c r="CZ227" s="24" t="n"/>
      <c r="DA227" s="24" t="n"/>
      <c r="DB227" s="24" t="n"/>
      <c r="DC227" s="24" t="n"/>
      <c r="DD227" s="24" t="n"/>
      <c r="DE227" s="24" t="n"/>
      <c r="DF227" s="24" t="n"/>
      <c r="DG227" s="24" t="n"/>
      <c r="DH227" s="24" t="n"/>
      <c r="DI227" s="24" t="n"/>
      <c r="DJ227" s="24" t="inlineStr">
        <is>
          <t>0.534884</t>
        </is>
      </c>
      <c r="DK227" s="24" t="n"/>
      <c r="DL227" s="24" t="n"/>
      <c r="DM227" s="24" t="n"/>
      <c r="DN227" s="24" t="n"/>
      <c r="DO227" s="24" t="n"/>
      <c r="DP227" s="24" t="n"/>
      <c r="DQ227" s="24" t="inlineStr">
        <is>
          <t>{"artifact_hash": "1d168f11d221cd3c", "event_id": "401864502", "event_start_utc": "2026-09-13T02:00Z", "features": {"altitude_fatigue_penalty": 1.56, "away_team": "North Dakota State Bison", "efficiency_gap": 1.281, "elo_away": 1667.7, "elo_home": 1436.6, "elo_home_win_prob": 0.2777, "event_id": "401864502", "game_start_utc": "2026-09-13T02:00Z", "home_field_advantage_points": 2.8, "home_team": "Air Force Falcons", "is_dome": false, "is_fbs_vs_fcs": true, "is_neutral_site": false, "projected_away_points": 29.6, "projected_home_points": 22.8, "projected_margin_home": -6.8, "projected_possessions": 12.4, "projected_total": 52.4, "stadium_elevation_ft": 6621, "travel_distance_miles": 680.0, "uncertainty": 0.25, "weather_total_adjustment": 0.0}, "historical_source_observation_times_verified": false, "inference_inputs": {"engine_source_sha256": "449ba2f0e86fa9c445730076a0e0bf100fb4914620be53c75c6f3bfe24298f3f", "mu_away": 29.6, "mu_home": 22.8,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264000668598704267621832497849455073131}, "uinteger": 0}, "spread_home_line": 1.5, "total_line": 47.5}, "market_type": "spread", "model_version": "cfb-spread-v1", "observed_at_utc": "2026-09-12T22:41:47.836186+00:00", "probabilities": {"away": 0.630467, "home": 0.369533, "push": 0.0}, "replay_scope": "Full precision score means, exact engine parameters and original RNG state; upstream feature construction not certified.", "schema": "cfb-joint-replay-v1", "snapshot_hash": "9e7b66b7991868ceff93ee3329300e161d744b46b17d0e479b611d353cd8b66c", "sport": "NCAAF"}</t>
        </is>
      </c>
    </row>
    <row r="228" ht="36" customHeight="1">
      <c r="A228" s="24" t="inlineStr">
        <is>
          <t>0bdf4a3f69ea4630</t>
        </is>
      </c>
      <c r="B228" s="24" t="inlineStr">
        <is>
          <t>2026-09-12T22:41:47.836186Z</t>
        </is>
      </c>
      <c r="C228" s="24" t="inlineStr">
        <is>
          <t>2026-09-13T02:00Z</t>
        </is>
      </c>
      <c r="D228" s="24" t="inlineStr">
        <is>
          <t>401864502</t>
        </is>
      </c>
      <c r="E228" s="24" t="inlineStr">
        <is>
          <t>NCAAF</t>
        </is>
      </c>
      <c r="F228" s="24" t="inlineStr">
        <is>
          <t>North Dakota State Bison</t>
        </is>
      </c>
      <c r="G228" s="24" t="inlineStr">
        <is>
          <t>Air Force Falcons</t>
        </is>
      </c>
      <c r="H228" s="24" t="inlineStr">
        <is>
          <t>total</t>
        </is>
      </c>
      <c r="I228" s="24" t="inlineStr">
        <is>
          <t>over</t>
        </is>
      </c>
      <c r="J228" s="25" t="n">
        <v>47.5</v>
      </c>
      <c r="K228" s="24" t="inlineStr">
        <is>
          <t>espn_consensus</t>
        </is>
      </c>
      <c r="L228" s="26" t="n">
        <v>-112</v>
      </c>
      <c r="M228" s="27" t="n">
        <v>1.892857</v>
      </c>
      <c r="N228" s="28" t="n">
        <v>0.528302</v>
      </c>
      <c r="O228" s="28" t="n">
        <v>0.571667</v>
      </c>
      <c r="P228" s="28" t="n">
        <v>0.25</v>
      </c>
      <c r="Q228" s="28" t="n">
        <v>0.043365</v>
      </c>
      <c r="R228" s="26" t="n">
        <v>0</v>
      </c>
      <c r="S228" s="29" t="n">
        <v>1</v>
      </c>
      <c r="T228" s="24" t="inlineStr">
        <is>
          <t>cfb-total-v1</t>
        </is>
      </c>
      <c r="U228" s="24" t="inlineStr">
        <is>
          <t>settled</t>
        </is>
      </c>
      <c r="V228" s="24" t="inlineStr">
        <is>
          <t>win</t>
        </is>
      </c>
      <c r="W228" s="26" t="n">
        <v>38</v>
      </c>
      <c r="X228" s="26" t="n">
        <v>32</v>
      </c>
      <c r="Y228" s="25" t="n"/>
      <c r="Z228" s="26" t="n"/>
      <c r="AA228" s="28" t="n"/>
      <c r="AB228" s="28" t="n"/>
      <c r="AC228" s="30" t="n">
        <v>0.8929</v>
      </c>
      <c r="AD228" s="24" t="inlineStr">
        <is>
          <t>2026-09-13T10:00:22.222841Z</t>
        </is>
      </c>
      <c r="AE228" s="31" t="inlineStr">
        <is>
          <t>Projected total 52.4 pts (Weather adj: +0.0 pts). Total line 47.5 -&gt; P(Over)=0.572, P(Under)=0.428, P(Push)=0.000.</t>
        </is>
      </c>
      <c r="AF228" s="31" t="inlineStr">
        <is>
          <t>College football model; multi-market (moneyline, spread, total).</t>
        </is>
      </c>
      <c r="AG228" s="24" t="inlineStr">
        <is>
          <t>not_applicable</t>
        </is>
      </c>
      <c r="AH228" s="24" t="n"/>
      <c r="AI228" s="31" t="n"/>
      <c r="AJ228" s="31" t="n"/>
      <c r="AK228" s="24" t="inlineStr">
        <is>
          <t>model_qualified</t>
        </is>
      </c>
      <c r="AL228" s="26" t="n">
        <v>4</v>
      </c>
      <c r="AM228" s="24" t="inlineStr">
        <is>
          <t>QUALIFIED_SHADOW_CALL</t>
        </is>
      </c>
      <c r="AN228" s="24" t="inlineStr">
        <is>
          <t>CALL</t>
        </is>
      </c>
      <c r="AO228" s="24" t="inlineStr">
        <is>
          <t>QUALIFIED</t>
        </is>
      </c>
      <c r="AP228" s="24" t="inlineStr">
        <is>
          <t>North Dakota State Bison</t>
        </is>
      </c>
      <c r="AQ228" s="24" t="inlineStr">
        <is>
          <t>North Dakota State Bison</t>
        </is>
      </c>
      <c r="AR228" s="24" t="inlineStr">
        <is>
          <t>North Dakota State Bison</t>
        </is>
      </c>
      <c r="AS228" s="24" t="inlineStr">
        <is>
          <t>Air Force Falcons</t>
        </is>
      </c>
      <c r="AT228" s="24" t="inlineStr">
        <is>
          <t>Air Force Falcons</t>
        </is>
      </c>
      <c r="AU228" s="24" t="inlineStr">
        <is>
          <t>Air Force Falcons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shadow_qualified</t>
        </is>
      </c>
      <c r="BA228" s="24" t="inlineStr">
        <is>
          <t>1d168f11d221cd3c</t>
        </is>
      </c>
      <c r="BB228" s="24" t="inlineStr">
        <is>
          <t>cfb_key_number_engine</t>
        </is>
      </c>
      <c r="BC228" s="24" t="inlineStr">
        <is>
          <t>cfb-total-v1</t>
        </is>
      </c>
      <c r="BD228" s="24" t="inlineStr">
        <is>
          <t>1d168f11d221cd3c</t>
        </is>
      </c>
      <c r="BE228" s="24" t="inlineStr">
        <is>
          <t>cfb-v1</t>
        </is>
      </c>
      <c r="BF228" s="24" t="inlineStr">
        <is>
          <t>1</t>
        </is>
      </c>
      <c r="BG228" s="24" t="inlineStr">
        <is>
          <t>1d168f11d221cd3c</t>
        </is>
      </c>
      <c r="BH228" s="24" t="inlineStr">
        <is>
          <t>2026-09-12T22:41:47.836186+00:00</t>
        </is>
      </c>
      <c r="BI228" s="24" t="inlineStr">
        <is>
          <t>["same_event","same_team_same_day","same_league_same_day"]</t>
        </is>
      </c>
      <c r="BJ228" s="25" t="n">
        <v>47.5</v>
      </c>
      <c r="BK228" s="26" t="n">
        <v>-112</v>
      </c>
      <c r="BL228" s="27" t="n">
        <v>1.892857</v>
      </c>
      <c r="BM228" s="28" t="n">
        <v>0.528302</v>
      </c>
      <c r="BN228" s="28" t="n"/>
      <c r="BO228" s="28" t="n"/>
      <c r="BP228" s="25" t="n"/>
      <c r="BQ228" s="27" t="n"/>
      <c r="BR228" s="28" t="n"/>
      <c r="BS228" s="28" t="n"/>
      <c r="BT228" s="28" t="n"/>
      <c r="BU228" s="25" t="n"/>
      <c r="BV228" s="29" t="n"/>
      <c r="BW228" s="24" t="n"/>
      <c r="BX228" s="30" t="n"/>
      <c r="BY228" s="27" t="n"/>
      <c r="BZ228" s="24" t="n"/>
      <c r="CA228" s="31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  <c r="CS228" s="24" t="inlineStr">
        <is>
          <t>True</t>
        </is>
      </c>
      <c r="CT228" s="24" t="n"/>
      <c r="CU228" s="24" t="n"/>
      <c r="CV228" s="24" t="n"/>
      <c r="CW228" s="24" t="n"/>
      <c r="CX228" s="24" t="n"/>
      <c r="CY228" s="24" t="n"/>
      <c r="CZ228" s="24" t="n"/>
      <c r="DA228" s="24" t="n"/>
      <c r="DB228" s="24" t="n"/>
      <c r="DC228" s="24" t="n"/>
      <c r="DD228" s="24" t="n"/>
      <c r="DE228" s="24" t="n"/>
      <c r="DF228" s="24" t="n"/>
      <c r="DG228" s="24" t="n"/>
      <c r="DH228" s="24" t="n"/>
      <c r="DI228" s="24" t="n"/>
      <c r="DJ228" s="24" t="inlineStr">
        <is>
          <t>0.528302</t>
        </is>
      </c>
      <c r="DK228" s="24" t="n"/>
      <c r="DL228" s="24" t="n"/>
      <c r="DM228" s="24" t="n"/>
      <c r="DN228" s="24" t="n"/>
      <c r="DO228" s="24" t="n"/>
      <c r="DP228" s="24" t="n"/>
      <c r="DQ228" s="24" t="inlineStr">
        <is>
          <t>{"artifact_hash": "1d168f11d221cd3c", "event_id": "401864502", "event_start_utc": "2026-09-13T02:00Z", "features": {"altitude_fatigue_penalty": 1.56, "away_team": "North Dakota State Bison", "efficiency_gap": 1.281, "elo_away": 1667.7, "elo_home": 1436.6, "elo_home_win_prob": 0.2777, "event_id": "401864502", "game_start_utc": "2026-09-13T02:00Z", "home_field_advantage_points": 2.8, "home_team": "Air Force Falcons", "is_dome": false, "is_fbs_vs_fcs": true, "is_neutral_site": false, "projected_away_points": 29.6, "projected_home_points": 22.8, "projected_margin_home": -6.8, "projected_possessions": 12.4, "projected_total": 52.4, "stadium_elevation_ft": 6621, "travel_distance_miles": 680.0, "uncertainty": 0.25, "weather_total_adjustment": 0.0}, "historical_source_observation_times_verified": false, "inference_inputs": {"engine_source_sha256": "449ba2f0e86fa9c445730076a0e0bf100fb4914620be53c75c6f3bfe24298f3f", "mu_away": 29.6, "mu_home": 22.8,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264000668598704267621832497849455073131}, "uinteger": 0}, "spread_home_line": 1.5, "total_line": 47.5}, "market_type": "total", "model_version": "cfb-total-v1", "observed_at_utc": "2026-09-12T22:41:47.836186+00:00", "probabilities": {"over": 0.571667, "push": 0.0, "under": 0.428333}, "replay_scope": "Full precision score means, exact engine parameters and original RNG state; upstream feature construction not certified.", "schema": "cfb-joint-replay-v1", "snapshot_hash": "556141eeda414b7c7b883995b64e3c45965ccb5cc63a97eb711d67d268a3df67", "sport": "NCAAF"}</t>
        </is>
      </c>
    </row>
    <row r="229" ht="36" customHeight="1">
      <c r="A229" s="24" t="inlineStr">
        <is>
          <t>1c8ac36edfca424a</t>
        </is>
      </c>
      <c r="B229" s="24" t="inlineStr">
        <is>
          <t>2026-09-12T22:41:47.836186Z</t>
        </is>
      </c>
      <c r="C229" s="24" t="inlineStr">
        <is>
          <t>2026-09-13T02:15Z</t>
        </is>
      </c>
      <c r="D229" s="24" t="inlineStr">
        <is>
          <t>401856670</t>
        </is>
      </c>
      <c r="E229" s="24" t="inlineStr">
        <is>
          <t>NCAAF</t>
        </is>
      </c>
      <c r="F229" s="24" t="inlineStr">
        <is>
          <t>Arkansas Razorbacks</t>
        </is>
      </c>
      <c r="G229" s="24" t="inlineStr">
        <is>
          <t>Utah Utes</t>
        </is>
      </c>
      <c r="H229" s="24" t="inlineStr">
        <is>
          <t>moneyline</t>
        </is>
      </c>
      <c r="I229" s="24" t="inlineStr">
        <is>
          <t>home</t>
        </is>
      </c>
      <c r="J229" s="25" t="n"/>
      <c r="K229" s="24" t="inlineStr">
        <is>
          <t>espn_consensus</t>
        </is>
      </c>
      <c r="L229" s="26" t="n">
        <v>-500</v>
      </c>
      <c r="M229" s="27" t="n">
        <v>1.2</v>
      </c>
      <c r="N229" s="28" t="n">
        <v>0.833333</v>
      </c>
      <c r="O229" s="28" t="n">
        <v>0.941179</v>
      </c>
      <c r="P229" s="28" t="n">
        <v>0.18</v>
      </c>
      <c r="Q229" s="28" t="n">
        <v>0.107846</v>
      </c>
      <c r="R229" s="26" t="n">
        <v>0</v>
      </c>
      <c r="S229" s="29" t="n">
        <v>1</v>
      </c>
      <c r="T229" s="24" t="inlineStr">
        <is>
          <t>college-football-v1</t>
        </is>
      </c>
      <c r="U229" s="24" t="inlineStr">
        <is>
          <t>settled</t>
        </is>
      </c>
      <c r="V229" s="24" t="inlineStr">
        <is>
          <t>win</t>
        </is>
      </c>
      <c r="W229" s="26" t="n">
        <v>10</v>
      </c>
      <c r="X229" s="26" t="n">
        <v>43</v>
      </c>
      <c r="Y229" s="25" t="n"/>
      <c r="Z229" s="26" t="n"/>
      <c r="AA229" s="28" t="n"/>
      <c r="AB229" s="28" t="n"/>
      <c r="AC229" s="30" t="n">
        <v>0.2</v>
      </c>
      <c r="AD229" s="24" t="inlineStr">
        <is>
          <t>2026-09-13T10:00:22.643165Z</t>
        </is>
      </c>
      <c r="AE229" s="31" t="inlineStr">
        <is>
          <t>CFB Joint Model (negative_binomial): proj score Arkansas Razorbacks 15.0 @ Utah Utes 41.1 (Margin +26.2). Possessions: 12.4, HFA: +2.8 pts.</t>
        </is>
      </c>
      <c r="AF229" s="31" t="inlineStr">
        <is>
          <t>College football model; multi-market (moneyline, spread, total).</t>
        </is>
      </c>
      <c r="AG229" s="24" t="inlineStr">
        <is>
          <t>not_applicable</t>
        </is>
      </c>
      <c r="AH229" s="24" t="n"/>
      <c r="AI229" s="31" t="n"/>
      <c r="AJ229" s="31" t="n"/>
      <c r="AK229" s="24" t="inlineStr">
        <is>
          <t>model_qualified</t>
        </is>
      </c>
      <c r="AL229" s="26" t="n">
        <v>4</v>
      </c>
      <c r="AM229" s="24" t="inlineStr">
        <is>
          <t>QUALIFIED_SHADOW_CALL</t>
        </is>
      </c>
      <c r="AN229" s="24" t="inlineStr">
        <is>
          <t>CALL</t>
        </is>
      </c>
      <c r="AO229" s="24" t="inlineStr">
        <is>
          <t>QUALIFIED</t>
        </is>
      </c>
      <c r="AP229" s="24" t="inlineStr">
        <is>
          <t>Arkansas Razorbacks</t>
        </is>
      </c>
      <c r="AQ229" s="24" t="inlineStr">
        <is>
          <t>Arkansas Razorbacks</t>
        </is>
      </c>
      <c r="AR229" s="24" t="inlineStr">
        <is>
          <t>Arkansas Razorbacks</t>
        </is>
      </c>
      <c r="AS229" s="24" t="inlineStr">
        <is>
          <t>Utah Utes</t>
        </is>
      </c>
      <c r="AT229" s="24" t="inlineStr">
        <is>
          <t>Utah Utes</t>
        </is>
      </c>
      <c r="AU229" s="24" t="inlineStr">
        <is>
          <t>Utah Utes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shadow_qualified</t>
        </is>
      </c>
      <c r="BA229" s="24" t="inlineStr">
        <is>
          <t>1d168f11d221cd3c</t>
        </is>
      </c>
      <c r="BB229" s="24" t="inlineStr">
        <is>
          <t>cfb_key_number_engine</t>
        </is>
      </c>
      <c r="BC229" s="24" t="inlineStr">
        <is>
          <t>college-football-v1</t>
        </is>
      </c>
      <c r="BD229" s="24" t="inlineStr">
        <is>
          <t>1d168f11d221cd3c</t>
        </is>
      </c>
      <c r="BE229" s="24" t="inlineStr">
        <is>
          <t>cfb-v1</t>
        </is>
      </c>
      <c r="BF229" s="24" t="inlineStr">
        <is>
          <t>1</t>
        </is>
      </c>
      <c r="BG229" s="24" t="inlineStr">
        <is>
          <t>1d168f11d221cd3c</t>
        </is>
      </c>
      <c r="BH229" s="24" t="inlineStr">
        <is>
          <t>2026-09-12T22:41:47.836186+00:00</t>
        </is>
      </c>
      <c r="BI229" s="24" t="inlineStr">
        <is>
          <t>["same_event","same_team_same_day","same_league_same_day"]</t>
        </is>
      </c>
      <c r="BJ229" s="25" t="n"/>
      <c r="BK229" s="26" t="n">
        <v>-500</v>
      </c>
      <c r="BL229" s="27" t="n">
        <v>1.2</v>
      </c>
      <c r="BM229" s="28" t="n">
        <v>0.833333</v>
      </c>
      <c r="BN229" s="28" t="n"/>
      <c r="BO229" s="28" t="n"/>
      <c r="BP229" s="25" t="n"/>
      <c r="BQ229" s="27" t="n"/>
      <c r="BR229" s="28" t="n"/>
      <c r="BS229" s="28" t="n"/>
      <c r="BT229" s="28" t="n"/>
      <c r="BU229" s="25" t="n"/>
      <c r="BV229" s="29" t="n"/>
      <c r="BW229" s="24" t="n"/>
      <c r="BX229" s="30" t="n"/>
      <c r="BY229" s="27" t="n"/>
      <c r="BZ229" s="24" t="n"/>
      <c r="CA229" s="31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True</t>
        </is>
      </c>
      <c r="CT229" s="24" t="n"/>
      <c r="CU229" s="24" t="n"/>
      <c r="CV229" s="24" t="n"/>
      <c r="CW229" s="24" t="n"/>
      <c r="CX229" s="24" t="n"/>
      <c r="CY229" s="24" t="n"/>
      <c r="CZ229" s="24" t="n"/>
      <c r="DA229" s="24" t="n"/>
      <c r="DB229" s="24" t="n"/>
      <c r="DC229" s="24" t="n"/>
      <c r="DD229" s="24" t="n"/>
      <c r="DE229" s="24" t="n"/>
      <c r="DF229" s="24" t="n"/>
      <c r="DG229" s="24" t="n"/>
      <c r="DH229" s="24" t="n"/>
      <c r="DI229" s="24" t="n"/>
      <c r="DJ229" s="24" t="inlineStr">
        <is>
          <t>0.833333</t>
        </is>
      </c>
      <c r="DK229" s="24" t="n"/>
      <c r="DL229" s="24" t="n"/>
      <c r="DM229" s="24" t="n"/>
      <c r="DN229" s="24" t="n"/>
      <c r="DO229" s="24" t="n"/>
      <c r="DP229" s="24" t="n"/>
      <c r="DQ229" s="24" t="inlineStr">
        <is>
          <t>{"artifact_hash": "1d168f11d221cd3c", "event_id": "401856670", "event_start_utc": "2026-09-13T02:15Z", "features": {"altitude_fatigue_penalty": 0.58, "away_team": "Arkansas Razorbacks", "efficiency_gap": 0.148, "elo_away": 1257.0, "elo_home": 1832.9, "elo_home_win_prob": 0.9756, "event_id": "401856670", "game_start_utc": "2026-09-13T02:15Z", "home_field_advantage_points": 2.8, "home_team": "Utah Utes", "is_dome": false, "is_fbs_vs_fcs": false, "is_neutral_site": false, "projected_away_points": 15.0, "projected_home_points": 41.1, "projected_margin_home": 26.2, "projected_possessions": 12.4, "projected_total": 56.1, "stadium_elevation_ft": 4657, "travel_distance_miles": 1008.0, "uncertainty": 0.18, "weather_total_adjustment": 0.0}, "historical_source_observation_times_verified": false, "inference_inputs": {"engine_source_sha256": "449ba2f0e86fa9c445730076a0e0bf100fb4914620be53c75c6f3bfe24298f3f", "mu_away": 15.0, "mu_home": 41.1,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106265697123882680944427396159904104339}, "uinteger": 0}, "spread_home_line": -12.5, "total_line": 55.5}, "market_type": "moneyline", "model_version": "college-football-v1", "observed_at_utc": "2026-09-12T22:41:47.836186+00:00", "probabilities": {"away": 0.058821, "home": 0.941179}, "replay_scope": "Full precision score means, exact engine parameters and original RNG state; upstream feature construction not certified.", "schema": "cfb-joint-replay-v1", "snapshot_hash": "2dccb7866a4a08b63da7dd07aa47b2acd95f967f299ef53d9f5128688124516d", "sport": "NCAAF"}</t>
        </is>
      </c>
    </row>
    <row r="230" ht="36" customHeight="1">
      <c r="A230" s="24" t="inlineStr">
        <is>
          <t>221223ef8c8940b2</t>
        </is>
      </c>
      <c r="B230" s="24" t="inlineStr">
        <is>
          <t>2026-09-12T22:41:47.836186Z</t>
        </is>
      </c>
      <c r="C230" s="24" t="inlineStr">
        <is>
          <t>2026-09-13T02:15Z</t>
        </is>
      </c>
      <c r="D230" s="24" t="inlineStr">
        <is>
          <t>401856670</t>
        </is>
      </c>
      <c r="E230" s="24" t="inlineStr">
        <is>
          <t>NCAAF</t>
        </is>
      </c>
      <c r="F230" s="24" t="inlineStr">
        <is>
          <t>Arkansas Razorbacks</t>
        </is>
      </c>
      <c r="G230" s="24" t="inlineStr">
        <is>
          <t>Utah Utes</t>
        </is>
      </c>
      <c r="H230" s="24" t="inlineStr">
        <is>
          <t>spread</t>
        </is>
      </c>
      <c r="I230" s="24" t="inlineStr">
        <is>
          <t>home</t>
        </is>
      </c>
      <c r="J230" s="25" t="n">
        <v>-12.5</v>
      </c>
      <c r="K230" s="24" t="inlineStr">
        <is>
          <t>espn_consensus</t>
        </is>
      </c>
      <c r="L230" s="26" t="n">
        <v>-110</v>
      </c>
      <c r="M230" s="27" t="n">
        <v>1.909091</v>
      </c>
      <c r="N230" s="28" t="n">
        <v>0.52381</v>
      </c>
      <c r="O230" s="28" t="n">
        <v>0.809133</v>
      </c>
      <c r="P230" s="28" t="n">
        <v>0.18</v>
      </c>
      <c r="Q230" s="28" t="n">
        <v>0.285323</v>
      </c>
      <c r="R230" s="26" t="n">
        <v>85</v>
      </c>
      <c r="S230" s="29" t="n">
        <v>1.75</v>
      </c>
      <c r="T230" s="24" t="inlineStr">
        <is>
          <t>cfb-spread-v1</t>
        </is>
      </c>
      <c r="U230" s="24" t="inlineStr">
        <is>
          <t>settled</t>
        </is>
      </c>
      <c r="V230" s="24" t="inlineStr">
        <is>
          <t>win</t>
        </is>
      </c>
      <c r="W230" s="26" t="n">
        <v>10</v>
      </c>
      <c r="X230" s="26" t="n">
        <v>43</v>
      </c>
      <c r="Y230" s="25" t="n"/>
      <c r="Z230" s="26" t="n"/>
      <c r="AA230" s="28" t="n"/>
      <c r="AB230" s="28" t="n"/>
      <c r="AC230" s="30" t="n">
        <v>1.5909</v>
      </c>
      <c r="AD230" s="24" t="inlineStr">
        <is>
          <t>2026-09-13T10:00:22.974464Z</t>
        </is>
      </c>
      <c r="AE230" s="31" t="inlineStr">
        <is>
          <t>Projected home margin +26.2 pts. Spread: Home -12.5 / Away +12.5 -&gt; P(Away cover)=0.191, P(Home cover)=0.809, P(Push)=0.000.</t>
        </is>
      </c>
      <c r="AF230" s="31" t="inlineStr">
        <is>
          <t>College football model; multi-market (moneyline, spread, total).</t>
        </is>
      </c>
      <c r="AG230" s="24" t="inlineStr">
        <is>
          <t>not_applicable</t>
        </is>
      </c>
      <c r="AH230" s="24" t="n"/>
      <c r="AI230" s="31" t="n"/>
      <c r="AJ230" s="31" t="n"/>
      <c r="AK230" s="24" t="inlineStr">
        <is>
          <t>model_qualified</t>
        </is>
      </c>
      <c r="AL230" s="26" t="n">
        <v>4</v>
      </c>
      <c r="AM230" s="24" t="inlineStr">
        <is>
          <t>QUALIFIED_SHADOW_CALL</t>
        </is>
      </c>
      <c r="AN230" s="24" t="inlineStr">
        <is>
          <t>CALL</t>
        </is>
      </c>
      <c r="AO230" s="24" t="inlineStr">
        <is>
          <t>QUALIFIED</t>
        </is>
      </c>
      <c r="AP230" s="24" t="inlineStr">
        <is>
          <t>Arkansas Razorbacks</t>
        </is>
      </c>
      <c r="AQ230" s="24" t="inlineStr">
        <is>
          <t>Arkansas Razorbacks</t>
        </is>
      </c>
      <c r="AR230" s="24" t="inlineStr">
        <is>
          <t>Arkansas Razorbacks</t>
        </is>
      </c>
      <c r="AS230" s="24" t="inlineStr">
        <is>
          <t>Utah Utes</t>
        </is>
      </c>
      <c r="AT230" s="24" t="inlineStr">
        <is>
          <t>Utah Utes</t>
        </is>
      </c>
      <c r="AU230" s="24" t="inlineStr">
        <is>
          <t>Utah Utes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shadow_qualified</t>
        </is>
      </c>
      <c r="BA230" s="24" t="inlineStr">
        <is>
          <t>1d168f11d221cd3c</t>
        </is>
      </c>
      <c r="BB230" s="24" t="inlineStr">
        <is>
          <t>cfb_key_number_engine</t>
        </is>
      </c>
      <c r="BC230" s="24" t="inlineStr">
        <is>
          <t>cfb-spread-v1</t>
        </is>
      </c>
      <c r="BD230" s="24" t="inlineStr">
        <is>
          <t>1d168f11d221cd3c</t>
        </is>
      </c>
      <c r="BE230" s="24" t="inlineStr">
        <is>
          <t>cfb-v1</t>
        </is>
      </c>
      <c r="BF230" s="24" t="inlineStr">
        <is>
          <t>1</t>
        </is>
      </c>
      <c r="BG230" s="24" t="inlineStr">
        <is>
          <t>1d168f11d221cd3c</t>
        </is>
      </c>
      <c r="BH230" s="24" t="inlineStr">
        <is>
          <t>2026-09-12T22:41:47.836186+00:00</t>
        </is>
      </c>
      <c r="BI230" s="24" t="inlineStr">
        <is>
          <t>["same_event","same_team_same_day","same_league_same_day"]</t>
        </is>
      </c>
      <c r="BJ230" s="25" t="n">
        <v>-12.5</v>
      </c>
      <c r="BK230" s="26" t="n">
        <v>-110</v>
      </c>
      <c r="BL230" s="27" t="n">
        <v>1.909091</v>
      </c>
      <c r="BM230" s="28" t="n">
        <v>0.52381</v>
      </c>
      <c r="BN230" s="28" t="n"/>
      <c r="BO230" s="28" t="n"/>
      <c r="BP230" s="25" t="n"/>
      <c r="BQ230" s="27" t="n"/>
      <c r="BR230" s="28" t="n"/>
      <c r="BS230" s="28" t="n"/>
      <c r="BT230" s="28" t="n"/>
      <c r="BU230" s="25" t="n"/>
      <c r="BV230" s="29" t="n"/>
      <c r="BW230" s="24" t="n"/>
      <c r="BX230" s="30" t="n"/>
      <c r="BY230" s="27" t="n"/>
      <c r="BZ230" s="24" t="n"/>
      <c r="CA230" s="31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True</t>
        </is>
      </c>
      <c r="CT230" s="24" t="n"/>
      <c r="CU230" s="24" t="n"/>
      <c r="CV230" s="24" t="n"/>
      <c r="CW230" s="24" t="n"/>
      <c r="CX230" s="24" t="n"/>
      <c r="CY230" s="24" t="n"/>
      <c r="CZ230" s="24" t="n"/>
      <c r="DA230" s="24" t="n"/>
      <c r="DB230" s="24" t="n"/>
      <c r="DC230" s="24" t="n"/>
      <c r="DD230" s="24" t="n"/>
      <c r="DE230" s="24" t="n"/>
      <c r="DF230" s="24" t="n"/>
      <c r="DG230" s="24" t="n"/>
      <c r="DH230" s="24" t="n"/>
      <c r="DI230" s="24" t="n"/>
      <c r="DJ230" s="24" t="inlineStr">
        <is>
          <t>0.52381</t>
        </is>
      </c>
      <c r="DK230" s="24" t="n"/>
      <c r="DL230" s="24" t="n"/>
      <c r="DM230" s="24" t="n"/>
      <c r="DN230" s="24" t="n"/>
      <c r="DO230" s="24" t="n"/>
      <c r="DP230" s="24" t="n"/>
      <c r="DQ230" s="24" t="inlineStr">
        <is>
          <t>{"artifact_hash": "1d168f11d221cd3c", "event_id": "401856670", "event_start_utc": "2026-09-13T02:15Z", "features": {"altitude_fatigue_penalty": 0.58, "away_team": "Arkansas Razorbacks", "efficiency_gap": 0.148, "elo_away": 1257.0, "elo_home": 1832.9, "elo_home_win_prob": 0.9756, "event_id": "401856670", "game_start_utc": "2026-09-13T02:15Z", "home_field_advantage_points": 2.8, "home_team": "Utah Utes", "is_dome": false, "is_fbs_vs_fcs": false, "is_neutral_site": false, "projected_away_points": 15.0, "projected_home_points": 41.1, "projected_margin_home": 26.2, "projected_possessions": 12.4, "projected_total": 56.1, "stadium_elevation_ft": 4657, "travel_distance_miles": 1008.0, "uncertainty": 0.18, "weather_total_adjustment": 0.0}, "historical_source_observation_times_verified": false, "inference_inputs": {"engine_source_sha256": "449ba2f0e86fa9c445730076a0e0bf100fb4914620be53c75c6f3bfe24298f3f", "mu_away": 15.0, "mu_home": 41.1,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106265697123882680944427396159904104339}, "uinteger": 0}, "spread_home_line": -12.5, "total_line": 55.5}, "market_type": "spread", "model_version": "cfb-spread-v1", "observed_at_utc": "2026-09-12T22:41:47.836186+00:00", "probabilities": {"away": 0.190867, "home": 0.809133, "push": 0.0}, "replay_scope": "Full precision score means, exact engine parameters and original RNG state; upstream feature construction not certified.", "schema": "cfb-joint-replay-v1", "snapshot_hash": "62b42f1a7e126c51f670122a89c8b1e55c80c7e822dd9686bec847ee202baa43", "sport": "NCAAF"}</t>
        </is>
      </c>
    </row>
    <row r="231" ht="36" customHeight="1">
      <c r="A231" s="24" t="inlineStr">
        <is>
          <t>13aca30cfab94c6b</t>
        </is>
      </c>
      <c r="B231" s="24" t="inlineStr">
        <is>
          <t>2026-09-12T22:41:47.836186Z</t>
        </is>
      </c>
      <c r="C231" s="24" t="inlineStr">
        <is>
          <t>2026-09-13T02:15Z</t>
        </is>
      </c>
      <c r="D231" s="24" t="inlineStr">
        <is>
          <t>401856670</t>
        </is>
      </c>
      <c r="E231" s="24" t="inlineStr">
        <is>
          <t>NCAAF</t>
        </is>
      </c>
      <c r="F231" s="24" t="inlineStr">
        <is>
          <t>Arkansas Razorbacks</t>
        </is>
      </c>
      <c r="G231" s="24" t="inlineStr">
        <is>
          <t>Utah Utes</t>
        </is>
      </c>
      <c r="H231" s="24" t="inlineStr">
        <is>
          <t>total</t>
        </is>
      </c>
      <c r="I231" s="24" t="inlineStr">
        <is>
          <t>under</t>
        </is>
      </c>
      <c r="J231" s="25" t="n">
        <v>55.5</v>
      </c>
      <c r="K231" s="24" t="inlineStr">
        <is>
          <t>espn_consensus</t>
        </is>
      </c>
      <c r="L231" s="26" t="n">
        <v>-110</v>
      </c>
      <c r="M231" s="27" t="n">
        <v>1.909091</v>
      </c>
      <c r="N231" s="28" t="n">
        <v>0.52381</v>
      </c>
      <c r="O231" s="28" t="n">
        <v>0.503267</v>
      </c>
      <c r="P231" s="28" t="n">
        <v>0.18</v>
      </c>
      <c r="Q231" s="28" t="n">
        <v>-0.020543</v>
      </c>
      <c r="R231" s="26" t="n">
        <v>0</v>
      </c>
      <c r="S231" s="29" t="n">
        <v>1</v>
      </c>
      <c r="T231" s="24" t="inlineStr">
        <is>
          <t>cfb-total-v1</t>
        </is>
      </c>
      <c r="U231" s="24" t="inlineStr">
        <is>
          <t>settled</t>
        </is>
      </c>
      <c r="V231" s="24" t="inlineStr">
        <is>
          <t>win</t>
        </is>
      </c>
      <c r="W231" s="26" t="n">
        <v>10</v>
      </c>
      <c r="X231" s="26" t="n">
        <v>43</v>
      </c>
      <c r="Y231" s="25" t="n"/>
      <c r="Z231" s="26" t="n"/>
      <c r="AA231" s="28" t="n"/>
      <c r="AB231" s="28" t="n"/>
      <c r="AC231" s="30" t="n">
        <v>0.9091</v>
      </c>
      <c r="AD231" s="24" t="inlineStr">
        <is>
          <t>2026-09-13T10:00:23.339995Z</t>
        </is>
      </c>
      <c r="AE231" s="31" t="inlineStr">
        <is>
          <t>Projected total 56.1 pts (Weather adj: +0.0 pts). Total line 55.5 -&gt; P(Over)=0.497, P(Under)=0.503, P(Push)=0.000.</t>
        </is>
      </c>
      <c r="AF231" s="31" t="inlineStr">
        <is>
          <t>College football model; multi-market (moneyline, spread, total).</t>
        </is>
      </c>
      <c r="AG231" s="24" t="inlineStr">
        <is>
          <t>not_applicable</t>
        </is>
      </c>
      <c r="AH231" s="24" t="n"/>
      <c r="AI231" s="31" t="n"/>
      <c r="AJ231" s="31" t="n"/>
      <c r="AK231" s="24" t="inlineStr">
        <is>
          <t>paper_call</t>
        </is>
      </c>
      <c r="AL231" s="26" t="n">
        <v>4</v>
      </c>
      <c r="AM231" s="24" t="inlineStr">
        <is>
          <t>RESEARCH_OBSERVATION</t>
        </is>
      </c>
      <c r="AN231" s="24" t="inlineStr">
        <is>
          <t>CALL</t>
        </is>
      </c>
      <c r="AO231" s="24" t="inlineStr">
        <is>
          <t>PAPER_CALL_LOW_EDGE</t>
        </is>
      </c>
      <c r="AP231" s="24" t="inlineStr">
        <is>
          <t>Arkansas Razorbacks</t>
        </is>
      </c>
      <c r="AQ231" s="24" t="inlineStr">
        <is>
          <t>Arkansas Razorbacks</t>
        </is>
      </c>
      <c r="AR231" s="24" t="inlineStr">
        <is>
          <t>Arkansas Razorbacks</t>
        </is>
      </c>
      <c r="AS231" s="24" t="inlineStr">
        <is>
          <t>Utah Utes</t>
        </is>
      </c>
      <c r="AT231" s="24" t="inlineStr">
        <is>
          <t>Utah Utes</t>
        </is>
      </c>
      <c r="AU231" s="24" t="inlineStr">
        <is>
          <t>Utah Utes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shadow_qualified</t>
        </is>
      </c>
      <c r="BA231" s="24" t="inlineStr">
        <is>
          <t>1d168f11d221cd3c</t>
        </is>
      </c>
      <c r="BB231" s="24" t="inlineStr">
        <is>
          <t>cfb_key_number_engine</t>
        </is>
      </c>
      <c r="BC231" s="24" t="inlineStr">
        <is>
          <t>cfb-total-v1</t>
        </is>
      </c>
      <c r="BD231" s="24" t="inlineStr">
        <is>
          <t>1d168f11d221cd3c</t>
        </is>
      </c>
      <c r="BE231" s="24" t="inlineStr">
        <is>
          <t>cfb-v1</t>
        </is>
      </c>
      <c r="BF231" s="24" t="inlineStr">
        <is>
          <t>1</t>
        </is>
      </c>
      <c r="BG231" s="24" t="inlineStr">
        <is>
          <t>1d168f11d221cd3c</t>
        </is>
      </c>
      <c r="BH231" s="24" t="inlineStr">
        <is>
          <t>2026-09-12T22:41:47.836186+00:00</t>
        </is>
      </c>
      <c r="BI231" s="24" t="inlineStr">
        <is>
          <t>["same_event","same_team_same_day","same_league_same_day"]</t>
        </is>
      </c>
      <c r="BJ231" s="25" t="n">
        <v>55.5</v>
      </c>
      <c r="BK231" s="26" t="n">
        <v>-110</v>
      </c>
      <c r="BL231" s="27" t="n">
        <v>1.909091</v>
      </c>
      <c r="BM231" s="28" t="n">
        <v>0.52381</v>
      </c>
      <c r="BN231" s="28" t="n"/>
      <c r="BO231" s="28" t="n"/>
      <c r="BP231" s="25" t="n"/>
      <c r="BQ231" s="27" t="n"/>
      <c r="BR231" s="28" t="n"/>
      <c r="BS231" s="28" t="n"/>
      <c r="BT231" s="28" t="n"/>
      <c r="BU231" s="25" t="n"/>
      <c r="BV231" s="29" t="n"/>
      <c r="BW231" s="24" t="n"/>
      <c r="BX231" s="30" t="n">
        <v>1</v>
      </c>
      <c r="BY231" s="27" t="n">
        <v>0.909091</v>
      </c>
      <c r="BZ231" s="24" t="inlineStr">
        <is>
          <t>2026-09-13T10:00:23.339995Z</t>
        </is>
      </c>
      <c r="CA231" s="31" t="inlineStr">
        <is>
          <t>fixed one-unit hypothetical scoring; no real exposure or execution</t>
        </is>
      </c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False</t>
        </is>
      </c>
      <c r="CT231" s="24" t="n"/>
      <c r="CU231" s="24" t="n"/>
      <c r="CV231" s="24" t="n"/>
      <c r="CW231" s="24" t="n"/>
      <c r="CX231" s="24" t="n"/>
      <c r="CY231" s="24" t="n"/>
      <c r="CZ231" s="24" t="n"/>
      <c r="DA231" s="24" t="n"/>
      <c r="DB231" s="24" t="n"/>
      <c r="DC231" s="24" t="n"/>
      <c r="DD231" s="24" t="n"/>
      <c r="DE231" s="24" t="n"/>
      <c r="DF231" s="24" t="n"/>
      <c r="DG231" s="24" t="n"/>
      <c r="DH231" s="24" t="n"/>
      <c r="DI231" s="24" t="n"/>
      <c r="DJ231" s="24" t="inlineStr">
        <is>
          <t>0.52381</t>
        </is>
      </c>
      <c r="DK231" s="24" t="n"/>
      <c r="DL231" s="24" t="n"/>
      <c r="DM231" s="24" t="n"/>
      <c r="DN231" s="24" t="n"/>
      <c r="DO231" s="24" t="n"/>
      <c r="DP231" s="24" t="n"/>
      <c r="DQ231" s="24" t="inlineStr">
        <is>
          <t>{"artifact_hash": "1d168f11d221cd3c", "event_id": "401856670", "event_start_utc": "2026-09-13T02:15Z", "features": {"altitude_fatigue_penalty": 0.58, "away_team": "Arkansas Razorbacks", "efficiency_gap": 0.148, "elo_away": 1257.0, "elo_home": 1832.9, "elo_home_win_prob": 0.9756, "event_id": "401856670", "game_start_utc": "2026-09-13T02:15Z", "home_field_advantage_points": 2.8, "home_team": "Utah Utes", "is_dome": false, "is_fbs_vs_fcs": false, "is_neutral_site": false, "projected_away_points": 15.0, "projected_home_points": 41.1, "projected_margin_home": 26.2, "projected_possessions": 12.4, "projected_total": 56.1, "stadium_elevation_ft": 4657, "travel_distance_miles": 1008.0, "uncertainty": 0.18, "weather_total_adjustment": 0.0}, "historical_source_observation_times_verified": false, "inference_inputs": {"engine_source_sha256": "449ba2f0e86fa9c445730076a0e0bf100fb4914620be53c75c6f3bfe24298f3f", "mu_away": 15.0, "mu_home": 41.1,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106265697123882680944427396159904104339}, "uinteger": 0}, "spread_home_line": -12.5, "total_line": 55.5}, "market_type": "total", "model_version": "cfb-total-v1", "observed_at_utc": "2026-09-12T22:41:47.836186+00:00", "probabilities": {"over": 0.496733, "push": 0.0, "under": 0.503267}, "replay_scope": "Full precision score means, exact engine parameters and original RNG state; upstream feature construction not certified.", "schema": "cfb-joint-replay-v1", "snapshot_hash": "dfcd3425f2b8c73f2bc8b97d9d44bdc41762b9b0a7cbd913958d9cabc63ea740", "sport": "NCAAF"}</t>
        </is>
      </c>
    </row>
    <row r="232" ht="36" customHeight="1">
      <c r="A232" s="24" t="inlineStr">
        <is>
          <t>782367c713fd46e3</t>
        </is>
      </c>
      <c r="B232" s="24" t="inlineStr">
        <is>
          <t>2026-09-12T22:41:47.836186Z</t>
        </is>
      </c>
      <c r="C232" s="24" t="inlineStr">
        <is>
          <t>2026-09-13T02:30Z</t>
        </is>
      </c>
      <c r="D232" s="24" t="inlineStr">
        <is>
          <t>401860883</t>
        </is>
      </c>
      <c r="E232" s="24" t="inlineStr">
        <is>
          <t>NCAAF</t>
        </is>
      </c>
      <c r="F232" s="24" t="inlineStr">
        <is>
          <t>Sacramento State Hornets</t>
        </is>
      </c>
      <c r="G232" s="24" t="inlineStr">
        <is>
          <t>Fresno State Bulldogs</t>
        </is>
      </c>
      <c r="H232" s="24" t="inlineStr">
        <is>
          <t>moneyline</t>
        </is>
      </c>
      <c r="I232" s="24" t="inlineStr">
        <is>
          <t>home</t>
        </is>
      </c>
      <c r="J232" s="25" t="n"/>
      <c r="K232" s="24" t="inlineStr">
        <is>
          <t>espn_consensus</t>
        </is>
      </c>
      <c r="L232" s="26" t="n">
        <v>-900</v>
      </c>
      <c r="M232" s="27" t="n">
        <v>1.111111</v>
      </c>
      <c r="N232" s="28" t="n">
        <v>0.9</v>
      </c>
      <c r="O232" s="28" t="n">
        <v>0.745853</v>
      </c>
      <c r="P232" s="28" t="n">
        <v>0.18</v>
      </c>
      <c r="Q232" s="28" t="n">
        <v>-0.154147</v>
      </c>
      <c r="R232" s="26" t="n">
        <v>0</v>
      </c>
      <c r="S232" s="29" t="n">
        <v>1</v>
      </c>
      <c r="T232" s="24" t="inlineStr">
        <is>
          <t>college-football-v1</t>
        </is>
      </c>
      <c r="U232" s="24" t="inlineStr">
        <is>
          <t>settled</t>
        </is>
      </c>
      <c r="V232" s="24" t="inlineStr">
        <is>
          <t>win</t>
        </is>
      </c>
      <c r="W232" s="26" t="n">
        <v>3</v>
      </c>
      <c r="X232" s="26" t="n">
        <v>49</v>
      </c>
      <c r="Y232" s="25" t="n"/>
      <c r="Z232" s="26" t="n"/>
      <c r="AA232" s="28" t="n"/>
      <c r="AB232" s="28" t="n"/>
      <c r="AC232" s="30" t="n">
        <v>0.1111</v>
      </c>
      <c r="AD232" s="24" t="inlineStr">
        <is>
          <t>2026-09-13T10:00:23.709438Z</t>
        </is>
      </c>
      <c r="AE232" s="31" t="inlineStr">
        <is>
          <t>CFB Joint Model (negative_binomial): proj score Sacramento State Hornets 21.0 @ Fresno State Bulldogs 31.3 (Margin +10.3). Possessions: 12.4, HFA: +2.8 pts.</t>
        </is>
      </c>
      <c r="AF232" s="31" t="inlineStr">
        <is>
          <t>College football model; multi-market (moneyline, spread, total).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paper_call</t>
        </is>
      </c>
      <c r="AL232" s="26" t="n">
        <v>4</v>
      </c>
      <c r="AM232" s="24" t="inlineStr">
        <is>
          <t>RESEARCH_OBSERVATION</t>
        </is>
      </c>
      <c r="AN232" s="24" t="inlineStr">
        <is>
          <t>CALL</t>
        </is>
      </c>
      <c r="AO232" s="24" t="inlineStr">
        <is>
          <t>PAPER_CALL_LOW_EDGE</t>
        </is>
      </c>
      <c r="AP232" s="24" t="inlineStr">
        <is>
          <t>Sacramento State Hornets</t>
        </is>
      </c>
      <c r="AQ232" s="24" t="inlineStr">
        <is>
          <t>Sacramento State Hornets</t>
        </is>
      </c>
      <c r="AR232" s="24" t="inlineStr">
        <is>
          <t>Sacramento State Hornets</t>
        </is>
      </c>
      <c r="AS232" s="24" t="inlineStr">
        <is>
          <t>Fresno State Bulldogs</t>
        </is>
      </c>
      <c r="AT232" s="24" t="inlineStr">
        <is>
          <t>Fresno State Bulldogs</t>
        </is>
      </c>
      <c r="AU232" s="24" t="inlineStr">
        <is>
          <t>Fresno State Bulldogs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shadow_qualified</t>
        </is>
      </c>
      <c r="BA232" s="24" t="inlineStr">
        <is>
          <t>1d168f11d221cd3c</t>
        </is>
      </c>
      <c r="BB232" s="24" t="inlineStr">
        <is>
          <t>cfb_key_number_engine</t>
        </is>
      </c>
      <c r="BC232" s="24" t="inlineStr">
        <is>
          <t>college-football-v1</t>
        </is>
      </c>
      <c r="BD232" s="24" t="inlineStr">
        <is>
          <t>1d168f11d221cd3c</t>
        </is>
      </c>
      <c r="BE232" s="24" t="inlineStr">
        <is>
          <t>cfb-v1</t>
        </is>
      </c>
      <c r="BF232" s="24" t="inlineStr">
        <is>
          <t>1</t>
        </is>
      </c>
      <c r="BG232" s="24" t="inlineStr">
        <is>
          <t>1d168f11d221cd3c</t>
        </is>
      </c>
      <c r="BH232" s="24" t="inlineStr">
        <is>
          <t>2026-09-12T22:41:47.836186+00:00</t>
        </is>
      </c>
      <c r="BI232" s="24" t="inlineStr">
        <is>
          <t>["same_event","same_team_same_day","same_league_same_day"]</t>
        </is>
      </c>
      <c r="BJ232" s="25" t="n"/>
      <c r="BK232" s="26" t="n">
        <v>-900</v>
      </c>
      <c r="BL232" s="27" t="n">
        <v>1.111111</v>
      </c>
      <c r="BM232" s="28" t="n">
        <v>0.9</v>
      </c>
      <c r="BN232" s="28" t="n"/>
      <c r="BO232" s="28" t="n"/>
      <c r="BP232" s="25" t="n"/>
      <c r="BQ232" s="27" t="n"/>
      <c r="BR232" s="28" t="n"/>
      <c r="BS232" s="28" t="n"/>
      <c r="BT232" s="28" t="n"/>
      <c r="BU232" s="25" t="n"/>
      <c r="BV232" s="29" t="n"/>
      <c r="BW232" s="24" t="n"/>
      <c r="BX232" s="30" t="n">
        <v>1</v>
      </c>
      <c r="BY232" s="27" t="n">
        <v>0.111111</v>
      </c>
      <c r="BZ232" s="24" t="inlineStr">
        <is>
          <t>2026-09-13T10:00:23.709438Z</t>
        </is>
      </c>
      <c r="CA232" s="31" t="inlineStr">
        <is>
          <t>fixed one-unit hypothetical scoring; no real exposure or execution</t>
        </is>
      </c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inlineStr">
        <is>
          <t>False</t>
        </is>
      </c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/>
      <c r="DH232" s="24" t="n"/>
      <c r="DI232" s="24" t="n"/>
      <c r="DJ232" s="24" t="inlineStr">
        <is>
          <t>0.9</t>
        </is>
      </c>
      <c r="DK232" s="24" t="n"/>
      <c r="DL232" s="24" t="n"/>
      <c r="DM232" s="24" t="n"/>
      <c r="DN232" s="24" t="n"/>
      <c r="DO232" s="24" t="n"/>
      <c r="DP232" s="24" t="n"/>
      <c r="DQ232" s="24" t="inlineStr">
        <is>
          <t>{"artifact_hash": "1d168f11d221cd3c", "event_id": "401860883", "event_start_utc": "2026-09-13T02:30Z", "features": {"altitude_fatigue_penalty": 0.0, "away_team": "Sacramento State Hornets", "efficiency_gap": -0.077, "elo_away": 1337.5, "elo_home": 1524.4, "elo_home_win_prob": 0.81, "event_id": "401860883", "game_start_utc": "2026-09-13T02:30Z", "home_field_advantage_points": 2.8, "home_team": "Fresno State Bulldogs", "is_dome": false, "is_fbs_vs_fcs": false, "is_neutral_site": false, "projected_away_points": 21.0, "projected_home_points": 31.3, "projected_margin_home": 10.3,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21.0, "mu_home": 31.3,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182081007544767168925387581809407117759}, "uinteger": 0}, "spread_home_line": -17.5, "total_line": 44.5}, "market_type": "moneyline", "model_version": "college-football-v1", "observed_at_utc": "2026-09-12T22:41:47.836186+00:00", "probabilities": {"away": 0.254147, "home": 0.745853}, "replay_scope": "Full precision score means, exact engine parameters and original RNG state; upstream feature construction not certified.", "schema": "cfb-joint-replay-v1", "snapshot_hash": "008d80576944a1ef202dfd7908887390303c7e458b1235326c80f50ebb8e0ed6", "sport": "NCAAF"}</t>
        </is>
      </c>
    </row>
    <row r="233" ht="36" customHeight="1">
      <c r="A233" s="24" t="inlineStr">
        <is>
          <t>f25d4de2b63d4059</t>
        </is>
      </c>
      <c r="B233" s="24" t="inlineStr">
        <is>
          <t>2026-09-12T22:41:47.836186Z</t>
        </is>
      </c>
      <c r="C233" s="24" t="inlineStr">
        <is>
          <t>2026-09-13T02:30Z</t>
        </is>
      </c>
      <c r="D233" s="24" t="inlineStr">
        <is>
          <t>401860883</t>
        </is>
      </c>
      <c r="E233" s="24" t="inlineStr">
        <is>
          <t>NCAAF</t>
        </is>
      </c>
      <c r="F233" s="24" t="inlineStr">
        <is>
          <t>Sacramento State Hornets</t>
        </is>
      </c>
      <c r="G233" s="24" t="inlineStr">
        <is>
          <t>Fresno State Bulldogs</t>
        </is>
      </c>
      <c r="H233" s="24" t="inlineStr">
        <is>
          <t>spread</t>
        </is>
      </c>
      <c r="I233" s="24" t="inlineStr">
        <is>
          <t>away</t>
        </is>
      </c>
      <c r="J233" s="25" t="n">
        <v>17.5</v>
      </c>
      <c r="K233" s="24" t="inlineStr">
        <is>
          <t>espn_consensus</t>
        </is>
      </c>
      <c r="L233" s="26" t="n">
        <v>-110</v>
      </c>
      <c r="M233" s="27" t="n">
        <v>1.909091</v>
      </c>
      <c r="N233" s="28" t="n">
        <v>0.52381</v>
      </c>
      <c r="O233" s="28" t="n">
        <v>0.6676</v>
      </c>
      <c r="P233" s="28" t="n">
        <v>0.18</v>
      </c>
      <c r="Q233" s="28" t="n">
        <v>0.14379</v>
      </c>
      <c r="R233" s="26" t="n">
        <v>14</v>
      </c>
      <c r="S233" s="29" t="n">
        <v>1</v>
      </c>
      <c r="T233" s="24" t="inlineStr">
        <is>
          <t>cfb-spread-v1</t>
        </is>
      </c>
      <c r="U233" s="24" t="inlineStr">
        <is>
          <t>settled</t>
        </is>
      </c>
      <c r="V233" s="24" t="inlineStr">
        <is>
          <t>loss</t>
        </is>
      </c>
      <c r="W233" s="26" t="n">
        <v>3</v>
      </c>
      <c r="X233" s="26" t="n">
        <v>49</v>
      </c>
      <c r="Y233" s="25" t="n"/>
      <c r="Z233" s="26" t="n"/>
      <c r="AA233" s="28" t="n"/>
      <c r="AB233" s="28" t="n"/>
      <c r="AC233" s="30" t="n">
        <v>-1</v>
      </c>
      <c r="AD233" s="24" t="inlineStr">
        <is>
          <t>2026-09-13T10:00:24.045901Z</t>
        </is>
      </c>
      <c r="AE233" s="31" t="inlineStr">
        <is>
          <t>Projected home margin +10.3 pts. Spread: Home -17.5 / Away +17.5 -&gt; P(Away cover)=0.668, P(Home cover)=0.332, P(Push)=0.000.</t>
        </is>
      </c>
      <c r="AF233" s="31" t="inlineStr">
        <is>
          <t>College football model; multi-market (moneyline, spread, total).</t>
        </is>
      </c>
      <c r="AG233" s="24" t="inlineStr">
        <is>
          <t>review_required</t>
        </is>
      </c>
      <c r="AH233" s="24" t="n"/>
      <c r="AI233" s="31" t="n"/>
      <c r="AJ233" s="31" t="n"/>
      <c r="AK233" s="24" t="inlineStr">
        <is>
          <t>model_qualified</t>
        </is>
      </c>
      <c r="AL233" s="26" t="n">
        <v>4</v>
      </c>
      <c r="AM233" s="24" t="inlineStr">
        <is>
          <t>QUALIFIED_SHADOW_CALL</t>
        </is>
      </c>
      <c r="AN233" s="24" t="inlineStr">
        <is>
          <t>CALL</t>
        </is>
      </c>
      <c r="AO233" s="24" t="inlineStr">
        <is>
          <t>QUALIFIED</t>
        </is>
      </c>
      <c r="AP233" s="24" t="inlineStr">
        <is>
          <t>Sacramento State Hornets</t>
        </is>
      </c>
      <c r="AQ233" s="24" t="inlineStr">
        <is>
          <t>Sacramento State Hornets</t>
        </is>
      </c>
      <c r="AR233" s="24" t="inlineStr">
        <is>
          <t>Sacramento State Hornets</t>
        </is>
      </c>
      <c r="AS233" s="24" t="inlineStr">
        <is>
          <t>Fresno State Bulldogs</t>
        </is>
      </c>
      <c r="AT233" s="24" t="inlineStr">
        <is>
          <t>Fresno State Bulldogs</t>
        </is>
      </c>
      <c r="AU233" s="24" t="inlineStr">
        <is>
          <t>Fresno State Bulldogs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shadow_qualified</t>
        </is>
      </c>
      <c r="BA233" s="24" t="inlineStr">
        <is>
          <t>1d168f11d221cd3c</t>
        </is>
      </c>
      <c r="BB233" s="24" t="inlineStr">
        <is>
          <t>cfb_key_number_engine</t>
        </is>
      </c>
      <c r="BC233" s="24" t="inlineStr">
        <is>
          <t>cfb-spread-v1</t>
        </is>
      </c>
      <c r="BD233" s="24" t="inlineStr">
        <is>
          <t>1d168f11d221cd3c</t>
        </is>
      </c>
      <c r="BE233" s="24" t="inlineStr">
        <is>
          <t>cfb-v1</t>
        </is>
      </c>
      <c r="BF233" s="24" t="inlineStr">
        <is>
          <t>1</t>
        </is>
      </c>
      <c r="BG233" s="24" t="inlineStr">
        <is>
          <t>1d168f11d221cd3c</t>
        </is>
      </c>
      <c r="BH233" s="24" t="inlineStr">
        <is>
          <t>2026-09-12T22:41:47.836186+00:00</t>
        </is>
      </c>
      <c r="BI233" s="24" t="inlineStr">
        <is>
          <t>["same_event","same_team_same_day","same_league_same_day"]</t>
        </is>
      </c>
      <c r="BJ233" s="25" t="n">
        <v>17.5</v>
      </c>
      <c r="BK233" s="26" t="n">
        <v>-110</v>
      </c>
      <c r="BL233" s="27" t="n">
        <v>1.909091</v>
      </c>
      <c r="BM233" s="28" t="n">
        <v>0.52381</v>
      </c>
      <c r="BN233" s="28" t="n"/>
      <c r="BO233" s="28" t="n"/>
      <c r="BP233" s="25" t="n"/>
      <c r="BQ233" s="27" t="n"/>
      <c r="BR233" s="28" t="n"/>
      <c r="BS233" s="28" t="n"/>
      <c r="BT233" s="28" t="n"/>
      <c r="BU233" s="25" t="n"/>
      <c r="BV233" s="29" t="n"/>
      <c r="BW233" s="24" t="n"/>
      <c r="BX233" s="30" t="n"/>
      <c r="BY233" s="27" t="n"/>
      <c r="BZ233" s="24" t="n"/>
      <c r="CA233" s="31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True</t>
        </is>
      </c>
      <c r="CT233" s="24" t="n"/>
      <c r="CU233" s="24" t="n"/>
      <c r="CV233" s="24" t="n"/>
      <c r="CW233" s="24" t="n"/>
      <c r="CX233" s="24" t="n"/>
      <c r="CY233" s="24" t="n"/>
      <c r="CZ233" s="24" t="n"/>
      <c r="DA233" s="24" t="n"/>
      <c r="DB233" s="24" t="n"/>
      <c r="DC233" s="24" t="n"/>
      <c r="DD233" s="24" t="n"/>
      <c r="DE233" s="24" t="n"/>
      <c r="DF233" s="24" t="n"/>
      <c r="DG233" s="24" t="n"/>
      <c r="DH233" s="24" t="n"/>
      <c r="DI233" s="24" t="n"/>
      <c r="DJ233" s="24" t="inlineStr">
        <is>
          <t>0.52381</t>
        </is>
      </c>
      <c r="DK233" s="24" t="n"/>
      <c r="DL233" s="24" t="n"/>
      <c r="DM233" s="24" t="n"/>
      <c r="DN233" s="24" t="n"/>
      <c r="DO233" s="24" t="n"/>
      <c r="DP233" s="24" t="n"/>
      <c r="DQ233" s="24" t="inlineStr">
        <is>
          <t>{"artifact_hash": "1d168f11d221cd3c", "event_id": "401860883", "event_start_utc": "2026-09-13T02:30Z", "features": {"altitude_fatigue_penalty": 0.0, "away_team": "Sacramento State Hornets", "efficiency_gap": -0.077, "elo_away": 1337.5, "elo_home": 1524.4, "elo_home_win_prob": 0.81, "event_id": "401860883", "game_start_utc": "2026-09-13T02:30Z", "home_field_advantage_points": 2.8, "home_team": "Fresno State Bulldogs", "is_dome": false, "is_fbs_vs_fcs": false, "is_neutral_site": false, "projected_away_points": 21.0, "projected_home_points": 31.3, "projected_margin_home": 10.3,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21.0, "mu_home": 31.3,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182081007544767168925387581809407117759}, "uinteger": 0}, "spread_home_line": -17.5, "total_line": 44.5}, "market_type": "spread", "model_version": "cfb-spread-v1", "observed_at_utc": "2026-09-12T22:41:47.836186+00:00", "probabilities": {"away": 0.6676, "home": 0.3324, "push": 0.0}, "replay_scope": "Full precision score means, exact engine parameters and original RNG state; upstream feature construction not certified.", "schema": "cfb-joint-replay-v1", "snapshot_hash": "d6a3c45abceab22d73969f0729828361e6b77115efb394a21c50ac88ef9889d6", "sport": "NCAAF"}</t>
        </is>
      </c>
    </row>
    <row r="234" ht="36" customHeight="1">
      <c r="A234" s="24" t="inlineStr">
        <is>
          <t>dbc96ea22e5b4c72</t>
        </is>
      </c>
      <c r="B234" s="24" t="inlineStr">
        <is>
          <t>2026-09-12T22:41:47.836186Z</t>
        </is>
      </c>
      <c r="C234" s="24" t="inlineStr">
        <is>
          <t>2026-09-13T02:30Z</t>
        </is>
      </c>
      <c r="D234" s="24" t="inlineStr">
        <is>
          <t>401860883</t>
        </is>
      </c>
      <c r="E234" s="24" t="inlineStr">
        <is>
          <t>NCAAF</t>
        </is>
      </c>
      <c r="F234" s="24" t="inlineStr">
        <is>
          <t>Sacramento State Hornets</t>
        </is>
      </c>
      <c r="G234" s="24" t="inlineStr">
        <is>
          <t>Fresno State Bulldogs</t>
        </is>
      </c>
      <c r="H234" s="24" t="inlineStr">
        <is>
          <t>total</t>
        </is>
      </c>
      <c r="I234" s="24" t="inlineStr">
        <is>
          <t>over</t>
        </is>
      </c>
      <c r="J234" s="25" t="n">
        <v>44.5</v>
      </c>
      <c r="K234" s="24" t="inlineStr">
        <is>
          <t>espn_consensus</t>
        </is>
      </c>
      <c r="L234" s="26" t="n">
        <v>-112</v>
      </c>
      <c r="M234" s="27" t="n">
        <v>1.892857</v>
      </c>
      <c r="N234" s="28" t="n">
        <v>0.528302</v>
      </c>
      <c r="O234" s="28" t="n">
        <v>0.633933</v>
      </c>
      <c r="P234" s="28" t="n">
        <v>0.18</v>
      </c>
      <c r="Q234" s="28" t="n">
        <v>0.105631</v>
      </c>
      <c r="R234" s="26" t="n">
        <v>0</v>
      </c>
      <c r="S234" s="29" t="n">
        <v>1</v>
      </c>
      <c r="T234" s="24" t="inlineStr">
        <is>
          <t>cfb-total-v1</t>
        </is>
      </c>
      <c r="U234" s="24" t="inlineStr">
        <is>
          <t>settled</t>
        </is>
      </c>
      <c r="V234" s="24" t="inlineStr">
        <is>
          <t>win</t>
        </is>
      </c>
      <c r="W234" s="26" t="n">
        <v>3</v>
      </c>
      <c r="X234" s="26" t="n">
        <v>49</v>
      </c>
      <c r="Y234" s="25" t="n"/>
      <c r="Z234" s="26" t="n"/>
      <c r="AA234" s="28" t="n"/>
      <c r="AB234" s="28" t="n"/>
      <c r="AC234" s="30" t="n">
        <v>0.8929</v>
      </c>
      <c r="AD234" s="24" t="inlineStr">
        <is>
          <t>2026-09-13T10:00:24.411373Z</t>
        </is>
      </c>
      <c r="AE234" s="31" t="inlineStr">
        <is>
          <t>Projected total 52.4 pts (Weather adj: +0.0 pts). Total line 44.5 -&gt; P(Over)=0.634, P(Under)=0.366, P(Push)=0.000.</t>
        </is>
      </c>
      <c r="AF234" s="31" t="inlineStr">
        <is>
          <t>College football model; multi-market (moneyline, spread, total).</t>
        </is>
      </c>
      <c r="AG234" s="24" t="inlineStr">
        <is>
          <t>not_applicable</t>
        </is>
      </c>
      <c r="AH234" s="24" t="n"/>
      <c r="AI234" s="31" t="n"/>
      <c r="AJ234" s="31" t="n"/>
      <c r="AK234" s="24" t="inlineStr">
        <is>
          <t>model_qualified</t>
        </is>
      </c>
      <c r="AL234" s="26" t="n">
        <v>4</v>
      </c>
      <c r="AM234" s="24" t="inlineStr">
        <is>
          <t>QUALIFIED_SHADOW_CALL</t>
        </is>
      </c>
      <c r="AN234" s="24" t="inlineStr">
        <is>
          <t>CALL</t>
        </is>
      </c>
      <c r="AO234" s="24" t="inlineStr">
        <is>
          <t>QUALIFIED</t>
        </is>
      </c>
      <c r="AP234" s="24" t="inlineStr">
        <is>
          <t>Sacramento State Hornets</t>
        </is>
      </c>
      <c r="AQ234" s="24" t="inlineStr">
        <is>
          <t>Sacramento State Hornets</t>
        </is>
      </c>
      <c r="AR234" s="24" t="inlineStr">
        <is>
          <t>Sacramento State Hornets</t>
        </is>
      </c>
      <c r="AS234" s="24" t="inlineStr">
        <is>
          <t>Fresno State Bulldogs</t>
        </is>
      </c>
      <c r="AT234" s="24" t="inlineStr">
        <is>
          <t>Fresno State Bulldogs</t>
        </is>
      </c>
      <c r="AU234" s="24" t="inlineStr">
        <is>
          <t>Fresno State Bulldogs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shadow_qualified</t>
        </is>
      </c>
      <c r="BA234" s="24" t="inlineStr">
        <is>
          <t>1d168f11d221cd3c</t>
        </is>
      </c>
      <c r="BB234" s="24" t="inlineStr">
        <is>
          <t>cfb_key_number_engine</t>
        </is>
      </c>
      <c r="BC234" s="24" t="inlineStr">
        <is>
          <t>cfb-total-v1</t>
        </is>
      </c>
      <c r="BD234" s="24" t="inlineStr">
        <is>
          <t>1d168f11d221cd3c</t>
        </is>
      </c>
      <c r="BE234" s="24" t="inlineStr">
        <is>
          <t>cfb-v1</t>
        </is>
      </c>
      <c r="BF234" s="24" t="inlineStr">
        <is>
          <t>1</t>
        </is>
      </c>
      <c r="BG234" s="24" t="inlineStr">
        <is>
          <t>1d168f11d221cd3c</t>
        </is>
      </c>
      <c r="BH234" s="24" t="inlineStr">
        <is>
          <t>2026-09-12T22:41:47.836186+00:00</t>
        </is>
      </c>
      <c r="BI234" s="24" t="inlineStr">
        <is>
          <t>["same_event","same_team_same_day","same_league_same_day"]</t>
        </is>
      </c>
      <c r="BJ234" s="25" t="n">
        <v>44.5</v>
      </c>
      <c r="BK234" s="26" t="n">
        <v>-112</v>
      </c>
      <c r="BL234" s="27" t="n">
        <v>1.892857</v>
      </c>
      <c r="BM234" s="28" t="n">
        <v>0.528302</v>
      </c>
      <c r="BN234" s="28" t="n"/>
      <c r="BO234" s="28" t="n"/>
      <c r="BP234" s="25" t="n"/>
      <c r="BQ234" s="27" t="n"/>
      <c r="BR234" s="28" t="n"/>
      <c r="BS234" s="28" t="n"/>
      <c r="BT234" s="28" t="n"/>
      <c r="BU234" s="25" t="n"/>
      <c r="BV234" s="29" t="n"/>
      <c r="BW234" s="24" t="n"/>
      <c r="BX234" s="30" t="n"/>
      <c r="BY234" s="27" t="n"/>
      <c r="BZ234" s="24" t="n"/>
      <c r="CA234" s="31" t="n"/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True</t>
        </is>
      </c>
      <c r="CT234" s="24" t="n"/>
      <c r="CU234" s="24" t="n"/>
      <c r="CV234" s="24" t="n"/>
      <c r="CW234" s="24" t="n"/>
      <c r="CX234" s="24" t="n"/>
      <c r="CY234" s="24" t="n"/>
      <c r="CZ234" s="24" t="n"/>
      <c r="DA234" s="24" t="n"/>
      <c r="DB234" s="24" t="n"/>
      <c r="DC234" s="24" t="n"/>
      <c r="DD234" s="24" t="n"/>
      <c r="DE234" s="24" t="n"/>
      <c r="DF234" s="24" t="n"/>
      <c r="DG234" s="24" t="n"/>
      <c r="DH234" s="24" t="n"/>
      <c r="DI234" s="24" t="n"/>
      <c r="DJ234" s="24" t="inlineStr">
        <is>
          <t>0.528302</t>
        </is>
      </c>
      <c r="DK234" s="24" t="n"/>
      <c r="DL234" s="24" t="n"/>
      <c r="DM234" s="24" t="n"/>
      <c r="DN234" s="24" t="n"/>
      <c r="DO234" s="24" t="n"/>
      <c r="DP234" s="24" t="n"/>
      <c r="DQ234" s="24" t="inlineStr">
        <is>
          <t>{"artifact_hash": "1d168f11d221cd3c", "event_id": "401860883", "event_start_utc": "2026-09-13T02:30Z", "features": {"altitude_fatigue_penalty": 0.0, "away_team": "Sacramento State Hornets", "efficiency_gap": -0.077, "elo_away": 1337.5, "elo_home": 1524.4, "elo_home_win_prob": 0.81, "event_id": "401860883", "game_start_utc": "2026-09-13T02:30Z", "home_field_advantage_points": 2.8, "home_team": "Fresno State Bulldogs", "is_dome": false, "is_fbs_vs_fcs": false, "is_neutral_site": false, "projected_away_points": 21.0, "projected_home_points": 31.3, "projected_margin_home": 10.3, "projected_possessions": 12.4, "projected_total": 52.4,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21.0, "mu_home": 31.3,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182081007544767168925387581809407117759}, "uinteger": 0}, "spread_home_line": -17.5, "total_line": 44.5}, "market_type": "total", "model_version": "cfb-total-v1", "observed_at_utc": "2026-09-12T22:41:47.836186+00:00", "probabilities": {"over": 0.633933, "push": 0.0, "under": 0.366067}, "replay_scope": "Full precision score means, exact engine parameters and original RNG state; upstream feature construction not certified.", "schema": "cfb-joint-replay-v1", "snapshot_hash": "1257ac85089d2528780f9dfdfa8614f7d6222a9acfeb08dca847cd8ddc13e23a", "sport": "NCAAF"}</t>
        </is>
      </c>
    </row>
    <row r="235" ht="36" customHeight="1">
      <c r="A235" s="24" t="inlineStr">
        <is>
          <t>13e511125f3642f7</t>
        </is>
      </c>
      <c r="B235" s="24" t="inlineStr">
        <is>
          <t>2026-09-12T22:41:47.836186Z</t>
        </is>
      </c>
      <c r="C235" s="24" t="inlineStr">
        <is>
          <t>2026-09-13T02:30Z</t>
        </is>
      </c>
      <c r="D235" s="24" t="inlineStr">
        <is>
          <t>401864500</t>
        </is>
      </c>
      <c r="E235" s="24" t="inlineStr">
        <is>
          <t>NCAAF</t>
        </is>
      </c>
      <c r="F235" s="24" t="inlineStr">
        <is>
          <t>Montana State Bobcats</t>
        </is>
      </c>
      <c r="G235" s="24" t="inlineStr">
        <is>
          <t>Nevada Wolf Pack</t>
        </is>
      </c>
      <c r="H235" s="24" t="inlineStr">
        <is>
          <t>moneyline</t>
        </is>
      </c>
      <c r="I235" s="24" t="inlineStr">
        <is>
          <t>away</t>
        </is>
      </c>
      <c r="J235" s="25" t="n"/>
      <c r="K235" s="24" t="inlineStr">
        <is>
          <t>espn_consensus</t>
        </is>
      </c>
      <c r="L235" s="26" t="n">
        <v>-185</v>
      </c>
      <c r="M235" s="27" t="n">
        <v>1.540541</v>
      </c>
      <c r="N235" s="28" t="n">
        <v>0.649123</v>
      </c>
      <c r="O235" s="28" t="n">
        <v>0.552477</v>
      </c>
      <c r="P235" s="28" t="n">
        <v>0.25</v>
      </c>
      <c r="Q235" s="28" t="n">
        <v>-0.096646</v>
      </c>
      <c r="R235" s="26" t="n">
        <v>0</v>
      </c>
      <c r="S235" s="29" t="n">
        <v>1</v>
      </c>
      <c r="T235" s="24" t="inlineStr">
        <is>
          <t>college-football-v1</t>
        </is>
      </c>
      <c r="U235" s="24" t="inlineStr">
        <is>
          <t>settled</t>
        </is>
      </c>
      <c r="V235" s="24" t="inlineStr">
        <is>
          <t>win</t>
        </is>
      </c>
      <c r="W235" s="26" t="n">
        <v>20</v>
      </c>
      <c r="X235" s="26" t="n">
        <v>7</v>
      </c>
      <c r="Y235" s="25" t="n"/>
      <c r="Z235" s="26" t="n"/>
      <c r="AA235" s="28" t="n"/>
      <c r="AB235" s="28" t="n"/>
      <c r="AC235" s="30" t="n">
        <v>0.5405</v>
      </c>
      <c r="AD235" s="24" t="inlineStr">
        <is>
          <t>2026-09-13T10:00:24.845862Z</t>
        </is>
      </c>
      <c r="AE235" s="31" t="inlineStr">
        <is>
          <t>CFB Joint Model (negative_binomial): proj score Montana State Bobcats 27.5 @ Nevada Wolf Pack 25.1 (Margin -2.4). Possessions: 12.4, HFA: +2.8 pts.</t>
        </is>
      </c>
      <c r="AF235" s="31" t="inlineStr">
        <is>
          <t>College football model; multi-market (moneyline, spread, total).</t>
        </is>
      </c>
      <c r="AG235" s="24" t="inlineStr">
        <is>
          <t>not_applicable</t>
        </is>
      </c>
      <c r="AH235" s="24" t="n"/>
      <c r="AI235" s="31" t="n"/>
      <c r="AJ235" s="31" t="n"/>
      <c r="AK235" s="24" t="inlineStr">
        <is>
          <t>paper_call</t>
        </is>
      </c>
      <c r="AL235" s="26" t="n">
        <v>4</v>
      </c>
      <c r="AM235" s="24" t="inlineStr">
        <is>
          <t>RESEARCH_OBSERVATION</t>
        </is>
      </c>
      <c r="AN235" s="24" t="inlineStr">
        <is>
          <t>CALL</t>
        </is>
      </c>
      <c r="AO235" s="24" t="inlineStr">
        <is>
          <t>PAPER_CALL_LOW_EDGE</t>
        </is>
      </c>
      <c r="AP235" s="24" t="inlineStr">
        <is>
          <t>Montana State Bobcats</t>
        </is>
      </c>
      <c r="AQ235" s="24" t="inlineStr">
        <is>
          <t>Montana State Bobcats</t>
        </is>
      </c>
      <c r="AR235" s="24" t="inlineStr">
        <is>
          <t>Montana State Bobcats</t>
        </is>
      </c>
      <c r="AS235" s="24" t="inlineStr">
        <is>
          <t>Nevada Wolf Pack</t>
        </is>
      </c>
      <c r="AT235" s="24" t="inlineStr">
        <is>
          <t>Nevada Wolf Pack</t>
        </is>
      </c>
      <c r="AU235" s="24" t="inlineStr">
        <is>
          <t>Nevada Wolf Pack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shadow_qualified</t>
        </is>
      </c>
      <c r="BA235" s="24" t="inlineStr">
        <is>
          <t>1d168f11d221cd3c</t>
        </is>
      </c>
      <c r="BB235" s="24" t="inlineStr">
        <is>
          <t>cfb_key_number_engine</t>
        </is>
      </c>
      <c r="BC235" s="24" t="inlineStr">
        <is>
          <t>college-football-v1</t>
        </is>
      </c>
      <c r="BD235" s="24" t="inlineStr">
        <is>
          <t>1d168f11d221cd3c</t>
        </is>
      </c>
      <c r="BE235" s="24" t="inlineStr">
        <is>
          <t>cfb-v1</t>
        </is>
      </c>
      <c r="BF235" s="24" t="inlineStr">
        <is>
          <t>1</t>
        </is>
      </c>
      <c r="BG235" s="24" t="inlineStr">
        <is>
          <t>1d168f11d221cd3c</t>
        </is>
      </c>
      <c r="BH235" s="24" t="inlineStr">
        <is>
          <t>2026-09-12T22:41:47.836186+00:00</t>
        </is>
      </c>
      <c r="BI235" s="24" t="inlineStr">
        <is>
          <t>["same_event","same_team_same_day","same_league_same_day"]</t>
        </is>
      </c>
      <c r="BJ235" s="25" t="n"/>
      <c r="BK235" s="26" t="n">
        <v>-185</v>
      </c>
      <c r="BL235" s="27" t="n">
        <v>1.540541</v>
      </c>
      <c r="BM235" s="28" t="n">
        <v>0.649123</v>
      </c>
      <c r="BN235" s="28" t="n"/>
      <c r="BO235" s="28" t="n"/>
      <c r="BP235" s="25" t="n"/>
      <c r="BQ235" s="27" t="n"/>
      <c r="BR235" s="28" t="n"/>
      <c r="BS235" s="28" t="n"/>
      <c r="BT235" s="28" t="n"/>
      <c r="BU235" s="25" t="n"/>
      <c r="BV235" s="29" t="n"/>
      <c r="BW235" s="24" t="n"/>
      <c r="BX235" s="30" t="n">
        <v>1</v>
      </c>
      <c r="BY235" s="27" t="n">
        <v>0.540541</v>
      </c>
      <c r="BZ235" s="24" t="inlineStr">
        <is>
          <t>2026-09-13T10:00:24.845862Z</t>
        </is>
      </c>
      <c r="CA235" s="31" t="inlineStr">
        <is>
          <t>fixed one-unit hypothetical scoring; no real exposure or execution</t>
        </is>
      </c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False</t>
        </is>
      </c>
      <c r="CT235" s="24" t="n"/>
      <c r="CU235" s="24" t="n"/>
      <c r="CV235" s="24" t="n"/>
      <c r="CW235" s="24" t="n"/>
      <c r="CX235" s="24" t="n"/>
      <c r="CY235" s="24" t="n"/>
      <c r="CZ235" s="24" t="n"/>
      <c r="DA235" s="24" t="n"/>
      <c r="DB235" s="24" t="n"/>
      <c r="DC235" s="24" t="n"/>
      <c r="DD235" s="24" t="n"/>
      <c r="DE235" s="24" t="n"/>
      <c r="DF235" s="24" t="n"/>
      <c r="DG235" s="24" t="n"/>
      <c r="DH235" s="24" t="n"/>
      <c r="DI235" s="24" t="n"/>
      <c r="DJ235" s="24" t="inlineStr">
        <is>
          <t>0.649123</t>
        </is>
      </c>
      <c r="DK235" s="24" t="n"/>
      <c r="DL235" s="24" t="n"/>
      <c r="DM235" s="24" t="n"/>
      <c r="DN235" s="24" t="n"/>
      <c r="DO235" s="24" t="n"/>
      <c r="DP235" s="24" t="n"/>
      <c r="DQ235" s="24" t="inlineStr">
        <is>
          <t>{"artifact_hash": "1d168f11d221cd3c", "event_id": "401864500", "event_start_utc": "2026-09-13T02:30Z", "features": {"altitude_fatigue_penalty": 0.56, "away_team": "Montana State Bobcats", "efficiency_gap": 2.727, "elo_away": 1539.9, "elo_home": 1415.9, "elo_home_win_prob": 0.4159, "event_id": "401864500", "game_start_utc": "2026-09-13T02:30Z", "home_field_advantage_points": 2.8, "home_team": "Nevada Wolf Pack", "is_dome": false, "is_fbs_vs_fcs": true, "is_neutral_site": false, "projected_away_points": 27.5, "projected_home_points": 25.1, "projected_margin_home": -2.4, "projected_possessions": 12.4, "projected_total": 52.7, "stadium_elevation_ft": 4610, "travel_distance_miles": 613.0, "uncertainty": 0.25, "weather_total_adjustment": 0.0}, "historical_source_observation_times_verified": false, "inference_inputs": {"engine_source_sha256": "449ba2f0e86fa9c445730076a0e0bf100fb4914620be53c75c6f3bfe24298f3f", "mu_away": 27.5, "mu_home": 25.1,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123864440528183444736664796356357188606}, "uinteger": 0}, "spread_home_line": 4.0, "total_line": 51.5}, "market_type": "moneyline", "model_version": "college-football-v1", "observed_at_utc": "2026-09-12T22:41:47.836186+00:00", "probabilities": {"away": 0.552477, "home": 0.447523}, "replay_scope": "Full precision score means, exact engine parameters and original RNG state; upstream feature construction not certified.", "schema": "cfb-joint-replay-v1", "snapshot_hash": "418ffd852f9cd03b2aa61cc827dfe138a2838c352eaaac2582c10d40b509e482", "sport": "NCAAF"}</t>
        </is>
      </c>
    </row>
    <row r="236" ht="36" customHeight="1">
      <c r="A236" s="24" t="inlineStr">
        <is>
          <t>3a64f8470d4740d9</t>
        </is>
      </c>
      <c r="B236" s="24" t="inlineStr">
        <is>
          <t>2026-09-12T22:41:47.836186Z</t>
        </is>
      </c>
      <c r="C236" s="24" t="inlineStr">
        <is>
          <t>2026-09-13T02:30Z</t>
        </is>
      </c>
      <c r="D236" s="24" t="inlineStr">
        <is>
          <t>401864500</t>
        </is>
      </c>
      <c r="E236" s="24" t="inlineStr">
        <is>
          <t>NCAAF</t>
        </is>
      </c>
      <c r="F236" s="24" t="inlineStr">
        <is>
          <t>Montana State Bobcats</t>
        </is>
      </c>
      <c r="G236" s="24" t="inlineStr">
        <is>
          <t>Nevada Wolf Pack</t>
        </is>
      </c>
      <c r="H236" s="24" t="inlineStr">
        <is>
          <t>spread</t>
        </is>
      </c>
      <c r="I236" s="24" t="inlineStr">
        <is>
          <t>home</t>
        </is>
      </c>
      <c r="J236" s="25" t="n">
        <v>4</v>
      </c>
      <c r="K236" s="24" t="inlineStr">
        <is>
          <t>espn_consensus</t>
        </is>
      </c>
      <c r="L236" s="26" t="n">
        <v>-108</v>
      </c>
      <c r="M236" s="27" t="n">
        <v>1.925926</v>
      </c>
      <c r="N236" s="28" t="n">
        <v>0.519231</v>
      </c>
      <c r="O236" s="28" t="n">
        <v>0.5343329999999999</v>
      </c>
      <c r="P236" s="28" t="n">
        <v>0.25</v>
      </c>
      <c r="Q236" s="28" t="n">
        <v>0.015102</v>
      </c>
      <c r="R236" s="26" t="n">
        <v>0</v>
      </c>
      <c r="S236" s="29" t="n">
        <v>1</v>
      </c>
      <c r="T236" s="24" t="inlineStr">
        <is>
          <t>cfb-spread-v1</t>
        </is>
      </c>
      <c r="U236" s="24" t="inlineStr">
        <is>
          <t>settled</t>
        </is>
      </c>
      <c r="V236" s="24" t="inlineStr">
        <is>
          <t>loss</t>
        </is>
      </c>
      <c r="W236" s="26" t="n">
        <v>20</v>
      </c>
      <c r="X236" s="26" t="n">
        <v>7</v>
      </c>
      <c r="Y236" s="25" t="n"/>
      <c r="Z236" s="26" t="n"/>
      <c r="AA236" s="28" t="n"/>
      <c r="AB236" s="28" t="n"/>
      <c r="AC236" s="30" t="n">
        <v>-1</v>
      </c>
      <c r="AD236" s="24" t="inlineStr">
        <is>
          <t>2026-09-13T10:00:25.171528Z</t>
        </is>
      </c>
      <c r="AE236" s="31" t="inlineStr">
        <is>
          <t>Projected home margin -2.4 pts. Spread: Home +4.0 / Away -4.0 -&gt; P(Away cover)=0.442, P(Home cover)=0.534, P(Push)=0.024.</t>
        </is>
      </c>
      <c r="AF236" s="31" t="inlineStr">
        <is>
          <t>College football model; multi-market (moneyline, spread, total).</t>
        </is>
      </c>
      <c r="AG236" s="24" t="inlineStr">
        <is>
          <t>review_required</t>
        </is>
      </c>
      <c r="AH236" s="24" t="n"/>
      <c r="AI236" s="31" t="n"/>
      <c r="AJ236" s="31" t="n"/>
      <c r="AK236" s="24" t="inlineStr">
        <is>
          <t>paper_call</t>
        </is>
      </c>
      <c r="AL236" s="26" t="n">
        <v>4</v>
      </c>
      <c r="AM236" s="24" t="inlineStr">
        <is>
          <t>RESEARCH_OBSERVATION</t>
        </is>
      </c>
      <c r="AN236" s="24" t="inlineStr">
        <is>
          <t>CALL</t>
        </is>
      </c>
      <c r="AO236" s="24" t="inlineStr">
        <is>
          <t>PAPER_CALL_LOW_EDGE</t>
        </is>
      </c>
      <c r="AP236" s="24" t="inlineStr">
        <is>
          <t>Montana State Bobcats</t>
        </is>
      </c>
      <c r="AQ236" s="24" t="inlineStr">
        <is>
          <t>Montana State Bobcats</t>
        </is>
      </c>
      <c r="AR236" s="24" t="inlineStr">
        <is>
          <t>Montana State Bobcats</t>
        </is>
      </c>
      <c r="AS236" s="24" t="inlineStr">
        <is>
          <t>Nevada Wolf Pack</t>
        </is>
      </c>
      <c r="AT236" s="24" t="inlineStr">
        <is>
          <t>Nevada Wolf Pack</t>
        </is>
      </c>
      <c r="AU236" s="24" t="inlineStr">
        <is>
          <t>Nevada Wolf Pack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shadow_qualified</t>
        </is>
      </c>
      <c r="BA236" s="24" t="inlineStr">
        <is>
          <t>1d168f11d221cd3c</t>
        </is>
      </c>
      <c r="BB236" s="24" t="inlineStr">
        <is>
          <t>cfb_key_number_engine</t>
        </is>
      </c>
      <c r="BC236" s="24" t="inlineStr">
        <is>
          <t>cfb-spread-v1</t>
        </is>
      </c>
      <c r="BD236" s="24" t="inlineStr">
        <is>
          <t>1d168f11d221cd3c</t>
        </is>
      </c>
      <c r="BE236" s="24" t="inlineStr">
        <is>
          <t>cfb-v1</t>
        </is>
      </c>
      <c r="BF236" s="24" t="inlineStr">
        <is>
          <t>1</t>
        </is>
      </c>
      <c r="BG236" s="24" t="inlineStr">
        <is>
          <t>1d168f11d221cd3c</t>
        </is>
      </c>
      <c r="BH236" s="24" t="inlineStr">
        <is>
          <t>2026-09-12T22:41:47.836186+00:00</t>
        </is>
      </c>
      <c r="BI236" s="24" t="inlineStr">
        <is>
          <t>["same_event","same_team_same_day","same_league_same_day"]</t>
        </is>
      </c>
      <c r="BJ236" s="25" t="n">
        <v>4</v>
      </c>
      <c r="BK236" s="26" t="n">
        <v>-108</v>
      </c>
      <c r="BL236" s="27" t="n">
        <v>1.925926</v>
      </c>
      <c r="BM236" s="28" t="n">
        <v>0.519231</v>
      </c>
      <c r="BN236" s="28" t="n"/>
      <c r="BO236" s="28" t="n"/>
      <c r="BP236" s="25" t="n"/>
      <c r="BQ236" s="27" t="n"/>
      <c r="BR236" s="28" t="n"/>
      <c r="BS236" s="28" t="n"/>
      <c r="BT236" s="28" t="n"/>
      <c r="BU236" s="25" t="n"/>
      <c r="BV236" s="29" t="n"/>
      <c r="BW236" s="24" t="n"/>
      <c r="BX236" s="30" t="n">
        <v>1</v>
      </c>
      <c r="BY236" s="27" t="n">
        <v>-1</v>
      </c>
      <c r="BZ236" s="24" t="inlineStr">
        <is>
          <t>2026-09-13T10:00:25.171528Z</t>
        </is>
      </c>
      <c r="CA236" s="31" t="inlineStr">
        <is>
          <t>fixed one-unit hypothetical scoring; no real exposure or execution</t>
        </is>
      </c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True</t>
        </is>
      </c>
      <c r="CT236" s="24" t="n"/>
      <c r="CU236" s="24" t="n"/>
      <c r="CV236" s="24" t="n"/>
      <c r="CW236" s="24" t="n"/>
      <c r="CX236" s="24" t="n"/>
      <c r="CY236" s="24" t="n"/>
      <c r="CZ236" s="24" t="n"/>
      <c r="DA236" s="24" t="n"/>
      <c r="DB236" s="24" t="n"/>
      <c r="DC236" s="24" t="n"/>
      <c r="DD236" s="24" t="n"/>
      <c r="DE236" s="24" t="n"/>
      <c r="DF236" s="24" t="n"/>
      <c r="DG236" s="24" t="n"/>
      <c r="DH236" s="24" t="n"/>
      <c r="DI236" s="24" t="n"/>
      <c r="DJ236" s="24" t="inlineStr">
        <is>
          <t>0.519231</t>
        </is>
      </c>
      <c r="DK236" s="24" t="n"/>
      <c r="DL236" s="24" t="n"/>
      <c r="DM236" s="24" t="n"/>
      <c r="DN236" s="24" t="n"/>
      <c r="DO236" s="24" t="n"/>
      <c r="DP236" s="24" t="n"/>
      <c r="DQ236" s="24" t="inlineStr">
        <is>
          <t>{"artifact_hash": "1d168f11d221cd3c", "event_id": "401864500", "event_start_utc": "2026-09-13T02:30Z", "features": {"altitude_fatigue_penalty": 0.56, "away_team": "Montana State Bobcats", "efficiency_gap": 2.727, "elo_away": 1539.9, "elo_home": 1415.9, "elo_home_win_prob": 0.4159, "event_id": "401864500", "game_start_utc": "2026-09-13T02:30Z", "home_field_advantage_points": 2.8, "home_team": "Nevada Wolf Pack", "is_dome": false, "is_fbs_vs_fcs": true, "is_neutral_site": false, "projected_away_points": 27.5, "projected_home_points": 25.1, "projected_margin_home": -2.4, "projected_possessions": 12.4, "projected_total": 52.7, "stadium_elevation_ft": 4610, "travel_distance_miles": 613.0, "uncertainty": 0.25, "weather_total_adjustment": 0.0}, "historical_source_observation_times_verified": false, "inference_inputs": {"engine_source_sha256": "449ba2f0e86fa9c445730076a0e0bf100fb4914620be53c75c6f3bfe24298f3f", "mu_away": 27.5, "mu_home": 25.1,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123864440528183444736664796356357188606}, "uinteger": 0}, "spread_home_line": 4.0, "total_line": 51.5}, "market_type": "spread", "model_version": "cfb-spread-v1", "observed_at_utc": "2026-09-12T22:41:47.836186+00:00", "probabilities": {"away": 0.441533, "home": 0.534333, "push": 0.024133}, "replay_scope": "Full precision score means, exact engine parameters and original RNG state; upstream feature construction not certified.", "schema": "cfb-joint-replay-v1", "snapshot_hash": "a9fe8e31edeb5ea45eee362b8ca4e050712e53b5afd06ad2565be205f7b8f723", "sport": "NCAAF"}</t>
        </is>
      </c>
    </row>
    <row r="237" ht="36" customHeight="1">
      <c r="A237" s="24" t="inlineStr">
        <is>
          <t>8bd24239414e4591</t>
        </is>
      </c>
      <c r="B237" s="24" t="inlineStr">
        <is>
          <t>2026-09-12T22:41:47.836186Z</t>
        </is>
      </c>
      <c r="C237" s="24" t="inlineStr">
        <is>
          <t>2026-09-13T02:30Z</t>
        </is>
      </c>
      <c r="D237" s="24" t="inlineStr">
        <is>
          <t>401864500</t>
        </is>
      </c>
      <c r="E237" s="24" t="inlineStr">
        <is>
          <t>NCAAF</t>
        </is>
      </c>
      <c r="F237" s="24" t="inlineStr">
        <is>
          <t>Montana State Bobcats</t>
        </is>
      </c>
      <c r="G237" s="24" t="inlineStr">
        <is>
          <t>Nevada Wolf Pack</t>
        </is>
      </c>
      <c r="H237" s="24" t="inlineStr">
        <is>
          <t>total</t>
        </is>
      </c>
      <c r="I237" s="24" t="inlineStr">
        <is>
          <t>under</t>
        </is>
      </c>
      <c r="J237" s="25" t="n">
        <v>51.5</v>
      </c>
      <c r="K237" s="24" t="inlineStr">
        <is>
          <t>espn_consensus</t>
        </is>
      </c>
      <c r="L237" s="26" t="n">
        <v>-112</v>
      </c>
      <c r="M237" s="27" t="n">
        <v>1.892857</v>
      </c>
      <c r="N237" s="28" t="n">
        <v>0.528302</v>
      </c>
      <c r="O237" s="28" t="n">
        <v>0.502733</v>
      </c>
      <c r="P237" s="28" t="n">
        <v>0.25</v>
      </c>
      <c r="Q237" s="28" t="n">
        <v>-0.025569</v>
      </c>
      <c r="R237" s="26" t="n">
        <v>0</v>
      </c>
      <c r="S237" s="29" t="n">
        <v>1</v>
      </c>
      <c r="T237" s="24" t="inlineStr">
        <is>
          <t>cfb-total-v1</t>
        </is>
      </c>
      <c r="U237" s="24" t="inlineStr">
        <is>
          <t>settled</t>
        </is>
      </c>
      <c r="V237" s="24" t="inlineStr">
        <is>
          <t>win</t>
        </is>
      </c>
      <c r="W237" s="26" t="n">
        <v>20</v>
      </c>
      <c r="X237" s="26" t="n">
        <v>7</v>
      </c>
      <c r="Y237" s="25" t="n"/>
      <c r="Z237" s="26" t="n"/>
      <c r="AA237" s="28" t="n"/>
      <c r="AB237" s="28" t="n"/>
      <c r="AC237" s="30" t="n">
        <v>0.8929</v>
      </c>
      <c r="AD237" s="24" t="inlineStr">
        <is>
          <t>2026-09-13T10:00:25.538078Z</t>
        </is>
      </c>
      <c r="AE237" s="31" t="inlineStr">
        <is>
          <t>Projected total 52.7 pts (Weather adj: +0.0 pts). Total line 51.5 -&gt; P(Over)=0.497, P(Under)=0.503, P(Push)=0.000.</t>
        </is>
      </c>
      <c r="AF237" s="31" t="inlineStr">
        <is>
          <t>College football model; multi-market (moneyline, spread, total).</t>
        </is>
      </c>
      <c r="AG237" s="24" t="inlineStr">
        <is>
          <t>not_applicable</t>
        </is>
      </c>
      <c r="AH237" s="24" t="n"/>
      <c r="AI237" s="31" t="n"/>
      <c r="AJ237" s="31" t="n"/>
      <c r="AK237" s="24" t="inlineStr">
        <is>
          <t>paper_call</t>
        </is>
      </c>
      <c r="AL237" s="26" t="n">
        <v>4</v>
      </c>
      <c r="AM237" s="24" t="inlineStr">
        <is>
          <t>RESEARCH_OBSERVATION</t>
        </is>
      </c>
      <c r="AN237" s="24" t="inlineStr">
        <is>
          <t>CALL</t>
        </is>
      </c>
      <c r="AO237" s="24" t="inlineStr">
        <is>
          <t>PAPER_CALL_LOW_EDGE</t>
        </is>
      </c>
      <c r="AP237" s="24" t="inlineStr">
        <is>
          <t>Montana State Bobcats</t>
        </is>
      </c>
      <c r="AQ237" s="24" t="inlineStr">
        <is>
          <t>Montana State Bobcats</t>
        </is>
      </c>
      <c r="AR237" s="24" t="inlineStr">
        <is>
          <t>Montana State Bobcats</t>
        </is>
      </c>
      <c r="AS237" s="24" t="inlineStr">
        <is>
          <t>Nevada Wolf Pack</t>
        </is>
      </c>
      <c r="AT237" s="24" t="inlineStr">
        <is>
          <t>Nevada Wolf Pack</t>
        </is>
      </c>
      <c r="AU237" s="24" t="inlineStr">
        <is>
          <t>Nevada Wolf Pack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shadow_qualified</t>
        </is>
      </c>
      <c r="BA237" s="24" t="inlineStr">
        <is>
          <t>1d168f11d221cd3c</t>
        </is>
      </c>
      <c r="BB237" s="24" t="inlineStr">
        <is>
          <t>cfb_key_number_engine</t>
        </is>
      </c>
      <c r="BC237" s="24" t="inlineStr">
        <is>
          <t>cfb-total-v1</t>
        </is>
      </c>
      <c r="BD237" s="24" t="inlineStr">
        <is>
          <t>1d168f11d221cd3c</t>
        </is>
      </c>
      <c r="BE237" s="24" t="inlineStr">
        <is>
          <t>cfb-v1</t>
        </is>
      </c>
      <c r="BF237" s="24" t="inlineStr">
        <is>
          <t>1</t>
        </is>
      </c>
      <c r="BG237" s="24" t="inlineStr">
        <is>
          <t>1d168f11d221cd3c</t>
        </is>
      </c>
      <c r="BH237" s="24" t="inlineStr">
        <is>
          <t>2026-09-12T22:41:47.836186+00:00</t>
        </is>
      </c>
      <c r="BI237" s="24" t="inlineStr">
        <is>
          <t>["same_event","same_team_same_day","same_league_same_day"]</t>
        </is>
      </c>
      <c r="BJ237" s="25" t="n">
        <v>51.5</v>
      </c>
      <c r="BK237" s="26" t="n">
        <v>-112</v>
      </c>
      <c r="BL237" s="27" t="n">
        <v>1.892857</v>
      </c>
      <c r="BM237" s="28" t="n">
        <v>0.528302</v>
      </c>
      <c r="BN237" s="28" t="n"/>
      <c r="BO237" s="28" t="n"/>
      <c r="BP237" s="25" t="n"/>
      <c r="BQ237" s="27" t="n"/>
      <c r="BR237" s="28" t="n"/>
      <c r="BS237" s="28" t="n"/>
      <c r="BT237" s="28" t="n"/>
      <c r="BU237" s="25" t="n"/>
      <c r="BV237" s="29" t="n"/>
      <c r="BW237" s="24" t="n"/>
      <c r="BX237" s="30" t="n">
        <v>1</v>
      </c>
      <c r="BY237" s="27" t="n">
        <v>0.892857</v>
      </c>
      <c r="BZ237" s="24" t="inlineStr">
        <is>
          <t>2026-09-13T10:00:25.538078Z</t>
        </is>
      </c>
      <c r="CA237" s="31" t="inlineStr">
        <is>
          <t>fixed one-unit hypothetical scoring; no real exposure or execution</t>
        </is>
      </c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False</t>
        </is>
      </c>
      <c r="CT237" s="24" t="n"/>
      <c r="CU237" s="24" t="n"/>
      <c r="CV237" s="24" t="n"/>
      <c r="CW237" s="24" t="n"/>
      <c r="CX237" s="24" t="n"/>
      <c r="CY237" s="24" t="n"/>
      <c r="CZ237" s="24" t="n"/>
      <c r="DA237" s="24" t="n"/>
      <c r="DB237" s="24" t="n"/>
      <c r="DC237" s="24" t="n"/>
      <c r="DD237" s="24" t="n"/>
      <c r="DE237" s="24" t="n"/>
      <c r="DF237" s="24" t="n"/>
      <c r="DG237" s="24" t="n"/>
      <c r="DH237" s="24" t="n"/>
      <c r="DI237" s="24" t="n"/>
      <c r="DJ237" s="24" t="inlineStr">
        <is>
          <t>0.528302</t>
        </is>
      </c>
      <c r="DK237" s="24" t="n"/>
      <c r="DL237" s="24" t="n"/>
      <c r="DM237" s="24" t="n"/>
      <c r="DN237" s="24" t="n"/>
      <c r="DO237" s="24" t="n"/>
      <c r="DP237" s="24" t="n"/>
      <c r="DQ237" s="24" t="inlineStr">
        <is>
          <t>{"artifact_hash": "1d168f11d221cd3c", "event_id": "401864500", "event_start_utc": "2026-09-13T02:30Z", "features": {"altitude_fatigue_penalty": 0.56, "away_team": "Montana State Bobcats", "efficiency_gap": 2.727, "elo_away": 1539.9, "elo_home": 1415.9, "elo_home_win_prob": 0.4159, "event_id": "401864500", "game_start_utc": "2026-09-13T02:30Z", "home_field_advantage_points": 2.8, "home_team": "Nevada Wolf Pack", "is_dome": false, "is_fbs_vs_fcs": true, "is_neutral_site": false, "projected_away_points": 27.5, "projected_home_points": 25.1, "projected_margin_home": -2.4, "projected_possessions": 12.4, "projected_total": 52.7, "stadium_elevation_ft": 4610, "travel_distance_miles": 613.0, "uncertainty": 0.25, "weather_total_adjustment": 0.0}, "historical_source_observation_times_verified": false, "inference_inputs": {"engine_source_sha256": "449ba2f0e86fa9c445730076a0e0bf100fb4914620be53c75c6f3bfe24298f3f", "mu_away": 27.5, "mu_home": 25.1,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123864440528183444736664796356357188606}, "uinteger": 0}, "spread_home_line": 4.0, "total_line": 51.5}, "market_type": "total", "model_version": "cfb-total-v1", "observed_at_utc": "2026-09-12T22:41:47.836186+00:00", "probabilities": {"over": 0.497267, "push": 0.0, "under": 0.502733}, "replay_scope": "Full precision score means, exact engine parameters and original RNG state; upstream feature construction not certified.", "schema": "cfb-joint-replay-v1", "snapshot_hash": "c296d26882b475a06889d94061614af9f574b02c9483786af8b61d8eac2de311", "sport": "NCAAF"}</t>
        </is>
      </c>
    </row>
    <row r="238" ht="36" customHeight="1">
      <c r="A238" s="24" t="inlineStr">
        <is>
          <t>e32be1b19ce14978</t>
        </is>
      </c>
      <c r="B238" s="24" t="inlineStr">
        <is>
          <t>2026-09-12T22:41:47.836186Z</t>
        </is>
      </c>
      <c r="C238" s="24" t="inlineStr">
        <is>
          <t>2026-09-13T03:00Z</t>
        </is>
      </c>
      <c r="D238" s="24" t="inlineStr">
        <is>
          <t>401858445</t>
        </is>
      </c>
      <c r="E238" s="24" t="inlineStr">
        <is>
          <t>NCAAF</t>
        </is>
      </c>
      <c r="F238" s="24" t="inlineStr">
        <is>
          <t>Louisiana Ragin' Cajuns</t>
        </is>
      </c>
      <c r="G238" s="24" t="inlineStr">
        <is>
          <t>USC Trojans</t>
        </is>
      </c>
      <c r="H238" s="24" t="inlineStr">
        <is>
          <t>moneyline</t>
        </is>
      </c>
      <c r="I238" s="24" t="inlineStr">
        <is>
          <t>home</t>
        </is>
      </c>
      <c r="J238" s="25" t="n"/>
      <c r="K238" s="24" t="inlineStr">
        <is>
          <t>espn_consensus</t>
        </is>
      </c>
      <c r="L238" s="26" t="n">
        <v>-5000</v>
      </c>
      <c r="M238" s="27" t="n">
        <v>1.02</v>
      </c>
      <c r="N238" s="28" t="n">
        <v>0.980392</v>
      </c>
      <c r="O238" s="28" t="n">
        <v>0.808117</v>
      </c>
      <c r="P238" s="28" t="n">
        <v>0.18</v>
      </c>
      <c r="Q238" s="28" t="n">
        <v>-0.172275</v>
      </c>
      <c r="R238" s="26" t="n">
        <v>0</v>
      </c>
      <c r="S238" s="29" t="n">
        <v>1</v>
      </c>
      <c r="T238" s="24" t="inlineStr">
        <is>
          <t>college-football-v1</t>
        </is>
      </c>
      <c r="U238" s="24" t="inlineStr">
        <is>
          <t>settled</t>
        </is>
      </c>
      <c r="V238" s="24" t="inlineStr">
        <is>
          <t>win</t>
        </is>
      </c>
      <c r="W238" s="26" t="n">
        <v>30</v>
      </c>
      <c r="X238" s="26" t="n">
        <v>49</v>
      </c>
      <c r="Y238" s="25" t="n"/>
      <c r="Z238" s="26" t="n"/>
      <c r="AA238" s="28" t="n"/>
      <c r="AB238" s="28" t="n"/>
      <c r="AC238" s="30" t="n">
        <v>0.02</v>
      </c>
      <c r="AD238" s="24" t="inlineStr">
        <is>
          <t>2026-09-13T10:00:25.907243Z</t>
        </is>
      </c>
      <c r="AE238" s="31" t="inlineStr">
        <is>
          <t>CFB Joint Model (negative_binomial): proj score Louisiana Ragin' Cajuns 20.2 @ USC Trojans 34.4 (Margin +14.2). Possessions: 12.4, HFA: +2.8 pts.</t>
        </is>
      </c>
      <c r="AF238" s="31" t="inlineStr">
        <is>
          <t>College football model; multi-market (moneyline, spread, total).</t>
        </is>
      </c>
      <c r="AG238" s="24" t="inlineStr">
        <is>
          <t>not_applicable</t>
        </is>
      </c>
      <c r="AH238" s="24" t="n"/>
      <c r="AI238" s="31" t="n"/>
      <c r="AJ238" s="31" t="n"/>
      <c r="AK238" s="24" t="inlineStr">
        <is>
          <t>paper_call</t>
        </is>
      </c>
      <c r="AL238" s="26" t="n">
        <v>4</v>
      </c>
      <c r="AM238" s="24" t="inlineStr">
        <is>
          <t>RESEARCH_OBSERVATION</t>
        </is>
      </c>
      <c r="AN238" s="24" t="inlineStr">
        <is>
          <t>CALL</t>
        </is>
      </c>
      <c r="AO238" s="24" t="inlineStr">
        <is>
          <t>PAPER_CALL_LOW_EDGE</t>
        </is>
      </c>
      <c r="AP238" s="24" t="inlineStr">
        <is>
          <t>Louisiana Ragin' Cajuns</t>
        </is>
      </c>
      <c r="AQ238" s="24" t="inlineStr">
        <is>
          <t>Louisiana Ragin' Cajuns</t>
        </is>
      </c>
      <c r="AR238" s="24" t="inlineStr">
        <is>
          <t>Louisiana Ragin' Cajuns</t>
        </is>
      </c>
      <c r="AS238" s="24" t="inlineStr">
        <is>
          <t>USC Trojans</t>
        </is>
      </c>
      <c r="AT238" s="24" t="inlineStr">
        <is>
          <t>USC Trojans</t>
        </is>
      </c>
      <c r="AU238" s="24" t="inlineStr">
        <is>
          <t>USC Trojans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shadow_qualified</t>
        </is>
      </c>
      <c r="BA238" s="24" t="inlineStr">
        <is>
          <t>1d168f11d221cd3c</t>
        </is>
      </c>
      <c r="BB238" s="24" t="inlineStr">
        <is>
          <t>cfb_key_number_engine</t>
        </is>
      </c>
      <c r="BC238" s="24" t="inlineStr">
        <is>
          <t>college-football-v1</t>
        </is>
      </c>
      <c r="BD238" s="24" t="inlineStr">
        <is>
          <t>1d168f11d221cd3c</t>
        </is>
      </c>
      <c r="BE238" s="24" t="inlineStr">
        <is>
          <t>cfb-v1</t>
        </is>
      </c>
      <c r="BF238" s="24" t="inlineStr">
        <is>
          <t>1</t>
        </is>
      </c>
      <c r="BG238" s="24" t="inlineStr">
        <is>
          <t>1d168f11d221cd3c</t>
        </is>
      </c>
      <c r="BH238" s="24" t="inlineStr">
        <is>
          <t>2026-09-12T22:41:47.836186+00:00</t>
        </is>
      </c>
      <c r="BI238" s="24" t="inlineStr">
        <is>
          <t>["same_event","same_team_same_day","same_league_same_day"]</t>
        </is>
      </c>
      <c r="BJ238" s="25" t="n"/>
      <c r="BK238" s="26" t="n">
        <v>-5000</v>
      </c>
      <c r="BL238" s="27" t="n">
        <v>1.02</v>
      </c>
      <c r="BM238" s="28" t="n">
        <v>0.980392</v>
      </c>
      <c r="BN238" s="28" t="n"/>
      <c r="BO238" s="28" t="n"/>
      <c r="BP238" s="25" t="n"/>
      <c r="BQ238" s="27" t="n"/>
      <c r="BR238" s="28" t="n"/>
      <c r="BS238" s="28" t="n"/>
      <c r="BT238" s="28" t="n"/>
      <c r="BU238" s="25" t="n"/>
      <c r="BV238" s="29" t="n"/>
      <c r="BW238" s="24" t="n"/>
      <c r="BX238" s="30" t="n">
        <v>1</v>
      </c>
      <c r="BY238" s="27" t="n">
        <v>0.02</v>
      </c>
      <c r="BZ238" s="24" t="inlineStr">
        <is>
          <t>2026-09-13T10:00:25.907243Z</t>
        </is>
      </c>
      <c r="CA238" s="31" t="inlineStr">
        <is>
          <t>fixed one-unit hypothetical scoring; no real exposure or execution</t>
        </is>
      </c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inlineStr">
        <is>
          <t>False</t>
        </is>
      </c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/>
      <c r="DH238" s="24" t="n"/>
      <c r="DI238" s="24" t="n"/>
      <c r="DJ238" s="24" t="inlineStr">
        <is>
          <t>0.980392</t>
        </is>
      </c>
      <c r="DK238" s="24" t="n"/>
      <c r="DL238" s="24" t="n"/>
      <c r="DM238" s="24" t="n"/>
      <c r="DN238" s="24" t="n"/>
      <c r="DO238" s="24" t="n"/>
      <c r="DP238" s="24" t="n"/>
      <c r="DQ238" s="24" t="inlineStr">
        <is>
          <t>{"artifact_hash": "1d168f11d221cd3c", "event_id": "401858445", "event_start_utc": "2026-09-13T03:00Z", "features": {"altitude_fatigue_penalty": 0.0, "away_team": "Louisiana Ragin' Cajuns", "efficiency_gap": 1.852, "elo_away": 1442.3, "elo_home": 1724.5, "elo_home_win_prob": 0.8806, "event_id": "401858445", "game_start_utc": "2026-09-13T03:00Z", "home_field_advantage_points": 2.8, "home_team": "USC Trojans", "is_dome": false, "is_fbs_vs_fcs": false, "is_neutral_site": false, "projected_away_points": 20.2, "projected_home_points": 34.4, "projected_margin_home": 14.2, "projected_possessions": 12.4, "projected_total": 54.7, "stadium_elevation_ft": 210, "travel_distance_miles": 1554.0, "uncertainty": 0.18, "weather_total_adjustment": 0.0}, "historical_source_observation_times_verified": false, "inference_inputs": {"engine_source_sha256": "449ba2f0e86fa9c445730076a0e0bf100fb4914620be53c75c6f3bfe24298f3f", "mu_away": 20.2, "mu_home": 34.4,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66745018058674794680262095806127880991}, "uinteger": 0}, "spread_home_line": -30.5, "total_line": 58.5}, "market_type": "moneyline", "model_version": "college-football-v1", "observed_at_utc": "2026-09-12T22:41:47.836186+00:00", "probabilities": {"away": 0.191883, "home": 0.808117}, "replay_scope": "Full precision score means, exact engine parameters and original RNG state; upstream feature construction not certified.", "schema": "cfb-joint-replay-v1", "snapshot_hash": "e615f77144caf6f705953597b6aeb63c70f16e39e6c4ee4226c5d1a9a6c6f02a", "sport": "NCAAF"}</t>
        </is>
      </c>
    </row>
    <row r="239" ht="36" customHeight="1">
      <c r="A239" s="24" t="inlineStr">
        <is>
          <t>c20801bb402b4877</t>
        </is>
      </c>
      <c r="B239" s="24" t="inlineStr">
        <is>
          <t>2026-09-12T22:41:47.836186Z</t>
        </is>
      </c>
      <c r="C239" s="24" t="inlineStr">
        <is>
          <t>2026-09-13T03:00Z</t>
        </is>
      </c>
      <c r="D239" s="24" t="inlineStr">
        <is>
          <t>401858445</t>
        </is>
      </c>
      <c r="E239" s="24" t="inlineStr">
        <is>
          <t>NCAAF</t>
        </is>
      </c>
      <c r="F239" s="24" t="inlineStr">
        <is>
          <t>Louisiana Ragin' Cajuns</t>
        </is>
      </c>
      <c r="G239" s="24" t="inlineStr">
        <is>
          <t>USC Trojans</t>
        </is>
      </c>
      <c r="H239" s="24" t="inlineStr">
        <is>
          <t>spread</t>
        </is>
      </c>
      <c r="I239" s="24" t="inlineStr">
        <is>
          <t>away</t>
        </is>
      </c>
      <c r="J239" s="25" t="n">
        <v>30.5</v>
      </c>
      <c r="K239" s="24" t="inlineStr">
        <is>
          <t>espn_consensus</t>
        </is>
      </c>
      <c r="L239" s="26" t="n">
        <v>-105</v>
      </c>
      <c r="M239" s="27" t="n">
        <v>1.952381</v>
      </c>
      <c r="N239" s="28" t="n">
        <v>0.512195</v>
      </c>
      <c r="O239" s="28" t="n">
        <v>0.845</v>
      </c>
      <c r="P239" s="28" t="n">
        <v>0.18</v>
      </c>
      <c r="Q239" s="28" t="n">
        <v>0.332805</v>
      </c>
      <c r="R239" s="26" t="n">
        <v>100</v>
      </c>
      <c r="S239" s="29" t="n">
        <v>2</v>
      </c>
      <c r="T239" s="24" t="inlineStr">
        <is>
          <t>cfb-spread-v1</t>
        </is>
      </c>
      <c r="U239" s="24" t="inlineStr">
        <is>
          <t>settled</t>
        </is>
      </c>
      <c r="V239" s="24" t="inlineStr">
        <is>
          <t>win</t>
        </is>
      </c>
      <c r="W239" s="26" t="n">
        <v>30</v>
      </c>
      <c r="X239" s="26" t="n">
        <v>49</v>
      </c>
      <c r="Y239" s="25" t="n"/>
      <c r="Z239" s="26" t="n"/>
      <c r="AA239" s="28" t="n"/>
      <c r="AB239" s="28" t="n"/>
      <c r="AC239" s="30" t="n">
        <v>1.9048</v>
      </c>
      <c r="AD239" s="24" t="inlineStr">
        <is>
          <t>2026-09-13T10:00:26.239561Z</t>
        </is>
      </c>
      <c r="AE239" s="31" t="inlineStr">
        <is>
          <t>Projected home margin +14.2 pts. Spread: Home -30.5 / Away +30.5 -&gt; P(Away cover)=0.845, P(Home cover)=0.155, P(Push)=0.000.</t>
        </is>
      </c>
      <c r="AF239" s="31" t="inlineStr">
        <is>
          <t>College football model; multi-market (moneyline, spread, total).</t>
        </is>
      </c>
      <c r="AG239" s="24" t="inlineStr">
        <is>
          <t>not_applicable</t>
        </is>
      </c>
      <c r="AH239" s="24" t="n"/>
      <c r="AI239" s="31" t="n"/>
      <c r="AJ239" s="31" t="n"/>
      <c r="AK239" s="24" t="inlineStr">
        <is>
          <t>model_qualified</t>
        </is>
      </c>
      <c r="AL239" s="26" t="n">
        <v>4</v>
      </c>
      <c r="AM239" s="24" t="inlineStr">
        <is>
          <t>QUALIFIED_SHADOW_CALL</t>
        </is>
      </c>
      <c r="AN239" s="24" t="inlineStr">
        <is>
          <t>CALL</t>
        </is>
      </c>
      <c r="AO239" s="24" t="inlineStr">
        <is>
          <t>QUALIFIED</t>
        </is>
      </c>
      <c r="AP239" s="24" t="inlineStr">
        <is>
          <t>Louisiana Ragin' Cajuns</t>
        </is>
      </c>
      <c r="AQ239" s="24" t="inlineStr">
        <is>
          <t>Louisiana Ragin' Cajuns</t>
        </is>
      </c>
      <c r="AR239" s="24" t="inlineStr">
        <is>
          <t>Louisiana Ragin' Cajuns</t>
        </is>
      </c>
      <c r="AS239" s="24" t="inlineStr">
        <is>
          <t>USC Trojans</t>
        </is>
      </c>
      <c r="AT239" s="24" t="inlineStr">
        <is>
          <t>USC Trojans</t>
        </is>
      </c>
      <c r="AU239" s="24" t="inlineStr">
        <is>
          <t>USC Trojans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shadow_qualified</t>
        </is>
      </c>
      <c r="BA239" s="24" t="inlineStr">
        <is>
          <t>1d168f11d221cd3c</t>
        </is>
      </c>
      <c r="BB239" s="24" t="inlineStr">
        <is>
          <t>cfb_key_number_engine</t>
        </is>
      </c>
      <c r="BC239" s="24" t="inlineStr">
        <is>
          <t>cfb-spread-v1</t>
        </is>
      </c>
      <c r="BD239" s="24" t="inlineStr">
        <is>
          <t>1d168f11d221cd3c</t>
        </is>
      </c>
      <c r="BE239" s="24" t="inlineStr">
        <is>
          <t>cfb-v1</t>
        </is>
      </c>
      <c r="BF239" s="24" t="inlineStr">
        <is>
          <t>1</t>
        </is>
      </c>
      <c r="BG239" s="24" t="inlineStr">
        <is>
          <t>1d168f11d221cd3c</t>
        </is>
      </c>
      <c r="BH239" s="24" t="inlineStr">
        <is>
          <t>2026-09-12T22:41:47.836186+00:00</t>
        </is>
      </c>
      <c r="BI239" s="24" t="inlineStr">
        <is>
          <t>["same_event","same_team_same_day","same_league_same_day"]</t>
        </is>
      </c>
      <c r="BJ239" s="25" t="n">
        <v>30.5</v>
      </c>
      <c r="BK239" s="26" t="n">
        <v>-105</v>
      </c>
      <c r="BL239" s="27" t="n">
        <v>1.952381</v>
      </c>
      <c r="BM239" s="28" t="n">
        <v>0.512195</v>
      </c>
      <c r="BN239" s="28" t="n"/>
      <c r="BO239" s="28" t="n"/>
      <c r="BP239" s="25" t="n"/>
      <c r="BQ239" s="27" t="n"/>
      <c r="BR239" s="28" t="n"/>
      <c r="BS239" s="28" t="n"/>
      <c r="BT239" s="28" t="n"/>
      <c r="BU239" s="25" t="n"/>
      <c r="BV239" s="29" t="n"/>
      <c r="BW239" s="24" t="n"/>
      <c r="BX239" s="30" t="n"/>
      <c r="BY239" s="27" t="n"/>
      <c r="BZ239" s="24" t="n"/>
      <c r="CA239" s="31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True</t>
        </is>
      </c>
      <c r="CT239" s="24" t="n"/>
      <c r="CU239" s="24" t="n"/>
      <c r="CV239" s="24" t="n"/>
      <c r="CW239" s="24" t="n"/>
      <c r="CX239" s="24" t="n"/>
      <c r="CY239" s="24" t="n"/>
      <c r="CZ239" s="24" t="n"/>
      <c r="DA239" s="24" t="n"/>
      <c r="DB239" s="24" t="n"/>
      <c r="DC239" s="24" t="n"/>
      <c r="DD239" s="24" t="n"/>
      <c r="DE239" s="24" t="n"/>
      <c r="DF239" s="24" t="n"/>
      <c r="DG239" s="24" t="n"/>
      <c r="DH239" s="24" t="n"/>
      <c r="DI239" s="24" t="n"/>
      <c r="DJ239" s="24" t="inlineStr">
        <is>
          <t>0.512195</t>
        </is>
      </c>
      <c r="DK239" s="24" t="n"/>
      <c r="DL239" s="24" t="n"/>
      <c r="DM239" s="24" t="n"/>
      <c r="DN239" s="24" t="n"/>
      <c r="DO239" s="24" t="n"/>
      <c r="DP239" s="24" t="n"/>
      <c r="DQ239" s="24" t="inlineStr">
        <is>
          <t>{"artifact_hash": "1d168f11d221cd3c", "event_id": "401858445", "event_start_utc": "2026-09-13T03:00Z", "features": {"altitude_fatigue_penalty": 0.0, "away_team": "Louisiana Ragin' Cajuns", "efficiency_gap": 1.852, "elo_away": 1442.3, "elo_home": 1724.5, "elo_home_win_prob": 0.8806, "event_id": "401858445", "game_start_utc": "2026-09-13T03:00Z", "home_field_advantage_points": 2.8, "home_team": "USC Trojans", "is_dome": false, "is_fbs_vs_fcs": false, "is_neutral_site": false, "projected_away_points": 20.2, "projected_home_points": 34.4, "projected_margin_home": 14.2, "projected_possessions": 12.4, "projected_total": 54.7, "stadium_elevation_ft": 210, "travel_distance_miles": 1554.0, "uncertainty": 0.18, "weather_total_adjustment": 0.0}, "historical_source_observation_times_verified": false, "inference_inputs": {"engine_source_sha256": "449ba2f0e86fa9c445730076a0e0bf100fb4914620be53c75c6f3bfe24298f3f", "mu_away": 20.2, "mu_home": 34.4,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66745018058674794680262095806127880991}, "uinteger": 0}, "spread_home_line": -30.5, "total_line": 58.5}, "market_type": "spread", "model_version": "cfb-spread-v1", "observed_at_utc": "2026-09-12T22:41:47.836186+00:00", "probabilities": {"away": 0.845, "home": 0.155, "push": 0.0}, "replay_scope": "Full precision score means, exact engine parameters and original RNG state; upstream feature construction not certified.", "schema": "cfb-joint-replay-v1", "snapshot_hash": "df7aee27f8ba399a710f4be6599cafe4b51cfaa78cb48e51293bcc9fe938a4c1", "sport": "NCAAF"}</t>
        </is>
      </c>
    </row>
    <row r="240" ht="36" customHeight="1">
      <c r="A240" s="24" t="inlineStr">
        <is>
          <t>0b67104cec134f89</t>
        </is>
      </c>
      <c r="B240" s="24" t="inlineStr">
        <is>
          <t>2026-09-12T22:41:47.836186Z</t>
        </is>
      </c>
      <c r="C240" s="24" t="inlineStr">
        <is>
          <t>2026-09-13T03:00Z</t>
        </is>
      </c>
      <c r="D240" s="24" t="inlineStr">
        <is>
          <t>401858445</t>
        </is>
      </c>
      <c r="E240" s="24" t="inlineStr">
        <is>
          <t>NCAAF</t>
        </is>
      </c>
      <c r="F240" s="24" t="inlineStr">
        <is>
          <t>Louisiana Ragin' Cajuns</t>
        </is>
      </c>
      <c r="G240" s="24" t="inlineStr">
        <is>
          <t>USC Trojans</t>
        </is>
      </c>
      <c r="H240" s="24" t="inlineStr">
        <is>
          <t>total</t>
        </is>
      </c>
      <c r="I240" s="24" t="inlineStr">
        <is>
          <t>under</t>
        </is>
      </c>
      <c r="J240" s="25" t="n">
        <v>58.5</v>
      </c>
      <c r="K240" s="24" t="inlineStr">
        <is>
          <t>espn_consensus</t>
        </is>
      </c>
      <c r="L240" s="26" t="n">
        <v>-110</v>
      </c>
      <c r="M240" s="27" t="n">
        <v>1.909091</v>
      </c>
      <c r="N240" s="28" t="n">
        <v>0.52381</v>
      </c>
      <c r="O240" s="28" t="n">
        <v>0.608067</v>
      </c>
      <c r="P240" s="28" t="n">
        <v>0.18</v>
      </c>
      <c r="Q240" s="28" t="n">
        <v>0.084257</v>
      </c>
      <c r="R240" s="26" t="n">
        <v>0</v>
      </c>
      <c r="S240" s="29" t="n">
        <v>1</v>
      </c>
      <c r="T240" s="24" t="inlineStr">
        <is>
          <t>cfb-total-v1</t>
        </is>
      </c>
      <c r="U240" s="24" t="inlineStr">
        <is>
          <t>settled</t>
        </is>
      </c>
      <c r="V240" s="24" t="inlineStr">
        <is>
          <t>loss</t>
        </is>
      </c>
      <c r="W240" s="26" t="n">
        <v>30</v>
      </c>
      <c r="X240" s="26" t="n">
        <v>49</v>
      </c>
      <c r="Y240" s="25" t="n"/>
      <c r="Z240" s="26" t="n"/>
      <c r="AA240" s="28" t="n"/>
      <c r="AB240" s="28" t="n"/>
      <c r="AC240" s="30" t="n">
        <v>-1</v>
      </c>
      <c r="AD240" s="24" t="inlineStr">
        <is>
          <t>2026-09-13T10:00:26.600341Z</t>
        </is>
      </c>
      <c r="AE240" s="31" t="inlineStr">
        <is>
          <t>Projected total 54.7 pts (Weather adj: +0.0 pts). Total line 58.5 -&gt; P(Over)=0.392, P(Under)=0.608, P(Push)=0.000.</t>
        </is>
      </c>
      <c r="AF240" s="31" t="inlineStr">
        <is>
          <t>College football model; multi-market (moneyline, spread, total).</t>
        </is>
      </c>
      <c r="AG240" s="24" t="inlineStr">
        <is>
          <t>review_required</t>
        </is>
      </c>
      <c r="AH240" s="24" t="n"/>
      <c r="AI240" s="31" t="n"/>
      <c r="AJ240" s="31" t="n"/>
      <c r="AK240" s="24" t="inlineStr">
        <is>
          <t>model_qualified</t>
        </is>
      </c>
      <c r="AL240" s="26" t="n">
        <v>4</v>
      </c>
      <c r="AM240" s="24" t="inlineStr">
        <is>
          <t>QUALIFIED_SHADOW_CALL</t>
        </is>
      </c>
      <c r="AN240" s="24" t="inlineStr">
        <is>
          <t>CALL</t>
        </is>
      </c>
      <c r="AO240" s="24" t="inlineStr">
        <is>
          <t>QUALIFIED</t>
        </is>
      </c>
      <c r="AP240" s="24" t="inlineStr">
        <is>
          <t>Louisiana Ragin' Cajuns</t>
        </is>
      </c>
      <c r="AQ240" s="24" t="inlineStr">
        <is>
          <t>Louisiana Ragin' Cajuns</t>
        </is>
      </c>
      <c r="AR240" s="24" t="inlineStr">
        <is>
          <t>Louisiana Ragin' Cajuns</t>
        </is>
      </c>
      <c r="AS240" s="24" t="inlineStr">
        <is>
          <t>USC Trojans</t>
        </is>
      </c>
      <c r="AT240" s="24" t="inlineStr">
        <is>
          <t>USC Trojans</t>
        </is>
      </c>
      <c r="AU240" s="24" t="inlineStr">
        <is>
          <t>USC Trojans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shadow_qualified</t>
        </is>
      </c>
      <c r="BA240" s="24" t="inlineStr">
        <is>
          <t>1d168f11d221cd3c</t>
        </is>
      </c>
      <c r="BB240" s="24" t="inlineStr">
        <is>
          <t>cfb_key_number_engine</t>
        </is>
      </c>
      <c r="BC240" s="24" t="inlineStr">
        <is>
          <t>cfb-total-v1</t>
        </is>
      </c>
      <c r="BD240" s="24" t="inlineStr">
        <is>
          <t>1d168f11d221cd3c</t>
        </is>
      </c>
      <c r="BE240" s="24" t="inlineStr">
        <is>
          <t>cfb-v1</t>
        </is>
      </c>
      <c r="BF240" s="24" t="inlineStr">
        <is>
          <t>1</t>
        </is>
      </c>
      <c r="BG240" s="24" t="inlineStr">
        <is>
          <t>1d168f11d221cd3c</t>
        </is>
      </c>
      <c r="BH240" s="24" t="inlineStr">
        <is>
          <t>2026-09-12T22:41:47.836186+00:00</t>
        </is>
      </c>
      <c r="BI240" s="24" t="inlineStr">
        <is>
          <t>["same_event","same_team_same_day","same_league_same_day"]</t>
        </is>
      </c>
      <c r="BJ240" s="25" t="n">
        <v>58.5</v>
      </c>
      <c r="BK240" s="26" t="n">
        <v>-110</v>
      </c>
      <c r="BL240" s="27" t="n">
        <v>1.909091</v>
      </c>
      <c r="BM240" s="28" t="n">
        <v>0.52381</v>
      </c>
      <c r="BN240" s="28" t="n"/>
      <c r="BO240" s="28" t="n"/>
      <c r="BP240" s="25" t="n"/>
      <c r="BQ240" s="27" t="n"/>
      <c r="BR240" s="28" t="n"/>
      <c r="BS240" s="28" t="n"/>
      <c r="BT240" s="28" t="n"/>
      <c r="BU240" s="25" t="n"/>
      <c r="BV240" s="29" t="n"/>
      <c r="BW240" s="24" t="n"/>
      <c r="BX240" s="30" t="n"/>
      <c r="BY240" s="27" t="n"/>
      <c r="BZ240" s="24" t="n"/>
      <c r="CA240" s="31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True</t>
        </is>
      </c>
      <c r="CT240" s="24" t="n"/>
      <c r="CU240" s="24" t="n"/>
      <c r="CV240" s="24" t="n"/>
      <c r="CW240" s="24" t="n"/>
      <c r="CX240" s="24" t="n"/>
      <c r="CY240" s="24" t="n"/>
      <c r="CZ240" s="24" t="n"/>
      <c r="DA240" s="24" t="n"/>
      <c r="DB240" s="24" t="n"/>
      <c r="DC240" s="24" t="n"/>
      <c r="DD240" s="24" t="n"/>
      <c r="DE240" s="24" t="n"/>
      <c r="DF240" s="24" t="n"/>
      <c r="DG240" s="24" t="n"/>
      <c r="DH240" s="24" t="n"/>
      <c r="DI240" s="24" t="n"/>
      <c r="DJ240" s="24" t="inlineStr">
        <is>
          <t>0.52381</t>
        </is>
      </c>
      <c r="DK240" s="24" t="n"/>
      <c r="DL240" s="24" t="n"/>
      <c r="DM240" s="24" t="n"/>
      <c r="DN240" s="24" t="n"/>
      <c r="DO240" s="24" t="n"/>
      <c r="DP240" s="24" t="n"/>
      <c r="DQ240" s="24" t="inlineStr">
        <is>
          <t>{"artifact_hash": "1d168f11d221cd3c", "event_id": "401858445", "event_start_utc": "2026-09-13T03:00Z", "features": {"altitude_fatigue_penalty": 0.0, "away_team": "Louisiana Ragin' Cajuns", "efficiency_gap": 1.852, "elo_away": 1442.3, "elo_home": 1724.5, "elo_home_win_prob": 0.8806, "event_id": "401858445", "game_start_utc": "2026-09-13T03:00Z", "home_field_advantage_points": 2.8, "home_team": "USC Trojans", "is_dome": false, "is_fbs_vs_fcs": false, "is_neutral_site": false, "projected_away_points": 20.2, "projected_home_points": 34.4, "projected_margin_home": 14.2, "projected_possessions": 12.4, "projected_total": 54.7, "stadium_elevation_ft": 210, "travel_distance_miles": 1554.0, "uncertainty": 0.18, "weather_total_adjustment": 0.0}, "historical_source_observation_times_verified": false, "inference_inputs": {"engine_source_sha256": "449ba2f0e86fa9c445730076a0e0bf100fb4914620be53c75c6f3bfe24298f3f", "mu_away": 20.2, "mu_home": 34.4,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66745018058674794680262095806127880991}, "uinteger": 0}, "spread_home_line": -30.5, "total_line": 58.5}, "market_type": "total", "model_version": "cfb-total-v1", "observed_at_utc": "2026-09-12T22:41:47.836186+00:00", "probabilities": {"over": 0.391933, "push": 0.0, "under": 0.608067}, "replay_scope": "Full precision score means, exact engine parameters and original RNG state; upstream feature construction not certified.", "schema": "cfb-joint-replay-v1", "snapshot_hash": "ed423fa18d0dfd8f90429463e81c01d9357be349ec95ae6e06edf8cf7b38d8b9", "sport": "NCAAF"}</t>
        </is>
      </c>
    </row>
    <row r="241" ht="36" customHeight="1">
      <c r="A241" s="24" t="inlineStr">
        <is>
          <t>0183f3947bc4408f</t>
        </is>
      </c>
      <c r="B241" s="24" t="inlineStr">
        <is>
          <t>2026-09-12T22:41:47.836186Z</t>
        </is>
      </c>
      <c r="C241" s="24" t="inlineStr">
        <is>
          <t>2026-09-13T03:59Z</t>
        </is>
      </c>
      <c r="D241" s="24" t="inlineStr">
        <is>
          <t>401864578</t>
        </is>
      </c>
      <c r="E241" s="24" t="inlineStr">
        <is>
          <t>NCAAF</t>
        </is>
      </c>
      <c r="F241" s="24" t="inlineStr">
        <is>
          <t>New Mexico State Aggies</t>
        </is>
      </c>
      <c r="G241" s="24" t="inlineStr">
        <is>
          <t>Hawai'i Rainbow Warriors</t>
        </is>
      </c>
      <c r="H241" s="24" t="inlineStr">
        <is>
          <t>moneyline</t>
        </is>
      </c>
      <c r="I241" s="24" t="inlineStr">
        <is>
          <t>home</t>
        </is>
      </c>
      <c r="J241" s="25" t="n"/>
      <c r="K241" s="24" t="inlineStr">
        <is>
          <t>espn_consensus</t>
        </is>
      </c>
      <c r="L241" s="26" t="n">
        <v>-298</v>
      </c>
      <c r="M241" s="27" t="n">
        <v>1.33557</v>
      </c>
      <c r="N241" s="28" t="n">
        <v>0.748744</v>
      </c>
      <c r="O241" s="28" t="n">
        <v>0.735661</v>
      </c>
      <c r="P241" s="28" t="n">
        <v>0.18</v>
      </c>
      <c r="Q241" s="28" t="n">
        <v>-0.013083</v>
      </c>
      <c r="R241" s="26" t="n">
        <v>0</v>
      </c>
      <c r="S241" s="29" t="n">
        <v>1</v>
      </c>
      <c r="T241" s="24" t="inlineStr">
        <is>
          <t>college-football-v1</t>
        </is>
      </c>
      <c r="U241" s="24" t="inlineStr">
        <is>
          <t>settled</t>
        </is>
      </c>
      <c r="V241" s="24" t="inlineStr">
        <is>
          <t>win</t>
        </is>
      </c>
      <c r="W241" s="26" t="n">
        <v>19</v>
      </c>
      <c r="X241" s="26" t="n">
        <v>29</v>
      </c>
      <c r="Y241" s="25" t="n"/>
      <c r="Z241" s="26" t="n"/>
      <c r="AA241" s="28" t="n"/>
      <c r="AB241" s="28" t="n"/>
      <c r="AC241" s="30" t="n">
        <v>0.3356</v>
      </c>
      <c r="AD241" s="24" t="inlineStr">
        <is>
          <t>2026-09-13T10:00:27.029562Z</t>
        </is>
      </c>
      <c r="AE241" s="31" t="inlineStr">
        <is>
          <t>CFB Joint Model (negative_binomial): proj score New Mexico State Aggies 21.4 @ Hawai'i Rainbow Warriors 31.4 (Margin +10.0). Possessions: 12.4, HFA: +2.8 pts.</t>
        </is>
      </c>
      <c r="AF241" s="31" t="inlineStr">
        <is>
          <t>College football model; multi-market (moneyline, spread, total).</t>
        </is>
      </c>
      <c r="AG241" s="24" t="inlineStr">
        <is>
          <t>not_applicable</t>
        </is>
      </c>
      <c r="AH241" s="24" t="n"/>
      <c r="AI241" s="31" t="n"/>
      <c r="AJ241" s="31" t="n"/>
      <c r="AK241" s="24" t="inlineStr">
        <is>
          <t>paper_call</t>
        </is>
      </c>
      <c r="AL241" s="26" t="n">
        <v>4</v>
      </c>
      <c r="AM241" s="24" t="inlineStr">
        <is>
          <t>RESEARCH_OBSERVATION</t>
        </is>
      </c>
      <c r="AN241" s="24" t="inlineStr">
        <is>
          <t>CALL</t>
        </is>
      </c>
      <c r="AO241" s="24" t="inlineStr">
        <is>
          <t>PAPER_CALL_LOW_EDGE</t>
        </is>
      </c>
      <c r="AP241" s="24" t="inlineStr">
        <is>
          <t>New Mexico State Aggies</t>
        </is>
      </c>
      <c r="AQ241" s="24" t="inlineStr">
        <is>
          <t>New Mexico State Aggies</t>
        </is>
      </c>
      <c r="AR241" s="24" t="inlineStr">
        <is>
          <t>New Mexico State Aggies</t>
        </is>
      </c>
      <c r="AS241" s="24" t="inlineStr">
        <is>
          <t>Hawai'i Rainbow Warriors</t>
        </is>
      </c>
      <c r="AT241" s="24" t="inlineStr">
        <is>
          <t>Hawai'i Rainbow Warriors</t>
        </is>
      </c>
      <c r="AU241" s="24" t="inlineStr">
        <is>
          <t>Hawai'i Rainbow Warriors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shadow_qualified</t>
        </is>
      </c>
      <c r="BA241" s="24" t="inlineStr">
        <is>
          <t>1d168f11d221cd3c</t>
        </is>
      </c>
      <c r="BB241" s="24" t="inlineStr">
        <is>
          <t>cfb_key_number_engine</t>
        </is>
      </c>
      <c r="BC241" s="24" t="inlineStr">
        <is>
          <t>college-football-v1</t>
        </is>
      </c>
      <c r="BD241" s="24" t="inlineStr">
        <is>
          <t>1d168f11d221cd3c</t>
        </is>
      </c>
      <c r="BE241" s="24" t="inlineStr">
        <is>
          <t>cfb-v1</t>
        </is>
      </c>
      <c r="BF241" s="24" t="inlineStr">
        <is>
          <t>1</t>
        </is>
      </c>
      <c r="BG241" s="24" t="inlineStr">
        <is>
          <t>1d168f11d221cd3c</t>
        </is>
      </c>
      <c r="BH241" s="24" t="inlineStr">
        <is>
          <t>2026-09-12T22:41:47.836186+00:00</t>
        </is>
      </c>
      <c r="BI241" s="24" t="inlineStr">
        <is>
          <t>["same_event","same_team_same_day","same_league_same_day"]</t>
        </is>
      </c>
      <c r="BJ241" s="25" t="n"/>
      <c r="BK241" s="26" t="n">
        <v>-298</v>
      </c>
      <c r="BL241" s="27" t="n">
        <v>1.33557</v>
      </c>
      <c r="BM241" s="28" t="n">
        <v>0.748744</v>
      </c>
      <c r="BN241" s="28" t="n"/>
      <c r="BO241" s="28" t="n"/>
      <c r="BP241" s="25" t="n"/>
      <c r="BQ241" s="27" t="n"/>
      <c r="BR241" s="28" t="n"/>
      <c r="BS241" s="28" t="n"/>
      <c r="BT241" s="28" t="n"/>
      <c r="BU241" s="25" t="n"/>
      <c r="BV241" s="29" t="n"/>
      <c r="BW241" s="24" t="n"/>
      <c r="BX241" s="30" t="n">
        <v>1</v>
      </c>
      <c r="BY241" s="27" t="n">
        <v>0.33557</v>
      </c>
      <c r="BZ241" s="24" t="inlineStr">
        <is>
          <t>2026-09-13T10:00:27.029562Z</t>
        </is>
      </c>
      <c r="CA241" s="31" t="inlineStr">
        <is>
          <t>fixed one-unit hypothetical scoring; no real exposure or execution</t>
        </is>
      </c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  <c r="CR241" s="24" t="n"/>
      <c r="CS241" s="24" t="inlineStr">
        <is>
          <t>False</t>
        </is>
      </c>
      <c r="CT241" s="24" t="n"/>
      <c r="CU241" s="24" t="n"/>
      <c r="CV241" s="24" t="n"/>
      <c r="CW241" s="24" t="n"/>
      <c r="CX241" s="24" t="n"/>
      <c r="CY241" s="24" t="n"/>
      <c r="CZ241" s="24" t="n"/>
      <c r="DA241" s="24" t="n"/>
      <c r="DB241" s="24" t="n"/>
      <c r="DC241" s="24" t="n"/>
      <c r="DD241" s="24" t="n"/>
      <c r="DE241" s="24" t="n"/>
      <c r="DF241" s="24" t="n"/>
      <c r="DG241" s="24" t="n"/>
      <c r="DH241" s="24" t="n"/>
      <c r="DI241" s="24" t="n"/>
      <c r="DJ241" s="24" t="inlineStr">
        <is>
          <t>0.748744</t>
        </is>
      </c>
      <c r="DK241" s="24" t="n"/>
      <c r="DL241" s="24" t="n"/>
      <c r="DM241" s="24" t="n"/>
      <c r="DN241" s="24" t="n"/>
      <c r="DO241" s="24" t="n"/>
      <c r="DP241" s="24" t="n"/>
      <c r="DQ241" s="24" t="inlineStr">
        <is>
          <t>{"artifact_hash": "1d168f11d221cd3c", "event_id": "401864578", "event_start_utc": "2026-09-13T03:59Z", "features": {"altitude_fatigue_penalty": 0.0, "away_team": "New Mexico State Aggies", "efficiency_gap": 0.819, "elo_away": 1256.5, "elo_home": 1437.5, "elo_home_win_prob": 0.8047, "event_id": "401864578", "game_start_utc": "2026-09-13T03:59Z", "home_field_advantage_points": 2.8, "home_team": "Hawai'i Rainbow Warriors", "is_dome": false, "is_fbs_vs_fcs": false, "is_neutral_site": false, "projected_away_points": 21.4, "projected_home_points": 31.4, "projected_margin_home": 10.0, "projected_possessions": 12.4, "projected_total": 52.8, "stadium_elevation_ft": 40, "travel_distance_miles": 3210.0, "uncertainty": 0.18, "weather_total_adjustment": 0.0}, "historical_source_observation_times_verified": false, "inference_inputs": {"engine_source_sha256": "449ba2f0e86fa9c445730076a0e0bf100fb4914620be53c75c6f3bfe24298f3f", "mu_away": 21.4, "mu_home": 31.4,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178057689904141282600207445362501650520}, "uinteger": 0}, "spread_home_line": -7.5, "total_line": 50.5}, "market_type": "moneyline", "model_version": "college-football-v1", "observed_at_utc": "2026-09-12T22:41:47.836186+00:00", "probabilities": {"away": 0.264339, "home": 0.735661}, "replay_scope": "Full precision score means, exact engine parameters and original RNG state; upstream feature construction not certified.", "schema": "cfb-joint-replay-v1", "snapshot_hash": "032c3d6419eeffbef374053c2677540abbeccd1b537c113c7ffe96fea326e045", "sport": "NCAAF"}</t>
        </is>
      </c>
    </row>
    <row r="242" ht="36" customHeight="1">
      <c r="A242" s="24" t="inlineStr">
        <is>
          <t>b93df61fcdac484f</t>
        </is>
      </c>
      <c r="B242" s="24" t="inlineStr">
        <is>
          <t>2026-09-12T22:41:47.836186Z</t>
        </is>
      </c>
      <c r="C242" s="24" t="inlineStr">
        <is>
          <t>2026-09-13T03:59Z</t>
        </is>
      </c>
      <c r="D242" s="24" t="inlineStr">
        <is>
          <t>401864578</t>
        </is>
      </c>
      <c r="E242" s="24" t="inlineStr">
        <is>
          <t>NCAAF</t>
        </is>
      </c>
      <c r="F242" s="24" t="inlineStr">
        <is>
          <t>New Mexico State Aggies</t>
        </is>
      </c>
      <c r="G242" s="24" t="inlineStr">
        <is>
          <t>Hawai'i Rainbow Warriors</t>
        </is>
      </c>
      <c r="H242" s="24" t="inlineStr">
        <is>
          <t>spread</t>
        </is>
      </c>
      <c r="I242" s="24" t="inlineStr">
        <is>
          <t>home</t>
        </is>
      </c>
      <c r="J242" s="25" t="n">
        <v>-7.5</v>
      </c>
      <c r="K242" s="24" t="inlineStr">
        <is>
          <t>espn_consensus</t>
        </is>
      </c>
      <c r="L242" s="26" t="n">
        <v>-105</v>
      </c>
      <c r="M242" s="27" t="n">
        <v>1.952381</v>
      </c>
      <c r="N242" s="28" t="n">
        <v>0.512195</v>
      </c>
      <c r="O242" s="28" t="n">
        <v>0.570333</v>
      </c>
      <c r="P242" s="28" t="n">
        <v>0.18</v>
      </c>
      <c r="Q242" s="28" t="n">
        <v>0.058138</v>
      </c>
      <c r="R242" s="26" t="n">
        <v>0</v>
      </c>
      <c r="S242" s="29" t="n">
        <v>1</v>
      </c>
      <c r="T242" s="24" t="inlineStr">
        <is>
          <t>cfb-spread-v1</t>
        </is>
      </c>
      <c r="U242" s="24" t="inlineStr">
        <is>
          <t>settled</t>
        </is>
      </c>
      <c r="V242" s="24" t="inlineStr">
        <is>
          <t>win</t>
        </is>
      </c>
      <c r="W242" s="26" t="n">
        <v>19</v>
      </c>
      <c r="X242" s="26" t="n">
        <v>29</v>
      </c>
      <c r="Y242" s="25" t="n"/>
      <c r="Z242" s="26" t="n"/>
      <c r="AA242" s="28" t="n"/>
      <c r="AB242" s="28" t="n"/>
      <c r="AC242" s="30" t="n">
        <v>0.9524</v>
      </c>
      <c r="AD242" s="24" t="inlineStr">
        <is>
          <t>2026-09-13T10:00:27.365947Z</t>
        </is>
      </c>
      <c r="AE242" s="31" t="inlineStr">
        <is>
          <t>Projected home margin +10.0 pts. Spread: Home -7.5 / Away +7.5 -&gt; P(Away cover)=0.430, P(Home cover)=0.570, P(Push)=0.000.</t>
        </is>
      </c>
      <c r="AF242" s="31" t="inlineStr">
        <is>
          <t>College football model; multi-market (moneyline, spread, total).</t>
        </is>
      </c>
      <c r="AG242" s="24" t="inlineStr">
        <is>
          <t>not_applicable</t>
        </is>
      </c>
      <c r="AH242" s="24" t="n"/>
      <c r="AI242" s="31" t="n"/>
      <c r="AJ242" s="31" t="n"/>
      <c r="AK242" s="24" t="inlineStr">
        <is>
          <t>model_qualified</t>
        </is>
      </c>
      <c r="AL242" s="26" t="n">
        <v>4</v>
      </c>
      <c r="AM242" s="24" t="inlineStr">
        <is>
          <t>QUALIFIED_SHADOW_CALL</t>
        </is>
      </c>
      <c r="AN242" s="24" t="inlineStr">
        <is>
          <t>CALL</t>
        </is>
      </c>
      <c r="AO242" s="24" t="inlineStr">
        <is>
          <t>QUALIFIED</t>
        </is>
      </c>
      <c r="AP242" s="24" t="inlineStr">
        <is>
          <t>New Mexico State Aggies</t>
        </is>
      </c>
      <c r="AQ242" s="24" t="inlineStr">
        <is>
          <t>New Mexico State Aggies</t>
        </is>
      </c>
      <c r="AR242" s="24" t="inlineStr">
        <is>
          <t>New Mexico State Aggies</t>
        </is>
      </c>
      <c r="AS242" s="24" t="inlineStr">
        <is>
          <t>Hawai'i Rainbow Warriors</t>
        </is>
      </c>
      <c r="AT242" s="24" t="inlineStr">
        <is>
          <t>Hawai'i Rainbow Warriors</t>
        </is>
      </c>
      <c r="AU242" s="24" t="inlineStr">
        <is>
          <t>Hawai'i Rainbow Warriors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shadow_qualified</t>
        </is>
      </c>
      <c r="BA242" s="24" t="inlineStr">
        <is>
          <t>1d168f11d221cd3c</t>
        </is>
      </c>
      <c r="BB242" s="24" t="inlineStr">
        <is>
          <t>cfb_key_number_engine</t>
        </is>
      </c>
      <c r="BC242" s="24" t="inlineStr">
        <is>
          <t>cfb-spread-v1</t>
        </is>
      </c>
      <c r="BD242" s="24" t="inlineStr">
        <is>
          <t>1d168f11d221cd3c</t>
        </is>
      </c>
      <c r="BE242" s="24" t="inlineStr">
        <is>
          <t>cfb-v1</t>
        </is>
      </c>
      <c r="BF242" s="24" t="inlineStr">
        <is>
          <t>1</t>
        </is>
      </c>
      <c r="BG242" s="24" t="inlineStr">
        <is>
          <t>1d168f11d221cd3c</t>
        </is>
      </c>
      <c r="BH242" s="24" t="inlineStr">
        <is>
          <t>2026-09-12T22:41:47.836186+00:00</t>
        </is>
      </c>
      <c r="BI242" s="24" t="inlineStr">
        <is>
          <t>["same_event","same_team_same_day","same_league_same_day"]</t>
        </is>
      </c>
      <c r="BJ242" s="25" t="n">
        <v>-7.5</v>
      </c>
      <c r="BK242" s="26" t="n">
        <v>-105</v>
      </c>
      <c r="BL242" s="27" t="n">
        <v>1.952381</v>
      </c>
      <c r="BM242" s="28" t="n">
        <v>0.512195</v>
      </c>
      <c r="BN242" s="28" t="n"/>
      <c r="BO242" s="28" t="n"/>
      <c r="BP242" s="25" t="n"/>
      <c r="BQ242" s="27" t="n"/>
      <c r="BR242" s="28" t="n"/>
      <c r="BS242" s="28" t="n"/>
      <c r="BT242" s="28" t="n"/>
      <c r="BU242" s="25" t="n"/>
      <c r="BV242" s="29" t="n"/>
      <c r="BW242" s="24" t="n"/>
      <c r="BX242" s="30" t="n"/>
      <c r="BY242" s="27" t="n"/>
      <c r="BZ242" s="24" t="n"/>
      <c r="CA242" s="31" t="n"/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True</t>
        </is>
      </c>
      <c r="CT242" s="24" t="n"/>
      <c r="CU242" s="24" t="n"/>
      <c r="CV242" s="24" t="n"/>
      <c r="CW242" s="24" t="n"/>
      <c r="CX242" s="24" t="n"/>
      <c r="CY242" s="24" t="n"/>
      <c r="CZ242" s="24" t="n"/>
      <c r="DA242" s="24" t="n"/>
      <c r="DB242" s="24" t="n"/>
      <c r="DC242" s="24" t="n"/>
      <c r="DD242" s="24" t="n"/>
      <c r="DE242" s="24" t="n"/>
      <c r="DF242" s="24" t="n"/>
      <c r="DG242" s="24" t="n"/>
      <c r="DH242" s="24" t="n"/>
      <c r="DI242" s="24" t="n"/>
      <c r="DJ242" s="24" t="inlineStr">
        <is>
          <t>0.512195</t>
        </is>
      </c>
      <c r="DK242" s="24" t="n"/>
      <c r="DL242" s="24" t="n"/>
      <c r="DM242" s="24" t="n"/>
      <c r="DN242" s="24" t="n"/>
      <c r="DO242" s="24" t="n"/>
      <c r="DP242" s="24" t="n"/>
      <c r="DQ242" s="24" t="inlineStr">
        <is>
          <t>{"artifact_hash": "1d168f11d221cd3c", "event_id": "401864578", "event_start_utc": "2026-09-13T03:59Z", "features": {"altitude_fatigue_penalty": 0.0, "away_team": "New Mexico State Aggies", "efficiency_gap": 0.819, "elo_away": 1256.5, "elo_home": 1437.5, "elo_home_win_prob": 0.8047, "event_id": "401864578", "game_start_utc": "2026-09-13T03:59Z", "home_field_advantage_points": 2.8, "home_team": "Hawai'i Rainbow Warriors", "is_dome": false, "is_fbs_vs_fcs": false, "is_neutral_site": false, "projected_away_points": 21.4, "projected_home_points": 31.4, "projected_margin_home": 10.0, "projected_possessions": 12.4, "projected_total": 52.8, "stadium_elevation_ft": 40, "travel_distance_miles": 3210.0, "uncertainty": 0.18, "weather_total_adjustment": 0.0}, "historical_source_observation_times_verified": false, "inference_inputs": {"engine_source_sha256": "449ba2f0e86fa9c445730076a0e0bf100fb4914620be53c75c6f3bfe24298f3f", "mu_away": 21.4, "mu_home": 31.4,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178057689904141282600207445362501650520}, "uinteger": 0}, "spread_home_line": -7.5, "total_line": 50.5}, "market_type": "spread", "model_version": "cfb-spread-v1", "observed_at_utc": "2026-09-12T22:41:47.836186+00:00", "probabilities": {"away": 0.429667, "home": 0.570333, "push": 0.0}, "replay_scope": "Full precision score means, exact engine parameters and original RNG state; upstream feature construction not certified.", "schema": "cfb-joint-replay-v1", "snapshot_hash": "1d12765f845f596338d60f7d35427695609a04f661baa343db438061e8f7a4ce", "sport": "NCAAF"}</t>
        </is>
      </c>
    </row>
    <row r="243" ht="36" customHeight="1">
      <c r="A243" s="24" t="inlineStr">
        <is>
          <t>79b483ea5184471d</t>
        </is>
      </c>
      <c r="B243" s="24" t="inlineStr">
        <is>
          <t>2026-09-12T22:41:47.836186Z</t>
        </is>
      </c>
      <c r="C243" s="24" t="inlineStr">
        <is>
          <t>2026-09-13T03:59Z</t>
        </is>
      </c>
      <c r="D243" s="24" t="inlineStr">
        <is>
          <t>401864578</t>
        </is>
      </c>
      <c r="E243" s="24" t="inlineStr">
        <is>
          <t>NCAAF</t>
        </is>
      </c>
      <c r="F243" s="24" t="inlineStr">
        <is>
          <t>New Mexico State Aggies</t>
        </is>
      </c>
      <c r="G243" s="24" t="inlineStr">
        <is>
          <t>Hawai'i Rainbow Warriors</t>
        </is>
      </c>
      <c r="H243" s="24" t="inlineStr">
        <is>
          <t>total</t>
        </is>
      </c>
      <c r="I243" s="24" t="inlineStr">
        <is>
          <t>over</t>
        </is>
      </c>
      <c r="J243" s="25" t="n">
        <v>50.5</v>
      </c>
      <c r="K243" s="24" t="inlineStr">
        <is>
          <t>espn_consensus</t>
        </is>
      </c>
      <c r="L243" s="26" t="n">
        <v>-110</v>
      </c>
      <c r="M243" s="27" t="n">
        <v>1.909091</v>
      </c>
      <c r="N243" s="28" t="n">
        <v>0.52381</v>
      </c>
      <c r="O243" s="28" t="n">
        <v>0.527067</v>
      </c>
      <c r="P243" s="28" t="n">
        <v>0.18</v>
      </c>
      <c r="Q243" s="28" t="n">
        <v>0.003257</v>
      </c>
      <c r="R243" s="26" t="n">
        <v>0</v>
      </c>
      <c r="S243" s="29" t="n">
        <v>1</v>
      </c>
      <c r="T243" s="24" t="inlineStr">
        <is>
          <t>cfb-total-v1</t>
        </is>
      </c>
      <c r="U243" s="24" t="inlineStr">
        <is>
          <t>settled</t>
        </is>
      </c>
      <c r="V243" s="24" t="inlineStr">
        <is>
          <t>loss</t>
        </is>
      </c>
      <c r="W243" s="26" t="n">
        <v>19</v>
      </c>
      <c r="X243" s="26" t="n">
        <v>29</v>
      </c>
      <c r="Y243" s="25" t="n"/>
      <c r="Z243" s="26" t="n"/>
      <c r="AA243" s="28" t="n"/>
      <c r="AB243" s="28" t="n"/>
      <c r="AC243" s="30" t="n">
        <v>-1</v>
      </c>
      <c r="AD243" s="24" t="inlineStr">
        <is>
          <t>2026-09-13T10:00:27.725803Z</t>
        </is>
      </c>
      <c r="AE243" s="31" t="inlineStr">
        <is>
          <t>Projected total 52.8 pts (Weather adj: +0.0 pts). Total line 50.5 -&gt; P(Over)=0.527, P(Under)=0.473, P(Push)=0.000.</t>
        </is>
      </c>
      <c r="AF243" s="31" t="inlineStr">
        <is>
          <t>College football model; multi-market (moneyline, spread, total).</t>
        </is>
      </c>
      <c r="AG243" s="24" t="inlineStr">
        <is>
          <t>review_required</t>
        </is>
      </c>
      <c r="AH243" s="24" t="n"/>
      <c r="AI243" s="31" t="n"/>
      <c r="AJ243" s="31" t="n"/>
      <c r="AK243" s="24" t="inlineStr">
        <is>
          <t>paper_call</t>
        </is>
      </c>
      <c r="AL243" s="26" t="n">
        <v>4</v>
      </c>
      <c r="AM243" s="24" t="inlineStr">
        <is>
          <t>RESEARCH_OBSERVATION</t>
        </is>
      </c>
      <c r="AN243" s="24" t="inlineStr">
        <is>
          <t>CALL</t>
        </is>
      </c>
      <c r="AO243" s="24" t="inlineStr">
        <is>
          <t>PAPER_CALL_LOW_EDGE</t>
        </is>
      </c>
      <c r="AP243" s="24" t="inlineStr">
        <is>
          <t>New Mexico State Aggies</t>
        </is>
      </c>
      <c r="AQ243" s="24" t="inlineStr">
        <is>
          <t>New Mexico State Aggies</t>
        </is>
      </c>
      <c r="AR243" s="24" t="inlineStr">
        <is>
          <t>New Mexico State Aggies</t>
        </is>
      </c>
      <c r="AS243" s="24" t="inlineStr">
        <is>
          <t>Hawai'i Rainbow Warriors</t>
        </is>
      </c>
      <c r="AT243" s="24" t="inlineStr">
        <is>
          <t>Hawai'i Rainbow Warriors</t>
        </is>
      </c>
      <c r="AU243" s="24" t="inlineStr">
        <is>
          <t>Hawai'i Rainbow Warriors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shadow_qualified</t>
        </is>
      </c>
      <c r="BA243" s="24" t="inlineStr">
        <is>
          <t>1d168f11d221cd3c</t>
        </is>
      </c>
      <c r="BB243" s="24" t="inlineStr">
        <is>
          <t>cfb_key_number_engine</t>
        </is>
      </c>
      <c r="BC243" s="24" t="inlineStr">
        <is>
          <t>cfb-total-v1</t>
        </is>
      </c>
      <c r="BD243" s="24" t="inlineStr">
        <is>
          <t>1d168f11d221cd3c</t>
        </is>
      </c>
      <c r="BE243" s="24" t="inlineStr">
        <is>
          <t>cfb-v1</t>
        </is>
      </c>
      <c r="BF243" s="24" t="inlineStr">
        <is>
          <t>1</t>
        </is>
      </c>
      <c r="BG243" s="24" t="inlineStr">
        <is>
          <t>1d168f11d221cd3c</t>
        </is>
      </c>
      <c r="BH243" s="24" t="inlineStr">
        <is>
          <t>2026-09-12T22:41:47.836186+00:00</t>
        </is>
      </c>
      <c r="BI243" s="24" t="inlineStr">
        <is>
          <t>["same_event","same_team_same_day","same_league_same_day"]</t>
        </is>
      </c>
      <c r="BJ243" s="25" t="n">
        <v>50.5</v>
      </c>
      <c r="BK243" s="26" t="n">
        <v>-110</v>
      </c>
      <c r="BL243" s="27" t="n">
        <v>1.909091</v>
      </c>
      <c r="BM243" s="28" t="n">
        <v>0.52381</v>
      </c>
      <c r="BN243" s="28" t="n"/>
      <c r="BO243" s="28" t="n"/>
      <c r="BP243" s="25" t="n"/>
      <c r="BQ243" s="27" t="n"/>
      <c r="BR243" s="28" t="n"/>
      <c r="BS243" s="28" t="n"/>
      <c r="BT243" s="28" t="n"/>
      <c r="BU243" s="25" t="n"/>
      <c r="BV243" s="29" t="n"/>
      <c r="BW243" s="24" t="n"/>
      <c r="BX243" s="30" t="n">
        <v>1</v>
      </c>
      <c r="BY243" s="27" t="n">
        <v>-1</v>
      </c>
      <c r="BZ243" s="24" t="inlineStr">
        <is>
          <t>2026-09-13T10:00:27.725803Z</t>
        </is>
      </c>
      <c r="CA243" s="31" t="inlineStr">
        <is>
          <t>fixed one-unit hypothetical scoring; no real exposure or execution</t>
        </is>
      </c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True</t>
        </is>
      </c>
      <c r="CT243" s="24" t="n"/>
      <c r="CU243" s="24" t="n"/>
      <c r="CV243" s="24" t="n"/>
      <c r="CW243" s="24" t="n"/>
      <c r="CX243" s="24" t="n"/>
      <c r="CY243" s="24" t="n"/>
      <c r="CZ243" s="24" t="n"/>
      <c r="DA243" s="24" t="n"/>
      <c r="DB243" s="24" t="n"/>
      <c r="DC243" s="24" t="n"/>
      <c r="DD243" s="24" t="n"/>
      <c r="DE243" s="24" t="n"/>
      <c r="DF243" s="24" t="n"/>
      <c r="DG243" s="24" t="n"/>
      <c r="DH243" s="24" t="n"/>
      <c r="DI243" s="24" t="n"/>
      <c r="DJ243" s="24" t="inlineStr">
        <is>
          <t>0.52381</t>
        </is>
      </c>
      <c r="DK243" s="24" t="n"/>
      <c r="DL243" s="24" t="n"/>
      <c r="DM243" s="24" t="n"/>
      <c r="DN243" s="24" t="n"/>
      <c r="DO243" s="24" t="n"/>
      <c r="DP243" s="24" t="n"/>
      <c r="DQ243" s="24" t="inlineStr">
        <is>
          <t>{"artifact_hash": "1d168f11d221cd3c", "event_id": "401864578", "event_start_utc": "2026-09-13T03:59Z", "features": {"altitude_fatigue_penalty": 0.0, "away_team": "New Mexico State Aggies", "efficiency_gap": 0.819, "elo_away": 1256.5, "elo_home": 1437.5, "elo_home_win_prob": 0.8047, "event_id": "401864578", "game_start_utc": "2026-09-13T03:59Z", "home_field_advantage_points": 2.8, "home_team": "Hawai'i Rainbow Warriors", "is_dome": false, "is_fbs_vs_fcs": false, "is_neutral_site": false, "projected_away_points": 21.4, "projected_home_points": 31.4, "projected_margin_home": 10.0, "projected_possessions": 12.4, "projected_total": 52.8, "stadium_elevation_ft": 40, "travel_distance_miles": 3210.0, "uncertainty": 0.18, "weather_total_adjustment": 0.0}, "historical_source_observation_times_verified": false, "inference_inputs": {"engine_source_sha256": "449ba2f0e86fa9c445730076a0e0bf100fb4914620be53c75c6f3bfe24298f3f", "mu_away": 21.4, "mu_home": 31.4, "parameters": {"distribution_type": "negative_binomial", "margin_sd": 15.5, "n_simulations": 15000, "nb_dispersion": 12.0, "score_correlation": 0.18, "total_sd": 14.8}, "rng_state_before": {"bit_generator": "PCG64", "has_uint32": 0, "state": {"inc": 332724090758049132448979897138935081983, "state": 178057689904141282600207445362501650520}, "uinteger": 0}, "spread_home_line": -7.5, "total_line": 50.5}, "market_type": "total", "model_version": "cfb-total-v1", "observed_at_utc": "2026-09-12T22:41:47.836186+00:00", "probabilities": {"over": 0.527067, "push": 0.0, "under": 0.472933}, "replay_scope": "Full precision score means, exact engine parameters and original RNG state; upstream feature construction not certified.", "schema": "cfb-joint-replay-v1", "snapshot_hash": "e12b433dfb5fafefbbb3bafefef494afd478e9db90b1946e8404e505a3fe7840", "sport": "NCAAF"}</t>
        </is>
      </c>
    </row>
    <row r="244" ht="36" customHeight="1">
      <c r="A244" s="24" t="inlineStr">
        <is>
          <t>78f4ec0a738d4ac5</t>
        </is>
      </c>
      <c r="B244" s="24" t="inlineStr">
        <is>
          <t>2026-09-17T22:08:37.242146Z</t>
        </is>
      </c>
      <c r="C244" s="24" t="inlineStr">
        <is>
          <t>2026-09-17T23:30Z</t>
        </is>
      </c>
      <c r="D244" s="24" t="inlineStr">
        <is>
          <t>401858225</t>
        </is>
      </c>
      <c r="E244" s="24" t="inlineStr">
        <is>
          <t>NCAAF</t>
        </is>
      </c>
      <c r="F244" s="24" t="inlineStr">
        <is>
          <t>Syracuse Orange</t>
        </is>
      </c>
      <c r="G244" s="24" t="inlineStr">
        <is>
          <t>Pittsburgh Panthers</t>
        </is>
      </c>
      <c r="H244" s="24" t="inlineStr">
        <is>
          <t>moneyline</t>
        </is>
      </c>
      <c r="I244" s="24" t="inlineStr">
        <is>
          <t>home</t>
        </is>
      </c>
      <c r="J244" s="25" t="n"/>
      <c r="K244" s="24" t="inlineStr">
        <is>
          <t>espn_consensus</t>
        </is>
      </c>
      <c r="L244" s="26" t="n">
        <v>-410</v>
      </c>
      <c r="M244" s="27" t="n">
        <v>1.243902</v>
      </c>
      <c r="N244" s="28" t="n">
        <v>0.803922</v>
      </c>
      <c r="O244" s="28" t="n">
        <v>0.829155</v>
      </c>
      <c r="P244" s="28" t="n">
        <v>0.18</v>
      </c>
      <c r="Q244" s="28" t="n">
        <v>0.025233</v>
      </c>
      <c r="R244" s="26" t="n">
        <v>0</v>
      </c>
      <c r="S244" s="29" t="n">
        <v>1</v>
      </c>
      <c r="T244" s="24" t="inlineStr">
        <is>
          <t>college-football-v1</t>
        </is>
      </c>
      <c r="U244" s="24" t="inlineStr">
        <is>
          <t>settled</t>
        </is>
      </c>
      <c r="V244" s="24" t="inlineStr">
        <is>
          <t>win</t>
        </is>
      </c>
      <c r="W244" s="26" t="n">
        <v>13</v>
      </c>
      <c r="X244" s="26" t="n">
        <v>27</v>
      </c>
      <c r="Y244" s="25" t="n"/>
      <c r="Z244" s="26" t="n"/>
      <c r="AA244" s="28" t="n"/>
      <c r="AB244" s="28" t="n"/>
      <c r="AC244" s="30" t="n">
        <v>0.2439</v>
      </c>
      <c r="AD244" s="24" t="inlineStr">
        <is>
          <t>2026-09-18T04:57:52.852573Z</t>
        </is>
      </c>
      <c r="AE244" s="31" t="inlineStr">
        <is>
          <t>CFB Joint Model (negative_binomial): proj score Syracuse Orange 18.9 @ Pittsburgh Panthers 36.8 (Margin +17.9). Possessions: 12.4, HFA: +2.8 pts.</t>
        </is>
      </c>
      <c r="AF244" s="31" t="inlineStr">
        <is>
          <t>College football model; multi-market (moneyline, spread, total).</t>
        </is>
      </c>
      <c r="AG244" s="24" t="inlineStr">
        <is>
          <t>not_applicable</t>
        </is>
      </c>
      <c r="AH244" s="24" t="n"/>
      <c r="AI244" s="31" t="n"/>
      <c r="AJ244" s="31" t="n"/>
      <c r="AK244" s="24" t="inlineStr">
        <is>
          <t>paper_call</t>
        </is>
      </c>
      <c r="AL244" s="26" t="n">
        <v>4</v>
      </c>
      <c r="AM244" s="24" t="inlineStr">
        <is>
          <t>RESEARCH_OBSERVATION</t>
        </is>
      </c>
      <c r="AN244" s="24" t="inlineStr">
        <is>
          <t>CALL</t>
        </is>
      </c>
      <c r="AO244" s="24" t="inlineStr">
        <is>
          <t>PAPER_CALL_LOW_EDGE</t>
        </is>
      </c>
      <c r="AP244" s="24" t="inlineStr">
        <is>
          <t>Syracuse Orange</t>
        </is>
      </c>
      <c r="AQ244" s="24" t="inlineStr">
        <is>
          <t>Syracuse Orange</t>
        </is>
      </c>
      <c r="AR244" s="24" t="inlineStr">
        <is>
          <t>Syracuse Orange</t>
        </is>
      </c>
      <c r="AS244" s="24" t="inlineStr">
        <is>
          <t>Pittsburgh Panthers</t>
        </is>
      </c>
      <c r="AT244" s="24" t="inlineStr">
        <is>
          <t>Pittsburgh Panthers</t>
        </is>
      </c>
      <c r="AU244" s="24" t="inlineStr">
        <is>
          <t>Pittsburgh Panthers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inlineStr">
        <is>
          <t>1d168f11d221cd3c</t>
        </is>
      </c>
      <c r="BB244" s="24" t="inlineStr">
        <is>
          <t>cfb_key_number_engine</t>
        </is>
      </c>
      <c r="BC244" s="24" t="inlineStr">
        <is>
          <t>college-football-v1</t>
        </is>
      </c>
      <c r="BD244" s="24" t="inlineStr">
        <is>
          <t>1d168f11d221cd3c</t>
        </is>
      </c>
      <c r="BE244" s="24" t="inlineStr">
        <is>
          <t>cfb-v1</t>
        </is>
      </c>
      <c r="BF244" s="24" t="inlineStr">
        <is>
          <t>1</t>
        </is>
      </c>
      <c r="BG244" s="24" t="inlineStr">
        <is>
          <t>1d168f11d221cd3c</t>
        </is>
      </c>
      <c r="BH244" s="24" t="inlineStr">
        <is>
          <t>2026-09-17T22:08:37.242146+00:00</t>
        </is>
      </c>
      <c r="BI244" s="24" t="inlineStr">
        <is>
          <t>["same_event","same_team_same_day","same_league_same_day"]</t>
        </is>
      </c>
      <c r="BJ244" s="25" t="n"/>
      <c r="BK244" s="26" t="n">
        <v>-410</v>
      </c>
      <c r="BL244" s="27" t="n">
        <v>1.243902</v>
      </c>
      <c r="BM244" s="28" t="n">
        <v>0.803922</v>
      </c>
      <c r="BN244" s="28" t="n"/>
      <c r="BO244" s="28" t="n"/>
      <c r="BP244" s="25" t="n"/>
      <c r="BQ244" s="27" t="n"/>
      <c r="BR244" s="28" t="n"/>
      <c r="BS244" s="28" t="n"/>
      <c r="BT244" s="28" t="n"/>
      <c r="BU244" s="25" t="n"/>
      <c r="BV244" s="29" t="n"/>
      <c r="BW244" s="24" t="n"/>
      <c r="BX244" s="30" t="n">
        <v>1</v>
      </c>
      <c r="BY244" s="27" t="n">
        <v>0.243902</v>
      </c>
      <c r="BZ244" s="24" t="inlineStr">
        <is>
          <t>2026-09-18T04:57:52.852573Z</t>
        </is>
      </c>
      <c r="CA244" s="31" t="inlineStr">
        <is>
          <t>fixed one-unit hypothetical scoring; no real exposure or execution</t>
        </is>
      </c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inlineStr">
        <is>
          <t>True</t>
        </is>
      </c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/>
      <c r="DH244" s="24" t="n"/>
      <c r="DI244" s="24" t="n"/>
      <c r="DJ244" s="24" t="inlineStr">
        <is>
          <t>0.803922</t>
        </is>
      </c>
      <c r="DK244" s="24" t="n"/>
      <c r="DL244" s="24" t="n"/>
      <c r="DM244" s="24" t="n"/>
      <c r="DN244" s="24" t="n"/>
      <c r="DO244" s="24" t="n"/>
      <c r="DP244" s="24" t="n"/>
      <c r="DQ244" s="24" t="inlineStr">
        <is>
          <t>{"artifact_hash": "1d168f11d221cd3c", "event_id": "401858225", "event_start_utc": "2026-09-17T23:30Z", "features": {"altitude_fatigue_penalty": 0.0, "away_team": "Syracuse Orange", "efficiency_gap": 1.185, "elo_away": 1202.1, "elo_home": 1575.2, "elo_home_win_prob": 0.9257, "event_id": "401858225", "game_start_utc": "2026-09-17T23:30Z", "home_field_advantage_points": 2.8, "home_team": "Pittsburgh Panthers", "is_dome": false, "is_fbs_vs_fcs": false, "is_neutral_site": false, "projected_away_points": 18.9, "projected_home_points": 36.8, "projected_margin_home": 17.9, "projected_possessions": 12.4, "projected_total": 55.7, "stadium_elevation_ft": 730, "travel_distance_miles": 268.0, "uncertainty": 0.18, "weather_total_adjustment": 0.0}, "historical_source_observation_times_verified": false, "inference_inputs": {"engine_source_sha256": "449ba2f0e86fa9c445730076a0e0bf100fb4914620be53c75c6f3bfe24298f3f", "mu_away": 18.9, "mu_home": 36.8,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-10.5, "total_line": 51.5}, "market_type": "moneyline", "model_version": "college-football-v1", "observed_at_utc": "2026-09-17T22:08:37.242146+00:00", "probabilities": {"away": 0.170845, "home": 0.829155}, "replay_scope": "Full precision score means, exact engine parameters and original RNG state; upstream feature construction not certified.", "schema": "cfb-joint-replay-v1", "snapshot_hash": "0188f20d32e85624ab1a787a760efc4c436ac6afe6aad4880ae5c04b908bde72", "sport": "NCAAF"}</t>
        </is>
      </c>
    </row>
    <row r="245" ht="36" customHeight="1">
      <c r="A245" s="24" t="inlineStr">
        <is>
          <t>fe843fe3c9d4414e</t>
        </is>
      </c>
      <c r="B245" s="24" t="inlineStr">
        <is>
          <t>2026-09-17T22:08:37.242146Z</t>
        </is>
      </c>
      <c r="C245" s="24" t="inlineStr">
        <is>
          <t>2026-09-17T23:30Z</t>
        </is>
      </c>
      <c r="D245" s="24" t="inlineStr">
        <is>
          <t>401858225</t>
        </is>
      </c>
      <c r="E245" s="24" t="inlineStr">
        <is>
          <t>NCAAF</t>
        </is>
      </c>
      <c r="F245" s="24" t="inlineStr">
        <is>
          <t>Syracuse Orange</t>
        </is>
      </c>
      <c r="G245" s="24" t="inlineStr">
        <is>
          <t>Pittsburgh Panthers</t>
        </is>
      </c>
      <c r="H245" s="24" t="inlineStr">
        <is>
          <t>spread</t>
        </is>
      </c>
      <c r="I245" s="24" t="inlineStr">
        <is>
          <t>home</t>
        </is>
      </c>
      <c r="J245" s="25" t="n">
        <v>-10.5</v>
      </c>
      <c r="K245" s="24" t="inlineStr">
        <is>
          <t>espn_consensus</t>
        </is>
      </c>
      <c r="L245" s="26" t="n">
        <v>-108</v>
      </c>
      <c r="M245" s="27" t="n">
        <v>1.925926</v>
      </c>
      <c r="N245" s="28" t="n">
        <v>0.519231</v>
      </c>
      <c r="O245" s="28" t="n">
        <v>0.656867</v>
      </c>
      <c r="P245" s="28" t="n">
        <v>0.18</v>
      </c>
      <c r="Q245" s="28" t="n">
        <v>0.137636</v>
      </c>
      <c r="R245" s="26" t="n">
        <v>11</v>
      </c>
      <c r="S245" s="29" t="n">
        <v>1</v>
      </c>
      <c r="T245" s="24" t="inlineStr">
        <is>
          <t>cfb-spread-v1</t>
        </is>
      </c>
      <c r="U245" s="24" t="inlineStr">
        <is>
          <t>settled</t>
        </is>
      </c>
      <c r="V245" s="24" t="inlineStr">
        <is>
          <t>win</t>
        </is>
      </c>
      <c r="W245" s="26" t="n">
        <v>13</v>
      </c>
      <c r="X245" s="26" t="n">
        <v>27</v>
      </c>
      <c r="Y245" s="25" t="n"/>
      <c r="Z245" s="26" t="n"/>
      <c r="AA245" s="28" t="n"/>
      <c r="AB245" s="28" t="n"/>
      <c r="AC245" s="30" t="n">
        <v>0.9258999999999999</v>
      </c>
      <c r="AD245" s="24" t="inlineStr">
        <is>
          <t>2026-09-18T04:57:54.533039Z</t>
        </is>
      </c>
      <c r="AE245" s="31" t="inlineStr">
        <is>
          <t>Projected home margin +17.9 pts. Spread: Home -10.5 / Away +10.5 -&gt; P(Away cover)=0.343, P(Home cover)=0.657, P(Push)=0.000.</t>
        </is>
      </c>
      <c r="AF245" s="31" t="inlineStr">
        <is>
          <t>College football model; multi-market (moneyline, spread, total).</t>
        </is>
      </c>
      <c r="AG245" s="24" t="inlineStr">
        <is>
          <t>not_applicable</t>
        </is>
      </c>
      <c r="AH245" s="24" t="n"/>
      <c r="AI245" s="31" t="n"/>
      <c r="AJ245" s="31" t="n"/>
      <c r="AK245" s="24" t="inlineStr">
        <is>
          <t>model_qualified</t>
        </is>
      </c>
      <c r="AL245" s="26" t="n">
        <v>4</v>
      </c>
      <c r="AM245" s="24" t="inlineStr">
        <is>
          <t>QUALIFIED_SHADOW_CALL</t>
        </is>
      </c>
      <c r="AN245" s="24" t="inlineStr">
        <is>
          <t>CALL</t>
        </is>
      </c>
      <c r="AO245" s="24" t="inlineStr">
        <is>
          <t>QUALIFIED</t>
        </is>
      </c>
      <c r="AP245" s="24" t="inlineStr">
        <is>
          <t>Syracuse Orange</t>
        </is>
      </c>
      <c r="AQ245" s="24" t="inlineStr">
        <is>
          <t>Syracuse Orange</t>
        </is>
      </c>
      <c r="AR245" s="24" t="inlineStr">
        <is>
          <t>Syracuse Orange</t>
        </is>
      </c>
      <c r="AS245" s="24" t="inlineStr">
        <is>
          <t>Pittsburgh Panthers</t>
        </is>
      </c>
      <c r="AT245" s="24" t="inlineStr">
        <is>
          <t>Pittsburgh Panthers</t>
        </is>
      </c>
      <c r="AU245" s="24" t="inlineStr">
        <is>
          <t>Pittsburgh Panthers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inlineStr">
        <is>
          <t>1d168f11d221cd3c</t>
        </is>
      </c>
      <c r="BB245" s="24" t="inlineStr">
        <is>
          <t>cfb_key_number_engine</t>
        </is>
      </c>
      <c r="BC245" s="24" t="inlineStr">
        <is>
          <t>cfb-spread-v1</t>
        </is>
      </c>
      <c r="BD245" s="24" t="inlineStr">
        <is>
          <t>1d168f11d221cd3c</t>
        </is>
      </c>
      <c r="BE245" s="24" t="inlineStr">
        <is>
          <t>cfb-v1</t>
        </is>
      </c>
      <c r="BF245" s="24" t="inlineStr">
        <is>
          <t>1</t>
        </is>
      </c>
      <c r="BG245" s="24" t="inlineStr">
        <is>
          <t>1d168f11d221cd3c</t>
        </is>
      </c>
      <c r="BH245" s="24" t="inlineStr">
        <is>
          <t>2026-09-17T22:08:37.242146+00:00</t>
        </is>
      </c>
      <c r="BI245" s="24" t="inlineStr">
        <is>
          <t>["same_event","same_team_same_day","same_league_same_day"]</t>
        </is>
      </c>
      <c r="BJ245" s="25" t="n">
        <v>-10.5</v>
      </c>
      <c r="BK245" s="26" t="n">
        <v>-108</v>
      </c>
      <c r="BL245" s="27" t="n">
        <v>1.925926</v>
      </c>
      <c r="BM245" s="28" t="n">
        <v>0.519231</v>
      </c>
      <c r="BN245" s="28" t="n"/>
      <c r="BO245" s="28" t="n"/>
      <c r="BP245" s="25" t="n"/>
      <c r="BQ245" s="27" t="n"/>
      <c r="BR245" s="28" t="n"/>
      <c r="BS245" s="28" t="n"/>
      <c r="BT245" s="28" t="n"/>
      <c r="BU245" s="25" t="n"/>
      <c r="BV245" s="29" t="n"/>
      <c r="BW245" s="24" t="n"/>
      <c r="BX245" s="30" t="n"/>
      <c r="BY245" s="27" t="n"/>
      <c r="BZ245" s="24" t="n"/>
      <c r="CA245" s="31" t="n"/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  <c r="CR245" s="24" t="n"/>
      <c r="CS245" s="24" t="inlineStr">
        <is>
          <t>True</t>
        </is>
      </c>
      <c r="CT245" s="24" t="n"/>
      <c r="CU245" s="24" t="n"/>
      <c r="CV245" s="24" t="n"/>
      <c r="CW245" s="24" t="n"/>
      <c r="CX245" s="24" t="n"/>
      <c r="CY245" s="24" t="n"/>
      <c r="CZ245" s="24" t="n"/>
      <c r="DA245" s="24" t="n"/>
      <c r="DB245" s="24" t="n"/>
      <c r="DC245" s="24" t="n"/>
      <c r="DD245" s="24" t="n"/>
      <c r="DE245" s="24" t="n"/>
      <c r="DF245" s="24" t="n"/>
      <c r="DG245" s="24" t="n"/>
      <c r="DH245" s="24" t="n"/>
      <c r="DI245" s="24" t="n"/>
      <c r="DJ245" s="24" t="inlineStr">
        <is>
          <t>0.519231</t>
        </is>
      </c>
      <c r="DK245" s="24" t="n"/>
      <c r="DL245" s="24" t="n"/>
      <c r="DM245" s="24" t="n"/>
      <c r="DN245" s="24" t="n"/>
      <c r="DO245" s="24" t="n"/>
      <c r="DP245" s="24" t="n"/>
      <c r="DQ245" s="24" t="inlineStr">
        <is>
          <t>{"artifact_hash": "1d168f11d221cd3c", "event_id": "401858225", "event_start_utc": "2026-09-17T23:30Z", "features": {"altitude_fatigue_penalty": 0.0, "away_team": "Syracuse Orange", "efficiency_gap": 1.185, "elo_away": 1202.1, "elo_home": 1575.2, "elo_home_win_prob": 0.9257, "event_id": "401858225", "game_start_utc": "2026-09-17T23:30Z", "home_field_advantage_points": 2.8, "home_team": "Pittsburgh Panthers", "is_dome": false, "is_fbs_vs_fcs": false, "is_neutral_site": false, "projected_away_points": 18.9, "projected_home_points": 36.8, "projected_margin_home": 17.9, "projected_possessions": 12.4, "projected_total": 55.7, "stadium_elevation_ft": 730, "travel_distance_miles": 268.0, "uncertainty": 0.18, "weather_total_adjustment": 0.0}, "historical_source_observation_times_verified": false, "inference_inputs": {"engine_source_sha256": "449ba2f0e86fa9c445730076a0e0bf100fb4914620be53c75c6f3bfe24298f3f", "mu_away": 18.9, "mu_home": 36.8,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-10.5, "total_line": 51.5}, "market_type": "spread", "model_version": "cfb-spread-v1", "observed_at_utc": "2026-09-17T22:08:37.242146+00:00", "probabilities": {"away": 0.343133, "home": 0.656867, "push": 0.0}, "replay_scope": "Full precision score means, exact engine parameters and original RNG state; upstream feature construction not certified.", "schema": "cfb-joint-replay-v1", "snapshot_hash": "0c97ef9fda12462296bca52dbeff39dec1824d2bb54abbee42ecf35d28c89403", "sport": "NCAAF"}</t>
        </is>
      </c>
    </row>
    <row r="246" ht="36" customHeight="1">
      <c r="A246" s="24" t="inlineStr">
        <is>
          <t>6690f7492b984f0a</t>
        </is>
      </c>
      <c r="B246" s="24" t="inlineStr">
        <is>
          <t>2026-09-17T22:08:37.242146Z</t>
        </is>
      </c>
      <c r="C246" s="24" t="inlineStr">
        <is>
          <t>2026-09-17T23:30Z</t>
        </is>
      </c>
      <c r="D246" s="24" t="inlineStr">
        <is>
          <t>401858225</t>
        </is>
      </c>
      <c r="E246" s="24" t="inlineStr">
        <is>
          <t>NCAAF</t>
        </is>
      </c>
      <c r="F246" s="24" t="inlineStr">
        <is>
          <t>Syracuse Orange</t>
        </is>
      </c>
      <c r="G246" s="24" t="inlineStr">
        <is>
          <t>Pittsburgh Panthers</t>
        </is>
      </c>
      <c r="H246" s="24" t="inlineStr">
        <is>
          <t>total</t>
        </is>
      </c>
      <c r="I246" s="24" t="inlineStr">
        <is>
          <t>over</t>
        </is>
      </c>
      <c r="J246" s="25" t="n">
        <v>51.5</v>
      </c>
      <c r="K246" s="24" t="inlineStr">
        <is>
          <t>espn_consensus</t>
        </is>
      </c>
      <c r="L246" s="26" t="n">
        <v>-110</v>
      </c>
      <c r="M246" s="27" t="n">
        <v>1.909091</v>
      </c>
      <c r="N246" s="28" t="n">
        <v>0.52381</v>
      </c>
      <c r="O246" s="28" t="n">
        <v>0.543133</v>
      </c>
      <c r="P246" s="28" t="n">
        <v>0.18</v>
      </c>
      <c r="Q246" s="28" t="n">
        <v>0.019323</v>
      </c>
      <c r="R246" s="26" t="n">
        <v>0</v>
      </c>
      <c r="S246" s="29" t="n">
        <v>1</v>
      </c>
      <c r="T246" s="24" t="inlineStr">
        <is>
          <t>cfb-total-v1</t>
        </is>
      </c>
      <c r="U246" s="24" t="inlineStr">
        <is>
          <t>settled</t>
        </is>
      </c>
      <c r="V246" s="24" t="inlineStr">
        <is>
          <t>loss</t>
        </is>
      </c>
      <c r="W246" s="26" t="n">
        <v>13</v>
      </c>
      <c r="X246" s="26" t="n">
        <v>27</v>
      </c>
      <c r="Y246" s="25" t="n"/>
      <c r="Z246" s="26" t="n"/>
      <c r="AA246" s="28" t="n"/>
      <c r="AB246" s="28" t="n"/>
      <c r="AC246" s="30" t="n">
        <v>-1</v>
      </c>
      <c r="AD246" s="24" t="inlineStr">
        <is>
          <t>2026-09-18T04:57:55.399631Z</t>
        </is>
      </c>
      <c r="AE246" s="31" t="inlineStr">
        <is>
          <t>Projected total 55.7 pts (Weather adj: +0.0 pts). Total line 51.5 -&gt; P(Over)=0.543, P(Under)=0.457, P(Push)=0.000.</t>
        </is>
      </c>
      <c r="AF246" s="31" t="inlineStr">
        <is>
          <t>College football model; multi-market (moneyline, spread, total).</t>
        </is>
      </c>
      <c r="AG246" s="24" t="inlineStr">
        <is>
          <t>review_required</t>
        </is>
      </c>
      <c r="AH246" s="24" t="n"/>
      <c r="AI246" s="31" t="n"/>
      <c r="AJ246" s="31" t="n"/>
      <c r="AK246" s="24" t="inlineStr">
        <is>
          <t>paper_call</t>
        </is>
      </c>
      <c r="AL246" s="26" t="n">
        <v>4</v>
      </c>
      <c r="AM246" s="24" t="inlineStr">
        <is>
          <t>RESEARCH_OBSERVATION</t>
        </is>
      </c>
      <c r="AN246" s="24" t="inlineStr">
        <is>
          <t>CALL</t>
        </is>
      </c>
      <c r="AO246" s="24" t="inlineStr">
        <is>
          <t>PAPER_CALL_LOW_EDGE</t>
        </is>
      </c>
      <c r="AP246" s="24" t="inlineStr">
        <is>
          <t>Syracuse Orange</t>
        </is>
      </c>
      <c r="AQ246" s="24" t="inlineStr">
        <is>
          <t>Syracuse Orange</t>
        </is>
      </c>
      <c r="AR246" s="24" t="inlineStr">
        <is>
          <t>Syracuse Orange</t>
        </is>
      </c>
      <c r="AS246" s="24" t="inlineStr">
        <is>
          <t>Pittsburgh Panthers</t>
        </is>
      </c>
      <c r="AT246" s="24" t="inlineStr">
        <is>
          <t>Pittsburgh Panthers</t>
        </is>
      </c>
      <c r="AU246" s="24" t="inlineStr">
        <is>
          <t>Pittsburgh Panthers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inlineStr">
        <is>
          <t>1d168f11d221cd3c</t>
        </is>
      </c>
      <c r="BB246" s="24" t="inlineStr">
        <is>
          <t>cfb_key_number_engine</t>
        </is>
      </c>
      <c r="BC246" s="24" t="inlineStr">
        <is>
          <t>cfb-total-v1</t>
        </is>
      </c>
      <c r="BD246" s="24" t="inlineStr">
        <is>
          <t>1d168f11d221cd3c</t>
        </is>
      </c>
      <c r="BE246" s="24" t="inlineStr">
        <is>
          <t>cfb-v1</t>
        </is>
      </c>
      <c r="BF246" s="24" t="inlineStr">
        <is>
          <t>1</t>
        </is>
      </c>
      <c r="BG246" s="24" t="inlineStr">
        <is>
          <t>1d168f11d221cd3c</t>
        </is>
      </c>
      <c r="BH246" s="24" t="inlineStr">
        <is>
          <t>2026-09-17T22:08:37.242146+00:00</t>
        </is>
      </c>
      <c r="BI246" s="24" t="inlineStr">
        <is>
          <t>["same_event","same_team_same_day","same_league_same_day"]</t>
        </is>
      </c>
      <c r="BJ246" s="25" t="n">
        <v>51.5</v>
      </c>
      <c r="BK246" s="26" t="n">
        <v>-110</v>
      </c>
      <c r="BL246" s="27" t="n">
        <v>1.909091</v>
      </c>
      <c r="BM246" s="28" t="n">
        <v>0.52381</v>
      </c>
      <c r="BN246" s="28" t="n"/>
      <c r="BO246" s="28" t="n"/>
      <c r="BP246" s="25" t="n"/>
      <c r="BQ246" s="27" t="n"/>
      <c r="BR246" s="28" t="n"/>
      <c r="BS246" s="28" t="n"/>
      <c r="BT246" s="28" t="n"/>
      <c r="BU246" s="25" t="n"/>
      <c r="BV246" s="29" t="n"/>
      <c r="BW246" s="24" t="n"/>
      <c r="BX246" s="30" t="n">
        <v>1</v>
      </c>
      <c r="BY246" s="27" t="n">
        <v>-1</v>
      </c>
      <c r="BZ246" s="24" t="inlineStr">
        <is>
          <t>2026-09-18T04:57:55.399631Z</t>
        </is>
      </c>
      <c r="CA246" s="31" t="inlineStr">
        <is>
          <t>fixed one-unit hypothetical scoring; no real exposure or execution</t>
        </is>
      </c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True</t>
        </is>
      </c>
      <c r="CT246" s="24" t="n"/>
      <c r="CU246" s="24" t="n"/>
      <c r="CV246" s="24" t="n"/>
      <c r="CW246" s="24" t="n"/>
      <c r="CX246" s="24" t="n"/>
      <c r="CY246" s="24" t="n"/>
      <c r="CZ246" s="24" t="n"/>
      <c r="DA246" s="24" t="n"/>
      <c r="DB246" s="24" t="n"/>
      <c r="DC246" s="24" t="n"/>
      <c r="DD246" s="24" t="n"/>
      <c r="DE246" s="24" t="n"/>
      <c r="DF246" s="24" t="n"/>
      <c r="DG246" s="24" t="n"/>
      <c r="DH246" s="24" t="n"/>
      <c r="DI246" s="24" t="n"/>
      <c r="DJ246" s="24" t="inlineStr">
        <is>
          <t>0.52381</t>
        </is>
      </c>
      <c r="DK246" s="24" t="n"/>
      <c r="DL246" s="24" t="n"/>
      <c r="DM246" s="24" t="n"/>
      <c r="DN246" s="24" t="n"/>
      <c r="DO246" s="24" t="n"/>
      <c r="DP246" s="24" t="n"/>
      <c r="DQ246" s="24" t="inlineStr">
        <is>
          <t>{"artifact_hash": "1d168f11d221cd3c", "event_id": "401858225", "event_start_utc": "2026-09-17T23:30Z", "features": {"altitude_fatigue_penalty": 0.0, "away_team": "Syracuse Orange", "efficiency_gap": 1.185, "elo_away": 1202.1, "elo_home": 1575.2, "elo_home_win_prob": 0.9257, "event_id": "401858225", "game_start_utc": "2026-09-17T23:30Z", "home_field_advantage_points": 2.8, "home_team": "Pittsburgh Panthers", "is_dome": false, "is_fbs_vs_fcs": false, "is_neutral_site": false, "projected_away_points": 18.9, "projected_home_points": 36.8, "projected_margin_home": 17.9, "projected_possessions": 12.4, "projected_total": 55.7, "stadium_elevation_ft": 730, "travel_distance_miles": 268.0, "uncertainty": 0.18, "weather_total_adjustment": 0.0}, "historical_source_observation_times_verified": false, "inference_inputs": {"engine_source_sha256": "449ba2f0e86fa9c445730076a0e0bf100fb4914620be53c75c6f3bfe24298f3f", "mu_away": 18.9, "mu_home": 36.8,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-10.5, "total_line": 51.5}, "market_type": "total", "model_version": "cfb-total-v1", "observed_at_utc": "2026-09-17T22:08:37.242146+00:00", "probabilities": {"over": 0.543133, "push": 0.0, "under": 0.456867}, "replay_scope": "Full precision score means, exact engine parameters and original RNG state; upstream feature construction not certified.", "schema": "cfb-joint-replay-v1", "snapshot_hash": "673f731e3576f600037ecf604d7bf65dbce4d4e8d63e93d74dca3063fc9685de", "sport": "NCAAF"}</t>
        </is>
      </c>
    </row>
    <row r="247" ht="36" customHeight="1">
      <c r="A247" s="24" t="inlineStr">
        <is>
          <t>a972d705c8e748d5</t>
        </is>
      </c>
      <c r="B247" s="24" t="inlineStr">
        <is>
          <t>2026-09-18T22:08:31.185025Z</t>
        </is>
      </c>
      <c r="C247" s="24" t="inlineStr">
        <is>
          <t>2026-09-18T23:30Z</t>
        </is>
      </c>
      <c r="D247" s="24" t="inlineStr">
        <is>
          <t>401858226</t>
        </is>
      </c>
      <c r="E247" s="24" t="inlineStr">
        <is>
          <t>NCAAF</t>
        </is>
      </c>
      <c r="F247" s="24" t="inlineStr">
        <is>
          <t>Miami Hurricanes</t>
        </is>
      </c>
      <c r="G247" s="24" t="inlineStr">
        <is>
          <t>Wake Forest Demon Deacons</t>
        </is>
      </c>
      <c r="H247" s="24" t="inlineStr">
        <is>
          <t>moneyline</t>
        </is>
      </c>
      <c r="I247" s="24" t="inlineStr">
        <is>
          <t>away</t>
        </is>
      </c>
      <c r="J247" s="25" t="n"/>
      <c r="K247" s="24" t="inlineStr">
        <is>
          <t>espn_consensus</t>
        </is>
      </c>
      <c r="L247" s="26" t="n">
        <v>-1600</v>
      </c>
      <c r="M247" s="27" t="n">
        <v>1.0625</v>
      </c>
      <c r="N247" s="28" t="n">
        <v>0.941176</v>
      </c>
      <c r="O247" s="28" t="n">
        <v>0.548525</v>
      </c>
      <c r="P247" s="28" t="n">
        <v>0.165</v>
      </c>
      <c r="Q247" s="28" t="n">
        <v>-0.392651</v>
      </c>
      <c r="R247" s="26" t="n">
        <v>0</v>
      </c>
      <c r="S247" s="29" t="n">
        <v>1</v>
      </c>
      <c r="T247" s="24" t="inlineStr">
        <is>
          <t>college-football-v1</t>
        </is>
      </c>
      <c r="U247" s="24" t="inlineStr">
        <is>
          <t>settled</t>
        </is>
      </c>
      <c r="V247" s="24" t="inlineStr">
        <is>
          <t>win</t>
        </is>
      </c>
      <c r="W247" s="26" t="n">
        <v>33</v>
      </c>
      <c r="X247" s="26" t="n">
        <v>20</v>
      </c>
      <c r="Y247" s="25" t="n"/>
      <c r="Z247" s="26" t="n"/>
      <c r="AA247" s="28" t="n"/>
      <c r="AB247" s="28" t="n"/>
      <c r="AC247" s="30" t="n">
        <v>0.0625</v>
      </c>
      <c r="AD247" s="24" t="inlineStr">
        <is>
          <t>2026-09-19T04:31:04.996562Z</t>
        </is>
      </c>
      <c r="AE247" s="31" t="inlineStr">
        <is>
          <t>CFB Joint Model (negative_binomial): proj score Miami Hurricanes 29.0 @ Wake Forest Demon Deacons 26.6 (Margin -2.4). Possessions: 12.4, HFA: +2.8 pts.</t>
        </is>
      </c>
      <c r="AF247" s="31" t="inlineStr">
        <is>
          <t>College football model; multi-market (moneyline, spread, total).</t>
        </is>
      </c>
      <c r="AG247" s="24" t="inlineStr">
        <is>
          <t>not_applicable</t>
        </is>
      </c>
      <c r="AH247" s="24" t="n"/>
      <c r="AI247" s="31" t="n"/>
      <c r="AJ247" s="31" t="n"/>
      <c r="AK247" s="24" t="inlineStr">
        <is>
          <t>paper_call</t>
        </is>
      </c>
      <c r="AL247" s="26" t="n">
        <v>4</v>
      </c>
      <c r="AM247" s="24" t="inlineStr">
        <is>
          <t>RESEARCH_OBSERVATION</t>
        </is>
      </c>
      <c r="AN247" s="24" t="inlineStr">
        <is>
          <t>CALL</t>
        </is>
      </c>
      <c r="AO247" s="24" t="inlineStr">
        <is>
          <t>PAPER_CALL_LOW_EDGE</t>
        </is>
      </c>
      <c r="AP247" s="24" t="inlineStr">
        <is>
          <t>Miami Hurricanes</t>
        </is>
      </c>
      <c r="AQ247" s="24" t="inlineStr">
        <is>
          <t>Miami Hurricanes</t>
        </is>
      </c>
      <c r="AR247" s="24" t="inlineStr">
        <is>
          <t>Miami Hurricanes</t>
        </is>
      </c>
      <c r="AS247" s="24" t="inlineStr">
        <is>
          <t>Wake Forest Demon Deacons</t>
        </is>
      </c>
      <c r="AT247" s="24" t="inlineStr">
        <is>
          <t>Wake Forest Demon Deacons</t>
        </is>
      </c>
      <c r="AU247" s="24" t="inlineStr">
        <is>
          <t>Wake Forest Demon Deacons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inlineStr">
        <is>
          <t>1d168f11d221cd3c</t>
        </is>
      </c>
      <c r="BB247" s="24" t="inlineStr">
        <is>
          <t>cfb_key_number_engine</t>
        </is>
      </c>
      <c r="BC247" s="24" t="inlineStr">
        <is>
          <t>college-football-v1</t>
        </is>
      </c>
      <c r="BD247" s="24" t="inlineStr">
        <is>
          <t>1d168f11d221cd3c</t>
        </is>
      </c>
      <c r="BE247" s="24" t="inlineStr">
        <is>
          <t>cfb-v1</t>
        </is>
      </c>
      <c r="BF247" s="24" t="inlineStr">
        <is>
          <t>1</t>
        </is>
      </c>
      <c r="BG247" s="24" t="inlineStr">
        <is>
          <t>1d168f11d221cd3c</t>
        </is>
      </c>
      <c r="BH247" s="24" t="inlineStr">
        <is>
          <t>2026-09-18T22:08:31.185025+00:00</t>
        </is>
      </c>
      <c r="BI247" s="24" t="inlineStr">
        <is>
          <t>["same_event","same_team_same_day","same_league_same_day"]</t>
        </is>
      </c>
      <c r="BJ247" s="25" t="n"/>
      <c r="BK247" s="26" t="n">
        <v>-1600</v>
      </c>
      <c r="BL247" s="27" t="n">
        <v>1.0625</v>
      </c>
      <c r="BM247" s="28" t="n">
        <v>0.941176</v>
      </c>
      <c r="BN247" s="28" t="n"/>
      <c r="BO247" s="28" t="n"/>
      <c r="BP247" s="25" t="n"/>
      <c r="BQ247" s="27" t="n"/>
      <c r="BR247" s="28" t="n"/>
      <c r="BS247" s="28" t="n"/>
      <c r="BT247" s="28" t="n"/>
      <c r="BU247" s="25" t="n"/>
      <c r="BV247" s="29" t="n"/>
      <c r="BW247" s="24" t="n"/>
      <c r="BX247" s="30" t="n">
        <v>1</v>
      </c>
      <c r="BY247" s="27" t="n">
        <v>0.0625</v>
      </c>
      <c r="BZ247" s="24" t="inlineStr">
        <is>
          <t>2026-09-19T04:31:04.996562Z</t>
        </is>
      </c>
      <c r="CA247" s="31" t="inlineStr">
        <is>
          <t>fixed one-unit hypothetical scoring; no real exposure or execution</t>
        </is>
      </c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False</t>
        </is>
      </c>
      <c r="CT247" s="24" t="n"/>
      <c r="CU247" s="24" t="n"/>
      <c r="CV247" s="24" t="n"/>
      <c r="CW247" s="24" t="n"/>
      <c r="CX247" s="24" t="n"/>
      <c r="CY247" s="24" t="n"/>
      <c r="CZ247" s="24" t="n"/>
      <c r="DA247" s="24" t="n"/>
      <c r="DB247" s="24" t="n"/>
      <c r="DC247" s="24" t="n"/>
      <c r="DD247" s="24" t="n"/>
      <c r="DE247" s="24" t="n"/>
      <c r="DF247" s="24" t="n"/>
      <c r="DG247" s="24" t="n"/>
      <c r="DH247" s="24" t="n"/>
      <c r="DI247" s="24" t="n"/>
      <c r="DJ247" s="24" t="inlineStr">
        <is>
          <t>0.941176</t>
        </is>
      </c>
      <c r="DK247" s="24" t="n"/>
      <c r="DL247" s="24" t="n"/>
      <c r="DM247" s="24" t="n"/>
      <c r="DN247" s="24" t="n"/>
      <c r="DO247" s="24" t="n"/>
      <c r="DP247" s="24" t="n"/>
      <c r="DQ247" s="24" t="inlineStr">
        <is>
          <t>{"artifact_hash": "1d168f11d221cd3c", "event_id": "401858226", "event_start_utc": "2026-09-18T23:30Z", "features": {"altitude_fatigue_penalty": 0.0, "away_team": "Miami Hurricanes", "efficiency_gap": -0.48, "elo_away": 1785.8, "elo_home": 1658.3, "elo_home_win_prob": 0.4111, "event_id": "401858226", "game_start_utc": "2026-09-18T23:30Z", "home_field_advantage_points": 2.8, "home_team": "Wake Forest Demon Deacons", "is_dome": false, "is_fbs_vs_fcs": false, "is_neutral_site": false, "projected_away_points": 29.0, "projected_home_points": 26.6, "projected_margin_home": -2.4, "projected_possessions": 12.4, "projected_total": 55.6, "stadium_elevation_ft": 880, "travel_distance_miles": 703.0, "uncertainty": 0.165, "weather_total_adjustment": 0.0}, "historical_source_observation_times_verified": false, "inference_inputs": {"engine_source_sha256": "449ba2f0e86fa9c445730076a0e0bf100fb4914620be53c75c6f3bfe24298f3f", "mu_away": 29.0, "mu_home": 26.6,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20.5, "total_line": 55.5}, "market_type": "moneyline", "model_version": "college-football-v1", "observed_at_utc": "2026-09-18T22:08:31.185025+00:00", "probabilities": {"away": 0.548525, "home": 0.451475}, "replay_scope": "Full precision score means, exact engine parameters and original RNG state; upstream feature construction not certified.", "schema": "cfb-joint-replay-v1", "snapshot_hash": "e0db5170ea9372e23add006b592c0b9780d8d8b7c0e04d5a26806a43ecdb3454", "sport": "NCAAF"}</t>
        </is>
      </c>
    </row>
    <row r="248" ht="36" customHeight="1">
      <c r="A248" s="24" t="inlineStr">
        <is>
          <t>099d775ece574ecf</t>
        </is>
      </c>
      <c r="B248" s="24" t="inlineStr">
        <is>
          <t>2026-09-18T22:08:31.185025Z</t>
        </is>
      </c>
      <c r="C248" s="24" t="inlineStr">
        <is>
          <t>2026-09-18T23:30Z</t>
        </is>
      </c>
      <c r="D248" s="24" t="inlineStr">
        <is>
          <t>401858226</t>
        </is>
      </c>
      <c r="E248" s="24" t="inlineStr">
        <is>
          <t>NCAAF</t>
        </is>
      </c>
      <c r="F248" s="24" t="inlineStr">
        <is>
          <t>Miami Hurricanes</t>
        </is>
      </c>
      <c r="G248" s="24" t="inlineStr">
        <is>
          <t>Wake Forest Demon Deacons</t>
        </is>
      </c>
      <c r="H248" s="24" t="inlineStr">
        <is>
          <t>spread</t>
        </is>
      </c>
      <c r="I248" s="24" t="inlineStr">
        <is>
          <t>home</t>
        </is>
      </c>
      <c r="J248" s="25" t="n">
        <v>20.5</v>
      </c>
      <c r="K248" s="24" t="inlineStr">
        <is>
          <t>espn_consensus</t>
        </is>
      </c>
      <c r="L248" s="26" t="n">
        <v>-112</v>
      </c>
      <c r="M248" s="27" t="n">
        <v>1.892857</v>
      </c>
      <c r="N248" s="28" t="n">
        <v>0.528302</v>
      </c>
      <c r="O248" s="28" t="n">
        <v>0.818533</v>
      </c>
      <c r="P248" s="28" t="n">
        <v>0.165</v>
      </c>
      <c r="Q248" s="28" t="n">
        <v>0.290231</v>
      </c>
      <c r="R248" s="26" t="n">
        <v>96</v>
      </c>
      <c r="S248" s="29" t="n">
        <v>1.75</v>
      </c>
      <c r="T248" s="24" t="inlineStr">
        <is>
          <t>cfb-spread-v1</t>
        </is>
      </c>
      <c r="U248" s="24" t="inlineStr">
        <is>
          <t>settled</t>
        </is>
      </c>
      <c r="V248" s="24" t="inlineStr">
        <is>
          <t>win</t>
        </is>
      </c>
      <c r="W248" s="26" t="n">
        <v>33</v>
      </c>
      <c r="X248" s="26" t="n">
        <v>20</v>
      </c>
      <c r="Y248" s="25" t="n"/>
      <c r="Z248" s="26" t="n"/>
      <c r="AA248" s="28" t="n"/>
      <c r="AB248" s="28" t="n"/>
      <c r="AC248" s="30" t="n">
        <v>1.5625</v>
      </c>
      <c r="AD248" s="24" t="inlineStr">
        <is>
          <t>2026-09-19T04:31:05.377876Z</t>
        </is>
      </c>
      <c r="AE248" s="31" t="inlineStr">
        <is>
          <t>Projected home margin -2.4 pts. Spread: Home +20.5 / Away -20.5 -&gt; P(Away cover)=0.181, P(Home cover)=0.819, P(Push)=0.000.</t>
        </is>
      </c>
      <c r="AF248" s="31" t="inlineStr">
        <is>
          <t>College football model; multi-market (moneyline, spread, total).</t>
        </is>
      </c>
      <c r="AG248" s="24" t="inlineStr">
        <is>
          <t>not_applicable</t>
        </is>
      </c>
      <c r="AH248" s="24" t="n"/>
      <c r="AI248" s="31" t="n"/>
      <c r="AJ248" s="31" t="n"/>
      <c r="AK248" s="24" t="inlineStr">
        <is>
          <t>model_qualified</t>
        </is>
      </c>
      <c r="AL248" s="26" t="n">
        <v>4</v>
      </c>
      <c r="AM248" s="24" t="inlineStr">
        <is>
          <t>QUALIFIED_SHADOW_CALL</t>
        </is>
      </c>
      <c r="AN248" s="24" t="inlineStr">
        <is>
          <t>CALL</t>
        </is>
      </c>
      <c r="AO248" s="24" t="inlineStr">
        <is>
          <t>QUALIFIED</t>
        </is>
      </c>
      <c r="AP248" s="24" t="inlineStr">
        <is>
          <t>Miami Hurricanes</t>
        </is>
      </c>
      <c r="AQ248" s="24" t="inlineStr">
        <is>
          <t>Miami Hurricanes</t>
        </is>
      </c>
      <c r="AR248" s="24" t="inlineStr">
        <is>
          <t>Miami Hurricanes</t>
        </is>
      </c>
      <c r="AS248" s="24" t="inlineStr">
        <is>
          <t>Wake Forest Demon Deacons</t>
        </is>
      </c>
      <c r="AT248" s="24" t="inlineStr">
        <is>
          <t>Wake Forest Demon Deacons</t>
        </is>
      </c>
      <c r="AU248" s="24" t="inlineStr">
        <is>
          <t>Wake Forest Demon Deacons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shadow_qualified</t>
        </is>
      </c>
      <c r="BA248" s="24" t="inlineStr">
        <is>
          <t>1d168f11d221cd3c</t>
        </is>
      </c>
      <c r="BB248" s="24" t="inlineStr">
        <is>
          <t>cfb_key_number_engine</t>
        </is>
      </c>
      <c r="BC248" s="24" t="inlineStr">
        <is>
          <t>cfb-spread-v1</t>
        </is>
      </c>
      <c r="BD248" s="24" t="inlineStr">
        <is>
          <t>1d168f11d221cd3c</t>
        </is>
      </c>
      <c r="BE248" s="24" t="inlineStr">
        <is>
          <t>cfb-v1</t>
        </is>
      </c>
      <c r="BF248" s="24" t="inlineStr">
        <is>
          <t>1</t>
        </is>
      </c>
      <c r="BG248" s="24" t="inlineStr">
        <is>
          <t>1d168f11d221cd3c</t>
        </is>
      </c>
      <c r="BH248" s="24" t="inlineStr">
        <is>
          <t>2026-09-18T22:08:31.185025+00:00</t>
        </is>
      </c>
      <c r="BI248" s="24" t="inlineStr">
        <is>
          <t>["same_event","same_team_same_day","same_league_same_day"]</t>
        </is>
      </c>
      <c r="BJ248" s="25" t="n">
        <v>20.5</v>
      </c>
      <c r="BK248" s="26" t="n">
        <v>-112</v>
      </c>
      <c r="BL248" s="27" t="n">
        <v>1.892857</v>
      </c>
      <c r="BM248" s="28" t="n">
        <v>0.528302</v>
      </c>
      <c r="BN248" s="28" t="n"/>
      <c r="BO248" s="28" t="n"/>
      <c r="BP248" s="25" t="n"/>
      <c r="BQ248" s="27" t="n"/>
      <c r="BR248" s="28" t="n"/>
      <c r="BS248" s="28" t="n"/>
      <c r="BT248" s="28" t="n"/>
      <c r="BU248" s="25" t="n"/>
      <c r="BV248" s="29" t="n"/>
      <c r="BW248" s="24" t="n"/>
      <c r="BX248" s="30" t="n"/>
      <c r="BY248" s="27" t="n"/>
      <c r="BZ248" s="24" t="n"/>
      <c r="CA248" s="31" t="n"/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True</t>
        </is>
      </c>
      <c r="CT248" s="24" t="n"/>
      <c r="CU248" s="24" t="n"/>
      <c r="CV248" s="24" t="n"/>
      <c r="CW248" s="24" t="n"/>
      <c r="CX248" s="24" t="n"/>
      <c r="CY248" s="24" t="n"/>
      <c r="CZ248" s="24" t="n"/>
      <c r="DA248" s="24" t="n"/>
      <c r="DB248" s="24" t="n"/>
      <c r="DC248" s="24" t="n"/>
      <c r="DD248" s="24" t="n"/>
      <c r="DE248" s="24" t="n"/>
      <c r="DF248" s="24" t="n"/>
      <c r="DG248" s="24" t="n"/>
      <c r="DH248" s="24" t="n"/>
      <c r="DI248" s="24" t="n"/>
      <c r="DJ248" s="24" t="inlineStr">
        <is>
          <t>0.528302</t>
        </is>
      </c>
      <c r="DK248" s="24" t="n"/>
      <c r="DL248" s="24" t="n"/>
      <c r="DM248" s="24" t="n"/>
      <c r="DN248" s="24" t="n"/>
      <c r="DO248" s="24" t="n"/>
      <c r="DP248" s="24" t="n"/>
      <c r="DQ248" s="24" t="inlineStr">
        <is>
          <t>{"artifact_hash": "1d168f11d221cd3c", "event_id": "401858226", "event_start_utc": "2026-09-18T23:30Z", "features": {"altitude_fatigue_penalty": 0.0, "away_team": "Miami Hurricanes", "efficiency_gap": -0.48, "elo_away": 1785.8, "elo_home": 1658.3, "elo_home_win_prob": 0.4111, "event_id": "401858226", "game_start_utc": "2026-09-18T23:30Z", "home_field_advantage_points": 2.8, "home_team": "Wake Forest Demon Deacons", "is_dome": false, "is_fbs_vs_fcs": false, "is_neutral_site": false, "projected_away_points": 29.0, "projected_home_points": 26.6, "projected_margin_home": -2.4, "projected_possessions": 12.4, "projected_total": 55.6, "stadium_elevation_ft": 880, "travel_distance_miles": 703.0, "uncertainty": 0.165, "weather_total_adjustment": 0.0}, "historical_source_observation_times_verified": false, "inference_inputs": {"engine_source_sha256": "449ba2f0e86fa9c445730076a0e0bf100fb4914620be53c75c6f3bfe24298f3f", "mu_away": 29.0, "mu_home": 26.6,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20.5, "total_line": 55.5}, "market_type": "spread", "model_version": "cfb-spread-v1", "observed_at_utc": "2026-09-18T22:08:31.185025+00:00", "probabilities": {"away": 0.181467, "home": 0.818533, "push": 0.0}, "replay_scope": "Full precision score means, exact engine parameters and original RNG state; upstream feature construction not certified.", "schema": "cfb-joint-replay-v1", "snapshot_hash": "89dd211b828dcfa8bd9741aa969130ef06c9b5f7d16a4ecab51c0aea491218aa", "sport": "NCAAF"}</t>
        </is>
      </c>
    </row>
    <row r="249" ht="36" customHeight="1">
      <c r="A249" s="24" t="inlineStr">
        <is>
          <t>8640dfd9d1db4314</t>
        </is>
      </c>
      <c r="B249" s="24" t="inlineStr">
        <is>
          <t>2026-09-18T22:08:31.185025Z</t>
        </is>
      </c>
      <c r="C249" s="24" t="inlineStr">
        <is>
          <t>2026-09-18T23:30Z</t>
        </is>
      </c>
      <c r="D249" s="24" t="inlineStr">
        <is>
          <t>401858226</t>
        </is>
      </c>
      <c r="E249" s="24" t="inlineStr">
        <is>
          <t>NCAAF</t>
        </is>
      </c>
      <c r="F249" s="24" t="inlineStr">
        <is>
          <t>Miami Hurricanes</t>
        </is>
      </c>
      <c r="G249" s="24" t="inlineStr">
        <is>
          <t>Wake Forest Demon Deacons</t>
        </is>
      </c>
      <c r="H249" s="24" t="inlineStr">
        <is>
          <t>total</t>
        </is>
      </c>
      <c r="I249" s="24" t="inlineStr">
        <is>
          <t>under</t>
        </is>
      </c>
      <c r="J249" s="25" t="n">
        <v>55.5</v>
      </c>
      <c r="K249" s="24" t="inlineStr">
        <is>
          <t>espn_consensus</t>
        </is>
      </c>
      <c r="L249" s="26" t="n">
        <v>-108</v>
      </c>
      <c r="M249" s="27" t="n">
        <v>1.925926</v>
      </c>
      <c r="N249" s="28" t="n">
        <v>0.519231</v>
      </c>
      <c r="O249" s="28" t="n">
        <v>0.527267</v>
      </c>
      <c r="P249" s="28" t="n">
        <v>0.165</v>
      </c>
      <c r="Q249" s="28" t="n">
        <v>0.008036</v>
      </c>
      <c r="R249" s="26" t="n">
        <v>0</v>
      </c>
      <c r="S249" s="29" t="n">
        <v>1</v>
      </c>
      <c r="T249" s="24" t="inlineStr">
        <is>
          <t>cfb-total-v1</t>
        </is>
      </c>
      <c r="U249" s="24" t="inlineStr">
        <is>
          <t>settled</t>
        </is>
      </c>
      <c r="V249" s="24" t="inlineStr">
        <is>
          <t>win</t>
        </is>
      </c>
      <c r="W249" s="26" t="n">
        <v>33</v>
      </c>
      <c r="X249" s="26" t="n">
        <v>20</v>
      </c>
      <c r="Y249" s="25" t="n"/>
      <c r="Z249" s="26" t="n"/>
      <c r="AA249" s="28" t="n"/>
      <c r="AB249" s="28" t="n"/>
      <c r="AC249" s="30" t="n">
        <v>0.9258999999999999</v>
      </c>
      <c r="AD249" s="24" t="inlineStr">
        <is>
          <t>2026-09-19T04:31:05.773075Z</t>
        </is>
      </c>
      <c r="AE249" s="31" t="inlineStr">
        <is>
          <t>Projected total 55.6 pts (Weather adj: +0.0 pts). Total line 55.5 -&gt; P(Over)=0.473, P(Under)=0.527, P(Push)=0.000.</t>
        </is>
      </c>
      <c r="AF249" s="31" t="inlineStr">
        <is>
          <t>College football model; multi-market (moneyline, spread, total).</t>
        </is>
      </c>
      <c r="AG249" s="24" t="inlineStr">
        <is>
          <t>not_applicable</t>
        </is>
      </c>
      <c r="AH249" s="24" t="n"/>
      <c r="AI249" s="31" t="n"/>
      <c r="AJ249" s="31" t="n"/>
      <c r="AK249" s="24" t="inlineStr">
        <is>
          <t>paper_call</t>
        </is>
      </c>
      <c r="AL249" s="26" t="n">
        <v>4</v>
      </c>
      <c r="AM249" s="24" t="inlineStr">
        <is>
          <t>RESEARCH_OBSERVATION</t>
        </is>
      </c>
      <c r="AN249" s="24" t="inlineStr">
        <is>
          <t>CALL</t>
        </is>
      </c>
      <c r="AO249" s="24" t="inlineStr">
        <is>
          <t>PAPER_CALL_LOW_EDGE</t>
        </is>
      </c>
      <c r="AP249" s="24" t="inlineStr">
        <is>
          <t>Miami Hurricanes</t>
        </is>
      </c>
      <c r="AQ249" s="24" t="inlineStr">
        <is>
          <t>Miami Hurricanes</t>
        </is>
      </c>
      <c r="AR249" s="24" t="inlineStr">
        <is>
          <t>Miami Hurricanes</t>
        </is>
      </c>
      <c r="AS249" s="24" t="inlineStr">
        <is>
          <t>Wake Forest Demon Deacons</t>
        </is>
      </c>
      <c r="AT249" s="24" t="inlineStr">
        <is>
          <t>Wake Forest Demon Deacons</t>
        </is>
      </c>
      <c r="AU249" s="24" t="inlineStr">
        <is>
          <t>Wake Forest Demon Deacons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shadow_qualified</t>
        </is>
      </c>
      <c r="BA249" s="24" t="inlineStr">
        <is>
          <t>1d168f11d221cd3c</t>
        </is>
      </c>
      <c r="BB249" s="24" t="inlineStr">
        <is>
          <t>cfb_key_number_engine</t>
        </is>
      </c>
      <c r="BC249" s="24" t="inlineStr">
        <is>
          <t>cfb-total-v1</t>
        </is>
      </c>
      <c r="BD249" s="24" t="inlineStr">
        <is>
          <t>1d168f11d221cd3c</t>
        </is>
      </c>
      <c r="BE249" s="24" t="inlineStr">
        <is>
          <t>cfb-v1</t>
        </is>
      </c>
      <c r="BF249" s="24" t="inlineStr">
        <is>
          <t>1</t>
        </is>
      </c>
      <c r="BG249" s="24" t="inlineStr">
        <is>
          <t>1d168f11d221cd3c</t>
        </is>
      </c>
      <c r="BH249" s="24" t="inlineStr">
        <is>
          <t>2026-09-18T22:08:31.185025+00:00</t>
        </is>
      </c>
      <c r="BI249" s="24" t="inlineStr">
        <is>
          <t>["same_event","same_team_same_day","same_league_same_day"]</t>
        </is>
      </c>
      <c r="BJ249" s="25" t="n">
        <v>55.5</v>
      </c>
      <c r="BK249" s="26" t="n">
        <v>-108</v>
      </c>
      <c r="BL249" s="27" t="n">
        <v>1.925926</v>
      </c>
      <c r="BM249" s="28" t="n">
        <v>0.519231</v>
      </c>
      <c r="BN249" s="28" t="n"/>
      <c r="BO249" s="28" t="n"/>
      <c r="BP249" s="25" t="n"/>
      <c r="BQ249" s="27" t="n"/>
      <c r="BR249" s="28" t="n"/>
      <c r="BS249" s="28" t="n"/>
      <c r="BT249" s="28" t="n"/>
      <c r="BU249" s="25" t="n"/>
      <c r="BV249" s="29" t="n"/>
      <c r="BW249" s="24" t="n"/>
      <c r="BX249" s="30" t="n">
        <v>1</v>
      </c>
      <c r="BY249" s="27" t="n">
        <v>0.925926</v>
      </c>
      <c r="BZ249" s="24" t="inlineStr">
        <is>
          <t>2026-09-19T04:31:05.773075Z</t>
        </is>
      </c>
      <c r="CA249" s="31" t="inlineStr">
        <is>
          <t>fixed one-unit hypothetical scoring; no real exposure or execution</t>
        </is>
      </c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True</t>
        </is>
      </c>
      <c r="CT249" s="24" t="n"/>
      <c r="CU249" s="24" t="n"/>
      <c r="CV249" s="24" t="n"/>
      <c r="CW249" s="24" t="n"/>
      <c r="CX249" s="24" t="n"/>
      <c r="CY249" s="24" t="n"/>
      <c r="CZ249" s="24" t="n"/>
      <c r="DA249" s="24" t="n"/>
      <c r="DB249" s="24" t="n"/>
      <c r="DC249" s="24" t="n"/>
      <c r="DD249" s="24" t="n"/>
      <c r="DE249" s="24" t="n"/>
      <c r="DF249" s="24" t="n"/>
      <c r="DG249" s="24" t="n"/>
      <c r="DH249" s="24" t="n"/>
      <c r="DI249" s="24" t="n"/>
      <c r="DJ249" s="24" t="inlineStr">
        <is>
          <t>0.519231</t>
        </is>
      </c>
      <c r="DK249" s="24" t="n"/>
      <c r="DL249" s="24" t="n"/>
      <c r="DM249" s="24" t="n"/>
      <c r="DN249" s="24" t="n"/>
      <c r="DO249" s="24" t="n"/>
      <c r="DP249" s="24" t="n"/>
      <c r="DQ249" s="24" t="inlineStr">
        <is>
          <t>{"artifact_hash": "1d168f11d221cd3c", "event_id": "401858226", "event_start_utc": "2026-09-18T23:30Z", "features": {"altitude_fatigue_penalty": 0.0, "away_team": "Miami Hurricanes", "efficiency_gap": -0.48, "elo_away": 1785.8, "elo_home": 1658.3, "elo_home_win_prob": 0.4111, "event_id": "401858226", "game_start_utc": "2026-09-18T23:30Z", "home_field_advantage_points": 2.8, "home_team": "Wake Forest Demon Deacons", "is_dome": false, "is_fbs_vs_fcs": false, "is_neutral_site": false, "projected_away_points": 29.0, "projected_home_points": 26.6, "projected_margin_home": -2.4, "projected_possessions": 12.4, "projected_total": 55.6, "stadium_elevation_ft": 880, "travel_distance_miles": 703.0, "uncertainty": 0.165, "weather_total_adjustment": 0.0}, "historical_source_observation_times_verified": false, "inference_inputs": {"engine_source_sha256": "449ba2f0e86fa9c445730076a0e0bf100fb4914620be53c75c6f3bfe24298f3f", "mu_away": 29.0, "mu_home": 26.6,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20.5, "total_line": 55.5}, "market_type": "total", "model_version": "cfb-total-v1", "observed_at_utc": "2026-09-18T22:08:31.185025+00:00", "probabilities": {"over": 0.472733, "push": 0.0, "under": 0.527267}, "replay_scope": "Full precision score means, exact engine parameters and original RNG state; upstream feature construction not certified.", "schema": "cfb-joint-replay-v1", "snapshot_hash": "7b547d79b05cc344ee25e659a2dafba062853af99f4adb5054ccacf050273aff", "sport": "NCAAF"}</t>
        </is>
      </c>
    </row>
    <row r="250" ht="36" customHeight="1">
      <c r="A250" s="24" t="inlineStr">
        <is>
          <t>36f17a979ac3430f</t>
        </is>
      </c>
      <c r="B250" s="24" t="inlineStr">
        <is>
          <t>2026-09-18T22:08:31.185025Z</t>
        </is>
      </c>
      <c r="C250" s="24" t="inlineStr">
        <is>
          <t>2026-09-19T00:00Z</t>
        </is>
      </c>
      <c r="D250" s="24" t="inlineStr">
        <is>
          <t>401856811</t>
        </is>
      </c>
      <c r="E250" s="24" t="inlineStr">
        <is>
          <t>NCAAF</t>
        </is>
      </c>
      <c r="F250" s="24" t="inlineStr">
        <is>
          <t>Houston Cougars</t>
        </is>
      </c>
      <c r="G250" s="24" t="inlineStr">
        <is>
          <t>Texas Tech Red Raiders</t>
        </is>
      </c>
      <c r="H250" s="24" t="inlineStr">
        <is>
          <t>moneyline</t>
        </is>
      </c>
      <c r="I250" s="24" t="inlineStr">
        <is>
          <t>home</t>
        </is>
      </c>
      <c r="J250" s="25" t="n"/>
      <c r="K250" s="24" t="inlineStr">
        <is>
          <t>espn_consensus</t>
        </is>
      </c>
      <c r="L250" s="26" t="n">
        <v>-310</v>
      </c>
      <c r="M250" s="27" t="n">
        <v>1.322581</v>
      </c>
      <c r="N250" s="28" t="n">
        <v>0.756098</v>
      </c>
      <c r="O250" s="28" t="n">
        <v>0.632832</v>
      </c>
      <c r="P250" s="28" t="n">
        <v>0.18</v>
      </c>
      <c r="Q250" s="28" t="n">
        <v>-0.123266</v>
      </c>
      <c r="R250" s="26" t="n">
        <v>0</v>
      </c>
      <c r="S250" s="29" t="n">
        <v>1</v>
      </c>
      <c r="T250" s="24" t="inlineStr">
        <is>
          <t>college-football-v1</t>
        </is>
      </c>
      <c r="U250" s="24" t="inlineStr">
        <is>
          <t>settled</t>
        </is>
      </c>
      <c r="V250" s="24" t="inlineStr">
        <is>
          <t>win</t>
        </is>
      </c>
      <c r="W250" s="26" t="n">
        <v>26</v>
      </c>
      <c r="X250" s="26" t="n">
        <v>28</v>
      </c>
      <c r="Y250" s="25" t="n"/>
      <c r="Z250" s="26" t="n"/>
      <c r="AA250" s="28" t="n"/>
      <c r="AB250" s="28" t="n"/>
      <c r="AC250" s="30" t="n">
        <v>0.3226</v>
      </c>
      <c r="AD250" s="24" t="inlineStr">
        <is>
          <t>2026-09-19T04:31:06.200300Z</t>
        </is>
      </c>
      <c r="AE250" s="31" t="inlineStr">
        <is>
          <t>CFB Joint Model (negative_binomial): proj score Houston Cougars 24.3 @ Texas Tech Red Raiders 30.5 (Margin +6.2). Possessions: 12.4, HFA: +2.8 pts.</t>
        </is>
      </c>
      <c r="AF250" s="31" t="inlineStr">
        <is>
          <t>College football model; multi-market (moneyline, spread, total).</t>
        </is>
      </c>
      <c r="AG250" s="24" t="inlineStr">
        <is>
          <t>not_applicable</t>
        </is>
      </c>
      <c r="AH250" s="24" t="n"/>
      <c r="AI250" s="31" t="n"/>
      <c r="AJ250" s="31" t="n"/>
      <c r="AK250" s="24" t="inlineStr">
        <is>
          <t>paper_call</t>
        </is>
      </c>
      <c r="AL250" s="26" t="n">
        <v>4</v>
      </c>
      <c r="AM250" s="24" t="inlineStr">
        <is>
          <t>RESEARCH_OBSERVATION</t>
        </is>
      </c>
      <c r="AN250" s="24" t="inlineStr">
        <is>
          <t>CALL</t>
        </is>
      </c>
      <c r="AO250" s="24" t="inlineStr">
        <is>
          <t>PAPER_CALL_LOW_EDGE</t>
        </is>
      </c>
      <c r="AP250" s="24" t="inlineStr">
        <is>
          <t>Houston Cougars</t>
        </is>
      </c>
      <c r="AQ250" s="24" t="inlineStr">
        <is>
          <t>Houston Cougars</t>
        </is>
      </c>
      <c r="AR250" s="24" t="inlineStr">
        <is>
          <t>Houston Cougars</t>
        </is>
      </c>
      <c r="AS250" s="24" t="inlineStr">
        <is>
          <t>Texas Tech Red Raiders</t>
        </is>
      </c>
      <c r="AT250" s="24" t="inlineStr">
        <is>
          <t>Texas Tech Red Raiders</t>
        </is>
      </c>
      <c r="AU250" s="24" t="inlineStr">
        <is>
          <t>Texas Tech Red Raiders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shadow_qualified</t>
        </is>
      </c>
      <c r="BA250" s="24" t="inlineStr">
        <is>
          <t>1d168f11d221cd3c</t>
        </is>
      </c>
      <c r="BB250" s="24" t="inlineStr">
        <is>
          <t>cfb_key_number_engine</t>
        </is>
      </c>
      <c r="BC250" s="24" t="inlineStr">
        <is>
          <t>college-football-v1</t>
        </is>
      </c>
      <c r="BD250" s="24" t="inlineStr">
        <is>
          <t>1d168f11d221cd3c</t>
        </is>
      </c>
      <c r="BE250" s="24" t="inlineStr">
        <is>
          <t>cfb-v1</t>
        </is>
      </c>
      <c r="BF250" s="24" t="inlineStr">
        <is>
          <t>1</t>
        </is>
      </c>
      <c r="BG250" s="24" t="inlineStr">
        <is>
          <t>1d168f11d221cd3c</t>
        </is>
      </c>
      <c r="BH250" s="24" t="inlineStr">
        <is>
          <t>2026-09-18T22:08:31.185025+00:00</t>
        </is>
      </c>
      <c r="BI250" s="24" t="inlineStr">
        <is>
          <t>["same_event","same_team_same_day","same_league_same_day"]</t>
        </is>
      </c>
      <c r="BJ250" s="25" t="n"/>
      <c r="BK250" s="26" t="n">
        <v>-310</v>
      </c>
      <c r="BL250" s="27" t="n">
        <v>1.322581</v>
      </c>
      <c r="BM250" s="28" t="n">
        <v>0.756098</v>
      </c>
      <c r="BN250" s="28" t="n"/>
      <c r="BO250" s="28" t="n"/>
      <c r="BP250" s="25" t="n"/>
      <c r="BQ250" s="27" t="n"/>
      <c r="BR250" s="28" t="n"/>
      <c r="BS250" s="28" t="n"/>
      <c r="BT250" s="28" t="n"/>
      <c r="BU250" s="25" t="n"/>
      <c r="BV250" s="29" t="n"/>
      <c r="BW250" s="24" t="n"/>
      <c r="BX250" s="30" t="n">
        <v>1</v>
      </c>
      <c r="BY250" s="27" t="n">
        <v>0.322581</v>
      </c>
      <c r="BZ250" s="24" t="inlineStr">
        <is>
          <t>2026-09-19T04:31:06.200300Z</t>
        </is>
      </c>
      <c r="CA250" s="31" t="inlineStr">
        <is>
          <t>fixed one-unit hypothetical scoring; no real exposure or execution</t>
        </is>
      </c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inlineStr">
        <is>
          <t>False</t>
        </is>
      </c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/>
      <c r="DH250" s="24" t="n"/>
      <c r="DI250" s="24" t="n"/>
      <c r="DJ250" s="24" t="inlineStr">
        <is>
          <t>0.756098</t>
        </is>
      </c>
      <c r="DK250" s="24" t="n"/>
      <c r="DL250" s="24" t="n"/>
      <c r="DM250" s="24" t="n"/>
      <c r="DN250" s="24" t="n"/>
      <c r="DO250" s="24" t="n"/>
      <c r="DP250" s="24" t="n"/>
      <c r="DQ250" s="24" t="inlineStr">
        <is>
          <t>{"artifact_hash": "1d168f11d221cd3c", "event_id": "401856811", "event_start_utc": "2026-09-19T00:00Z", "features": {"altitude_fatigue_penalty": 0.0, "away_team": "Houston Cougars", "efficiency_gap": -0.268, "elo_away": 1664.9, "elo_home": 1751.5, "elo_home_win_prob": 0.7054, "event_id": "401856811", "game_start_utc": "2026-09-19T00:00Z", "home_field_advantage_points": 2.8, "home_team": "Texas Tech Red Raiders", "is_dome": false, "is_fbs_vs_fcs": false, "is_neutral_site": false, "projected_away_points": 24.3, "projected_home_points": 30.5, "projected_margin_home": 6.2, "projected_possessions": 12.4, "projected_total": 54.8, "stadium_elevation_ft": 3200, "travel_distance_miles": 467.0, "uncertainty": 0.18, "weather_total_adjustment": 0.0}, "historical_source_observation_times_verified": false, "inference_inputs": {"engine_source_sha256": "449ba2f0e86fa9c445730076a0e0bf100fb4914620be53c75c6f3bfe24298f3f", "mu_away": 24.3, "mu_home": 30.5,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252180074984590786885946464101968613963}, "uinteger": 0}, "spread_home_line": -7.5, "total_line": 52.5}, "market_type": "moneyline", "model_version": "college-football-v1", "observed_at_utc": "2026-09-18T22:08:31.185025+00:00", "probabilities": {"away": 0.367168, "home": 0.632832}, "replay_scope": "Full precision score means, exact engine parameters and original RNG state; upstream feature construction not certified.", "schema": "cfb-joint-replay-v1", "snapshot_hash": "a728cf3496c80c2cc22d9f10cfb23dd60d10a7faa3a845e414052edfb2c031ad", "sport": "NCAAF"}</t>
        </is>
      </c>
    </row>
    <row r="251" ht="36" customHeight="1">
      <c r="A251" s="24" t="inlineStr">
        <is>
          <t>6bfe9494050e4dc3</t>
        </is>
      </c>
      <c r="B251" s="24" t="inlineStr">
        <is>
          <t>2026-09-18T22:08:31.185025Z</t>
        </is>
      </c>
      <c r="C251" s="24" t="inlineStr">
        <is>
          <t>2026-09-19T00:00Z</t>
        </is>
      </c>
      <c r="D251" s="24" t="inlineStr">
        <is>
          <t>401856811</t>
        </is>
      </c>
      <c r="E251" s="24" t="inlineStr">
        <is>
          <t>NCAAF</t>
        </is>
      </c>
      <c r="F251" s="24" t="inlineStr">
        <is>
          <t>Houston Cougars</t>
        </is>
      </c>
      <c r="G251" s="24" t="inlineStr">
        <is>
          <t>Texas Tech Red Raiders</t>
        </is>
      </c>
      <c r="H251" s="24" t="inlineStr">
        <is>
          <t>spread</t>
        </is>
      </c>
      <c r="I251" s="24" t="inlineStr">
        <is>
          <t>away</t>
        </is>
      </c>
      <c r="J251" s="25" t="n">
        <v>7.5</v>
      </c>
      <c r="K251" s="24" t="inlineStr">
        <is>
          <t>espn_consensus</t>
        </is>
      </c>
      <c r="L251" s="26" t="n">
        <v>-108</v>
      </c>
      <c r="M251" s="27" t="n">
        <v>1.925926</v>
      </c>
      <c r="N251" s="28" t="n">
        <v>0.519231</v>
      </c>
      <c r="O251" s="28" t="n">
        <v>0.522667</v>
      </c>
      <c r="P251" s="28" t="n">
        <v>0.18</v>
      </c>
      <c r="Q251" s="28" t="n">
        <v>0.003436</v>
      </c>
      <c r="R251" s="26" t="n">
        <v>0</v>
      </c>
      <c r="S251" s="29" t="n">
        <v>1</v>
      </c>
      <c r="T251" s="24" t="inlineStr">
        <is>
          <t>cfb-spread-v1</t>
        </is>
      </c>
      <c r="U251" s="24" t="inlineStr">
        <is>
          <t>settled</t>
        </is>
      </c>
      <c r="V251" s="24" t="inlineStr">
        <is>
          <t>win</t>
        </is>
      </c>
      <c r="W251" s="26" t="n">
        <v>26</v>
      </c>
      <c r="X251" s="26" t="n">
        <v>28</v>
      </c>
      <c r="Y251" s="25" t="n"/>
      <c r="Z251" s="26" t="n"/>
      <c r="AA251" s="28" t="n"/>
      <c r="AB251" s="28" t="n"/>
      <c r="AC251" s="30" t="n">
        <v>0.9258999999999999</v>
      </c>
      <c r="AD251" s="24" t="inlineStr">
        <is>
          <t>2026-09-19T04:31:06.605962Z</t>
        </is>
      </c>
      <c r="AE251" s="31" t="inlineStr">
        <is>
          <t>Projected home margin +6.2 pts. Spread: Home -7.5 / Away +7.5 -&gt; P(Away cover)=0.523, P(Home cover)=0.477, P(Push)=0.000.</t>
        </is>
      </c>
      <c r="AF251" s="31" t="inlineStr">
        <is>
          <t>College football model; multi-market (moneyline, spread, total).</t>
        </is>
      </c>
      <c r="AG251" s="24" t="inlineStr">
        <is>
          <t>not_applicable</t>
        </is>
      </c>
      <c r="AH251" s="24" t="n"/>
      <c r="AI251" s="31" t="n"/>
      <c r="AJ251" s="31" t="n"/>
      <c r="AK251" s="24" t="inlineStr">
        <is>
          <t>paper_call</t>
        </is>
      </c>
      <c r="AL251" s="26" t="n">
        <v>4</v>
      </c>
      <c r="AM251" s="24" t="inlineStr">
        <is>
          <t>RESEARCH_OBSERVATION</t>
        </is>
      </c>
      <c r="AN251" s="24" t="inlineStr">
        <is>
          <t>CALL</t>
        </is>
      </c>
      <c r="AO251" s="24" t="inlineStr">
        <is>
          <t>PAPER_CALL_LOW_EDGE</t>
        </is>
      </c>
      <c r="AP251" s="24" t="inlineStr">
        <is>
          <t>Houston Cougars</t>
        </is>
      </c>
      <c r="AQ251" s="24" t="inlineStr">
        <is>
          <t>Houston Cougars</t>
        </is>
      </c>
      <c r="AR251" s="24" t="inlineStr">
        <is>
          <t>Houston Cougars</t>
        </is>
      </c>
      <c r="AS251" s="24" t="inlineStr">
        <is>
          <t>Texas Tech Red Raiders</t>
        </is>
      </c>
      <c r="AT251" s="24" t="inlineStr">
        <is>
          <t>Texas Tech Red Raiders</t>
        </is>
      </c>
      <c r="AU251" s="24" t="inlineStr">
        <is>
          <t>Texas Tech Red Raiders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shadow_qualified</t>
        </is>
      </c>
      <c r="BA251" s="24" t="inlineStr">
        <is>
          <t>1d168f11d221cd3c</t>
        </is>
      </c>
      <c r="BB251" s="24" t="inlineStr">
        <is>
          <t>cfb_key_number_engine</t>
        </is>
      </c>
      <c r="BC251" s="24" t="inlineStr">
        <is>
          <t>cfb-spread-v1</t>
        </is>
      </c>
      <c r="BD251" s="24" t="inlineStr">
        <is>
          <t>1d168f11d221cd3c</t>
        </is>
      </c>
      <c r="BE251" s="24" t="inlineStr">
        <is>
          <t>cfb-v1</t>
        </is>
      </c>
      <c r="BF251" s="24" t="inlineStr">
        <is>
          <t>1</t>
        </is>
      </c>
      <c r="BG251" s="24" t="inlineStr">
        <is>
          <t>1d168f11d221cd3c</t>
        </is>
      </c>
      <c r="BH251" s="24" t="inlineStr">
        <is>
          <t>2026-09-18T22:08:31.185025+00:00</t>
        </is>
      </c>
      <c r="BI251" s="24" t="inlineStr">
        <is>
          <t>["same_event","same_team_same_day","same_league_same_day"]</t>
        </is>
      </c>
      <c r="BJ251" s="25" t="n">
        <v>7.5</v>
      </c>
      <c r="BK251" s="26" t="n">
        <v>-108</v>
      </c>
      <c r="BL251" s="27" t="n">
        <v>1.925926</v>
      </c>
      <c r="BM251" s="28" t="n">
        <v>0.519231</v>
      </c>
      <c r="BN251" s="28" t="n"/>
      <c r="BO251" s="28" t="n"/>
      <c r="BP251" s="25" t="n"/>
      <c r="BQ251" s="27" t="n"/>
      <c r="BR251" s="28" t="n"/>
      <c r="BS251" s="28" t="n"/>
      <c r="BT251" s="28" t="n"/>
      <c r="BU251" s="25" t="n"/>
      <c r="BV251" s="29" t="n"/>
      <c r="BW251" s="24" t="n"/>
      <c r="BX251" s="30" t="n">
        <v>1</v>
      </c>
      <c r="BY251" s="27" t="n">
        <v>0.925926</v>
      </c>
      <c r="BZ251" s="24" t="inlineStr">
        <is>
          <t>2026-09-19T04:31:06.605962Z</t>
        </is>
      </c>
      <c r="CA251" s="31" t="inlineStr">
        <is>
          <t>fixed one-unit hypothetical scoring; no real exposure or execution</t>
        </is>
      </c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  <c r="CR251" s="24" t="n"/>
      <c r="CS251" s="24" t="inlineStr">
        <is>
          <t>True</t>
        </is>
      </c>
      <c r="CT251" s="24" t="n"/>
      <c r="CU251" s="24" t="n"/>
      <c r="CV251" s="24" t="n"/>
      <c r="CW251" s="24" t="n"/>
      <c r="CX251" s="24" t="n"/>
      <c r="CY251" s="24" t="n"/>
      <c r="CZ251" s="24" t="n"/>
      <c r="DA251" s="24" t="n"/>
      <c r="DB251" s="24" t="n"/>
      <c r="DC251" s="24" t="n"/>
      <c r="DD251" s="24" t="n"/>
      <c r="DE251" s="24" t="n"/>
      <c r="DF251" s="24" t="n"/>
      <c r="DG251" s="24" t="n"/>
      <c r="DH251" s="24" t="n"/>
      <c r="DI251" s="24" t="n"/>
      <c r="DJ251" s="24" t="inlineStr">
        <is>
          <t>0.519231</t>
        </is>
      </c>
      <c r="DK251" s="24" t="n"/>
      <c r="DL251" s="24" t="n"/>
      <c r="DM251" s="24" t="n"/>
      <c r="DN251" s="24" t="n"/>
      <c r="DO251" s="24" t="n"/>
      <c r="DP251" s="24" t="n"/>
      <c r="DQ251" s="24" t="inlineStr">
        <is>
          <t>{"artifact_hash": "1d168f11d221cd3c", "event_id": "401856811", "event_start_utc": "2026-09-19T00:00Z", "features": {"altitude_fatigue_penalty": 0.0, "away_team": "Houston Cougars", "efficiency_gap": -0.268, "elo_away": 1664.9, "elo_home": 1751.5, "elo_home_win_prob": 0.7054, "event_id": "401856811", "game_start_utc": "2026-09-19T00:00Z", "home_field_advantage_points": 2.8, "home_team": "Texas Tech Red Raiders", "is_dome": false, "is_fbs_vs_fcs": false, "is_neutral_site": false, "projected_away_points": 24.3, "projected_home_points": 30.5, "projected_margin_home": 6.2, "projected_possessions": 12.4, "projected_total": 54.8, "stadium_elevation_ft": 3200, "travel_distance_miles": 467.0, "uncertainty": 0.18, "weather_total_adjustment": 0.0}, "historical_source_observation_times_verified": false, "inference_inputs": {"engine_source_sha256": "449ba2f0e86fa9c445730076a0e0bf100fb4914620be53c75c6f3bfe24298f3f", "mu_away": 24.3, "mu_home": 30.5,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252180074984590786885946464101968613963}, "uinteger": 0}, "spread_home_line": -7.5, "total_line": 52.5}, "market_type": "spread", "model_version": "cfb-spread-v1", "observed_at_utc": "2026-09-18T22:08:31.185025+00:00", "probabilities": {"away": 0.522667, "home": 0.477333, "push": 0.0}, "replay_scope": "Full precision score means, exact engine parameters and original RNG state; upstream feature construction not certified.", "schema": "cfb-joint-replay-v1", "snapshot_hash": "8eb695b17427bb277700b17acbaf3864a2d353674f9242c6ce4fe6f7af92d3e9", "sport": "NCAAF"}</t>
        </is>
      </c>
    </row>
    <row r="252" ht="36" customHeight="1">
      <c r="A252" s="24" t="inlineStr">
        <is>
          <t>87908bf778b54cbe</t>
        </is>
      </c>
      <c r="B252" s="24" t="inlineStr">
        <is>
          <t>2026-09-18T22:08:31.185025Z</t>
        </is>
      </c>
      <c r="C252" s="24" t="inlineStr">
        <is>
          <t>2026-09-19T00:00Z</t>
        </is>
      </c>
      <c r="D252" s="24" t="inlineStr">
        <is>
          <t>401856811</t>
        </is>
      </c>
      <c r="E252" s="24" t="inlineStr">
        <is>
          <t>NCAAF</t>
        </is>
      </c>
      <c r="F252" s="24" t="inlineStr">
        <is>
          <t>Houston Cougars</t>
        </is>
      </c>
      <c r="G252" s="24" t="inlineStr">
        <is>
          <t>Texas Tech Red Raiders</t>
        </is>
      </c>
      <c r="H252" s="24" t="inlineStr">
        <is>
          <t>total</t>
        </is>
      </c>
      <c r="I252" s="24" t="inlineStr">
        <is>
          <t>over</t>
        </is>
      </c>
      <c r="J252" s="25" t="n">
        <v>52.5</v>
      </c>
      <c r="K252" s="24" t="inlineStr">
        <is>
          <t>espn_consensus</t>
        </is>
      </c>
      <c r="L252" s="26" t="n">
        <v>-108</v>
      </c>
      <c r="M252" s="27" t="n">
        <v>1.925926</v>
      </c>
      <c r="N252" s="28" t="n">
        <v>0.519231</v>
      </c>
      <c r="O252" s="28" t="n">
        <v>0.509067</v>
      </c>
      <c r="P252" s="28" t="n">
        <v>0.18</v>
      </c>
      <c r="Q252" s="28" t="n">
        <v>-0.010164</v>
      </c>
      <c r="R252" s="26" t="n">
        <v>0</v>
      </c>
      <c r="S252" s="29" t="n">
        <v>1</v>
      </c>
      <c r="T252" s="24" t="inlineStr">
        <is>
          <t>cfb-total-v1</t>
        </is>
      </c>
      <c r="U252" s="24" t="inlineStr">
        <is>
          <t>settled</t>
        </is>
      </c>
      <c r="V252" s="24" t="inlineStr">
        <is>
          <t>win</t>
        </is>
      </c>
      <c r="W252" s="26" t="n">
        <v>26</v>
      </c>
      <c r="X252" s="26" t="n">
        <v>28</v>
      </c>
      <c r="Y252" s="25" t="n"/>
      <c r="Z252" s="26" t="n"/>
      <c r="AA252" s="28" t="n"/>
      <c r="AB252" s="28" t="n"/>
      <c r="AC252" s="30" t="n">
        <v>0.9258999999999999</v>
      </c>
      <c r="AD252" s="24" t="inlineStr">
        <is>
          <t>2026-09-19T04:31:07.005526Z</t>
        </is>
      </c>
      <c r="AE252" s="31" t="inlineStr">
        <is>
          <t>Projected total 54.8 pts (Weather adj: +0.0 pts). Total line 52.5 -&gt; P(Over)=0.509, P(Under)=0.491, P(Push)=0.000.</t>
        </is>
      </c>
      <c r="AF252" s="31" t="inlineStr">
        <is>
          <t>College football model; multi-market (moneyline, spread, total).</t>
        </is>
      </c>
      <c r="AG252" s="24" t="inlineStr">
        <is>
          <t>not_applicable</t>
        </is>
      </c>
      <c r="AH252" s="24" t="n"/>
      <c r="AI252" s="31" t="n"/>
      <c r="AJ252" s="31" t="n"/>
      <c r="AK252" s="24" t="inlineStr">
        <is>
          <t>paper_call</t>
        </is>
      </c>
      <c r="AL252" s="26" t="n">
        <v>4</v>
      </c>
      <c r="AM252" s="24" t="inlineStr">
        <is>
          <t>RESEARCH_OBSERVATION</t>
        </is>
      </c>
      <c r="AN252" s="24" t="inlineStr">
        <is>
          <t>CALL</t>
        </is>
      </c>
      <c r="AO252" s="24" t="inlineStr">
        <is>
          <t>PAPER_CALL_LOW_EDGE</t>
        </is>
      </c>
      <c r="AP252" s="24" t="inlineStr">
        <is>
          <t>Houston Cougars</t>
        </is>
      </c>
      <c r="AQ252" s="24" t="inlineStr">
        <is>
          <t>Houston Cougars</t>
        </is>
      </c>
      <c r="AR252" s="24" t="inlineStr">
        <is>
          <t>Houston Cougars</t>
        </is>
      </c>
      <c r="AS252" s="24" t="inlineStr">
        <is>
          <t>Texas Tech Red Raiders</t>
        </is>
      </c>
      <c r="AT252" s="24" t="inlineStr">
        <is>
          <t>Texas Tech Red Raiders</t>
        </is>
      </c>
      <c r="AU252" s="24" t="inlineStr">
        <is>
          <t>Texas Tech Red Raiders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shadow_qualified</t>
        </is>
      </c>
      <c r="BA252" s="24" t="inlineStr">
        <is>
          <t>1d168f11d221cd3c</t>
        </is>
      </c>
      <c r="BB252" s="24" t="inlineStr">
        <is>
          <t>cfb_key_number_engine</t>
        </is>
      </c>
      <c r="BC252" s="24" t="inlineStr">
        <is>
          <t>cfb-total-v1</t>
        </is>
      </c>
      <c r="BD252" s="24" t="inlineStr">
        <is>
          <t>1d168f11d221cd3c</t>
        </is>
      </c>
      <c r="BE252" s="24" t="inlineStr">
        <is>
          <t>cfb-v1</t>
        </is>
      </c>
      <c r="BF252" s="24" t="inlineStr">
        <is>
          <t>1</t>
        </is>
      </c>
      <c r="BG252" s="24" t="inlineStr">
        <is>
          <t>1d168f11d221cd3c</t>
        </is>
      </c>
      <c r="BH252" s="24" t="inlineStr">
        <is>
          <t>2026-09-18T22:08:31.185025+00:00</t>
        </is>
      </c>
      <c r="BI252" s="24" t="inlineStr">
        <is>
          <t>["same_event","same_team_same_day","same_league_same_day"]</t>
        </is>
      </c>
      <c r="BJ252" s="25" t="n">
        <v>52.5</v>
      </c>
      <c r="BK252" s="26" t="n">
        <v>-108</v>
      </c>
      <c r="BL252" s="27" t="n">
        <v>1.925926</v>
      </c>
      <c r="BM252" s="28" t="n">
        <v>0.519231</v>
      </c>
      <c r="BN252" s="28" t="n"/>
      <c r="BO252" s="28" t="n"/>
      <c r="BP252" s="25" t="n"/>
      <c r="BQ252" s="27" t="n"/>
      <c r="BR252" s="28" t="n"/>
      <c r="BS252" s="28" t="n"/>
      <c r="BT252" s="28" t="n"/>
      <c r="BU252" s="25" t="n"/>
      <c r="BV252" s="29" t="n"/>
      <c r="BW252" s="24" t="n"/>
      <c r="BX252" s="30" t="n">
        <v>1</v>
      </c>
      <c r="BY252" s="27" t="n">
        <v>0.925926</v>
      </c>
      <c r="BZ252" s="24" t="inlineStr">
        <is>
          <t>2026-09-19T04:31:07.005526Z</t>
        </is>
      </c>
      <c r="CA252" s="31" t="inlineStr">
        <is>
          <t>fixed one-unit hypothetical scoring; no real exposure or execution</t>
        </is>
      </c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  <c r="CR252" s="24" t="n"/>
      <c r="CS252" s="24" t="inlineStr">
        <is>
          <t>False</t>
        </is>
      </c>
      <c r="CT252" s="24" t="n"/>
      <c r="CU252" s="24" t="n"/>
      <c r="CV252" s="24" t="n"/>
      <c r="CW252" s="24" t="n"/>
      <c r="CX252" s="24" t="n"/>
      <c r="CY252" s="24" t="n"/>
      <c r="CZ252" s="24" t="n"/>
      <c r="DA252" s="24" t="n"/>
      <c r="DB252" s="24" t="n"/>
      <c r="DC252" s="24" t="n"/>
      <c r="DD252" s="24" t="n"/>
      <c r="DE252" s="24" t="n"/>
      <c r="DF252" s="24" t="n"/>
      <c r="DG252" s="24" t="n"/>
      <c r="DH252" s="24" t="n"/>
      <c r="DI252" s="24" t="n"/>
      <c r="DJ252" s="24" t="inlineStr">
        <is>
          <t>0.519231</t>
        </is>
      </c>
      <c r="DK252" s="24" t="n"/>
      <c r="DL252" s="24" t="n"/>
      <c r="DM252" s="24" t="n"/>
      <c r="DN252" s="24" t="n"/>
      <c r="DO252" s="24" t="n"/>
      <c r="DP252" s="24" t="n"/>
      <c r="DQ252" s="24" t="inlineStr">
        <is>
          <t>{"artifact_hash": "1d168f11d221cd3c", "event_id": "401856811", "event_start_utc": "2026-09-19T00:00Z", "features": {"altitude_fatigue_penalty": 0.0, "away_team": "Houston Cougars", "efficiency_gap": -0.268, "elo_away": 1664.9, "elo_home": 1751.5, "elo_home_win_prob": 0.7054, "event_id": "401856811", "game_start_utc": "2026-09-19T00:00Z", "home_field_advantage_points": 2.8, "home_team": "Texas Tech Red Raiders", "is_dome": false, "is_fbs_vs_fcs": false, "is_neutral_site": false, "projected_away_points": 24.3, "projected_home_points": 30.5, "projected_margin_home": 6.2, "projected_possessions": 12.4, "projected_total": 54.8, "stadium_elevation_ft": 3200, "travel_distance_miles": 467.0, "uncertainty": 0.18, "weather_total_adjustment": 0.0}, "historical_source_observation_times_verified": false, "inference_inputs": {"engine_source_sha256": "449ba2f0e86fa9c445730076a0e0bf100fb4914620be53c75c6f3bfe24298f3f", "mu_away": 24.3, "mu_home": 30.5,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252180074984590786885946464101968613963}, "uinteger": 0}, "spread_home_line": -7.5, "total_line": 52.5}, "market_type": "total", "model_version": "cfb-total-v1", "observed_at_utc": "2026-09-18T22:08:31.185025+00:00", "probabilities": {"over": 0.509067, "push": 0.0, "under": 0.490933}, "replay_scope": "Full precision score means, exact engine parameters and original RNG state; upstream feature construction not certified.", "schema": "cfb-joint-replay-v1", "snapshot_hash": "fca79a9d8affde02a56aace79b8a8b3303e5fa3aaf5ece2d20f924845943919f", "sport": "NCAAF"}</t>
        </is>
      </c>
    </row>
    <row r="253" ht="36" customHeight="1">
      <c r="A253" s="24" t="inlineStr">
        <is>
          <t>772b1fc65a974b26</t>
        </is>
      </c>
      <c r="B253" s="24" t="inlineStr">
        <is>
          <t>2026-09-18T22:08:31.185025Z</t>
        </is>
      </c>
      <c r="C253" s="24" t="inlineStr">
        <is>
          <t>2026-09-19T02:30Z</t>
        </is>
      </c>
      <c r="D253" s="24" t="inlineStr">
        <is>
          <t>401858455</t>
        </is>
      </c>
      <c r="E253" s="24" t="inlineStr">
        <is>
          <t>NCAAF</t>
        </is>
      </c>
      <c r="F253" s="24" t="inlineStr">
        <is>
          <t>Portland State Vikings</t>
        </is>
      </c>
      <c r="G253" s="24" t="inlineStr">
        <is>
          <t>Oregon Ducks</t>
        </is>
      </c>
      <c r="H253" s="24" t="inlineStr">
        <is>
          <t>spread</t>
        </is>
      </c>
      <c r="I253" s="24" t="inlineStr">
        <is>
          <t>away</t>
        </is>
      </c>
      <c r="J253" s="25" t="n">
        <v>58.5</v>
      </c>
      <c r="K253" s="24" t="inlineStr">
        <is>
          <t>espn_consensus</t>
        </is>
      </c>
      <c r="L253" s="26" t="n">
        <v>-110</v>
      </c>
      <c r="M253" s="27" t="n">
        <v>1.909091</v>
      </c>
      <c r="N253" s="28" t="n">
        <v>0.52381</v>
      </c>
      <c r="O253" s="28" t="n">
        <v>0.9718</v>
      </c>
      <c r="P253" s="28" t="n">
        <v>0.18</v>
      </c>
      <c r="Q253" s="28" t="n">
        <v>0.44799</v>
      </c>
      <c r="R253" s="26" t="n">
        <v>100</v>
      </c>
      <c r="S253" s="29" t="n">
        <v>2</v>
      </c>
      <c r="T253" s="24" t="inlineStr">
        <is>
          <t>cfb-spread-v1</t>
        </is>
      </c>
      <c r="U253" s="24" t="inlineStr">
        <is>
          <t>settled</t>
        </is>
      </c>
      <c r="V253" s="24" t="inlineStr">
        <is>
          <t>loss</t>
        </is>
      </c>
      <c r="W253" s="26" t="n">
        <v>0</v>
      </c>
      <c r="X253" s="26" t="n">
        <v>84</v>
      </c>
      <c r="Y253" s="25" t="n"/>
      <c r="Z253" s="26" t="n"/>
      <c r="AA253" s="28" t="n"/>
      <c r="AB253" s="28" t="n"/>
      <c r="AC253" s="30" t="n">
        <v>-2</v>
      </c>
      <c r="AD253" s="24" t="inlineStr">
        <is>
          <t>2026-09-19T10:00:16.267214Z</t>
        </is>
      </c>
      <c r="AE253" s="31" t="inlineStr">
        <is>
          <t>Projected home margin +20.1 pts. Spread: Home -58.5 / Away +58.5 -&gt; P(Away cover)=0.972, P(Home cover)=0.028, P(Push)=0.000.</t>
        </is>
      </c>
      <c r="AF253" s="31" t="inlineStr">
        <is>
          <t>College football model; multi-market (moneyline, spread, total).</t>
        </is>
      </c>
      <c r="AG253" s="24" t="inlineStr">
        <is>
          <t>review_required</t>
        </is>
      </c>
      <c r="AH253" s="24" t="n"/>
      <c r="AI253" s="31" t="n"/>
      <c r="AJ253" s="31" t="n"/>
      <c r="AK253" s="24" t="inlineStr">
        <is>
          <t>model_qualified</t>
        </is>
      </c>
      <c r="AL253" s="26" t="n">
        <v>4</v>
      </c>
      <c r="AM253" s="24" t="inlineStr">
        <is>
          <t>QUALIFIED_SHADOW_CALL</t>
        </is>
      </c>
      <c r="AN253" s="24" t="inlineStr">
        <is>
          <t>CALL</t>
        </is>
      </c>
      <c r="AO253" s="24" t="inlineStr">
        <is>
          <t>QUALIFIED</t>
        </is>
      </c>
      <c r="AP253" s="24" t="inlineStr">
        <is>
          <t>Portland State Vikings</t>
        </is>
      </c>
      <c r="AQ253" s="24" t="inlineStr">
        <is>
          <t>Portland State Vikings</t>
        </is>
      </c>
      <c r="AR253" s="24" t="inlineStr">
        <is>
          <t>Portland State Vikings</t>
        </is>
      </c>
      <c r="AS253" s="24" t="inlineStr">
        <is>
          <t>Oregon Ducks</t>
        </is>
      </c>
      <c r="AT253" s="24" t="inlineStr">
        <is>
          <t>Oregon Ducks</t>
        </is>
      </c>
      <c r="AU253" s="24" t="inlineStr">
        <is>
          <t>Oregon Ducks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shadow_qualified</t>
        </is>
      </c>
      <c r="BA253" s="24" t="inlineStr">
        <is>
          <t>1d168f11d221cd3c</t>
        </is>
      </c>
      <c r="BB253" s="24" t="inlineStr">
        <is>
          <t>cfb_key_number_engine</t>
        </is>
      </c>
      <c r="BC253" s="24" t="inlineStr">
        <is>
          <t>cfb-spread-v1</t>
        </is>
      </c>
      <c r="BD253" s="24" t="inlineStr">
        <is>
          <t>1d168f11d221cd3c</t>
        </is>
      </c>
      <c r="BE253" s="24" t="inlineStr">
        <is>
          <t>cfb-v1</t>
        </is>
      </c>
      <c r="BF253" s="24" t="inlineStr">
        <is>
          <t>1</t>
        </is>
      </c>
      <c r="BG253" s="24" t="inlineStr">
        <is>
          <t>1d168f11d221cd3c</t>
        </is>
      </c>
      <c r="BH253" s="24" t="inlineStr">
        <is>
          <t>2026-09-18T22:08:31.185025+00:00</t>
        </is>
      </c>
      <c r="BI253" s="24" t="inlineStr">
        <is>
          <t>["same_event","same_team_same_day","same_league_same_day"]</t>
        </is>
      </c>
      <c r="BJ253" s="25" t="n">
        <v>58.5</v>
      </c>
      <c r="BK253" s="26" t="n">
        <v>-110</v>
      </c>
      <c r="BL253" s="27" t="n">
        <v>1.909091</v>
      </c>
      <c r="BM253" s="28" t="n">
        <v>0.52381</v>
      </c>
      <c r="BN253" s="28" t="n"/>
      <c r="BO253" s="28" t="n"/>
      <c r="BP253" s="25" t="n"/>
      <c r="BQ253" s="27" t="n"/>
      <c r="BR253" s="28" t="n"/>
      <c r="BS253" s="28" t="n"/>
      <c r="BT253" s="28" t="n"/>
      <c r="BU253" s="25" t="n"/>
      <c r="BV253" s="29" t="n"/>
      <c r="BW253" s="24" t="n"/>
      <c r="BX253" s="30" t="n"/>
      <c r="BY253" s="27" t="n"/>
      <c r="BZ253" s="24" t="n"/>
      <c r="CA253" s="31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  <c r="CR253" s="24" t="n"/>
      <c r="CS253" s="24" t="inlineStr">
        <is>
          <t>True</t>
        </is>
      </c>
      <c r="CT253" s="24" t="n"/>
      <c r="CU253" s="24" t="n"/>
      <c r="CV253" s="24" t="n"/>
      <c r="CW253" s="24" t="n"/>
      <c r="CX253" s="24" t="n"/>
      <c r="CY253" s="24" t="n"/>
      <c r="CZ253" s="24" t="n"/>
      <c r="DA253" s="24" t="n"/>
      <c r="DB253" s="24" t="n"/>
      <c r="DC253" s="24" t="n"/>
      <c r="DD253" s="24" t="n"/>
      <c r="DE253" s="24" t="n"/>
      <c r="DF253" s="24" t="n"/>
      <c r="DG253" s="24" t="n"/>
      <c r="DH253" s="24" t="n"/>
      <c r="DI253" s="24" t="n"/>
      <c r="DJ253" s="24" t="inlineStr">
        <is>
          <t>0.52381</t>
        </is>
      </c>
      <c r="DK253" s="24" t="n"/>
      <c r="DL253" s="24" t="n"/>
      <c r="DM253" s="24" t="n"/>
      <c r="DN253" s="24" t="n"/>
      <c r="DO253" s="24" t="n"/>
      <c r="DP253" s="24" t="n"/>
      <c r="DQ253" s="24" t="inlineStr">
        <is>
          <t>{"artifact_hash": "1d168f11d221cd3c", "event_id": "401858455", "event_start_utc": "2026-09-19T02:30Z", "features": {"altitude_fatigue_penalty": 0.0, "away_team": "Portland State Vikings", "efficiency_gap": 1.837, "elo_away": 1337.5, "elo_home": 1764.6, "elo_home_win_prob": 0.9444, "event_id": "401858455", "game_start_utc": "2026-09-19T02:30Z", "home_field_advantage_points": 2.8, "home_team": "Oregon Ducks", "is_dome": false, "is_fbs_vs_fcs": false, "is_neutral_site": false, "projected_away_points": 17.0, "projected_home_points": 37.1, "projected_margin_home": 20.1, "projected_possessions": 12.4, "projected_total": 54.2,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262863909756515860721089210809180222623}, "uinteger": 0}, "spread_home_line": -58.5, "total_line": 71.5}, "market_type": "spread", "model_version": "cfb-spread-v1", "observed_at_utc": "2026-09-18T22:08:31.185025+00:00", "probabilities": {"away": 0.9718, "home": 0.0282, "push": 0.0}, "replay_scope": "Full precision score means, exact engine parameters and original RNG state; upstream feature construction not certified.", "schema": "cfb-joint-replay-v1", "snapshot_hash": "9f27369025cef3c80dc1b65e6e8378efaa5ec9829371453b709d0ef05d0ff0cc", "sport": "NCAAF"}</t>
        </is>
      </c>
    </row>
    <row r="254" ht="36" customHeight="1">
      <c r="A254" s="24" t="inlineStr">
        <is>
          <t>80cf7200c0104b30</t>
        </is>
      </c>
      <c r="B254" s="24" t="inlineStr">
        <is>
          <t>2026-09-18T22:08:31.185025Z</t>
        </is>
      </c>
      <c r="C254" s="24" t="inlineStr">
        <is>
          <t>2026-09-19T02:30Z</t>
        </is>
      </c>
      <c r="D254" s="24" t="inlineStr">
        <is>
          <t>401858455</t>
        </is>
      </c>
      <c r="E254" s="24" t="inlineStr">
        <is>
          <t>NCAAF</t>
        </is>
      </c>
      <c r="F254" s="24" t="inlineStr">
        <is>
          <t>Portland State Vikings</t>
        </is>
      </c>
      <c r="G254" s="24" t="inlineStr">
        <is>
          <t>Oregon Ducks</t>
        </is>
      </c>
      <c r="H254" s="24" t="inlineStr">
        <is>
          <t>total</t>
        </is>
      </c>
      <c r="I254" s="24" t="inlineStr">
        <is>
          <t>under</t>
        </is>
      </c>
      <c r="J254" s="25" t="n">
        <v>71.5</v>
      </c>
      <c r="K254" s="24" t="inlineStr">
        <is>
          <t>espn_consensus</t>
        </is>
      </c>
      <c r="L254" s="26" t="n">
        <v>-105</v>
      </c>
      <c r="M254" s="27" t="n">
        <v>1.952381</v>
      </c>
      <c r="N254" s="28" t="n">
        <v>0.512195</v>
      </c>
      <c r="O254" s="28" t="n">
        <v>0.779133</v>
      </c>
      <c r="P254" s="28" t="n">
        <v>0.18</v>
      </c>
      <c r="Q254" s="28" t="n">
        <v>0.266938</v>
      </c>
      <c r="R254" s="26" t="n">
        <v>75</v>
      </c>
      <c r="S254" s="29" t="n">
        <v>1.5</v>
      </c>
      <c r="T254" s="24" t="inlineStr">
        <is>
          <t>cfb-total-v1</t>
        </is>
      </c>
      <c r="U254" s="24" t="inlineStr">
        <is>
          <t>settled</t>
        </is>
      </c>
      <c r="V254" s="24" t="inlineStr">
        <is>
          <t>loss</t>
        </is>
      </c>
      <c r="W254" s="26" t="n">
        <v>0</v>
      </c>
      <c r="X254" s="26" t="n">
        <v>84</v>
      </c>
      <c r="Y254" s="25" t="n"/>
      <c r="Z254" s="26" t="n"/>
      <c r="AA254" s="28" t="n"/>
      <c r="AB254" s="28" t="n"/>
      <c r="AC254" s="30" t="n">
        <v>-1.5</v>
      </c>
      <c r="AD254" s="24" t="inlineStr">
        <is>
          <t>2026-09-19T10:00:16.681078Z</t>
        </is>
      </c>
      <c r="AE254" s="31" t="inlineStr">
        <is>
          <t>Projected total 54.2 pts (Weather adj: +0.0 pts). Total line 71.5 -&gt; P(Over)=0.221, P(Under)=0.779, P(Push)=0.000.</t>
        </is>
      </c>
      <c r="AF254" s="31" t="inlineStr">
        <is>
          <t>College football model; multi-market (moneyline, spread, total).</t>
        </is>
      </c>
      <c r="AG254" s="24" t="inlineStr">
        <is>
          <t>review_required</t>
        </is>
      </c>
      <c r="AH254" s="24" t="n"/>
      <c r="AI254" s="31" t="n"/>
      <c r="AJ254" s="31" t="n"/>
      <c r="AK254" s="24" t="inlineStr">
        <is>
          <t>model_qualified</t>
        </is>
      </c>
      <c r="AL254" s="26" t="n">
        <v>4</v>
      </c>
      <c r="AM254" s="24" t="inlineStr">
        <is>
          <t>QUALIFIED_SHADOW_CALL</t>
        </is>
      </c>
      <c r="AN254" s="24" t="inlineStr">
        <is>
          <t>CALL</t>
        </is>
      </c>
      <c r="AO254" s="24" t="inlineStr">
        <is>
          <t>QUALIFIED</t>
        </is>
      </c>
      <c r="AP254" s="24" t="inlineStr">
        <is>
          <t>Portland State Vikings</t>
        </is>
      </c>
      <c r="AQ254" s="24" t="inlineStr">
        <is>
          <t>Portland State Vikings</t>
        </is>
      </c>
      <c r="AR254" s="24" t="inlineStr">
        <is>
          <t>Portland State Vikings</t>
        </is>
      </c>
      <c r="AS254" s="24" t="inlineStr">
        <is>
          <t>Oregon Ducks</t>
        </is>
      </c>
      <c r="AT254" s="24" t="inlineStr">
        <is>
          <t>Oregon Ducks</t>
        </is>
      </c>
      <c r="AU254" s="24" t="inlineStr">
        <is>
          <t>Oregon Ducks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shadow_qualified</t>
        </is>
      </c>
      <c r="BA254" s="24" t="inlineStr">
        <is>
          <t>1d168f11d221cd3c</t>
        </is>
      </c>
      <c r="BB254" s="24" t="inlineStr">
        <is>
          <t>cfb_key_number_engine</t>
        </is>
      </c>
      <c r="BC254" s="24" t="inlineStr">
        <is>
          <t>cfb-total-v1</t>
        </is>
      </c>
      <c r="BD254" s="24" t="inlineStr">
        <is>
          <t>1d168f11d221cd3c</t>
        </is>
      </c>
      <c r="BE254" s="24" t="inlineStr">
        <is>
          <t>cfb-v1</t>
        </is>
      </c>
      <c r="BF254" s="24" t="inlineStr">
        <is>
          <t>1</t>
        </is>
      </c>
      <c r="BG254" s="24" t="inlineStr">
        <is>
          <t>1d168f11d221cd3c</t>
        </is>
      </c>
      <c r="BH254" s="24" t="inlineStr">
        <is>
          <t>2026-09-18T22:08:31.185025+00:00</t>
        </is>
      </c>
      <c r="BI254" s="24" t="inlineStr">
        <is>
          <t>["same_event","same_team_same_day","same_league_same_day"]</t>
        </is>
      </c>
      <c r="BJ254" s="25" t="n">
        <v>71.5</v>
      </c>
      <c r="BK254" s="26" t="n">
        <v>-105</v>
      </c>
      <c r="BL254" s="27" t="n">
        <v>1.952381</v>
      </c>
      <c r="BM254" s="28" t="n">
        <v>0.512195</v>
      </c>
      <c r="BN254" s="28" t="n"/>
      <c r="BO254" s="28" t="n"/>
      <c r="BP254" s="25" t="n"/>
      <c r="BQ254" s="27" t="n"/>
      <c r="BR254" s="28" t="n"/>
      <c r="BS254" s="28" t="n"/>
      <c r="BT254" s="28" t="n"/>
      <c r="BU254" s="25" t="n"/>
      <c r="BV254" s="29" t="n"/>
      <c r="BW254" s="24" t="n"/>
      <c r="BX254" s="30" t="n"/>
      <c r="BY254" s="27" t="n"/>
      <c r="BZ254" s="24" t="n"/>
      <c r="CA254" s="31" t="n"/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  <c r="CR254" s="24" t="n"/>
      <c r="CS254" s="24" t="inlineStr">
        <is>
          <t>True</t>
        </is>
      </c>
      <c r="CT254" s="24" t="n"/>
      <c r="CU254" s="24" t="n"/>
      <c r="CV254" s="24" t="n"/>
      <c r="CW254" s="24" t="n"/>
      <c r="CX254" s="24" t="n"/>
      <c r="CY254" s="24" t="n"/>
      <c r="CZ254" s="24" t="n"/>
      <c r="DA254" s="24" t="n"/>
      <c r="DB254" s="24" t="n"/>
      <c r="DC254" s="24" t="n"/>
      <c r="DD254" s="24" t="n"/>
      <c r="DE254" s="24" t="n"/>
      <c r="DF254" s="24" t="n"/>
      <c r="DG254" s="24" t="n"/>
      <c r="DH254" s="24" t="n"/>
      <c r="DI254" s="24" t="n"/>
      <c r="DJ254" s="24" t="inlineStr">
        <is>
          <t>0.512195</t>
        </is>
      </c>
      <c r="DK254" s="24" t="n"/>
      <c r="DL254" s="24" t="n"/>
      <c r="DM254" s="24" t="n"/>
      <c r="DN254" s="24" t="n"/>
      <c r="DO254" s="24" t="n"/>
      <c r="DP254" s="24" t="n"/>
      <c r="DQ254" s="24" t="inlineStr">
        <is>
          <t>{"artifact_hash": "1d168f11d221cd3c", "event_id": "401858455", "event_start_utc": "2026-09-19T02:30Z", "features": {"altitude_fatigue_penalty": 0.0, "away_team": "Portland State Vikings", "efficiency_gap": 1.837, "elo_away": 1337.5, "elo_home": 1764.6, "elo_home_win_prob": 0.9444, "event_id": "401858455", "game_start_utc": "2026-09-19T02:30Z", "home_field_advantage_points": 2.8, "home_team": "Oregon Ducks", "is_dome": false, "is_fbs_vs_fcs": false, "is_neutral_site": false, "projected_away_points": 17.0, "projected_home_points": 37.1, "projected_margin_home": 20.1, "projected_possessions": 12.4, "projected_total": 54.2,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262863909756515860721089210809180222623}, "uinteger": 0}, "spread_home_line": -58.5, "total_line": 71.5}, "market_type": "total", "model_version": "cfb-total-v1", "observed_at_utc": "2026-09-18T22:08:31.185025+00:00", "probabilities": {"over": 0.220867, "push": 0.0, "under": 0.779133}, "replay_scope": "Full precision score means, exact engine parameters and original RNG state; upstream feature construction not certified.", "schema": "cfb-joint-replay-v1", "snapshot_hash": "773afe2b71cb898c7209420f4487e6392fb389da36eae66551baa45bb1679cca", "sport": "NCAAF"}</t>
        </is>
      </c>
    </row>
    <row r="255" ht="36" customHeight="1">
      <c r="A255" s="24" t="inlineStr">
        <is>
          <t>f8d988023387407a</t>
        </is>
      </c>
      <c r="B255" s="24" t="inlineStr">
        <is>
          <t>2026-09-19T11:12:59.236900Z</t>
        </is>
      </c>
      <c r="C255" s="24" t="inlineStr">
        <is>
          <t>2026-09-19T15:30Z</t>
        </is>
      </c>
      <c r="D255" s="24" t="inlineStr">
        <is>
          <t>401869940</t>
        </is>
      </c>
      <c r="E255" s="24" t="inlineStr">
        <is>
          <t>NCAAF</t>
        </is>
      </c>
      <c r="F255" s="24" t="inlineStr">
        <is>
          <t>Coastal Carolina Chanticleers</t>
        </is>
      </c>
      <c r="G255" s="24" t="inlineStr">
        <is>
          <t>Delaware Blue Hens</t>
        </is>
      </c>
      <c r="H255" s="24" t="inlineStr">
        <is>
          <t>moneyline</t>
        </is>
      </c>
      <c r="I255" s="24" t="inlineStr">
        <is>
          <t>home</t>
        </is>
      </c>
      <c r="J255" s="25" t="n"/>
      <c r="K255" s="24" t="inlineStr">
        <is>
          <t>espn_consensus</t>
        </is>
      </c>
      <c r="L255" s="26" t="n">
        <v>-205</v>
      </c>
      <c r="M255" s="27" t="n">
        <v>1.487805</v>
      </c>
      <c r="N255" s="28" t="n">
        <v>0.672131</v>
      </c>
      <c r="O255" s="28" t="n">
        <v>0.636723</v>
      </c>
      <c r="P255" s="28" t="n">
        <v>0.18</v>
      </c>
      <c r="Q255" s="28" t="n">
        <v>-0.035408</v>
      </c>
      <c r="R255" s="26" t="n">
        <v>0</v>
      </c>
      <c r="S255" s="29" t="n">
        <v>1</v>
      </c>
      <c r="T255" s="24" t="inlineStr">
        <is>
          <t>college-football-v1</t>
        </is>
      </c>
      <c r="U255" s="24" t="inlineStr">
        <is>
          <t>settled</t>
        </is>
      </c>
      <c r="V255" s="24" t="inlineStr">
        <is>
          <t>win</t>
        </is>
      </c>
      <c r="W255" s="26" t="n">
        <v>14</v>
      </c>
      <c r="X255" s="26" t="n">
        <v>22</v>
      </c>
      <c r="Y255" s="25" t="n"/>
      <c r="Z255" s="26" t="n"/>
      <c r="AA255" s="28" t="n"/>
      <c r="AB255" s="28" t="n"/>
      <c r="AC255" s="30" t="n">
        <v>0.4878</v>
      </c>
      <c r="AD255" s="24" t="inlineStr">
        <is>
          <t>2026-09-19T22:00:15.312673Z</t>
        </is>
      </c>
      <c r="AE255" s="31" t="inlineStr">
        <is>
          <t>CFB Joint Model (negative_binomial): proj score Coastal Carolina Chanticleers 23.3 @ Delaware Blue Hens 29.6 (Margin +6.4). Possessions: 12.4, HFA: +2.8 pts.</t>
        </is>
      </c>
      <c r="AF255" s="31" t="inlineStr">
        <is>
          <t>College football model; multi-market (moneyline, spread, total).</t>
        </is>
      </c>
      <c r="AG255" s="24" t="inlineStr">
        <is>
          <t>not_applicable</t>
        </is>
      </c>
      <c r="AH255" s="24" t="n"/>
      <c r="AI255" s="31" t="n"/>
      <c r="AJ255" s="31" t="n"/>
      <c r="AK255" s="24" t="inlineStr">
        <is>
          <t>paper_call</t>
        </is>
      </c>
      <c r="AL255" s="26" t="n">
        <v>4</v>
      </c>
      <c r="AM255" s="24" t="inlineStr">
        <is>
          <t>RESEARCH_OBSERVATION</t>
        </is>
      </c>
      <c r="AN255" s="24" t="inlineStr">
        <is>
          <t>CALL</t>
        </is>
      </c>
      <c r="AO255" s="24" t="inlineStr">
        <is>
          <t>PAPER_CALL_LOW_EDGE</t>
        </is>
      </c>
      <c r="AP255" s="24" t="inlineStr">
        <is>
          <t>Coastal Carolina Chanticleers</t>
        </is>
      </c>
      <c r="AQ255" s="24" t="inlineStr">
        <is>
          <t>Coastal Carolina Chanticleers</t>
        </is>
      </c>
      <c r="AR255" s="24" t="inlineStr">
        <is>
          <t>Coastal Carolina Chanticleers</t>
        </is>
      </c>
      <c r="AS255" s="24" t="inlineStr">
        <is>
          <t>Delaware Blue Hens</t>
        </is>
      </c>
      <c r="AT255" s="24" t="inlineStr">
        <is>
          <t>Delaware Blue Hens</t>
        </is>
      </c>
      <c r="AU255" s="24" t="inlineStr">
        <is>
          <t>Delaware Blue Hens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shadow_qualified</t>
        </is>
      </c>
      <c r="BA255" s="24" t="inlineStr">
        <is>
          <t>1d168f11d221cd3c</t>
        </is>
      </c>
      <c r="BB255" s="24" t="inlineStr">
        <is>
          <t>cfb_key_number_engine</t>
        </is>
      </c>
      <c r="BC255" s="24" t="inlineStr">
        <is>
          <t>college-football-v1</t>
        </is>
      </c>
      <c r="BD255" s="24" t="inlineStr">
        <is>
          <t>1d168f11d221cd3c</t>
        </is>
      </c>
      <c r="BE255" s="24" t="inlineStr">
        <is>
          <t>cfb-v1</t>
        </is>
      </c>
      <c r="BF255" s="24" t="inlineStr">
        <is>
          <t>1</t>
        </is>
      </c>
      <c r="BG255" s="24" t="inlineStr">
        <is>
          <t>1d168f11d221cd3c</t>
        </is>
      </c>
      <c r="BH255" s="24" t="inlineStr">
        <is>
          <t>2026-09-19T11:12:59.236900+00:00</t>
        </is>
      </c>
      <c r="BI255" s="24" t="inlineStr">
        <is>
          <t>["same_event","same_team_same_day","same_league_same_day"]</t>
        </is>
      </c>
      <c r="BJ255" s="25" t="n"/>
      <c r="BK255" s="26" t="n">
        <v>-205</v>
      </c>
      <c r="BL255" s="27" t="n">
        <v>1.487805</v>
      </c>
      <c r="BM255" s="28" t="n">
        <v>0.672131</v>
      </c>
      <c r="BN255" s="28" t="n"/>
      <c r="BO255" s="28" t="n"/>
      <c r="BP255" s="25" t="n"/>
      <c r="BQ255" s="27" t="n"/>
      <c r="BR255" s="28" t="n"/>
      <c r="BS255" s="28" t="n"/>
      <c r="BT255" s="28" t="n"/>
      <c r="BU255" s="25" t="n"/>
      <c r="BV255" s="29" t="n"/>
      <c r="BW255" s="24" t="n"/>
      <c r="BX255" s="30" t="n">
        <v>1</v>
      </c>
      <c r="BY255" s="27" t="n">
        <v>0.487805</v>
      </c>
      <c r="BZ255" s="24" t="inlineStr">
        <is>
          <t>2026-09-19T22:00:15.312673Z</t>
        </is>
      </c>
      <c r="CA255" s="31" t="inlineStr">
        <is>
          <t>fixed one-unit hypothetical scoring; no real exposure or execution</t>
        </is>
      </c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  <c r="CR255" s="24" t="n"/>
      <c r="CS255" s="24" t="inlineStr">
        <is>
          <t>False</t>
        </is>
      </c>
      <c r="CT255" s="24" t="n"/>
      <c r="CU255" s="24" t="n"/>
      <c r="CV255" s="24" t="n"/>
      <c r="CW255" s="24" t="n"/>
      <c r="CX255" s="24" t="n"/>
      <c r="CY255" s="24" t="n"/>
      <c r="CZ255" s="24" t="n"/>
      <c r="DA255" s="24" t="n"/>
      <c r="DB255" s="24" t="n"/>
      <c r="DC255" s="24" t="n"/>
      <c r="DD255" s="24" t="n"/>
      <c r="DE255" s="24" t="n"/>
      <c r="DF255" s="24" t="n"/>
      <c r="DG255" s="24" t="n"/>
      <c r="DH255" s="24" t="n"/>
      <c r="DI255" s="24" t="n"/>
      <c r="DJ255" s="24" t="inlineStr">
        <is>
          <t>0.672131</t>
        </is>
      </c>
      <c r="DK255" s="24" t="n"/>
      <c r="DL255" s="24" t="n"/>
      <c r="DM255" s="24" t="n"/>
      <c r="DN255" s="24" t="n"/>
      <c r="DO255" s="24" t="n"/>
      <c r="DP255" s="24" t="n"/>
      <c r="DQ255" s="24" t="inlineStr">
        <is>
          <t>{"artifact_hash": "1d168f11d221cd3c", "event_id": "401869940", "event_start_utc": "2026-09-19T15:30Z", "features": {"altitude_fatigue_penalty": 0.0, "away_team": "Coastal Carolina Chanticleers", "efficiency_gap": -0.416, "elo_away": 1297.7, "elo_home": 1388.3, "elo_home_win_prob": 0.7101, "event_id": "401869940", "game_start_utc": "2026-09-19T15:30Z", "home_field_advantage_points": 2.8, "home_team": "Delaware Blue Hens", "is_dome": false, "is_fbs_vs_fcs": false, "is_neutral_site": false, "projected_away_points": 23.3, "projected_home_points": 29.6, "projected_margin_home": 6.4, "projected_possessions": 12.4, "projected_total": 52.9, "stadium_elevation_ft": 90, "travel_distance_miles": 444.0, "uncertainty": 0.18, "weather_total_adjustment": 0.0}, "historical_source_observation_times_verified": false, "inference_inputs": {"engine_source_sha256": "449ba2f0e86fa9c445730076a0e0bf100fb4914620be53c75c6f3bfe24298f3f", "mu_away": 23.3, "mu_home": 29.6,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-5.5, "total_line": 56.5}, "market_type": "moneyline", "model_version": "college-football-v1", "observed_at_utc": "2026-09-19T11:12:59.236900+00:00", "probabilities": {"away": 0.363277, "home": 0.636723}, "replay_scope": "Full precision score means, exact engine parameters and original RNG state; upstream feature construction not certified.", "schema": "cfb-joint-replay-v1", "snapshot_hash": "17eba355481a8315603ededea3ad3dd4889ff33eb888a88bc9126bc633c4a5e7", "sport": "NCAAF"}</t>
        </is>
      </c>
    </row>
    <row r="256" ht="36" customHeight="1">
      <c r="A256" s="24" t="inlineStr">
        <is>
          <t>0aeafd5d382e404f</t>
        </is>
      </c>
      <c r="B256" s="24" t="inlineStr">
        <is>
          <t>2026-09-19T11:12:59.236900Z</t>
        </is>
      </c>
      <c r="C256" s="24" t="inlineStr">
        <is>
          <t>2026-09-19T15:30Z</t>
        </is>
      </c>
      <c r="D256" s="24" t="inlineStr">
        <is>
          <t>401869940</t>
        </is>
      </c>
      <c r="E256" s="24" t="inlineStr">
        <is>
          <t>NCAAF</t>
        </is>
      </c>
      <c r="F256" s="24" t="inlineStr">
        <is>
          <t>Coastal Carolina Chanticleers</t>
        </is>
      </c>
      <c r="G256" s="24" t="inlineStr">
        <is>
          <t>Delaware Blue Hens</t>
        </is>
      </c>
      <c r="H256" s="24" t="inlineStr">
        <is>
          <t>spread</t>
        </is>
      </c>
      <c r="I256" s="24" t="inlineStr">
        <is>
          <t>home</t>
        </is>
      </c>
      <c r="J256" s="25" t="n">
        <v>-5.5</v>
      </c>
      <c r="K256" s="24" t="inlineStr">
        <is>
          <t>espn_consensus</t>
        </is>
      </c>
      <c r="L256" s="26" t="n">
        <v>-105</v>
      </c>
      <c r="M256" s="27" t="n">
        <v>1.952381</v>
      </c>
      <c r="N256" s="28" t="n">
        <v>0.512195</v>
      </c>
      <c r="O256" s="28" t="n">
        <v>0.519267</v>
      </c>
      <c r="P256" s="28" t="n">
        <v>0.18</v>
      </c>
      <c r="Q256" s="28" t="n">
        <v>0.007072</v>
      </c>
      <c r="R256" s="26" t="n">
        <v>0</v>
      </c>
      <c r="S256" s="29" t="n">
        <v>1</v>
      </c>
      <c r="T256" s="24" t="inlineStr">
        <is>
          <t>cfb-spread-v1</t>
        </is>
      </c>
      <c r="U256" s="24" t="inlineStr">
        <is>
          <t>settled</t>
        </is>
      </c>
      <c r="V256" s="24" t="inlineStr">
        <is>
          <t>win</t>
        </is>
      </c>
      <c r="W256" s="26" t="n">
        <v>14</v>
      </c>
      <c r="X256" s="26" t="n">
        <v>22</v>
      </c>
      <c r="Y256" s="25" t="n"/>
      <c r="Z256" s="26" t="n"/>
      <c r="AA256" s="28" t="n"/>
      <c r="AB256" s="28" t="n"/>
      <c r="AC256" s="30" t="n">
        <v>0.9524</v>
      </c>
      <c r="AD256" s="24" t="inlineStr">
        <is>
          <t>2026-09-19T22:00:15.743660Z</t>
        </is>
      </c>
      <c r="AE256" s="31" t="inlineStr">
        <is>
          <t>Projected home margin +6.4 pts. Spread: Home -5.5 / Away +5.5 -&gt; P(Away cover)=0.481, P(Home cover)=0.519, P(Push)=0.000.</t>
        </is>
      </c>
      <c r="AF256" s="31" t="inlineStr">
        <is>
          <t>College football model; multi-market (moneyline, spread, total).</t>
        </is>
      </c>
      <c r="AG256" s="24" t="inlineStr">
        <is>
          <t>not_applicable</t>
        </is>
      </c>
      <c r="AH256" s="24" t="n"/>
      <c r="AI256" s="31" t="n"/>
      <c r="AJ256" s="31" t="n"/>
      <c r="AK256" s="24" t="inlineStr">
        <is>
          <t>paper_call</t>
        </is>
      </c>
      <c r="AL256" s="26" t="n">
        <v>4</v>
      </c>
      <c r="AM256" s="24" t="inlineStr">
        <is>
          <t>RESEARCH_OBSERVATION</t>
        </is>
      </c>
      <c r="AN256" s="24" t="inlineStr">
        <is>
          <t>CALL</t>
        </is>
      </c>
      <c r="AO256" s="24" t="inlineStr">
        <is>
          <t>PAPER_CALL_LOW_EDGE</t>
        </is>
      </c>
      <c r="AP256" s="24" t="inlineStr">
        <is>
          <t>Coastal Carolina Chanticleers</t>
        </is>
      </c>
      <c r="AQ256" s="24" t="inlineStr">
        <is>
          <t>Coastal Carolina Chanticleers</t>
        </is>
      </c>
      <c r="AR256" s="24" t="inlineStr">
        <is>
          <t>Coastal Carolina Chanticleers</t>
        </is>
      </c>
      <c r="AS256" s="24" t="inlineStr">
        <is>
          <t>Delaware Blue Hens</t>
        </is>
      </c>
      <c r="AT256" s="24" t="inlineStr">
        <is>
          <t>Delaware Blue Hens</t>
        </is>
      </c>
      <c r="AU256" s="24" t="inlineStr">
        <is>
          <t>Delaware Blue Hens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shadow_qualified</t>
        </is>
      </c>
      <c r="BA256" s="24" t="inlineStr">
        <is>
          <t>1d168f11d221cd3c</t>
        </is>
      </c>
      <c r="BB256" s="24" t="inlineStr">
        <is>
          <t>cfb_key_number_engine</t>
        </is>
      </c>
      <c r="BC256" s="24" t="inlineStr">
        <is>
          <t>cfb-spread-v1</t>
        </is>
      </c>
      <c r="BD256" s="24" t="inlineStr">
        <is>
          <t>1d168f11d221cd3c</t>
        </is>
      </c>
      <c r="BE256" s="24" t="inlineStr">
        <is>
          <t>cfb-v1</t>
        </is>
      </c>
      <c r="BF256" s="24" t="inlineStr">
        <is>
          <t>1</t>
        </is>
      </c>
      <c r="BG256" s="24" t="inlineStr">
        <is>
          <t>1d168f11d221cd3c</t>
        </is>
      </c>
      <c r="BH256" s="24" t="inlineStr">
        <is>
          <t>2026-09-19T11:12:59.236900+00:00</t>
        </is>
      </c>
      <c r="BI256" s="24" t="inlineStr">
        <is>
          <t>["same_event","same_team_same_day","same_league_same_day"]</t>
        </is>
      </c>
      <c r="BJ256" s="25" t="n">
        <v>-5.5</v>
      </c>
      <c r="BK256" s="26" t="n">
        <v>-105</v>
      </c>
      <c r="BL256" s="27" t="n">
        <v>1.952381</v>
      </c>
      <c r="BM256" s="28" t="n">
        <v>0.512195</v>
      </c>
      <c r="BN256" s="28" t="n"/>
      <c r="BO256" s="28" t="n"/>
      <c r="BP256" s="25" t="n"/>
      <c r="BQ256" s="27" t="n"/>
      <c r="BR256" s="28" t="n"/>
      <c r="BS256" s="28" t="n"/>
      <c r="BT256" s="28" t="n"/>
      <c r="BU256" s="25" t="n"/>
      <c r="BV256" s="29" t="n"/>
      <c r="BW256" s="24" t="n"/>
      <c r="BX256" s="30" t="n">
        <v>1</v>
      </c>
      <c r="BY256" s="27" t="n">
        <v>0.952381</v>
      </c>
      <c r="BZ256" s="24" t="inlineStr">
        <is>
          <t>2026-09-19T22:00:15.743660Z</t>
        </is>
      </c>
      <c r="CA256" s="31" t="inlineStr">
        <is>
          <t>fixed one-unit hypothetical scoring; no real exposure or execution</t>
        </is>
      </c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inlineStr">
        <is>
          <t>True</t>
        </is>
      </c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/>
      <c r="DH256" s="24" t="n"/>
      <c r="DI256" s="24" t="n"/>
      <c r="DJ256" s="24" t="inlineStr">
        <is>
          <t>0.512195</t>
        </is>
      </c>
      <c r="DK256" s="24" t="n"/>
      <c r="DL256" s="24" t="n"/>
      <c r="DM256" s="24" t="n"/>
      <c r="DN256" s="24" t="n"/>
      <c r="DO256" s="24" t="n"/>
      <c r="DP256" s="24" t="n"/>
      <c r="DQ256" s="24" t="inlineStr">
        <is>
          <t>{"artifact_hash": "1d168f11d221cd3c", "event_id": "401869940", "event_start_utc": "2026-09-19T15:30Z", "features": {"altitude_fatigue_penalty": 0.0, "away_team": "Coastal Carolina Chanticleers", "efficiency_gap": -0.416, "elo_away": 1297.7, "elo_home": 1388.3, "elo_home_win_prob": 0.7101, "event_id": "401869940", "game_start_utc": "2026-09-19T15:30Z", "home_field_advantage_points": 2.8, "home_team": "Delaware Blue Hens", "is_dome": false, "is_fbs_vs_fcs": false, "is_neutral_site": false, "projected_away_points": 23.3, "projected_home_points": 29.6, "projected_margin_home": 6.4, "projected_possessions": 12.4, "projected_total": 52.9, "stadium_elevation_ft": 90, "travel_distance_miles": 444.0, "uncertainty": 0.18, "weather_total_adjustment": 0.0}, "historical_source_observation_times_verified": false, "inference_inputs": {"engine_source_sha256": "449ba2f0e86fa9c445730076a0e0bf100fb4914620be53c75c6f3bfe24298f3f", "mu_away": 23.3, "mu_home": 29.6,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-5.5, "total_line": 56.5}, "market_type": "spread", "model_version": "cfb-spread-v1", "observed_at_utc": "2026-09-19T11:12:59.236900+00:00", "probabilities": {"away": 0.480733, "home": 0.519267, "push": 0.0}, "replay_scope": "Full precision score means, exact engine parameters and original RNG state; upstream feature construction not certified.", "schema": "cfb-joint-replay-v1", "snapshot_hash": "0622500e8e0a0d4fca84f9a89085a37f20d30fc1c0679148f9cce829b3242ed3", "sport": "NCAAF"}</t>
        </is>
      </c>
    </row>
    <row r="257" ht="36" customHeight="1">
      <c r="A257" s="24" t="inlineStr">
        <is>
          <t>e3b83c08f909423a</t>
        </is>
      </c>
      <c r="B257" s="24" t="inlineStr">
        <is>
          <t>2026-09-19T11:12:59.236900Z</t>
        </is>
      </c>
      <c r="C257" s="24" t="inlineStr">
        <is>
          <t>2026-09-19T15:30Z</t>
        </is>
      </c>
      <c r="D257" s="24" t="inlineStr">
        <is>
          <t>401869940</t>
        </is>
      </c>
      <c r="E257" s="24" t="inlineStr">
        <is>
          <t>NCAAF</t>
        </is>
      </c>
      <c r="F257" s="24" t="inlineStr">
        <is>
          <t>Coastal Carolina Chanticleers</t>
        </is>
      </c>
      <c r="G257" s="24" t="inlineStr">
        <is>
          <t>Delaware Blue Hens</t>
        </is>
      </c>
      <c r="H257" s="24" t="inlineStr">
        <is>
          <t>total</t>
        </is>
      </c>
      <c r="I257" s="24" t="inlineStr">
        <is>
          <t>under</t>
        </is>
      </c>
      <c r="J257" s="25" t="n">
        <v>56.5</v>
      </c>
      <c r="K257" s="24" t="inlineStr">
        <is>
          <t>espn_consensus</t>
        </is>
      </c>
      <c r="L257" s="26" t="n">
        <v>-108</v>
      </c>
      <c r="M257" s="27" t="n">
        <v>1.925926</v>
      </c>
      <c r="N257" s="28" t="n">
        <v>0.519231</v>
      </c>
      <c r="O257" s="28" t="n">
        <v>0.586333</v>
      </c>
      <c r="P257" s="28" t="n">
        <v>0.18</v>
      </c>
      <c r="Q257" s="28" t="n">
        <v>0.06710199999999999</v>
      </c>
      <c r="R257" s="26" t="n">
        <v>0</v>
      </c>
      <c r="S257" s="29" t="n">
        <v>1</v>
      </c>
      <c r="T257" s="24" t="inlineStr">
        <is>
          <t>cfb-total-v1</t>
        </is>
      </c>
      <c r="U257" s="24" t="inlineStr">
        <is>
          <t>settled</t>
        </is>
      </c>
      <c r="V257" s="24" t="inlineStr">
        <is>
          <t>win</t>
        </is>
      </c>
      <c r="W257" s="26" t="n">
        <v>14</v>
      </c>
      <c r="X257" s="26" t="n">
        <v>22</v>
      </c>
      <c r="Y257" s="25" t="n"/>
      <c r="Z257" s="26" t="n"/>
      <c r="AA257" s="28" t="n"/>
      <c r="AB257" s="28" t="n"/>
      <c r="AC257" s="30" t="n">
        <v>0.9258999999999999</v>
      </c>
      <c r="AD257" s="24" t="inlineStr">
        <is>
          <t>2026-09-19T22:00:16.260944Z</t>
        </is>
      </c>
      <c r="AE257" s="31" t="inlineStr">
        <is>
          <t>Projected total 52.9 pts (Weather adj: +0.0 pts). Total line 56.5 -&gt; P(Over)=0.414, P(Under)=0.586, P(Push)=0.000.</t>
        </is>
      </c>
      <c r="AF257" s="31" t="inlineStr">
        <is>
          <t>College football model; multi-market (moneyline, spread, total).</t>
        </is>
      </c>
      <c r="AG257" s="24" t="inlineStr">
        <is>
          <t>not_applicable</t>
        </is>
      </c>
      <c r="AH257" s="24" t="n"/>
      <c r="AI257" s="31" t="n"/>
      <c r="AJ257" s="31" t="n"/>
      <c r="AK257" s="24" t="inlineStr">
        <is>
          <t>model_qualified</t>
        </is>
      </c>
      <c r="AL257" s="26" t="n">
        <v>4</v>
      </c>
      <c r="AM257" s="24" t="inlineStr">
        <is>
          <t>QUALIFIED_SHADOW_CALL</t>
        </is>
      </c>
      <c r="AN257" s="24" t="inlineStr">
        <is>
          <t>CALL</t>
        </is>
      </c>
      <c r="AO257" s="24" t="inlineStr">
        <is>
          <t>QUALIFIED</t>
        </is>
      </c>
      <c r="AP257" s="24" t="inlineStr">
        <is>
          <t>Coastal Carolina Chanticleers</t>
        </is>
      </c>
      <c r="AQ257" s="24" t="inlineStr">
        <is>
          <t>Coastal Carolina Chanticleers</t>
        </is>
      </c>
      <c r="AR257" s="24" t="inlineStr">
        <is>
          <t>Coastal Carolina Chanticleers</t>
        </is>
      </c>
      <c r="AS257" s="24" t="inlineStr">
        <is>
          <t>Delaware Blue Hens</t>
        </is>
      </c>
      <c r="AT257" s="24" t="inlineStr">
        <is>
          <t>Delaware Blue Hens</t>
        </is>
      </c>
      <c r="AU257" s="24" t="inlineStr">
        <is>
          <t>Delaware Blue Hens</t>
        </is>
      </c>
      <c r="AV257" s="24" t="n"/>
      <c r="AW257" s="24" t="n"/>
      <c r="AX257" s="24" t="inlineStr">
        <is>
          <t>statistical_model</t>
        </is>
      </c>
      <c r="AY257" s="24" t="n"/>
      <c r="AZ257" s="24" t="inlineStr">
        <is>
          <t>shadow_qualified</t>
        </is>
      </c>
      <c r="BA257" s="24" t="inlineStr">
        <is>
          <t>1d168f11d221cd3c</t>
        </is>
      </c>
      <c r="BB257" s="24" t="inlineStr">
        <is>
          <t>cfb_key_number_engine</t>
        </is>
      </c>
      <c r="BC257" s="24" t="inlineStr">
        <is>
          <t>cfb-total-v1</t>
        </is>
      </c>
      <c r="BD257" s="24" t="inlineStr">
        <is>
          <t>1d168f11d221cd3c</t>
        </is>
      </c>
      <c r="BE257" s="24" t="inlineStr">
        <is>
          <t>cfb-v1</t>
        </is>
      </c>
      <c r="BF257" s="24" t="inlineStr">
        <is>
          <t>1</t>
        </is>
      </c>
      <c r="BG257" s="24" t="inlineStr">
        <is>
          <t>1d168f11d221cd3c</t>
        </is>
      </c>
      <c r="BH257" s="24" t="inlineStr">
        <is>
          <t>2026-09-19T11:12:59.236900+00:00</t>
        </is>
      </c>
      <c r="BI257" s="24" t="inlineStr">
        <is>
          <t>["same_event","same_team_same_day","same_league_same_day"]</t>
        </is>
      </c>
      <c r="BJ257" s="25" t="n">
        <v>56.5</v>
      </c>
      <c r="BK257" s="26" t="n">
        <v>-108</v>
      </c>
      <c r="BL257" s="27" t="n">
        <v>1.925926</v>
      </c>
      <c r="BM257" s="28" t="n">
        <v>0.519231</v>
      </c>
      <c r="BN257" s="28" t="n"/>
      <c r="BO257" s="28" t="n"/>
      <c r="BP257" s="25" t="n"/>
      <c r="BQ257" s="27" t="n"/>
      <c r="BR257" s="28" t="n"/>
      <c r="BS257" s="28" t="n"/>
      <c r="BT257" s="28" t="n"/>
      <c r="BU257" s="25" t="n"/>
      <c r="BV257" s="29" t="n"/>
      <c r="BW257" s="24" t="n"/>
      <c r="BX257" s="30" t="n"/>
      <c r="BY257" s="27" t="n"/>
      <c r="BZ257" s="24" t="n"/>
      <c r="CA257" s="31" t="n"/>
      <c r="CB257" s="24" t="n"/>
      <c r="CC257" s="24" t="n"/>
      <c r="CD257" s="24" t="n"/>
      <c r="CE257" s="24" t="n"/>
      <c r="CF257" s="24" t="n"/>
      <c r="CG257" s="24" t="n"/>
      <c r="CH257" s="24" t="n"/>
      <c r="CI257" s="24" t="n"/>
      <c r="CJ257" s="24" t="n"/>
      <c r="CK257" s="24" t="n"/>
      <c r="CL257" s="24" t="n"/>
      <c r="CM257" s="24" t="n"/>
      <c r="CN257" s="24" t="n"/>
      <c r="CO257" s="24" t="n"/>
      <c r="CP257" s="24" t="n"/>
      <c r="CQ257" s="24" t="n"/>
      <c r="CR257" s="24" t="n"/>
      <c r="CS257" s="24" t="inlineStr">
        <is>
          <t>True</t>
        </is>
      </c>
      <c r="CT257" s="24" t="n"/>
      <c r="CU257" s="24" t="n"/>
      <c r="CV257" s="24" t="n"/>
      <c r="CW257" s="24" t="n"/>
      <c r="CX257" s="24" t="n"/>
      <c r="CY257" s="24" t="n"/>
      <c r="CZ257" s="24" t="n"/>
      <c r="DA257" s="24" t="n"/>
      <c r="DB257" s="24" t="n"/>
      <c r="DC257" s="24" t="n"/>
      <c r="DD257" s="24" t="n"/>
      <c r="DE257" s="24" t="n"/>
      <c r="DF257" s="24" t="n"/>
      <c r="DG257" s="24" t="n"/>
      <c r="DH257" s="24" t="n"/>
      <c r="DI257" s="24" t="n"/>
      <c r="DJ257" s="24" t="inlineStr">
        <is>
          <t>0.519231</t>
        </is>
      </c>
      <c r="DK257" s="24" t="n"/>
      <c r="DL257" s="24" t="n"/>
      <c r="DM257" s="24" t="n"/>
      <c r="DN257" s="24" t="n"/>
      <c r="DO257" s="24" t="n"/>
      <c r="DP257" s="24" t="n"/>
      <c r="DQ257" s="24" t="inlineStr">
        <is>
          <t>{"artifact_hash": "1d168f11d221cd3c", "event_id": "401869940", "event_start_utc": "2026-09-19T15:30Z", "features": {"altitude_fatigue_penalty": 0.0, "away_team": "Coastal Carolina Chanticleers", "efficiency_gap": -0.416, "elo_away": 1297.7, "elo_home": 1388.3, "elo_home_win_prob": 0.7101, "event_id": "401869940", "game_start_utc": "2026-09-19T15:30Z", "home_field_advantage_points": 2.8, "home_team": "Delaware Blue Hens", "is_dome": false, "is_fbs_vs_fcs": false, "is_neutral_site": false, "projected_away_points": 23.3, "projected_home_points": 29.6, "projected_margin_home": 6.4, "projected_possessions": 12.4, "projected_total": 52.9, "stadium_elevation_ft": 90, "travel_distance_miles": 444.0, "uncertainty": 0.18, "weather_total_adjustment": 0.0}, "historical_source_observation_times_verified": false, "inference_inputs": {"engine_source_sha256": "449ba2f0e86fa9c445730076a0e0bf100fb4914620be53c75c6f3bfe24298f3f", "mu_away": 23.3, "mu_home": 29.6,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-5.5, "total_line": 56.5}, "market_type": "total", "model_version": "cfb-total-v1", "observed_at_utc": "2026-09-19T11:12:59.236900+00:00", "probabilities": {"over": 0.413667, "push": 0.0, "under": 0.586333}, "replay_scope": "Full precision score means, exact engine parameters and original RNG state; upstream feature construction not certified.", "schema": "cfb-joint-replay-v1", "snapshot_hash": "77d13267de4d1a07ebf6da1f3c2b67048e14184731ec2dc17559ee53047f725d", "sport": "NCAAF"}</t>
        </is>
      </c>
    </row>
    <row r="258" ht="36" customHeight="1">
      <c r="A258" s="24" t="inlineStr">
        <is>
          <t>08738a7f5eb64800</t>
        </is>
      </c>
      <c r="B258" s="24" t="inlineStr">
        <is>
          <t>2026-09-19T11:12:59.236900Z</t>
        </is>
      </c>
      <c r="C258" s="24" t="inlineStr">
        <is>
          <t>2026-09-19T16:00Z</t>
        </is>
      </c>
      <c r="D258" s="24" t="inlineStr">
        <is>
          <t>401856686</t>
        </is>
      </c>
      <c r="E258" s="24" t="inlineStr">
        <is>
          <t>NCAAF</t>
        </is>
      </c>
      <c r="F258" s="24" t="inlineStr">
        <is>
          <t>Georgia Bulldogs</t>
        </is>
      </c>
      <c r="G258" s="24" t="inlineStr">
        <is>
          <t>Arkansas Razorbacks</t>
        </is>
      </c>
      <c r="H258" s="24" t="inlineStr">
        <is>
          <t>moneyline</t>
        </is>
      </c>
      <c r="I258" s="24" t="inlineStr">
        <is>
          <t>away</t>
        </is>
      </c>
      <c r="J258" s="25" t="n"/>
      <c r="K258" s="24" t="inlineStr">
        <is>
          <t>espn_consensus</t>
        </is>
      </c>
      <c r="L258" s="26" t="n">
        <v>-2800</v>
      </c>
      <c r="M258" s="27" t="n">
        <v>1.035714</v>
      </c>
      <c r="N258" s="28" t="n">
        <v>0.965517</v>
      </c>
      <c r="O258" s="28" t="n">
        <v>0.845776</v>
      </c>
      <c r="P258" s="28" t="n">
        <v>0.18</v>
      </c>
      <c r="Q258" s="28" t="n">
        <v>-0.119741</v>
      </c>
      <c r="R258" s="26" t="n">
        <v>0</v>
      </c>
      <c r="S258" s="29" t="n">
        <v>1</v>
      </c>
      <c r="T258" s="24" t="inlineStr">
        <is>
          <t>college-football-v1</t>
        </is>
      </c>
      <c r="U258" s="24" t="inlineStr">
        <is>
          <t>settled</t>
        </is>
      </c>
      <c r="V258" s="24" t="inlineStr">
        <is>
          <t>win</t>
        </is>
      </c>
      <c r="W258" s="26" t="n">
        <v>45</v>
      </c>
      <c r="X258" s="26" t="n">
        <v>17</v>
      </c>
      <c r="Y258" s="25" t="n"/>
      <c r="Z258" s="26" t="n"/>
      <c r="AA258" s="28" t="n"/>
      <c r="AB258" s="28" t="n"/>
      <c r="AC258" s="30" t="n">
        <v>0.0357</v>
      </c>
      <c r="AD258" s="24" t="inlineStr">
        <is>
          <t>2026-09-19T22:00:16.718608Z</t>
        </is>
      </c>
      <c r="AE258" s="31" t="inlineStr">
        <is>
          <t>CFB Joint Model (negative_binomial): proj score Georgia Bulldogs 37.4 @ Arkansas Razorbacks 18.1 (Margin -19.3). Possessions: 12.4, HFA: +2.8 pts.</t>
        </is>
      </c>
      <c r="AF258" s="31" t="inlineStr">
        <is>
          <t>College football model; multi-market (moneyline, spread, total).</t>
        </is>
      </c>
      <c r="AG258" s="24" t="inlineStr">
        <is>
          <t>not_applicable</t>
        </is>
      </c>
      <c r="AH258" s="24" t="n"/>
      <c r="AI258" s="31" t="n"/>
      <c r="AJ258" s="31" t="n"/>
      <c r="AK258" s="24" t="inlineStr">
        <is>
          <t>paper_call</t>
        </is>
      </c>
      <c r="AL258" s="26" t="n">
        <v>4</v>
      </c>
      <c r="AM258" s="24" t="inlineStr">
        <is>
          <t>RESEARCH_OBSERVATION</t>
        </is>
      </c>
      <c r="AN258" s="24" t="inlineStr">
        <is>
          <t>CALL</t>
        </is>
      </c>
      <c r="AO258" s="24" t="inlineStr">
        <is>
          <t>PAPER_CALL_LOW_EDGE</t>
        </is>
      </c>
      <c r="AP258" s="24" t="inlineStr">
        <is>
          <t>Georgia Bulldogs</t>
        </is>
      </c>
      <c r="AQ258" s="24" t="inlineStr">
        <is>
          <t>Georgia Bulldogs</t>
        </is>
      </c>
      <c r="AR258" s="24" t="inlineStr">
        <is>
          <t>Georgia Bulldogs</t>
        </is>
      </c>
      <c r="AS258" s="24" t="inlineStr">
        <is>
          <t>Arkansas Razorbacks</t>
        </is>
      </c>
      <c r="AT258" s="24" t="inlineStr">
        <is>
          <t>Arkansas Razorbacks</t>
        </is>
      </c>
      <c r="AU258" s="24" t="inlineStr">
        <is>
          <t>Arkansas Razorbacks</t>
        </is>
      </c>
      <c r="AV258" s="24" t="n"/>
      <c r="AW258" s="24" t="n"/>
      <c r="AX258" s="24" t="inlineStr">
        <is>
          <t>statistical_model</t>
        </is>
      </c>
      <c r="AY258" s="24" t="n"/>
      <c r="AZ258" s="24" t="inlineStr">
        <is>
          <t>shadow_qualified</t>
        </is>
      </c>
      <c r="BA258" s="24" t="inlineStr">
        <is>
          <t>1d168f11d221cd3c</t>
        </is>
      </c>
      <c r="BB258" s="24" t="inlineStr">
        <is>
          <t>cfb_key_number_engine</t>
        </is>
      </c>
      <c r="BC258" s="24" t="inlineStr">
        <is>
          <t>college-football-v1</t>
        </is>
      </c>
      <c r="BD258" s="24" t="inlineStr">
        <is>
          <t>1d168f11d221cd3c</t>
        </is>
      </c>
      <c r="BE258" s="24" t="inlineStr">
        <is>
          <t>cfb-v1</t>
        </is>
      </c>
      <c r="BF258" s="24" t="inlineStr">
        <is>
          <t>1</t>
        </is>
      </c>
      <c r="BG258" s="24" t="inlineStr">
        <is>
          <t>1d168f11d221cd3c</t>
        </is>
      </c>
      <c r="BH258" s="24" t="inlineStr">
        <is>
          <t>2026-09-19T11:12:59.236900+00:00</t>
        </is>
      </c>
      <c r="BI258" s="24" t="inlineStr">
        <is>
          <t>["same_event","same_team_same_day","same_league_same_day"]</t>
        </is>
      </c>
      <c r="BJ258" s="25" t="n"/>
      <c r="BK258" s="26" t="n">
        <v>-2800</v>
      </c>
      <c r="BL258" s="27" t="n">
        <v>1.035714</v>
      </c>
      <c r="BM258" s="28" t="n">
        <v>0.965517</v>
      </c>
      <c r="BN258" s="28" t="n"/>
      <c r="BO258" s="28" t="n"/>
      <c r="BP258" s="25" t="n"/>
      <c r="BQ258" s="27" t="n"/>
      <c r="BR258" s="28" t="n"/>
      <c r="BS258" s="28" t="n"/>
      <c r="BT258" s="28" t="n"/>
      <c r="BU258" s="25" t="n"/>
      <c r="BV258" s="29" t="n"/>
      <c r="BW258" s="24" t="n"/>
      <c r="BX258" s="30" t="n">
        <v>1</v>
      </c>
      <c r="BY258" s="27" t="n">
        <v>0.035714</v>
      </c>
      <c r="BZ258" s="24" t="inlineStr">
        <is>
          <t>2026-09-19T22:00:16.718608Z</t>
        </is>
      </c>
      <c r="CA258" s="31" t="inlineStr">
        <is>
          <t>fixed one-unit hypothetical scoring; no real exposure or execution</t>
        </is>
      </c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  <c r="CL258" s="24" t="n"/>
      <c r="CM258" s="24" t="n"/>
      <c r="CN258" s="24" t="n"/>
      <c r="CO258" s="24" t="n"/>
      <c r="CP258" s="24" t="n"/>
      <c r="CQ258" s="24" t="n"/>
      <c r="CR258" s="24" t="n"/>
      <c r="CS258" s="24" t="inlineStr">
        <is>
          <t>False</t>
        </is>
      </c>
      <c r="CT258" s="24" t="n"/>
      <c r="CU258" s="24" t="n"/>
      <c r="CV258" s="24" t="n"/>
      <c r="CW258" s="24" t="n"/>
      <c r="CX258" s="24" t="n"/>
      <c r="CY258" s="24" t="n"/>
      <c r="CZ258" s="24" t="n"/>
      <c r="DA258" s="24" t="n"/>
      <c r="DB258" s="24" t="n"/>
      <c r="DC258" s="24" t="n"/>
      <c r="DD258" s="24" t="n"/>
      <c r="DE258" s="24" t="n"/>
      <c r="DF258" s="24" t="n"/>
      <c r="DG258" s="24" t="n"/>
      <c r="DH258" s="24" t="n"/>
      <c r="DI258" s="24" t="n"/>
      <c r="DJ258" s="24" t="inlineStr">
        <is>
          <t>0.965517</t>
        </is>
      </c>
      <c r="DK258" s="24" t="n"/>
      <c r="DL258" s="24" t="n"/>
      <c r="DM258" s="24" t="n"/>
      <c r="DN258" s="24" t="n"/>
      <c r="DO258" s="24" t="n"/>
      <c r="DP258" s="24" t="n"/>
      <c r="DQ258" s="24" t="inlineStr">
        <is>
          <t>{"artifact_hash": "1d168f11d221cd3c", "event_id": "401856686", "event_start_utc": "2026-09-19T16:00Z", "features": {"altitude_fatigue_penalty": 0.0, "away_team": "Georgia Bulldogs", "efficiency_gap": 0.0, "elo_away": 1795.8, "elo_home": 1257.0, "elo_home_win_prob": 0.0614, "event_id": "401856686", "game_start_utc": "2026-09-19T16:00Z", "home_field_advantage_points": 2.8, "home_team": "Arkansas Razorbacks", "is_dome": false, "is_fbs_vs_fcs": false, "is_neutral_site": false, "projected_away_points": 37.4, "projected_home_points": 18.1, "projected_margin_home": -19.3, "projected_possessions": 12.4, "projected_total": 55.5, "stadium_elevation_ft": 1400, "travel_distance_miles": 628.0, "uncertainty": 0.18, "weather_total_adjustment": 0.0}, "historical_source_observation_times_verified": false, "inference_inputs": {"engine_source_sha256": "449ba2f0e86fa9c445730076a0e0bf100fb4914620be53c75c6f3bfe24298f3f", "mu_away": 37.4, "mu_home": 18.1,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122249678944978885328888149205900655725}, "uinteger": 0}, "spread_home_line": 24.5, "total_line": 54.5}, "market_type": "moneyline", "model_version": "college-football-v1", "observed_at_utc": "2026-09-19T11:12:59.236900+00:00", "probabilities": {"away": 0.845776, "home": 0.154224}, "replay_scope": "Full precision score means, exact engine parameters and original RNG state; upstream feature construction not certified.", "schema": "cfb-joint-replay-v1", "snapshot_hash": "99aedf2cf10cf6ee761bf58c61c1b93063feb8b80394c348754c8383a361dabd", "sport": "NCAAF"}</t>
        </is>
      </c>
    </row>
    <row r="259" ht="36" customHeight="1">
      <c r="A259" s="24" t="inlineStr">
        <is>
          <t>640b16ef1cad4729</t>
        </is>
      </c>
      <c r="B259" s="24" t="inlineStr">
        <is>
          <t>2026-09-19T11:12:59.236900Z</t>
        </is>
      </c>
      <c r="C259" s="24" t="inlineStr">
        <is>
          <t>2026-09-19T16:00Z</t>
        </is>
      </c>
      <c r="D259" s="24" t="inlineStr">
        <is>
          <t>401856686</t>
        </is>
      </c>
      <c r="E259" s="24" t="inlineStr">
        <is>
          <t>NCAAF</t>
        </is>
      </c>
      <c r="F259" s="24" t="inlineStr">
        <is>
          <t>Georgia Bulldogs</t>
        </is>
      </c>
      <c r="G259" s="24" t="inlineStr">
        <is>
          <t>Arkansas Razorbacks</t>
        </is>
      </c>
      <c r="H259" s="24" t="inlineStr">
        <is>
          <t>spread</t>
        </is>
      </c>
      <c r="I259" s="24" t="inlineStr">
        <is>
          <t>home</t>
        </is>
      </c>
      <c r="J259" s="25" t="n">
        <v>24.5</v>
      </c>
      <c r="K259" s="24" t="inlineStr">
        <is>
          <t>espn_consensus</t>
        </is>
      </c>
      <c r="L259" s="26" t="n">
        <v>-108</v>
      </c>
      <c r="M259" s="27" t="n">
        <v>1.925926</v>
      </c>
      <c r="N259" s="28" t="n">
        <v>0.519231</v>
      </c>
      <c r="O259" s="28" t="n">
        <v>0.6202</v>
      </c>
      <c r="P259" s="28" t="n">
        <v>0.18</v>
      </c>
      <c r="Q259" s="28" t="n">
        <v>0.100969</v>
      </c>
      <c r="R259" s="26" t="n">
        <v>0</v>
      </c>
      <c r="S259" s="29" t="n">
        <v>1</v>
      </c>
      <c r="T259" s="24" t="inlineStr">
        <is>
          <t>cfb-spread-v1</t>
        </is>
      </c>
      <c r="U259" s="24" t="inlineStr">
        <is>
          <t>settled</t>
        </is>
      </c>
      <c r="V259" s="24" t="inlineStr">
        <is>
          <t>loss</t>
        </is>
      </c>
      <c r="W259" s="26" t="n">
        <v>45</v>
      </c>
      <c r="X259" s="26" t="n">
        <v>17</v>
      </c>
      <c r="Y259" s="25" t="n"/>
      <c r="Z259" s="26" t="n"/>
      <c r="AA259" s="28" t="n"/>
      <c r="AB259" s="28" t="n"/>
      <c r="AC259" s="30" t="n">
        <v>-1</v>
      </c>
      <c r="AD259" s="24" t="inlineStr">
        <is>
          <t>2026-09-19T22:00:17.110201Z</t>
        </is>
      </c>
      <c r="AE259" s="31" t="inlineStr">
        <is>
          <t>Projected home margin -19.3 pts. Spread: Home +24.5 / Away -24.5 -&gt; P(Away cover)=0.380, P(Home cover)=0.620, P(Push)=0.000.</t>
        </is>
      </c>
      <c r="AF259" s="31" t="inlineStr">
        <is>
          <t>College football model; multi-market (moneyline, spread, total).</t>
        </is>
      </c>
      <c r="AG259" s="24" t="inlineStr">
        <is>
          <t>review_required</t>
        </is>
      </c>
      <c r="AH259" s="24" t="n"/>
      <c r="AI259" s="31" t="n"/>
      <c r="AJ259" s="31" t="n"/>
      <c r="AK259" s="24" t="inlineStr">
        <is>
          <t>model_qualified</t>
        </is>
      </c>
      <c r="AL259" s="26" t="n">
        <v>4</v>
      </c>
      <c r="AM259" s="24" t="inlineStr">
        <is>
          <t>QUALIFIED_SHADOW_CALL</t>
        </is>
      </c>
      <c r="AN259" s="24" t="inlineStr">
        <is>
          <t>CALL</t>
        </is>
      </c>
      <c r="AO259" s="24" t="inlineStr">
        <is>
          <t>QUALIFIED</t>
        </is>
      </c>
      <c r="AP259" s="24" t="inlineStr">
        <is>
          <t>Georgia Bulldogs</t>
        </is>
      </c>
      <c r="AQ259" s="24" t="inlineStr">
        <is>
          <t>Georgia Bulldogs</t>
        </is>
      </c>
      <c r="AR259" s="24" t="inlineStr">
        <is>
          <t>Georgia Bulldogs</t>
        </is>
      </c>
      <c r="AS259" s="24" t="inlineStr">
        <is>
          <t>Arkansas Razorbacks</t>
        </is>
      </c>
      <c r="AT259" s="24" t="inlineStr">
        <is>
          <t>Arkansas Razorbacks</t>
        </is>
      </c>
      <c r="AU259" s="24" t="inlineStr">
        <is>
          <t>Arkansas Razorbacks</t>
        </is>
      </c>
      <c r="AV259" s="24" t="n"/>
      <c r="AW259" s="24" t="n"/>
      <c r="AX259" s="24" t="inlineStr">
        <is>
          <t>statistical_model</t>
        </is>
      </c>
      <c r="AY259" s="24" t="n"/>
      <c r="AZ259" s="24" t="inlineStr">
        <is>
          <t>shadow_qualified</t>
        </is>
      </c>
      <c r="BA259" s="24" t="inlineStr">
        <is>
          <t>1d168f11d221cd3c</t>
        </is>
      </c>
      <c r="BB259" s="24" t="inlineStr">
        <is>
          <t>cfb_key_number_engine</t>
        </is>
      </c>
      <c r="BC259" s="24" t="inlineStr">
        <is>
          <t>cfb-spread-v1</t>
        </is>
      </c>
      <c r="BD259" s="24" t="inlineStr">
        <is>
          <t>1d168f11d221cd3c</t>
        </is>
      </c>
      <c r="BE259" s="24" t="inlineStr">
        <is>
          <t>cfb-v1</t>
        </is>
      </c>
      <c r="BF259" s="24" t="inlineStr">
        <is>
          <t>1</t>
        </is>
      </c>
      <c r="BG259" s="24" t="inlineStr">
        <is>
          <t>1d168f11d221cd3c</t>
        </is>
      </c>
      <c r="BH259" s="24" t="inlineStr">
        <is>
          <t>2026-09-19T11:12:59.236900+00:00</t>
        </is>
      </c>
      <c r="BI259" s="24" t="inlineStr">
        <is>
          <t>["same_event","same_team_same_day","same_league_same_day"]</t>
        </is>
      </c>
      <c r="BJ259" s="25" t="n">
        <v>24.5</v>
      </c>
      <c r="BK259" s="26" t="n">
        <v>-108</v>
      </c>
      <c r="BL259" s="27" t="n">
        <v>1.925926</v>
      </c>
      <c r="BM259" s="28" t="n">
        <v>0.519231</v>
      </c>
      <c r="BN259" s="28" t="n"/>
      <c r="BO259" s="28" t="n"/>
      <c r="BP259" s="25" t="n"/>
      <c r="BQ259" s="27" t="n"/>
      <c r="BR259" s="28" t="n"/>
      <c r="BS259" s="28" t="n"/>
      <c r="BT259" s="28" t="n"/>
      <c r="BU259" s="25" t="n"/>
      <c r="BV259" s="29" t="n"/>
      <c r="BW259" s="24" t="n"/>
      <c r="BX259" s="30" t="n"/>
      <c r="BY259" s="27" t="n"/>
      <c r="BZ259" s="24" t="n"/>
      <c r="CA259" s="31" t="n"/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  <c r="CL259" s="24" t="n"/>
      <c r="CM259" s="24" t="n"/>
      <c r="CN259" s="24" t="n"/>
      <c r="CO259" s="24" t="n"/>
      <c r="CP259" s="24" t="n"/>
      <c r="CQ259" s="24" t="n"/>
      <c r="CR259" s="24" t="n"/>
      <c r="CS259" s="24" t="inlineStr">
        <is>
          <t>True</t>
        </is>
      </c>
      <c r="CT259" s="24" t="n"/>
      <c r="CU259" s="24" t="n"/>
      <c r="CV259" s="24" t="n"/>
      <c r="CW259" s="24" t="n"/>
      <c r="CX259" s="24" t="n"/>
      <c r="CY259" s="24" t="n"/>
      <c r="CZ259" s="24" t="n"/>
      <c r="DA259" s="24" t="n"/>
      <c r="DB259" s="24" t="n"/>
      <c r="DC259" s="24" t="n"/>
      <c r="DD259" s="24" t="n"/>
      <c r="DE259" s="24" t="n"/>
      <c r="DF259" s="24" t="n"/>
      <c r="DG259" s="24" t="n"/>
      <c r="DH259" s="24" t="n"/>
      <c r="DI259" s="24" t="n"/>
      <c r="DJ259" s="24" t="inlineStr">
        <is>
          <t>0.519231</t>
        </is>
      </c>
      <c r="DK259" s="24" t="n"/>
      <c r="DL259" s="24" t="n"/>
      <c r="DM259" s="24" t="n"/>
      <c r="DN259" s="24" t="n"/>
      <c r="DO259" s="24" t="n"/>
      <c r="DP259" s="24" t="n"/>
      <c r="DQ259" s="24" t="inlineStr">
        <is>
          <t>{"artifact_hash": "1d168f11d221cd3c", "event_id": "401856686", "event_start_utc": "2026-09-19T16:00Z", "features": {"altitude_fatigue_penalty": 0.0, "away_team": "Georgia Bulldogs", "efficiency_gap": 0.0, "elo_away": 1795.8, "elo_home": 1257.0, "elo_home_win_prob": 0.0614, "event_id": "401856686", "game_start_utc": "2026-09-19T16:00Z", "home_field_advantage_points": 2.8, "home_team": "Arkansas Razorbacks", "is_dome": false, "is_fbs_vs_fcs": false, "is_neutral_site": false, "projected_away_points": 37.4, "projected_home_points": 18.1, "projected_margin_home": -19.3, "projected_possessions": 12.4, "projected_total": 55.5, "stadium_elevation_ft": 1400, "travel_distance_miles": 628.0, "uncertainty": 0.18, "weather_total_adjustment": 0.0}, "historical_source_observation_times_verified": false, "inference_inputs": {"engine_source_sha256": "449ba2f0e86fa9c445730076a0e0bf100fb4914620be53c75c6f3bfe24298f3f", "mu_away": 37.4, "mu_home": 18.1,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122249678944978885328888149205900655725}, "uinteger": 0}, "spread_home_line": 24.5, "total_line": 54.5}, "market_type": "spread", "model_version": "cfb-spread-v1", "observed_at_utc": "2026-09-19T11:12:59.236900+00:00", "probabilities": {"away": 0.3798, "home": 0.6202, "push": 0.0}, "replay_scope": "Full precision score means, exact engine parameters and original RNG state; upstream feature construction not certified.", "schema": "cfb-joint-replay-v1", "snapshot_hash": "ba93253179a4c276d0db9ae346643e83ef8535d466c96a06b874fa8282c67904", "sport": "NCAAF"}</t>
        </is>
      </c>
    </row>
    <row r="260" ht="36" customHeight="1">
      <c r="A260" s="24" t="inlineStr">
        <is>
          <t>99839546ecba43ff</t>
        </is>
      </c>
      <c r="B260" s="24" t="inlineStr">
        <is>
          <t>2026-09-19T11:12:59.236900Z</t>
        </is>
      </c>
      <c r="C260" s="24" t="inlineStr">
        <is>
          <t>2026-09-19T16:00Z</t>
        </is>
      </c>
      <c r="D260" s="24" t="inlineStr">
        <is>
          <t>401856686</t>
        </is>
      </c>
      <c r="E260" s="24" t="inlineStr">
        <is>
          <t>NCAAF</t>
        </is>
      </c>
      <c r="F260" s="24" t="inlineStr">
        <is>
          <t>Georgia Bulldogs</t>
        </is>
      </c>
      <c r="G260" s="24" t="inlineStr">
        <is>
          <t>Arkansas Razorbacks</t>
        </is>
      </c>
      <c r="H260" s="24" t="inlineStr">
        <is>
          <t>total</t>
        </is>
      </c>
      <c r="I260" s="24" t="inlineStr">
        <is>
          <t>under</t>
        </is>
      </c>
      <c r="J260" s="25" t="n">
        <v>54.5</v>
      </c>
      <c r="K260" s="24" t="inlineStr">
        <is>
          <t>espn_consensus</t>
        </is>
      </c>
      <c r="L260" s="26" t="n">
        <v>-102</v>
      </c>
      <c r="M260" s="27" t="n">
        <v>1.980392</v>
      </c>
      <c r="N260" s="28" t="n">
        <v>0.50495</v>
      </c>
      <c r="O260" s="28" t="n">
        <v>0.507733</v>
      </c>
      <c r="P260" s="28" t="n">
        <v>0.18</v>
      </c>
      <c r="Q260" s="28" t="n">
        <v>0.002783</v>
      </c>
      <c r="R260" s="26" t="n">
        <v>0</v>
      </c>
      <c r="S260" s="29" t="n">
        <v>1</v>
      </c>
      <c r="T260" s="24" t="inlineStr">
        <is>
          <t>cfb-total-v1</t>
        </is>
      </c>
      <c r="U260" s="24" t="inlineStr">
        <is>
          <t>settled</t>
        </is>
      </c>
      <c r="V260" s="24" t="inlineStr">
        <is>
          <t>loss</t>
        </is>
      </c>
      <c r="W260" s="26" t="n">
        <v>45</v>
      </c>
      <c r="X260" s="26" t="n">
        <v>17</v>
      </c>
      <c r="Y260" s="25" t="n"/>
      <c r="Z260" s="26" t="n"/>
      <c r="AA260" s="28" t="n"/>
      <c r="AB260" s="28" t="n"/>
      <c r="AC260" s="30" t="n">
        <v>-1</v>
      </c>
      <c r="AD260" s="24" t="inlineStr">
        <is>
          <t>2026-09-19T22:00:17.562736Z</t>
        </is>
      </c>
      <c r="AE260" s="31" t="inlineStr">
        <is>
          <t>Projected total 55.5 pts (Weather adj: +0.0 pts). Total line 54.5 -&gt; P(Over)=0.492, P(Under)=0.508, P(Push)=0.000.</t>
        </is>
      </c>
      <c r="AF260" s="31" t="inlineStr">
        <is>
          <t>College football model; multi-market (moneyline, spread, total).</t>
        </is>
      </c>
      <c r="AG260" s="24" t="inlineStr">
        <is>
          <t>review_required</t>
        </is>
      </c>
      <c r="AH260" s="24" t="n"/>
      <c r="AI260" s="31" t="n"/>
      <c r="AJ260" s="31" t="n"/>
      <c r="AK260" s="24" t="inlineStr">
        <is>
          <t>paper_call</t>
        </is>
      </c>
      <c r="AL260" s="26" t="n">
        <v>4</v>
      </c>
      <c r="AM260" s="24" t="inlineStr">
        <is>
          <t>RESEARCH_OBSERVATION</t>
        </is>
      </c>
      <c r="AN260" s="24" t="inlineStr">
        <is>
          <t>CALL</t>
        </is>
      </c>
      <c r="AO260" s="24" t="inlineStr">
        <is>
          <t>PAPER_CALL_LOW_EDGE</t>
        </is>
      </c>
      <c r="AP260" s="24" t="inlineStr">
        <is>
          <t>Georgia Bulldogs</t>
        </is>
      </c>
      <c r="AQ260" s="24" t="inlineStr">
        <is>
          <t>Georgia Bulldogs</t>
        </is>
      </c>
      <c r="AR260" s="24" t="inlineStr">
        <is>
          <t>Georgia Bulldogs</t>
        </is>
      </c>
      <c r="AS260" s="24" t="inlineStr">
        <is>
          <t>Arkansas Razorbacks</t>
        </is>
      </c>
      <c r="AT260" s="24" t="inlineStr">
        <is>
          <t>Arkansas Razorbacks</t>
        </is>
      </c>
      <c r="AU260" s="24" t="inlineStr">
        <is>
          <t>Arkansas Razorbacks</t>
        </is>
      </c>
      <c r="AV260" s="24" t="n"/>
      <c r="AW260" s="24" t="n"/>
      <c r="AX260" s="24" t="inlineStr">
        <is>
          <t>statistical_model</t>
        </is>
      </c>
      <c r="AY260" s="24" t="n"/>
      <c r="AZ260" s="24" t="inlineStr">
        <is>
          <t>shadow_qualified</t>
        </is>
      </c>
      <c r="BA260" s="24" t="inlineStr">
        <is>
          <t>1d168f11d221cd3c</t>
        </is>
      </c>
      <c r="BB260" s="24" t="inlineStr">
        <is>
          <t>cfb_key_number_engine</t>
        </is>
      </c>
      <c r="BC260" s="24" t="inlineStr">
        <is>
          <t>cfb-total-v1</t>
        </is>
      </c>
      <c r="BD260" s="24" t="inlineStr">
        <is>
          <t>1d168f11d221cd3c</t>
        </is>
      </c>
      <c r="BE260" s="24" t="inlineStr">
        <is>
          <t>cfb-v1</t>
        </is>
      </c>
      <c r="BF260" s="24" t="inlineStr">
        <is>
          <t>1</t>
        </is>
      </c>
      <c r="BG260" s="24" t="inlineStr">
        <is>
          <t>1d168f11d221cd3c</t>
        </is>
      </c>
      <c r="BH260" s="24" t="inlineStr">
        <is>
          <t>2026-09-19T11:12:59.236900+00:00</t>
        </is>
      </c>
      <c r="BI260" s="24" t="inlineStr">
        <is>
          <t>["same_event","same_team_same_day","same_league_same_day"]</t>
        </is>
      </c>
      <c r="BJ260" s="25" t="n">
        <v>54.5</v>
      </c>
      <c r="BK260" s="26" t="n">
        <v>-102</v>
      </c>
      <c r="BL260" s="27" t="n">
        <v>1.980392</v>
      </c>
      <c r="BM260" s="28" t="n">
        <v>0.50495</v>
      </c>
      <c r="BN260" s="28" t="n"/>
      <c r="BO260" s="28" t="n"/>
      <c r="BP260" s="25" t="n"/>
      <c r="BQ260" s="27" t="n"/>
      <c r="BR260" s="28" t="n"/>
      <c r="BS260" s="28" t="n"/>
      <c r="BT260" s="28" t="n"/>
      <c r="BU260" s="25" t="n"/>
      <c r="BV260" s="29" t="n"/>
      <c r="BW260" s="24" t="n"/>
      <c r="BX260" s="30" t="n">
        <v>1</v>
      </c>
      <c r="BY260" s="27" t="n">
        <v>-1</v>
      </c>
      <c r="BZ260" s="24" t="inlineStr">
        <is>
          <t>2026-09-19T22:00:17.562736Z</t>
        </is>
      </c>
      <c r="CA260" s="31" t="inlineStr">
        <is>
          <t>fixed one-unit hypothetical scoring; no real exposure or execution</t>
        </is>
      </c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  <c r="CL260" s="24" t="n"/>
      <c r="CM260" s="24" t="n"/>
      <c r="CN260" s="24" t="n"/>
      <c r="CO260" s="24" t="n"/>
      <c r="CP260" s="24" t="n"/>
      <c r="CQ260" s="24" t="n"/>
      <c r="CR260" s="24" t="n"/>
      <c r="CS260" s="24" t="inlineStr">
        <is>
          <t>True</t>
        </is>
      </c>
      <c r="CT260" s="24" t="n"/>
      <c r="CU260" s="24" t="n"/>
      <c r="CV260" s="24" t="n"/>
      <c r="CW260" s="24" t="n"/>
      <c r="CX260" s="24" t="n"/>
      <c r="CY260" s="24" t="n"/>
      <c r="CZ260" s="24" t="n"/>
      <c r="DA260" s="24" t="n"/>
      <c r="DB260" s="24" t="n"/>
      <c r="DC260" s="24" t="n"/>
      <c r="DD260" s="24" t="n"/>
      <c r="DE260" s="24" t="n"/>
      <c r="DF260" s="24" t="n"/>
      <c r="DG260" s="24" t="n"/>
      <c r="DH260" s="24" t="n"/>
      <c r="DI260" s="24" t="n"/>
      <c r="DJ260" s="24" t="inlineStr">
        <is>
          <t>0.50495</t>
        </is>
      </c>
      <c r="DK260" s="24" t="n"/>
      <c r="DL260" s="24" t="n"/>
      <c r="DM260" s="24" t="n"/>
      <c r="DN260" s="24" t="n"/>
      <c r="DO260" s="24" t="n"/>
      <c r="DP260" s="24" t="n"/>
      <c r="DQ260" s="24" t="inlineStr">
        <is>
          <t>{"artifact_hash": "1d168f11d221cd3c", "event_id": "401856686", "event_start_utc": "2026-09-19T16:00Z", "features": {"altitude_fatigue_penalty": 0.0, "away_team": "Georgia Bulldogs", "efficiency_gap": 0.0, "elo_away": 1795.8, "elo_home": 1257.0, "elo_home_win_prob": 0.0614, "event_id": "401856686", "game_start_utc": "2026-09-19T16:00Z", "home_field_advantage_points": 2.8, "home_team": "Arkansas Razorbacks", "is_dome": false, "is_fbs_vs_fcs": false, "is_neutral_site": false, "projected_away_points": 37.4, "projected_home_points": 18.1, "projected_margin_home": -19.3, "projected_possessions": 12.4, "projected_total": 55.5, "stadium_elevation_ft": 1400, "travel_distance_miles": 628.0, "uncertainty": 0.18, "weather_total_adjustment": 0.0}, "historical_source_observation_times_verified": false, "inference_inputs": {"engine_source_sha256": "449ba2f0e86fa9c445730076a0e0bf100fb4914620be53c75c6f3bfe24298f3f", "mu_away": 37.4, "mu_home": 18.1,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122249678944978885328888149205900655725}, "uinteger": 0}, "spread_home_line": 24.5, "total_line": 54.5}, "market_type": "total", "model_version": "cfb-total-v1", "observed_at_utc": "2026-09-19T11:12:59.236900+00:00", "probabilities": {"over": 0.492267, "push": 0.0, "under": 0.507733}, "replay_scope": "Full precision score means, exact engine parameters and original RNG state; upstream feature construction not certified.", "schema": "cfb-joint-replay-v1", "snapshot_hash": "290984c8d0570b34a381b55c9b54014195de3f3a6a51f1017afb86d9a02f9b24", "sport": "NCAAF"}</t>
        </is>
      </c>
    </row>
    <row r="261" ht="36" customHeight="1">
      <c r="A261" s="24" t="inlineStr">
        <is>
          <t>d6e43b0b398643f1</t>
        </is>
      </c>
      <c r="B261" s="24" t="inlineStr">
        <is>
          <t>2026-09-19T11:12:59.236900Z</t>
        </is>
      </c>
      <c r="C261" s="24" t="inlineStr">
        <is>
          <t>2026-09-19T16:00Z</t>
        </is>
      </c>
      <c r="D261" s="24" t="inlineStr">
        <is>
          <t>401858454</t>
        </is>
      </c>
      <c r="E261" s="24" t="inlineStr">
        <is>
          <t>NCAAF</t>
        </is>
      </c>
      <c r="F261" s="24" t="inlineStr">
        <is>
          <t>Kent State Golden Flashes</t>
        </is>
      </c>
      <c r="G261" s="24" t="inlineStr">
        <is>
          <t>Ohio State Buckeyes</t>
        </is>
      </c>
      <c r="H261" s="24" t="inlineStr">
        <is>
          <t>spread</t>
        </is>
      </c>
      <c r="I261" s="24" t="inlineStr">
        <is>
          <t>away</t>
        </is>
      </c>
      <c r="J261" s="25" t="n">
        <v>52.5</v>
      </c>
      <c r="K261" s="24" t="inlineStr">
        <is>
          <t>espn_consensus</t>
        </is>
      </c>
      <c r="L261" s="26" t="n">
        <v>-115</v>
      </c>
      <c r="M261" s="27" t="n">
        <v>1.869565</v>
      </c>
      <c r="N261" s="28" t="n">
        <v>0.534884</v>
      </c>
      <c r="O261" s="28" t="n">
        <v>0.929</v>
      </c>
      <c r="P261" s="28" t="n">
        <v>0.165</v>
      </c>
      <c r="Q261" s="28" t="n">
        <v>0.394116</v>
      </c>
      <c r="R261" s="26" t="n">
        <v>100</v>
      </c>
      <c r="S261" s="29" t="n">
        <v>2</v>
      </c>
      <c r="T261" s="24" t="inlineStr">
        <is>
          <t>cfb-spread-v1</t>
        </is>
      </c>
      <c r="U261" s="24" t="inlineStr">
        <is>
          <t>settled</t>
        </is>
      </c>
      <c r="V261" s="24" t="inlineStr">
        <is>
          <t>loss</t>
        </is>
      </c>
      <c r="W261" s="26" t="n">
        <v>3</v>
      </c>
      <c r="X261" s="26" t="n">
        <v>59</v>
      </c>
      <c r="Y261" s="25" t="n"/>
      <c r="Z261" s="26" t="n"/>
      <c r="AA261" s="28" t="n"/>
      <c r="AB261" s="28" t="n"/>
      <c r="AC261" s="30" t="n">
        <v>-2</v>
      </c>
      <c r="AD261" s="24" t="inlineStr">
        <is>
          <t>2026-09-19T22:00:18.083816Z</t>
        </is>
      </c>
      <c r="AE261" s="31" t="inlineStr">
        <is>
          <t>Projected home margin +25.5 pts. Spread: Home -52.5 / Away +52.5 -&gt; P(Away cover)=0.929, P(Home cover)=0.071, P(Push)=0.000.</t>
        </is>
      </c>
      <c r="AF261" s="31" t="inlineStr">
        <is>
          <t>College football model; multi-market (moneyline, spread, total).</t>
        </is>
      </c>
      <c r="AG261" s="24" t="inlineStr">
        <is>
          <t>review_required</t>
        </is>
      </c>
      <c r="AH261" s="24" t="n"/>
      <c r="AI261" s="31" t="n"/>
      <c r="AJ261" s="31" t="n"/>
      <c r="AK261" s="24" t="inlineStr">
        <is>
          <t>model_qualified</t>
        </is>
      </c>
      <c r="AL261" s="26" t="n">
        <v>4</v>
      </c>
      <c r="AM261" s="24" t="inlineStr">
        <is>
          <t>QUALIFIED_SHADOW_CALL</t>
        </is>
      </c>
      <c r="AN261" s="24" t="inlineStr">
        <is>
          <t>CALL</t>
        </is>
      </c>
      <c r="AO261" s="24" t="inlineStr">
        <is>
          <t>QUALIFIED</t>
        </is>
      </c>
      <c r="AP261" s="24" t="inlineStr">
        <is>
          <t>Kent State Golden Flashes</t>
        </is>
      </c>
      <c r="AQ261" s="24" t="inlineStr">
        <is>
          <t>Kent State Golden Flashes</t>
        </is>
      </c>
      <c r="AR261" s="24" t="inlineStr">
        <is>
          <t>Kent State Golden Flashes</t>
        </is>
      </c>
      <c r="AS261" s="24" t="inlineStr">
        <is>
          <t>Ohio State Buckeyes</t>
        </is>
      </c>
      <c r="AT261" s="24" t="inlineStr">
        <is>
          <t>Ohio State Buckeyes</t>
        </is>
      </c>
      <c r="AU261" s="24" t="inlineStr">
        <is>
          <t>Ohio State Buckeyes</t>
        </is>
      </c>
      <c r="AV261" s="24" t="n"/>
      <c r="AW261" s="24" t="n"/>
      <c r="AX261" s="24" t="inlineStr">
        <is>
          <t>statistical_model</t>
        </is>
      </c>
      <c r="AY261" s="24" t="n"/>
      <c r="AZ261" s="24" t="inlineStr">
        <is>
          <t>shadow_qualified</t>
        </is>
      </c>
      <c r="BA261" s="24" t="inlineStr">
        <is>
          <t>1d168f11d221cd3c</t>
        </is>
      </c>
      <c r="BB261" s="24" t="inlineStr">
        <is>
          <t>cfb_key_number_engine</t>
        </is>
      </c>
      <c r="BC261" s="24" t="inlineStr">
        <is>
          <t>cfb-spread-v1</t>
        </is>
      </c>
      <c r="BD261" s="24" t="inlineStr">
        <is>
          <t>1d168f11d221cd3c</t>
        </is>
      </c>
      <c r="BE261" s="24" t="inlineStr">
        <is>
          <t>cfb-v1</t>
        </is>
      </c>
      <c r="BF261" s="24" t="inlineStr">
        <is>
          <t>1</t>
        </is>
      </c>
      <c r="BG261" s="24" t="inlineStr">
        <is>
          <t>1d168f11d221cd3c</t>
        </is>
      </c>
      <c r="BH261" s="24" t="inlineStr">
        <is>
          <t>2026-09-19T11:12:59.236900+00:00</t>
        </is>
      </c>
      <c r="BI261" s="24" t="inlineStr">
        <is>
          <t>["same_event","same_team_same_day","same_league_same_day"]</t>
        </is>
      </c>
      <c r="BJ261" s="25" t="n">
        <v>52.5</v>
      </c>
      <c r="BK261" s="26" t="n">
        <v>-115</v>
      </c>
      <c r="BL261" s="27" t="n">
        <v>1.869565</v>
      </c>
      <c r="BM261" s="28" t="n">
        <v>0.534884</v>
      </c>
      <c r="BN261" s="28" t="n"/>
      <c r="BO261" s="28" t="n"/>
      <c r="BP261" s="25" t="n"/>
      <c r="BQ261" s="27" t="n"/>
      <c r="BR261" s="28" t="n"/>
      <c r="BS261" s="28" t="n"/>
      <c r="BT261" s="28" t="n"/>
      <c r="BU261" s="25" t="n"/>
      <c r="BV261" s="29" t="n"/>
      <c r="BW261" s="24" t="n"/>
      <c r="BX261" s="30" t="n"/>
      <c r="BY261" s="27" t="n"/>
      <c r="BZ261" s="24" t="n"/>
      <c r="CA261" s="31" t="n"/>
      <c r="CB261" s="24" t="n"/>
      <c r="CC261" s="24" t="n"/>
      <c r="CD261" s="24" t="n"/>
      <c r="CE261" s="24" t="n"/>
      <c r="CF261" s="24" t="n"/>
      <c r="CG261" s="24" t="n"/>
      <c r="CH261" s="24" t="n"/>
      <c r="CI261" s="24" t="n"/>
      <c r="CJ261" s="24" t="n"/>
      <c r="CK261" s="24" t="n"/>
      <c r="CL261" s="24" t="n"/>
      <c r="CM261" s="24" t="n"/>
      <c r="CN261" s="24" t="n"/>
      <c r="CO261" s="24" t="n"/>
      <c r="CP261" s="24" t="n"/>
      <c r="CQ261" s="24" t="n"/>
      <c r="CR261" s="24" t="n"/>
      <c r="CS261" s="24" t="inlineStr">
        <is>
          <t>True</t>
        </is>
      </c>
      <c r="CT261" s="24" t="n"/>
      <c r="CU261" s="24" t="n"/>
      <c r="CV261" s="24" t="n"/>
      <c r="CW261" s="24" t="n"/>
      <c r="CX261" s="24" t="n"/>
      <c r="CY261" s="24" t="n"/>
      <c r="CZ261" s="24" t="n"/>
      <c r="DA261" s="24" t="n"/>
      <c r="DB261" s="24" t="n"/>
      <c r="DC261" s="24" t="n"/>
      <c r="DD261" s="24" t="n"/>
      <c r="DE261" s="24" t="n"/>
      <c r="DF261" s="24" t="n"/>
      <c r="DG261" s="24" t="n"/>
      <c r="DH261" s="24" t="n"/>
      <c r="DI261" s="24" t="n"/>
      <c r="DJ261" s="24" t="inlineStr">
        <is>
          <t>0.534884</t>
        </is>
      </c>
      <c r="DK261" s="24" t="n"/>
      <c r="DL261" s="24" t="n"/>
      <c r="DM261" s="24" t="n"/>
      <c r="DN261" s="24" t="n"/>
      <c r="DO261" s="24" t="n"/>
      <c r="DP261" s="24" t="n"/>
      <c r="DQ261" s="24" t="inlineStr">
        <is>
          <t>{"artifact_hash": "1d168f11d221cd3c", "event_id": "401858454", "event_start_utc": "2026-09-19T16:00Z", "features": {"altitude_fatigue_penalty": 0.0, "away_team": "Kent State Golden Flashes", "efficiency_gap": 4.561, "elo_away": 1278.2, "elo_home": 1832.8, "elo_home_win_prob": 0.9725, "event_id": "401858454", "game_start_utc": "2026-09-19T16:00Z", "home_field_advantage_points": 2.8, "home_team": "Ohio State Buckeyes", "is_dome": false, "is_fbs_vs_fcs": false, "is_neutral_site": false, "projected_away_points": 14.3, "projected_home_points": 39.8, "projected_margin_home": 25.5, "projected_possessions": 12.4, "projected_total": 54.1, "stadium_elevation_ft": 760, "travel_distance_miles": 119.0, "uncertainty": 0.165, "weather_total_adjustment": 0.0}, "historical_source_observation_times_verified": false, "inference_inputs": {"engine_source_sha256": "449ba2f0e86fa9c445730076a0e0bf100fb4914620be53c75c6f3bfe24298f3f", "mu_away": 14.3, "mu_home": 39.8,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101666050784135110382213331567051435788}, "uinteger": 0}, "spread_home_line": -52.5, "total_line": 59.5}, "market_type": "spread", "model_version": "cfb-spread-v1", "observed_at_utc": "2026-09-19T11:12:59.236900+00:00", "probabilities": {"away": 0.929, "home": 0.071, "push": 0.0}, "replay_scope": "Full precision score means, exact engine parameters and original RNG state; upstream feature construction not certified.", "schema": "cfb-joint-replay-v1", "snapshot_hash": "b3e75bc9c52289aca9e44e8d2d528f5b8527fa83d9d4a49c52637f37d51cbaec", "sport": "NCAAF"}</t>
        </is>
      </c>
    </row>
    <row r="262" ht="36" customHeight="1">
      <c r="A262" s="24" t="inlineStr">
        <is>
          <t>d35a3a20894e4c1d</t>
        </is>
      </c>
      <c r="B262" s="24" t="inlineStr">
        <is>
          <t>2026-09-19T11:12:59.236900Z</t>
        </is>
      </c>
      <c r="C262" s="24" t="inlineStr">
        <is>
          <t>2026-09-19T16:00Z</t>
        </is>
      </c>
      <c r="D262" s="24" t="inlineStr">
        <is>
          <t>401858454</t>
        </is>
      </c>
      <c r="E262" s="24" t="inlineStr">
        <is>
          <t>NCAAF</t>
        </is>
      </c>
      <c r="F262" s="24" t="inlineStr">
        <is>
          <t>Kent State Golden Flashes</t>
        </is>
      </c>
      <c r="G262" s="24" t="inlineStr">
        <is>
          <t>Ohio State Buckeyes</t>
        </is>
      </c>
      <c r="H262" s="24" t="inlineStr">
        <is>
          <t>total</t>
        </is>
      </c>
      <c r="I262" s="24" t="inlineStr">
        <is>
          <t>under</t>
        </is>
      </c>
      <c r="J262" s="25" t="n">
        <v>59.5</v>
      </c>
      <c r="K262" s="24" t="inlineStr">
        <is>
          <t>espn_consensus</t>
        </is>
      </c>
      <c r="L262" s="26" t="n">
        <v>-118</v>
      </c>
      <c r="M262" s="27" t="n">
        <v>1.847458</v>
      </c>
      <c r="N262" s="28" t="n">
        <v>0.541284</v>
      </c>
      <c r="O262" s="28" t="n">
        <v>0.6153999999999999</v>
      </c>
      <c r="P262" s="28" t="n">
        <v>0.165</v>
      </c>
      <c r="Q262" s="28" t="n">
        <v>0.074116</v>
      </c>
      <c r="R262" s="26" t="n">
        <v>0</v>
      </c>
      <c r="S262" s="29" t="n">
        <v>1</v>
      </c>
      <c r="T262" s="24" t="inlineStr">
        <is>
          <t>cfb-total-v1</t>
        </is>
      </c>
      <c r="U262" s="24" t="inlineStr">
        <is>
          <t>settled</t>
        </is>
      </c>
      <c r="V262" s="24" t="inlineStr">
        <is>
          <t>loss</t>
        </is>
      </c>
      <c r="W262" s="26" t="n">
        <v>3</v>
      </c>
      <c r="X262" s="26" t="n">
        <v>59</v>
      </c>
      <c r="Y262" s="25" t="n"/>
      <c r="Z262" s="26" t="n"/>
      <c r="AA262" s="28" t="n"/>
      <c r="AB262" s="28" t="n"/>
      <c r="AC262" s="30" t="n">
        <v>-1</v>
      </c>
      <c r="AD262" s="24" t="inlineStr">
        <is>
          <t>2026-09-19T22:00:18.533862Z</t>
        </is>
      </c>
      <c r="AE262" s="31" t="inlineStr">
        <is>
          <t>Projected total 54.1 pts (Weather adj: +0.0 pts). Total line 59.5 -&gt; P(Over)=0.385, P(Under)=0.615, P(Push)=0.000.</t>
        </is>
      </c>
      <c r="AF262" s="31" t="inlineStr">
        <is>
          <t>College football model; multi-market (moneyline, spread, total).</t>
        </is>
      </c>
      <c r="AG262" s="24" t="inlineStr">
        <is>
          <t>review_required</t>
        </is>
      </c>
      <c r="AH262" s="24" t="n"/>
      <c r="AI262" s="31" t="n"/>
      <c r="AJ262" s="31" t="n"/>
      <c r="AK262" s="24" t="inlineStr">
        <is>
          <t>model_qualified</t>
        </is>
      </c>
      <c r="AL262" s="26" t="n">
        <v>4</v>
      </c>
      <c r="AM262" s="24" t="inlineStr">
        <is>
          <t>QUALIFIED_SHADOW_CALL</t>
        </is>
      </c>
      <c r="AN262" s="24" t="inlineStr">
        <is>
          <t>CALL</t>
        </is>
      </c>
      <c r="AO262" s="24" t="inlineStr">
        <is>
          <t>QUALIFIED</t>
        </is>
      </c>
      <c r="AP262" s="24" t="inlineStr">
        <is>
          <t>Kent State Golden Flashes</t>
        </is>
      </c>
      <c r="AQ262" s="24" t="inlineStr">
        <is>
          <t>Kent State Golden Flashes</t>
        </is>
      </c>
      <c r="AR262" s="24" t="inlineStr">
        <is>
          <t>Kent State Golden Flashes</t>
        </is>
      </c>
      <c r="AS262" s="24" t="inlineStr">
        <is>
          <t>Ohio State Buckeyes</t>
        </is>
      </c>
      <c r="AT262" s="24" t="inlineStr">
        <is>
          <t>Ohio State Buckeyes</t>
        </is>
      </c>
      <c r="AU262" s="24" t="inlineStr">
        <is>
          <t>Ohio State Buckeyes</t>
        </is>
      </c>
      <c r="AV262" s="24" t="n"/>
      <c r="AW262" s="24" t="n"/>
      <c r="AX262" s="24" t="inlineStr">
        <is>
          <t>statistical_model</t>
        </is>
      </c>
      <c r="AY262" s="24" t="n"/>
      <c r="AZ262" s="24" t="inlineStr">
        <is>
          <t>shadow_qualified</t>
        </is>
      </c>
      <c r="BA262" s="24" t="inlineStr">
        <is>
          <t>1d168f11d221cd3c</t>
        </is>
      </c>
      <c r="BB262" s="24" t="inlineStr">
        <is>
          <t>cfb_key_number_engine</t>
        </is>
      </c>
      <c r="BC262" s="24" t="inlineStr">
        <is>
          <t>cfb-total-v1</t>
        </is>
      </c>
      <c r="BD262" s="24" t="inlineStr">
        <is>
          <t>1d168f11d221cd3c</t>
        </is>
      </c>
      <c r="BE262" s="24" t="inlineStr">
        <is>
          <t>cfb-v1</t>
        </is>
      </c>
      <c r="BF262" s="24" t="inlineStr">
        <is>
          <t>1</t>
        </is>
      </c>
      <c r="BG262" s="24" t="inlineStr">
        <is>
          <t>1d168f11d221cd3c</t>
        </is>
      </c>
      <c r="BH262" s="24" t="inlineStr">
        <is>
          <t>2026-09-19T11:12:59.236900+00:00</t>
        </is>
      </c>
      <c r="BI262" s="24" t="inlineStr">
        <is>
          <t>["same_event","same_team_same_day","same_league_same_day"]</t>
        </is>
      </c>
      <c r="BJ262" s="25" t="n">
        <v>59.5</v>
      </c>
      <c r="BK262" s="26" t="n">
        <v>-118</v>
      </c>
      <c r="BL262" s="27" t="n">
        <v>1.847458</v>
      </c>
      <c r="BM262" s="28" t="n">
        <v>0.541284</v>
      </c>
      <c r="BN262" s="28" t="n"/>
      <c r="BO262" s="28" t="n"/>
      <c r="BP262" s="25" t="n"/>
      <c r="BQ262" s="27" t="n"/>
      <c r="BR262" s="28" t="n"/>
      <c r="BS262" s="28" t="n"/>
      <c r="BT262" s="28" t="n"/>
      <c r="BU262" s="25" t="n"/>
      <c r="BV262" s="29" t="n"/>
      <c r="BW262" s="24" t="n"/>
      <c r="BX262" s="30" t="n"/>
      <c r="BY262" s="27" t="n"/>
      <c r="BZ262" s="24" t="n"/>
      <c r="CA262" s="31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inlineStr">
        <is>
          <t>True</t>
        </is>
      </c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/>
      <c r="DH262" s="24" t="n"/>
      <c r="DI262" s="24" t="n"/>
      <c r="DJ262" s="24" t="inlineStr">
        <is>
          <t>0.541284</t>
        </is>
      </c>
      <c r="DK262" s="24" t="n"/>
      <c r="DL262" s="24" t="n"/>
      <c r="DM262" s="24" t="n"/>
      <c r="DN262" s="24" t="n"/>
      <c r="DO262" s="24" t="n"/>
      <c r="DP262" s="24" t="n"/>
      <c r="DQ262" s="24" t="inlineStr">
        <is>
          <t>{"artifact_hash": "1d168f11d221cd3c", "event_id": "401858454", "event_start_utc": "2026-09-19T16:00Z", "features": {"altitude_fatigue_penalty": 0.0, "away_team": "Kent State Golden Flashes", "efficiency_gap": 4.561, "elo_away": 1278.2, "elo_home": 1832.8, "elo_home_win_prob": 0.9725, "event_id": "401858454", "game_start_utc": "2026-09-19T16:00Z", "home_field_advantage_points": 2.8, "home_team": "Ohio State Buckeyes", "is_dome": false, "is_fbs_vs_fcs": false, "is_neutral_site": false, "projected_away_points": 14.3, "projected_home_points": 39.8, "projected_margin_home": 25.5, "projected_possessions": 12.4, "projected_total": 54.1, "stadium_elevation_ft": 760, "travel_distance_miles": 119.0, "uncertainty": 0.165, "weather_total_adjustment": 0.0}, "historical_source_observation_times_verified": false, "inference_inputs": {"engine_source_sha256": "449ba2f0e86fa9c445730076a0e0bf100fb4914620be53c75c6f3bfe24298f3f", "mu_away": 14.3, "mu_home": 39.8,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101666050784135110382213331567051435788}, "uinteger": 0}, "spread_home_line": -52.5, "total_line": 59.5}, "market_type": "total", "model_version": "cfb-total-v1", "observed_at_utc": "2026-09-19T11:12:59.236900+00:00", "probabilities": {"over": 0.3846, "push": 0.0, "under": 0.6154}, "replay_scope": "Full precision score means, exact engine parameters and original RNG state; upstream feature construction not certified.", "schema": "cfb-joint-replay-v1", "snapshot_hash": "c3578005f32009c405daa5faffe83fc1a75b45034eedaf67ef732f0cf1d75da9", "sport": "NCAAF"}</t>
        </is>
      </c>
    </row>
    <row r="263" ht="36" customHeight="1">
      <c r="A263" s="24" t="inlineStr">
        <is>
          <t>0bb138ac53e84a55</t>
        </is>
      </c>
      <c r="B263" s="24" t="inlineStr">
        <is>
          <t>2026-09-19T11:12:59.236900Z</t>
        </is>
      </c>
      <c r="C263" s="24" t="inlineStr">
        <is>
          <t>2026-09-19T16:00Z</t>
        </is>
      </c>
      <c r="D263" s="24" t="inlineStr">
        <is>
          <t>401858456</t>
        </is>
      </c>
      <c r="E263" s="24" t="inlineStr">
        <is>
          <t>NCAAF</t>
        </is>
      </c>
      <c r="F263" s="24" t="inlineStr">
        <is>
          <t>Buffalo Bulls</t>
        </is>
      </c>
      <c r="G263" s="24" t="inlineStr">
        <is>
          <t>Penn State Nittany Lions</t>
        </is>
      </c>
      <c r="H263" s="24" t="inlineStr">
        <is>
          <t>spread</t>
        </is>
      </c>
      <c r="I263" s="24" t="inlineStr">
        <is>
          <t>away</t>
        </is>
      </c>
      <c r="J263" s="25" t="n">
        <v>40.5</v>
      </c>
      <c r="K263" s="24" t="inlineStr">
        <is>
          <t>espn_consensus</t>
        </is>
      </c>
      <c r="L263" s="26" t="n">
        <v>-102</v>
      </c>
      <c r="M263" s="27" t="n">
        <v>1.980392</v>
      </c>
      <c r="N263" s="28" t="n">
        <v>0.50495</v>
      </c>
      <c r="O263" s="28" t="n">
        <v>0.890533</v>
      </c>
      <c r="P263" s="28" t="n">
        <v>0.18</v>
      </c>
      <c r="Q263" s="28" t="n">
        <v>0.385583</v>
      </c>
      <c r="R263" s="26" t="n">
        <v>100</v>
      </c>
      <c r="S263" s="29" t="n">
        <v>2</v>
      </c>
      <c r="T263" s="24" t="inlineStr">
        <is>
          <t>cfb-spread-v1</t>
        </is>
      </c>
      <c r="U263" s="24" t="inlineStr">
        <is>
          <t>settled</t>
        </is>
      </c>
      <c r="V263" s="24" t="inlineStr">
        <is>
          <t>loss</t>
        </is>
      </c>
      <c r="W263" s="26" t="n">
        <v>13</v>
      </c>
      <c r="X263" s="26" t="n">
        <v>55</v>
      </c>
      <c r="Y263" s="25" t="n"/>
      <c r="Z263" s="26" t="n"/>
      <c r="AA263" s="28" t="n"/>
      <c r="AB263" s="28" t="n"/>
      <c r="AC263" s="30" t="n">
        <v>-2</v>
      </c>
      <c r="AD263" s="24" t="inlineStr">
        <is>
          <t>2026-09-19T22:00:18.991393Z</t>
        </is>
      </c>
      <c r="AE263" s="31" t="inlineStr">
        <is>
          <t>Projected home margin +16.7 pts. Spread: Home -40.5 / Away +40.5 -&gt; P(Away cover)=0.891, P(Home cover)=0.109, P(Push)=0.000.</t>
        </is>
      </c>
      <c r="AF263" s="31" t="inlineStr">
        <is>
          <t>College football model; multi-market (moneyline, spread, total).</t>
        </is>
      </c>
      <c r="AG263" s="24" t="inlineStr">
        <is>
          <t>review_required</t>
        </is>
      </c>
      <c r="AH263" s="24" t="n"/>
      <c r="AI263" s="31" t="n"/>
      <c r="AJ263" s="31" t="n"/>
      <c r="AK263" s="24" t="inlineStr">
        <is>
          <t>model_qualified</t>
        </is>
      </c>
      <c r="AL263" s="26" t="n">
        <v>4</v>
      </c>
      <c r="AM263" s="24" t="inlineStr">
        <is>
          <t>QUALIFIED_SHADOW_CALL</t>
        </is>
      </c>
      <c r="AN263" s="24" t="inlineStr">
        <is>
          <t>CALL</t>
        </is>
      </c>
      <c r="AO263" s="24" t="inlineStr">
        <is>
          <t>QUALIFIED</t>
        </is>
      </c>
      <c r="AP263" s="24" t="inlineStr">
        <is>
          <t>Buffalo Bulls</t>
        </is>
      </c>
      <c r="AQ263" s="24" t="inlineStr">
        <is>
          <t>Buffalo Bulls</t>
        </is>
      </c>
      <c r="AR263" s="24" t="inlineStr">
        <is>
          <t>Buffalo Bulls</t>
        </is>
      </c>
      <c r="AS263" s="24" t="inlineStr">
        <is>
          <t>Penn State Nittany Lions</t>
        </is>
      </c>
      <c r="AT263" s="24" t="inlineStr">
        <is>
          <t>Penn State Nittany Lions</t>
        </is>
      </c>
      <c r="AU263" s="24" t="inlineStr">
        <is>
          <t>Penn State Nittany Lions</t>
        </is>
      </c>
      <c r="AV263" s="24" t="n"/>
      <c r="AW263" s="24" t="n"/>
      <c r="AX263" s="24" t="inlineStr">
        <is>
          <t>statistical_model</t>
        </is>
      </c>
      <c r="AY263" s="24" t="n"/>
      <c r="AZ263" s="24" t="inlineStr">
        <is>
          <t>shadow_qualified</t>
        </is>
      </c>
      <c r="BA263" s="24" t="inlineStr">
        <is>
          <t>1d168f11d221cd3c</t>
        </is>
      </c>
      <c r="BB263" s="24" t="inlineStr">
        <is>
          <t>cfb_key_number_engine</t>
        </is>
      </c>
      <c r="BC263" s="24" t="inlineStr">
        <is>
          <t>cfb-spread-v1</t>
        </is>
      </c>
      <c r="BD263" s="24" t="inlineStr">
        <is>
          <t>1d168f11d221cd3c</t>
        </is>
      </c>
      <c r="BE263" s="24" t="inlineStr">
        <is>
          <t>cfb-v1</t>
        </is>
      </c>
      <c r="BF263" s="24" t="inlineStr">
        <is>
          <t>1</t>
        </is>
      </c>
      <c r="BG263" s="24" t="inlineStr">
        <is>
          <t>1d168f11d221cd3c</t>
        </is>
      </c>
      <c r="BH263" s="24" t="inlineStr">
        <is>
          <t>2026-09-19T11:12:59.236900+00:00</t>
        </is>
      </c>
      <c r="BI263" s="24" t="inlineStr">
        <is>
          <t>["same_event","same_team_same_day","same_league_same_day"]</t>
        </is>
      </c>
      <c r="BJ263" s="25" t="n">
        <v>40.5</v>
      </c>
      <c r="BK263" s="26" t="n">
        <v>-102</v>
      </c>
      <c r="BL263" s="27" t="n">
        <v>1.980392</v>
      </c>
      <c r="BM263" s="28" t="n">
        <v>0.50495</v>
      </c>
      <c r="BN263" s="28" t="n"/>
      <c r="BO263" s="28" t="n"/>
      <c r="BP263" s="25" t="n"/>
      <c r="BQ263" s="27" t="n"/>
      <c r="BR263" s="28" t="n"/>
      <c r="BS263" s="28" t="n"/>
      <c r="BT263" s="28" t="n"/>
      <c r="BU263" s="25" t="n"/>
      <c r="BV263" s="29" t="n"/>
      <c r="BW263" s="24" t="n"/>
      <c r="BX263" s="30" t="n"/>
      <c r="BY263" s="27" t="n"/>
      <c r="BZ263" s="24" t="n"/>
      <c r="CA263" s="31" t="n"/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  <c r="CL263" s="24" t="n"/>
      <c r="CM263" s="24" t="n"/>
      <c r="CN263" s="24" t="n"/>
      <c r="CO263" s="24" t="n"/>
      <c r="CP263" s="24" t="n"/>
      <c r="CQ263" s="24" t="n"/>
      <c r="CR263" s="24" t="n"/>
      <c r="CS263" s="24" t="inlineStr">
        <is>
          <t>True</t>
        </is>
      </c>
      <c r="CT263" s="24" t="n"/>
      <c r="CU263" s="24" t="n"/>
      <c r="CV263" s="24" t="n"/>
      <c r="CW263" s="24" t="n"/>
      <c r="CX263" s="24" t="n"/>
      <c r="CY263" s="24" t="n"/>
      <c r="CZ263" s="24" t="n"/>
      <c r="DA263" s="24" t="n"/>
      <c r="DB263" s="24" t="n"/>
      <c r="DC263" s="24" t="n"/>
      <c r="DD263" s="24" t="n"/>
      <c r="DE263" s="24" t="n"/>
      <c r="DF263" s="24" t="n"/>
      <c r="DG263" s="24" t="n"/>
      <c r="DH263" s="24" t="n"/>
      <c r="DI263" s="24" t="n"/>
      <c r="DJ263" s="24" t="inlineStr">
        <is>
          <t>0.50495</t>
        </is>
      </c>
      <c r="DK263" s="24" t="n"/>
      <c r="DL263" s="24" t="n"/>
      <c r="DM263" s="24" t="n"/>
      <c r="DN263" s="24" t="n"/>
      <c r="DO263" s="24" t="n"/>
      <c r="DP263" s="24" t="n"/>
      <c r="DQ263" s="24" t="inlineStr">
        <is>
          <t>{"artifact_hash": "1d168f11d221cd3c", "event_id": "401858456", "event_start_utc": "2026-09-19T16:00Z", "features": {"altitude_fatigue_penalty": 0.0, "away_team": "Buffalo Bulls", "efficiency_gap": 2.91, "elo_away": 1385.6, "elo_home": 1730.7, "elo_home_win_prob": 0.9138, "event_id": "401858456", "game_start_utc": "2026-09-19T16:00Z", "home_field_advantage_points": 2.8, "home_team": "Penn State Nittany Lions", "is_dome": false, "is_fbs_vs_fcs": false, "is_neutral_site": false, "projected_away_points": 18.9, "projected_home_points": 35.7, "projected_margin_home": 16.7, "projected_possessions": 12.4, "projected_total": 54.6, "stadium_elevation_ft": 1150, "travel_distance_miles": 158.0, "uncertainty": 0.18, "weather_total_adjustment": 0.0}, "historical_source_observation_times_verified": false, "inference_inputs": {"engine_source_sha256": "449ba2f0e86fa9c445730076a0e0bf100fb4914620be53c75c6f3bfe24298f3f", "mu_away": 18.9, "mu_home": 35.7,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245447714696255389459213824410906224862}, "uinteger": 0}, "spread_home_line": -40.5, "total_line": 49.5}, "market_type": "spread", "model_version": "cfb-spread-v1", "observed_at_utc": "2026-09-19T11:12:59.236900+00:00", "probabilities": {"away": 0.890533, "home": 0.109467, "push": 0.0}, "replay_scope": "Full precision score means, exact engine parameters and original RNG state; upstream feature construction not certified.", "schema": "cfb-joint-replay-v1", "snapshot_hash": "808973f2873f84574b25495266cab6c417ee1cff222ff6df5c99033098835449", "sport": "NCAAF"}</t>
        </is>
      </c>
    </row>
    <row r="264" ht="36" customHeight="1">
      <c r="A264" s="24" t="inlineStr">
        <is>
          <t>37c7056f24bc44d8</t>
        </is>
      </c>
      <c r="B264" s="24" t="inlineStr">
        <is>
          <t>2026-09-19T11:12:59.236900Z</t>
        </is>
      </c>
      <c r="C264" s="24" t="inlineStr">
        <is>
          <t>2026-09-19T16:00Z</t>
        </is>
      </c>
      <c r="D264" s="24" t="inlineStr">
        <is>
          <t>401858456</t>
        </is>
      </c>
      <c r="E264" s="24" t="inlineStr">
        <is>
          <t>NCAAF</t>
        </is>
      </c>
      <c r="F264" s="24" t="inlineStr">
        <is>
          <t>Buffalo Bulls</t>
        </is>
      </c>
      <c r="G264" s="24" t="inlineStr">
        <is>
          <t>Penn State Nittany Lions</t>
        </is>
      </c>
      <c r="H264" s="24" t="inlineStr">
        <is>
          <t>total</t>
        </is>
      </c>
      <c r="I264" s="24" t="inlineStr">
        <is>
          <t>over</t>
        </is>
      </c>
      <c r="J264" s="25" t="n">
        <v>49.5</v>
      </c>
      <c r="K264" s="24" t="inlineStr">
        <is>
          <t>espn_consensus</t>
        </is>
      </c>
      <c r="L264" s="26" t="n">
        <v>-110</v>
      </c>
      <c r="M264" s="27" t="n">
        <v>1.909091</v>
      </c>
      <c r="N264" s="28" t="n">
        <v>0.52381</v>
      </c>
      <c r="O264" s="28" t="n">
        <v>0.558267</v>
      </c>
      <c r="P264" s="28" t="n">
        <v>0.18</v>
      </c>
      <c r="Q264" s="28" t="n">
        <v>0.034457</v>
      </c>
      <c r="R264" s="26" t="n">
        <v>0</v>
      </c>
      <c r="S264" s="29" t="n">
        <v>1</v>
      </c>
      <c r="T264" s="24" t="inlineStr">
        <is>
          <t>cfb-total-v1</t>
        </is>
      </c>
      <c r="U264" s="24" t="inlineStr">
        <is>
          <t>settled</t>
        </is>
      </c>
      <c r="V264" s="24" t="inlineStr">
        <is>
          <t>win</t>
        </is>
      </c>
      <c r="W264" s="26" t="n">
        <v>13</v>
      </c>
      <c r="X264" s="26" t="n">
        <v>55</v>
      </c>
      <c r="Y264" s="25" t="n"/>
      <c r="Z264" s="26" t="n"/>
      <c r="AA264" s="28" t="n"/>
      <c r="AB264" s="28" t="n"/>
      <c r="AC264" s="30" t="n">
        <v>0.9091</v>
      </c>
      <c r="AD264" s="24" t="inlineStr">
        <is>
          <t>2026-09-19T22:00:19.498083Z</t>
        </is>
      </c>
      <c r="AE264" s="31" t="inlineStr">
        <is>
          <t>Projected total 54.6 pts (Weather adj: +0.0 pts). Total line 49.5 -&gt; P(Over)=0.558, P(Under)=0.442, P(Push)=0.000.</t>
        </is>
      </c>
      <c r="AF264" s="31" t="inlineStr">
        <is>
          <t>College football model; multi-market (moneyline, spread, total).</t>
        </is>
      </c>
      <c r="AG264" s="24" t="inlineStr">
        <is>
          <t>not_applicable</t>
        </is>
      </c>
      <c r="AH264" s="24" t="n"/>
      <c r="AI264" s="31" t="n"/>
      <c r="AJ264" s="31" t="n"/>
      <c r="AK264" s="24" t="inlineStr">
        <is>
          <t>model_qualified</t>
        </is>
      </c>
      <c r="AL264" s="26" t="n">
        <v>4</v>
      </c>
      <c r="AM264" s="24" t="inlineStr">
        <is>
          <t>QUALIFIED_SHADOW_CALL</t>
        </is>
      </c>
      <c r="AN264" s="24" t="inlineStr">
        <is>
          <t>CALL</t>
        </is>
      </c>
      <c r="AO264" s="24" t="inlineStr">
        <is>
          <t>QUALIFIED</t>
        </is>
      </c>
      <c r="AP264" s="24" t="inlineStr">
        <is>
          <t>Buffalo Bulls</t>
        </is>
      </c>
      <c r="AQ264" s="24" t="inlineStr">
        <is>
          <t>Buffalo Bulls</t>
        </is>
      </c>
      <c r="AR264" s="24" t="inlineStr">
        <is>
          <t>Buffalo Bulls</t>
        </is>
      </c>
      <c r="AS264" s="24" t="inlineStr">
        <is>
          <t>Penn State Nittany Lions</t>
        </is>
      </c>
      <c r="AT264" s="24" t="inlineStr">
        <is>
          <t>Penn State Nittany Lions</t>
        </is>
      </c>
      <c r="AU264" s="24" t="inlineStr">
        <is>
          <t>Penn State Nittany Lions</t>
        </is>
      </c>
      <c r="AV264" s="24" t="n"/>
      <c r="AW264" s="24" t="n"/>
      <c r="AX264" s="24" t="inlineStr">
        <is>
          <t>statistical_model</t>
        </is>
      </c>
      <c r="AY264" s="24" t="n"/>
      <c r="AZ264" s="24" t="inlineStr">
        <is>
          <t>shadow_qualified</t>
        </is>
      </c>
      <c r="BA264" s="24" t="inlineStr">
        <is>
          <t>1d168f11d221cd3c</t>
        </is>
      </c>
      <c r="BB264" s="24" t="inlineStr">
        <is>
          <t>cfb_key_number_engine</t>
        </is>
      </c>
      <c r="BC264" s="24" t="inlineStr">
        <is>
          <t>cfb-total-v1</t>
        </is>
      </c>
      <c r="BD264" s="24" t="inlineStr">
        <is>
          <t>1d168f11d221cd3c</t>
        </is>
      </c>
      <c r="BE264" s="24" t="inlineStr">
        <is>
          <t>cfb-v1</t>
        </is>
      </c>
      <c r="BF264" s="24" t="inlineStr">
        <is>
          <t>1</t>
        </is>
      </c>
      <c r="BG264" s="24" t="inlineStr">
        <is>
          <t>1d168f11d221cd3c</t>
        </is>
      </c>
      <c r="BH264" s="24" t="inlineStr">
        <is>
          <t>2026-09-19T11:12:59.236900+00:00</t>
        </is>
      </c>
      <c r="BI264" s="24" t="inlineStr">
        <is>
          <t>["same_event","same_team_same_day","same_league_same_day"]</t>
        </is>
      </c>
      <c r="BJ264" s="25" t="n">
        <v>49.5</v>
      </c>
      <c r="BK264" s="26" t="n">
        <v>-110</v>
      </c>
      <c r="BL264" s="27" t="n">
        <v>1.909091</v>
      </c>
      <c r="BM264" s="28" t="n">
        <v>0.52381</v>
      </c>
      <c r="BN264" s="28" t="n"/>
      <c r="BO264" s="28" t="n"/>
      <c r="BP264" s="25" t="n"/>
      <c r="BQ264" s="27" t="n"/>
      <c r="BR264" s="28" t="n"/>
      <c r="BS264" s="28" t="n"/>
      <c r="BT264" s="28" t="n"/>
      <c r="BU264" s="25" t="n"/>
      <c r="BV264" s="29" t="n"/>
      <c r="BW264" s="24" t="n"/>
      <c r="BX264" s="30" t="n"/>
      <c r="BY264" s="27" t="n"/>
      <c r="BZ264" s="24" t="n"/>
      <c r="CA264" s="31" t="n"/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  <c r="CL264" s="24" t="n"/>
      <c r="CM264" s="24" t="n"/>
      <c r="CN264" s="24" t="n"/>
      <c r="CO264" s="24" t="n"/>
      <c r="CP264" s="24" t="n"/>
      <c r="CQ264" s="24" t="n"/>
      <c r="CR264" s="24" t="n"/>
      <c r="CS264" s="24" t="inlineStr">
        <is>
          <t>True</t>
        </is>
      </c>
      <c r="CT264" s="24" t="n"/>
      <c r="CU264" s="24" t="n"/>
      <c r="CV264" s="24" t="n"/>
      <c r="CW264" s="24" t="n"/>
      <c r="CX264" s="24" t="n"/>
      <c r="CY264" s="24" t="n"/>
      <c r="CZ264" s="24" t="n"/>
      <c r="DA264" s="24" t="n"/>
      <c r="DB264" s="24" t="n"/>
      <c r="DC264" s="24" t="n"/>
      <c r="DD264" s="24" t="n"/>
      <c r="DE264" s="24" t="n"/>
      <c r="DF264" s="24" t="n"/>
      <c r="DG264" s="24" t="n"/>
      <c r="DH264" s="24" t="n"/>
      <c r="DI264" s="24" t="n"/>
      <c r="DJ264" s="24" t="inlineStr">
        <is>
          <t>0.52381</t>
        </is>
      </c>
      <c r="DK264" s="24" t="n"/>
      <c r="DL264" s="24" t="n"/>
      <c r="DM264" s="24" t="n"/>
      <c r="DN264" s="24" t="n"/>
      <c r="DO264" s="24" t="n"/>
      <c r="DP264" s="24" t="n"/>
      <c r="DQ264" s="24" t="inlineStr">
        <is>
          <t>{"artifact_hash": "1d168f11d221cd3c", "event_id": "401858456", "event_start_utc": "2026-09-19T16:00Z", "features": {"altitude_fatigue_penalty": 0.0, "away_team": "Buffalo Bulls", "efficiency_gap": 2.91, "elo_away": 1385.6, "elo_home": 1730.7, "elo_home_win_prob": 0.9138, "event_id": "401858456", "game_start_utc": "2026-09-19T16:00Z", "home_field_advantage_points": 2.8, "home_team": "Penn State Nittany Lions", "is_dome": false, "is_fbs_vs_fcs": false, "is_neutral_site": false, "projected_away_points": 18.9, "projected_home_points": 35.7, "projected_margin_home": 16.7, "projected_possessions": 12.4, "projected_total": 54.6, "stadium_elevation_ft": 1150, "travel_distance_miles": 158.0, "uncertainty": 0.18, "weather_total_adjustment": 0.0}, "historical_source_observation_times_verified": false, "inference_inputs": {"engine_source_sha256": "449ba2f0e86fa9c445730076a0e0bf100fb4914620be53c75c6f3bfe24298f3f", "mu_away": 18.9, "mu_home": 35.7,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245447714696255389459213824410906224862}, "uinteger": 0}, "spread_home_line": -40.5, "total_line": 49.5}, "market_type": "total", "model_version": "cfb-total-v1", "observed_at_utc": "2026-09-19T11:12:59.236900+00:00", "probabilities": {"over": 0.558267, "push": 0.0, "under": 0.441733}, "replay_scope": "Full precision score means, exact engine parameters and original RNG state; upstream feature construction not certified.", "schema": "cfb-joint-replay-v1", "snapshot_hash": "e28f8d0f31b565208fb0de8319ce8dd237507045582caf8137ab4170df6931dc", "sport": "NCAAF"}</t>
        </is>
      </c>
    </row>
    <row r="265" ht="36" customHeight="1">
      <c r="A265" s="24" t="inlineStr">
        <is>
          <t>6807254999d3453f</t>
        </is>
      </c>
      <c r="B265" s="24" t="inlineStr">
        <is>
          <t>2026-09-19T11:12:59.236900Z</t>
        </is>
      </c>
      <c r="C265" s="24" t="inlineStr">
        <is>
          <t>2026-09-19T16:00Z</t>
        </is>
      </c>
      <c r="D265" s="24" t="inlineStr">
        <is>
          <t>401856792</t>
        </is>
      </c>
      <c r="E265" s="24" t="inlineStr">
        <is>
          <t>NCAAF</t>
        </is>
      </c>
      <c r="F265" s="24" t="inlineStr">
        <is>
          <t>Tulane Green Wave</t>
        </is>
      </c>
      <c r="G265" s="24" t="inlineStr">
        <is>
          <t>Kansas State Wildcats</t>
        </is>
      </c>
      <c r="H265" s="24" t="inlineStr">
        <is>
          <t>moneyline</t>
        </is>
      </c>
      <c r="I265" s="24" t="inlineStr">
        <is>
          <t>home</t>
        </is>
      </c>
      <c r="J265" s="25" t="n"/>
      <c r="K265" s="24" t="inlineStr">
        <is>
          <t>espn_consensus</t>
        </is>
      </c>
      <c r="L265" s="26" t="n">
        <v>-1450</v>
      </c>
      <c r="M265" s="27" t="n">
        <v>1.068966</v>
      </c>
      <c r="N265" s="28" t="n">
        <v>0.935484</v>
      </c>
      <c r="O265" s="28" t="n">
        <v>0.568485</v>
      </c>
      <c r="P265" s="28" t="n">
        <v>0.18</v>
      </c>
      <c r="Q265" s="28" t="n">
        <v>-0.366999</v>
      </c>
      <c r="R265" s="26" t="n">
        <v>0</v>
      </c>
      <c r="S265" s="29" t="n">
        <v>1</v>
      </c>
      <c r="T265" s="24" t="inlineStr">
        <is>
          <t>college-football-v1</t>
        </is>
      </c>
      <c r="U265" s="24" t="inlineStr">
        <is>
          <t>settled</t>
        </is>
      </c>
      <c r="V265" s="24" t="inlineStr">
        <is>
          <t>win</t>
        </is>
      </c>
      <c r="W265" s="26" t="n">
        <v>20</v>
      </c>
      <c r="X265" s="26" t="n">
        <v>31</v>
      </c>
      <c r="Y265" s="25" t="n"/>
      <c r="Z265" s="26" t="n"/>
      <c r="AA265" s="28" t="n"/>
      <c r="AB265" s="28" t="n"/>
      <c r="AC265" s="30" t="n">
        <v>0.06900000000000001</v>
      </c>
      <c r="AD265" s="24" t="inlineStr">
        <is>
          <t>2026-09-19T22:00:19.963506Z</t>
        </is>
      </c>
      <c r="AE265" s="31" t="inlineStr">
        <is>
          <t>CFB Joint Model (negative_binomial): proj score Tulane Green Wave 24.8 @ Kansas State Wildcats 28.4 (Margin +3.7). Possessions: 12.4, HFA: +2.8 pts.</t>
        </is>
      </c>
      <c r="AF265" s="31" t="inlineStr">
        <is>
          <t>College football model; multi-market (moneyline, spread, total).</t>
        </is>
      </c>
      <c r="AG265" s="24" t="inlineStr">
        <is>
          <t>not_applicable</t>
        </is>
      </c>
      <c r="AH265" s="24" t="n"/>
      <c r="AI265" s="31" t="n"/>
      <c r="AJ265" s="31" t="n"/>
      <c r="AK265" s="24" t="inlineStr">
        <is>
          <t>paper_call</t>
        </is>
      </c>
      <c r="AL265" s="26" t="n">
        <v>4</v>
      </c>
      <c r="AM265" s="24" t="inlineStr">
        <is>
          <t>RESEARCH_OBSERVATION</t>
        </is>
      </c>
      <c r="AN265" s="24" t="inlineStr">
        <is>
          <t>CALL</t>
        </is>
      </c>
      <c r="AO265" s="24" t="inlineStr">
        <is>
          <t>PAPER_CALL_LOW_EDGE</t>
        </is>
      </c>
      <c r="AP265" s="24" t="inlineStr">
        <is>
          <t>Tulane Green Wave</t>
        </is>
      </c>
      <c r="AQ265" s="24" t="inlineStr">
        <is>
          <t>Tulane Green Wave</t>
        </is>
      </c>
      <c r="AR265" s="24" t="inlineStr">
        <is>
          <t>Tulane Green Wave</t>
        </is>
      </c>
      <c r="AS265" s="24" t="inlineStr">
        <is>
          <t>Kansas State Wildcats</t>
        </is>
      </c>
      <c r="AT265" s="24" t="inlineStr">
        <is>
          <t>Kansas State Wildcats</t>
        </is>
      </c>
      <c r="AU265" s="24" t="inlineStr">
        <is>
          <t>Kansas State Wildcats</t>
        </is>
      </c>
      <c r="AV265" s="24" t="n"/>
      <c r="AW265" s="24" t="n"/>
      <c r="AX265" s="24" t="inlineStr">
        <is>
          <t>statistical_model</t>
        </is>
      </c>
      <c r="AY265" s="24" t="n"/>
      <c r="AZ265" s="24" t="inlineStr">
        <is>
          <t>shadow_qualified</t>
        </is>
      </c>
      <c r="BA265" s="24" t="inlineStr">
        <is>
          <t>1d168f11d221cd3c</t>
        </is>
      </c>
      <c r="BB265" s="24" t="inlineStr">
        <is>
          <t>cfb_key_number_engine</t>
        </is>
      </c>
      <c r="BC265" s="24" t="inlineStr">
        <is>
          <t>college-football-v1</t>
        </is>
      </c>
      <c r="BD265" s="24" t="inlineStr">
        <is>
          <t>1d168f11d221cd3c</t>
        </is>
      </c>
      <c r="BE265" s="24" t="inlineStr">
        <is>
          <t>cfb-v1</t>
        </is>
      </c>
      <c r="BF265" s="24" t="inlineStr">
        <is>
          <t>1</t>
        </is>
      </c>
      <c r="BG265" s="24" t="inlineStr">
        <is>
          <t>1d168f11d221cd3c</t>
        </is>
      </c>
      <c r="BH265" s="24" t="inlineStr">
        <is>
          <t>2026-09-19T11:12:59.236900+00:00</t>
        </is>
      </c>
      <c r="BI265" s="24" t="inlineStr">
        <is>
          <t>["same_event","same_team_same_day","same_league_same_day"]</t>
        </is>
      </c>
      <c r="BJ265" s="25" t="n"/>
      <c r="BK265" s="26" t="n">
        <v>-1450</v>
      </c>
      <c r="BL265" s="27" t="n">
        <v>1.068966</v>
      </c>
      <c r="BM265" s="28" t="n">
        <v>0.935484</v>
      </c>
      <c r="BN265" s="28" t="n"/>
      <c r="BO265" s="28" t="n"/>
      <c r="BP265" s="25" t="n"/>
      <c r="BQ265" s="27" t="n"/>
      <c r="BR265" s="28" t="n"/>
      <c r="BS265" s="28" t="n"/>
      <c r="BT265" s="28" t="n"/>
      <c r="BU265" s="25" t="n"/>
      <c r="BV265" s="29" t="n"/>
      <c r="BW265" s="24" t="n"/>
      <c r="BX265" s="30" t="n">
        <v>1</v>
      </c>
      <c r="BY265" s="27" t="n">
        <v>0.068966</v>
      </c>
      <c r="BZ265" s="24" t="inlineStr">
        <is>
          <t>2026-09-19T22:00:19.963506Z</t>
        </is>
      </c>
      <c r="CA265" s="31" t="inlineStr">
        <is>
          <t>fixed one-unit hypothetical scoring; no real exposure or execution</t>
        </is>
      </c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  <c r="CL265" s="24" t="n"/>
      <c r="CM265" s="24" t="n"/>
      <c r="CN265" s="24" t="n"/>
      <c r="CO265" s="24" t="n"/>
      <c r="CP265" s="24" t="n"/>
      <c r="CQ265" s="24" t="n"/>
      <c r="CR265" s="24" t="n"/>
      <c r="CS265" s="24" t="inlineStr">
        <is>
          <t>False</t>
        </is>
      </c>
      <c r="CT265" s="24" t="n"/>
      <c r="CU265" s="24" t="n"/>
      <c r="CV265" s="24" t="n"/>
      <c r="CW265" s="24" t="n"/>
      <c r="CX265" s="24" t="n"/>
      <c r="CY265" s="24" t="n"/>
      <c r="CZ265" s="24" t="n"/>
      <c r="DA265" s="24" t="n"/>
      <c r="DB265" s="24" t="n"/>
      <c r="DC265" s="24" t="n"/>
      <c r="DD265" s="24" t="n"/>
      <c r="DE265" s="24" t="n"/>
      <c r="DF265" s="24" t="n"/>
      <c r="DG265" s="24" t="n"/>
      <c r="DH265" s="24" t="n"/>
      <c r="DI265" s="24" t="n"/>
      <c r="DJ265" s="24" t="inlineStr">
        <is>
          <t>0.935484</t>
        </is>
      </c>
      <c r="DK265" s="24" t="n"/>
      <c r="DL265" s="24" t="n"/>
      <c r="DM265" s="24" t="n"/>
      <c r="DN265" s="24" t="n"/>
      <c r="DO265" s="24" t="n"/>
      <c r="DP265" s="24" t="n"/>
      <c r="DQ265" s="24" t="inlineStr">
        <is>
          <t>{"artifact_hash": "1d168f11d221cd3c", "event_id": "401856792", "event_start_utc": "2026-09-19T16:00Z", "features": {"altitude_fatigue_penalty": 0.0, "away_team": "Tulane Green Wave", "efficiency_gap": 0.962, "elo_away": 1572.0, "elo_home": 1597.1, "elo_home_win_prob": 0.6269, "event_id": "401856792", "game_start_utc": "2026-09-19T16:00Z", "home_field_advantage_points": 2.8, "home_team": "Kansas State Wildcats", "is_dome": false, "is_fbs_vs_fcs": false, "is_neutral_site": false, "projected_away_points": 24.8, "projected_home_points": 28.4, "projected_margin_home": 3.7, "projected_possessions": 12.4, "projected_total": 53.2, "stadium_elevation_ft": 1050, "travel_distance_miles": 738.0, "uncertainty": 0.18, "weather_total_adjustment": 0.0}, "historical_source_observation_times_verified": false, "inference_inputs": {"engine_source_sha256": "449ba2f0e86fa9c445730076a0e0bf100fb4914620be53c75c6f3bfe24298f3f", "mu_away": 24.8, "mu_home": 28.4,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253949088661746018115969667209453546089}, "uinteger": 0}, "spread_home_line": -20.5, "total_line": 49.5}, "market_type": "moneyline", "model_version": "college-football-v1", "observed_at_utc": "2026-09-19T11:12:59.236900+00:00", "probabilities": {"away": 0.431515, "home": 0.568485}, "replay_scope": "Full precision score means, exact engine parameters and original RNG state; upstream feature construction not certified.", "schema": "cfb-joint-replay-v1", "snapshot_hash": "7b320ca38851d1d34bef5bd6a69f7b3ad8ad0bfe3d4e0dc4a57fe3e09cda4445", "sport": "NCAAF"}</t>
        </is>
      </c>
    </row>
    <row r="266" ht="36" customHeight="1">
      <c r="A266" s="24" t="inlineStr">
        <is>
          <t>2134750df35e4589</t>
        </is>
      </c>
      <c r="B266" s="24" t="inlineStr">
        <is>
          <t>2026-09-19T11:12:59.236900Z</t>
        </is>
      </c>
      <c r="C266" s="24" t="inlineStr">
        <is>
          <t>2026-09-19T16:00Z</t>
        </is>
      </c>
      <c r="D266" s="24" t="inlineStr">
        <is>
          <t>401856792</t>
        </is>
      </c>
      <c r="E266" s="24" t="inlineStr">
        <is>
          <t>NCAAF</t>
        </is>
      </c>
      <c r="F266" s="24" t="inlineStr">
        <is>
          <t>Tulane Green Wave</t>
        </is>
      </c>
      <c r="G266" s="24" t="inlineStr">
        <is>
          <t>Kansas State Wildcats</t>
        </is>
      </c>
      <c r="H266" s="24" t="inlineStr">
        <is>
          <t>spread</t>
        </is>
      </c>
      <c r="I266" s="24" t="inlineStr">
        <is>
          <t>away</t>
        </is>
      </c>
      <c r="J266" s="25" t="n">
        <v>20.5</v>
      </c>
      <c r="K266" s="24" t="inlineStr">
        <is>
          <t>espn_consensus</t>
        </is>
      </c>
      <c r="L266" s="26" t="n">
        <v>-112</v>
      </c>
      <c r="M266" s="27" t="n">
        <v>1.892857</v>
      </c>
      <c r="N266" s="28" t="n">
        <v>0.528302</v>
      </c>
      <c r="O266" s="28" t="n">
        <v>0.8036</v>
      </c>
      <c r="P266" s="28" t="n">
        <v>0.18</v>
      </c>
      <c r="Q266" s="28" t="n">
        <v>0.275298</v>
      </c>
      <c r="R266" s="26" t="n">
        <v>80</v>
      </c>
      <c r="S266" s="29" t="n">
        <v>1.75</v>
      </c>
      <c r="T266" s="24" t="inlineStr">
        <is>
          <t>cfb-spread-v1</t>
        </is>
      </c>
      <c r="U266" s="24" t="inlineStr">
        <is>
          <t>settled</t>
        </is>
      </c>
      <c r="V266" s="24" t="inlineStr">
        <is>
          <t>win</t>
        </is>
      </c>
      <c r="W266" s="26" t="n">
        <v>20</v>
      </c>
      <c r="X266" s="26" t="n">
        <v>31</v>
      </c>
      <c r="Y266" s="25" t="n"/>
      <c r="Z266" s="26" t="n"/>
      <c r="AA266" s="28" t="n"/>
      <c r="AB266" s="28" t="n"/>
      <c r="AC266" s="30" t="n">
        <v>1.5625</v>
      </c>
      <c r="AD266" s="24" t="inlineStr">
        <is>
          <t>2026-09-19T22:00:20.359764Z</t>
        </is>
      </c>
      <c r="AE266" s="31" t="inlineStr">
        <is>
          <t>Projected home margin +3.7 pts. Spread: Home -20.5 / Away +20.5 -&gt; P(Away cover)=0.804, P(Home cover)=0.196, P(Push)=0.000.</t>
        </is>
      </c>
      <c r="AF266" s="31" t="inlineStr">
        <is>
          <t>College football model; multi-market (moneyline, spread, total).</t>
        </is>
      </c>
      <c r="AG266" s="24" t="inlineStr">
        <is>
          <t>not_applicable</t>
        </is>
      </c>
      <c r="AH266" s="24" t="n"/>
      <c r="AI266" s="31" t="n"/>
      <c r="AJ266" s="31" t="n"/>
      <c r="AK266" s="24" t="inlineStr">
        <is>
          <t>model_qualified</t>
        </is>
      </c>
      <c r="AL266" s="26" t="n">
        <v>4</v>
      </c>
      <c r="AM266" s="24" t="inlineStr">
        <is>
          <t>QUALIFIED_SHADOW_CALL</t>
        </is>
      </c>
      <c r="AN266" s="24" t="inlineStr">
        <is>
          <t>CALL</t>
        </is>
      </c>
      <c r="AO266" s="24" t="inlineStr">
        <is>
          <t>QUALIFIED</t>
        </is>
      </c>
      <c r="AP266" s="24" t="inlineStr">
        <is>
          <t>Tulane Green Wave</t>
        </is>
      </c>
      <c r="AQ266" s="24" t="inlineStr">
        <is>
          <t>Tulane Green Wave</t>
        </is>
      </c>
      <c r="AR266" s="24" t="inlineStr">
        <is>
          <t>Tulane Green Wave</t>
        </is>
      </c>
      <c r="AS266" s="24" t="inlineStr">
        <is>
          <t>Kansas State Wildcats</t>
        </is>
      </c>
      <c r="AT266" s="24" t="inlineStr">
        <is>
          <t>Kansas State Wildcats</t>
        </is>
      </c>
      <c r="AU266" s="24" t="inlineStr">
        <is>
          <t>Kansas State Wildcats</t>
        </is>
      </c>
      <c r="AV266" s="24" t="n"/>
      <c r="AW266" s="24" t="n"/>
      <c r="AX266" s="24" t="inlineStr">
        <is>
          <t>statistical_model</t>
        </is>
      </c>
      <c r="AY266" s="24" t="n"/>
      <c r="AZ266" s="24" t="inlineStr">
        <is>
          <t>shadow_qualified</t>
        </is>
      </c>
      <c r="BA266" s="24" t="inlineStr">
        <is>
          <t>1d168f11d221cd3c</t>
        </is>
      </c>
      <c r="BB266" s="24" t="inlineStr">
        <is>
          <t>cfb_key_number_engine</t>
        </is>
      </c>
      <c r="BC266" s="24" t="inlineStr">
        <is>
          <t>cfb-spread-v1</t>
        </is>
      </c>
      <c r="BD266" s="24" t="inlineStr">
        <is>
          <t>1d168f11d221cd3c</t>
        </is>
      </c>
      <c r="BE266" s="24" t="inlineStr">
        <is>
          <t>cfb-v1</t>
        </is>
      </c>
      <c r="BF266" s="24" t="inlineStr">
        <is>
          <t>1</t>
        </is>
      </c>
      <c r="BG266" s="24" t="inlineStr">
        <is>
          <t>1d168f11d221cd3c</t>
        </is>
      </c>
      <c r="BH266" s="24" t="inlineStr">
        <is>
          <t>2026-09-19T11:12:59.236900+00:00</t>
        </is>
      </c>
      <c r="BI266" s="24" t="inlineStr">
        <is>
          <t>["same_event","same_team_same_day","same_league_same_day"]</t>
        </is>
      </c>
      <c r="BJ266" s="25" t="n">
        <v>20.5</v>
      </c>
      <c r="BK266" s="26" t="n">
        <v>-112</v>
      </c>
      <c r="BL266" s="27" t="n">
        <v>1.892857</v>
      </c>
      <c r="BM266" s="28" t="n">
        <v>0.528302</v>
      </c>
      <c r="BN266" s="28" t="n"/>
      <c r="BO266" s="28" t="n"/>
      <c r="BP266" s="25" t="n"/>
      <c r="BQ266" s="27" t="n"/>
      <c r="BR266" s="28" t="n"/>
      <c r="BS266" s="28" t="n"/>
      <c r="BT266" s="28" t="n"/>
      <c r="BU266" s="25" t="n"/>
      <c r="BV266" s="29" t="n"/>
      <c r="BW266" s="24" t="n"/>
      <c r="BX266" s="30" t="n"/>
      <c r="BY266" s="27" t="n"/>
      <c r="BZ266" s="24" t="n"/>
      <c r="CA266" s="31" t="n"/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  <c r="CL266" s="24" t="n"/>
      <c r="CM266" s="24" t="n"/>
      <c r="CN266" s="24" t="n"/>
      <c r="CO266" s="24" t="n"/>
      <c r="CP266" s="24" t="n"/>
      <c r="CQ266" s="24" t="n"/>
      <c r="CR266" s="24" t="n"/>
      <c r="CS266" s="24" t="inlineStr">
        <is>
          <t>True</t>
        </is>
      </c>
      <c r="CT266" s="24" t="n"/>
      <c r="CU266" s="24" t="n"/>
      <c r="CV266" s="24" t="n"/>
      <c r="CW266" s="24" t="n"/>
      <c r="CX266" s="24" t="n"/>
      <c r="CY266" s="24" t="n"/>
      <c r="CZ266" s="24" t="n"/>
      <c r="DA266" s="24" t="n"/>
      <c r="DB266" s="24" t="n"/>
      <c r="DC266" s="24" t="n"/>
      <c r="DD266" s="24" t="n"/>
      <c r="DE266" s="24" t="n"/>
      <c r="DF266" s="24" t="n"/>
      <c r="DG266" s="24" t="n"/>
      <c r="DH266" s="24" t="n"/>
      <c r="DI266" s="24" t="n"/>
      <c r="DJ266" s="24" t="inlineStr">
        <is>
          <t>0.528302</t>
        </is>
      </c>
      <c r="DK266" s="24" t="n"/>
      <c r="DL266" s="24" t="n"/>
      <c r="DM266" s="24" t="n"/>
      <c r="DN266" s="24" t="n"/>
      <c r="DO266" s="24" t="n"/>
      <c r="DP266" s="24" t="n"/>
      <c r="DQ266" s="24" t="inlineStr">
        <is>
          <t>{"artifact_hash": "1d168f11d221cd3c", "event_id": "401856792", "event_start_utc": "2026-09-19T16:00Z", "features": {"altitude_fatigue_penalty": 0.0, "away_team": "Tulane Green Wave", "efficiency_gap": 0.962, "elo_away": 1572.0, "elo_home": 1597.1, "elo_home_win_prob": 0.6269, "event_id": "401856792", "game_start_utc": "2026-09-19T16:00Z", "home_field_advantage_points": 2.8, "home_team": "Kansas State Wildcats", "is_dome": false, "is_fbs_vs_fcs": false, "is_neutral_site": false, "projected_away_points": 24.8, "projected_home_points": 28.4, "projected_margin_home": 3.7, "projected_possessions": 12.4, "projected_total": 53.2, "stadium_elevation_ft": 1050, "travel_distance_miles": 738.0, "uncertainty": 0.18, "weather_total_adjustment": 0.0}, "historical_source_observation_times_verified": false, "inference_inputs": {"engine_source_sha256": "449ba2f0e86fa9c445730076a0e0bf100fb4914620be53c75c6f3bfe24298f3f", "mu_away": 24.8, "mu_home": 28.4,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253949088661746018115969667209453546089}, "uinteger": 0}, "spread_home_line": -20.5, "total_line": 49.5}, "market_type": "spread", "model_version": "cfb-spread-v1", "observed_at_utc": "2026-09-19T11:12:59.236900+00:00", "probabilities": {"away": 0.8036, "home": 0.1964, "push": 0.0}, "replay_scope": "Full precision score means, exact engine parameters and original RNG state; upstream feature construction not certified.", "schema": "cfb-joint-replay-v1", "snapshot_hash": "73e726b090ffd7a4abb371e20e73a8132ee0eaaa3e7998036bee0f86fed770e9", "sport": "NCAAF"}</t>
        </is>
      </c>
    </row>
    <row r="267" ht="36" customHeight="1">
      <c r="A267" s="24" t="inlineStr">
        <is>
          <t>331d10d412064dba</t>
        </is>
      </c>
      <c r="B267" s="24" t="inlineStr">
        <is>
          <t>2026-09-19T11:12:59.236900Z</t>
        </is>
      </c>
      <c r="C267" s="24" t="inlineStr">
        <is>
          <t>2026-09-19T16:00Z</t>
        </is>
      </c>
      <c r="D267" s="24" t="inlineStr">
        <is>
          <t>401856792</t>
        </is>
      </c>
      <c r="E267" s="24" t="inlineStr">
        <is>
          <t>NCAAF</t>
        </is>
      </c>
      <c r="F267" s="24" t="inlineStr">
        <is>
          <t>Tulane Green Wave</t>
        </is>
      </c>
      <c r="G267" s="24" t="inlineStr">
        <is>
          <t>Kansas State Wildcats</t>
        </is>
      </c>
      <c r="H267" s="24" t="inlineStr">
        <is>
          <t>total</t>
        </is>
      </c>
      <c r="I267" s="24" t="inlineStr">
        <is>
          <t>over</t>
        </is>
      </c>
      <c r="J267" s="25" t="n">
        <v>49.5</v>
      </c>
      <c r="K267" s="24" t="inlineStr">
        <is>
          <t>espn_consensus</t>
        </is>
      </c>
      <c r="L267" s="26" t="n">
        <v>-112</v>
      </c>
      <c r="M267" s="27" t="n">
        <v>1.892857</v>
      </c>
      <c r="N267" s="28" t="n">
        <v>0.528302</v>
      </c>
      <c r="O267" s="28" t="n">
        <v>0.533867</v>
      </c>
      <c r="P267" s="28" t="n">
        <v>0.18</v>
      </c>
      <c r="Q267" s="28" t="n">
        <v>0.005565</v>
      </c>
      <c r="R267" s="26" t="n">
        <v>0</v>
      </c>
      <c r="S267" s="29" t="n">
        <v>1</v>
      </c>
      <c r="T267" s="24" t="inlineStr">
        <is>
          <t>cfb-total-v1</t>
        </is>
      </c>
      <c r="U267" s="24" t="inlineStr">
        <is>
          <t>settled</t>
        </is>
      </c>
      <c r="V267" s="24" t="inlineStr">
        <is>
          <t>win</t>
        </is>
      </c>
      <c r="W267" s="26" t="n">
        <v>20</v>
      </c>
      <c r="X267" s="26" t="n">
        <v>31</v>
      </c>
      <c r="Y267" s="25" t="n"/>
      <c r="Z267" s="26" t="n"/>
      <c r="AA267" s="28" t="n"/>
      <c r="AB267" s="28" t="n"/>
      <c r="AC267" s="30" t="n">
        <v>0.8929</v>
      </c>
      <c r="AD267" s="24" t="inlineStr">
        <is>
          <t>2026-09-19T22:00:20.814304Z</t>
        </is>
      </c>
      <c r="AE267" s="31" t="inlineStr">
        <is>
          <t>Projected total 53.2 pts (Weather adj: +0.0 pts). Total line 49.5 -&gt; P(Over)=0.534, P(Under)=0.466, P(Push)=0.000.</t>
        </is>
      </c>
      <c r="AF267" s="31" t="inlineStr">
        <is>
          <t>College football model; multi-market (moneyline, spread, total).</t>
        </is>
      </c>
      <c r="AG267" s="24" t="inlineStr">
        <is>
          <t>not_applicable</t>
        </is>
      </c>
      <c r="AH267" s="24" t="n"/>
      <c r="AI267" s="31" t="n"/>
      <c r="AJ267" s="31" t="n"/>
      <c r="AK267" s="24" t="inlineStr">
        <is>
          <t>paper_call</t>
        </is>
      </c>
      <c r="AL267" s="26" t="n">
        <v>4</v>
      </c>
      <c r="AM267" s="24" t="inlineStr">
        <is>
          <t>RESEARCH_OBSERVATION</t>
        </is>
      </c>
      <c r="AN267" s="24" t="inlineStr">
        <is>
          <t>CALL</t>
        </is>
      </c>
      <c r="AO267" s="24" t="inlineStr">
        <is>
          <t>PAPER_CALL_LOW_EDGE</t>
        </is>
      </c>
      <c r="AP267" s="24" t="inlineStr">
        <is>
          <t>Tulane Green Wave</t>
        </is>
      </c>
      <c r="AQ267" s="24" t="inlineStr">
        <is>
          <t>Tulane Green Wave</t>
        </is>
      </c>
      <c r="AR267" s="24" t="inlineStr">
        <is>
          <t>Tulane Green Wave</t>
        </is>
      </c>
      <c r="AS267" s="24" t="inlineStr">
        <is>
          <t>Kansas State Wildcats</t>
        </is>
      </c>
      <c r="AT267" s="24" t="inlineStr">
        <is>
          <t>Kansas State Wildcats</t>
        </is>
      </c>
      <c r="AU267" s="24" t="inlineStr">
        <is>
          <t>Kansas State Wildcats</t>
        </is>
      </c>
      <c r="AV267" s="24" t="n"/>
      <c r="AW267" s="24" t="n"/>
      <c r="AX267" s="24" t="inlineStr">
        <is>
          <t>statistical_model</t>
        </is>
      </c>
      <c r="AY267" s="24" t="n"/>
      <c r="AZ267" s="24" t="inlineStr">
        <is>
          <t>shadow_qualified</t>
        </is>
      </c>
      <c r="BA267" s="24" t="inlineStr">
        <is>
          <t>1d168f11d221cd3c</t>
        </is>
      </c>
      <c r="BB267" s="24" t="inlineStr">
        <is>
          <t>cfb_key_number_engine</t>
        </is>
      </c>
      <c r="BC267" s="24" t="inlineStr">
        <is>
          <t>cfb-total-v1</t>
        </is>
      </c>
      <c r="BD267" s="24" t="inlineStr">
        <is>
          <t>1d168f11d221cd3c</t>
        </is>
      </c>
      <c r="BE267" s="24" t="inlineStr">
        <is>
          <t>cfb-v1</t>
        </is>
      </c>
      <c r="BF267" s="24" t="inlineStr">
        <is>
          <t>1</t>
        </is>
      </c>
      <c r="BG267" s="24" t="inlineStr">
        <is>
          <t>1d168f11d221cd3c</t>
        </is>
      </c>
      <c r="BH267" s="24" t="inlineStr">
        <is>
          <t>2026-09-19T11:12:59.236900+00:00</t>
        </is>
      </c>
      <c r="BI267" s="24" t="inlineStr">
        <is>
          <t>["same_event","same_team_same_day","same_league_same_day"]</t>
        </is>
      </c>
      <c r="BJ267" s="25" t="n">
        <v>49.5</v>
      </c>
      <c r="BK267" s="26" t="n">
        <v>-112</v>
      </c>
      <c r="BL267" s="27" t="n">
        <v>1.892857</v>
      </c>
      <c r="BM267" s="28" t="n">
        <v>0.528302</v>
      </c>
      <c r="BN267" s="28" t="n"/>
      <c r="BO267" s="28" t="n"/>
      <c r="BP267" s="25" t="n"/>
      <c r="BQ267" s="27" t="n"/>
      <c r="BR267" s="28" t="n"/>
      <c r="BS267" s="28" t="n"/>
      <c r="BT267" s="28" t="n"/>
      <c r="BU267" s="25" t="n"/>
      <c r="BV267" s="29" t="n"/>
      <c r="BW267" s="24" t="n"/>
      <c r="BX267" s="30" t="n">
        <v>1</v>
      </c>
      <c r="BY267" s="27" t="n">
        <v>0.892857</v>
      </c>
      <c r="BZ267" s="24" t="inlineStr">
        <is>
          <t>2026-09-19T22:00:20.814304Z</t>
        </is>
      </c>
      <c r="CA267" s="31" t="inlineStr">
        <is>
          <t>fixed one-unit hypothetical scoring; no real exposure or execution</t>
        </is>
      </c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  <c r="CL267" s="24" t="n"/>
      <c r="CM267" s="24" t="n"/>
      <c r="CN267" s="24" t="n"/>
      <c r="CO267" s="24" t="n"/>
      <c r="CP267" s="24" t="n"/>
      <c r="CQ267" s="24" t="n"/>
      <c r="CR267" s="24" t="n"/>
      <c r="CS267" s="24" t="inlineStr">
        <is>
          <t>True</t>
        </is>
      </c>
      <c r="CT267" s="24" t="n"/>
      <c r="CU267" s="24" t="n"/>
      <c r="CV267" s="24" t="n"/>
      <c r="CW267" s="24" t="n"/>
      <c r="CX267" s="24" t="n"/>
      <c r="CY267" s="24" t="n"/>
      <c r="CZ267" s="24" t="n"/>
      <c r="DA267" s="24" t="n"/>
      <c r="DB267" s="24" t="n"/>
      <c r="DC267" s="24" t="n"/>
      <c r="DD267" s="24" t="n"/>
      <c r="DE267" s="24" t="n"/>
      <c r="DF267" s="24" t="n"/>
      <c r="DG267" s="24" t="n"/>
      <c r="DH267" s="24" t="n"/>
      <c r="DI267" s="24" t="n"/>
      <c r="DJ267" s="24" t="inlineStr">
        <is>
          <t>0.528302</t>
        </is>
      </c>
      <c r="DK267" s="24" t="n"/>
      <c r="DL267" s="24" t="n"/>
      <c r="DM267" s="24" t="n"/>
      <c r="DN267" s="24" t="n"/>
      <c r="DO267" s="24" t="n"/>
      <c r="DP267" s="24" t="n"/>
      <c r="DQ267" s="24" t="inlineStr">
        <is>
          <t>{"artifact_hash": "1d168f11d221cd3c", "event_id": "401856792", "event_start_utc": "2026-09-19T16:00Z", "features": {"altitude_fatigue_penalty": 0.0, "away_team": "Tulane Green Wave", "efficiency_gap": 0.962, "elo_away": 1572.0, "elo_home": 1597.1, "elo_home_win_prob": 0.6269, "event_id": "401856792", "game_start_utc": "2026-09-19T16:00Z", "home_field_advantage_points": 2.8, "home_team": "Kansas State Wildcats", "is_dome": false, "is_fbs_vs_fcs": false, "is_neutral_site": false, "projected_away_points": 24.8, "projected_home_points": 28.4, "projected_margin_home": 3.7, "projected_possessions": 12.4, "projected_total": 53.2, "stadium_elevation_ft": 1050, "travel_distance_miles": 738.0, "uncertainty": 0.18, "weather_total_adjustment": 0.0}, "historical_source_observation_times_verified": false, "inference_inputs": {"engine_source_sha256": "449ba2f0e86fa9c445730076a0e0bf100fb4914620be53c75c6f3bfe24298f3f", "mu_away": 24.8, "mu_home": 28.4,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253949088661746018115969667209453546089}, "uinteger": 0}, "spread_home_line": -20.5, "total_line": 49.5}, "market_type": "total", "model_version": "cfb-total-v1", "observed_at_utc": "2026-09-19T11:12:59.236900+00:00", "probabilities": {"over": 0.533867, "push": 0.0, "under": 0.466133}, "replay_scope": "Full precision score means, exact engine parameters and original RNG state; upstream feature construction not certified.", "schema": "cfb-joint-replay-v1", "snapshot_hash": "7880ccda6e85048a6a4db54ba83f73e986a900670e9c3635a2e1dcd054371e98", "sport": "NCAAF"}</t>
        </is>
      </c>
    </row>
    <row r="268" ht="36" customHeight="1">
      <c r="A268" s="24" t="inlineStr">
        <is>
          <t>28d2099411cc407e</t>
        </is>
      </c>
      <c r="B268" s="24" t="inlineStr">
        <is>
          <t>2026-09-19T11:12:59.236900Z</t>
        </is>
      </c>
      <c r="C268" s="24" t="inlineStr">
        <is>
          <t>2026-09-19T16:00Z</t>
        </is>
      </c>
      <c r="D268" s="24" t="inlineStr">
        <is>
          <t>401856798</t>
        </is>
      </c>
      <c r="E268" s="24" t="inlineStr">
        <is>
          <t>NCAAF</t>
        </is>
      </c>
      <c r="F268" s="24" t="inlineStr">
        <is>
          <t>Bowling Green Falcons</t>
        </is>
      </c>
      <c r="G268" s="24" t="inlineStr">
        <is>
          <t>Iowa State Cyclones</t>
        </is>
      </c>
      <c r="H268" s="24" t="inlineStr">
        <is>
          <t>moneyline</t>
        </is>
      </c>
      <c r="I268" s="24" t="inlineStr">
        <is>
          <t>home</t>
        </is>
      </c>
      <c r="J268" s="25" t="n"/>
      <c r="K268" s="24" t="inlineStr">
        <is>
          <t>espn_consensus</t>
        </is>
      </c>
      <c r="L268" s="26" t="n">
        <v>-2400</v>
      </c>
      <c r="M268" s="27" t="n">
        <v>1.041667</v>
      </c>
      <c r="N268" s="28" t="n">
        <v>0.96</v>
      </c>
      <c r="O268" s="28" t="n">
        <v>0.721227</v>
      </c>
      <c r="P268" s="28" t="n">
        <v>0.18</v>
      </c>
      <c r="Q268" s="28" t="n">
        <v>-0.238773</v>
      </c>
      <c r="R268" s="26" t="n">
        <v>0</v>
      </c>
      <c r="S268" s="29" t="n">
        <v>1</v>
      </c>
      <c r="T268" s="24" t="inlineStr">
        <is>
          <t>college-football-v1</t>
        </is>
      </c>
      <c r="U268" s="24" t="inlineStr">
        <is>
          <t>settled</t>
        </is>
      </c>
      <c r="V268" s="24" t="inlineStr">
        <is>
          <t>win</t>
        </is>
      </c>
      <c r="W268" s="26" t="n">
        <v>7</v>
      </c>
      <c r="X268" s="26" t="n">
        <v>55</v>
      </c>
      <c r="Y268" s="25" t="n"/>
      <c r="Z268" s="26" t="n"/>
      <c r="AA268" s="28" t="n"/>
      <c r="AB268" s="28" t="n"/>
      <c r="AC268" s="30" t="n">
        <v>0.0417</v>
      </c>
      <c r="AD268" s="24" t="inlineStr">
        <is>
          <t>2026-09-19T22:00:21.335403Z</t>
        </is>
      </c>
      <c r="AE268" s="31" t="inlineStr">
        <is>
          <t>CFB Joint Model (negative_binomial): proj score Bowling Green Falcons 21.0 @ Iowa State Cyclones 32.7 (Margin +11.7). Possessions: 12.4, HFA: +2.8 pts.</t>
        </is>
      </c>
      <c r="AF268" s="31" t="inlineStr">
        <is>
          <t>College football model; multi-market (moneyline, spread, total).</t>
        </is>
      </c>
      <c r="AG268" s="24" t="inlineStr">
        <is>
          <t>not_applicable</t>
        </is>
      </c>
      <c r="AH268" s="24" t="n"/>
      <c r="AI268" s="31" t="n"/>
      <c r="AJ268" s="31" t="n"/>
      <c r="AK268" s="24" t="inlineStr">
        <is>
          <t>paper_call</t>
        </is>
      </c>
      <c r="AL268" s="26" t="n">
        <v>4</v>
      </c>
      <c r="AM268" s="24" t="inlineStr">
        <is>
          <t>RESEARCH_OBSERVATION</t>
        </is>
      </c>
      <c r="AN268" s="24" t="inlineStr">
        <is>
          <t>CALL</t>
        </is>
      </c>
      <c r="AO268" s="24" t="inlineStr">
        <is>
          <t>PAPER_CALL_LOW_EDGE</t>
        </is>
      </c>
      <c r="AP268" s="24" t="inlineStr">
        <is>
          <t>Bowling Green Falcons</t>
        </is>
      </c>
      <c r="AQ268" s="24" t="inlineStr">
        <is>
          <t>Bowling Green Falcons</t>
        </is>
      </c>
      <c r="AR268" s="24" t="inlineStr">
        <is>
          <t>Bowling Green Falcons</t>
        </is>
      </c>
      <c r="AS268" s="24" t="inlineStr">
        <is>
          <t>Iowa State Cyclones</t>
        </is>
      </c>
      <c r="AT268" s="24" t="inlineStr">
        <is>
          <t>Iowa State Cyclones</t>
        </is>
      </c>
      <c r="AU268" s="24" t="inlineStr">
        <is>
          <t>Iowa State Cyclones</t>
        </is>
      </c>
      <c r="AV268" s="24" t="n"/>
      <c r="AW268" s="24" t="n"/>
      <c r="AX268" s="24" t="inlineStr">
        <is>
          <t>statistical_model</t>
        </is>
      </c>
      <c r="AY268" s="24" t="n"/>
      <c r="AZ268" s="24" t="inlineStr">
        <is>
          <t>shadow_qualified</t>
        </is>
      </c>
      <c r="BA268" s="24" t="inlineStr">
        <is>
          <t>1d168f11d221cd3c</t>
        </is>
      </c>
      <c r="BB268" s="24" t="inlineStr">
        <is>
          <t>cfb_key_number_engine</t>
        </is>
      </c>
      <c r="BC268" s="24" t="inlineStr">
        <is>
          <t>college-football-v1</t>
        </is>
      </c>
      <c r="BD268" s="24" t="inlineStr">
        <is>
          <t>1d168f11d221cd3c</t>
        </is>
      </c>
      <c r="BE268" s="24" t="inlineStr">
        <is>
          <t>cfb-v1</t>
        </is>
      </c>
      <c r="BF268" s="24" t="inlineStr">
        <is>
          <t>1</t>
        </is>
      </c>
      <c r="BG268" s="24" t="inlineStr">
        <is>
          <t>1d168f11d221cd3c</t>
        </is>
      </c>
      <c r="BH268" s="24" t="inlineStr">
        <is>
          <t>2026-09-19T11:12:59.236900+00:00</t>
        </is>
      </c>
      <c r="BI268" s="24" t="inlineStr">
        <is>
          <t>["same_event","same_team_same_day","same_league_same_day"]</t>
        </is>
      </c>
      <c r="BJ268" s="25" t="n"/>
      <c r="BK268" s="26" t="n">
        <v>-2400</v>
      </c>
      <c r="BL268" s="27" t="n">
        <v>1.041667</v>
      </c>
      <c r="BM268" s="28" t="n">
        <v>0.96</v>
      </c>
      <c r="BN268" s="28" t="n"/>
      <c r="BO268" s="28" t="n"/>
      <c r="BP268" s="25" t="n"/>
      <c r="BQ268" s="27" t="n"/>
      <c r="BR268" s="28" t="n"/>
      <c r="BS268" s="28" t="n"/>
      <c r="BT268" s="28" t="n"/>
      <c r="BU268" s="25" t="n"/>
      <c r="BV268" s="29" t="n"/>
      <c r="BW268" s="24" t="n"/>
      <c r="BX268" s="30" t="n">
        <v>1</v>
      </c>
      <c r="BY268" s="27" t="n">
        <v>0.041667</v>
      </c>
      <c r="BZ268" s="24" t="inlineStr">
        <is>
          <t>2026-09-19T22:00:21.335403Z</t>
        </is>
      </c>
      <c r="CA268" s="31" t="inlineStr">
        <is>
          <t>fixed one-unit hypothetical scoring; no real exposure or execution</t>
        </is>
      </c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inlineStr">
        <is>
          <t>False</t>
        </is>
      </c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/>
      <c r="DH268" s="24" t="n"/>
      <c r="DI268" s="24" t="n"/>
      <c r="DJ268" s="24" t="inlineStr">
        <is>
          <t>0.96</t>
        </is>
      </c>
      <c r="DK268" s="24" t="n"/>
      <c r="DL268" s="24" t="n"/>
      <c r="DM268" s="24" t="n"/>
      <c r="DN268" s="24" t="n"/>
      <c r="DO268" s="24" t="n"/>
      <c r="DP268" s="24" t="n"/>
      <c r="DQ268" s="24" t="inlineStr">
        <is>
          <t>{"artifact_hash": "1d168f11d221cd3c", "event_id": "401856798", "event_start_utc": "2026-09-19T16:00Z", "features": {"altitude_fatigue_penalty": 0.0, "away_team": "Bowling Green Falcons", "efficiency_gap": 1.322, "elo_away": 1389.6, "elo_home": 1611.6, "elo_home_win_prob": 0.8391, "event_id": "401856798", "game_start_utc": "2026-09-19T16:00Z", "home_field_advantage_points": 2.8, "home_team": "Iowa State Cyclones", "is_dome": false, "is_fbs_vs_fcs": false, "is_neutral_site": false, "projected_away_points": 21.0, "projected_home_points": 32.7, "projected_margin_home": 11.7, "projected_possessions": 12.4, "projected_total": 53.6, "stadium_elevation_ft": 920, "travel_distance_miles": 518.0, "uncertainty": 0.18, "weather_total_adjustment": 0.0}, "historical_source_observation_times_verified": false, "inference_inputs": {"engine_source_sha256": "449ba2f0e86fa9c445730076a0e0bf100fb4914620be53c75c6f3bfe24298f3f", "mu_away": 21.0,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118746688332001186837963380355611824556}, "uinteger": 0}, "spread_home_line": -23.5, "total_line": 43.5}, "market_type": "moneyline", "model_version": "college-football-v1", "observed_at_utc": "2026-09-19T11:12:59.236900+00:00", "probabilities": {"away": 0.278773, "home": 0.721227}, "replay_scope": "Full precision score means, exact engine parameters and original RNG state; upstream feature construction not certified.", "schema": "cfb-joint-replay-v1", "snapshot_hash": "06ba1887abf34e8be0b7959e250995c6d2e76cfcbfbd1664bacd514196779f22", "sport": "NCAAF"}</t>
        </is>
      </c>
    </row>
    <row r="269" ht="36" customHeight="1">
      <c r="A269" s="24" t="inlineStr">
        <is>
          <t>b42ef2105289471a</t>
        </is>
      </c>
      <c r="B269" s="24" t="inlineStr">
        <is>
          <t>2026-09-19T11:12:59.236900Z</t>
        </is>
      </c>
      <c r="C269" s="24" t="inlineStr">
        <is>
          <t>2026-09-19T16:00Z</t>
        </is>
      </c>
      <c r="D269" s="24" t="inlineStr">
        <is>
          <t>401856798</t>
        </is>
      </c>
      <c r="E269" s="24" t="inlineStr">
        <is>
          <t>NCAAF</t>
        </is>
      </c>
      <c r="F269" s="24" t="inlineStr">
        <is>
          <t>Bowling Green Falcons</t>
        </is>
      </c>
      <c r="G269" s="24" t="inlineStr">
        <is>
          <t>Iowa State Cyclones</t>
        </is>
      </c>
      <c r="H269" s="24" t="inlineStr">
        <is>
          <t>spread</t>
        </is>
      </c>
      <c r="I269" s="24" t="inlineStr">
        <is>
          <t>away</t>
        </is>
      </c>
      <c r="J269" s="25" t="n">
        <v>23.5</v>
      </c>
      <c r="K269" s="24" t="inlineStr">
        <is>
          <t>espn_consensus</t>
        </is>
      </c>
      <c r="L269" s="26" t="n">
        <v>100</v>
      </c>
      <c r="M269" s="27" t="n">
        <v>2</v>
      </c>
      <c r="N269" s="28" t="n">
        <v>0.5</v>
      </c>
      <c r="O269" s="28" t="n">
        <v>0.727267</v>
      </c>
      <c r="P269" s="28" t="n">
        <v>0.18</v>
      </c>
      <c r="Q269" s="28" t="n">
        <v>0.227267</v>
      </c>
      <c r="R269" s="26" t="n">
        <v>56</v>
      </c>
      <c r="S269" s="29" t="n">
        <v>1.25</v>
      </c>
      <c r="T269" s="24" t="inlineStr">
        <is>
          <t>cfb-spread-v1</t>
        </is>
      </c>
      <c r="U269" s="24" t="inlineStr">
        <is>
          <t>settled</t>
        </is>
      </c>
      <c r="V269" s="24" t="inlineStr">
        <is>
          <t>loss</t>
        </is>
      </c>
      <c r="W269" s="26" t="n">
        <v>7</v>
      </c>
      <c r="X269" s="26" t="n">
        <v>55</v>
      </c>
      <c r="Y269" s="25" t="n"/>
      <c r="Z269" s="26" t="n"/>
      <c r="AA269" s="28" t="n"/>
      <c r="AB269" s="28" t="n"/>
      <c r="AC269" s="30" t="n">
        <v>-1.25</v>
      </c>
      <c r="AD269" s="24" t="inlineStr">
        <is>
          <t>2026-09-19T22:00:21.731993Z</t>
        </is>
      </c>
      <c r="AE269" s="31" t="inlineStr">
        <is>
          <t>Projected home margin +11.7 pts. Spread: Home -23.5 / Away +23.5 -&gt; P(Away cover)=0.727, P(Home cover)=0.273, P(Push)=0.000.</t>
        </is>
      </c>
      <c r="AF269" s="31" t="inlineStr">
        <is>
          <t>College football model; multi-market (moneyline, spread, total).</t>
        </is>
      </c>
      <c r="AG269" s="24" t="inlineStr">
        <is>
          <t>review_required</t>
        </is>
      </c>
      <c r="AH269" s="24" t="n"/>
      <c r="AI269" s="31" t="n"/>
      <c r="AJ269" s="31" t="n"/>
      <c r="AK269" s="24" t="inlineStr">
        <is>
          <t>model_qualified</t>
        </is>
      </c>
      <c r="AL269" s="26" t="n">
        <v>4</v>
      </c>
      <c r="AM269" s="24" t="inlineStr">
        <is>
          <t>QUALIFIED_SHADOW_CALL</t>
        </is>
      </c>
      <c r="AN269" s="24" t="inlineStr">
        <is>
          <t>CALL</t>
        </is>
      </c>
      <c r="AO269" s="24" t="inlineStr">
        <is>
          <t>QUALIFIED</t>
        </is>
      </c>
      <c r="AP269" s="24" t="inlineStr">
        <is>
          <t>Bowling Green Falcons</t>
        </is>
      </c>
      <c r="AQ269" s="24" t="inlineStr">
        <is>
          <t>Bowling Green Falcons</t>
        </is>
      </c>
      <c r="AR269" s="24" t="inlineStr">
        <is>
          <t>Bowling Green Falcons</t>
        </is>
      </c>
      <c r="AS269" s="24" t="inlineStr">
        <is>
          <t>Iowa State Cyclones</t>
        </is>
      </c>
      <c r="AT269" s="24" t="inlineStr">
        <is>
          <t>Iowa State Cyclones</t>
        </is>
      </c>
      <c r="AU269" s="24" t="inlineStr">
        <is>
          <t>Iowa State Cyclones</t>
        </is>
      </c>
      <c r="AV269" s="24" t="n"/>
      <c r="AW269" s="24" t="n"/>
      <c r="AX269" s="24" t="inlineStr">
        <is>
          <t>statistical_model</t>
        </is>
      </c>
      <c r="AY269" s="24" t="n"/>
      <c r="AZ269" s="24" t="inlineStr">
        <is>
          <t>shadow_qualified</t>
        </is>
      </c>
      <c r="BA269" s="24" t="inlineStr">
        <is>
          <t>1d168f11d221cd3c</t>
        </is>
      </c>
      <c r="BB269" s="24" t="inlineStr">
        <is>
          <t>cfb_key_number_engine</t>
        </is>
      </c>
      <c r="BC269" s="24" t="inlineStr">
        <is>
          <t>cfb-spread-v1</t>
        </is>
      </c>
      <c r="BD269" s="24" t="inlineStr">
        <is>
          <t>1d168f11d221cd3c</t>
        </is>
      </c>
      <c r="BE269" s="24" t="inlineStr">
        <is>
          <t>cfb-v1</t>
        </is>
      </c>
      <c r="BF269" s="24" t="inlineStr">
        <is>
          <t>1</t>
        </is>
      </c>
      <c r="BG269" s="24" t="inlineStr">
        <is>
          <t>1d168f11d221cd3c</t>
        </is>
      </c>
      <c r="BH269" s="24" t="inlineStr">
        <is>
          <t>2026-09-19T11:12:59.236900+00:00</t>
        </is>
      </c>
      <c r="BI269" s="24" t="inlineStr">
        <is>
          <t>["same_event","same_team_same_day","same_league_same_day"]</t>
        </is>
      </c>
      <c r="BJ269" s="25" t="n">
        <v>23.5</v>
      </c>
      <c r="BK269" s="26" t="n">
        <v>100</v>
      </c>
      <c r="BL269" s="27" t="n">
        <v>2</v>
      </c>
      <c r="BM269" s="28" t="n">
        <v>0.5</v>
      </c>
      <c r="BN269" s="28" t="n"/>
      <c r="BO269" s="28" t="n"/>
      <c r="BP269" s="25" t="n"/>
      <c r="BQ269" s="27" t="n"/>
      <c r="BR269" s="28" t="n"/>
      <c r="BS269" s="28" t="n"/>
      <c r="BT269" s="28" t="n"/>
      <c r="BU269" s="25" t="n"/>
      <c r="BV269" s="29" t="n"/>
      <c r="BW269" s="24" t="n"/>
      <c r="BX269" s="30" t="n"/>
      <c r="BY269" s="27" t="n"/>
      <c r="BZ269" s="24" t="n"/>
      <c r="CA269" s="31" t="n"/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  <c r="CL269" s="24" t="n"/>
      <c r="CM269" s="24" t="n"/>
      <c r="CN269" s="24" t="n"/>
      <c r="CO269" s="24" t="n"/>
      <c r="CP269" s="24" t="n"/>
      <c r="CQ269" s="24" t="n"/>
      <c r="CR269" s="24" t="n"/>
      <c r="CS269" s="24" t="inlineStr">
        <is>
          <t>True</t>
        </is>
      </c>
      <c r="CT269" s="24" t="n"/>
      <c r="CU269" s="24" t="n"/>
      <c r="CV269" s="24" t="n"/>
      <c r="CW269" s="24" t="n"/>
      <c r="CX269" s="24" t="n"/>
      <c r="CY269" s="24" t="n"/>
      <c r="CZ269" s="24" t="n"/>
      <c r="DA269" s="24" t="n"/>
      <c r="DB269" s="24" t="n"/>
      <c r="DC269" s="24" t="n"/>
      <c r="DD269" s="24" t="n"/>
      <c r="DE269" s="24" t="n"/>
      <c r="DF269" s="24" t="n"/>
      <c r="DG269" s="24" t="n"/>
      <c r="DH269" s="24" t="n"/>
      <c r="DI269" s="24" t="n"/>
      <c r="DJ269" s="24" t="inlineStr">
        <is>
          <t>0.5</t>
        </is>
      </c>
      <c r="DK269" s="24" t="n"/>
      <c r="DL269" s="24" t="n"/>
      <c r="DM269" s="24" t="n"/>
      <c r="DN269" s="24" t="n"/>
      <c r="DO269" s="24" t="n"/>
      <c r="DP269" s="24" t="n"/>
      <c r="DQ269" s="24" t="inlineStr">
        <is>
          <t>{"artifact_hash": "1d168f11d221cd3c", "event_id": "401856798", "event_start_utc": "2026-09-19T16:00Z", "features": {"altitude_fatigue_penalty": 0.0, "away_team": "Bowling Green Falcons", "efficiency_gap": 1.322, "elo_away": 1389.6, "elo_home": 1611.6, "elo_home_win_prob": 0.8391, "event_id": "401856798", "game_start_utc": "2026-09-19T16:00Z", "home_field_advantage_points": 2.8, "home_team": "Iowa State Cyclones", "is_dome": false, "is_fbs_vs_fcs": false, "is_neutral_site": false, "projected_away_points": 21.0, "projected_home_points": 32.7, "projected_margin_home": 11.7, "projected_possessions": 12.4, "projected_total": 53.6, "stadium_elevation_ft": 920, "travel_distance_miles": 518.0, "uncertainty": 0.18, "weather_total_adjustment": 0.0}, "historical_source_observation_times_verified": false, "inference_inputs": {"engine_source_sha256": "449ba2f0e86fa9c445730076a0e0bf100fb4914620be53c75c6f3bfe24298f3f", "mu_away": 21.0,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118746688332001186837963380355611824556}, "uinteger": 0}, "spread_home_line": -23.5, "total_line": 43.5}, "market_type": "spread", "model_version": "cfb-spread-v1", "observed_at_utc": "2026-09-19T11:12:59.236900+00:00", "probabilities": {"away": 0.727267, "home": 0.272733, "push": 0.0}, "replay_scope": "Full precision score means, exact engine parameters and original RNG state; upstream feature construction not certified.", "schema": "cfb-joint-replay-v1", "snapshot_hash": "c7b74d7a807a85ea7e372f37a70a551c70dbb040dc9f55cb59efb820699d3ea0", "sport": "NCAAF"}</t>
        </is>
      </c>
    </row>
    <row r="270" ht="36" customHeight="1">
      <c r="A270" s="24" t="inlineStr">
        <is>
          <t>91cf934a24174760</t>
        </is>
      </c>
      <c r="B270" s="24" t="inlineStr">
        <is>
          <t>2026-09-19T11:12:59.236900Z</t>
        </is>
      </c>
      <c r="C270" s="24" t="inlineStr">
        <is>
          <t>2026-09-19T16:00Z</t>
        </is>
      </c>
      <c r="D270" s="24" t="inlineStr">
        <is>
          <t>401856798</t>
        </is>
      </c>
      <c r="E270" s="24" t="inlineStr">
        <is>
          <t>NCAAF</t>
        </is>
      </c>
      <c r="F270" s="24" t="inlineStr">
        <is>
          <t>Bowling Green Falcons</t>
        </is>
      </c>
      <c r="G270" s="24" t="inlineStr">
        <is>
          <t>Iowa State Cyclones</t>
        </is>
      </c>
      <c r="H270" s="24" t="inlineStr">
        <is>
          <t>total</t>
        </is>
      </c>
      <c r="I270" s="24" t="inlineStr">
        <is>
          <t>over</t>
        </is>
      </c>
      <c r="J270" s="25" t="n">
        <v>43.5</v>
      </c>
      <c r="K270" s="24" t="inlineStr">
        <is>
          <t>espn_consensus</t>
        </is>
      </c>
      <c r="L270" s="26" t="n">
        <v>-115</v>
      </c>
      <c r="M270" s="27" t="n">
        <v>1.869565</v>
      </c>
      <c r="N270" s="28" t="n">
        <v>0.534884</v>
      </c>
      <c r="O270" s="28" t="n">
        <v>0.632667</v>
      </c>
      <c r="P270" s="28" t="n">
        <v>0.18</v>
      </c>
      <c r="Q270" s="28" t="n">
        <v>0.09778299999999999</v>
      </c>
      <c r="R270" s="26" t="n">
        <v>0</v>
      </c>
      <c r="S270" s="29" t="n">
        <v>1</v>
      </c>
      <c r="T270" s="24" t="inlineStr">
        <is>
          <t>cfb-total-v1</t>
        </is>
      </c>
      <c r="U270" s="24" t="inlineStr">
        <is>
          <t>settled</t>
        </is>
      </c>
      <c r="V270" s="24" t="inlineStr">
        <is>
          <t>win</t>
        </is>
      </c>
      <c r="W270" s="26" t="n">
        <v>7</v>
      </c>
      <c r="X270" s="26" t="n">
        <v>55</v>
      </c>
      <c r="Y270" s="25" t="n"/>
      <c r="Z270" s="26" t="n"/>
      <c r="AA270" s="28" t="n"/>
      <c r="AB270" s="28" t="n"/>
      <c r="AC270" s="30" t="n">
        <v>0.8696</v>
      </c>
      <c r="AD270" s="24" t="inlineStr">
        <is>
          <t>2026-09-19T22:00:22.184854Z</t>
        </is>
      </c>
      <c r="AE270" s="31" t="inlineStr">
        <is>
          <t>Projected total 53.6 pts (Weather adj: +0.0 pts). Total line 43.5 -&gt; P(Over)=0.633, P(Under)=0.367, P(Push)=0.000.</t>
        </is>
      </c>
      <c r="AF270" s="31" t="inlineStr">
        <is>
          <t>College football model; multi-market (moneyline, spread, total).</t>
        </is>
      </c>
      <c r="AG270" s="24" t="inlineStr">
        <is>
          <t>not_applicable</t>
        </is>
      </c>
      <c r="AH270" s="24" t="n"/>
      <c r="AI270" s="31" t="n"/>
      <c r="AJ270" s="31" t="n"/>
      <c r="AK270" s="24" t="inlineStr">
        <is>
          <t>model_qualified</t>
        </is>
      </c>
      <c r="AL270" s="26" t="n">
        <v>4</v>
      </c>
      <c r="AM270" s="24" t="inlineStr">
        <is>
          <t>QUALIFIED_SHADOW_CALL</t>
        </is>
      </c>
      <c r="AN270" s="24" t="inlineStr">
        <is>
          <t>CALL</t>
        </is>
      </c>
      <c r="AO270" s="24" t="inlineStr">
        <is>
          <t>QUALIFIED</t>
        </is>
      </c>
      <c r="AP270" s="24" t="inlineStr">
        <is>
          <t>Bowling Green Falcons</t>
        </is>
      </c>
      <c r="AQ270" s="24" t="inlineStr">
        <is>
          <t>Bowling Green Falcons</t>
        </is>
      </c>
      <c r="AR270" s="24" t="inlineStr">
        <is>
          <t>Bowling Green Falcons</t>
        </is>
      </c>
      <c r="AS270" s="24" t="inlineStr">
        <is>
          <t>Iowa State Cyclones</t>
        </is>
      </c>
      <c r="AT270" s="24" t="inlineStr">
        <is>
          <t>Iowa State Cyclones</t>
        </is>
      </c>
      <c r="AU270" s="24" t="inlineStr">
        <is>
          <t>Iowa State Cyclones</t>
        </is>
      </c>
      <c r="AV270" s="24" t="n"/>
      <c r="AW270" s="24" t="n"/>
      <c r="AX270" s="24" t="inlineStr">
        <is>
          <t>statistical_model</t>
        </is>
      </c>
      <c r="AY270" s="24" t="n"/>
      <c r="AZ270" s="24" t="inlineStr">
        <is>
          <t>shadow_qualified</t>
        </is>
      </c>
      <c r="BA270" s="24" t="inlineStr">
        <is>
          <t>1d168f11d221cd3c</t>
        </is>
      </c>
      <c r="BB270" s="24" t="inlineStr">
        <is>
          <t>cfb_key_number_engine</t>
        </is>
      </c>
      <c r="BC270" s="24" t="inlineStr">
        <is>
          <t>cfb-total-v1</t>
        </is>
      </c>
      <c r="BD270" s="24" t="inlineStr">
        <is>
          <t>1d168f11d221cd3c</t>
        </is>
      </c>
      <c r="BE270" s="24" t="inlineStr">
        <is>
          <t>cfb-v1</t>
        </is>
      </c>
      <c r="BF270" s="24" t="inlineStr">
        <is>
          <t>1</t>
        </is>
      </c>
      <c r="BG270" s="24" t="inlineStr">
        <is>
          <t>1d168f11d221cd3c</t>
        </is>
      </c>
      <c r="BH270" s="24" t="inlineStr">
        <is>
          <t>2026-09-19T11:12:59.236900+00:00</t>
        </is>
      </c>
      <c r="BI270" s="24" t="inlineStr">
        <is>
          <t>["same_event","same_team_same_day","same_league_same_day"]</t>
        </is>
      </c>
      <c r="BJ270" s="25" t="n">
        <v>43.5</v>
      </c>
      <c r="BK270" s="26" t="n">
        <v>-115</v>
      </c>
      <c r="BL270" s="27" t="n">
        <v>1.869565</v>
      </c>
      <c r="BM270" s="28" t="n">
        <v>0.534884</v>
      </c>
      <c r="BN270" s="28" t="n"/>
      <c r="BO270" s="28" t="n"/>
      <c r="BP270" s="25" t="n"/>
      <c r="BQ270" s="27" t="n"/>
      <c r="BR270" s="28" t="n"/>
      <c r="BS270" s="28" t="n"/>
      <c r="BT270" s="28" t="n"/>
      <c r="BU270" s="25" t="n"/>
      <c r="BV270" s="29" t="n"/>
      <c r="BW270" s="24" t="n"/>
      <c r="BX270" s="30" t="n"/>
      <c r="BY270" s="27" t="n"/>
      <c r="BZ270" s="24" t="n"/>
      <c r="CA270" s="31" t="n"/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  <c r="CL270" s="24" t="n"/>
      <c r="CM270" s="24" t="n"/>
      <c r="CN270" s="24" t="n"/>
      <c r="CO270" s="24" t="n"/>
      <c r="CP270" s="24" t="n"/>
      <c r="CQ270" s="24" t="n"/>
      <c r="CR270" s="24" t="n"/>
      <c r="CS270" s="24" t="inlineStr">
        <is>
          <t>True</t>
        </is>
      </c>
      <c r="CT270" s="24" t="n"/>
      <c r="CU270" s="24" t="n"/>
      <c r="CV270" s="24" t="n"/>
      <c r="CW270" s="24" t="n"/>
      <c r="CX270" s="24" t="n"/>
      <c r="CY270" s="24" t="n"/>
      <c r="CZ270" s="24" t="n"/>
      <c r="DA270" s="24" t="n"/>
      <c r="DB270" s="24" t="n"/>
      <c r="DC270" s="24" t="n"/>
      <c r="DD270" s="24" t="n"/>
      <c r="DE270" s="24" t="n"/>
      <c r="DF270" s="24" t="n"/>
      <c r="DG270" s="24" t="n"/>
      <c r="DH270" s="24" t="n"/>
      <c r="DI270" s="24" t="n"/>
      <c r="DJ270" s="24" t="inlineStr">
        <is>
          <t>0.534884</t>
        </is>
      </c>
      <c r="DK270" s="24" t="n"/>
      <c r="DL270" s="24" t="n"/>
      <c r="DM270" s="24" t="n"/>
      <c r="DN270" s="24" t="n"/>
      <c r="DO270" s="24" t="n"/>
      <c r="DP270" s="24" t="n"/>
      <c r="DQ270" s="24" t="inlineStr">
        <is>
          <t>{"artifact_hash": "1d168f11d221cd3c", "event_id": "401856798", "event_start_utc": "2026-09-19T16:00Z", "features": {"altitude_fatigue_penalty": 0.0, "away_team": "Bowling Green Falcons", "efficiency_gap": 1.322, "elo_away": 1389.6, "elo_home": 1611.6, "elo_home_win_prob": 0.8391, "event_id": "401856798", "game_start_utc": "2026-09-19T16:00Z", "home_field_advantage_points": 2.8, "home_team": "Iowa State Cyclones", "is_dome": false, "is_fbs_vs_fcs": false, "is_neutral_site": false, "projected_away_points": 21.0, "projected_home_points": 32.7, "projected_margin_home": 11.7, "projected_possessions": 12.4, "projected_total": 53.6, "stadium_elevation_ft": 920, "travel_distance_miles": 518.0, "uncertainty": 0.18, "weather_total_adjustment": 0.0}, "historical_source_observation_times_verified": false, "inference_inputs": {"engine_source_sha256": "449ba2f0e86fa9c445730076a0e0bf100fb4914620be53c75c6f3bfe24298f3f", "mu_away": 21.0,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118746688332001186837963380355611824556}, "uinteger": 0}, "spread_home_line": -23.5, "total_line": 43.5}, "market_type": "total", "model_version": "cfb-total-v1", "observed_at_utc": "2026-09-19T11:12:59.236900+00:00", "probabilities": {"over": 0.632667, "push": 0.0, "under": 0.367333}, "replay_scope": "Full precision score means, exact engine parameters and original RNG state; upstream feature construction not certified.", "schema": "cfb-joint-replay-v1", "snapshot_hash": "530fc2548aac2cc4468678f25f76ebfad00b47b4840900c3632dfcbe210c35cb", "sport": "NCAAF"}</t>
        </is>
      </c>
    </row>
    <row r="271" ht="36" customHeight="1">
      <c r="A271" s="24" t="inlineStr">
        <is>
          <t>33f12cbd23654d65</t>
        </is>
      </c>
      <c r="B271" s="24" t="inlineStr">
        <is>
          <t>2026-09-19T11:12:59.236900Z</t>
        </is>
      </c>
      <c r="C271" s="24" t="inlineStr">
        <is>
          <t>2026-09-19T16:00Z</t>
        </is>
      </c>
      <c r="D271" s="24" t="inlineStr">
        <is>
          <t>401856812</t>
        </is>
      </c>
      <c r="E271" s="24" t="inlineStr">
        <is>
          <t>NCAAF</t>
        </is>
      </c>
      <c r="F271" s="24" t="inlineStr">
        <is>
          <t>Arizona State Sun Devils</t>
        </is>
      </c>
      <c r="G271" s="24" t="inlineStr">
        <is>
          <t>Kansas Jayhawks</t>
        </is>
      </c>
      <c r="H271" s="24" t="inlineStr">
        <is>
          <t>moneyline</t>
        </is>
      </c>
      <c r="I271" s="24" t="inlineStr">
        <is>
          <t>away</t>
        </is>
      </c>
      <c r="J271" s="25" t="n"/>
      <c r="K271" s="24" t="inlineStr">
        <is>
          <t>espn_consensus</t>
        </is>
      </c>
      <c r="L271" s="26" t="n">
        <v>-205</v>
      </c>
      <c r="M271" s="27" t="n">
        <v>1.487805</v>
      </c>
      <c r="N271" s="28" t="n">
        <v>0.672131</v>
      </c>
      <c r="O271" s="28" t="n">
        <v>0.651243</v>
      </c>
      <c r="P271" s="28" t="n">
        <v>0.18</v>
      </c>
      <c r="Q271" s="28" t="n">
        <v>-0.020888</v>
      </c>
      <c r="R271" s="26" t="n">
        <v>0</v>
      </c>
      <c r="S271" s="29" t="n">
        <v>1</v>
      </c>
      <c r="T271" s="24" t="inlineStr">
        <is>
          <t>college-football-v1</t>
        </is>
      </c>
      <c r="U271" s="24" t="inlineStr">
        <is>
          <t>settled</t>
        </is>
      </c>
      <c r="V271" s="24" t="inlineStr">
        <is>
          <t>win</t>
        </is>
      </c>
      <c r="W271" s="26" t="n">
        <v>24</v>
      </c>
      <c r="X271" s="26" t="n">
        <v>17</v>
      </c>
      <c r="Y271" s="25" t="n"/>
      <c r="Z271" s="26" t="n"/>
      <c r="AA271" s="28" t="n"/>
      <c r="AB271" s="28" t="n"/>
      <c r="AC271" s="30" t="n">
        <v>0.4878</v>
      </c>
      <c r="AD271" s="24" t="inlineStr">
        <is>
          <t>2026-09-19T22:00:22.649750Z</t>
        </is>
      </c>
      <c r="AE271" s="31" t="inlineStr">
        <is>
          <t>CFB Joint Model (negative_binomial): proj score Arizona State Sun Devils 31.0 @ Kansas Jayhawks 23.6 (Margin -7.3). Possessions: 12.4, HFA: +0.0 pts.</t>
        </is>
      </c>
      <c r="AF271" s="31" t="inlineStr">
        <is>
          <t>College football model; multi-market (moneyline, spread, total).</t>
        </is>
      </c>
      <c r="AG271" s="24" t="inlineStr">
        <is>
          <t>not_applicable</t>
        </is>
      </c>
      <c r="AH271" s="24" t="n"/>
      <c r="AI271" s="31" t="n"/>
      <c r="AJ271" s="31" t="n"/>
      <c r="AK271" s="24" t="inlineStr">
        <is>
          <t>paper_call</t>
        </is>
      </c>
      <c r="AL271" s="26" t="n">
        <v>4</v>
      </c>
      <c r="AM271" s="24" t="inlineStr">
        <is>
          <t>RESEARCH_OBSERVATION</t>
        </is>
      </c>
      <c r="AN271" s="24" t="inlineStr">
        <is>
          <t>CALL</t>
        </is>
      </c>
      <c r="AO271" s="24" t="inlineStr">
        <is>
          <t>PAPER_CALL_LOW_EDGE</t>
        </is>
      </c>
      <c r="AP271" s="24" t="inlineStr">
        <is>
          <t>Arizona State Sun Devils</t>
        </is>
      </c>
      <c r="AQ271" s="24" t="inlineStr">
        <is>
          <t>Arizona State Sun Devils</t>
        </is>
      </c>
      <c r="AR271" s="24" t="inlineStr">
        <is>
          <t>Arizona State Sun Devils</t>
        </is>
      </c>
      <c r="AS271" s="24" t="inlineStr">
        <is>
          <t>Kansas Jayhawks</t>
        </is>
      </c>
      <c r="AT271" s="24" t="inlineStr">
        <is>
          <t>Kansas Jayhawks</t>
        </is>
      </c>
      <c r="AU271" s="24" t="inlineStr">
        <is>
          <t>Kansas Jayhawks</t>
        </is>
      </c>
      <c r="AV271" s="24" t="n"/>
      <c r="AW271" s="24" t="n"/>
      <c r="AX271" s="24" t="inlineStr">
        <is>
          <t>statistical_model</t>
        </is>
      </c>
      <c r="AY271" s="24" t="n"/>
      <c r="AZ271" s="24" t="inlineStr">
        <is>
          <t>shadow_qualified</t>
        </is>
      </c>
      <c r="BA271" s="24" t="inlineStr">
        <is>
          <t>1d168f11d221cd3c</t>
        </is>
      </c>
      <c r="BB271" s="24" t="inlineStr">
        <is>
          <t>cfb_key_number_engine</t>
        </is>
      </c>
      <c r="BC271" s="24" t="inlineStr">
        <is>
          <t>college-football-v1</t>
        </is>
      </c>
      <c r="BD271" s="24" t="inlineStr">
        <is>
          <t>1d168f11d221cd3c</t>
        </is>
      </c>
      <c r="BE271" s="24" t="inlineStr">
        <is>
          <t>cfb-v1</t>
        </is>
      </c>
      <c r="BF271" s="24" t="inlineStr">
        <is>
          <t>1</t>
        </is>
      </c>
      <c r="BG271" s="24" t="inlineStr">
        <is>
          <t>1d168f11d221cd3c</t>
        </is>
      </c>
      <c r="BH271" s="24" t="inlineStr">
        <is>
          <t>2026-09-19T11:12:59.236900+00:00</t>
        </is>
      </c>
      <c r="BI271" s="24" t="inlineStr">
        <is>
          <t>["same_event","same_team_same_day","same_league_same_day"]</t>
        </is>
      </c>
      <c r="BJ271" s="25" t="n"/>
      <c r="BK271" s="26" t="n">
        <v>-205</v>
      </c>
      <c r="BL271" s="27" t="n">
        <v>1.487805</v>
      </c>
      <c r="BM271" s="28" t="n">
        <v>0.672131</v>
      </c>
      <c r="BN271" s="28" t="n"/>
      <c r="BO271" s="28" t="n"/>
      <c r="BP271" s="25" t="n"/>
      <c r="BQ271" s="27" t="n"/>
      <c r="BR271" s="28" t="n"/>
      <c r="BS271" s="28" t="n"/>
      <c r="BT271" s="28" t="n"/>
      <c r="BU271" s="25" t="n"/>
      <c r="BV271" s="29" t="n"/>
      <c r="BW271" s="24" t="n"/>
      <c r="BX271" s="30" t="n">
        <v>1</v>
      </c>
      <c r="BY271" s="27" t="n">
        <v>0.487805</v>
      </c>
      <c r="BZ271" s="24" t="inlineStr">
        <is>
          <t>2026-09-19T22:00:22.649750Z</t>
        </is>
      </c>
      <c r="CA271" s="31" t="inlineStr">
        <is>
          <t>fixed one-unit hypothetical scoring; no real exposure or execution</t>
        </is>
      </c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  <c r="CL271" s="24" t="n"/>
      <c r="CM271" s="24" t="n"/>
      <c r="CN271" s="24" t="n"/>
      <c r="CO271" s="24" t="n"/>
      <c r="CP271" s="24" t="n"/>
      <c r="CQ271" s="24" t="n"/>
      <c r="CR271" s="24" t="n"/>
      <c r="CS271" s="24" t="inlineStr">
        <is>
          <t>False</t>
        </is>
      </c>
      <c r="CT271" s="24" t="n"/>
      <c r="CU271" s="24" t="n"/>
      <c r="CV271" s="24" t="n"/>
      <c r="CW271" s="24" t="n"/>
      <c r="CX271" s="24" t="n"/>
      <c r="CY271" s="24" t="n"/>
      <c r="CZ271" s="24" t="n"/>
      <c r="DA271" s="24" t="n"/>
      <c r="DB271" s="24" t="n"/>
      <c r="DC271" s="24" t="n"/>
      <c r="DD271" s="24" t="n"/>
      <c r="DE271" s="24" t="n"/>
      <c r="DF271" s="24" t="n"/>
      <c r="DG271" s="24" t="n"/>
      <c r="DH271" s="24" t="n"/>
      <c r="DI271" s="24" t="n"/>
      <c r="DJ271" s="24" t="inlineStr">
        <is>
          <t>0.672131</t>
        </is>
      </c>
      <c r="DK271" s="24" t="n"/>
      <c r="DL271" s="24" t="n"/>
      <c r="DM271" s="24" t="n"/>
      <c r="DN271" s="24" t="n"/>
      <c r="DO271" s="24" t="n"/>
      <c r="DP271" s="24" t="n"/>
      <c r="DQ271" s="24" t="inlineStr">
        <is>
          <t>{"artifact_hash": "1d168f11d221cd3c", "event_id": "401856812", "event_start_utc": "2026-09-19T16:00Z", "features": {"altitude_fatigue_penalty": 0.0, "away_team": "Arizona State Sun Devils", "efficiency_gap": 0.0, "elo_away": 1525.0, "elo_home": 1345.7, "elo_home_win_prob": 0.2627, "event_id": "401856812", "game_start_utc": "2026-09-19T16:00Z", "home_field_advantage_points": 0.0, "home_team": "Kansas Jayhawks", "is_dome": false, "is_fbs_vs_fcs": false, "is_neutral_site": true, "projected_away_points": 31.0, "projected_home_points": 23.6, "projected_margin_home": -7.3, "projected_possessions": 12.4, "projected_total": 54.6,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31.0, "mu_home": 23.6,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7297916008584613252809944599002761907}, "uinteger": 0}, "spread_home_line": 5.5, "total_line": 50.5}, "market_type": "moneyline", "model_version": "college-football-v1", "observed_at_utc": "2026-09-19T11:12:59.236900+00:00", "probabilities": {"away": 0.651243, "home": 0.348757}, "replay_scope": "Full precision score means, exact engine parameters and original RNG state; upstream feature construction not certified.", "schema": "cfb-joint-replay-v1", "snapshot_hash": "cbd06883734839a5371a0f0ed353c361eeefb39a4eaccc9da6df8b8aac18003e", "sport": "NCAAF"}</t>
        </is>
      </c>
    </row>
    <row r="272" ht="36" customHeight="1">
      <c r="A272" s="24" t="inlineStr">
        <is>
          <t>8102715b36f044c7</t>
        </is>
      </c>
      <c r="B272" s="24" t="inlineStr">
        <is>
          <t>2026-09-19T11:12:59.236900Z</t>
        </is>
      </c>
      <c r="C272" s="24" t="inlineStr">
        <is>
          <t>2026-09-19T16:00Z</t>
        </is>
      </c>
      <c r="D272" s="24" t="inlineStr">
        <is>
          <t>401856812</t>
        </is>
      </c>
      <c r="E272" s="24" t="inlineStr">
        <is>
          <t>NCAAF</t>
        </is>
      </c>
      <c r="F272" s="24" t="inlineStr">
        <is>
          <t>Arizona State Sun Devils</t>
        </is>
      </c>
      <c r="G272" s="24" t="inlineStr">
        <is>
          <t>Kansas Jayhawks</t>
        </is>
      </c>
      <c r="H272" s="24" t="inlineStr">
        <is>
          <t>spread</t>
        </is>
      </c>
      <c r="I272" s="24" t="inlineStr">
        <is>
          <t>away</t>
        </is>
      </c>
      <c r="J272" s="25" t="n">
        <v>-5.5</v>
      </c>
      <c r="K272" s="24" t="inlineStr">
        <is>
          <t>espn_consensus</t>
        </is>
      </c>
      <c r="L272" s="26" t="n">
        <v>-108</v>
      </c>
      <c r="M272" s="27" t="n">
        <v>1.925926</v>
      </c>
      <c r="N272" s="28" t="n">
        <v>0.519231</v>
      </c>
      <c r="O272" s="28" t="n">
        <v>0.540533</v>
      </c>
      <c r="P272" s="28" t="n">
        <v>0.18</v>
      </c>
      <c r="Q272" s="28" t="n">
        <v>0.021302</v>
      </c>
      <c r="R272" s="26" t="n">
        <v>0</v>
      </c>
      <c r="S272" s="29" t="n">
        <v>1</v>
      </c>
      <c r="T272" s="24" t="inlineStr">
        <is>
          <t>cfb-spread-v1</t>
        </is>
      </c>
      <c r="U272" s="24" t="inlineStr">
        <is>
          <t>settled</t>
        </is>
      </c>
      <c r="V272" s="24" t="inlineStr">
        <is>
          <t>win</t>
        </is>
      </c>
      <c r="W272" s="26" t="n">
        <v>24</v>
      </c>
      <c r="X272" s="26" t="n">
        <v>17</v>
      </c>
      <c r="Y272" s="25" t="n"/>
      <c r="Z272" s="26" t="n"/>
      <c r="AA272" s="28" t="n"/>
      <c r="AB272" s="28" t="n"/>
      <c r="AC272" s="30" t="n">
        <v>0.9258999999999999</v>
      </c>
      <c r="AD272" s="24" t="inlineStr">
        <is>
          <t>2026-09-19T22:00:23.049147Z</t>
        </is>
      </c>
      <c r="AE272" s="31" t="inlineStr">
        <is>
          <t>Projected home margin -7.3 pts. Spread: Home +5.5 / Away -5.5 -&gt; P(Away cover)=0.541, P(Home cover)=0.459, P(Push)=0.000.</t>
        </is>
      </c>
      <c r="AF272" s="31" t="inlineStr">
        <is>
          <t>College football model; multi-market (moneyline, spread, total).</t>
        </is>
      </c>
      <c r="AG272" s="24" t="inlineStr">
        <is>
          <t>not_applicable</t>
        </is>
      </c>
      <c r="AH272" s="24" t="n"/>
      <c r="AI272" s="31" t="n"/>
      <c r="AJ272" s="31" t="n"/>
      <c r="AK272" s="24" t="inlineStr">
        <is>
          <t>paper_call</t>
        </is>
      </c>
      <c r="AL272" s="26" t="n">
        <v>4</v>
      </c>
      <c r="AM272" s="24" t="inlineStr">
        <is>
          <t>RESEARCH_OBSERVATION</t>
        </is>
      </c>
      <c r="AN272" s="24" t="inlineStr">
        <is>
          <t>CALL</t>
        </is>
      </c>
      <c r="AO272" s="24" t="inlineStr">
        <is>
          <t>PAPER_CALL_LOW_EDGE</t>
        </is>
      </c>
      <c r="AP272" s="24" t="inlineStr">
        <is>
          <t>Arizona State Sun Devils</t>
        </is>
      </c>
      <c r="AQ272" s="24" t="inlineStr">
        <is>
          <t>Arizona State Sun Devils</t>
        </is>
      </c>
      <c r="AR272" s="24" t="inlineStr">
        <is>
          <t>Arizona State Sun Devils</t>
        </is>
      </c>
      <c r="AS272" s="24" t="inlineStr">
        <is>
          <t>Kansas Jayhawks</t>
        </is>
      </c>
      <c r="AT272" s="24" t="inlineStr">
        <is>
          <t>Kansas Jayhawks</t>
        </is>
      </c>
      <c r="AU272" s="24" t="inlineStr">
        <is>
          <t>Kansas Jayhawks</t>
        </is>
      </c>
      <c r="AV272" s="24" t="n"/>
      <c r="AW272" s="24" t="n"/>
      <c r="AX272" s="24" t="inlineStr">
        <is>
          <t>statistical_model</t>
        </is>
      </c>
      <c r="AY272" s="24" t="n"/>
      <c r="AZ272" s="24" t="inlineStr">
        <is>
          <t>shadow_qualified</t>
        </is>
      </c>
      <c r="BA272" s="24" t="inlineStr">
        <is>
          <t>1d168f11d221cd3c</t>
        </is>
      </c>
      <c r="BB272" s="24" t="inlineStr">
        <is>
          <t>cfb_key_number_engine</t>
        </is>
      </c>
      <c r="BC272" s="24" t="inlineStr">
        <is>
          <t>cfb-spread-v1</t>
        </is>
      </c>
      <c r="BD272" s="24" t="inlineStr">
        <is>
          <t>1d168f11d221cd3c</t>
        </is>
      </c>
      <c r="BE272" s="24" t="inlineStr">
        <is>
          <t>cfb-v1</t>
        </is>
      </c>
      <c r="BF272" s="24" t="inlineStr">
        <is>
          <t>1</t>
        </is>
      </c>
      <c r="BG272" s="24" t="inlineStr">
        <is>
          <t>1d168f11d221cd3c</t>
        </is>
      </c>
      <c r="BH272" s="24" t="inlineStr">
        <is>
          <t>2026-09-19T11:12:59.236900+00:00</t>
        </is>
      </c>
      <c r="BI272" s="24" t="inlineStr">
        <is>
          <t>["same_event","same_team_same_day","same_league_same_day"]</t>
        </is>
      </c>
      <c r="BJ272" s="25" t="n">
        <v>-5.5</v>
      </c>
      <c r="BK272" s="26" t="n">
        <v>-108</v>
      </c>
      <c r="BL272" s="27" t="n">
        <v>1.925926</v>
      </c>
      <c r="BM272" s="28" t="n">
        <v>0.519231</v>
      </c>
      <c r="BN272" s="28" t="n"/>
      <c r="BO272" s="28" t="n"/>
      <c r="BP272" s="25" t="n"/>
      <c r="BQ272" s="27" t="n"/>
      <c r="BR272" s="28" t="n"/>
      <c r="BS272" s="28" t="n"/>
      <c r="BT272" s="28" t="n"/>
      <c r="BU272" s="25" t="n"/>
      <c r="BV272" s="29" t="n"/>
      <c r="BW272" s="24" t="n"/>
      <c r="BX272" s="30" t="n">
        <v>1</v>
      </c>
      <c r="BY272" s="27" t="n">
        <v>0.925926</v>
      </c>
      <c r="BZ272" s="24" t="inlineStr">
        <is>
          <t>2026-09-19T22:00:23.049147Z</t>
        </is>
      </c>
      <c r="CA272" s="31" t="inlineStr">
        <is>
          <t>fixed one-unit hypothetical scoring; no real exposure or execution</t>
        </is>
      </c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  <c r="CL272" s="24" t="n"/>
      <c r="CM272" s="24" t="n"/>
      <c r="CN272" s="24" t="n"/>
      <c r="CO272" s="24" t="n"/>
      <c r="CP272" s="24" t="n"/>
      <c r="CQ272" s="24" t="n"/>
      <c r="CR272" s="24" t="n"/>
      <c r="CS272" s="24" t="inlineStr">
        <is>
          <t>True</t>
        </is>
      </c>
      <c r="CT272" s="24" t="n"/>
      <c r="CU272" s="24" t="n"/>
      <c r="CV272" s="24" t="n"/>
      <c r="CW272" s="24" t="n"/>
      <c r="CX272" s="24" t="n"/>
      <c r="CY272" s="24" t="n"/>
      <c r="CZ272" s="24" t="n"/>
      <c r="DA272" s="24" t="n"/>
      <c r="DB272" s="24" t="n"/>
      <c r="DC272" s="24" t="n"/>
      <c r="DD272" s="24" t="n"/>
      <c r="DE272" s="24" t="n"/>
      <c r="DF272" s="24" t="n"/>
      <c r="DG272" s="24" t="n"/>
      <c r="DH272" s="24" t="n"/>
      <c r="DI272" s="24" t="n"/>
      <c r="DJ272" s="24" t="inlineStr">
        <is>
          <t>0.519231</t>
        </is>
      </c>
      <c r="DK272" s="24" t="n"/>
      <c r="DL272" s="24" t="n"/>
      <c r="DM272" s="24" t="n"/>
      <c r="DN272" s="24" t="n"/>
      <c r="DO272" s="24" t="n"/>
      <c r="DP272" s="24" t="n"/>
      <c r="DQ272" s="24" t="inlineStr">
        <is>
          <t>{"artifact_hash": "1d168f11d221cd3c", "event_id": "401856812", "event_start_utc": "2026-09-19T16:00Z", "features": {"altitude_fatigue_penalty": 0.0, "away_team": "Arizona State Sun Devils", "efficiency_gap": 0.0, "elo_away": 1525.0, "elo_home": 1345.7, "elo_home_win_prob": 0.2627, "event_id": "401856812", "game_start_utc": "2026-09-19T16:00Z", "home_field_advantage_points": 0.0, "home_team": "Kansas Jayhawks", "is_dome": false, "is_fbs_vs_fcs": false, "is_neutral_site": true, "projected_away_points": 31.0, "projected_home_points": 23.6, "projected_margin_home": -7.3, "projected_possessions": 12.4, "projected_total": 54.6,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31.0, "mu_home": 23.6,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7297916008584613252809944599002761907}, "uinteger": 0}, "spread_home_line": 5.5, "total_line": 50.5}, "market_type": "spread", "model_version": "cfb-spread-v1", "observed_at_utc": "2026-09-19T11:12:59.236900+00:00", "probabilities": {"away": 0.540533, "home": 0.459467, "push": 0.0}, "replay_scope": "Full precision score means, exact engine parameters and original RNG state; upstream feature construction not certified.", "schema": "cfb-joint-replay-v1", "snapshot_hash": "7c08fc947c61b7ca85418d0df028e12cf387fc94ae0fe541758ca19289e912df", "sport": "NCAAF"}</t>
        </is>
      </c>
    </row>
    <row r="273" ht="36" customHeight="1">
      <c r="A273" s="24" t="inlineStr">
        <is>
          <t>490bfbd409bb4806</t>
        </is>
      </c>
      <c r="B273" s="24" t="inlineStr">
        <is>
          <t>2026-09-19T11:12:59.236900Z</t>
        </is>
      </c>
      <c r="C273" s="24" t="inlineStr">
        <is>
          <t>2026-09-19T16:00Z</t>
        </is>
      </c>
      <c r="D273" s="24" t="inlineStr">
        <is>
          <t>401856812</t>
        </is>
      </c>
      <c r="E273" s="24" t="inlineStr">
        <is>
          <t>NCAAF</t>
        </is>
      </c>
      <c r="F273" s="24" t="inlineStr">
        <is>
          <t>Arizona State Sun Devils</t>
        </is>
      </c>
      <c r="G273" s="24" t="inlineStr">
        <is>
          <t>Kansas Jayhawks</t>
        </is>
      </c>
      <c r="H273" s="24" t="inlineStr">
        <is>
          <t>total</t>
        </is>
      </c>
      <c r="I273" s="24" t="inlineStr">
        <is>
          <t>over</t>
        </is>
      </c>
      <c r="J273" s="25" t="n">
        <v>50.5</v>
      </c>
      <c r="K273" s="24" t="inlineStr">
        <is>
          <t>espn_consensus</t>
        </is>
      </c>
      <c r="L273" s="26" t="n">
        <v>-110</v>
      </c>
      <c r="M273" s="27" t="n">
        <v>1.909091</v>
      </c>
      <c r="N273" s="28" t="n">
        <v>0.52381</v>
      </c>
      <c r="O273" s="28" t="n">
        <v>0.5314</v>
      </c>
      <c r="P273" s="28" t="n">
        <v>0.18</v>
      </c>
      <c r="Q273" s="28" t="n">
        <v>0.00759</v>
      </c>
      <c r="R273" s="26" t="n">
        <v>0</v>
      </c>
      <c r="S273" s="29" t="n">
        <v>1</v>
      </c>
      <c r="T273" s="24" t="inlineStr">
        <is>
          <t>cfb-total-v1</t>
        </is>
      </c>
      <c r="U273" s="24" t="inlineStr">
        <is>
          <t>settled</t>
        </is>
      </c>
      <c r="V273" s="24" t="inlineStr">
        <is>
          <t>loss</t>
        </is>
      </c>
      <c r="W273" s="26" t="n">
        <v>24</v>
      </c>
      <c r="X273" s="26" t="n">
        <v>17</v>
      </c>
      <c r="Y273" s="25" t="n"/>
      <c r="Z273" s="26" t="n"/>
      <c r="AA273" s="28" t="n"/>
      <c r="AB273" s="28" t="n"/>
      <c r="AC273" s="30" t="n">
        <v>-1</v>
      </c>
      <c r="AD273" s="24" t="inlineStr">
        <is>
          <t>2026-09-19T22:00:23.565507Z</t>
        </is>
      </c>
      <c r="AE273" s="31" t="inlineStr">
        <is>
          <t>Projected total 54.6 pts (Weather adj: +0.0 pts). Total line 50.5 -&gt; P(Over)=0.531, P(Under)=0.469, P(Push)=0.000.</t>
        </is>
      </c>
      <c r="AF273" s="31" t="inlineStr">
        <is>
          <t>College football model; multi-market (moneyline, spread, total).</t>
        </is>
      </c>
      <c r="AG273" s="24" t="inlineStr">
        <is>
          <t>review_required</t>
        </is>
      </c>
      <c r="AH273" s="24" t="n"/>
      <c r="AI273" s="31" t="n"/>
      <c r="AJ273" s="31" t="n"/>
      <c r="AK273" s="24" t="inlineStr">
        <is>
          <t>paper_call</t>
        </is>
      </c>
      <c r="AL273" s="26" t="n">
        <v>4</v>
      </c>
      <c r="AM273" s="24" t="inlineStr">
        <is>
          <t>RESEARCH_OBSERVATION</t>
        </is>
      </c>
      <c r="AN273" s="24" t="inlineStr">
        <is>
          <t>CALL</t>
        </is>
      </c>
      <c r="AO273" s="24" t="inlineStr">
        <is>
          <t>PAPER_CALL_LOW_EDGE</t>
        </is>
      </c>
      <c r="AP273" s="24" t="inlineStr">
        <is>
          <t>Arizona State Sun Devils</t>
        </is>
      </c>
      <c r="AQ273" s="24" t="inlineStr">
        <is>
          <t>Arizona State Sun Devils</t>
        </is>
      </c>
      <c r="AR273" s="24" t="inlineStr">
        <is>
          <t>Arizona State Sun Devils</t>
        </is>
      </c>
      <c r="AS273" s="24" t="inlineStr">
        <is>
          <t>Kansas Jayhawks</t>
        </is>
      </c>
      <c r="AT273" s="24" t="inlineStr">
        <is>
          <t>Kansas Jayhawks</t>
        </is>
      </c>
      <c r="AU273" s="24" t="inlineStr">
        <is>
          <t>Kansas Jayhawks</t>
        </is>
      </c>
      <c r="AV273" s="24" t="n"/>
      <c r="AW273" s="24" t="n"/>
      <c r="AX273" s="24" t="inlineStr">
        <is>
          <t>statistical_model</t>
        </is>
      </c>
      <c r="AY273" s="24" t="n"/>
      <c r="AZ273" s="24" t="inlineStr">
        <is>
          <t>shadow_qualified</t>
        </is>
      </c>
      <c r="BA273" s="24" t="inlineStr">
        <is>
          <t>1d168f11d221cd3c</t>
        </is>
      </c>
      <c r="BB273" s="24" t="inlineStr">
        <is>
          <t>cfb_key_number_engine</t>
        </is>
      </c>
      <c r="BC273" s="24" t="inlineStr">
        <is>
          <t>cfb-total-v1</t>
        </is>
      </c>
      <c r="BD273" s="24" t="inlineStr">
        <is>
          <t>1d168f11d221cd3c</t>
        </is>
      </c>
      <c r="BE273" s="24" t="inlineStr">
        <is>
          <t>cfb-v1</t>
        </is>
      </c>
      <c r="BF273" s="24" t="inlineStr">
        <is>
          <t>1</t>
        </is>
      </c>
      <c r="BG273" s="24" t="inlineStr">
        <is>
          <t>1d168f11d221cd3c</t>
        </is>
      </c>
      <c r="BH273" s="24" t="inlineStr">
        <is>
          <t>2026-09-19T11:12:59.236900+00:00</t>
        </is>
      </c>
      <c r="BI273" s="24" t="inlineStr">
        <is>
          <t>["same_event","same_team_same_day","same_league_same_day"]</t>
        </is>
      </c>
      <c r="BJ273" s="25" t="n">
        <v>50.5</v>
      </c>
      <c r="BK273" s="26" t="n">
        <v>-110</v>
      </c>
      <c r="BL273" s="27" t="n">
        <v>1.909091</v>
      </c>
      <c r="BM273" s="28" t="n">
        <v>0.52381</v>
      </c>
      <c r="BN273" s="28" t="n"/>
      <c r="BO273" s="28" t="n"/>
      <c r="BP273" s="25" t="n"/>
      <c r="BQ273" s="27" t="n"/>
      <c r="BR273" s="28" t="n"/>
      <c r="BS273" s="28" t="n"/>
      <c r="BT273" s="28" t="n"/>
      <c r="BU273" s="25" t="n"/>
      <c r="BV273" s="29" t="n"/>
      <c r="BW273" s="24" t="n"/>
      <c r="BX273" s="30" t="n">
        <v>1</v>
      </c>
      <c r="BY273" s="27" t="n">
        <v>-1</v>
      </c>
      <c r="BZ273" s="24" t="inlineStr">
        <is>
          <t>2026-09-19T22:00:23.565507Z</t>
        </is>
      </c>
      <c r="CA273" s="31" t="inlineStr">
        <is>
          <t>fixed one-unit hypothetical scoring; no real exposure or execution</t>
        </is>
      </c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  <c r="CR273" s="24" t="n"/>
      <c r="CS273" s="24" t="inlineStr">
        <is>
          <t>True</t>
        </is>
      </c>
      <c r="CT273" s="24" t="n"/>
      <c r="CU273" s="24" t="n"/>
      <c r="CV273" s="24" t="n"/>
      <c r="CW273" s="24" t="n"/>
      <c r="CX273" s="24" t="n"/>
      <c r="CY273" s="24" t="n"/>
      <c r="CZ273" s="24" t="n"/>
      <c r="DA273" s="24" t="n"/>
      <c r="DB273" s="24" t="n"/>
      <c r="DC273" s="24" t="n"/>
      <c r="DD273" s="24" t="n"/>
      <c r="DE273" s="24" t="n"/>
      <c r="DF273" s="24" t="n"/>
      <c r="DG273" s="24" t="n"/>
      <c r="DH273" s="24" t="n"/>
      <c r="DI273" s="24" t="n"/>
      <c r="DJ273" s="24" t="inlineStr">
        <is>
          <t>0.52381</t>
        </is>
      </c>
      <c r="DK273" s="24" t="n"/>
      <c r="DL273" s="24" t="n"/>
      <c r="DM273" s="24" t="n"/>
      <c r="DN273" s="24" t="n"/>
      <c r="DO273" s="24" t="n"/>
      <c r="DP273" s="24" t="n"/>
      <c r="DQ273" s="24" t="inlineStr">
        <is>
          <t>{"artifact_hash": "1d168f11d221cd3c", "event_id": "401856812", "event_start_utc": "2026-09-19T16:00Z", "features": {"altitude_fatigue_penalty": 0.0, "away_team": "Arizona State Sun Devils", "efficiency_gap": 0.0, "elo_away": 1525.0, "elo_home": 1345.7, "elo_home_win_prob": 0.2627, "event_id": "401856812", "game_start_utc": "2026-09-19T16:00Z", "home_field_advantage_points": 0.0, "home_team": "Kansas Jayhawks", "is_dome": false, "is_fbs_vs_fcs": false, "is_neutral_site": true, "projected_away_points": 31.0, "projected_home_points": 23.6, "projected_margin_home": -7.3, "projected_possessions": 12.4, "projected_total": 54.6,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31.0, "mu_home": 23.6,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7297916008584613252809944599002761907}, "uinteger": 0}, "spread_home_line": 5.5, "total_line": 50.5}, "market_type": "total", "model_version": "cfb-total-v1", "observed_at_utc": "2026-09-19T11:12:59.236900+00:00", "probabilities": {"over": 0.5314, "push": 0.0, "under": 0.4686}, "replay_scope": "Full precision score means, exact engine parameters and original RNG state; upstream feature construction not certified.", "schema": "cfb-joint-replay-v1", "snapshot_hash": "78af0ef6a2c71c8e292a74dbac5aa636f590c7fe47845816c28ce9756bbf2dd0", "sport": "NCAAF"}</t>
        </is>
      </c>
    </row>
    <row r="274" ht="36" customHeight="1">
      <c r="A274" s="24" t="inlineStr">
        <is>
          <t>4293ad3a7e31452d</t>
        </is>
      </c>
      <c r="B274" s="24" t="inlineStr">
        <is>
          <t>2026-09-19T11:12:59.236900Z</t>
        </is>
      </c>
      <c r="C274" s="24" t="inlineStr">
        <is>
          <t>2026-09-19T16:00Z</t>
        </is>
      </c>
      <c r="D274" s="24" t="inlineStr">
        <is>
          <t>401858228</t>
        </is>
      </c>
      <c r="E274" s="24" t="inlineStr">
        <is>
          <t>NCAAF</t>
        </is>
      </c>
      <c r="F274" s="24" t="inlineStr">
        <is>
          <t>Mercer Bears</t>
        </is>
      </c>
      <c r="G274" s="24" t="inlineStr">
        <is>
          <t>Georgia Tech Yellow Jackets</t>
        </is>
      </c>
      <c r="H274" s="24" t="inlineStr">
        <is>
          <t>spread</t>
        </is>
      </c>
      <c r="I274" s="24" t="inlineStr">
        <is>
          <t>away</t>
        </is>
      </c>
      <c r="J274" s="25" t="n">
        <v>39.5</v>
      </c>
      <c r="K274" s="24" t="inlineStr">
        <is>
          <t>espn_consensus</t>
        </is>
      </c>
      <c r="L274" s="26" t="n">
        <v>-115</v>
      </c>
      <c r="M274" s="27" t="n">
        <v>1.869565</v>
      </c>
      <c r="N274" s="28" t="n">
        <v>0.534884</v>
      </c>
      <c r="O274" s="28" t="n">
        <v>0.9394670000000001</v>
      </c>
      <c r="P274" s="28" t="n">
        <v>0.18</v>
      </c>
      <c r="Q274" s="28" t="n">
        <v>0.404583</v>
      </c>
      <c r="R274" s="26" t="n">
        <v>100</v>
      </c>
      <c r="S274" s="29" t="n">
        <v>2</v>
      </c>
      <c r="T274" s="24" t="inlineStr">
        <is>
          <t>cfb-spread-v1</t>
        </is>
      </c>
      <c r="U274" s="24" t="inlineStr">
        <is>
          <t>settled</t>
        </is>
      </c>
      <c r="V274" s="24" t="inlineStr">
        <is>
          <t>win</t>
        </is>
      </c>
      <c r="W274" s="26" t="n">
        <v>11</v>
      </c>
      <c r="X274" s="26" t="n">
        <v>44</v>
      </c>
      <c r="Y274" s="25" t="n"/>
      <c r="Z274" s="26" t="n"/>
      <c r="AA274" s="28" t="n"/>
      <c r="AB274" s="28" t="n"/>
      <c r="AC274" s="30" t="n">
        <v>1.7391</v>
      </c>
      <c r="AD274" s="24" t="inlineStr">
        <is>
          <t>2026-09-19T22:00:24.029225Z</t>
        </is>
      </c>
      <c r="AE274" s="31" t="inlineStr">
        <is>
          <t>Projected home margin +6.9 pts. Spread: Home -39.5 / Away +39.5 -&gt; P(Away cover)=0.939, P(Home cover)=0.061, P(Push)=0.000.</t>
        </is>
      </c>
      <c r="AF274" s="31" t="inlineStr">
        <is>
          <t>College football model; multi-market (moneyline, spread, total).</t>
        </is>
      </c>
      <c r="AG274" s="24" t="inlineStr">
        <is>
          <t>not_applicable</t>
        </is>
      </c>
      <c r="AH274" s="24" t="n"/>
      <c r="AI274" s="31" t="n"/>
      <c r="AJ274" s="31" t="n"/>
      <c r="AK274" s="24" t="inlineStr">
        <is>
          <t>model_qualified</t>
        </is>
      </c>
      <c r="AL274" s="26" t="n">
        <v>4</v>
      </c>
      <c r="AM274" s="24" t="inlineStr">
        <is>
          <t>QUALIFIED_SHADOW_CALL</t>
        </is>
      </c>
      <c r="AN274" s="24" t="inlineStr">
        <is>
          <t>CALL</t>
        </is>
      </c>
      <c r="AO274" s="24" t="inlineStr">
        <is>
          <t>QUALIFIED</t>
        </is>
      </c>
      <c r="AP274" s="24" t="inlineStr">
        <is>
          <t>Mercer Bears</t>
        </is>
      </c>
      <c r="AQ274" s="24" t="inlineStr">
        <is>
          <t>Mercer Bears</t>
        </is>
      </c>
      <c r="AR274" s="24" t="inlineStr">
        <is>
          <t>Mercer Bears</t>
        </is>
      </c>
      <c r="AS274" s="24" t="inlineStr">
        <is>
          <t>Georgia Tech Yellow Jackets</t>
        </is>
      </c>
      <c r="AT274" s="24" t="inlineStr">
        <is>
          <t>Georgia Tech Yellow Jackets</t>
        </is>
      </c>
      <c r="AU274" s="24" t="inlineStr">
        <is>
          <t>Georgia Tech Yellow Jackets</t>
        </is>
      </c>
      <c r="AV274" s="24" t="n"/>
      <c r="AW274" s="24" t="n"/>
      <c r="AX274" s="24" t="inlineStr">
        <is>
          <t>statistical_model</t>
        </is>
      </c>
      <c r="AY274" s="24" t="n"/>
      <c r="AZ274" s="24" t="inlineStr">
        <is>
          <t>shadow_qualified</t>
        </is>
      </c>
      <c r="BA274" s="24" t="inlineStr">
        <is>
          <t>1d168f11d221cd3c</t>
        </is>
      </c>
      <c r="BB274" s="24" t="inlineStr">
        <is>
          <t>cfb_key_number_engine</t>
        </is>
      </c>
      <c r="BC274" s="24" t="inlineStr">
        <is>
          <t>cfb-spread-v1</t>
        </is>
      </c>
      <c r="BD274" s="24" t="inlineStr">
        <is>
          <t>1d168f11d221cd3c</t>
        </is>
      </c>
      <c r="BE274" s="24" t="inlineStr">
        <is>
          <t>cfb-v1</t>
        </is>
      </c>
      <c r="BF274" s="24" t="inlineStr">
        <is>
          <t>1</t>
        </is>
      </c>
      <c r="BG274" s="24" t="inlineStr">
        <is>
          <t>1d168f11d221cd3c</t>
        </is>
      </c>
      <c r="BH274" s="24" t="inlineStr">
        <is>
          <t>2026-09-19T11:12:59.236900+00:00</t>
        </is>
      </c>
      <c r="BI274" s="24" t="inlineStr">
        <is>
          <t>["same_event","same_team_same_day","same_league_same_day"]</t>
        </is>
      </c>
      <c r="BJ274" s="25" t="n">
        <v>39.5</v>
      </c>
      <c r="BK274" s="26" t="n">
        <v>-115</v>
      </c>
      <c r="BL274" s="27" t="n">
        <v>1.869565</v>
      </c>
      <c r="BM274" s="28" t="n">
        <v>0.534884</v>
      </c>
      <c r="BN274" s="28" t="n"/>
      <c r="BO274" s="28" t="n"/>
      <c r="BP274" s="25" t="n"/>
      <c r="BQ274" s="27" t="n"/>
      <c r="BR274" s="28" t="n"/>
      <c r="BS274" s="28" t="n"/>
      <c r="BT274" s="28" t="n"/>
      <c r="BU274" s="25" t="n"/>
      <c r="BV274" s="29" t="n"/>
      <c r="BW274" s="24" t="n"/>
      <c r="BX274" s="30" t="n"/>
      <c r="BY274" s="27" t="n"/>
      <c r="BZ274" s="24" t="n"/>
      <c r="CA274" s="31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inlineStr">
        <is>
          <t>True</t>
        </is>
      </c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/>
      <c r="DH274" s="24" t="n"/>
      <c r="DI274" s="24" t="n"/>
      <c r="DJ274" s="24" t="inlineStr">
        <is>
          <t>0.534884</t>
        </is>
      </c>
      <c r="DK274" s="24" t="n"/>
      <c r="DL274" s="24" t="n"/>
      <c r="DM274" s="24" t="n"/>
      <c r="DN274" s="24" t="n"/>
      <c r="DO274" s="24" t="n"/>
      <c r="DP274" s="24" t="n"/>
      <c r="DQ274" s="24" t="inlineStr">
        <is>
          <t>{"artifact_hash": "1d168f11d221cd3c", "event_id": "401858228", "event_start_utc": "2026-09-19T16:00Z", "features": {"altitude_fatigue_penalty": 0.0, "away_team": "Mercer Bears", "efficiency_gap": 1.143, "elo_away": 1337.5, "elo_home": 1441.2, "elo_home_win_prob": 0.7254, "event_id": "401858228", "game_start_utc": "2026-09-19T16:00Z", "home_field_advantage_points": 2.8, "home_team": "Georgia Tech Yellow Jackets", "is_dome": false, "is_fbs_vs_fcs": false, "is_neutral_site": false, "projected_away_points": 23.0, "projected_home_points": 29.9, "projected_margin_home": 6.9,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23.0, "mu_home": 29.9,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199050606466688360906247798833511642897}, "uinteger": 0}, "spread_home_line": -39.5, "total_line": 59.5}, "market_type": "spread", "model_version": "cfb-spread-v1", "observed_at_utc": "2026-09-19T11:12:59.236900+00:00", "probabilities": {"away": 0.939467, "home": 0.060533, "push": 0.0}, "replay_scope": "Full precision score means, exact engine parameters and original RNG state; upstream feature construction not certified.", "schema": "cfb-joint-replay-v1", "snapshot_hash": "4036bcaf67ad042f24389dac1e371fcff82387b310c64ccd6d7fa31fd245e546", "sport": "NCAAF"}</t>
        </is>
      </c>
    </row>
    <row r="275" ht="36" customHeight="1">
      <c r="A275" s="24" t="inlineStr">
        <is>
          <t>ff50dc0d1c0d4bf8</t>
        </is>
      </c>
      <c r="B275" s="24" t="inlineStr">
        <is>
          <t>2026-09-19T11:12:59.236900Z</t>
        </is>
      </c>
      <c r="C275" s="24" t="inlineStr">
        <is>
          <t>2026-09-19T16:00Z</t>
        </is>
      </c>
      <c r="D275" s="24" t="inlineStr">
        <is>
          <t>401858228</t>
        </is>
      </c>
      <c r="E275" s="24" t="inlineStr">
        <is>
          <t>NCAAF</t>
        </is>
      </c>
      <c r="F275" s="24" t="inlineStr">
        <is>
          <t>Mercer Bears</t>
        </is>
      </c>
      <c r="G275" s="24" t="inlineStr">
        <is>
          <t>Georgia Tech Yellow Jackets</t>
        </is>
      </c>
      <c r="H275" s="24" t="inlineStr">
        <is>
          <t>total</t>
        </is>
      </c>
      <c r="I275" s="24" t="inlineStr">
        <is>
          <t>under</t>
        </is>
      </c>
      <c r="J275" s="25" t="n">
        <v>59.5</v>
      </c>
      <c r="K275" s="24" t="inlineStr">
        <is>
          <t>espn_consensus</t>
        </is>
      </c>
      <c r="L275" s="26" t="n">
        <v>-115</v>
      </c>
      <c r="M275" s="27" t="n">
        <v>1.869565</v>
      </c>
      <c r="N275" s="28" t="n">
        <v>0.534884</v>
      </c>
      <c r="O275" s="28" t="n">
        <v>0.629467</v>
      </c>
      <c r="P275" s="28" t="n">
        <v>0.18</v>
      </c>
      <c r="Q275" s="28" t="n">
        <v>0.094583</v>
      </c>
      <c r="R275" s="26" t="n">
        <v>0</v>
      </c>
      <c r="S275" s="29" t="n">
        <v>1</v>
      </c>
      <c r="T275" s="24" t="inlineStr">
        <is>
          <t>cfb-total-v1</t>
        </is>
      </c>
      <c r="U275" s="24" t="inlineStr">
        <is>
          <t>settled</t>
        </is>
      </c>
      <c r="V275" s="24" t="inlineStr">
        <is>
          <t>win</t>
        </is>
      </c>
      <c r="W275" s="26" t="n">
        <v>11</v>
      </c>
      <c r="X275" s="26" t="n">
        <v>44</v>
      </c>
      <c r="Y275" s="25" t="n"/>
      <c r="Z275" s="26" t="n"/>
      <c r="AA275" s="28" t="n"/>
      <c r="AB275" s="28" t="n"/>
      <c r="AC275" s="30" t="n">
        <v>0.8696</v>
      </c>
      <c r="AD275" s="24" t="inlineStr">
        <is>
          <t>2026-09-19T22:00:24.482860Z</t>
        </is>
      </c>
      <c r="AE275" s="31" t="inlineStr">
        <is>
          <t>Projected total 53.0 pts (Weather adj: +0.0 pts). Total line 59.5 -&gt; P(Over)=0.371, P(Under)=0.629, P(Push)=0.000.</t>
        </is>
      </c>
      <c r="AF275" s="31" t="inlineStr">
        <is>
          <t>College football model; multi-market (moneyline, spread, total).</t>
        </is>
      </c>
      <c r="AG275" s="24" t="inlineStr">
        <is>
          <t>not_applicable</t>
        </is>
      </c>
      <c r="AH275" s="24" t="n"/>
      <c r="AI275" s="31" t="n"/>
      <c r="AJ275" s="31" t="n"/>
      <c r="AK275" s="24" t="inlineStr">
        <is>
          <t>model_qualified</t>
        </is>
      </c>
      <c r="AL275" s="26" t="n">
        <v>4</v>
      </c>
      <c r="AM275" s="24" t="inlineStr">
        <is>
          <t>QUALIFIED_SHADOW_CALL</t>
        </is>
      </c>
      <c r="AN275" s="24" t="inlineStr">
        <is>
          <t>CALL</t>
        </is>
      </c>
      <c r="AO275" s="24" t="inlineStr">
        <is>
          <t>QUALIFIED</t>
        </is>
      </c>
      <c r="AP275" s="24" t="inlineStr">
        <is>
          <t>Mercer Bears</t>
        </is>
      </c>
      <c r="AQ275" s="24" t="inlineStr">
        <is>
          <t>Mercer Bears</t>
        </is>
      </c>
      <c r="AR275" s="24" t="inlineStr">
        <is>
          <t>Mercer Bears</t>
        </is>
      </c>
      <c r="AS275" s="24" t="inlineStr">
        <is>
          <t>Georgia Tech Yellow Jackets</t>
        </is>
      </c>
      <c r="AT275" s="24" t="inlineStr">
        <is>
          <t>Georgia Tech Yellow Jackets</t>
        </is>
      </c>
      <c r="AU275" s="24" t="inlineStr">
        <is>
          <t>Georgia Tech Yellow Jackets</t>
        </is>
      </c>
      <c r="AV275" s="24" t="n"/>
      <c r="AW275" s="24" t="n"/>
      <c r="AX275" s="24" t="inlineStr">
        <is>
          <t>statistical_model</t>
        </is>
      </c>
      <c r="AY275" s="24" t="n"/>
      <c r="AZ275" s="24" t="inlineStr">
        <is>
          <t>shadow_qualified</t>
        </is>
      </c>
      <c r="BA275" s="24" t="inlineStr">
        <is>
          <t>1d168f11d221cd3c</t>
        </is>
      </c>
      <c r="BB275" s="24" t="inlineStr">
        <is>
          <t>cfb_key_number_engine</t>
        </is>
      </c>
      <c r="BC275" s="24" t="inlineStr">
        <is>
          <t>cfb-total-v1</t>
        </is>
      </c>
      <c r="BD275" s="24" t="inlineStr">
        <is>
          <t>1d168f11d221cd3c</t>
        </is>
      </c>
      <c r="BE275" s="24" t="inlineStr">
        <is>
          <t>cfb-v1</t>
        </is>
      </c>
      <c r="BF275" s="24" t="inlineStr">
        <is>
          <t>1</t>
        </is>
      </c>
      <c r="BG275" s="24" t="inlineStr">
        <is>
          <t>1d168f11d221cd3c</t>
        </is>
      </c>
      <c r="BH275" s="24" t="inlineStr">
        <is>
          <t>2026-09-19T11:12:59.236900+00:00</t>
        </is>
      </c>
      <c r="BI275" s="24" t="inlineStr">
        <is>
          <t>["same_event","same_team_same_day","same_league_same_day"]</t>
        </is>
      </c>
      <c r="BJ275" s="25" t="n">
        <v>59.5</v>
      </c>
      <c r="BK275" s="26" t="n">
        <v>-115</v>
      </c>
      <c r="BL275" s="27" t="n">
        <v>1.869565</v>
      </c>
      <c r="BM275" s="28" t="n">
        <v>0.534884</v>
      </c>
      <c r="BN275" s="28" t="n"/>
      <c r="BO275" s="28" t="n"/>
      <c r="BP275" s="25" t="n"/>
      <c r="BQ275" s="27" t="n"/>
      <c r="BR275" s="28" t="n"/>
      <c r="BS275" s="28" t="n"/>
      <c r="BT275" s="28" t="n"/>
      <c r="BU275" s="25" t="n"/>
      <c r="BV275" s="29" t="n"/>
      <c r="BW275" s="24" t="n"/>
      <c r="BX275" s="30" t="n"/>
      <c r="BY275" s="27" t="n"/>
      <c r="BZ275" s="24" t="n"/>
      <c r="CA275" s="31" t="n"/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  <c r="CR275" s="24" t="n"/>
      <c r="CS275" s="24" t="inlineStr">
        <is>
          <t>True</t>
        </is>
      </c>
      <c r="CT275" s="24" t="n"/>
      <c r="CU275" s="24" t="n"/>
      <c r="CV275" s="24" t="n"/>
      <c r="CW275" s="24" t="n"/>
      <c r="CX275" s="24" t="n"/>
      <c r="CY275" s="24" t="n"/>
      <c r="CZ275" s="24" t="n"/>
      <c r="DA275" s="24" t="n"/>
      <c r="DB275" s="24" t="n"/>
      <c r="DC275" s="24" t="n"/>
      <c r="DD275" s="24" t="n"/>
      <c r="DE275" s="24" t="n"/>
      <c r="DF275" s="24" t="n"/>
      <c r="DG275" s="24" t="n"/>
      <c r="DH275" s="24" t="n"/>
      <c r="DI275" s="24" t="n"/>
      <c r="DJ275" s="24" t="inlineStr">
        <is>
          <t>0.534884</t>
        </is>
      </c>
      <c r="DK275" s="24" t="n"/>
      <c r="DL275" s="24" t="n"/>
      <c r="DM275" s="24" t="n"/>
      <c r="DN275" s="24" t="n"/>
      <c r="DO275" s="24" t="n"/>
      <c r="DP275" s="24" t="n"/>
      <c r="DQ275" s="24" t="inlineStr">
        <is>
          <t>{"artifact_hash": "1d168f11d221cd3c", "event_id": "401858228", "event_start_utc": "2026-09-19T16:00Z", "features": {"altitude_fatigue_penalty": 0.0, "away_team": "Mercer Bears", "efficiency_gap": 1.143, "elo_away": 1337.5, "elo_home": 1441.2, "elo_home_win_prob": 0.7254, "event_id": "401858228", "game_start_utc": "2026-09-19T16:00Z", "home_field_advantage_points": 2.8, "home_team": "Georgia Tech Yellow Jackets", "is_dome": false, "is_fbs_vs_fcs": false, "is_neutral_site": false, "projected_away_points": 23.0, "projected_home_points": 29.9, "projected_margin_home": 6.9,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23.0, "mu_home": 29.9,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199050606466688360906247798833511642897}, "uinteger": 0}, "spread_home_line": -39.5, "total_line": 59.5}, "market_type": "total", "model_version": "cfb-total-v1", "observed_at_utc": "2026-09-19T11:12:59.236900+00:00", "probabilities": {"over": 0.370533, "push": 0.0, "under": 0.629467}, "replay_scope": "Full precision score means, exact engine parameters and original RNG state; upstream feature construction not certified.", "schema": "cfb-joint-replay-v1", "snapshot_hash": "372279c36ebbfaad07bfbc5bb15c24891806590764072e04f6e5fc2f996dfa9d", "sport": "NCAAF"}</t>
        </is>
      </c>
    </row>
    <row r="276" ht="36" customHeight="1">
      <c r="A276" s="24" t="inlineStr">
        <is>
          <t>937b3dfc90a547f4</t>
        </is>
      </c>
      <c r="B276" s="24" t="inlineStr">
        <is>
          <t>2026-09-19T11:12:59.236900Z</t>
        </is>
      </c>
      <c r="C276" s="24" t="inlineStr">
        <is>
          <t>2026-09-19T16:00Z</t>
        </is>
      </c>
      <c r="D276" s="24" t="inlineStr">
        <is>
          <t>401858229</t>
        </is>
      </c>
      <c r="E276" s="24" t="inlineStr">
        <is>
          <t>NCAAF</t>
        </is>
      </c>
      <c r="F276" s="24" t="inlineStr">
        <is>
          <t>North Carolina Tar Heels</t>
        </is>
      </c>
      <c r="G276" s="24" t="inlineStr">
        <is>
          <t>Clemson Tigers</t>
        </is>
      </c>
      <c r="H276" s="24" t="inlineStr">
        <is>
          <t>moneyline</t>
        </is>
      </c>
      <c r="I276" s="24" t="inlineStr">
        <is>
          <t>home</t>
        </is>
      </c>
      <c r="J276" s="25" t="n"/>
      <c r="K276" s="24" t="inlineStr">
        <is>
          <t>espn_consensus</t>
        </is>
      </c>
      <c r="L276" s="26" t="n">
        <v>-166</v>
      </c>
      <c r="M276" s="27" t="n">
        <v>1.60241</v>
      </c>
      <c r="N276" s="28" t="n">
        <v>0.6240599999999999</v>
      </c>
      <c r="O276" s="28" t="n">
        <v>0.647035</v>
      </c>
      <c r="P276" s="28" t="n">
        <v>0.165</v>
      </c>
      <c r="Q276" s="28" t="n">
        <v>0.022975</v>
      </c>
      <c r="R276" s="26" t="n">
        <v>0</v>
      </c>
      <c r="S276" s="29" t="n">
        <v>1</v>
      </c>
      <c r="T276" s="24" t="inlineStr">
        <is>
          <t>college-football-v1</t>
        </is>
      </c>
      <c r="U276" s="24" t="inlineStr">
        <is>
          <t>settled</t>
        </is>
      </c>
      <c r="V276" s="24" t="inlineStr">
        <is>
          <t>win</t>
        </is>
      </c>
      <c r="W276" s="26" t="n">
        <v>20</v>
      </c>
      <c r="X276" s="26" t="n">
        <v>28</v>
      </c>
      <c r="Y276" s="25" t="n"/>
      <c r="Z276" s="26" t="n"/>
      <c r="AA276" s="28" t="n"/>
      <c r="AB276" s="28" t="n"/>
      <c r="AC276" s="30" t="n">
        <v>0.6024</v>
      </c>
      <c r="AD276" s="24" t="inlineStr">
        <is>
          <t>2026-09-19T22:00:24.996842Z</t>
        </is>
      </c>
      <c r="AE276" s="31" t="inlineStr">
        <is>
          <t>CFB Joint Model (negative_binomial): proj score North Carolina Tar Heels 23.2 @ Clemson Tigers 30.0 (Margin +6.9). Possessions: 12.4, HFA: +2.8 pts.</t>
        </is>
      </c>
      <c r="AF276" s="31" t="inlineStr">
        <is>
          <t>College football model; multi-market (moneyline, spread, total).</t>
        </is>
      </c>
      <c r="AG276" s="24" t="inlineStr">
        <is>
          <t>not_applicable</t>
        </is>
      </c>
      <c r="AH276" s="24" t="n"/>
      <c r="AI276" s="31" t="n"/>
      <c r="AJ276" s="31" t="n"/>
      <c r="AK276" s="24" t="inlineStr">
        <is>
          <t>paper_call</t>
        </is>
      </c>
      <c r="AL276" s="26" t="n">
        <v>4</v>
      </c>
      <c r="AM276" s="24" t="inlineStr">
        <is>
          <t>RESEARCH_OBSERVATION</t>
        </is>
      </c>
      <c r="AN276" s="24" t="inlineStr">
        <is>
          <t>CALL</t>
        </is>
      </c>
      <c r="AO276" s="24" t="inlineStr">
        <is>
          <t>PAPER_CALL_LOW_EDGE</t>
        </is>
      </c>
      <c r="AP276" s="24" t="inlineStr">
        <is>
          <t>North Carolina Tar Heels</t>
        </is>
      </c>
      <c r="AQ276" s="24" t="inlineStr">
        <is>
          <t>North Carolina Tar Heels</t>
        </is>
      </c>
      <c r="AR276" s="24" t="inlineStr">
        <is>
          <t>North Carolina Tar Heels</t>
        </is>
      </c>
      <c r="AS276" s="24" t="inlineStr">
        <is>
          <t>Clemson Tigers</t>
        </is>
      </c>
      <c r="AT276" s="24" t="inlineStr">
        <is>
          <t>Clemson Tigers</t>
        </is>
      </c>
      <c r="AU276" s="24" t="inlineStr">
        <is>
          <t>Clemson Tigers</t>
        </is>
      </c>
      <c r="AV276" s="24" t="n"/>
      <c r="AW276" s="24" t="n"/>
      <c r="AX276" s="24" t="inlineStr">
        <is>
          <t>statistical_model</t>
        </is>
      </c>
      <c r="AY276" s="24" t="n"/>
      <c r="AZ276" s="24" t="inlineStr">
        <is>
          <t>shadow_qualified</t>
        </is>
      </c>
      <c r="BA276" s="24" t="inlineStr">
        <is>
          <t>1d168f11d221cd3c</t>
        </is>
      </c>
      <c r="BB276" s="24" t="inlineStr">
        <is>
          <t>cfb_key_number_engine</t>
        </is>
      </c>
      <c r="BC276" s="24" t="inlineStr">
        <is>
          <t>college-football-v1</t>
        </is>
      </c>
      <c r="BD276" s="24" t="inlineStr">
        <is>
          <t>1d168f11d221cd3c</t>
        </is>
      </c>
      <c r="BE276" s="24" t="inlineStr">
        <is>
          <t>cfb-v1</t>
        </is>
      </c>
      <c r="BF276" s="24" t="inlineStr">
        <is>
          <t>1</t>
        </is>
      </c>
      <c r="BG276" s="24" t="inlineStr">
        <is>
          <t>1d168f11d221cd3c</t>
        </is>
      </c>
      <c r="BH276" s="24" t="inlineStr">
        <is>
          <t>2026-09-19T11:12:59.236900+00:00</t>
        </is>
      </c>
      <c r="BI276" s="24" t="inlineStr">
        <is>
          <t>["same_event","same_team_same_day","same_league_same_day"]</t>
        </is>
      </c>
      <c r="BJ276" s="25" t="n"/>
      <c r="BK276" s="26" t="n">
        <v>-166</v>
      </c>
      <c r="BL276" s="27" t="n">
        <v>1.60241</v>
      </c>
      <c r="BM276" s="28" t="n">
        <v>0.6240599999999999</v>
      </c>
      <c r="BN276" s="28" t="n"/>
      <c r="BO276" s="28" t="n"/>
      <c r="BP276" s="25" t="n"/>
      <c r="BQ276" s="27" t="n"/>
      <c r="BR276" s="28" t="n"/>
      <c r="BS276" s="28" t="n"/>
      <c r="BT276" s="28" t="n"/>
      <c r="BU276" s="25" t="n"/>
      <c r="BV276" s="29" t="n"/>
      <c r="BW276" s="24" t="n"/>
      <c r="BX276" s="30" t="n">
        <v>1</v>
      </c>
      <c r="BY276" s="27" t="n">
        <v>0.60241</v>
      </c>
      <c r="BZ276" s="24" t="inlineStr">
        <is>
          <t>2026-09-19T22:00:24.996842Z</t>
        </is>
      </c>
      <c r="CA276" s="31" t="inlineStr">
        <is>
          <t>fixed one-unit hypothetical scoring; no real exposure or execution</t>
        </is>
      </c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  <c r="CR276" s="24" t="n"/>
      <c r="CS276" s="24" t="inlineStr">
        <is>
          <t>True</t>
        </is>
      </c>
      <c r="CT276" s="24" t="n"/>
      <c r="CU276" s="24" t="n"/>
      <c r="CV276" s="24" t="n"/>
      <c r="CW276" s="24" t="n"/>
      <c r="CX276" s="24" t="n"/>
      <c r="CY276" s="24" t="n"/>
      <c r="CZ276" s="24" t="n"/>
      <c r="DA276" s="24" t="n"/>
      <c r="DB276" s="24" t="n"/>
      <c r="DC276" s="24" t="n"/>
      <c r="DD276" s="24" t="n"/>
      <c r="DE276" s="24" t="n"/>
      <c r="DF276" s="24" t="n"/>
      <c r="DG276" s="24" t="n"/>
      <c r="DH276" s="24" t="n"/>
      <c r="DI276" s="24" t="n"/>
      <c r="DJ276" s="24" t="inlineStr">
        <is>
          <t>0.62406</t>
        </is>
      </c>
      <c r="DK276" s="24" t="n"/>
      <c r="DL276" s="24" t="n"/>
      <c r="DM276" s="24" t="n"/>
      <c r="DN276" s="24" t="n"/>
      <c r="DO276" s="24" t="n"/>
      <c r="DP276" s="24" t="n"/>
      <c r="DQ276" s="24" t="inlineStr">
        <is>
          <t>{"artifact_hash": "1d168f11d221cd3c", "event_id": "401858229", "event_start_utc": "2026-09-19T16:00Z", "features": {"altitude_fatigue_penalty": 0.0, "away_team": "North Carolina Tar Heels", "efficiency_gap": -1.298, "elo_away": 1370.7, "elo_home": 1486.4, "elo_home_win_prob": 0.7388, "event_id": "401858229", "game_start_utc": "2026-09-19T16:00Z", "home_field_advantage_points": 2.8, "home_team": "Clemson Tigers", "is_dome": false, "is_fbs_vs_fcs": false, "is_neutral_site": false, "projected_away_points": 23.2, "projected_home_points": 30.0, "projected_margin_home": 6.9, "projected_possessions": 12.4, "projected_total": 53.2, "stadium_elevation_ft": 750, "travel_distance_miles": 230.0, "uncertainty": 0.165, "weather_total_adjustment": 0.0}, "historical_source_observation_times_verified": false, "inference_inputs": {"engine_source_sha256": "449ba2f0e86fa9c445730076a0e0bf100fb4914620be53c75c6f3bfe24298f3f", "mu_away": 23.2, "mu_home": 30.0,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218964709808747965906368135406484969555}, "uinteger": 0}, "spread_home_line": -3.0, "total_line": 44.5}, "market_type": "moneyline", "model_version": "college-football-v1", "observed_at_utc": "2026-09-19T11:12:59.236900+00:00", "probabilities": {"away": 0.352965, "home": 0.647035}, "replay_scope": "Full precision score means, exact engine parameters and original RNG state; upstream feature construction not certified.", "schema": "cfb-joint-replay-v1", "snapshot_hash": "1398061696eafdddcb787b9bac34d189818c94f9ac24dbf712fb22a687594ddd", "sport": "NCAAF"}</t>
        </is>
      </c>
    </row>
    <row r="277" ht="36" customHeight="1">
      <c r="A277" s="24" t="inlineStr">
        <is>
          <t>366ec07cb10f4ac5</t>
        </is>
      </c>
      <c r="B277" s="24" t="inlineStr">
        <is>
          <t>2026-09-19T11:12:59.236900Z</t>
        </is>
      </c>
      <c r="C277" s="24" t="inlineStr">
        <is>
          <t>2026-09-19T16:00Z</t>
        </is>
      </c>
      <c r="D277" s="24" t="inlineStr">
        <is>
          <t>401858229</t>
        </is>
      </c>
      <c r="E277" s="24" t="inlineStr">
        <is>
          <t>NCAAF</t>
        </is>
      </c>
      <c r="F277" s="24" t="inlineStr">
        <is>
          <t>North Carolina Tar Heels</t>
        </is>
      </c>
      <c r="G277" s="24" t="inlineStr">
        <is>
          <t>Clemson Tigers</t>
        </is>
      </c>
      <c r="H277" s="24" t="inlineStr">
        <is>
          <t>spread</t>
        </is>
      </c>
      <c r="I277" s="24" t="inlineStr">
        <is>
          <t>home</t>
        </is>
      </c>
      <c r="J277" s="25" t="n">
        <v>-3</v>
      </c>
      <c r="K277" s="24" t="inlineStr">
        <is>
          <t>espn_consensus</t>
        </is>
      </c>
      <c r="L277" s="26" t="n">
        <v>-112</v>
      </c>
      <c r="M277" s="27" t="n">
        <v>1.892857</v>
      </c>
      <c r="N277" s="28" t="n">
        <v>0.528302</v>
      </c>
      <c r="O277" s="28" t="n">
        <v>0.5738</v>
      </c>
      <c r="P277" s="28" t="n">
        <v>0.165</v>
      </c>
      <c r="Q277" s="28" t="n">
        <v>0.045498</v>
      </c>
      <c r="R277" s="26" t="n">
        <v>0</v>
      </c>
      <c r="S277" s="29" t="n">
        <v>1</v>
      </c>
      <c r="T277" s="24" t="inlineStr">
        <is>
          <t>cfb-spread-v1</t>
        </is>
      </c>
      <c r="U277" s="24" t="inlineStr">
        <is>
          <t>settled</t>
        </is>
      </c>
      <c r="V277" s="24" t="inlineStr">
        <is>
          <t>win</t>
        </is>
      </c>
      <c r="W277" s="26" t="n">
        <v>20</v>
      </c>
      <c r="X277" s="26" t="n">
        <v>28</v>
      </c>
      <c r="Y277" s="25" t="n"/>
      <c r="Z277" s="26" t="n"/>
      <c r="AA277" s="28" t="n"/>
      <c r="AB277" s="28" t="n"/>
      <c r="AC277" s="30" t="n">
        <v>0.8929</v>
      </c>
      <c r="AD277" s="24" t="inlineStr">
        <is>
          <t>2026-09-19T22:00:25.402814Z</t>
        </is>
      </c>
      <c r="AE277" s="31" t="inlineStr">
        <is>
          <t>Projected home margin +6.9 pts. Spread: Home -3.0 / Away +3.0 -&gt; P(Away cover)=0.406, P(Home cover)=0.574, P(Push)=0.020.</t>
        </is>
      </c>
      <c r="AF277" s="31" t="inlineStr">
        <is>
          <t>College football model; multi-market (moneyline, spread, total).</t>
        </is>
      </c>
      <c r="AG277" s="24" t="inlineStr">
        <is>
          <t>not_applicable</t>
        </is>
      </c>
      <c r="AH277" s="24" t="n"/>
      <c r="AI277" s="31" t="n"/>
      <c r="AJ277" s="31" t="n"/>
      <c r="AK277" s="24" t="inlineStr">
        <is>
          <t>model_qualified</t>
        </is>
      </c>
      <c r="AL277" s="26" t="n">
        <v>4</v>
      </c>
      <c r="AM277" s="24" t="inlineStr">
        <is>
          <t>QUALIFIED_SHADOW_CALL</t>
        </is>
      </c>
      <c r="AN277" s="24" t="inlineStr">
        <is>
          <t>CALL</t>
        </is>
      </c>
      <c r="AO277" s="24" t="inlineStr">
        <is>
          <t>QUALIFIED</t>
        </is>
      </c>
      <c r="AP277" s="24" t="inlineStr">
        <is>
          <t>North Carolina Tar Heels</t>
        </is>
      </c>
      <c r="AQ277" s="24" t="inlineStr">
        <is>
          <t>North Carolina Tar Heels</t>
        </is>
      </c>
      <c r="AR277" s="24" t="inlineStr">
        <is>
          <t>North Carolina Tar Heels</t>
        </is>
      </c>
      <c r="AS277" s="24" t="inlineStr">
        <is>
          <t>Clemson Tigers</t>
        </is>
      </c>
      <c r="AT277" s="24" t="inlineStr">
        <is>
          <t>Clemson Tigers</t>
        </is>
      </c>
      <c r="AU277" s="24" t="inlineStr">
        <is>
          <t>Clemson Tigers</t>
        </is>
      </c>
      <c r="AV277" s="24" t="n"/>
      <c r="AW277" s="24" t="n"/>
      <c r="AX277" s="24" t="inlineStr">
        <is>
          <t>statistical_model</t>
        </is>
      </c>
      <c r="AY277" s="24" t="n"/>
      <c r="AZ277" s="24" t="inlineStr">
        <is>
          <t>shadow_qualified</t>
        </is>
      </c>
      <c r="BA277" s="24" t="inlineStr">
        <is>
          <t>1d168f11d221cd3c</t>
        </is>
      </c>
      <c r="BB277" s="24" t="inlineStr">
        <is>
          <t>cfb_key_number_engine</t>
        </is>
      </c>
      <c r="BC277" s="24" t="inlineStr">
        <is>
          <t>cfb-spread-v1</t>
        </is>
      </c>
      <c r="BD277" s="24" t="inlineStr">
        <is>
          <t>1d168f11d221cd3c</t>
        </is>
      </c>
      <c r="BE277" s="24" t="inlineStr">
        <is>
          <t>cfb-v1</t>
        </is>
      </c>
      <c r="BF277" s="24" t="inlineStr">
        <is>
          <t>1</t>
        </is>
      </c>
      <c r="BG277" s="24" t="inlineStr">
        <is>
          <t>1d168f11d221cd3c</t>
        </is>
      </c>
      <c r="BH277" s="24" t="inlineStr">
        <is>
          <t>2026-09-19T11:12:59.236900+00:00</t>
        </is>
      </c>
      <c r="BI277" s="24" t="inlineStr">
        <is>
          <t>["same_event","same_team_same_day","same_league_same_day"]</t>
        </is>
      </c>
      <c r="BJ277" s="25" t="n">
        <v>-3</v>
      </c>
      <c r="BK277" s="26" t="n">
        <v>-112</v>
      </c>
      <c r="BL277" s="27" t="n">
        <v>1.892857</v>
      </c>
      <c r="BM277" s="28" t="n">
        <v>0.528302</v>
      </c>
      <c r="BN277" s="28" t="n"/>
      <c r="BO277" s="28" t="n"/>
      <c r="BP277" s="25" t="n"/>
      <c r="BQ277" s="27" t="n"/>
      <c r="BR277" s="28" t="n"/>
      <c r="BS277" s="28" t="n"/>
      <c r="BT277" s="28" t="n"/>
      <c r="BU277" s="25" t="n"/>
      <c r="BV277" s="29" t="n"/>
      <c r="BW277" s="24" t="n"/>
      <c r="BX277" s="30" t="n"/>
      <c r="BY277" s="27" t="n"/>
      <c r="BZ277" s="24" t="n"/>
      <c r="CA277" s="31" t="n"/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  <c r="CR277" s="24" t="n"/>
      <c r="CS277" s="24" t="inlineStr">
        <is>
          <t>True</t>
        </is>
      </c>
      <c r="CT277" s="24" t="n"/>
      <c r="CU277" s="24" t="n"/>
      <c r="CV277" s="24" t="n"/>
      <c r="CW277" s="24" t="n"/>
      <c r="CX277" s="24" t="n"/>
      <c r="CY277" s="24" t="n"/>
      <c r="CZ277" s="24" t="n"/>
      <c r="DA277" s="24" t="n"/>
      <c r="DB277" s="24" t="n"/>
      <c r="DC277" s="24" t="n"/>
      <c r="DD277" s="24" t="n"/>
      <c r="DE277" s="24" t="n"/>
      <c r="DF277" s="24" t="n"/>
      <c r="DG277" s="24" t="n"/>
      <c r="DH277" s="24" t="n"/>
      <c r="DI277" s="24" t="n"/>
      <c r="DJ277" s="24" t="inlineStr">
        <is>
          <t>0.528302</t>
        </is>
      </c>
      <c r="DK277" s="24" t="n"/>
      <c r="DL277" s="24" t="n"/>
      <c r="DM277" s="24" t="n"/>
      <c r="DN277" s="24" t="n"/>
      <c r="DO277" s="24" t="n"/>
      <c r="DP277" s="24" t="n"/>
      <c r="DQ277" s="24" t="inlineStr">
        <is>
          <t>{"artifact_hash": "1d168f11d221cd3c", "event_id": "401858229", "event_start_utc": "2026-09-19T16:00Z", "features": {"altitude_fatigue_penalty": 0.0, "away_team": "North Carolina Tar Heels", "efficiency_gap": -1.298, "elo_away": 1370.7, "elo_home": 1486.4, "elo_home_win_prob": 0.7388, "event_id": "401858229", "game_start_utc": "2026-09-19T16:00Z", "home_field_advantage_points": 2.8, "home_team": "Clemson Tigers", "is_dome": false, "is_fbs_vs_fcs": false, "is_neutral_site": false, "projected_away_points": 23.2, "projected_home_points": 30.0, "projected_margin_home": 6.9, "projected_possessions": 12.4, "projected_total": 53.2, "stadium_elevation_ft": 750, "travel_distance_miles": 230.0, "uncertainty": 0.165, "weather_total_adjustment": 0.0}, "historical_source_observation_times_verified": false, "inference_inputs": {"engine_source_sha256": "449ba2f0e86fa9c445730076a0e0bf100fb4914620be53c75c6f3bfe24298f3f", "mu_away": 23.2, "mu_home": 30.0,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218964709808747965906368135406484969555}, "uinteger": 0}, "spread_home_line": -3.0, "total_line": 44.5}, "market_type": "spread", "model_version": "cfb-spread-v1", "observed_at_utc": "2026-09-19T11:12:59.236900+00:00", "probabilities": {"away": 0.4062, "home": 0.5738, "push": 0.02}, "replay_scope": "Full precision score means, exact engine parameters and original RNG state; upstream feature construction not certified.", "schema": "cfb-joint-replay-v1", "snapshot_hash": "50b15efa0839993fa09b8714704191fc9b898739fb85ecceed1ddd7f4e29997e", "sport": "NCAAF"}</t>
        </is>
      </c>
    </row>
    <row r="278" ht="36" customHeight="1">
      <c r="A278" s="24" t="inlineStr">
        <is>
          <t>4fd5bfb0ece54fb9</t>
        </is>
      </c>
      <c r="B278" s="24" t="inlineStr">
        <is>
          <t>2026-09-19T11:12:59.236900Z</t>
        </is>
      </c>
      <c r="C278" s="24" t="inlineStr">
        <is>
          <t>2026-09-19T16:00Z</t>
        </is>
      </c>
      <c r="D278" s="24" t="inlineStr">
        <is>
          <t>401858229</t>
        </is>
      </c>
      <c r="E278" s="24" t="inlineStr">
        <is>
          <t>NCAAF</t>
        </is>
      </c>
      <c r="F278" s="24" t="inlineStr">
        <is>
          <t>North Carolina Tar Heels</t>
        </is>
      </c>
      <c r="G278" s="24" t="inlineStr">
        <is>
          <t>Clemson Tigers</t>
        </is>
      </c>
      <c r="H278" s="24" t="inlineStr">
        <is>
          <t>total</t>
        </is>
      </c>
      <c r="I278" s="24" t="inlineStr">
        <is>
          <t>over</t>
        </is>
      </c>
      <c r="J278" s="25" t="n">
        <v>44.5</v>
      </c>
      <c r="K278" s="24" t="inlineStr">
        <is>
          <t>espn_consensus</t>
        </is>
      </c>
      <c r="L278" s="26" t="n">
        <v>-112</v>
      </c>
      <c r="M278" s="27" t="n">
        <v>1.892857</v>
      </c>
      <c r="N278" s="28" t="n">
        <v>0.528302</v>
      </c>
      <c r="O278" s="28" t="n">
        <v>0.604333</v>
      </c>
      <c r="P278" s="28" t="n">
        <v>0.165</v>
      </c>
      <c r="Q278" s="28" t="n">
        <v>0.076031</v>
      </c>
      <c r="R278" s="26" t="n">
        <v>0</v>
      </c>
      <c r="S278" s="29" t="n">
        <v>1</v>
      </c>
      <c r="T278" s="24" t="inlineStr">
        <is>
          <t>cfb-total-v1</t>
        </is>
      </c>
      <c r="U278" s="24" t="inlineStr">
        <is>
          <t>settled</t>
        </is>
      </c>
      <c r="V278" s="24" t="inlineStr">
        <is>
          <t>win</t>
        </is>
      </c>
      <c r="W278" s="26" t="n">
        <v>20</v>
      </c>
      <c r="X278" s="26" t="n">
        <v>28</v>
      </c>
      <c r="Y278" s="25" t="n"/>
      <c r="Z278" s="26" t="n"/>
      <c r="AA278" s="28" t="n"/>
      <c r="AB278" s="28" t="n"/>
      <c r="AC278" s="30" t="n">
        <v>0.8929</v>
      </c>
      <c r="AD278" s="24" t="inlineStr">
        <is>
          <t>2026-09-19T22:00:25.853541Z</t>
        </is>
      </c>
      <c r="AE278" s="31" t="inlineStr">
        <is>
          <t>Projected total 53.2 pts (Weather adj: +0.0 pts). Total line 44.5 -&gt; P(Over)=0.604, P(Under)=0.396, P(Push)=0.000.</t>
        </is>
      </c>
      <c r="AF278" s="31" t="inlineStr">
        <is>
          <t>College football model; multi-market (moneyline, spread, total).</t>
        </is>
      </c>
      <c r="AG278" s="24" t="inlineStr">
        <is>
          <t>not_applicable</t>
        </is>
      </c>
      <c r="AH278" s="24" t="n"/>
      <c r="AI278" s="31" t="n"/>
      <c r="AJ278" s="31" t="n"/>
      <c r="AK278" s="24" t="inlineStr">
        <is>
          <t>model_qualified</t>
        </is>
      </c>
      <c r="AL278" s="26" t="n">
        <v>4</v>
      </c>
      <c r="AM278" s="24" t="inlineStr">
        <is>
          <t>QUALIFIED_SHADOW_CALL</t>
        </is>
      </c>
      <c r="AN278" s="24" t="inlineStr">
        <is>
          <t>CALL</t>
        </is>
      </c>
      <c r="AO278" s="24" t="inlineStr">
        <is>
          <t>QUALIFIED</t>
        </is>
      </c>
      <c r="AP278" s="24" t="inlineStr">
        <is>
          <t>North Carolina Tar Heels</t>
        </is>
      </c>
      <c r="AQ278" s="24" t="inlineStr">
        <is>
          <t>North Carolina Tar Heels</t>
        </is>
      </c>
      <c r="AR278" s="24" t="inlineStr">
        <is>
          <t>North Carolina Tar Heels</t>
        </is>
      </c>
      <c r="AS278" s="24" t="inlineStr">
        <is>
          <t>Clemson Tigers</t>
        </is>
      </c>
      <c r="AT278" s="24" t="inlineStr">
        <is>
          <t>Clemson Tigers</t>
        </is>
      </c>
      <c r="AU278" s="24" t="inlineStr">
        <is>
          <t>Clemson Tigers</t>
        </is>
      </c>
      <c r="AV278" s="24" t="n"/>
      <c r="AW278" s="24" t="n"/>
      <c r="AX278" s="24" t="inlineStr">
        <is>
          <t>statistical_model</t>
        </is>
      </c>
      <c r="AY278" s="24" t="n"/>
      <c r="AZ278" s="24" t="inlineStr">
        <is>
          <t>shadow_qualified</t>
        </is>
      </c>
      <c r="BA278" s="24" t="inlineStr">
        <is>
          <t>1d168f11d221cd3c</t>
        </is>
      </c>
      <c r="BB278" s="24" t="inlineStr">
        <is>
          <t>cfb_key_number_engine</t>
        </is>
      </c>
      <c r="BC278" s="24" t="inlineStr">
        <is>
          <t>cfb-total-v1</t>
        </is>
      </c>
      <c r="BD278" s="24" t="inlineStr">
        <is>
          <t>1d168f11d221cd3c</t>
        </is>
      </c>
      <c r="BE278" s="24" t="inlineStr">
        <is>
          <t>cfb-v1</t>
        </is>
      </c>
      <c r="BF278" s="24" t="inlineStr">
        <is>
          <t>1</t>
        </is>
      </c>
      <c r="BG278" s="24" t="inlineStr">
        <is>
          <t>1d168f11d221cd3c</t>
        </is>
      </c>
      <c r="BH278" s="24" t="inlineStr">
        <is>
          <t>2026-09-19T11:12:59.236900+00:00</t>
        </is>
      </c>
      <c r="BI278" s="24" t="inlineStr">
        <is>
          <t>["same_event","same_team_same_day","same_league_same_day"]</t>
        </is>
      </c>
      <c r="BJ278" s="25" t="n">
        <v>44.5</v>
      </c>
      <c r="BK278" s="26" t="n">
        <v>-112</v>
      </c>
      <c r="BL278" s="27" t="n">
        <v>1.892857</v>
      </c>
      <c r="BM278" s="28" t="n">
        <v>0.528302</v>
      </c>
      <c r="BN278" s="28" t="n"/>
      <c r="BO278" s="28" t="n"/>
      <c r="BP278" s="25" t="n"/>
      <c r="BQ278" s="27" t="n"/>
      <c r="BR278" s="28" t="n"/>
      <c r="BS278" s="28" t="n"/>
      <c r="BT278" s="28" t="n"/>
      <c r="BU278" s="25" t="n"/>
      <c r="BV278" s="29" t="n"/>
      <c r="BW278" s="24" t="n"/>
      <c r="BX278" s="30" t="n"/>
      <c r="BY278" s="27" t="n"/>
      <c r="BZ278" s="24" t="n"/>
      <c r="CA278" s="31" t="n"/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  <c r="CR278" s="24" t="n"/>
      <c r="CS278" s="24" t="inlineStr">
        <is>
          <t>True</t>
        </is>
      </c>
      <c r="CT278" s="24" t="n"/>
      <c r="CU278" s="24" t="n"/>
      <c r="CV278" s="24" t="n"/>
      <c r="CW278" s="24" t="n"/>
      <c r="CX278" s="24" t="n"/>
      <c r="CY278" s="24" t="n"/>
      <c r="CZ278" s="24" t="n"/>
      <c r="DA278" s="24" t="n"/>
      <c r="DB278" s="24" t="n"/>
      <c r="DC278" s="24" t="n"/>
      <c r="DD278" s="24" t="n"/>
      <c r="DE278" s="24" t="n"/>
      <c r="DF278" s="24" t="n"/>
      <c r="DG278" s="24" t="n"/>
      <c r="DH278" s="24" t="n"/>
      <c r="DI278" s="24" t="n"/>
      <c r="DJ278" s="24" t="inlineStr">
        <is>
          <t>0.528302</t>
        </is>
      </c>
      <c r="DK278" s="24" t="n"/>
      <c r="DL278" s="24" t="n"/>
      <c r="DM278" s="24" t="n"/>
      <c r="DN278" s="24" t="n"/>
      <c r="DO278" s="24" t="n"/>
      <c r="DP278" s="24" t="n"/>
      <c r="DQ278" s="24" t="inlineStr">
        <is>
          <t>{"artifact_hash": "1d168f11d221cd3c", "event_id": "401858229", "event_start_utc": "2026-09-19T16:00Z", "features": {"altitude_fatigue_penalty": 0.0, "away_team": "North Carolina Tar Heels", "efficiency_gap": -1.298, "elo_away": 1370.7, "elo_home": 1486.4, "elo_home_win_prob": 0.7388, "event_id": "401858229", "game_start_utc": "2026-09-19T16:00Z", "home_field_advantage_points": 2.8, "home_team": "Clemson Tigers", "is_dome": false, "is_fbs_vs_fcs": false, "is_neutral_site": false, "projected_away_points": 23.2, "projected_home_points": 30.0, "projected_margin_home": 6.9, "projected_possessions": 12.4, "projected_total": 53.2, "stadium_elevation_ft": 750, "travel_distance_miles": 230.0, "uncertainty": 0.165, "weather_total_adjustment": 0.0}, "historical_source_observation_times_verified": false, "inference_inputs": {"engine_source_sha256": "449ba2f0e86fa9c445730076a0e0bf100fb4914620be53c75c6f3bfe24298f3f", "mu_away": 23.2, "mu_home": 30.0,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218964709808747965906368135406484969555}, "uinteger": 0}, "spread_home_line": -3.0, "total_line": 44.5}, "market_type": "total", "model_version": "cfb-total-v1", "observed_at_utc": "2026-09-19T11:12:59.236900+00:00", "probabilities": {"over": 0.604333, "push": 0.0, "under": 0.395667}, "replay_scope": "Full precision score means, exact engine parameters and original RNG state; upstream feature construction not certified.", "schema": "cfb-joint-replay-v1", "snapshot_hash": "48553cb7991b4703d70da431b9d2c762f475f35fd180f1633275e466c72f9a85", "sport": "NCAAF"}</t>
        </is>
      </c>
    </row>
    <row r="279" ht="36" customHeight="1">
      <c r="A279" s="24" t="inlineStr">
        <is>
          <t>57888879d8884ef6</t>
        </is>
      </c>
      <c r="B279" s="24" t="inlineStr">
        <is>
          <t>2026-09-19T11:12:59.236900Z</t>
        </is>
      </c>
      <c r="C279" s="24" t="inlineStr">
        <is>
          <t>2026-09-19T16:00Z</t>
        </is>
      </c>
      <c r="D279" s="24" t="inlineStr">
        <is>
          <t>401858451</t>
        </is>
      </c>
      <c r="E279" s="24" t="inlineStr">
        <is>
          <t>NCAAF</t>
        </is>
      </c>
      <c r="F279" s="24" t="inlineStr">
        <is>
          <t>Akron Zips</t>
        </is>
      </c>
      <c r="G279" s="24" t="inlineStr">
        <is>
          <t>Minnesota Golden Gophers</t>
        </is>
      </c>
      <c r="H279" s="24" t="inlineStr">
        <is>
          <t>moneyline</t>
        </is>
      </c>
      <c r="I279" s="24" t="inlineStr">
        <is>
          <t>home</t>
        </is>
      </c>
      <c r="J279" s="25" t="n"/>
      <c r="K279" s="24" t="inlineStr">
        <is>
          <t>espn_consensus</t>
        </is>
      </c>
      <c r="L279" s="26" t="n">
        <v>-3200</v>
      </c>
      <c r="M279" s="27" t="n">
        <v>1.03125</v>
      </c>
      <c r="N279" s="28" t="n">
        <v>0.969697</v>
      </c>
      <c r="O279" s="28" t="n">
        <v>0.681693</v>
      </c>
      <c r="P279" s="28" t="n">
        <v>0.18</v>
      </c>
      <c r="Q279" s="28" t="n">
        <v>-0.288004</v>
      </c>
      <c r="R279" s="26" t="n">
        <v>0</v>
      </c>
      <c r="S279" s="29" t="n">
        <v>1</v>
      </c>
      <c r="T279" s="24" t="inlineStr">
        <is>
          <t>college-football-v1</t>
        </is>
      </c>
      <c r="U279" s="24" t="inlineStr">
        <is>
          <t>settled</t>
        </is>
      </c>
      <c r="V279" s="24" t="inlineStr">
        <is>
          <t>win</t>
        </is>
      </c>
      <c r="W279" s="26" t="n">
        <v>7</v>
      </c>
      <c r="X279" s="26" t="n">
        <v>41</v>
      </c>
      <c r="Y279" s="25" t="n"/>
      <c r="Z279" s="26" t="n"/>
      <c r="AA279" s="28" t="n"/>
      <c r="AB279" s="28" t="n"/>
      <c r="AC279" s="30" t="n">
        <v>0.0312</v>
      </c>
      <c r="AD279" s="24" t="inlineStr">
        <is>
          <t>2026-09-19T22:00:26.313158Z</t>
        </is>
      </c>
      <c r="AE279" s="31" t="inlineStr">
        <is>
          <t>CFB Joint Model (negative_binomial): proj score Akron Zips 22.3 @ Minnesota Golden Gophers 31.4 (Margin +9.1). Possessions: 12.4, HFA: +2.8 pts.</t>
        </is>
      </c>
      <c r="AF279" s="31" t="inlineStr">
        <is>
          <t>College football model; multi-market (moneyline, spread, total).</t>
        </is>
      </c>
      <c r="AG279" s="24" t="inlineStr">
        <is>
          <t>not_applicable</t>
        </is>
      </c>
      <c r="AH279" s="24" t="n"/>
      <c r="AI279" s="31" t="n"/>
      <c r="AJ279" s="31" t="n"/>
      <c r="AK279" s="24" t="inlineStr">
        <is>
          <t>paper_call</t>
        </is>
      </c>
      <c r="AL279" s="26" t="n">
        <v>4</v>
      </c>
      <c r="AM279" s="24" t="inlineStr">
        <is>
          <t>RESEARCH_OBSERVATION</t>
        </is>
      </c>
      <c r="AN279" s="24" t="inlineStr">
        <is>
          <t>CALL</t>
        </is>
      </c>
      <c r="AO279" s="24" t="inlineStr">
        <is>
          <t>PAPER_CALL_LOW_EDGE</t>
        </is>
      </c>
      <c r="AP279" s="24" t="inlineStr">
        <is>
          <t>Akron Zips</t>
        </is>
      </c>
      <c r="AQ279" s="24" t="inlineStr">
        <is>
          <t>Akron Zips</t>
        </is>
      </c>
      <c r="AR279" s="24" t="inlineStr">
        <is>
          <t>Akron Zips</t>
        </is>
      </c>
      <c r="AS279" s="24" t="inlineStr">
        <is>
          <t>Minnesota Golden Gophers</t>
        </is>
      </c>
      <c r="AT279" s="24" t="inlineStr">
        <is>
          <t>Minnesota Golden Gophers</t>
        </is>
      </c>
      <c r="AU279" s="24" t="inlineStr">
        <is>
          <t>Minnesota Golden Gophers</t>
        </is>
      </c>
      <c r="AV279" s="24" t="n"/>
      <c r="AW279" s="24" t="n"/>
      <c r="AX279" s="24" t="inlineStr">
        <is>
          <t>statistical_model</t>
        </is>
      </c>
      <c r="AY279" s="24" t="n"/>
      <c r="AZ279" s="24" t="inlineStr">
        <is>
          <t>shadow_qualified</t>
        </is>
      </c>
      <c r="BA279" s="24" t="inlineStr">
        <is>
          <t>1d168f11d221cd3c</t>
        </is>
      </c>
      <c r="BB279" s="24" t="inlineStr">
        <is>
          <t>cfb_key_number_engine</t>
        </is>
      </c>
      <c r="BC279" s="24" t="inlineStr">
        <is>
          <t>college-football-v1</t>
        </is>
      </c>
      <c r="BD279" s="24" t="inlineStr">
        <is>
          <t>1d168f11d221cd3c</t>
        </is>
      </c>
      <c r="BE279" s="24" t="inlineStr">
        <is>
          <t>cfb-v1</t>
        </is>
      </c>
      <c r="BF279" s="24" t="inlineStr">
        <is>
          <t>1</t>
        </is>
      </c>
      <c r="BG279" s="24" t="inlineStr">
        <is>
          <t>1d168f11d221cd3c</t>
        </is>
      </c>
      <c r="BH279" s="24" t="inlineStr">
        <is>
          <t>2026-09-19T11:12:59.236900+00:00</t>
        </is>
      </c>
      <c r="BI279" s="24" t="inlineStr">
        <is>
          <t>["same_event","same_team_same_day","same_league_same_day"]</t>
        </is>
      </c>
      <c r="BJ279" s="25" t="n"/>
      <c r="BK279" s="26" t="n">
        <v>-3200</v>
      </c>
      <c r="BL279" s="27" t="n">
        <v>1.03125</v>
      </c>
      <c r="BM279" s="28" t="n">
        <v>0.969697</v>
      </c>
      <c r="BN279" s="28" t="n"/>
      <c r="BO279" s="28" t="n"/>
      <c r="BP279" s="25" t="n"/>
      <c r="BQ279" s="27" t="n"/>
      <c r="BR279" s="28" t="n"/>
      <c r="BS279" s="28" t="n"/>
      <c r="BT279" s="28" t="n"/>
      <c r="BU279" s="25" t="n"/>
      <c r="BV279" s="29" t="n"/>
      <c r="BW279" s="24" t="n"/>
      <c r="BX279" s="30" t="n">
        <v>1</v>
      </c>
      <c r="BY279" s="27" t="n">
        <v>0.03125</v>
      </c>
      <c r="BZ279" s="24" t="inlineStr">
        <is>
          <t>2026-09-19T22:00:26.313158Z</t>
        </is>
      </c>
      <c r="CA279" s="31" t="inlineStr">
        <is>
          <t>fixed one-unit hypothetical scoring; no real exposure or execution</t>
        </is>
      </c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  <c r="CR279" s="24" t="n"/>
      <c r="CS279" s="24" t="inlineStr">
        <is>
          <t>False</t>
        </is>
      </c>
      <c r="CT279" s="24" t="n"/>
      <c r="CU279" s="24" t="n"/>
      <c r="CV279" s="24" t="n"/>
      <c r="CW279" s="24" t="n"/>
      <c r="CX279" s="24" t="n"/>
      <c r="CY279" s="24" t="n"/>
      <c r="CZ279" s="24" t="n"/>
      <c r="DA279" s="24" t="n"/>
      <c r="DB279" s="24" t="n"/>
      <c r="DC279" s="24" t="n"/>
      <c r="DD279" s="24" t="n"/>
      <c r="DE279" s="24" t="n"/>
      <c r="DF279" s="24" t="n"/>
      <c r="DG279" s="24" t="n"/>
      <c r="DH279" s="24" t="n"/>
      <c r="DI279" s="24" t="n"/>
      <c r="DJ279" s="24" t="inlineStr">
        <is>
          <t>0.969697</t>
        </is>
      </c>
      <c r="DK279" s="24" t="n"/>
      <c r="DL279" s="24" t="n"/>
      <c r="DM279" s="24" t="n"/>
      <c r="DN279" s="24" t="n"/>
      <c r="DO279" s="24" t="n"/>
      <c r="DP279" s="24" t="n"/>
      <c r="DQ279" s="24" t="inlineStr">
        <is>
          <t>{"artifact_hash": "1d168f11d221cd3c", "event_id": "401858451", "event_start_utc": "2026-09-19T16:00Z", "features": {"altitude_fatigue_penalty": 0.0, "away_team": "Akron Zips", "efficiency_gap": 2.289, "elo_away": 1383.9, "elo_home": 1541.0, "elo_home_win_prob": 0.7822, "event_id": "401858451", "game_start_utc": "2026-09-19T16:00Z", "home_field_advantage_points": 2.8, "home_team": "Minnesota Golden Gophers", "is_dome": false, "is_fbs_vs_fcs": false, "is_neutral_site": false, "projected_away_points": 22.3, "projected_home_points": 31.4, "projected_margin_home": 9.1, "projected_possessions": 12.4, "projected_total": 53.7, "stadium_elevation_ft": 840, "travel_distance_miles": 650.0, "uncertainty": 0.18, "weather_total_adjustment": 0.0}, "historical_source_observation_times_verified": false, "inference_inputs": {"engine_source_sha256": "449ba2f0e86fa9c445730076a0e0bf100fb4914620be53c75c6f3bfe24298f3f", "mu_away": 22.3, "mu_home": 31.4,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169648454421757123646020734769832812281}, "uinteger": 0}, "spread_home_line": -23.5, "total_line": 49.5}, "market_type": "moneyline", "model_version": "college-football-v1", "observed_at_utc": "2026-09-19T11:12:59.236900+00:00", "probabilities": {"away": 0.318307, "home": 0.681693}, "replay_scope": "Full precision score means, exact engine parameters and original RNG state; upstream feature construction not certified.", "schema": "cfb-joint-replay-v1", "snapshot_hash": "e3da6796bb800bee79756033f2713de2d2e3211fede88e4db2d04d4d278c8aff", "sport": "NCAAF"}</t>
        </is>
      </c>
    </row>
    <row r="280" ht="36" customHeight="1">
      <c r="A280" s="24" t="inlineStr">
        <is>
          <t>be4bef74ec1849d4</t>
        </is>
      </c>
      <c r="B280" s="24" t="inlineStr">
        <is>
          <t>2026-09-19T11:12:59.236900Z</t>
        </is>
      </c>
      <c r="C280" s="24" t="inlineStr">
        <is>
          <t>2026-09-19T16:00Z</t>
        </is>
      </c>
      <c r="D280" s="24" t="inlineStr">
        <is>
          <t>401858451</t>
        </is>
      </c>
      <c r="E280" s="24" t="inlineStr">
        <is>
          <t>NCAAF</t>
        </is>
      </c>
      <c r="F280" s="24" t="inlineStr">
        <is>
          <t>Akron Zips</t>
        </is>
      </c>
      <c r="G280" s="24" t="inlineStr">
        <is>
          <t>Minnesota Golden Gophers</t>
        </is>
      </c>
      <c r="H280" s="24" t="inlineStr">
        <is>
          <t>spread</t>
        </is>
      </c>
      <c r="I280" s="24" t="inlineStr">
        <is>
          <t>away</t>
        </is>
      </c>
      <c r="J280" s="25" t="n">
        <v>23.5</v>
      </c>
      <c r="K280" s="24" t="inlineStr">
        <is>
          <t>espn_consensus</t>
        </is>
      </c>
      <c r="L280" s="26" t="n">
        <v>-115</v>
      </c>
      <c r="M280" s="27" t="n">
        <v>1.869565</v>
      </c>
      <c r="N280" s="28" t="n">
        <v>0.534884</v>
      </c>
      <c r="O280" s="28" t="n">
        <v>0.766867</v>
      </c>
      <c r="P280" s="28" t="n">
        <v>0.18</v>
      </c>
      <c r="Q280" s="28" t="n">
        <v>0.231983</v>
      </c>
      <c r="R280" s="26" t="n">
        <v>58</v>
      </c>
      <c r="S280" s="29" t="n">
        <v>1.25</v>
      </c>
      <c r="T280" s="24" t="inlineStr">
        <is>
          <t>cfb-spread-v1</t>
        </is>
      </c>
      <c r="U280" s="24" t="inlineStr">
        <is>
          <t>settled</t>
        </is>
      </c>
      <c r="V280" s="24" t="inlineStr">
        <is>
          <t>loss</t>
        </is>
      </c>
      <c r="W280" s="26" t="n">
        <v>7</v>
      </c>
      <c r="X280" s="26" t="n">
        <v>41</v>
      </c>
      <c r="Y280" s="25" t="n"/>
      <c r="Z280" s="26" t="n"/>
      <c r="AA280" s="28" t="n"/>
      <c r="AB280" s="28" t="n"/>
      <c r="AC280" s="30" t="n">
        <v>-1.25</v>
      </c>
      <c r="AD280" s="24" t="inlineStr">
        <is>
          <t>2026-09-19T22:00:26.719739Z</t>
        </is>
      </c>
      <c r="AE280" s="31" t="inlineStr">
        <is>
          <t>Projected home margin +9.1 pts. Spread: Home -23.5 / Away +23.5 -&gt; P(Away cover)=0.767, P(Home cover)=0.233, P(Push)=0.000.</t>
        </is>
      </c>
      <c r="AF280" s="31" t="inlineStr">
        <is>
          <t>College football model; multi-market (moneyline, spread, total).</t>
        </is>
      </c>
      <c r="AG280" s="24" t="inlineStr">
        <is>
          <t>review_required</t>
        </is>
      </c>
      <c r="AH280" s="24" t="n"/>
      <c r="AI280" s="31" t="n"/>
      <c r="AJ280" s="31" t="n"/>
      <c r="AK280" s="24" t="inlineStr">
        <is>
          <t>model_qualified</t>
        </is>
      </c>
      <c r="AL280" s="26" t="n">
        <v>4</v>
      </c>
      <c r="AM280" s="24" t="inlineStr">
        <is>
          <t>QUALIFIED_SHADOW_CALL</t>
        </is>
      </c>
      <c r="AN280" s="24" t="inlineStr">
        <is>
          <t>CALL</t>
        </is>
      </c>
      <c r="AO280" s="24" t="inlineStr">
        <is>
          <t>QUALIFIED</t>
        </is>
      </c>
      <c r="AP280" s="24" t="inlineStr">
        <is>
          <t>Akron Zips</t>
        </is>
      </c>
      <c r="AQ280" s="24" t="inlineStr">
        <is>
          <t>Akron Zips</t>
        </is>
      </c>
      <c r="AR280" s="24" t="inlineStr">
        <is>
          <t>Akron Zips</t>
        </is>
      </c>
      <c r="AS280" s="24" t="inlineStr">
        <is>
          <t>Minnesota Golden Gophers</t>
        </is>
      </c>
      <c r="AT280" s="24" t="inlineStr">
        <is>
          <t>Minnesota Golden Gophers</t>
        </is>
      </c>
      <c r="AU280" s="24" t="inlineStr">
        <is>
          <t>Minnesota Golden Gophers</t>
        </is>
      </c>
      <c r="AV280" s="24" t="n"/>
      <c r="AW280" s="24" t="n"/>
      <c r="AX280" s="24" t="inlineStr">
        <is>
          <t>statistical_model</t>
        </is>
      </c>
      <c r="AY280" s="24" t="n"/>
      <c r="AZ280" s="24" t="inlineStr">
        <is>
          <t>shadow_qualified</t>
        </is>
      </c>
      <c r="BA280" s="24" t="inlineStr">
        <is>
          <t>1d168f11d221cd3c</t>
        </is>
      </c>
      <c r="BB280" s="24" t="inlineStr">
        <is>
          <t>cfb_key_number_engine</t>
        </is>
      </c>
      <c r="BC280" s="24" t="inlineStr">
        <is>
          <t>cfb-spread-v1</t>
        </is>
      </c>
      <c r="BD280" s="24" t="inlineStr">
        <is>
          <t>1d168f11d221cd3c</t>
        </is>
      </c>
      <c r="BE280" s="24" t="inlineStr">
        <is>
          <t>cfb-v1</t>
        </is>
      </c>
      <c r="BF280" s="24" t="inlineStr">
        <is>
          <t>1</t>
        </is>
      </c>
      <c r="BG280" s="24" t="inlineStr">
        <is>
          <t>1d168f11d221cd3c</t>
        </is>
      </c>
      <c r="BH280" s="24" t="inlineStr">
        <is>
          <t>2026-09-19T11:12:59.236900+00:00</t>
        </is>
      </c>
      <c r="BI280" s="24" t="inlineStr">
        <is>
          <t>["same_event","same_team_same_day","same_league_same_day"]</t>
        </is>
      </c>
      <c r="BJ280" s="25" t="n">
        <v>23.5</v>
      </c>
      <c r="BK280" s="26" t="n">
        <v>-115</v>
      </c>
      <c r="BL280" s="27" t="n">
        <v>1.869565</v>
      </c>
      <c r="BM280" s="28" t="n">
        <v>0.534884</v>
      </c>
      <c r="BN280" s="28" t="n"/>
      <c r="BO280" s="28" t="n"/>
      <c r="BP280" s="25" t="n"/>
      <c r="BQ280" s="27" t="n"/>
      <c r="BR280" s="28" t="n"/>
      <c r="BS280" s="28" t="n"/>
      <c r="BT280" s="28" t="n"/>
      <c r="BU280" s="25" t="n"/>
      <c r="BV280" s="29" t="n"/>
      <c r="BW280" s="24" t="n"/>
      <c r="BX280" s="30" t="n"/>
      <c r="BY280" s="27" t="n"/>
      <c r="BZ280" s="24" t="n"/>
      <c r="CA280" s="31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inlineStr">
        <is>
          <t>True</t>
        </is>
      </c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/>
      <c r="DH280" s="24" t="n"/>
      <c r="DI280" s="24" t="n"/>
      <c r="DJ280" s="24" t="inlineStr">
        <is>
          <t>0.534884</t>
        </is>
      </c>
      <c r="DK280" s="24" t="n"/>
      <c r="DL280" s="24" t="n"/>
      <c r="DM280" s="24" t="n"/>
      <c r="DN280" s="24" t="n"/>
      <c r="DO280" s="24" t="n"/>
      <c r="DP280" s="24" t="n"/>
      <c r="DQ280" s="24" t="inlineStr">
        <is>
          <t>{"artifact_hash": "1d168f11d221cd3c", "event_id": "401858451", "event_start_utc": "2026-09-19T16:00Z", "features": {"altitude_fatigue_penalty": 0.0, "away_team": "Akron Zips", "efficiency_gap": 2.289, "elo_away": 1383.9, "elo_home": 1541.0, "elo_home_win_prob": 0.7822, "event_id": "401858451", "game_start_utc": "2026-09-19T16:00Z", "home_field_advantage_points": 2.8, "home_team": "Minnesota Golden Gophers", "is_dome": false, "is_fbs_vs_fcs": false, "is_neutral_site": false, "projected_away_points": 22.3, "projected_home_points": 31.4, "projected_margin_home": 9.1, "projected_possessions": 12.4, "projected_total": 53.7, "stadium_elevation_ft": 840, "travel_distance_miles": 650.0, "uncertainty": 0.18, "weather_total_adjustment": 0.0}, "historical_source_observation_times_verified": false, "inference_inputs": {"engine_source_sha256": "449ba2f0e86fa9c445730076a0e0bf100fb4914620be53c75c6f3bfe24298f3f", "mu_away": 22.3, "mu_home": 31.4,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169648454421757123646020734769832812281}, "uinteger": 0}, "spread_home_line": -23.5, "total_line": 49.5}, "market_type": "spread", "model_version": "cfb-spread-v1", "observed_at_utc": "2026-09-19T11:12:59.236900+00:00", "probabilities": {"away": 0.766867, "home": 0.233133, "push": 0.0}, "replay_scope": "Full precision score means, exact engine parameters and original RNG state; upstream feature construction not certified.", "schema": "cfb-joint-replay-v1", "snapshot_hash": "ae02ce5ed98de43aa49733b8b9574835b51e43f4de99f34b47db63f2cd797be8", "sport": "NCAAF"}</t>
        </is>
      </c>
    </row>
    <row r="281" ht="36" customHeight="1">
      <c r="A281" s="24" t="inlineStr">
        <is>
          <t>b3efed9818904513</t>
        </is>
      </c>
      <c r="B281" s="24" t="inlineStr">
        <is>
          <t>2026-09-19T11:12:59.236900Z</t>
        </is>
      </c>
      <c r="C281" s="24" t="inlineStr">
        <is>
          <t>2026-09-19T16:00Z</t>
        </is>
      </c>
      <c r="D281" s="24" t="inlineStr">
        <is>
          <t>401858451</t>
        </is>
      </c>
      <c r="E281" s="24" t="inlineStr">
        <is>
          <t>NCAAF</t>
        </is>
      </c>
      <c r="F281" s="24" t="inlineStr">
        <is>
          <t>Akron Zips</t>
        </is>
      </c>
      <c r="G281" s="24" t="inlineStr">
        <is>
          <t>Minnesota Golden Gophers</t>
        </is>
      </c>
      <c r="H281" s="24" t="inlineStr">
        <is>
          <t>total</t>
        </is>
      </c>
      <c r="I281" s="24" t="inlineStr">
        <is>
          <t>over</t>
        </is>
      </c>
      <c r="J281" s="25" t="n">
        <v>49.5</v>
      </c>
      <c r="K281" s="24" t="inlineStr">
        <is>
          <t>espn_consensus</t>
        </is>
      </c>
      <c r="L281" s="26" t="n">
        <v>-108</v>
      </c>
      <c r="M281" s="27" t="n">
        <v>1.925926</v>
      </c>
      <c r="N281" s="28" t="n">
        <v>0.519231</v>
      </c>
      <c r="O281" s="28" t="n">
        <v>0.5356</v>
      </c>
      <c r="P281" s="28" t="n">
        <v>0.18</v>
      </c>
      <c r="Q281" s="28" t="n">
        <v>0.016369</v>
      </c>
      <c r="R281" s="26" t="n">
        <v>0</v>
      </c>
      <c r="S281" s="29" t="n">
        <v>1</v>
      </c>
      <c r="T281" s="24" t="inlineStr">
        <is>
          <t>cfb-total-v1</t>
        </is>
      </c>
      <c r="U281" s="24" t="inlineStr">
        <is>
          <t>settled</t>
        </is>
      </c>
      <c r="V281" s="24" t="inlineStr">
        <is>
          <t>loss</t>
        </is>
      </c>
      <c r="W281" s="26" t="n">
        <v>7</v>
      </c>
      <c r="X281" s="26" t="n">
        <v>41</v>
      </c>
      <c r="Y281" s="25" t="n"/>
      <c r="Z281" s="26" t="n"/>
      <c r="AA281" s="28" t="n"/>
      <c r="AB281" s="28" t="n"/>
      <c r="AC281" s="30" t="n">
        <v>-1</v>
      </c>
      <c r="AD281" s="24" t="inlineStr">
        <is>
          <t>2026-09-19T22:00:27.237053Z</t>
        </is>
      </c>
      <c r="AE281" s="31" t="inlineStr">
        <is>
          <t>Projected total 53.7 pts (Weather adj: +0.0 pts). Total line 49.5 -&gt; P(Over)=0.536, P(Under)=0.464, P(Push)=0.000.</t>
        </is>
      </c>
      <c r="AF281" s="31" t="inlineStr">
        <is>
          <t>College football model; multi-market (moneyline, spread, total).</t>
        </is>
      </c>
      <c r="AG281" s="24" t="inlineStr">
        <is>
          <t>review_required</t>
        </is>
      </c>
      <c r="AH281" s="24" t="n"/>
      <c r="AI281" s="31" t="n"/>
      <c r="AJ281" s="31" t="n"/>
      <c r="AK281" s="24" t="inlineStr">
        <is>
          <t>paper_call</t>
        </is>
      </c>
      <c r="AL281" s="26" t="n">
        <v>4</v>
      </c>
      <c r="AM281" s="24" t="inlineStr">
        <is>
          <t>RESEARCH_OBSERVATION</t>
        </is>
      </c>
      <c r="AN281" s="24" t="inlineStr">
        <is>
          <t>CALL</t>
        </is>
      </c>
      <c r="AO281" s="24" t="inlineStr">
        <is>
          <t>PAPER_CALL_LOW_EDGE</t>
        </is>
      </c>
      <c r="AP281" s="24" t="inlineStr">
        <is>
          <t>Akron Zips</t>
        </is>
      </c>
      <c r="AQ281" s="24" t="inlineStr">
        <is>
          <t>Akron Zips</t>
        </is>
      </c>
      <c r="AR281" s="24" t="inlineStr">
        <is>
          <t>Akron Zips</t>
        </is>
      </c>
      <c r="AS281" s="24" t="inlineStr">
        <is>
          <t>Minnesota Golden Gophers</t>
        </is>
      </c>
      <c r="AT281" s="24" t="inlineStr">
        <is>
          <t>Minnesota Golden Gophers</t>
        </is>
      </c>
      <c r="AU281" s="24" t="inlineStr">
        <is>
          <t>Minnesota Golden Gophers</t>
        </is>
      </c>
      <c r="AV281" s="24" t="n"/>
      <c r="AW281" s="24" t="n"/>
      <c r="AX281" s="24" t="inlineStr">
        <is>
          <t>statistical_model</t>
        </is>
      </c>
      <c r="AY281" s="24" t="n"/>
      <c r="AZ281" s="24" t="inlineStr">
        <is>
          <t>shadow_qualified</t>
        </is>
      </c>
      <c r="BA281" s="24" t="inlineStr">
        <is>
          <t>1d168f11d221cd3c</t>
        </is>
      </c>
      <c r="BB281" s="24" t="inlineStr">
        <is>
          <t>cfb_key_number_engine</t>
        </is>
      </c>
      <c r="BC281" s="24" t="inlineStr">
        <is>
          <t>cfb-total-v1</t>
        </is>
      </c>
      <c r="BD281" s="24" t="inlineStr">
        <is>
          <t>1d168f11d221cd3c</t>
        </is>
      </c>
      <c r="BE281" s="24" t="inlineStr">
        <is>
          <t>cfb-v1</t>
        </is>
      </c>
      <c r="BF281" s="24" t="inlineStr">
        <is>
          <t>1</t>
        </is>
      </c>
      <c r="BG281" s="24" t="inlineStr">
        <is>
          <t>1d168f11d221cd3c</t>
        </is>
      </c>
      <c r="BH281" s="24" t="inlineStr">
        <is>
          <t>2026-09-19T11:12:59.236900+00:00</t>
        </is>
      </c>
      <c r="BI281" s="24" t="inlineStr">
        <is>
          <t>["same_event","same_team_same_day","same_league_same_day"]</t>
        </is>
      </c>
      <c r="BJ281" s="25" t="n">
        <v>49.5</v>
      </c>
      <c r="BK281" s="26" t="n">
        <v>-108</v>
      </c>
      <c r="BL281" s="27" t="n">
        <v>1.925926</v>
      </c>
      <c r="BM281" s="28" t="n">
        <v>0.519231</v>
      </c>
      <c r="BN281" s="28" t="n"/>
      <c r="BO281" s="28" t="n"/>
      <c r="BP281" s="25" t="n"/>
      <c r="BQ281" s="27" t="n"/>
      <c r="BR281" s="28" t="n"/>
      <c r="BS281" s="28" t="n"/>
      <c r="BT281" s="28" t="n"/>
      <c r="BU281" s="25" t="n"/>
      <c r="BV281" s="29" t="n"/>
      <c r="BW281" s="24" t="n"/>
      <c r="BX281" s="30" t="n">
        <v>1</v>
      </c>
      <c r="BY281" s="27" t="n">
        <v>-1</v>
      </c>
      <c r="BZ281" s="24" t="inlineStr">
        <is>
          <t>2026-09-19T22:00:27.237053Z</t>
        </is>
      </c>
      <c r="CA281" s="31" t="inlineStr">
        <is>
          <t>fixed one-unit hypothetical scoring; no real exposure or execution</t>
        </is>
      </c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  <c r="CR281" s="24" t="n"/>
      <c r="CS281" s="24" t="inlineStr">
        <is>
          <t>True</t>
        </is>
      </c>
      <c r="CT281" s="24" t="n"/>
      <c r="CU281" s="24" t="n"/>
      <c r="CV281" s="24" t="n"/>
      <c r="CW281" s="24" t="n"/>
      <c r="CX281" s="24" t="n"/>
      <c r="CY281" s="24" t="n"/>
      <c r="CZ281" s="24" t="n"/>
      <c r="DA281" s="24" t="n"/>
      <c r="DB281" s="24" t="n"/>
      <c r="DC281" s="24" t="n"/>
      <c r="DD281" s="24" t="n"/>
      <c r="DE281" s="24" t="n"/>
      <c r="DF281" s="24" t="n"/>
      <c r="DG281" s="24" t="n"/>
      <c r="DH281" s="24" t="n"/>
      <c r="DI281" s="24" t="n"/>
      <c r="DJ281" s="24" t="inlineStr">
        <is>
          <t>0.519231</t>
        </is>
      </c>
      <c r="DK281" s="24" t="n"/>
      <c r="DL281" s="24" t="n"/>
      <c r="DM281" s="24" t="n"/>
      <c r="DN281" s="24" t="n"/>
      <c r="DO281" s="24" t="n"/>
      <c r="DP281" s="24" t="n"/>
      <c r="DQ281" s="24" t="inlineStr">
        <is>
          <t>{"artifact_hash": "1d168f11d221cd3c", "event_id": "401858451", "event_start_utc": "2026-09-19T16:00Z", "features": {"altitude_fatigue_penalty": 0.0, "away_team": "Akron Zips", "efficiency_gap": 2.289, "elo_away": 1383.9, "elo_home": 1541.0, "elo_home_win_prob": 0.7822, "event_id": "401858451", "game_start_utc": "2026-09-19T16:00Z", "home_field_advantage_points": 2.8, "home_team": "Minnesota Golden Gophers", "is_dome": false, "is_fbs_vs_fcs": false, "is_neutral_site": false, "projected_away_points": 22.3, "projected_home_points": 31.4, "projected_margin_home": 9.1, "projected_possessions": 12.4, "projected_total": 53.7, "stadium_elevation_ft": 840, "travel_distance_miles": 650.0, "uncertainty": 0.18, "weather_total_adjustment": 0.0}, "historical_source_observation_times_verified": false, "inference_inputs": {"engine_source_sha256": "449ba2f0e86fa9c445730076a0e0bf100fb4914620be53c75c6f3bfe24298f3f", "mu_away": 22.3, "mu_home": 31.4,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169648454421757123646020734769832812281}, "uinteger": 0}, "spread_home_line": -23.5, "total_line": 49.5}, "market_type": "total", "model_version": "cfb-total-v1", "observed_at_utc": "2026-09-19T11:12:59.236900+00:00", "probabilities": {"over": 0.5356, "push": 0.0, "under": 0.4644}, "replay_scope": "Full precision score means, exact engine parameters and original RNG state; upstream feature construction not certified.", "schema": "cfb-joint-replay-v1", "snapshot_hash": "578a0385671963bf88bb54fc9cd7b9f60931ac2b9e5271fc8025c024a8e0b42c", "sport": "NCAAF"}</t>
        </is>
      </c>
    </row>
    <row r="282" ht="36" customHeight="1">
      <c r="A282" s="24" t="inlineStr">
        <is>
          <t>5f2bc4cff2694ebd</t>
        </is>
      </c>
      <c r="B282" s="24" t="inlineStr">
        <is>
          <t>2026-09-19T11:12:59.236900Z</t>
        </is>
      </c>
      <c r="C282" s="24" t="inlineStr">
        <is>
          <t>2026-09-19T16:00Z</t>
        </is>
      </c>
      <c r="D282" s="24" t="inlineStr">
        <is>
          <t>401860889</t>
        </is>
      </c>
      <c r="E282" s="24" t="inlineStr">
        <is>
          <t>NCAAF</t>
        </is>
      </c>
      <c r="F282" s="24" t="inlineStr">
        <is>
          <t>North Texas Mean Green</t>
        </is>
      </c>
      <c r="G282" s="24" t="inlineStr">
        <is>
          <t>Texas State Bobcats</t>
        </is>
      </c>
      <c r="H282" s="24" t="inlineStr">
        <is>
          <t>moneyline</t>
        </is>
      </c>
      <c r="I282" s="24" t="inlineStr">
        <is>
          <t>home</t>
        </is>
      </c>
      <c r="J282" s="25" t="n"/>
      <c r="K282" s="24" t="inlineStr">
        <is>
          <t>espn_consensus</t>
        </is>
      </c>
      <c r="L282" s="26" t="n">
        <v>-142</v>
      </c>
      <c r="M282" s="27" t="n">
        <v>1.704225</v>
      </c>
      <c r="N282" s="28" t="n">
        <v>0.586777</v>
      </c>
      <c r="O282" s="28" t="n">
        <v>0.5130130000000001</v>
      </c>
      <c r="P282" s="28" t="n">
        <v>0.165</v>
      </c>
      <c r="Q282" s="28" t="n">
        <v>-0.073764</v>
      </c>
      <c r="R282" s="26" t="n">
        <v>0</v>
      </c>
      <c r="S282" s="29" t="n">
        <v>1</v>
      </c>
      <c r="T282" s="24" t="inlineStr">
        <is>
          <t>college-football-v1</t>
        </is>
      </c>
      <c r="U282" s="24" t="inlineStr">
        <is>
          <t>settled</t>
        </is>
      </c>
      <c r="V282" s="24" t="inlineStr">
        <is>
          <t>win</t>
        </is>
      </c>
      <c r="W282" s="26" t="n">
        <v>35</v>
      </c>
      <c r="X282" s="26" t="n">
        <v>49</v>
      </c>
      <c r="Y282" s="25" t="n"/>
      <c r="Z282" s="26" t="n"/>
      <c r="AA282" s="28" t="n"/>
      <c r="AB282" s="28" t="n"/>
      <c r="AC282" s="30" t="n">
        <v>0.7042</v>
      </c>
      <c r="AD282" s="24" t="inlineStr">
        <is>
          <t>2026-09-19T22:00:27.698500Z</t>
        </is>
      </c>
      <c r="AE282" s="31" t="inlineStr">
        <is>
          <t>CFB Joint Model (negative_binomial): proj score North Texas Mean Green 25.9 @ Texas State Bobcats 26.5 (Margin +0.6). Possessions: 12.4, HFA: +2.8 pts.</t>
        </is>
      </c>
      <c r="AF282" s="31" t="inlineStr">
        <is>
          <t>College football model; multi-market (moneyline, spread, total).</t>
        </is>
      </c>
      <c r="AG282" s="24" t="inlineStr">
        <is>
          <t>not_applicable</t>
        </is>
      </c>
      <c r="AH282" s="24" t="n"/>
      <c r="AI282" s="31" t="n"/>
      <c r="AJ282" s="31" t="n"/>
      <c r="AK282" s="24" t="inlineStr">
        <is>
          <t>paper_call</t>
        </is>
      </c>
      <c r="AL282" s="26" t="n">
        <v>4</v>
      </c>
      <c r="AM282" s="24" t="inlineStr">
        <is>
          <t>RESEARCH_OBSERVATION</t>
        </is>
      </c>
      <c r="AN282" s="24" t="inlineStr">
        <is>
          <t>CALL</t>
        </is>
      </c>
      <c r="AO282" s="24" t="inlineStr">
        <is>
          <t>PAPER_CALL_LOW_EDGE</t>
        </is>
      </c>
      <c r="AP282" s="24" t="inlineStr">
        <is>
          <t>North Texas Mean Green</t>
        </is>
      </c>
      <c r="AQ282" s="24" t="inlineStr">
        <is>
          <t>North Texas Mean Green</t>
        </is>
      </c>
      <c r="AR282" s="24" t="inlineStr">
        <is>
          <t>North Texas Mean Green</t>
        </is>
      </c>
      <c r="AS282" s="24" t="inlineStr">
        <is>
          <t>Texas State Bobcats</t>
        </is>
      </c>
      <c r="AT282" s="24" t="inlineStr">
        <is>
          <t>Texas State Bobcats</t>
        </is>
      </c>
      <c r="AU282" s="24" t="inlineStr">
        <is>
          <t>Texas State Bobcats</t>
        </is>
      </c>
      <c r="AV282" s="24" t="n"/>
      <c r="AW282" s="24" t="n"/>
      <c r="AX282" s="24" t="inlineStr">
        <is>
          <t>statistical_model</t>
        </is>
      </c>
      <c r="AY282" s="24" t="n"/>
      <c r="AZ282" s="24" t="inlineStr">
        <is>
          <t>shadow_qualified</t>
        </is>
      </c>
      <c r="BA282" s="24" t="inlineStr">
        <is>
          <t>1d168f11d221cd3c</t>
        </is>
      </c>
      <c r="BB282" s="24" t="inlineStr">
        <is>
          <t>cfb_key_number_engine</t>
        </is>
      </c>
      <c r="BC282" s="24" t="inlineStr">
        <is>
          <t>college-football-v1</t>
        </is>
      </c>
      <c r="BD282" s="24" t="inlineStr">
        <is>
          <t>1d168f11d221cd3c</t>
        </is>
      </c>
      <c r="BE282" s="24" t="inlineStr">
        <is>
          <t>cfb-v1</t>
        </is>
      </c>
      <c r="BF282" s="24" t="inlineStr">
        <is>
          <t>1</t>
        </is>
      </c>
      <c r="BG282" s="24" t="inlineStr">
        <is>
          <t>1d168f11d221cd3c</t>
        </is>
      </c>
      <c r="BH282" s="24" t="inlineStr">
        <is>
          <t>2026-09-19T11:12:59.236900+00:00</t>
        </is>
      </c>
      <c r="BI282" s="24" t="inlineStr">
        <is>
          <t>["same_event","same_team_same_day","same_league_same_day"]</t>
        </is>
      </c>
      <c r="BJ282" s="25" t="n"/>
      <c r="BK282" s="26" t="n">
        <v>-142</v>
      </c>
      <c r="BL282" s="27" t="n">
        <v>1.704225</v>
      </c>
      <c r="BM282" s="28" t="n">
        <v>0.586777</v>
      </c>
      <c r="BN282" s="28" t="n"/>
      <c r="BO282" s="28" t="n"/>
      <c r="BP282" s="25" t="n"/>
      <c r="BQ282" s="27" t="n"/>
      <c r="BR282" s="28" t="n"/>
      <c r="BS282" s="28" t="n"/>
      <c r="BT282" s="28" t="n"/>
      <c r="BU282" s="25" t="n"/>
      <c r="BV282" s="29" t="n"/>
      <c r="BW282" s="24" t="n"/>
      <c r="BX282" s="30" t="n">
        <v>1</v>
      </c>
      <c r="BY282" s="27" t="n">
        <v>0.704225</v>
      </c>
      <c r="BZ282" s="24" t="inlineStr">
        <is>
          <t>2026-09-19T22:00:27.698500Z</t>
        </is>
      </c>
      <c r="CA282" s="31" t="inlineStr">
        <is>
          <t>fixed one-unit hypothetical scoring; no real exposure or execution</t>
        </is>
      </c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  <c r="CR282" s="24" t="n"/>
      <c r="CS282" s="24" t="inlineStr">
        <is>
          <t>False</t>
        </is>
      </c>
      <c r="CT282" s="24" t="n"/>
      <c r="CU282" s="24" t="n"/>
      <c r="CV282" s="24" t="n"/>
      <c r="CW282" s="24" t="n"/>
      <c r="CX282" s="24" t="n"/>
      <c r="CY282" s="24" t="n"/>
      <c r="CZ282" s="24" t="n"/>
      <c r="DA282" s="24" t="n"/>
      <c r="DB282" s="24" t="n"/>
      <c r="DC282" s="24" t="n"/>
      <c r="DD282" s="24" t="n"/>
      <c r="DE282" s="24" t="n"/>
      <c r="DF282" s="24" t="n"/>
      <c r="DG282" s="24" t="n"/>
      <c r="DH282" s="24" t="n"/>
      <c r="DI282" s="24" t="n"/>
      <c r="DJ282" s="24" t="inlineStr">
        <is>
          <t>0.586777</t>
        </is>
      </c>
      <c r="DK282" s="24" t="n"/>
      <c r="DL282" s="24" t="n"/>
      <c r="DM282" s="24" t="n"/>
      <c r="DN282" s="24" t="n"/>
      <c r="DO282" s="24" t="n"/>
      <c r="DP282" s="24" t="n"/>
      <c r="DQ282" s="24" t="inlineStr">
        <is>
          <t>{"artifact_hash": "1d168f11d221cd3c", "event_id": "401860889", "event_start_utc": "2026-09-19T16:00Z", "features": {"altitude_fatigue_penalty": 0.0, "away_team": "North Texas Mean Green", "efficiency_gap": -0.66, "elo_away": 1588.6, "elo_home": 1540.5, "elo_home_win_prob": 0.5243, "event_id": "401860889", "game_start_utc": "2026-09-19T16:00Z", "home_field_advantage_points": 2.8, "home_team": "Texas State Bobcats", "is_dome": false, "is_fbs_vs_fcs": false, "is_neutral_site": false, "projected_away_points": 25.9, "projected_home_points": 26.5, "projected_margin_home": 0.6, "projected_possessions": 12.4, "projected_total": 52.4, "stadium_elevation_ft": 600, "travel_distance_miles": 233.0, "uncertainty": 0.165, "weather_total_adjustment": 0.0}, "historical_source_observation_times_verified": false, "inference_inputs": {"engine_source_sha256": "449ba2f0e86fa9c445730076a0e0bf100fb4914620be53c75c6f3bfe24298f3f", "mu_away": 25.9, "mu_home": 26.5,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328216827640659412809845243789395791019}, "uinteger": 0}, "spread_home_line": -3.0, "total_line": 62.5}, "market_type": "moneyline", "model_version": "college-football-v1", "observed_at_utc": "2026-09-19T11:12:59.236900+00:00", "probabilities": {"away": 0.486987, "home": 0.513013}, "replay_scope": "Full precision score means, exact engine parameters and original RNG state; upstream feature construction not certified.", "schema": "cfb-joint-replay-v1", "snapshot_hash": "786bba4b2a17b1d28cd28cbb465f0ad6be5c0b0186023002dafdb1ab2522fce2", "sport": "NCAAF"}</t>
        </is>
      </c>
    </row>
    <row r="283" ht="36" customHeight="1">
      <c r="A283" s="24" t="inlineStr">
        <is>
          <t>1b4cb912a0a948a9</t>
        </is>
      </c>
      <c r="B283" s="24" t="inlineStr">
        <is>
          <t>2026-09-19T11:12:59.236900Z</t>
        </is>
      </c>
      <c r="C283" s="24" t="inlineStr">
        <is>
          <t>2026-09-19T16:00Z</t>
        </is>
      </c>
      <c r="D283" s="24" t="inlineStr">
        <is>
          <t>401860889</t>
        </is>
      </c>
      <c r="E283" s="24" t="inlineStr">
        <is>
          <t>NCAAF</t>
        </is>
      </c>
      <c r="F283" s="24" t="inlineStr">
        <is>
          <t>North Texas Mean Green</t>
        </is>
      </c>
      <c r="G283" s="24" t="inlineStr">
        <is>
          <t>Texas State Bobcats</t>
        </is>
      </c>
      <c r="H283" s="24" t="inlineStr">
        <is>
          <t>spread</t>
        </is>
      </c>
      <c r="I283" s="24" t="inlineStr">
        <is>
          <t>away</t>
        </is>
      </c>
      <c r="J283" s="25" t="n">
        <v>3</v>
      </c>
      <c r="K283" s="24" t="inlineStr">
        <is>
          <t>espn_consensus</t>
        </is>
      </c>
      <c r="L283" s="26" t="n">
        <v>-115</v>
      </c>
      <c r="M283" s="27" t="n">
        <v>1.869565</v>
      </c>
      <c r="N283" s="28" t="n">
        <v>0.534884</v>
      </c>
      <c r="O283" s="28" t="n">
        <v>0.5432670000000001</v>
      </c>
      <c r="P283" s="28" t="n">
        <v>0.165</v>
      </c>
      <c r="Q283" s="28" t="n">
        <v>0.008383</v>
      </c>
      <c r="R283" s="26" t="n">
        <v>0</v>
      </c>
      <c r="S283" s="29" t="n">
        <v>1</v>
      </c>
      <c r="T283" s="24" t="inlineStr">
        <is>
          <t>cfb-spread-v1</t>
        </is>
      </c>
      <c r="U283" s="24" t="inlineStr">
        <is>
          <t>settled</t>
        </is>
      </c>
      <c r="V283" s="24" t="inlineStr">
        <is>
          <t>loss</t>
        </is>
      </c>
      <c r="W283" s="26" t="n">
        <v>35</v>
      </c>
      <c r="X283" s="26" t="n">
        <v>49</v>
      </c>
      <c r="Y283" s="25" t="n"/>
      <c r="Z283" s="26" t="n"/>
      <c r="AA283" s="28" t="n"/>
      <c r="AB283" s="28" t="n"/>
      <c r="AC283" s="30" t="n">
        <v>-1</v>
      </c>
      <c r="AD283" s="24" t="inlineStr">
        <is>
          <t>2026-09-19T22:00:28.099855Z</t>
        </is>
      </c>
      <c r="AE283" s="31" t="inlineStr">
        <is>
          <t>Projected home margin +0.6 pts. Spread: Home -3.0 / Away +3.0 -&gt; P(Away cover)=0.543, P(Home cover)=0.436, P(Push)=0.021.</t>
        </is>
      </c>
      <c r="AF283" s="31" t="inlineStr">
        <is>
          <t>College football model; multi-market (moneyline, spread, total).</t>
        </is>
      </c>
      <c r="AG283" s="24" t="inlineStr">
        <is>
          <t>review_required</t>
        </is>
      </c>
      <c r="AH283" s="24" t="n"/>
      <c r="AI283" s="31" t="n"/>
      <c r="AJ283" s="31" t="n"/>
      <c r="AK283" s="24" t="inlineStr">
        <is>
          <t>paper_call</t>
        </is>
      </c>
      <c r="AL283" s="26" t="n">
        <v>4</v>
      </c>
      <c r="AM283" s="24" t="inlineStr">
        <is>
          <t>RESEARCH_OBSERVATION</t>
        </is>
      </c>
      <c r="AN283" s="24" t="inlineStr">
        <is>
          <t>CALL</t>
        </is>
      </c>
      <c r="AO283" s="24" t="inlineStr">
        <is>
          <t>PAPER_CALL_LOW_EDGE</t>
        </is>
      </c>
      <c r="AP283" s="24" t="inlineStr">
        <is>
          <t>North Texas Mean Green</t>
        </is>
      </c>
      <c r="AQ283" s="24" t="inlineStr">
        <is>
          <t>North Texas Mean Green</t>
        </is>
      </c>
      <c r="AR283" s="24" t="inlineStr">
        <is>
          <t>North Texas Mean Green</t>
        </is>
      </c>
      <c r="AS283" s="24" t="inlineStr">
        <is>
          <t>Texas State Bobcats</t>
        </is>
      </c>
      <c r="AT283" s="24" t="inlineStr">
        <is>
          <t>Texas State Bobcats</t>
        </is>
      </c>
      <c r="AU283" s="24" t="inlineStr">
        <is>
          <t>Texas State Bobcats</t>
        </is>
      </c>
      <c r="AV283" s="24" t="n"/>
      <c r="AW283" s="24" t="n"/>
      <c r="AX283" s="24" t="inlineStr">
        <is>
          <t>statistical_model</t>
        </is>
      </c>
      <c r="AY283" s="24" t="n"/>
      <c r="AZ283" s="24" t="inlineStr">
        <is>
          <t>shadow_qualified</t>
        </is>
      </c>
      <c r="BA283" s="24" t="inlineStr">
        <is>
          <t>1d168f11d221cd3c</t>
        </is>
      </c>
      <c r="BB283" s="24" t="inlineStr">
        <is>
          <t>cfb_key_number_engine</t>
        </is>
      </c>
      <c r="BC283" s="24" t="inlineStr">
        <is>
          <t>cfb-spread-v1</t>
        </is>
      </c>
      <c r="BD283" s="24" t="inlineStr">
        <is>
          <t>1d168f11d221cd3c</t>
        </is>
      </c>
      <c r="BE283" s="24" t="inlineStr">
        <is>
          <t>cfb-v1</t>
        </is>
      </c>
      <c r="BF283" s="24" t="inlineStr">
        <is>
          <t>1</t>
        </is>
      </c>
      <c r="BG283" s="24" t="inlineStr">
        <is>
          <t>1d168f11d221cd3c</t>
        </is>
      </c>
      <c r="BH283" s="24" t="inlineStr">
        <is>
          <t>2026-09-19T11:12:59.236900+00:00</t>
        </is>
      </c>
      <c r="BI283" s="24" t="inlineStr">
        <is>
          <t>["same_event","same_team_same_day","same_league_same_day"]</t>
        </is>
      </c>
      <c r="BJ283" s="25" t="n">
        <v>3</v>
      </c>
      <c r="BK283" s="26" t="n">
        <v>-115</v>
      </c>
      <c r="BL283" s="27" t="n">
        <v>1.869565</v>
      </c>
      <c r="BM283" s="28" t="n">
        <v>0.534884</v>
      </c>
      <c r="BN283" s="28" t="n"/>
      <c r="BO283" s="28" t="n"/>
      <c r="BP283" s="25" t="n"/>
      <c r="BQ283" s="27" t="n"/>
      <c r="BR283" s="28" t="n"/>
      <c r="BS283" s="28" t="n"/>
      <c r="BT283" s="28" t="n"/>
      <c r="BU283" s="25" t="n"/>
      <c r="BV283" s="29" t="n"/>
      <c r="BW283" s="24" t="n"/>
      <c r="BX283" s="30" t="n">
        <v>1</v>
      </c>
      <c r="BY283" s="27" t="n">
        <v>-1</v>
      </c>
      <c r="BZ283" s="24" t="inlineStr">
        <is>
          <t>2026-09-19T22:00:28.099855Z</t>
        </is>
      </c>
      <c r="CA283" s="31" t="inlineStr">
        <is>
          <t>fixed one-unit hypothetical scoring; no real exposure or execution</t>
        </is>
      </c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  <c r="CR283" s="24" t="n"/>
      <c r="CS283" s="24" t="inlineStr">
        <is>
          <t>True</t>
        </is>
      </c>
      <c r="CT283" s="24" t="n"/>
      <c r="CU283" s="24" t="n"/>
      <c r="CV283" s="24" t="n"/>
      <c r="CW283" s="24" t="n"/>
      <c r="CX283" s="24" t="n"/>
      <c r="CY283" s="24" t="n"/>
      <c r="CZ283" s="24" t="n"/>
      <c r="DA283" s="24" t="n"/>
      <c r="DB283" s="24" t="n"/>
      <c r="DC283" s="24" t="n"/>
      <c r="DD283" s="24" t="n"/>
      <c r="DE283" s="24" t="n"/>
      <c r="DF283" s="24" t="n"/>
      <c r="DG283" s="24" t="n"/>
      <c r="DH283" s="24" t="n"/>
      <c r="DI283" s="24" t="n"/>
      <c r="DJ283" s="24" t="inlineStr">
        <is>
          <t>0.534884</t>
        </is>
      </c>
      <c r="DK283" s="24" t="n"/>
      <c r="DL283" s="24" t="n"/>
      <c r="DM283" s="24" t="n"/>
      <c r="DN283" s="24" t="n"/>
      <c r="DO283" s="24" t="n"/>
      <c r="DP283" s="24" t="n"/>
      <c r="DQ283" s="24" t="inlineStr">
        <is>
          <t>{"artifact_hash": "1d168f11d221cd3c", "event_id": "401860889", "event_start_utc": "2026-09-19T16:00Z", "features": {"altitude_fatigue_penalty": 0.0, "away_team": "North Texas Mean Green", "efficiency_gap": -0.66, "elo_away": 1588.6, "elo_home": 1540.5, "elo_home_win_prob": 0.5243, "event_id": "401860889", "game_start_utc": "2026-09-19T16:00Z", "home_field_advantage_points": 2.8, "home_team": "Texas State Bobcats", "is_dome": false, "is_fbs_vs_fcs": false, "is_neutral_site": false, "projected_away_points": 25.9, "projected_home_points": 26.5, "projected_margin_home": 0.6, "projected_possessions": 12.4, "projected_total": 52.4, "stadium_elevation_ft": 600, "travel_distance_miles": 233.0, "uncertainty": 0.165, "weather_total_adjustment": 0.0}, "historical_source_observation_times_verified": false, "inference_inputs": {"engine_source_sha256": "449ba2f0e86fa9c445730076a0e0bf100fb4914620be53c75c6f3bfe24298f3f", "mu_away": 25.9, "mu_home": 26.5,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328216827640659412809845243789395791019}, "uinteger": 0}, "spread_home_line": -3.0, "total_line": 62.5}, "market_type": "spread", "model_version": "cfb-spread-v1", "observed_at_utc": "2026-09-19T11:12:59.236900+00:00", "probabilities": {"away": 0.543267, "home": 0.435733, "push": 0.021}, "replay_scope": "Full precision score means, exact engine parameters and original RNG state; upstream feature construction not certified.", "schema": "cfb-joint-replay-v1", "snapshot_hash": "075b0e7d7b6348520a3de9382630e3ce3bc9f9e3e6e56a6bfaf44a2b4dd4d0b8", "sport": "NCAAF"}</t>
        </is>
      </c>
    </row>
    <row r="284" ht="36" customHeight="1">
      <c r="A284" s="24" t="inlineStr">
        <is>
          <t>7a4a4d7d8715488a</t>
        </is>
      </c>
      <c r="B284" s="24" t="inlineStr">
        <is>
          <t>2026-09-19T11:12:59.236900Z</t>
        </is>
      </c>
      <c r="C284" s="24" t="inlineStr">
        <is>
          <t>2026-09-19T16:00Z</t>
        </is>
      </c>
      <c r="D284" s="24" t="inlineStr">
        <is>
          <t>401860889</t>
        </is>
      </c>
      <c r="E284" s="24" t="inlineStr">
        <is>
          <t>NCAAF</t>
        </is>
      </c>
      <c r="F284" s="24" t="inlineStr">
        <is>
          <t>North Texas Mean Green</t>
        </is>
      </c>
      <c r="G284" s="24" t="inlineStr">
        <is>
          <t>Texas State Bobcats</t>
        </is>
      </c>
      <c r="H284" s="24" t="inlineStr">
        <is>
          <t>total</t>
        </is>
      </c>
      <c r="I284" s="24" t="inlineStr">
        <is>
          <t>under</t>
        </is>
      </c>
      <c r="J284" s="25" t="n">
        <v>62.5</v>
      </c>
      <c r="K284" s="24" t="inlineStr">
        <is>
          <t>espn_consensus</t>
        </is>
      </c>
      <c r="L284" s="26" t="n">
        <v>-112</v>
      </c>
      <c r="M284" s="27" t="n">
        <v>1.892857</v>
      </c>
      <c r="N284" s="28" t="n">
        <v>0.528302</v>
      </c>
      <c r="O284" s="28" t="n">
        <v>0.679133</v>
      </c>
      <c r="P284" s="28" t="n">
        <v>0.165</v>
      </c>
      <c r="Q284" s="28" t="n">
        <v>0.150831</v>
      </c>
      <c r="R284" s="26" t="n">
        <v>26</v>
      </c>
      <c r="S284" s="29" t="n">
        <v>1</v>
      </c>
      <c r="T284" s="24" t="inlineStr">
        <is>
          <t>cfb-total-v1</t>
        </is>
      </c>
      <c r="U284" s="24" t="inlineStr">
        <is>
          <t>settled</t>
        </is>
      </c>
      <c r="V284" s="24" t="inlineStr">
        <is>
          <t>loss</t>
        </is>
      </c>
      <c r="W284" s="26" t="n">
        <v>35</v>
      </c>
      <c r="X284" s="26" t="n">
        <v>49</v>
      </c>
      <c r="Y284" s="25" t="n"/>
      <c r="Z284" s="26" t="n"/>
      <c r="AA284" s="28" t="n"/>
      <c r="AB284" s="28" t="n"/>
      <c r="AC284" s="30" t="n">
        <v>-1</v>
      </c>
      <c r="AD284" s="24" t="inlineStr">
        <is>
          <t>2026-09-19T22:00:28.550651Z</t>
        </is>
      </c>
      <c r="AE284" s="31" t="inlineStr">
        <is>
          <t>Projected total 52.4 pts (Weather adj: +0.0 pts). Total line 62.5 -&gt; P(Over)=0.321, P(Under)=0.679, P(Push)=0.000.</t>
        </is>
      </c>
      <c r="AF284" s="31" t="inlineStr">
        <is>
          <t>College football model; multi-market (moneyline, spread, total).</t>
        </is>
      </c>
      <c r="AG284" s="24" t="inlineStr">
        <is>
          <t>review_required</t>
        </is>
      </c>
      <c r="AH284" s="24" t="n"/>
      <c r="AI284" s="31" t="n"/>
      <c r="AJ284" s="31" t="n"/>
      <c r="AK284" s="24" t="inlineStr">
        <is>
          <t>model_qualified</t>
        </is>
      </c>
      <c r="AL284" s="26" t="n">
        <v>4</v>
      </c>
      <c r="AM284" s="24" t="inlineStr">
        <is>
          <t>QUALIFIED_SHADOW_CALL</t>
        </is>
      </c>
      <c r="AN284" s="24" t="inlineStr">
        <is>
          <t>CALL</t>
        </is>
      </c>
      <c r="AO284" s="24" t="inlineStr">
        <is>
          <t>QUALIFIED</t>
        </is>
      </c>
      <c r="AP284" s="24" t="inlineStr">
        <is>
          <t>North Texas Mean Green</t>
        </is>
      </c>
      <c r="AQ284" s="24" t="inlineStr">
        <is>
          <t>North Texas Mean Green</t>
        </is>
      </c>
      <c r="AR284" s="24" t="inlineStr">
        <is>
          <t>North Texas Mean Green</t>
        </is>
      </c>
      <c r="AS284" s="24" t="inlineStr">
        <is>
          <t>Texas State Bobcats</t>
        </is>
      </c>
      <c r="AT284" s="24" t="inlineStr">
        <is>
          <t>Texas State Bobcats</t>
        </is>
      </c>
      <c r="AU284" s="24" t="inlineStr">
        <is>
          <t>Texas State Bobcats</t>
        </is>
      </c>
      <c r="AV284" s="24" t="n"/>
      <c r="AW284" s="24" t="n"/>
      <c r="AX284" s="24" t="inlineStr">
        <is>
          <t>statistical_model</t>
        </is>
      </c>
      <c r="AY284" s="24" t="n"/>
      <c r="AZ284" s="24" t="inlineStr">
        <is>
          <t>shadow_qualified</t>
        </is>
      </c>
      <c r="BA284" s="24" t="inlineStr">
        <is>
          <t>1d168f11d221cd3c</t>
        </is>
      </c>
      <c r="BB284" s="24" t="inlineStr">
        <is>
          <t>cfb_key_number_engine</t>
        </is>
      </c>
      <c r="BC284" s="24" t="inlineStr">
        <is>
          <t>cfb-total-v1</t>
        </is>
      </c>
      <c r="BD284" s="24" t="inlineStr">
        <is>
          <t>1d168f11d221cd3c</t>
        </is>
      </c>
      <c r="BE284" s="24" t="inlineStr">
        <is>
          <t>cfb-v1</t>
        </is>
      </c>
      <c r="BF284" s="24" t="inlineStr">
        <is>
          <t>1</t>
        </is>
      </c>
      <c r="BG284" s="24" t="inlineStr">
        <is>
          <t>1d168f11d221cd3c</t>
        </is>
      </c>
      <c r="BH284" s="24" t="inlineStr">
        <is>
          <t>2026-09-19T11:12:59.236900+00:00</t>
        </is>
      </c>
      <c r="BI284" s="24" t="inlineStr">
        <is>
          <t>["same_event","same_team_same_day","same_league_same_day"]</t>
        </is>
      </c>
      <c r="BJ284" s="25" t="n">
        <v>62.5</v>
      </c>
      <c r="BK284" s="26" t="n">
        <v>-112</v>
      </c>
      <c r="BL284" s="27" t="n">
        <v>1.892857</v>
      </c>
      <c r="BM284" s="28" t="n">
        <v>0.528302</v>
      </c>
      <c r="BN284" s="28" t="n"/>
      <c r="BO284" s="28" t="n"/>
      <c r="BP284" s="25" t="n"/>
      <c r="BQ284" s="27" t="n"/>
      <c r="BR284" s="28" t="n"/>
      <c r="BS284" s="28" t="n"/>
      <c r="BT284" s="28" t="n"/>
      <c r="BU284" s="25" t="n"/>
      <c r="BV284" s="29" t="n"/>
      <c r="BW284" s="24" t="n"/>
      <c r="BX284" s="30" t="n"/>
      <c r="BY284" s="27" t="n"/>
      <c r="BZ284" s="24" t="n"/>
      <c r="CA284" s="31" t="n"/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  <c r="CR284" s="24" t="n"/>
      <c r="CS284" s="24" t="inlineStr">
        <is>
          <t>True</t>
        </is>
      </c>
      <c r="CT284" s="24" t="n"/>
      <c r="CU284" s="24" t="n"/>
      <c r="CV284" s="24" t="n"/>
      <c r="CW284" s="24" t="n"/>
      <c r="CX284" s="24" t="n"/>
      <c r="CY284" s="24" t="n"/>
      <c r="CZ284" s="24" t="n"/>
      <c r="DA284" s="24" t="n"/>
      <c r="DB284" s="24" t="n"/>
      <c r="DC284" s="24" t="n"/>
      <c r="DD284" s="24" t="n"/>
      <c r="DE284" s="24" t="n"/>
      <c r="DF284" s="24" t="n"/>
      <c r="DG284" s="24" t="n"/>
      <c r="DH284" s="24" t="n"/>
      <c r="DI284" s="24" t="n"/>
      <c r="DJ284" s="24" t="inlineStr">
        <is>
          <t>0.528302</t>
        </is>
      </c>
      <c r="DK284" s="24" t="n"/>
      <c r="DL284" s="24" t="n"/>
      <c r="DM284" s="24" t="n"/>
      <c r="DN284" s="24" t="n"/>
      <c r="DO284" s="24" t="n"/>
      <c r="DP284" s="24" t="n"/>
      <c r="DQ284" s="24" t="inlineStr">
        <is>
          <t>{"artifact_hash": "1d168f11d221cd3c", "event_id": "401860889", "event_start_utc": "2026-09-19T16:00Z", "features": {"altitude_fatigue_penalty": 0.0, "away_team": "North Texas Mean Green", "efficiency_gap": -0.66, "elo_away": 1588.6, "elo_home": 1540.5, "elo_home_win_prob": 0.5243, "event_id": "401860889", "game_start_utc": "2026-09-19T16:00Z", "home_field_advantage_points": 2.8, "home_team": "Texas State Bobcats", "is_dome": false, "is_fbs_vs_fcs": false, "is_neutral_site": false, "projected_away_points": 25.9, "projected_home_points": 26.5, "projected_margin_home": 0.6, "projected_possessions": 12.4, "projected_total": 52.4, "stadium_elevation_ft": 600, "travel_distance_miles": 233.0, "uncertainty": 0.165, "weather_total_adjustment": 0.0}, "historical_source_observation_times_verified": false, "inference_inputs": {"engine_source_sha256": "449ba2f0e86fa9c445730076a0e0bf100fb4914620be53c75c6f3bfe24298f3f", "mu_away": 25.9, "mu_home": 26.5,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328216827640659412809845243789395791019}, "uinteger": 0}, "spread_home_line": -3.0, "total_line": 62.5}, "market_type": "total", "model_version": "cfb-total-v1", "observed_at_utc": "2026-09-19T11:12:59.236900+00:00", "probabilities": {"over": 0.320867, "push": 0.0, "under": 0.679133}, "replay_scope": "Full precision score means, exact engine parameters and original RNG state; upstream feature construction not certified.", "schema": "cfb-joint-replay-v1", "snapshot_hash": "43d9b472e56b37faf137eec129cfe52fbc0087a8cdd99813e066726611c12c34", "sport": "NCAAF"}</t>
        </is>
      </c>
    </row>
    <row r="285" ht="36" customHeight="1">
      <c r="A285" s="24" t="inlineStr">
        <is>
          <t>ea1d69b015a54dc9</t>
        </is>
      </c>
      <c r="B285" s="24" t="inlineStr">
        <is>
          <t>2026-09-19T11:12:59.236900Z</t>
        </is>
      </c>
      <c r="C285" s="24" t="inlineStr">
        <is>
          <t>2026-09-19T16:30Z</t>
        </is>
      </c>
      <c r="D285" s="24" t="inlineStr">
        <is>
          <t>401858460</t>
        </is>
      </c>
      <c r="E285" s="24" t="inlineStr">
        <is>
          <t>NCAAF</t>
        </is>
      </c>
      <c r="F285" s="24" t="inlineStr">
        <is>
          <t>Eastern Michigan Eagles</t>
        </is>
      </c>
      <c r="G285" s="24" t="inlineStr">
        <is>
          <t>Wisconsin Badgers</t>
        </is>
      </c>
      <c r="H285" s="24" t="inlineStr">
        <is>
          <t>moneyline</t>
        </is>
      </c>
      <c r="I285" s="24" t="inlineStr">
        <is>
          <t>home</t>
        </is>
      </c>
      <c r="J285" s="25" t="n"/>
      <c r="K285" s="24" t="inlineStr">
        <is>
          <t>espn_consensus</t>
        </is>
      </c>
      <c r="L285" s="26" t="n">
        <v>-2400</v>
      </c>
      <c r="M285" s="27" t="n">
        <v>1.041667</v>
      </c>
      <c r="N285" s="28" t="n">
        <v>0.96</v>
      </c>
      <c r="O285" s="28" t="n">
        <v>0.509781</v>
      </c>
      <c r="P285" s="28" t="n">
        <v>0.165</v>
      </c>
      <c r="Q285" s="28" t="n">
        <v>-0.450219</v>
      </c>
      <c r="R285" s="26" t="n">
        <v>0</v>
      </c>
      <c r="S285" s="29" t="n">
        <v>1</v>
      </c>
      <c r="T285" s="24" t="inlineStr">
        <is>
          <t>college-football-v1</t>
        </is>
      </c>
      <c r="U285" s="24" t="inlineStr">
        <is>
          <t>settled</t>
        </is>
      </c>
      <c r="V285" s="24" t="inlineStr">
        <is>
          <t>win</t>
        </is>
      </c>
      <c r="W285" s="26" t="n">
        <v>10</v>
      </c>
      <c r="X285" s="26" t="n">
        <v>54</v>
      </c>
      <c r="Y285" s="25" t="n"/>
      <c r="Z285" s="26" t="n"/>
      <c r="AA285" s="28" t="n"/>
      <c r="AB285" s="28" t="n"/>
      <c r="AC285" s="30" t="n">
        <v>0.0417</v>
      </c>
      <c r="AD285" s="24" t="inlineStr">
        <is>
          <t>2026-09-19T22:00:29.071030Z</t>
        </is>
      </c>
      <c r="AE285" s="31" t="inlineStr">
        <is>
          <t>CFB Joint Model (negative_binomial): proj score Eastern Michigan Eagles 26.4 @ Wisconsin Badgers 26.8 (Margin +0.5). Possessions: 12.4, HFA: +2.8 pts.</t>
        </is>
      </c>
      <c r="AF285" s="31" t="inlineStr">
        <is>
          <t>College football model; multi-market (moneyline, spread, total).</t>
        </is>
      </c>
      <c r="AG285" s="24" t="inlineStr">
        <is>
          <t>not_applicable</t>
        </is>
      </c>
      <c r="AH285" s="24" t="n"/>
      <c r="AI285" s="31" t="n"/>
      <c r="AJ285" s="31" t="n"/>
      <c r="AK285" s="24" t="inlineStr">
        <is>
          <t>paper_call</t>
        </is>
      </c>
      <c r="AL285" s="26" t="n">
        <v>4</v>
      </c>
      <c r="AM285" s="24" t="inlineStr">
        <is>
          <t>RESEARCH_OBSERVATION</t>
        </is>
      </c>
      <c r="AN285" s="24" t="inlineStr">
        <is>
          <t>CALL</t>
        </is>
      </c>
      <c r="AO285" s="24" t="inlineStr">
        <is>
          <t>PAPER_CALL_LOW_EDGE</t>
        </is>
      </c>
      <c r="AP285" s="24" t="inlineStr">
        <is>
          <t>Eastern Michigan Eagles</t>
        </is>
      </c>
      <c r="AQ285" s="24" t="inlineStr">
        <is>
          <t>Eastern Michigan Eagles</t>
        </is>
      </c>
      <c r="AR285" s="24" t="inlineStr">
        <is>
          <t>Eastern Michigan Eagles</t>
        </is>
      </c>
      <c r="AS285" s="24" t="inlineStr">
        <is>
          <t>Wisconsin Badgers</t>
        </is>
      </c>
      <c r="AT285" s="24" t="inlineStr">
        <is>
          <t>Wisconsin Badgers</t>
        </is>
      </c>
      <c r="AU285" s="24" t="inlineStr">
        <is>
          <t>Wisconsin Badgers</t>
        </is>
      </c>
      <c r="AV285" s="24" t="n"/>
      <c r="AW285" s="24" t="n"/>
      <c r="AX285" s="24" t="inlineStr">
        <is>
          <t>statistical_model</t>
        </is>
      </c>
      <c r="AY285" s="24" t="n"/>
      <c r="AZ285" s="24" t="inlineStr">
        <is>
          <t>shadow_qualified</t>
        </is>
      </c>
      <c r="BA285" s="24" t="inlineStr">
        <is>
          <t>1d168f11d221cd3c</t>
        </is>
      </c>
      <c r="BB285" s="24" t="inlineStr">
        <is>
          <t>cfb_key_number_engine</t>
        </is>
      </c>
      <c r="BC285" s="24" t="inlineStr">
        <is>
          <t>college-football-v1</t>
        </is>
      </c>
      <c r="BD285" s="24" t="inlineStr">
        <is>
          <t>1d168f11d221cd3c</t>
        </is>
      </c>
      <c r="BE285" s="24" t="inlineStr">
        <is>
          <t>cfb-v1</t>
        </is>
      </c>
      <c r="BF285" s="24" t="inlineStr">
        <is>
          <t>1</t>
        </is>
      </c>
      <c r="BG285" s="24" t="inlineStr">
        <is>
          <t>1d168f11d221cd3c</t>
        </is>
      </c>
      <c r="BH285" s="24" t="inlineStr">
        <is>
          <t>2026-09-19T11:12:59.236900+00:00</t>
        </is>
      </c>
      <c r="BI285" s="24" t="inlineStr">
        <is>
          <t>["same_event","same_team_same_day","same_league_same_day"]</t>
        </is>
      </c>
      <c r="BJ285" s="25" t="n"/>
      <c r="BK285" s="26" t="n">
        <v>-2400</v>
      </c>
      <c r="BL285" s="27" t="n">
        <v>1.041667</v>
      </c>
      <c r="BM285" s="28" t="n">
        <v>0.96</v>
      </c>
      <c r="BN285" s="28" t="n"/>
      <c r="BO285" s="28" t="n"/>
      <c r="BP285" s="25" t="n"/>
      <c r="BQ285" s="27" t="n"/>
      <c r="BR285" s="28" t="n"/>
      <c r="BS285" s="28" t="n"/>
      <c r="BT285" s="28" t="n"/>
      <c r="BU285" s="25" t="n"/>
      <c r="BV285" s="29" t="n"/>
      <c r="BW285" s="24" t="n"/>
      <c r="BX285" s="30" t="n">
        <v>1</v>
      </c>
      <c r="BY285" s="27" t="n">
        <v>0.041667</v>
      </c>
      <c r="BZ285" s="24" t="inlineStr">
        <is>
          <t>2026-09-19T22:00:29.071030Z</t>
        </is>
      </c>
      <c r="CA285" s="31" t="inlineStr">
        <is>
          <t>fixed one-unit hypothetical scoring; no real exposure or execution</t>
        </is>
      </c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  <c r="CR285" s="24" t="n"/>
      <c r="CS285" s="24" t="inlineStr">
        <is>
          <t>False</t>
        </is>
      </c>
      <c r="CT285" s="24" t="n"/>
      <c r="CU285" s="24" t="n"/>
      <c r="CV285" s="24" t="n"/>
      <c r="CW285" s="24" t="n"/>
      <c r="CX285" s="24" t="n"/>
      <c r="CY285" s="24" t="n"/>
      <c r="CZ285" s="24" t="n"/>
      <c r="DA285" s="24" t="n"/>
      <c r="DB285" s="24" t="n"/>
      <c r="DC285" s="24" t="n"/>
      <c r="DD285" s="24" t="n"/>
      <c r="DE285" s="24" t="n"/>
      <c r="DF285" s="24" t="n"/>
      <c r="DG285" s="24" t="n"/>
      <c r="DH285" s="24" t="n"/>
      <c r="DI285" s="24" t="n"/>
      <c r="DJ285" s="24" t="inlineStr">
        <is>
          <t>0.96</t>
        </is>
      </c>
      <c r="DK285" s="24" t="n"/>
      <c r="DL285" s="24" t="n"/>
      <c r="DM285" s="24" t="n"/>
      <c r="DN285" s="24" t="n"/>
      <c r="DO285" s="24" t="n"/>
      <c r="DP285" s="24" t="n"/>
      <c r="DQ285" s="24" t="inlineStr">
        <is>
          <t>{"artifact_hash": "1d168f11d221cd3c", "event_id": "401858460", "event_start_utc": "2026-09-19T16:30Z", "features": {"altitude_fatigue_penalty": 0.0, "away_team": "Eastern Michigan Eagles", "efficiency_gap": 0.835, "elo_away": 1339.9, "elo_home": 1278.2, "elo_home_win_prob": 0.5047, "event_id": "401858460", "game_start_utc": "2026-09-19T16:30Z", "home_field_advantage_points": 2.8, "home_team": "Wisconsin Badgers", "is_dome": false, "is_fbs_vs_fcs": false, "is_neutral_site": false, "projected_away_points": 26.4, "projected_home_points": 26.8, "projected_margin_home": 0.5, "projected_possessions": 12.4, "projected_total": 53.2, "stadium_elevation_ft": 860, "travel_distance_miles": 299.0, "uncertainty": 0.165, "weather_total_adjustment": 0.0}, "historical_source_observation_times_verified": false, "inference_inputs": {"engine_source_sha256": "449ba2f0e86fa9c445730076a0e0bf100fb4914620be53c75c6f3bfe24298f3f", "mu_away": 26.4, "mu_home": 26.8,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3583545217438297058616105693396679491}, "uinteger": 0}, "spread_home_line": -23.5, "total_line": 44.5}, "market_type": "moneyline", "model_version": "college-football-v1", "observed_at_utc": "2026-09-19T11:12:59.236900+00:00", "probabilities": {"away": 0.490219, "home": 0.509781}, "replay_scope": "Full precision score means, exact engine parameters and original RNG state; upstream feature construction not certified.", "schema": "cfb-joint-replay-v1", "snapshot_hash": "13c186e05e26c9df97db03a280f444f580d7774fe86f15a12997fedc404685b2", "sport": "NCAAF"}</t>
        </is>
      </c>
    </row>
    <row r="286" ht="36" customHeight="1">
      <c r="A286" s="24" t="inlineStr">
        <is>
          <t>ffcda6937afe4d0a</t>
        </is>
      </c>
      <c r="B286" s="24" t="inlineStr">
        <is>
          <t>2026-09-19T11:12:59.236900Z</t>
        </is>
      </c>
      <c r="C286" s="24" t="inlineStr">
        <is>
          <t>2026-09-19T16:30Z</t>
        </is>
      </c>
      <c r="D286" s="24" t="inlineStr">
        <is>
          <t>401858460</t>
        </is>
      </c>
      <c r="E286" s="24" t="inlineStr">
        <is>
          <t>NCAAF</t>
        </is>
      </c>
      <c r="F286" s="24" t="inlineStr">
        <is>
          <t>Eastern Michigan Eagles</t>
        </is>
      </c>
      <c r="G286" s="24" t="inlineStr">
        <is>
          <t>Wisconsin Badgers</t>
        </is>
      </c>
      <c r="H286" s="24" t="inlineStr">
        <is>
          <t>spread</t>
        </is>
      </c>
      <c r="I286" s="24" t="inlineStr">
        <is>
          <t>away</t>
        </is>
      </c>
      <c r="J286" s="25" t="n">
        <v>23.5</v>
      </c>
      <c r="K286" s="24" t="inlineStr">
        <is>
          <t>espn_consensus</t>
        </is>
      </c>
      <c r="L286" s="26" t="n">
        <v>-108</v>
      </c>
      <c r="M286" s="27" t="n">
        <v>1.925926</v>
      </c>
      <c r="N286" s="28" t="n">
        <v>0.519231</v>
      </c>
      <c r="O286" s="28" t="n">
        <v>0.8686</v>
      </c>
      <c r="P286" s="28" t="n">
        <v>0.165</v>
      </c>
      <c r="Q286" s="28" t="n">
        <v>0.349369</v>
      </c>
      <c r="R286" s="26" t="n">
        <v>100</v>
      </c>
      <c r="S286" s="29" t="n">
        <v>2</v>
      </c>
      <c r="T286" s="24" t="inlineStr">
        <is>
          <t>cfb-spread-v1</t>
        </is>
      </c>
      <c r="U286" s="24" t="inlineStr">
        <is>
          <t>settled</t>
        </is>
      </c>
      <c r="V286" s="24" t="inlineStr">
        <is>
          <t>loss</t>
        </is>
      </c>
      <c r="W286" s="26" t="n">
        <v>10</v>
      </c>
      <c r="X286" s="26" t="n">
        <v>54</v>
      </c>
      <c r="Y286" s="25" t="n"/>
      <c r="Z286" s="26" t="n"/>
      <c r="AA286" s="28" t="n"/>
      <c r="AB286" s="28" t="n"/>
      <c r="AC286" s="30" t="n">
        <v>-2</v>
      </c>
      <c r="AD286" s="24" t="inlineStr">
        <is>
          <t>2026-09-19T22:00:29.465098Z</t>
        </is>
      </c>
      <c r="AE286" s="31" t="inlineStr">
        <is>
          <t>Projected home margin +0.5 pts. Spread: Home -23.5 / Away +23.5 -&gt; P(Away cover)=0.869, P(Home cover)=0.131, P(Push)=0.000.</t>
        </is>
      </c>
      <c r="AF286" s="31" t="inlineStr">
        <is>
          <t>College football model; multi-market (moneyline, spread, total).</t>
        </is>
      </c>
      <c r="AG286" s="24" t="inlineStr">
        <is>
          <t>review_required</t>
        </is>
      </c>
      <c r="AH286" s="24" t="n"/>
      <c r="AI286" s="31" t="n"/>
      <c r="AJ286" s="31" t="n"/>
      <c r="AK286" s="24" t="inlineStr">
        <is>
          <t>model_qualified</t>
        </is>
      </c>
      <c r="AL286" s="26" t="n">
        <v>4</v>
      </c>
      <c r="AM286" s="24" t="inlineStr">
        <is>
          <t>QUALIFIED_SHADOW_CALL</t>
        </is>
      </c>
      <c r="AN286" s="24" t="inlineStr">
        <is>
          <t>CALL</t>
        </is>
      </c>
      <c r="AO286" s="24" t="inlineStr">
        <is>
          <t>QUALIFIED</t>
        </is>
      </c>
      <c r="AP286" s="24" t="inlineStr">
        <is>
          <t>Eastern Michigan Eagles</t>
        </is>
      </c>
      <c r="AQ286" s="24" t="inlineStr">
        <is>
          <t>Eastern Michigan Eagles</t>
        </is>
      </c>
      <c r="AR286" s="24" t="inlineStr">
        <is>
          <t>Eastern Michigan Eagles</t>
        </is>
      </c>
      <c r="AS286" s="24" t="inlineStr">
        <is>
          <t>Wisconsin Badgers</t>
        </is>
      </c>
      <c r="AT286" s="24" t="inlineStr">
        <is>
          <t>Wisconsin Badgers</t>
        </is>
      </c>
      <c r="AU286" s="24" t="inlineStr">
        <is>
          <t>Wisconsin Badgers</t>
        </is>
      </c>
      <c r="AV286" s="24" t="n"/>
      <c r="AW286" s="24" t="n"/>
      <c r="AX286" s="24" t="inlineStr">
        <is>
          <t>statistical_model</t>
        </is>
      </c>
      <c r="AY286" s="24" t="n"/>
      <c r="AZ286" s="24" t="inlineStr">
        <is>
          <t>shadow_qualified</t>
        </is>
      </c>
      <c r="BA286" s="24" t="inlineStr">
        <is>
          <t>1d168f11d221cd3c</t>
        </is>
      </c>
      <c r="BB286" s="24" t="inlineStr">
        <is>
          <t>cfb_key_number_engine</t>
        </is>
      </c>
      <c r="BC286" s="24" t="inlineStr">
        <is>
          <t>cfb-spread-v1</t>
        </is>
      </c>
      <c r="BD286" s="24" t="inlineStr">
        <is>
          <t>1d168f11d221cd3c</t>
        </is>
      </c>
      <c r="BE286" s="24" t="inlineStr">
        <is>
          <t>cfb-v1</t>
        </is>
      </c>
      <c r="BF286" s="24" t="inlineStr">
        <is>
          <t>1</t>
        </is>
      </c>
      <c r="BG286" s="24" t="inlineStr">
        <is>
          <t>1d168f11d221cd3c</t>
        </is>
      </c>
      <c r="BH286" s="24" t="inlineStr">
        <is>
          <t>2026-09-19T11:12:59.236900+00:00</t>
        </is>
      </c>
      <c r="BI286" s="24" t="inlineStr">
        <is>
          <t>["same_event","same_team_same_day","same_league_same_day"]</t>
        </is>
      </c>
      <c r="BJ286" s="25" t="n">
        <v>23.5</v>
      </c>
      <c r="BK286" s="26" t="n">
        <v>-108</v>
      </c>
      <c r="BL286" s="27" t="n">
        <v>1.925926</v>
      </c>
      <c r="BM286" s="28" t="n">
        <v>0.519231</v>
      </c>
      <c r="BN286" s="28" t="n"/>
      <c r="BO286" s="28" t="n"/>
      <c r="BP286" s="25" t="n"/>
      <c r="BQ286" s="27" t="n"/>
      <c r="BR286" s="28" t="n"/>
      <c r="BS286" s="28" t="n"/>
      <c r="BT286" s="28" t="n"/>
      <c r="BU286" s="25" t="n"/>
      <c r="BV286" s="29" t="n"/>
      <c r="BW286" s="24" t="n"/>
      <c r="BX286" s="30" t="n"/>
      <c r="BY286" s="27" t="n"/>
      <c r="BZ286" s="24" t="n"/>
      <c r="CA286" s="31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inlineStr">
        <is>
          <t>True</t>
        </is>
      </c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/>
      <c r="DH286" s="24" t="n"/>
      <c r="DI286" s="24" t="n"/>
      <c r="DJ286" s="24" t="inlineStr">
        <is>
          <t>0.519231</t>
        </is>
      </c>
      <c r="DK286" s="24" t="n"/>
      <c r="DL286" s="24" t="n"/>
      <c r="DM286" s="24" t="n"/>
      <c r="DN286" s="24" t="n"/>
      <c r="DO286" s="24" t="n"/>
      <c r="DP286" s="24" t="n"/>
      <c r="DQ286" s="24" t="inlineStr">
        <is>
          <t>{"artifact_hash": "1d168f11d221cd3c", "event_id": "401858460", "event_start_utc": "2026-09-19T16:30Z", "features": {"altitude_fatigue_penalty": 0.0, "away_team": "Eastern Michigan Eagles", "efficiency_gap": 0.835, "elo_away": 1339.9, "elo_home": 1278.2, "elo_home_win_prob": 0.5047, "event_id": "401858460", "game_start_utc": "2026-09-19T16:30Z", "home_field_advantage_points": 2.8, "home_team": "Wisconsin Badgers", "is_dome": false, "is_fbs_vs_fcs": false, "is_neutral_site": false, "projected_away_points": 26.4, "projected_home_points": 26.8, "projected_margin_home": 0.5, "projected_possessions": 12.4, "projected_total": 53.2, "stadium_elevation_ft": 860, "travel_distance_miles": 299.0, "uncertainty": 0.165, "weather_total_adjustment": 0.0}, "historical_source_observation_times_verified": false, "inference_inputs": {"engine_source_sha256": "449ba2f0e86fa9c445730076a0e0bf100fb4914620be53c75c6f3bfe24298f3f", "mu_away": 26.4, "mu_home": 26.8,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3583545217438297058616105693396679491}, "uinteger": 0}, "spread_home_line": -23.5, "total_line": 44.5}, "market_type": "spread", "model_version": "cfb-spread-v1", "observed_at_utc": "2026-09-19T11:12:59.236900+00:00", "probabilities": {"away": 0.8686, "home": 0.1314, "push": 0.0}, "replay_scope": "Full precision score means, exact engine parameters and original RNG state; upstream feature construction not certified.", "schema": "cfb-joint-replay-v1", "snapshot_hash": "4eb5ee7e32f56be235856a1d02dfbc03a55c8729529c2ef070bd6d7412367804", "sport": "NCAAF"}</t>
        </is>
      </c>
    </row>
    <row r="287" ht="36" customHeight="1">
      <c r="A287" s="24" t="inlineStr">
        <is>
          <t>feeb111ae8cf4817</t>
        </is>
      </c>
      <c r="B287" s="24" t="inlineStr">
        <is>
          <t>2026-09-19T11:12:59.236900Z</t>
        </is>
      </c>
      <c r="C287" s="24" t="inlineStr">
        <is>
          <t>2026-09-19T16:30Z</t>
        </is>
      </c>
      <c r="D287" s="24" t="inlineStr">
        <is>
          <t>401858460</t>
        </is>
      </c>
      <c r="E287" s="24" t="inlineStr">
        <is>
          <t>NCAAF</t>
        </is>
      </c>
      <c r="F287" s="24" t="inlineStr">
        <is>
          <t>Eastern Michigan Eagles</t>
        </is>
      </c>
      <c r="G287" s="24" t="inlineStr">
        <is>
          <t>Wisconsin Badgers</t>
        </is>
      </c>
      <c r="H287" s="24" t="inlineStr">
        <is>
          <t>total</t>
        </is>
      </c>
      <c r="I287" s="24" t="inlineStr">
        <is>
          <t>over</t>
        </is>
      </c>
      <c r="J287" s="25" t="n">
        <v>44.5</v>
      </c>
      <c r="K287" s="24" t="inlineStr">
        <is>
          <t>espn_consensus</t>
        </is>
      </c>
      <c r="L287" s="26" t="n">
        <v>-112</v>
      </c>
      <c r="M287" s="27" t="n">
        <v>1.892857</v>
      </c>
      <c r="N287" s="28" t="n">
        <v>0.528302</v>
      </c>
      <c r="O287" s="28" t="n">
        <v>0.615667</v>
      </c>
      <c r="P287" s="28" t="n">
        <v>0.165</v>
      </c>
      <c r="Q287" s="28" t="n">
        <v>0.087365</v>
      </c>
      <c r="R287" s="26" t="n">
        <v>0</v>
      </c>
      <c r="S287" s="29" t="n">
        <v>1</v>
      </c>
      <c r="T287" s="24" t="inlineStr">
        <is>
          <t>cfb-total-v1</t>
        </is>
      </c>
      <c r="U287" s="24" t="inlineStr">
        <is>
          <t>settled</t>
        </is>
      </c>
      <c r="V287" s="24" t="inlineStr">
        <is>
          <t>win</t>
        </is>
      </c>
      <c r="W287" s="26" t="n">
        <v>10</v>
      </c>
      <c r="X287" s="26" t="n">
        <v>54</v>
      </c>
      <c r="Y287" s="25" t="n"/>
      <c r="Z287" s="26" t="n"/>
      <c r="AA287" s="28" t="n"/>
      <c r="AB287" s="28" t="n"/>
      <c r="AC287" s="30" t="n">
        <v>0.8929</v>
      </c>
      <c r="AD287" s="24" t="inlineStr">
        <is>
          <t>2026-09-19T22:00:29.928725Z</t>
        </is>
      </c>
      <c r="AE287" s="31" t="inlineStr">
        <is>
          <t>Projected total 53.2 pts (Weather adj: +0.0 pts). Total line 44.5 -&gt; P(Over)=0.616, P(Under)=0.384, P(Push)=0.000.</t>
        </is>
      </c>
      <c r="AF287" s="31" t="inlineStr">
        <is>
          <t>College football model; multi-market (moneyline, spread, total).</t>
        </is>
      </c>
      <c r="AG287" s="24" t="inlineStr">
        <is>
          <t>not_applicable</t>
        </is>
      </c>
      <c r="AH287" s="24" t="n"/>
      <c r="AI287" s="31" t="n"/>
      <c r="AJ287" s="31" t="n"/>
      <c r="AK287" s="24" t="inlineStr">
        <is>
          <t>model_qualified</t>
        </is>
      </c>
      <c r="AL287" s="26" t="n">
        <v>4</v>
      </c>
      <c r="AM287" s="24" t="inlineStr">
        <is>
          <t>QUALIFIED_SHADOW_CALL</t>
        </is>
      </c>
      <c r="AN287" s="24" t="inlineStr">
        <is>
          <t>CALL</t>
        </is>
      </c>
      <c r="AO287" s="24" t="inlineStr">
        <is>
          <t>QUALIFIED</t>
        </is>
      </c>
      <c r="AP287" s="24" t="inlineStr">
        <is>
          <t>Eastern Michigan Eagles</t>
        </is>
      </c>
      <c r="AQ287" s="24" t="inlineStr">
        <is>
          <t>Eastern Michigan Eagles</t>
        </is>
      </c>
      <c r="AR287" s="24" t="inlineStr">
        <is>
          <t>Eastern Michigan Eagles</t>
        </is>
      </c>
      <c r="AS287" s="24" t="inlineStr">
        <is>
          <t>Wisconsin Badgers</t>
        </is>
      </c>
      <c r="AT287" s="24" t="inlineStr">
        <is>
          <t>Wisconsin Badgers</t>
        </is>
      </c>
      <c r="AU287" s="24" t="inlineStr">
        <is>
          <t>Wisconsin Badgers</t>
        </is>
      </c>
      <c r="AV287" s="24" t="n"/>
      <c r="AW287" s="24" t="n"/>
      <c r="AX287" s="24" t="inlineStr">
        <is>
          <t>statistical_model</t>
        </is>
      </c>
      <c r="AY287" s="24" t="n"/>
      <c r="AZ287" s="24" t="inlineStr">
        <is>
          <t>shadow_qualified</t>
        </is>
      </c>
      <c r="BA287" s="24" t="inlineStr">
        <is>
          <t>1d168f11d221cd3c</t>
        </is>
      </c>
      <c r="BB287" s="24" t="inlineStr">
        <is>
          <t>cfb_key_number_engine</t>
        </is>
      </c>
      <c r="BC287" s="24" t="inlineStr">
        <is>
          <t>cfb-total-v1</t>
        </is>
      </c>
      <c r="BD287" s="24" t="inlineStr">
        <is>
          <t>1d168f11d221cd3c</t>
        </is>
      </c>
      <c r="BE287" s="24" t="inlineStr">
        <is>
          <t>cfb-v1</t>
        </is>
      </c>
      <c r="BF287" s="24" t="inlineStr">
        <is>
          <t>1</t>
        </is>
      </c>
      <c r="BG287" s="24" t="inlineStr">
        <is>
          <t>1d168f11d221cd3c</t>
        </is>
      </c>
      <c r="BH287" s="24" t="inlineStr">
        <is>
          <t>2026-09-19T11:12:59.236900+00:00</t>
        </is>
      </c>
      <c r="BI287" s="24" t="inlineStr">
        <is>
          <t>["same_event","same_team_same_day","same_league_same_day"]</t>
        </is>
      </c>
      <c r="BJ287" s="25" t="n">
        <v>44.5</v>
      </c>
      <c r="BK287" s="26" t="n">
        <v>-112</v>
      </c>
      <c r="BL287" s="27" t="n">
        <v>1.892857</v>
      </c>
      <c r="BM287" s="28" t="n">
        <v>0.528302</v>
      </c>
      <c r="BN287" s="28" t="n"/>
      <c r="BO287" s="28" t="n"/>
      <c r="BP287" s="25" t="n"/>
      <c r="BQ287" s="27" t="n"/>
      <c r="BR287" s="28" t="n"/>
      <c r="BS287" s="28" t="n"/>
      <c r="BT287" s="28" t="n"/>
      <c r="BU287" s="25" t="n"/>
      <c r="BV287" s="29" t="n"/>
      <c r="BW287" s="24" t="n"/>
      <c r="BX287" s="30" t="n"/>
      <c r="BY287" s="27" t="n"/>
      <c r="BZ287" s="24" t="n"/>
      <c r="CA287" s="31" t="n"/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  <c r="CL287" s="24" t="n"/>
      <c r="CM287" s="24" t="n"/>
      <c r="CN287" s="24" t="n"/>
      <c r="CO287" s="24" t="n"/>
      <c r="CP287" s="24" t="n"/>
      <c r="CQ287" s="24" t="n"/>
      <c r="CR287" s="24" t="n"/>
      <c r="CS287" s="24" t="inlineStr">
        <is>
          <t>True</t>
        </is>
      </c>
      <c r="CT287" s="24" t="n"/>
      <c r="CU287" s="24" t="n"/>
      <c r="CV287" s="24" t="n"/>
      <c r="CW287" s="24" t="n"/>
      <c r="CX287" s="24" t="n"/>
      <c r="CY287" s="24" t="n"/>
      <c r="CZ287" s="24" t="n"/>
      <c r="DA287" s="24" t="n"/>
      <c r="DB287" s="24" t="n"/>
      <c r="DC287" s="24" t="n"/>
      <c r="DD287" s="24" t="n"/>
      <c r="DE287" s="24" t="n"/>
      <c r="DF287" s="24" t="n"/>
      <c r="DG287" s="24" t="n"/>
      <c r="DH287" s="24" t="n"/>
      <c r="DI287" s="24" t="n"/>
      <c r="DJ287" s="24" t="inlineStr">
        <is>
          <t>0.528302</t>
        </is>
      </c>
      <c r="DK287" s="24" t="n"/>
      <c r="DL287" s="24" t="n"/>
      <c r="DM287" s="24" t="n"/>
      <c r="DN287" s="24" t="n"/>
      <c r="DO287" s="24" t="n"/>
      <c r="DP287" s="24" t="n"/>
      <c r="DQ287" s="24" t="inlineStr">
        <is>
          <t>{"artifact_hash": "1d168f11d221cd3c", "event_id": "401858460", "event_start_utc": "2026-09-19T16:30Z", "features": {"altitude_fatigue_penalty": 0.0, "away_team": "Eastern Michigan Eagles", "efficiency_gap": 0.835, "elo_away": 1339.9, "elo_home": 1278.2, "elo_home_win_prob": 0.5047, "event_id": "401858460", "game_start_utc": "2026-09-19T16:30Z", "home_field_advantage_points": 2.8, "home_team": "Wisconsin Badgers", "is_dome": false, "is_fbs_vs_fcs": false, "is_neutral_site": false, "projected_away_points": 26.4, "projected_home_points": 26.8, "projected_margin_home": 0.5, "projected_possessions": 12.4, "projected_total": 53.2, "stadium_elevation_ft": 860, "travel_distance_miles": 299.0, "uncertainty": 0.165, "weather_total_adjustment": 0.0}, "historical_source_observation_times_verified": false, "inference_inputs": {"engine_source_sha256": "449ba2f0e86fa9c445730076a0e0bf100fb4914620be53c75c6f3bfe24298f3f", "mu_away": 26.4, "mu_home": 26.8,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3583545217438297058616105693396679491}, "uinteger": 0}, "spread_home_line": -23.5, "total_line": 44.5}, "market_type": "total", "model_version": "cfb-total-v1", "observed_at_utc": "2026-09-19T11:12:59.236900+00:00", "probabilities": {"over": 0.615667, "push": 0.0, "under": 0.384333}, "replay_scope": "Full precision score means, exact engine parameters and original RNG state; upstream feature construction not certified.", "schema": "cfb-joint-replay-v1", "snapshot_hash": "cb3a97b4ddc0348cca5c89bd13431c73f6de480bb13a23951dec9bd48f419d3a", "sport": "NCAAF"}</t>
        </is>
      </c>
    </row>
    <row r="288" ht="36" customHeight="1">
      <c r="A288" s="24" t="inlineStr">
        <is>
          <t>c28b743041814b3f</t>
        </is>
      </c>
      <c r="B288" s="24" t="inlineStr">
        <is>
          <t>2026-09-19T11:12:59.236900Z</t>
        </is>
      </c>
      <c r="C288" s="24" t="inlineStr">
        <is>
          <t>2026-09-19T16:45Z</t>
        </is>
      </c>
      <c r="D288" s="24" t="inlineStr">
        <is>
          <t>401856695</t>
        </is>
      </c>
      <c r="E288" s="24" t="inlineStr">
        <is>
          <t>NCAAF</t>
        </is>
      </c>
      <c r="F288" s="24" t="inlineStr">
        <is>
          <t>NC State Wolfpack</t>
        </is>
      </c>
      <c r="G288" s="24" t="inlineStr">
        <is>
          <t>Vanderbilt Commodores</t>
        </is>
      </c>
      <c r="H288" s="24" t="inlineStr">
        <is>
          <t>moneyline</t>
        </is>
      </c>
      <c r="I288" s="24" t="inlineStr">
        <is>
          <t>home</t>
        </is>
      </c>
      <c r="J288" s="25" t="n"/>
      <c r="K288" s="24" t="inlineStr">
        <is>
          <t>espn_consensus</t>
        </is>
      </c>
      <c r="L288" s="26" t="n">
        <v>-162</v>
      </c>
      <c r="M288" s="27" t="n">
        <v>1.617284</v>
      </c>
      <c r="N288" s="28" t="n">
        <v>0.618321</v>
      </c>
      <c r="O288" s="28" t="n">
        <v>0.69436</v>
      </c>
      <c r="P288" s="28" t="n">
        <v>0.18</v>
      </c>
      <c r="Q288" s="28" t="n">
        <v>0.076039</v>
      </c>
      <c r="R288" s="26" t="n">
        <v>0</v>
      </c>
      <c r="S288" s="29" t="n">
        <v>1</v>
      </c>
      <c r="T288" s="24" t="inlineStr">
        <is>
          <t>college-football-v1</t>
        </is>
      </c>
      <c r="U288" s="24" t="inlineStr">
        <is>
          <t>settled</t>
        </is>
      </c>
      <c r="V288" s="24" t="inlineStr">
        <is>
          <t>win</t>
        </is>
      </c>
      <c r="W288" s="26" t="n">
        <v>31</v>
      </c>
      <c r="X288" s="26" t="n">
        <v>35</v>
      </c>
      <c r="Y288" s="25" t="n"/>
      <c r="Z288" s="26" t="n"/>
      <c r="AA288" s="28" t="n"/>
      <c r="AB288" s="28" t="n"/>
      <c r="AC288" s="30" t="n">
        <v>0.6173</v>
      </c>
      <c r="AD288" s="24" t="inlineStr">
        <is>
          <t>2026-09-19T22:00:30.393502Z</t>
        </is>
      </c>
      <c r="AE288" s="31" t="inlineStr">
        <is>
          <t>CFB Joint Model (negative_binomial): proj score NC State Wolfpack 22.3 @ Vanderbilt Commodores 31.9 (Margin +9.6). Possessions: 12.4, HFA: +2.8 pts.</t>
        </is>
      </c>
      <c r="AF288" s="31" t="inlineStr">
        <is>
          <t>College football model; multi-market (moneyline, spread, total).</t>
        </is>
      </c>
      <c r="AG288" s="24" t="inlineStr">
        <is>
          <t>not_applicable</t>
        </is>
      </c>
      <c r="AH288" s="24" t="n"/>
      <c r="AI288" s="31" t="n"/>
      <c r="AJ288" s="31" t="n"/>
      <c r="AK288" s="24" t="inlineStr">
        <is>
          <t>model_qualified</t>
        </is>
      </c>
      <c r="AL288" s="26" t="n">
        <v>4</v>
      </c>
      <c r="AM288" s="24" t="inlineStr">
        <is>
          <t>QUALIFIED_SHADOW_CALL</t>
        </is>
      </c>
      <c r="AN288" s="24" t="inlineStr">
        <is>
          <t>CALL</t>
        </is>
      </c>
      <c r="AO288" s="24" t="inlineStr">
        <is>
          <t>QUALIFIED</t>
        </is>
      </c>
      <c r="AP288" s="24" t="inlineStr">
        <is>
          <t>NC State Wolfpack</t>
        </is>
      </c>
      <c r="AQ288" s="24" t="inlineStr">
        <is>
          <t>NC State Wolfpack</t>
        </is>
      </c>
      <c r="AR288" s="24" t="inlineStr">
        <is>
          <t>NC State Wolfpack</t>
        </is>
      </c>
      <c r="AS288" s="24" t="inlineStr">
        <is>
          <t>Vanderbilt Commodores</t>
        </is>
      </c>
      <c r="AT288" s="24" t="inlineStr">
        <is>
          <t>Vanderbilt Commodores</t>
        </is>
      </c>
      <c r="AU288" s="24" t="inlineStr">
        <is>
          <t>Vanderbilt Commodores</t>
        </is>
      </c>
      <c r="AV288" s="24" t="n"/>
      <c r="AW288" s="24" t="n"/>
      <c r="AX288" s="24" t="inlineStr">
        <is>
          <t>statistical_model</t>
        </is>
      </c>
      <c r="AY288" s="24" t="n"/>
      <c r="AZ288" s="24" t="inlineStr">
        <is>
          <t>shadow_qualified</t>
        </is>
      </c>
      <c r="BA288" s="24" t="inlineStr">
        <is>
          <t>1d168f11d221cd3c</t>
        </is>
      </c>
      <c r="BB288" s="24" t="inlineStr">
        <is>
          <t>cfb_key_number_engine</t>
        </is>
      </c>
      <c r="BC288" s="24" t="inlineStr">
        <is>
          <t>college-football-v1</t>
        </is>
      </c>
      <c r="BD288" s="24" t="inlineStr">
        <is>
          <t>1d168f11d221cd3c</t>
        </is>
      </c>
      <c r="BE288" s="24" t="inlineStr">
        <is>
          <t>cfb-v1</t>
        </is>
      </c>
      <c r="BF288" s="24" t="inlineStr">
        <is>
          <t>1</t>
        </is>
      </c>
      <c r="BG288" s="24" t="inlineStr">
        <is>
          <t>1d168f11d221cd3c</t>
        </is>
      </c>
      <c r="BH288" s="24" t="inlineStr">
        <is>
          <t>2026-09-19T11:12:59.236900+00:00</t>
        </is>
      </c>
      <c r="BI288" s="24" t="inlineStr">
        <is>
          <t>["same_event","same_team_same_day","same_league_same_day"]</t>
        </is>
      </c>
      <c r="BJ288" s="25" t="n"/>
      <c r="BK288" s="26" t="n">
        <v>-162</v>
      </c>
      <c r="BL288" s="27" t="n">
        <v>1.617284</v>
      </c>
      <c r="BM288" s="28" t="n">
        <v>0.618321</v>
      </c>
      <c r="BN288" s="28" t="n"/>
      <c r="BO288" s="28" t="n"/>
      <c r="BP288" s="25" t="n"/>
      <c r="BQ288" s="27" t="n"/>
      <c r="BR288" s="28" t="n"/>
      <c r="BS288" s="28" t="n"/>
      <c r="BT288" s="28" t="n"/>
      <c r="BU288" s="25" t="n"/>
      <c r="BV288" s="29" t="n"/>
      <c r="BW288" s="24" t="n"/>
      <c r="BX288" s="30" t="n"/>
      <c r="BY288" s="27" t="n"/>
      <c r="BZ288" s="24" t="n"/>
      <c r="CA288" s="31" t="n"/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  <c r="CR288" s="24" t="n"/>
      <c r="CS288" s="24" t="inlineStr">
        <is>
          <t>True</t>
        </is>
      </c>
      <c r="CT288" s="24" t="n"/>
      <c r="CU288" s="24" t="n"/>
      <c r="CV288" s="24" t="n"/>
      <c r="CW288" s="24" t="n"/>
      <c r="CX288" s="24" t="n"/>
      <c r="CY288" s="24" t="n"/>
      <c r="CZ288" s="24" t="n"/>
      <c r="DA288" s="24" t="n"/>
      <c r="DB288" s="24" t="n"/>
      <c r="DC288" s="24" t="n"/>
      <c r="DD288" s="24" t="n"/>
      <c r="DE288" s="24" t="n"/>
      <c r="DF288" s="24" t="n"/>
      <c r="DG288" s="24" t="n"/>
      <c r="DH288" s="24" t="n"/>
      <c r="DI288" s="24" t="n"/>
      <c r="DJ288" s="24" t="inlineStr">
        <is>
          <t>0.618321</t>
        </is>
      </c>
      <c r="DK288" s="24" t="n"/>
      <c r="DL288" s="24" t="n"/>
      <c r="DM288" s="24" t="n"/>
      <c r="DN288" s="24" t="n"/>
      <c r="DO288" s="24" t="n"/>
      <c r="DP288" s="24" t="n"/>
      <c r="DQ288" s="24" t="inlineStr">
        <is>
          <t>{"artifact_hash": "1d168f11d221cd3c", "event_id": "401856695", "event_start_utc": "2026-09-19T16:45Z", "features": {"altitude_fatigue_penalty": 0.0, "away_team": "NC State Wolfpack", "efficiency_gap": 1.546, "elo_away": 1510.8, "elo_home": 1680.3, "elo_home_win_prob": 0.7942, "event_id": "401856695", "game_start_utc": "2026-09-19T16:45Z", "home_field_advantage_points": 2.8, "home_team": "Vanderbilt Commodores", "is_dome": false, "is_fbs_vs_fcs": false, "is_neutral_site": false, "projected_away_points": 22.3, "projected_home_points": 31.9, "projected_margin_home": 9.6, "projected_possessions": 12.4, "projected_total": 54.2, "stadium_elevation_ft": 540, "travel_distance_miles": 453.0, "uncertainty": 0.18, "weather_total_adjustment": 0.0}, "historical_source_observation_times_verified": false, "inference_inputs": {"engine_source_sha256": "449ba2f0e86fa9c445730076a0e0bf100fb4914620be53c75c6f3bfe24298f3f", "mu_away": 22.3,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97466338964533231541081759532573815873}, "uinteger": 0}, "spread_home_line": -3.0, "total_line": 50.5}, "market_type": "moneyline", "model_version": "college-football-v1", "observed_at_utc": "2026-09-19T11:12:59.236900+00:00", "probabilities": {"away": 0.30564, "home": 0.69436}, "replay_scope": "Full precision score means, exact engine parameters and original RNG state; upstream feature construction not certified.", "schema": "cfb-joint-replay-v1", "snapshot_hash": "b9b74e5620d30cf1138ffdfe9f0330850f1a99df84314e68bff8696dc49f4bd0", "sport": "NCAAF"}</t>
        </is>
      </c>
    </row>
    <row r="289" ht="36" customHeight="1">
      <c r="A289" s="24" t="inlineStr">
        <is>
          <t>7a8ffc9109a54491</t>
        </is>
      </c>
      <c r="B289" s="24" t="inlineStr">
        <is>
          <t>2026-09-19T11:12:59.236900Z</t>
        </is>
      </c>
      <c r="C289" s="24" t="inlineStr">
        <is>
          <t>2026-09-19T16:45Z</t>
        </is>
      </c>
      <c r="D289" s="24" t="inlineStr">
        <is>
          <t>401856695</t>
        </is>
      </c>
      <c r="E289" s="24" t="inlineStr">
        <is>
          <t>NCAAF</t>
        </is>
      </c>
      <c r="F289" s="24" t="inlineStr">
        <is>
          <t>NC State Wolfpack</t>
        </is>
      </c>
      <c r="G289" s="24" t="inlineStr">
        <is>
          <t>Vanderbilt Commodores</t>
        </is>
      </c>
      <c r="H289" s="24" t="inlineStr">
        <is>
          <t>spread</t>
        </is>
      </c>
      <c r="I289" s="24" t="inlineStr">
        <is>
          <t>home</t>
        </is>
      </c>
      <c r="J289" s="25" t="n">
        <v>-3</v>
      </c>
      <c r="K289" s="24" t="inlineStr">
        <is>
          <t>espn_consensus</t>
        </is>
      </c>
      <c r="L289" s="26" t="n">
        <v>-118</v>
      </c>
      <c r="M289" s="27" t="n">
        <v>1.847458</v>
      </c>
      <c r="N289" s="28" t="n">
        <v>0.541284</v>
      </c>
      <c r="O289" s="28" t="n">
        <v>0.6264</v>
      </c>
      <c r="P289" s="28" t="n">
        <v>0.18</v>
      </c>
      <c r="Q289" s="28" t="n">
        <v>0.085116</v>
      </c>
      <c r="R289" s="26" t="n">
        <v>0</v>
      </c>
      <c r="S289" s="29" t="n">
        <v>1</v>
      </c>
      <c r="T289" s="24" t="inlineStr">
        <is>
          <t>cfb-spread-v1</t>
        </is>
      </c>
      <c r="U289" s="24" t="inlineStr">
        <is>
          <t>settled</t>
        </is>
      </c>
      <c r="V289" s="24" t="inlineStr">
        <is>
          <t>win</t>
        </is>
      </c>
      <c r="W289" s="26" t="n">
        <v>31</v>
      </c>
      <c r="X289" s="26" t="n">
        <v>35</v>
      </c>
      <c r="Y289" s="25" t="n"/>
      <c r="Z289" s="26" t="n"/>
      <c r="AA289" s="28" t="n"/>
      <c r="AB289" s="28" t="n"/>
      <c r="AC289" s="30" t="n">
        <v>0.8475</v>
      </c>
      <c r="AD289" s="24" t="inlineStr">
        <is>
          <t>2026-09-19T22:00:30.850847Z</t>
        </is>
      </c>
      <c r="AE289" s="31" t="inlineStr">
        <is>
          <t>Projected home margin +9.6 pts. Spread: Home -3.0 / Away +3.0 -&gt; P(Away cover)=0.354, P(Home cover)=0.626, P(Push)=0.020.</t>
        </is>
      </c>
      <c r="AF289" s="31" t="inlineStr">
        <is>
          <t>College football model; multi-market (moneyline, spread, total).</t>
        </is>
      </c>
      <c r="AG289" s="24" t="inlineStr">
        <is>
          <t>not_applicable</t>
        </is>
      </c>
      <c r="AH289" s="24" t="n"/>
      <c r="AI289" s="31" t="n"/>
      <c r="AJ289" s="31" t="n"/>
      <c r="AK289" s="24" t="inlineStr">
        <is>
          <t>model_qualified</t>
        </is>
      </c>
      <c r="AL289" s="26" t="n">
        <v>4</v>
      </c>
      <c r="AM289" s="24" t="inlineStr">
        <is>
          <t>QUALIFIED_SHADOW_CALL</t>
        </is>
      </c>
      <c r="AN289" s="24" t="inlineStr">
        <is>
          <t>CALL</t>
        </is>
      </c>
      <c r="AO289" s="24" t="inlineStr">
        <is>
          <t>QUALIFIED</t>
        </is>
      </c>
      <c r="AP289" s="24" t="inlineStr">
        <is>
          <t>NC State Wolfpack</t>
        </is>
      </c>
      <c r="AQ289" s="24" t="inlineStr">
        <is>
          <t>NC State Wolfpack</t>
        </is>
      </c>
      <c r="AR289" s="24" t="inlineStr">
        <is>
          <t>NC State Wolfpack</t>
        </is>
      </c>
      <c r="AS289" s="24" t="inlineStr">
        <is>
          <t>Vanderbilt Commodores</t>
        </is>
      </c>
      <c r="AT289" s="24" t="inlineStr">
        <is>
          <t>Vanderbilt Commodores</t>
        </is>
      </c>
      <c r="AU289" s="24" t="inlineStr">
        <is>
          <t>Vanderbilt Commodores</t>
        </is>
      </c>
      <c r="AV289" s="24" t="n"/>
      <c r="AW289" s="24" t="n"/>
      <c r="AX289" s="24" t="inlineStr">
        <is>
          <t>statistical_model</t>
        </is>
      </c>
      <c r="AY289" s="24" t="n"/>
      <c r="AZ289" s="24" t="inlineStr">
        <is>
          <t>shadow_qualified</t>
        </is>
      </c>
      <c r="BA289" s="24" t="inlineStr">
        <is>
          <t>1d168f11d221cd3c</t>
        </is>
      </c>
      <c r="BB289" s="24" t="inlineStr">
        <is>
          <t>cfb_key_number_engine</t>
        </is>
      </c>
      <c r="BC289" s="24" t="inlineStr">
        <is>
          <t>cfb-spread-v1</t>
        </is>
      </c>
      <c r="BD289" s="24" t="inlineStr">
        <is>
          <t>1d168f11d221cd3c</t>
        </is>
      </c>
      <c r="BE289" s="24" t="inlineStr">
        <is>
          <t>cfb-v1</t>
        </is>
      </c>
      <c r="BF289" s="24" t="inlineStr">
        <is>
          <t>1</t>
        </is>
      </c>
      <c r="BG289" s="24" t="inlineStr">
        <is>
          <t>1d168f11d221cd3c</t>
        </is>
      </c>
      <c r="BH289" s="24" t="inlineStr">
        <is>
          <t>2026-09-19T11:12:59.236900+00:00</t>
        </is>
      </c>
      <c r="BI289" s="24" t="inlineStr">
        <is>
          <t>["same_event","same_team_same_day","same_league_same_day"]</t>
        </is>
      </c>
      <c r="BJ289" s="25" t="n">
        <v>-3</v>
      </c>
      <c r="BK289" s="26" t="n">
        <v>-118</v>
      </c>
      <c r="BL289" s="27" t="n">
        <v>1.847458</v>
      </c>
      <c r="BM289" s="28" t="n">
        <v>0.541284</v>
      </c>
      <c r="BN289" s="28" t="n"/>
      <c r="BO289" s="28" t="n"/>
      <c r="BP289" s="25" t="n"/>
      <c r="BQ289" s="27" t="n"/>
      <c r="BR289" s="28" t="n"/>
      <c r="BS289" s="28" t="n"/>
      <c r="BT289" s="28" t="n"/>
      <c r="BU289" s="25" t="n"/>
      <c r="BV289" s="29" t="n"/>
      <c r="BW289" s="24" t="n"/>
      <c r="BX289" s="30" t="n"/>
      <c r="BY289" s="27" t="n"/>
      <c r="BZ289" s="24" t="n"/>
      <c r="CA289" s="31" t="n"/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  <c r="CR289" s="24" t="n"/>
      <c r="CS289" s="24" t="inlineStr">
        <is>
          <t>True</t>
        </is>
      </c>
      <c r="CT289" s="24" t="n"/>
      <c r="CU289" s="24" t="n"/>
      <c r="CV289" s="24" t="n"/>
      <c r="CW289" s="24" t="n"/>
      <c r="CX289" s="24" t="n"/>
      <c r="CY289" s="24" t="n"/>
      <c r="CZ289" s="24" t="n"/>
      <c r="DA289" s="24" t="n"/>
      <c r="DB289" s="24" t="n"/>
      <c r="DC289" s="24" t="n"/>
      <c r="DD289" s="24" t="n"/>
      <c r="DE289" s="24" t="n"/>
      <c r="DF289" s="24" t="n"/>
      <c r="DG289" s="24" t="n"/>
      <c r="DH289" s="24" t="n"/>
      <c r="DI289" s="24" t="n"/>
      <c r="DJ289" s="24" t="inlineStr">
        <is>
          <t>0.541284</t>
        </is>
      </c>
      <c r="DK289" s="24" t="n"/>
      <c r="DL289" s="24" t="n"/>
      <c r="DM289" s="24" t="n"/>
      <c r="DN289" s="24" t="n"/>
      <c r="DO289" s="24" t="n"/>
      <c r="DP289" s="24" t="n"/>
      <c r="DQ289" s="24" t="inlineStr">
        <is>
          <t>{"artifact_hash": "1d168f11d221cd3c", "event_id": "401856695", "event_start_utc": "2026-09-19T16:45Z", "features": {"altitude_fatigue_penalty": 0.0, "away_team": "NC State Wolfpack", "efficiency_gap": 1.546, "elo_away": 1510.8, "elo_home": 1680.3, "elo_home_win_prob": 0.7942, "event_id": "401856695", "game_start_utc": "2026-09-19T16:45Z", "home_field_advantage_points": 2.8, "home_team": "Vanderbilt Commodores", "is_dome": false, "is_fbs_vs_fcs": false, "is_neutral_site": false, "projected_away_points": 22.3, "projected_home_points": 31.9, "projected_margin_home": 9.6, "projected_possessions": 12.4, "projected_total": 54.2, "stadium_elevation_ft": 540, "travel_distance_miles": 453.0, "uncertainty": 0.18, "weather_total_adjustment": 0.0}, "historical_source_observation_times_verified": false, "inference_inputs": {"engine_source_sha256": "449ba2f0e86fa9c445730076a0e0bf100fb4914620be53c75c6f3bfe24298f3f", "mu_away": 22.3,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97466338964533231541081759532573815873}, "uinteger": 0}, "spread_home_line": -3.0, "total_line": 50.5}, "market_type": "spread", "model_version": "cfb-spread-v1", "observed_at_utc": "2026-09-19T11:12:59.236900+00:00", "probabilities": {"away": 0.353867, "home": 0.6264, "push": 0.019733}, "replay_scope": "Full precision score means, exact engine parameters and original RNG state; upstream feature construction not certified.", "schema": "cfb-joint-replay-v1", "snapshot_hash": "9b7e7b8b4ad47f07d86b770d095ab5541d2f3eda65024576f74750a8d0785719", "sport": "NCAAF"}</t>
        </is>
      </c>
    </row>
    <row r="290" ht="36" customHeight="1">
      <c r="A290" s="24" t="inlineStr">
        <is>
          <t>224414d5c1474bcb</t>
        </is>
      </c>
      <c r="B290" s="24" t="inlineStr">
        <is>
          <t>2026-09-19T11:12:59.236900Z</t>
        </is>
      </c>
      <c r="C290" s="24" t="inlineStr">
        <is>
          <t>2026-09-19T16:45Z</t>
        </is>
      </c>
      <c r="D290" s="24" t="inlineStr">
        <is>
          <t>401856695</t>
        </is>
      </c>
      <c r="E290" s="24" t="inlineStr">
        <is>
          <t>NCAAF</t>
        </is>
      </c>
      <c r="F290" s="24" t="inlineStr">
        <is>
          <t>NC State Wolfpack</t>
        </is>
      </c>
      <c r="G290" s="24" t="inlineStr">
        <is>
          <t>Vanderbilt Commodores</t>
        </is>
      </c>
      <c r="H290" s="24" t="inlineStr">
        <is>
          <t>total</t>
        </is>
      </c>
      <c r="I290" s="24" t="inlineStr">
        <is>
          <t>over</t>
        </is>
      </c>
      <c r="J290" s="25" t="n">
        <v>50.5</v>
      </c>
      <c r="K290" s="24" t="inlineStr">
        <is>
          <t>espn_consensus</t>
        </is>
      </c>
      <c r="L290" s="26" t="n">
        <v>-112</v>
      </c>
      <c r="M290" s="27" t="n">
        <v>1.892857</v>
      </c>
      <c r="N290" s="28" t="n">
        <v>0.528302</v>
      </c>
      <c r="O290" s="28" t="n">
        <v>0.528933</v>
      </c>
      <c r="P290" s="28" t="n">
        <v>0.18</v>
      </c>
      <c r="Q290" s="28" t="n">
        <v>0.0006310000000000001</v>
      </c>
      <c r="R290" s="26" t="n">
        <v>0</v>
      </c>
      <c r="S290" s="29" t="n">
        <v>1</v>
      </c>
      <c r="T290" s="24" t="inlineStr">
        <is>
          <t>cfb-total-v1</t>
        </is>
      </c>
      <c r="U290" s="24" t="inlineStr">
        <is>
          <t>settled</t>
        </is>
      </c>
      <c r="V290" s="24" t="inlineStr">
        <is>
          <t>win</t>
        </is>
      </c>
      <c r="W290" s="26" t="n">
        <v>31</v>
      </c>
      <c r="X290" s="26" t="n">
        <v>35</v>
      </c>
      <c r="Y290" s="25" t="n"/>
      <c r="Z290" s="26" t="n"/>
      <c r="AA290" s="28" t="n"/>
      <c r="AB290" s="28" t="n"/>
      <c r="AC290" s="30" t="n">
        <v>0.8929</v>
      </c>
      <c r="AD290" s="24" t="inlineStr">
        <is>
          <t>2026-09-19T22:00:31.309681Z</t>
        </is>
      </c>
      <c r="AE290" s="31" t="inlineStr">
        <is>
          <t>Projected total 54.2 pts (Weather adj: +0.0 pts). Total line 50.5 -&gt; P(Over)=0.529, P(Under)=0.471, P(Push)=0.000.</t>
        </is>
      </c>
      <c r="AF290" s="31" t="inlineStr">
        <is>
          <t>College football model; multi-market (moneyline, spread, total).</t>
        </is>
      </c>
      <c r="AG290" s="24" t="inlineStr">
        <is>
          <t>not_applicable</t>
        </is>
      </c>
      <c r="AH290" s="24" t="n"/>
      <c r="AI290" s="31" t="n"/>
      <c r="AJ290" s="31" t="n"/>
      <c r="AK290" s="24" t="inlineStr">
        <is>
          <t>paper_call</t>
        </is>
      </c>
      <c r="AL290" s="26" t="n">
        <v>4</v>
      </c>
      <c r="AM290" s="24" t="inlineStr">
        <is>
          <t>RESEARCH_OBSERVATION</t>
        </is>
      </c>
      <c r="AN290" s="24" t="inlineStr">
        <is>
          <t>CALL</t>
        </is>
      </c>
      <c r="AO290" s="24" t="inlineStr">
        <is>
          <t>PAPER_CALL_LOW_EDGE</t>
        </is>
      </c>
      <c r="AP290" s="24" t="inlineStr">
        <is>
          <t>NC State Wolfpack</t>
        </is>
      </c>
      <c r="AQ290" s="24" t="inlineStr">
        <is>
          <t>NC State Wolfpack</t>
        </is>
      </c>
      <c r="AR290" s="24" t="inlineStr">
        <is>
          <t>NC State Wolfpack</t>
        </is>
      </c>
      <c r="AS290" s="24" t="inlineStr">
        <is>
          <t>Vanderbilt Commodores</t>
        </is>
      </c>
      <c r="AT290" s="24" t="inlineStr">
        <is>
          <t>Vanderbilt Commodores</t>
        </is>
      </c>
      <c r="AU290" s="24" t="inlineStr">
        <is>
          <t>Vanderbilt Commodores</t>
        </is>
      </c>
      <c r="AV290" s="24" t="n"/>
      <c r="AW290" s="24" t="n"/>
      <c r="AX290" s="24" t="inlineStr">
        <is>
          <t>statistical_model</t>
        </is>
      </c>
      <c r="AY290" s="24" t="n"/>
      <c r="AZ290" s="24" t="inlineStr">
        <is>
          <t>shadow_qualified</t>
        </is>
      </c>
      <c r="BA290" s="24" t="inlineStr">
        <is>
          <t>1d168f11d221cd3c</t>
        </is>
      </c>
      <c r="BB290" s="24" t="inlineStr">
        <is>
          <t>cfb_key_number_engine</t>
        </is>
      </c>
      <c r="BC290" s="24" t="inlineStr">
        <is>
          <t>cfb-total-v1</t>
        </is>
      </c>
      <c r="BD290" s="24" t="inlineStr">
        <is>
          <t>1d168f11d221cd3c</t>
        </is>
      </c>
      <c r="BE290" s="24" t="inlineStr">
        <is>
          <t>cfb-v1</t>
        </is>
      </c>
      <c r="BF290" s="24" t="inlineStr">
        <is>
          <t>1</t>
        </is>
      </c>
      <c r="BG290" s="24" t="inlineStr">
        <is>
          <t>1d168f11d221cd3c</t>
        </is>
      </c>
      <c r="BH290" s="24" t="inlineStr">
        <is>
          <t>2026-09-19T11:12:59.236900+00:00</t>
        </is>
      </c>
      <c r="BI290" s="24" t="inlineStr">
        <is>
          <t>["same_event","same_team_same_day","same_league_same_day"]</t>
        </is>
      </c>
      <c r="BJ290" s="25" t="n">
        <v>50.5</v>
      </c>
      <c r="BK290" s="26" t="n">
        <v>-112</v>
      </c>
      <c r="BL290" s="27" t="n">
        <v>1.892857</v>
      </c>
      <c r="BM290" s="28" t="n">
        <v>0.528302</v>
      </c>
      <c r="BN290" s="28" t="n"/>
      <c r="BO290" s="28" t="n"/>
      <c r="BP290" s="25" t="n"/>
      <c r="BQ290" s="27" t="n"/>
      <c r="BR290" s="28" t="n"/>
      <c r="BS290" s="28" t="n"/>
      <c r="BT290" s="28" t="n"/>
      <c r="BU290" s="25" t="n"/>
      <c r="BV290" s="29" t="n"/>
      <c r="BW290" s="24" t="n"/>
      <c r="BX290" s="30" t="n">
        <v>1</v>
      </c>
      <c r="BY290" s="27" t="n">
        <v>0.892857</v>
      </c>
      <c r="BZ290" s="24" t="inlineStr">
        <is>
          <t>2026-09-19T22:00:31.309681Z</t>
        </is>
      </c>
      <c r="CA290" s="31" t="inlineStr">
        <is>
          <t>fixed one-unit hypothetical scoring; no real exposure or execution</t>
        </is>
      </c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  <c r="CL290" s="24" t="n"/>
      <c r="CM290" s="24" t="n"/>
      <c r="CN290" s="24" t="n"/>
      <c r="CO290" s="24" t="n"/>
      <c r="CP290" s="24" t="n"/>
      <c r="CQ290" s="24" t="n"/>
      <c r="CR290" s="24" t="n"/>
      <c r="CS290" s="24" t="inlineStr">
        <is>
          <t>True</t>
        </is>
      </c>
      <c r="CT290" s="24" t="n"/>
      <c r="CU290" s="24" t="n"/>
      <c r="CV290" s="24" t="n"/>
      <c r="CW290" s="24" t="n"/>
      <c r="CX290" s="24" t="n"/>
      <c r="CY290" s="24" t="n"/>
      <c r="CZ290" s="24" t="n"/>
      <c r="DA290" s="24" t="n"/>
      <c r="DB290" s="24" t="n"/>
      <c r="DC290" s="24" t="n"/>
      <c r="DD290" s="24" t="n"/>
      <c r="DE290" s="24" t="n"/>
      <c r="DF290" s="24" t="n"/>
      <c r="DG290" s="24" t="n"/>
      <c r="DH290" s="24" t="n"/>
      <c r="DI290" s="24" t="n"/>
      <c r="DJ290" s="24" t="inlineStr">
        <is>
          <t>0.528302</t>
        </is>
      </c>
      <c r="DK290" s="24" t="n"/>
      <c r="DL290" s="24" t="n"/>
      <c r="DM290" s="24" t="n"/>
      <c r="DN290" s="24" t="n"/>
      <c r="DO290" s="24" t="n"/>
      <c r="DP290" s="24" t="n"/>
      <c r="DQ290" s="24" t="inlineStr">
        <is>
          <t>{"artifact_hash": "1d168f11d221cd3c", "event_id": "401856695", "event_start_utc": "2026-09-19T16:45Z", "features": {"altitude_fatigue_penalty": 0.0, "away_team": "NC State Wolfpack", "efficiency_gap": 1.546, "elo_away": 1510.8, "elo_home": 1680.3, "elo_home_win_prob": 0.7942, "event_id": "401856695", "game_start_utc": "2026-09-19T16:45Z", "home_field_advantage_points": 2.8, "home_team": "Vanderbilt Commodores", "is_dome": false, "is_fbs_vs_fcs": false, "is_neutral_site": false, "projected_away_points": 22.3, "projected_home_points": 31.9, "projected_margin_home": 9.6, "projected_possessions": 12.4, "projected_total": 54.2, "stadium_elevation_ft": 540, "travel_distance_miles": 453.0, "uncertainty": 0.18, "weather_total_adjustment": 0.0}, "historical_source_observation_times_verified": false, "inference_inputs": {"engine_source_sha256": "449ba2f0e86fa9c445730076a0e0bf100fb4914620be53c75c6f3bfe24298f3f", "mu_away": 22.3,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97466338964533231541081759532573815873}, "uinteger": 0}, "spread_home_line": -3.0, "total_line": 50.5}, "market_type": "total", "model_version": "cfb-total-v1", "observed_at_utc": "2026-09-19T11:12:59.236900+00:00", "probabilities": {"over": 0.528933, "push": 0.0, "under": 0.471067}, "replay_scope": "Full precision score means, exact engine parameters and original RNG state; upstream feature construction not certified.", "schema": "cfb-joint-replay-v1", "snapshot_hash": "41b06e41ed7a343ed2717462ce3e6e376bd44d98b3d608f5fa38891d10c000b2", "sport": "NCAAF"}</t>
        </is>
      </c>
    </row>
    <row r="291" ht="36" customHeight="1">
      <c r="A291" s="24" t="inlineStr">
        <is>
          <t>4b9590595b1e4f05</t>
        </is>
      </c>
      <c r="B291" s="24" t="inlineStr">
        <is>
          <t>2026-09-19T11:12:59.236900Z</t>
        </is>
      </c>
      <c r="C291" s="24" t="inlineStr">
        <is>
          <t>2026-09-19T17:00Z</t>
        </is>
      </c>
      <c r="D291" s="24" t="inlineStr">
        <is>
          <t>401864508</t>
        </is>
      </c>
      <c r="E291" s="24" t="inlineStr">
        <is>
          <t>NCAAF</t>
        </is>
      </c>
      <c r="F291" s="24" t="inlineStr">
        <is>
          <t>Wyoming Cowboys</t>
        </is>
      </c>
      <c r="G291" s="24" t="inlineStr">
        <is>
          <t>Central Michigan Chippewas</t>
        </is>
      </c>
      <c r="H291" s="24" t="inlineStr">
        <is>
          <t>moneyline</t>
        </is>
      </c>
      <c r="I291" s="24" t="inlineStr">
        <is>
          <t>home</t>
        </is>
      </c>
      <c r="J291" s="25" t="n"/>
      <c r="K291" s="24" t="inlineStr">
        <is>
          <t>espn_consensus</t>
        </is>
      </c>
      <c r="L291" s="26" t="n">
        <v>-108</v>
      </c>
      <c r="M291" s="27" t="n">
        <v>1.925926</v>
      </c>
      <c r="N291" s="28" t="n">
        <v>0.519231</v>
      </c>
      <c r="O291" s="28" t="n">
        <v>0.641272</v>
      </c>
      <c r="P291" s="28" t="n">
        <v>0.165</v>
      </c>
      <c r="Q291" s="28" t="n">
        <v>0.122041</v>
      </c>
      <c r="R291" s="26" t="n">
        <v>12</v>
      </c>
      <c r="S291" s="29" t="n">
        <v>1</v>
      </c>
      <c r="T291" s="24" t="inlineStr">
        <is>
          <t>college-football-v1</t>
        </is>
      </c>
      <c r="U291" s="24" t="inlineStr">
        <is>
          <t>settled</t>
        </is>
      </c>
      <c r="V291" s="24" t="inlineStr">
        <is>
          <t>win</t>
        </is>
      </c>
      <c r="W291" s="26" t="n">
        <v>10</v>
      </c>
      <c r="X291" s="26" t="n">
        <v>24</v>
      </c>
      <c r="Y291" s="25" t="n"/>
      <c r="Z291" s="26" t="n"/>
      <c r="AA291" s="28" t="n"/>
      <c r="AB291" s="28" t="n"/>
      <c r="AC291" s="30" t="n">
        <v>0.9258999999999999</v>
      </c>
      <c r="AD291" s="24" t="inlineStr">
        <is>
          <t>2026-09-19T22:00:31.770665Z</t>
        </is>
      </c>
      <c r="AE291" s="31" t="inlineStr">
        <is>
          <t>CFB Joint Model (negative_binomial): proj score Wyoming Cowboys 22.7 @ Central Michigan Chippewas 29.2 (Margin +6.5). Possessions: 12.4, HFA: +2.8 pts.</t>
        </is>
      </c>
      <c r="AF291" s="31" t="inlineStr">
        <is>
          <t>College football model; multi-market (moneyline, spread, total).</t>
        </is>
      </c>
      <c r="AG291" s="24" t="inlineStr">
        <is>
          <t>not_applicable</t>
        </is>
      </c>
      <c r="AH291" s="24" t="n"/>
      <c r="AI291" s="31" t="n"/>
      <c r="AJ291" s="31" t="n"/>
      <c r="AK291" s="24" t="inlineStr">
        <is>
          <t>model_qualified</t>
        </is>
      </c>
      <c r="AL291" s="26" t="n">
        <v>4</v>
      </c>
      <c r="AM291" s="24" t="inlineStr">
        <is>
          <t>QUALIFIED_SHADOW_CALL</t>
        </is>
      </c>
      <c r="AN291" s="24" t="inlineStr">
        <is>
          <t>CALL</t>
        </is>
      </c>
      <c r="AO291" s="24" t="inlineStr">
        <is>
          <t>QUALIFIED</t>
        </is>
      </c>
      <c r="AP291" s="24" t="inlineStr">
        <is>
          <t>Wyoming Cowboys</t>
        </is>
      </c>
      <c r="AQ291" s="24" t="inlineStr">
        <is>
          <t>Wyoming Cowboys</t>
        </is>
      </c>
      <c r="AR291" s="24" t="inlineStr">
        <is>
          <t>Wyoming Cowboys</t>
        </is>
      </c>
      <c r="AS291" s="24" t="inlineStr">
        <is>
          <t>Central Michigan Chippewas</t>
        </is>
      </c>
      <c r="AT291" s="24" t="inlineStr">
        <is>
          <t>Central Michigan Chippewas</t>
        </is>
      </c>
      <c r="AU291" s="24" t="inlineStr">
        <is>
          <t>Central Michigan Chippewas</t>
        </is>
      </c>
      <c r="AV291" s="24" t="n"/>
      <c r="AW291" s="24" t="n"/>
      <c r="AX291" s="24" t="inlineStr">
        <is>
          <t>statistical_model</t>
        </is>
      </c>
      <c r="AY291" s="24" t="n"/>
      <c r="AZ291" s="24" t="inlineStr">
        <is>
          <t>shadow_qualified</t>
        </is>
      </c>
      <c r="BA291" s="24" t="inlineStr">
        <is>
          <t>1d168f11d221cd3c</t>
        </is>
      </c>
      <c r="BB291" s="24" t="inlineStr">
        <is>
          <t>cfb_key_number_engine</t>
        </is>
      </c>
      <c r="BC291" s="24" t="inlineStr">
        <is>
          <t>college-football-v1</t>
        </is>
      </c>
      <c r="BD291" s="24" t="inlineStr">
        <is>
          <t>1d168f11d221cd3c</t>
        </is>
      </c>
      <c r="BE291" s="24" t="inlineStr">
        <is>
          <t>cfb-v1</t>
        </is>
      </c>
      <c r="BF291" s="24" t="inlineStr">
        <is>
          <t>1</t>
        </is>
      </c>
      <c r="BG291" s="24" t="inlineStr">
        <is>
          <t>1d168f11d221cd3c</t>
        </is>
      </c>
      <c r="BH291" s="24" t="inlineStr">
        <is>
          <t>2026-09-19T11:12:59.236900+00:00</t>
        </is>
      </c>
      <c r="BI291" s="24" t="inlineStr">
        <is>
          <t>["same_event","same_team_same_day","same_league_same_day"]</t>
        </is>
      </c>
      <c r="BJ291" s="25" t="n"/>
      <c r="BK291" s="26" t="n">
        <v>-108</v>
      </c>
      <c r="BL291" s="27" t="n">
        <v>1.925926</v>
      </c>
      <c r="BM291" s="28" t="n">
        <v>0.519231</v>
      </c>
      <c r="BN291" s="28" t="n"/>
      <c r="BO291" s="28" t="n"/>
      <c r="BP291" s="25" t="n"/>
      <c r="BQ291" s="27" t="n"/>
      <c r="BR291" s="28" t="n"/>
      <c r="BS291" s="28" t="n"/>
      <c r="BT291" s="28" t="n"/>
      <c r="BU291" s="25" t="n"/>
      <c r="BV291" s="29" t="n"/>
      <c r="BW291" s="24" t="n"/>
      <c r="BX291" s="30" t="n"/>
      <c r="BY291" s="27" t="n"/>
      <c r="BZ291" s="24" t="n"/>
      <c r="CA291" s="31" t="n"/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  <c r="CL291" s="24" t="n"/>
      <c r="CM291" s="24" t="n"/>
      <c r="CN291" s="24" t="n"/>
      <c r="CO291" s="24" t="n"/>
      <c r="CP291" s="24" t="n"/>
      <c r="CQ291" s="24" t="n"/>
      <c r="CR291" s="24" t="n"/>
      <c r="CS291" s="24" t="inlineStr">
        <is>
          <t>True</t>
        </is>
      </c>
      <c r="CT291" s="24" t="n"/>
      <c r="CU291" s="24" t="n"/>
      <c r="CV291" s="24" t="n"/>
      <c r="CW291" s="24" t="n"/>
      <c r="CX291" s="24" t="n"/>
      <c r="CY291" s="24" t="n"/>
      <c r="CZ291" s="24" t="n"/>
      <c r="DA291" s="24" t="n"/>
      <c r="DB291" s="24" t="n"/>
      <c r="DC291" s="24" t="n"/>
      <c r="DD291" s="24" t="n"/>
      <c r="DE291" s="24" t="n"/>
      <c r="DF291" s="24" t="n"/>
      <c r="DG291" s="24" t="n"/>
      <c r="DH291" s="24" t="n"/>
      <c r="DI291" s="24" t="n"/>
      <c r="DJ291" s="24" t="inlineStr">
        <is>
          <t>0.519231</t>
        </is>
      </c>
      <c r="DK291" s="24" t="n"/>
      <c r="DL291" s="24" t="n"/>
      <c r="DM291" s="24" t="n"/>
      <c r="DN291" s="24" t="n"/>
      <c r="DO291" s="24" t="n"/>
      <c r="DP291" s="24" t="n"/>
      <c r="DQ291" s="24" t="inlineStr">
        <is>
          <t>{"artifact_hash": "1d168f11d221cd3c", "event_id": "401864508", "event_start_utc": "2026-09-19T17:00Z", "features": {"altitude_fatigue_penalty": 0.0, "away_team": "Wyoming Cowboys", "efficiency_gap": -0.67, "elo_away": 1247.4, "elo_home": 1348.3, "elo_home_win_prob": 0.722, "event_id": "401864508", "game_start_utc": "2026-09-19T17:00Z", "home_field_advantage_points": 2.8, "home_team": "Central Michigan Chippewas", "is_dome": false, "is_fbs_vs_fcs": false, "is_neutral_site": false, "projected_away_points": 22.7, "projected_home_points": 29.2, "projected_margin_home": 6.5, "projected_possessions": 12.4, "projected_total": 51.9, "stadium_elevation_ft": 800, "travel_distance_miles": 1069.0, "uncertainty": 0.165, "weather_total_adjustment": 0.0}, "historical_source_observation_times_verified": false, "inference_inputs": {"engine_source_sha256": "449ba2f0e86fa9c445730076a0e0bf100fb4914620be53c75c6f3bfe24298f3f", "mu_away": 22.7, "mu_home": 29.2,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158849270331165089962990037246023264856}, "uinteger": 0}, "spread_home_line": 1.5, "total_line": 38.5}, "market_type": "moneyline", "model_version": "college-football-v1", "observed_at_utc": "2026-09-19T11:12:59.236900+00:00", "probabilities": {"away": 0.358728, "home": 0.641272}, "replay_scope": "Full precision score means, exact engine parameters and original RNG state; upstream feature construction not certified.", "schema": "cfb-joint-replay-v1", "snapshot_hash": "d6114a16f0b97822dae34002eec3467df578e6a80a48b32f5afce2cd7535f018", "sport": "NCAAF"}</t>
        </is>
      </c>
    </row>
    <row r="292" ht="36" customHeight="1">
      <c r="A292" s="24" t="inlineStr">
        <is>
          <t>71c203f108f840a3</t>
        </is>
      </c>
      <c r="B292" s="24" t="inlineStr">
        <is>
          <t>2026-09-19T11:12:59.236900Z</t>
        </is>
      </c>
      <c r="C292" s="24" t="inlineStr">
        <is>
          <t>2026-09-19T17:00Z</t>
        </is>
      </c>
      <c r="D292" s="24" t="inlineStr">
        <is>
          <t>401864508</t>
        </is>
      </c>
      <c r="E292" s="24" t="inlineStr">
        <is>
          <t>NCAAF</t>
        </is>
      </c>
      <c r="F292" s="24" t="inlineStr">
        <is>
          <t>Wyoming Cowboys</t>
        </is>
      </c>
      <c r="G292" s="24" t="inlineStr">
        <is>
          <t>Central Michigan Chippewas</t>
        </is>
      </c>
      <c r="H292" s="24" t="inlineStr">
        <is>
          <t>spread</t>
        </is>
      </c>
      <c r="I292" s="24" t="inlineStr">
        <is>
          <t>home</t>
        </is>
      </c>
      <c r="J292" s="25" t="n">
        <v>1.5</v>
      </c>
      <c r="K292" s="24" t="inlineStr">
        <is>
          <t>espn_consensus</t>
        </is>
      </c>
      <c r="L292" s="26" t="n">
        <v>-115</v>
      </c>
      <c r="M292" s="27" t="n">
        <v>1.869565</v>
      </c>
      <c r="N292" s="28" t="n">
        <v>0.534884</v>
      </c>
      <c r="O292" s="28" t="n">
        <v>0.672133</v>
      </c>
      <c r="P292" s="28" t="n">
        <v>0.165</v>
      </c>
      <c r="Q292" s="28" t="n">
        <v>0.137249</v>
      </c>
      <c r="R292" s="26" t="n">
        <v>20</v>
      </c>
      <c r="S292" s="29" t="n">
        <v>1</v>
      </c>
      <c r="T292" s="24" t="inlineStr">
        <is>
          <t>cfb-spread-v1</t>
        </is>
      </c>
      <c r="U292" s="24" t="inlineStr">
        <is>
          <t>settled</t>
        </is>
      </c>
      <c r="V292" s="24" t="inlineStr">
        <is>
          <t>win</t>
        </is>
      </c>
      <c r="W292" s="26" t="n">
        <v>10</v>
      </c>
      <c r="X292" s="26" t="n">
        <v>24</v>
      </c>
      <c r="Y292" s="25" t="n"/>
      <c r="Z292" s="26" t="n"/>
      <c r="AA292" s="28" t="n"/>
      <c r="AB292" s="28" t="n"/>
      <c r="AC292" s="30" t="n">
        <v>0.8696</v>
      </c>
      <c r="AD292" s="24" t="inlineStr">
        <is>
          <t>2026-09-19T22:00:32.178042Z</t>
        </is>
      </c>
      <c r="AE292" s="31" t="inlineStr">
        <is>
          <t>Projected home margin +6.5 pts. Spread: Home +1.5 / Away -1.5 -&gt; P(Away cover)=0.328, P(Home cover)=0.672, P(Push)=0.000.</t>
        </is>
      </c>
      <c r="AF292" s="31" t="inlineStr">
        <is>
          <t>College football model; multi-market (moneyline, spread, total).</t>
        </is>
      </c>
      <c r="AG292" s="24" t="inlineStr">
        <is>
          <t>not_applicable</t>
        </is>
      </c>
      <c r="AH292" s="24" t="n"/>
      <c r="AI292" s="31" t="n"/>
      <c r="AJ292" s="31" t="n"/>
      <c r="AK292" s="24" t="inlineStr">
        <is>
          <t>model_qualified</t>
        </is>
      </c>
      <c r="AL292" s="26" t="n">
        <v>4</v>
      </c>
      <c r="AM292" s="24" t="inlineStr">
        <is>
          <t>QUALIFIED_SHADOW_CALL</t>
        </is>
      </c>
      <c r="AN292" s="24" t="inlineStr">
        <is>
          <t>CALL</t>
        </is>
      </c>
      <c r="AO292" s="24" t="inlineStr">
        <is>
          <t>QUALIFIED</t>
        </is>
      </c>
      <c r="AP292" s="24" t="inlineStr">
        <is>
          <t>Wyoming Cowboys</t>
        </is>
      </c>
      <c r="AQ292" s="24" t="inlineStr">
        <is>
          <t>Wyoming Cowboys</t>
        </is>
      </c>
      <c r="AR292" s="24" t="inlineStr">
        <is>
          <t>Wyoming Cowboys</t>
        </is>
      </c>
      <c r="AS292" s="24" t="inlineStr">
        <is>
          <t>Central Michigan Chippewas</t>
        </is>
      </c>
      <c r="AT292" s="24" t="inlineStr">
        <is>
          <t>Central Michigan Chippewas</t>
        </is>
      </c>
      <c r="AU292" s="24" t="inlineStr">
        <is>
          <t>Central Michigan Chippewas</t>
        </is>
      </c>
      <c r="AV292" s="24" t="n"/>
      <c r="AW292" s="24" t="n"/>
      <c r="AX292" s="24" t="inlineStr">
        <is>
          <t>statistical_model</t>
        </is>
      </c>
      <c r="AY292" s="24" t="n"/>
      <c r="AZ292" s="24" t="inlineStr">
        <is>
          <t>shadow_qualified</t>
        </is>
      </c>
      <c r="BA292" s="24" t="inlineStr">
        <is>
          <t>1d168f11d221cd3c</t>
        </is>
      </c>
      <c r="BB292" s="24" t="inlineStr">
        <is>
          <t>cfb_key_number_engine</t>
        </is>
      </c>
      <c r="BC292" s="24" t="inlineStr">
        <is>
          <t>cfb-spread-v1</t>
        </is>
      </c>
      <c r="BD292" s="24" t="inlineStr">
        <is>
          <t>1d168f11d221cd3c</t>
        </is>
      </c>
      <c r="BE292" s="24" t="inlineStr">
        <is>
          <t>cfb-v1</t>
        </is>
      </c>
      <c r="BF292" s="24" t="inlineStr">
        <is>
          <t>1</t>
        </is>
      </c>
      <c r="BG292" s="24" t="inlineStr">
        <is>
          <t>1d168f11d221cd3c</t>
        </is>
      </c>
      <c r="BH292" s="24" t="inlineStr">
        <is>
          <t>2026-09-19T11:12:59.236900+00:00</t>
        </is>
      </c>
      <c r="BI292" s="24" t="inlineStr">
        <is>
          <t>["same_event","same_team_same_day","same_league_same_day"]</t>
        </is>
      </c>
      <c r="BJ292" s="25" t="n">
        <v>1.5</v>
      </c>
      <c r="BK292" s="26" t="n">
        <v>-115</v>
      </c>
      <c r="BL292" s="27" t="n">
        <v>1.869565</v>
      </c>
      <c r="BM292" s="28" t="n">
        <v>0.534884</v>
      </c>
      <c r="BN292" s="28" t="n"/>
      <c r="BO292" s="28" t="n"/>
      <c r="BP292" s="25" t="n"/>
      <c r="BQ292" s="27" t="n"/>
      <c r="BR292" s="28" t="n"/>
      <c r="BS292" s="28" t="n"/>
      <c r="BT292" s="28" t="n"/>
      <c r="BU292" s="25" t="n"/>
      <c r="BV292" s="29" t="n"/>
      <c r="BW292" s="24" t="n"/>
      <c r="BX292" s="30" t="n"/>
      <c r="BY292" s="27" t="n"/>
      <c r="BZ292" s="24" t="n"/>
      <c r="CA292" s="31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inlineStr">
        <is>
          <t>True</t>
        </is>
      </c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/>
      <c r="DH292" s="24" t="n"/>
      <c r="DI292" s="24" t="n"/>
      <c r="DJ292" s="24" t="inlineStr">
        <is>
          <t>0.534884</t>
        </is>
      </c>
      <c r="DK292" s="24" t="n"/>
      <c r="DL292" s="24" t="n"/>
      <c r="DM292" s="24" t="n"/>
      <c r="DN292" s="24" t="n"/>
      <c r="DO292" s="24" t="n"/>
      <c r="DP292" s="24" t="n"/>
      <c r="DQ292" s="24" t="inlineStr">
        <is>
          <t>{"artifact_hash": "1d168f11d221cd3c", "event_id": "401864508", "event_start_utc": "2026-09-19T17:00Z", "features": {"altitude_fatigue_penalty": 0.0, "away_team": "Wyoming Cowboys", "efficiency_gap": -0.67, "elo_away": 1247.4, "elo_home": 1348.3, "elo_home_win_prob": 0.722, "event_id": "401864508", "game_start_utc": "2026-09-19T17:00Z", "home_field_advantage_points": 2.8, "home_team": "Central Michigan Chippewas", "is_dome": false, "is_fbs_vs_fcs": false, "is_neutral_site": false, "projected_away_points": 22.7, "projected_home_points": 29.2, "projected_margin_home": 6.5, "projected_possessions": 12.4, "projected_total": 51.9, "stadium_elevation_ft": 800, "travel_distance_miles": 1069.0, "uncertainty": 0.165, "weather_total_adjustment": 0.0}, "historical_source_observation_times_verified": false, "inference_inputs": {"engine_source_sha256": "449ba2f0e86fa9c445730076a0e0bf100fb4914620be53c75c6f3bfe24298f3f", "mu_away": 22.7, "mu_home": 29.2,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158849270331165089962990037246023264856}, "uinteger": 0}, "spread_home_line": 1.5, "total_line": 38.5}, "market_type": "spread", "model_version": "cfb-spread-v1", "observed_at_utc": "2026-09-19T11:12:59.236900+00:00", "probabilities": {"away": 0.327867, "home": 0.672133, "push": 0.0}, "replay_scope": "Full precision score means, exact engine parameters and original RNG state; upstream feature construction not certified.", "schema": "cfb-joint-replay-v1", "snapshot_hash": "28bef7938973fbfe8b7b8faa5676f6c7f8c5075142adae51e95aa150c2ac403b", "sport": "NCAAF"}</t>
        </is>
      </c>
    </row>
    <row r="293" ht="36" customHeight="1">
      <c r="A293" s="24" t="inlineStr">
        <is>
          <t>dfe63033773145c7</t>
        </is>
      </c>
      <c r="B293" s="24" t="inlineStr">
        <is>
          <t>2026-09-19T11:12:59.236900Z</t>
        </is>
      </c>
      <c r="C293" s="24" t="inlineStr">
        <is>
          <t>2026-09-19T17:00Z</t>
        </is>
      </c>
      <c r="D293" s="24" t="inlineStr">
        <is>
          <t>401864508</t>
        </is>
      </c>
      <c r="E293" s="24" t="inlineStr">
        <is>
          <t>NCAAF</t>
        </is>
      </c>
      <c r="F293" s="24" t="inlineStr">
        <is>
          <t>Wyoming Cowboys</t>
        </is>
      </c>
      <c r="G293" s="24" t="inlineStr">
        <is>
          <t>Central Michigan Chippewas</t>
        </is>
      </c>
      <c r="H293" s="24" t="inlineStr">
        <is>
          <t>total</t>
        </is>
      </c>
      <c r="I293" s="24" t="inlineStr">
        <is>
          <t>over</t>
        </is>
      </c>
      <c r="J293" s="25" t="n">
        <v>38.5</v>
      </c>
      <c r="K293" s="24" t="inlineStr">
        <is>
          <t>espn_consensus</t>
        </is>
      </c>
      <c r="L293" s="26" t="n">
        <v>-112</v>
      </c>
      <c r="M293" s="27" t="n">
        <v>1.892857</v>
      </c>
      <c r="N293" s="28" t="n">
        <v>0.528302</v>
      </c>
      <c r="O293" s="28" t="n">
        <v>0.6902</v>
      </c>
      <c r="P293" s="28" t="n">
        <v>0.165</v>
      </c>
      <c r="Q293" s="28" t="n">
        <v>0.161898</v>
      </c>
      <c r="R293" s="26" t="n">
        <v>32</v>
      </c>
      <c r="S293" s="29" t="n">
        <v>1</v>
      </c>
      <c r="T293" s="24" t="inlineStr">
        <is>
          <t>cfb-total-v1</t>
        </is>
      </c>
      <c r="U293" s="24" t="inlineStr">
        <is>
          <t>settled</t>
        </is>
      </c>
      <c r="V293" s="24" t="inlineStr">
        <is>
          <t>loss</t>
        </is>
      </c>
      <c r="W293" s="26" t="n">
        <v>10</v>
      </c>
      <c r="X293" s="26" t="n">
        <v>24</v>
      </c>
      <c r="Y293" s="25" t="n"/>
      <c r="Z293" s="26" t="n"/>
      <c r="AA293" s="28" t="n"/>
      <c r="AB293" s="28" t="n"/>
      <c r="AC293" s="30" t="n">
        <v>-1</v>
      </c>
      <c r="AD293" s="24" t="inlineStr">
        <is>
          <t>2026-09-19T22:00:32.698199Z</t>
        </is>
      </c>
      <c r="AE293" s="31" t="inlineStr">
        <is>
          <t>Projected total 51.9 pts (Weather adj: +0.0 pts). Total line 38.5 -&gt; P(Over)=0.690, P(Under)=0.310, P(Push)=0.000.</t>
        </is>
      </c>
      <c r="AF293" s="31" t="inlineStr">
        <is>
          <t>College football model; multi-market (moneyline, spread, total).</t>
        </is>
      </c>
      <c r="AG293" s="24" t="inlineStr">
        <is>
          <t>review_required</t>
        </is>
      </c>
      <c r="AH293" s="24" t="n"/>
      <c r="AI293" s="31" t="n"/>
      <c r="AJ293" s="31" t="n"/>
      <c r="AK293" s="24" t="inlineStr">
        <is>
          <t>model_qualified</t>
        </is>
      </c>
      <c r="AL293" s="26" t="n">
        <v>4</v>
      </c>
      <c r="AM293" s="24" t="inlineStr">
        <is>
          <t>QUALIFIED_SHADOW_CALL</t>
        </is>
      </c>
      <c r="AN293" s="24" t="inlineStr">
        <is>
          <t>CALL</t>
        </is>
      </c>
      <c r="AO293" s="24" t="inlineStr">
        <is>
          <t>QUALIFIED</t>
        </is>
      </c>
      <c r="AP293" s="24" t="inlineStr">
        <is>
          <t>Wyoming Cowboys</t>
        </is>
      </c>
      <c r="AQ293" s="24" t="inlineStr">
        <is>
          <t>Wyoming Cowboys</t>
        </is>
      </c>
      <c r="AR293" s="24" t="inlineStr">
        <is>
          <t>Wyoming Cowboys</t>
        </is>
      </c>
      <c r="AS293" s="24" t="inlineStr">
        <is>
          <t>Central Michigan Chippewas</t>
        </is>
      </c>
      <c r="AT293" s="24" t="inlineStr">
        <is>
          <t>Central Michigan Chippewas</t>
        </is>
      </c>
      <c r="AU293" s="24" t="inlineStr">
        <is>
          <t>Central Michigan Chippewas</t>
        </is>
      </c>
      <c r="AV293" s="24" t="n"/>
      <c r="AW293" s="24" t="n"/>
      <c r="AX293" s="24" t="inlineStr">
        <is>
          <t>statistical_model</t>
        </is>
      </c>
      <c r="AY293" s="24" t="n"/>
      <c r="AZ293" s="24" t="inlineStr">
        <is>
          <t>shadow_qualified</t>
        </is>
      </c>
      <c r="BA293" s="24" t="inlineStr">
        <is>
          <t>1d168f11d221cd3c</t>
        </is>
      </c>
      <c r="BB293" s="24" t="inlineStr">
        <is>
          <t>cfb_key_number_engine</t>
        </is>
      </c>
      <c r="BC293" s="24" t="inlineStr">
        <is>
          <t>cfb-total-v1</t>
        </is>
      </c>
      <c r="BD293" s="24" t="inlineStr">
        <is>
          <t>1d168f11d221cd3c</t>
        </is>
      </c>
      <c r="BE293" s="24" t="inlineStr">
        <is>
          <t>cfb-v1</t>
        </is>
      </c>
      <c r="BF293" s="24" t="inlineStr">
        <is>
          <t>1</t>
        </is>
      </c>
      <c r="BG293" s="24" t="inlineStr">
        <is>
          <t>1d168f11d221cd3c</t>
        </is>
      </c>
      <c r="BH293" s="24" t="inlineStr">
        <is>
          <t>2026-09-19T11:12:59.236900+00:00</t>
        </is>
      </c>
      <c r="BI293" s="24" t="inlineStr">
        <is>
          <t>["same_event","same_team_same_day","same_league_same_day"]</t>
        </is>
      </c>
      <c r="BJ293" s="25" t="n">
        <v>38.5</v>
      </c>
      <c r="BK293" s="26" t="n">
        <v>-112</v>
      </c>
      <c r="BL293" s="27" t="n">
        <v>1.892857</v>
      </c>
      <c r="BM293" s="28" t="n">
        <v>0.528302</v>
      </c>
      <c r="BN293" s="28" t="n"/>
      <c r="BO293" s="28" t="n"/>
      <c r="BP293" s="25" t="n"/>
      <c r="BQ293" s="27" t="n"/>
      <c r="BR293" s="28" t="n"/>
      <c r="BS293" s="28" t="n"/>
      <c r="BT293" s="28" t="n"/>
      <c r="BU293" s="25" t="n"/>
      <c r="BV293" s="29" t="n"/>
      <c r="BW293" s="24" t="n"/>
      <c r="BX293" s="30" t="n"/>
      <c r="BY293" s="27" t="n"/>
      <c r="BZ293" s="24" t="n"/>
      <c r="CA293" s="31" t="n"/>
      <c r="CB293" s="24" t="n"/>
      <c r="CC293" s="24" t="n"/>
      <c r="CD293" s="24" t="n"/>
      <c r="CE293" s="24" t="n"/>
      <c r="CF293" s="24" t="n"/>
      <c r="CG293" s="24" t="n"/>
      <c r="CH293" s="24" t="n"/>
      <c r="CI293" s="24" t="n"/>
      <c r="CJ293" s="24" t="n"/>
      <c r="CK293" s="24" t="n"/>
      <c r="CL293" s="24" t="n"/>
      <c r="CM293" s="24" t="n"/>
      <c r="CN293" s="24" t="n"/>
      <c r="CO293" s="24" t="n"/>
      <c r="CP293" s="24" t="n"/>
      <c r="CQ293" s="24" t="n"/>
      <c r="CR293" s="24" t="n"/>
      <c r="CS293" s="24" t="inlineStr">
        <is>
          <t>True</t>
        </is>
      </c>
      <c r="CT293" s="24" t="n"/>
      <c r="CU293" s="24" t="n"/>
      <c r="CV293" s="24" t="n"/>
      <c r="CW293" s="24" t="n"/>
      <c r="CX293" s="24" t="n"/>
      <c r="CY293" s="24" t="n"/>
      <c r="CZ293" s="24" t="n"/>
      <c r="DA293" s="24" t="n"/>
      <c r="DB293" s="24" t="n"/>
      <c r="DC293" s="24" t="n"/>
      <c r="DD293" s="24" t="n"/>
      <c r="DE293" s="24" t="n"/>
      <c r="DF293" s="24" t="n"/>
      <c r="DG293" s="24" t="n"/>
      <c r="DH293" s="24" t="n"/>
      <c r="DI293" s="24" t="n"/>
      <c r="DJ293" s="24" t="inlineStr">
        <is>
          <t>0.528302</t>
        </is>
      </c>
      <c r="DK293" s="24" t="n"/>
      <c r="DL293" s="24" t="n"/>
      <c r="DM293" s="24" t="n"/>
      <c r="DN293" s="24" t="n"/>
      <c r="DO293" s="24" t="n"/>
      <c r="DP293" s="24" t="n"/>
      <c r="DQ293" s="24" t="inlineStr">
        <is>
          <t>{"artifact_hash": "1d168f11d221cd3c", "event_id": "401864508", "event_start_utc": "2026-09-19T17:00Z", "features": {"altitude_fatigue_penalty": 0.0, "away_team": "Wyoming Cowboys", "efficiency_gap": -0.67, "elo_away": 1247.4, "elo_home": 1348.3, "elo_home_win_prob": 0.722, "event_id": "401864508", "game_start_utc": "2026-09-19T17:00Z", "home_field_advantage_points": 2.8, "home_team": "Central Michigan Chippewas", "is_dome": false, "is_fbs_vs_fcs": false, "is_neutral_site": false, "projected_away_points": 22.7, "projected_home_points": 29.2, "projected_margin_home": 6.5, "projected_possessions": 12.4, "projected_total": 51.9, "stadium_elevation_ft": 800, "travel_distance_miles": 1069.0, "uncertainty": 0.165, "weather_total_adjustment": 0.0}, "historical_source_observation_times_verified": false, "inference_inputs": {"engine_source_sha256": "449ba2f0e86fa9c445730076a0e0bf100fb4914620be53c75c6f3bfe24298f3f", "mu_away": 22.7, "mu_home": 29.2,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158849270331165089962990037246023264856}, "uinteger": 0}, "spread_home_line": 1.5, "total_line": 38.5}, "market_type": "total", "model_version": "cfb-total-v1", "observed_at_utc": "2026-09-19T11:12:59.236900+00:00", "probabilities": {"over": 0.6902, "push": 0.0, "under": 0.3098}, "replay_scope": "Full precision score means, exact engine parameters and original RNG state; upstream feature construction not certified.", "schema": "cfb-joint-replay-v1", "snapshot_hash": "cd4a3d5366ec84a57723a829b8c7e6f8df97df71f2c4ffbeafe7c8e011225939", "sport": "NCAAF"}</t>
        </is>
      </c>
    </row>
    <row r="294" ht="36" customHeight="1">
      <c r="A294" s="24" t="inlineStr">
        <is>
          <t>f68f137da90a4f08</t>
        </is>
      </c>
      <c r="B294" s="24" t="inlineStr">
        <is>
          <t>2026-09-19T17:08:25.088129Z</t>
        </is>
      </c>
      <c r="C294" s="24" t="inlineStr">
        <is>
          <t>2026-09-19T18:00Z</t>
        </is>
      </c>
      <c r="D294" s="24" t="inlineStr">
        <is>
          <t>401858227</t>
        </is>
      </c>
      <c r="E294" s="24" t="inlineStr">
        <is>
          <t>NCAAF</t>
        </is>
      </c>
      <c r="F294" s="24" t="inlineStr">
        <is>
          <t>Maine Black Bears</t>
        </is>
      </c>
      <c r="G294" s="24" t="inlineStr">
        <is>
          <t>Boston College Eagles</t>
        </is>
      </c>
      <c r="H294" s="24" t="inlineStr">
        <is>
          <t>spread</t>
        </is>
      </c>
      <c r="I294" s="24" t="inlineStr">
        <is>
          <t>away</t>
        </is>
      </c>
      <c r="J294" s="25" t="n">
        <v>37.5</v>
      </c>
      <c r="K294" s="24" t="inlineStr">
        <is>
          <t>espn_consensus</t>
        </is>
      </c>
      <c r="L294" s="26" t="n">
        <v>-105</v>
      </c>
      <c r="M294" s="27" t="n">
        <v>1.952381</v>
      </c>
      <c r="N294" s="28" t="n">
        <v>0.512195</v>
      </c>
      <c r="O294" s="28" t="n">
        <v>0.9598</v>
      </c>
      <c r="P294" s="28" t="n">
        <v>0.18</v>
      </c>
      <c r="Q294" s="28" t="n">
        <v>0.447605</v>
      </c>
      <c r="R294" s="26" t="n">
        <v>100</v>
      </c>
      <c r="S294" s="29" t="n">
        <v>2</v>
      </c>
      <c r="T294" s="24" t="inlineStr">
        <is>
          <t>cfb-spread-v1</t>
        </is>
      </c>
      <c r="U294" s="24" t="inlineStr">
        <is>
          <t>settled</t>
        </is>
      </c>
      <c r="V294" s="24" t="inlineStr">
        <is>
          <t>win</t>
        </is>
      </c>
      <c r="W294" s="26" t="n">
        <v>16</v>
      </c>
      <c r="X294" s="26" t="n">
        <v>22</v>
      </c>
      <c r="Y294" s="25" t="n"/>
      <c r="Z294" s="26" t="n"/>
      <c r="AA294" s="28" t="n"/>
      <c r="AB294" s="28" t="n"/>
      <c r="AC294" s="30" t="n">
        <v>1.9048</v>
      </c>
      <c r="AD294" s="24" t="inlineStr">
        <is>
          <t>2026-09-19T22:00:38.468003Z</t>
        </is>
      </c>
      <c r="AE294" s="31" t="inlineStr">
        <is>
          <t>Projected home margin -0.5 pts. Spread: Home -37.5 / Away +37.5 -&gt; P(Away cover)=0.960, P(Home cover)=0.040, P(Push)=0.000.</t>
        </is>
      </c>
      <c r="AF294" s="31" t="inlineStr">
        <is>
          <t>College football model; multi-market (moneyline, spread, total).</t>
        </is>
      </c>
      <c r="AG294" s="24" t="inlineStr">
        <is>
          <t>not_applicable</t>
        </is>
      </c>
      <c r="AH294" s="24" t="n"/>
      <c r="AI294" s="31" t="n"/>
      <c r="AJ294" s="31" t="n"/>
      <c r="AK294" s="24" t="inlineStr">
        <is>
          <t>model_qualified</t>
        </is>
      </c>
      <c r="AL294" s="26" t="n">
        <v>4</v>
      </c>
      <c r="AM294" s="24" t="inlineStr">
        <is>
          <t>QUALIFIED_SHADOW_CALL</t>
        </is>
      </c>
      <c r="AN294" s="24" t="inlineStr">
        <is>
          <t>CALL</t>
        </is>
      </c>
      <c r="AO294" s="24" t="inlineStr">
        <is>
          <t>QUALIFIED</t>
        </is>
      </c>
      <c r="AP294" s="24" t="inlineStr">
        <is>
          <t>Maine Black Bears</t>
        </is>
      </c>
      <c r="AQ294" s="24" t="inlineStr">
        <is>
          <t>Maine Black Bears</t>
        </is>
      </c>
      <c r="AR294" s="24" t="inlineStr">
        <is>
          <t>Maine Black Bears</t>
        </is>
      </c>
      <c r="AS294" s="24" t="inlineStr">
        <is>
          <t>Boston College Eagles</t>
        </is>
      </c>
      <c r="AT294" s="24" t="inlineStr">
        <is>
          <t>Boston College Eagles</t>
        </is>
      </c>
      <c r="AU294" s="24" t="inlineStr">
        <is>
          <t>Boston College Eagles</t>
        </is>
      </c>
      <c r="AV294" s="24" t="n"/>
      <c r="AW294" s="24" t="n"/>
      <c r="AX294" s="24" t="inlineStr">
        <is>
          <t>statistical_model</t>
        </is>
      </c>
      <c r="AY294" s="24" t="n"/>
      <c r="AZ294" s="24" t="inlineStr">
        <is>
          <t>shadow_qualified</t>
        </is>
      </c>
      <c r="BA294" s="24" t="inlineStr">
        <is>
          <t>1d168f11d221cd3c</t>
        </is>
      </c>
      <c r="BB294" s="24" t="inlineStr">
        <is>
          <t>cfb_key_number_engine</t>
        </is>
      </c>
      <c r="BC294" s="24" t="inlineStr">
        <is>
          <t>cfb-spread-v1</t>
        </is>
      </c>
      <c r="BD294" s="24" t="inlineStr">
        <is>
          <t>1d168f11d221cd3c</t>
        </is>
      </c>
      <c r="BE294" s="24" t="inlineStr">
        <is>
          <t>cfb-v1</t>
        </is>
      </c>
      <c r="BF294" s="24" t="inlineStr">
        <is>
          <t>1</t>
        </is>
      </c>
      <c r="BG294" s="24" t="inlineStr">
        <is>
          <t>1d168f11d221cd3c</t>
        </is>
      </c>
      <c r="BH294" s="24" t="inlineStr">
        <is>
          <t>2026-09-19T17:08:25.088129+00:00</t>
        </is>
      </c>
      <c r="BI294" s="24" t="inlineStr">
        <is>
          <t>["same_event","same_team_same_day","same_league_same_day"]</t>
        </is>
      </c>
      <c r="BJ294" s="25" t="n">
        <v>37.5</v>
      </c>
      <c r="BK294" s="26" t="n">
        <v>-105</v>
      </c>
      <c r="BL294" s="27" t="n">
        <v>1.952381</v>
      </c>
      <c r="BM294" s="28" t="n">
        <v>0.512195</v>
      </c>
      <c r="BN294" s="28" t="n"/>
      <c r="BO294" s="28" t="n"/>
      <c r="BP294" s="25" t="n"/>
      <c r="BQ294" s="27" t="n"/>
      <c r="BR294" s="28" t="n"/>
      <c r="BS294" s="28" t="n"/>
      <c r="BT294" s="28" t="n"/>
      <c r="BU294" s="25" t="n"/>
      <c r="BV294" s="29" t="n"/>
      <c r="BW294" s="24" t="n"/>
      <c r="BX294" s="30" t="n"/>
      <c r="BY294" s="27" t="n"/>
      <c r="BZ294" s="24" t="n"/>
      <c r="CA294" s="31" t="n"/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  <c r="CL294" s="24" t="n"/>
      <c r="CM294" s="24" t="n"/>
      <c r="CN294" s="24" t="n"/>
      <c r="CO294" s="24" t="n"/>
      <c r="CP294" s="24" t="n"/>
      <c r="CQ294" s="24" t="n"/>
      <c r="CR294" s="24" t="n"/>
      <c r="CS294" s="24" t="inlineStr">
        <is>
          <t>True</t>
        </is>
      </c>
      <c r="CT294" s="24" t="n"/>
      <c r="CU294" s="24" t="n"/>
      <c r="CV294" s="24" t="n"/>
      <c r="CW294" s="24" t="n"/>
      <c r="CX294" s="24" t="n"/>
      <c r="CY294" s="24" t="n"/>
      <c r="CZ294" s="24" t="n"/>
      <c r="DA294" s="24" t="n"/>
      <c r="DB294" s="24" t="n"/>
      <c r="DC294" s="24" t="n"/>
      <c r="DD294" s="24" t="n"/>
      <c r="DE294" s="24" t="n"/>
      <c r="DF294" s="24" t="n"/>
      <c r="DG294" s="24" t="n"/>
      <c r="DH294" s="24" t="n"/>
      <c r="DI294" s="24" t="n"/>
      <c r="DJ294" s="24" t="inlineStr">
        <is>
          <t>0.512195</t>
        </is>
      </c>
      <c r="DK294" s="24" t="n"/>
      <c r="DL294" s="24" t="n"/>
      <c r="DM294" s="24" t="n"/>
      <c r="DN294" s="24" t="n"/>
      <c r="DO294" s="24" t="n"/>
      <c r="DP294" s="24" t="n"/>
      <c r="DQ294" s="24" t="inlineStr">
        <is>
          <t>{"artifact_hash": "1d168f11d221cd3c", "event_id": "401858227", "event_start_utc": "2026-09-19T18:00Z", "features": {"altitude_fatigue_penalty": 0.0, "away_team": "Maine Black Bears", "efficiency_gap": 0.635, "elo_away": 1337.5, "elo_home": 1259.7, "elo_home_win_prob": 0.4816, "event_id": "401858227", "game_start_utc": "2026-09-19T18:00Z", "home_field_advantage_points": 2.8, "home_team": "Boston College Eagles", "is_dome": false, "is_fbs_vs_fcs": false, "is_neutral_site": false, "projected_away_points": 26.8, "projected_home_points": 26.3, "projected_margin_home": -0.5,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310132061220956904552365104036726765461}, "uinteger": 0}, "spread_home_line": -37.5, "total_line": 54.5}, "market_type": "spread", "model_version": "cfb-spread-v1", "observed_at_utc": "2026-09-19T17:08:25.088129+00:00", "probabilities": {"away": 0.9598, "home": 0.0402, "push": 0.0}, "replay_scope": "Full precision score means, exact engine parameters and original RNG state; upstream feature construction not certified.", "schema": "cfb-joint-replay-v1", "snapshot_hash": "5185c27d717d6e0b5c27cdbbcea38bb46c04823fe1a2a16f539a508176ba17ce", "sport": "NCAAF"}</t>
        </is>
      </c>
    </row>
    <row r="295" ht="36" customHeight="1">
      <c r="A295" s="24" t="inlineStr">
        <is>
          <t>725ef23bffa64556</t>
        </is>
      </c>
      <c r="B295" s="24" t="inlineStr">
        <is>
          <t>2026-09-19T17:08:25.088129Z</t>
        </is>
      </c>
      <c r="C295" s="24" t="inlineStr">
        <is>
          <t>2026-09-19T18:00Z</t>
        </is>
      </c>
      <c r="D295" s="24" t="inlineStr">
        <is>
          <t>401858227</t>
        </is>
      </c>
      <c r="E295" s="24" t="inlineStr">
        <is>
          <t>NCAAF</t>
        </is>
      </c>
      <c r="F295" s="24" t="inlineStr">
        <is>
          <t>Maine Black Bears</t>
        </is>
      </c>
      <c r="G295" s="24" t="inlineStr">
        <is>
          <t>Boston College Eagles</t>
        </is>
      </c>
      <c r="H295" s="24" t="inlineStr">
        <is>
          <t>total</t>
        </is>
      </c>
      <c r="I295" s="24" t="inlineStr">
        <is>
          <t>under</t>
        </is>
      </c>
      <c r="J295" s="25" t="n">
        <v>54.5</v>
      </c>
      <c r="K295" s="24" t="inlineStr">
        <is>
          <t>espn_consensus</t>
        </is>
      </c>
      <c r="L295" s="26" t="n">
        <v>-110</v>
      </c>
      <c r="M295" s="27" t="n">
        <v>1.909091</v>
      </c>
      <c r="N295" s="28" t="n">
        <v>0.52381</v>
      </c>
      <c r="O295" s="28" t="n">
        <v>0.556333</v>
      </c>
      <c r="P295" s="28" t="n">
        <v>0.18</v>
      </c>
      <c r="Q295" s="28" t="n">
        <v>0.032523</v>
      </c>
      <c r="R295" s="26" t="n">
        <v>0</v>
      </c>
      <c r="S295" s="29" t="n">
        <v>1</v>
      </c>
      <c r="T295" s="24" t="inlineStr">
        <is>
          <t>cfb-total-v1</t>
        </is>
      </c>
      <c r="U295" s="24" t="inlineStr">
        <is>
          <t>settled</t>
        </is>
      </c>
      <c r="V295" s="24" t="inlineStr">
        <is>
          <t>win</t>
        </is>
      </c>
      <c r="W295" s="26" t="n">
        <v>16</v>
      </c>
      <c r="X295" s="26" t="n">
        <v>22</v>
      </c>
      <c r="Y295" s="25" t="n"/>
      <c r="Z295" s="26" t="n"/>
      <c r="AA295" s="28" t="n"/>
      <c r="AB295" s="28" t="n"/>
      <c r="AC295" s="30" t="n">
        <v>0.9091</v>
      </c>
      <c r="AD295" s="24" t="inlineStr">
        <is>
          <t>2026-09-19T22:00:38.932703Z</t>
        </is>
      </c>
      <c r="AE295" s="31" t="inlineStr">
        <is>
          <t>Projected total 53.0 pts (Weather adj: +0.0 pts). Total line 54.5 -&gt; P(Over)=0.444, P(Under)=0.556, P(Push)=0.000.</t>
        </is>
      </c>
      <c r="AF295" s="31" t="inlineStr">
        <is>
          <t>College football model; multi-market (moneyline, spread, total).</t>
        </is>
      </c>
      <c r="AG295" s="24" t="inlineStr">
        <is>
          <t>not_applicable</t>
        </is>
      </c>
      <c r="AH295" s="24" t="n"/>
      <c r="AI295" s="31" t="n"/>
      <c r="AJ295" s="31" t="n"/>
      <c r="AK295" s="24" t="inlineStr">
        <is>
          <t>model_qualified</t>
        </is>
      </c>
      <c r="AL295" s="26" t="n">
        <v>4</v>
      </c>
      <c r="AM295" s="24" t="inlineStr">
        <is>
          <t>QUALIFIED_SHADOW_CALL</t>
        </is>
      </c>
      <c r="AN295" s="24" t="inlineStr">
        <is>
          <t>CALL</t>
        </is>
      </c>
      <c r="AO295" s="24" t="inlineStr">
        <is>
          <t>QUALIFIED</t>
        </is>
      </c>
      <c r="AP295" s="24" t="inlineStr">
        <is>
          <t>Maine Black Bears</t>
        </is>
      </c>
      <c r="AQ295" s="24" t="inlineStr">
        <is>
          <t>Maine Black Bears</t>
        </is>
      </c>
      <c r="AR295" s="24" t="inlineStr">
        <is>
          <t>Maine Black Bears</t>
        </is>
      </c>
      <c r="AS295" s="24" t="inlineStr">
        <is>
          <t>Boston College Eagles</t>
        </is>
      </c>
      <c r="AT295" s="24" t="inlineStr">
        <is>
          <t>Boston College Eagles</t>
        </is>
      </c>
      <c r="AU295" s="24" t="inlineStr">
        <is>
          <t>Boston College Eagles</t>
        </is>
      </c>
      <c r="AV295" s="24" t="n"/>
      <c r="AW295" s="24" t="n"/>
      <c r="AX295" s="24" t="inlineStr">
        <is>
          <t>statistical_model</t>
        </is>
      </c>
      <c r="AY295" s="24" t="n"/>
      <c r="AZ295" s="24" t="inlineStr">
        <is>
          <t>shadow_qualified</t>
        </is>
      </c>
      <c r="BA295" s="24" t="inlineStr">
        <is>
          <t>1d168f11d221cd3c</t>
        </is>
      </c>
      <c r="BB295" s="24" t="inlineStr">
        <is>
          <t>cfb_key_number_engine</t>
        </is>
      </c>
      <c r="BC295" s="24" t="inlineStr">
        <is>
          <t>cfb-total-v1</t>
        </is>
      </c>
      <c r="BD295" s="24" t="inlineStr">
        <is>
          <t>1d168f11d221cd3c</t>
        </is>
      </c>
      <c r="BE295" s="24" t="inlineStr">
        <is>
          <t>cfb-v1</t>
        </is>
      </c>
      <c r="BF295" s="24" t="inlineStr">
        <is>
          <t>1</t>
        </is>
      </c>
      <c r="BG295" s="24" t="inlineStr">
        <is>
          <t>1d168f11d221cd3c</t>
        </is>
      </c>
      <c r="BH295" s="24" t="inlineStr">
        <is>
          <t>2026-09-19T17:08:25.088129+00:00</t>
        </is>
      </c>
      <c r="BI295" s="24" t="inlineStr">
        <is>
          <t>["same_event","same_team_same_day","same_league_same_day"]</t>
        </is>
      </c>
      <c r="BJ295" s="25" t="n">
        <v>54.5</v>
      </c>
      <c r="BK295" s="26" t="n">
        <v>-110</v>
      </c>
      <c r="BL295" s="27" t="n">
        <v>1.909091</v>
      </c>
      <c r="BM295" s="28" t="n">
        <v>0.52381</v>
      </c>
      <c r="BN295" s="28" t="n"/>
      <c r="BO295" s="28" t="n"/>
      <c r="BP295" s="25" t="n"/>
      <c r="BQ295" s="27" t="n"/>
      <c r="BR295" s="28" t="n"/>
      <c r="BS295" s="28" t="n"/>
      <c r="BT295" s="28" t="n"/>
      <c r="BU295" s="25" t="n"/>
      <c r="BV295" s="29" t="n"/>
      <c r="BW295" s="24" t="n"/>
      <c r="BX295" s="30" t="n"/>
      <c r="BY295" s="27" t="n"/>
      <c r="BZ295" s="24" t="n"/>
      <c r="CA295" s="31" t="n"/>
      <c r="CB295" s="24" t="n"/>
      <c r="CC295" s="24" t="n"/>
      <c r="CD295" s="24" t="n"/>
      <c r="CE295" s="24" t="n"/>
      <c r="CF295" s="24" t="n"/>
      <c r="CG295" s="24" t="n"/>
      <c r="CH295" s="24" t="n"/>
      <c r="CI295" s="24" t="n"/>
      <c r="CJ295" s="24" t="n"/>
      <c r="CK295" s="24" t="n"/>
      <c r="CL295" s="24" t="n"/>
      <c r="CM295" s="24" t="n"/>
      <c r="CN295" s="24" t="n"/>
      <c r="CO295" s="24" t="n"/>
      <c r="CP295" s="24" t="n"/>
      <c r="CQ295" s="24" t="n"/>
      <c r="CR295" s="24" t="n"/>
      <c r="CS295" s="24" t="inlineStr">
        <is>
          <t>True</t>
        </is>
      </c>
      <c r="CT295" s="24" t="n"/>
      <c r="CU295" s="24" t="n"/>
      <c r="CV295" s="24" t="n"/>
      <c r="CW295" s="24" t="n"/>
      <c r="CX295" s="24" t="n"/>
      <c r="CY295" s="24" t="n"/>
      <c r="CZ295" s="24" t="n"/>
      <c r="DA295" s="24" t="n"/>
      <c r="DB295" s="24" t="n"/>
      <c r="DC295" s="24" t="n"/>
      <c r="DD295" s="24" t="n"/>
      <c r="DE295" s="24" t="n"/>
      <c r="DF295" s="24" t="n"/>
      <c r="DG295" s="24" t="n"/>
      <c r="DH295" s="24" t="n"/>
      <c r="DI295" s="24" t="n"/>
      <c r="DJ295" s="24" t="inlineStr">
        <is>
          <t>0.52381</t>
        </is>
      </c>
      <c r="DK295" s="24" t="n"/>
      <c r="DL295" s="24" t="n"/>
      <c r="DM295" s="24" t="n"/>
      <c r="DN295" s="24" t="n"/>
      <c r="DO295" s="24" t="n"/>
      <c r="DP295" s="24" t="n"/>
      <c r="DQ295" s="24" t="inlineStr">
        <is>
          <t>{"artifact_hash": "1d168f11d221cd3c", "event_id": "401858227", "event_start_utc": "2026-09-19T18:00Z", "features": {"altitude_fatigue_penalty": 0.0, "away_team": "Maine Black Bears", "efficiency_gap": 0.635, "elo_away": 1337.5, "elo_home": 1259.7, "elo_home_win_prob": 0.4816, "event_id": "401858227", "game_start_utc": "2026-09-19T18:00Z", "home_field_advantage_points": 2.8, "home_team": "Boston College Eagles", "is_dome": false, "is_fbs_vs_fcs": false, "is_neutral_site": false, "projected_away_points": 26.8, "projected_home_points": 26.3, "projected_margin_home": -0.5,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310132061220956904552365104036726765461}, "uinteger": 0}, "spread_home_line": -37.5, "total_line": 54.5}, "market_type": "total", "model_version": "cfb-total-v1", "observed_at_utc": "2026-09-19T17:08:25.088129+00:00", "probabilities": {"over": 0.443667, "push": 0.0, "under": 0.556333}, "replay_scope": "Full precision score means, exact engine parameters and original RNG state; upstream feature construction not certified.", "schema": "cfb-joint-replay-v1", "snapshot_hash": "b6eac8bbf8ddf38100e0f843dced127b855535009dff9117465ff063e9375a39", "sport": "NCAAF"}</t>
        </is>
      </c>
    </row>
    <row r="296" ht="36" customHeight="1">
      <c r="A296" s="24" t="inlineStr">
        <is>
          <t>a966c79816d0462f</t>
        </is>
      </c>
      <c r="B296" s="24" t="inlineStr">
        <is>
          <t>2026-09-19T17:08:25.088129Z</t>
        </is>
      </c>
      <c r="C296" s="24" t="inlineStr">
        <is>
          <t>2026-09-19T18:00Z</t>
        </is>
      </c>
      <c r="D296" s="24" t="inlineStr">
        <is>
          <t>401858448</t>
        </is>
      </c>
      <c r="E296" s="24" t="inlineStr">
        <is>
          <t>NCAAF</t>
        </is>
      </c>
      <c r="F296" s="24" t="inlineStr">
        <is>
          <t>Southern Illinois Salukis</t>
        </is>
      </c>
      <c r="G296" s="24" t="inlineStr">
        <is>
          <t>Illinois Fighting Illini</t>
        </is>
      </c>
      <c r="H296" s="24" t="inlineStr">
        <is>
          <t>spread</t>
        </is>
      </c>
      <c r="I296" s="24" t="inlineStr">
        <is>
          <t>away</t>
        </is>
      </c>
      <c r="J296" s="25" t="n">
        <v>35.5</v>
      </c>
      <c r="K296" s="24" t="inlineStr">
        <is>
          <t>espn_consensus</t>
        </is>
      </c>
      <c r="L296" s="26" t="n">
        <v>-120</v>
      </c>
      <c r="M296" s="27" t="n">
        <v>1.833333</v>
      </c>
      <c r="N296" s="28" t="n">
        <v>0.545455</v>
      </c>
      <c r="O296" s="28" t="n">
        <v>0.844067</v>
      </c>
      <c r="P296" s="28" t="n">
        <v>0.18</v>
      </c>
      <c r="Q296" s="28" t="n">
        <v>0.298612</v>
      </c>
      <c r="R296" s="26" t="n">
        <v>91</v>
      </c>
      <c r="S296" s="29" t="n">
        <v>1.75</v>
      </c>
      <c r="T296" s="24" t="inlineStr">
        <is>
          <t>cfb-spread-v1</t>
        </is>
      </c>
      <c r="U296" s="24" t="inlineStr">
        <is>
          <t>settled</t>
        </is>
      </c>
      <c r="V296" s="24" t="inlineStr">
        <is>
          <t>loss</t>
        </is>
      </c>
      <c r="W296" s="26" t="n">
        <v>10</v>
      </c>
      <c r="X296" s="26" t="n">
        <v>48</v>
      </c>
      <c r="Y296" s="25" t="n"/>
      <c r="Z296" s="26" t="n"/>
      <c r="AA296" s="28" t="n"/>
      <c r="AB296" s="28" t="n"/>
      <c r="AC296" s="30" t="n">
        <v>-1.75</v>
      </c>
      <c r="AD296" s="24" t="inlineStr">
        <is>
          <t>2026-09-19T22:00:39.398229Z</t>
        </is>
      </c>
      <c r="AE296" s="31" t="inlineStr">
        <is>
          <t>Projected home margin +15.9 pts. Spread: Home -35.5 / Away +35.5 -&gt; P(Away cover)=0.844, P(Home cover)=0.156, P(Push)=0.000.</t>
        </is>
      </c>
      <c r="AF296" s="31" t="inlineStr">
        <is>
          <t>College football model; multi-market (moneyline, spread, total).</t>
        </is>
      </c>
      <c r="AG296" s="24" t="inlineStr">
        <is>
          <t>review_required</t>
        </is>
      </c>
      <c r="AH296" s="24" t="n"/>
      <c r="AI296" s="31" t="n"/>
      <c r="AJ296" s="31" t="n"/>
      <c r="AK296" s="24" t="inlineStr">
        <is>
          <t>model_qualified</t>
        </is>
      </c>
      <c r="AL296" s="26" t="n">
        <v>4</v>
      </c>
      <c r="AM296" s="24" t="inlineStr">
        <is>
          <t>QUALIFIED_SHADOW_CALL</t>
        </is>
      </c>
      <c r="AN296" s="24" t="inlineStr">
        <is>
          <t>CALL</t>
        </is>
      </c>
      <c r="AO296" s="24" t="inlineStr">
        <is>
          <t>QUALIFIED</t>
        </is>
      </c>
      <c r="AP296" s="24" t="inlineStr">
        <is>
          <t>Southern Illinois Salukis</t>
        </is>
      </c>
      <c r="AQ296" s="24" t="inlineStr">
        <is>
          <t>Southern Illinois Salukis</t>
        </is>
      </c>
      <c r="AR296" s="24" t="inlineStr">
        <is>
          <t>Southern Illinois Salukis</t>
        </is>
      </c>
      <c r="AS296" s="24" t="inlineStr">
        <is>
          <t>Illinois Fighting Illini</t>
        </is>
      </c>
      <c r="AT296" s="24" t="inlineStr">
        <is>
          <t>Illinois Fighting Illini</t>
        </is>
      </c>
      <c r="AU296" s="24" t="inlineStr">
        <is>
          <t>Illinois Fighting Illini</t>
        </is>
      </c>
      <c r="AV296" s="24" t="n"/>
      <c r="AW296" s="24" t="n"/>
      <c r="AX296" s="24" t="inlineStr">
        <is>
          <t>statistical_model</t>
        </is>
      </c>
      <c r="AY296" s="24" t="n"/>
      <c r="AZ296" s="24" t="inlineStr">
        <is>
          <t>shadow_qualified</t>
        </is>
      </c>
      <c r="BA296" s="24" t="inlineStr">
        <is>
          <t>1d168f11d221cd3c</t>
        </is>
      </c>
      <c r="BB296" s="24" t="inlineStr">
        <is>
          <t>cfb_key_number_engine</t>
        </is>
      </c>
      <c r="BC296" s="24" t="inlineStr">
        <is>
          <t>cfb-spread-v1</t>
        </is>
      </c>
      <c r="BD296" s="24" t="inlineStr">
        <is>
          <t>1d168f11d221cd3c</t>
        </is>
      </c>
      <c r="BE296" s="24" t="inlineStr">
        <is>
          <t>cfb-v1</t>
        </is>
      </c>
      <c r="BF296" s="24" t="inlineStr">
        <is>
          <t>1</t>
        </is>
      </c>
      <c r="BG296" s="24" t="inlineStr">
        <is>
          <t>1d168f11d221cd3c</t>
        </is>
      </c>
      <c r="BH296" s="24" t="inlineStr">
        <is>
          <t>2026-09-19T17:08:25.088129+00:00</t>
        </is>
      </c>
      <c r="BI296" s="24" t="inlineStr">
        <is>
          <t>["same_event","same_team_same_day","same_league_same_day"]</t>
        </is>
      </c>
      <c r="BJ296" s="25" t="n">
        <v>35.5</v>
      </c>
      <c r="BK296" s="26" t="n">
        <v>-120</v>
      </c>
      <c r="BL296" s="27" t="n">
        <v>1.833333</v>
      </c>
      <c r="BM296" s="28" t="n">
        <v>0.545455</v>
      </c>
      <c r="BN296" s="28" t="n"/>
      <c r="BO296" s="28" t="n"/>
      <c r="BP296" s="25" t="n"/>
      <c r="BQ296" s="27" t="n"/>
      <c r="BR296" s="28" t="n"/>
      <c r="BS296" s="28" t="n"/>
      <c r="BT296" s="28" t="n"/>
      <c r="BU296" s="25" t="n"/>
      <c r="BV296" s="29" t="n"/>
      <c r="BW296" s="24" t="n"/>
      <c r="BX296" s="30" t="n"/>
      <c r="BY296" s="27" t="n"/>
      <c r="BZ296" s="24" t="n"/>
      <c r="CA296" s="31" t="n"/>
      <c r="CB296" s="24" t="n"/>
      <c r="CC296" s="24" t="n"/>
      <c r="CD296" s="24" t="n"/>
      <c r="CE296" s="24" t="n"/>
      <c r="CF296" s="24" t="n"/>
      <c r="CG296" s="24" t="n"/>
      <c r="CH296" s="24" t="n"/>
      <c r="CI296" s="24" t="n"/>
      <c r="CJ296" s="24" t="n"/>
      <c r="CK296" s="24" t="n"/>
      <c r="CL296" s="24" t="n"/>
      <c r="CM296" s="24" t="n"/>
      <c r="CN296" s="24" t="n"/>
      <c r="CO296" s="24" t="n"/>
      <c r="CP296" s="24" t="n"/>
      <c r="CQ296" s="24" t="n"/>
      <c r="CR296" s="24" t="n"/>
      <c r="CS296" s="24" t="inlineStr">
        <is>
          <t>True</t>
        </is>
      </c>
      <c r="CT296" s="24" t="n"/>
      <c r="CU296" s="24" t="n"/>
      <c r="CV296" s="24" t="n"/>
      <c r="CW296" s="24" t="n"/>
      <c r="CX296" s="24" t="n"/>
      <c r="CY296" s="24" t="n"/>
      <c r="CZ296" s="24" t="n"/>
      <c r="DA296" s="24" t="n"/>
      <c r="DB296" s="24" t="n"/>
      <c r="DC296" s="24" t="n"/>
      <c r="DD296" s="24" t="n"/>
      <c r="DE296" s="24" t="n"/>
      <c r="DF296" s="24" t="n"/>
      <c r="DG296" s="24" t="n"/>
      <c r="DH296" s="24" t="n"/>
      <c r="DI296" s="24" t="n"/>
      <c r="DJ296" s="24" t="inlineStr">
        <is>
          <t>0.545455</t>
        </is>
      </c>
      <c r="DK296" s="24" t="n"/>
      <c r="DL296" s="24" t="n"/>
      <c r="DM296" s="24" t="n"/>
      <c r="DN296" s="24" t="n"/>
      <c r="DO296" s="24" t="n"/>
      <c r="DP296" s="24" t="n"/>
      <c r="DQ296" s="24" t="inlineStr">
        <is>
          <t>{"artifact_hash": "1d168f11d221cd3c", "event_id": "401858448", "event_start_utc": "2026-09-19T18:00Z", "features": {"altitude_fatigue_penalty": 0.0, "away_team": "Southern Illinois Salukis", "efficiency_gap": 2.176, "elo_away": 1337.5, "elo_home": 1662.0, "elo_home_win_prob": 0.904, "event_id": "401858448", "game_start_utc": "2026-09-19T18:00Z", "home_field_advantage_points": 2.8, "home_team": "Illinois Fighting Illini", "is_dome": false, "is_fbs_vs_fcs": false, "is_neutral_site": false, "projected_away_points": 19.3, "projected_home_points": 35.2, "projected_margin_home": 15.9, "projected_possessions": 12.4, "projected_total": 54.5,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19.3, "mu_home": 35.2,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210391213156218918116720011685962456557}, "uinteger": 0}, "spread_home_line": -35.5, "total_line": 55.5}, "market_type": "spread", "model_version": "cfb-spread-v1", "observed_at_utc": "2026-09-19T17:08:25.088129+00:00", "probabilities": {"away": 0.844067, "home": 0.155933, "push": 0.0}, "replay_scope": "Full precision score means, exact engine parameters and original RNG state; upstream feature construction not certified.", "schema": "cfb-joint-replay-v1", "snapshot_hash": "a42f58fec296f6280c823fab0f1a641679af99ae48ab7e0cb77f145b1a989796", "sport": "NCAAF"}</t>
        </is>
      </c>
    </row>
    <row r="297" ht="36" customHeight="1">
      <c r="A297" s="24" t="inlineStr">
        <is>
          <t>271d2cf785094e42</t>
        </is>
      </c>
      <c r="B297" s="24" t="inlineStr">
        <is>
          <t>2026-09-19T17:08:25.088129Z</t>
        </is>
      </c>
      <c r="C297" s="24" t="inlineStr">
        <is>
          <t>2026-09-19T18:00Z</t>
        </is>
      </c>
      <c r="D297" s="24" t="inlineStr">
        <is>
          <t>401858448</t>
        </is>
      </c>
      <c r="E297" s="24" t="inlineStr">
        <is>
          <t>NCAAF</t>
        </is>
      </c>
      <c r="F297" s="24" t="inlineStr">
        <is>
          <t>Southern Illinois Salukis</t>
        </is>
      </c>
      <c r="G297" s="24" t="inlineStr">
        <is>
          <t>Illinois Fighting Illini</t>
        </is>
      </c>
      <c r="H297" s="24" t="inlineStr">
        <is>
          <t>total</t>
        </is>
      </c>
      <c r="I297" s="24" t="inlineStr">
        <is>
          <t>under</t>
        </is>
      </c>
      <c r="J297" s="25" t="n">
        <v>55.5</v>
      </c>
      <c r="K297" s="24" t="inlineStr">
        <is>
          <t>espn_consensus</t>
        </is>
      </c>
      <c r="L297" s="26" t="n">
        <v>-108</v>
      </c>
      <c r="M297" s="27" t="n">
        <v>1.925926</v>
      </c>
      <c r="N297" s="28" t="n">
        <v>0.519231</v>
      </c>
      <c r="O297" s="28" t="n">
        <v>0.547533</v>
      </c>
      <c r="P297" s="28" t="n">
        <v>0.18</v>
      </c>
      <c r="Q297" s="28" t="n">
        <v>0.028302</v>
      </c>
      <c r="R297" s="26" t="n">
        <v>0</v>
      </c>
      <c r="S297" s="29" t="n">
        <v>1</v>
      </c>
      <c r="T297" s="24" t="inlineStr">
        <is>
          <t>cfb-total-v1</t>
        </is>
      </c>
      <c r="U297" s="24" t="inlineStr">
        <is>
          <t>settled</t>
        </is>
      </c>
      <c r="V297" s="24" t="inlineStr">
        <is>
          <t>loss</t>
        </is>
      </c>
      <c r="W297" s="26" t="n">
        <v>10</v>
      </c>
      <c r="X297" s="26" t="n">
        <v>48</v>
      </c>
      <c r="Y297" s="25" t="n"/>
      <c r="Z297" s="26" t="n"/>
      <c r="AA297" s="28" t="n"/>
      <c r="AB297" s="28" t="n"/>
      <c r="AC297" s="30" t="n">
        <v>-1</v>
      </c>
      <c r="AD297" s="24" t="inlineStr">
        <is>
          <t>2026-09-19T22:00:39.926305Z</t>
        </is>
      </c>
      <c r="AE297" s="31" t="inlineStr">
        <is>
          <t>Projected total 54.5 pts (Weather adj: +0.0 pts). Total line 55.5 -&gt; P(Over)=0.452, P(Under)=0.548, P(Push)=0.000.</t>
        </is>
      </c>
      <c r="AF297" s="31" t="inlineStr">
        <is>
          <t>College football model; multi-market (moneyline, spread, total).</t>
        </is>
      </c>
      <c r="AG297" s="24" t="inlineStr">
        <is>
          <t>review_required</t>
        </is>
      </c>
      <c r="AH297" s="24" t="n"/>
      <c r="AI297" s="31" t="n"/>
      <c r="AJ297" s="31" t="n"/>
      <c r="AK297" s="24" t="inlineStr">
        <is>
          <t>paper_call</t>
        </is>
      </c>
      <c r="AL297" s="26" t="n">
        <v>4</v>
      </c>
      <c r="AM297" s="24" t="inlineStr">
        <is>
          <t>RESEARCH_OBSERVATION</t>
        </is>
      </c>
      <c r="AN297" s="24" t="inlineStr">
        <is>
          <t>CALL</t>
        </is>
      </c>
      <c r="AO297" s="24" t="inlineStr">
        <is>
          <t>PAPER_CALL_LOW_EDGE</t>
        </is>
      </c>
      <c r="AP297" s="24" t="inlineStr">
        <is>
          <t>Southern Illinois Salukis</t>
        </is>
      </c>
      <c r="AQ297" s="24" t="inlineStr">
        <is>
          <t>Southern Illinois Salukis</t>
        </is>
      </c>
      <c r="AR297" s="24" t="inlineStr">
        <is>
          <t>Southern Illinois Salukis</t>
        </is>
      </c>
      <c r="AS297" s="24" t="inlineStr">
        <is>
          <t>Illinois Fighting Illini</t>
        </is>
      </c>
      <c r="AT297" s="24" t="inlineStr">
        <is>
          <t>Illinois Fighting Illini</t>
        </is>
      </c>
      <c r="AU297" s="24" t="inlineStr">
        <is>
          <t>Illinois Fighting Illini</t>
        </is>
      </c>
      <c r="AV297" s="24" t="n"/>
      <c r="AW297" s="24" t="n"/>
      <c r="AX297" s="24" t="inlineStr">
        <is>
          <t>statistical_model</t>
        </is>
      </c>
      <c r="AY297" s="24" t="n"/>
      <c r="AZ297" s="24" t="inlineStr">
        <is>
          <t>shadow_qualified</t>
        </is>
      </c>
      <c r="BA297" s="24" t="inlineStr">
        <is>
          <t>1d168f11d221cd3c</t>
        </is>
      </c>
      <c r="BB297" s="24" t="inlineStr">
        <is>
          <t>cfb_key_number_engine</t>
        </is>
      </c>
      <c r="BC297" s="24" t="inlineStr">
        <is>
          <t>cfb-total-v1</t>
        </is>
      </c>
      <c r="BD297" s="24" t="inlineStr">
        <is>
          <t>1d168f11d221cd3c</t>
        </is>
      </c>
      <c r="BE297" s="24" t="inlineStr">
        <is>
          <t>cfb-v1</t>
        </is>
      </c>
      <c r="BF297" s="24" t="inlineStr">
        <is>
          <t>1</t>
        </is>
      </c>
      <c r="BG297" s="24" t="inlineStr">
        <is>
          <t>1d168f11d221cd3c</t>
        </is>
      </c>
      <c r="BH297" s="24" t="inlineStr">
        <is>
          <t>2026-09-19T17:08:25.088129+00:00</t>
        </is>
      </c>
      <c r="BI297" s="24" t="inlineStr">
        <is>
          <t>["same_event","same_team_same_day","same_league_same_day"]</t>
        </is>
      </c>
      <c r="BJ297" s="25" t="n">
        <v>55.5</v>
      </c>
      <c r="BK297" s="26" t="n">
        <v>-108</v>
      </c>
      <c r="BL297" s="27" t="n">
        <v>1.925926</v>
      </c>
      <c r="BM297" s="28" t="n">
        <v>0.519231</v>
      </c>
      <c r="BN297" s="28" t="n"/>
      <c r="BO297" s="28" t="n"/>
      <c r="BP297" s="25" t="n"/>
      <c r="BQ297" s="27" t="n"/>
      <c r="BR297" s="28" t="n"/>
      <c r="BS297" s="28" t="n"/>
      <c r="BT297" s="28" t="n"/>
      <c r="BU297" s="25" t="n"/>
      <c r="BV297" s="29" t="n"/>
      <c r="BW297" s="24" t="n"/>
      <c r="BX297" s="30" t="n">
        <v>1</v>
      </c>
      <c r="BY297" s="27" t="n">
        <v>-1</v>
      </c>
      <c r="BZ297" s="24" t="inlineStr">
        <is>
          <t>2026-09-19T22:00:39.926305Z</t>
        </is>
      </c>
      <c r="CA297" s="31" t="inlineStr">
        <is>
          <t>fixed one-unit hypothetical scoring; no real exposure or execution</t>
        </is>
      </c>
      <c r="CB297" s="24" t="n"/>
      <c r="CC297" s="24" t="n"/>
      <c r="CD297" s="24" t="n"/>
      <c r="CE297" s="24" t="n"/>
      <c r="CF297" s="24" t="n"/>
      <c r="CG297" s="24" t="n"/>
      <c r="CH297" s="24" t="n"/>
      <c r="CI297" s="24" t="n"/>
      <c r="CJ297" s="24" t="n"/>
      <c r="CK297" s="24" t="n"/>
      <c r="CL297" s="24" t="n"/>
      <c r="CM297" s="24" t="n"/>
      <c r="CN297" s="24" t="n"/>
      <c r="CO297" s="24" t="n"/>
      <c r="CP297" s="24" t="n"/>
      <c r="CQ297" s="24" t="n"/>
      <c r="CR297" s="24" t="n"/>
      <c r="CS297" s="24" t="inlineStr">
        <is>
          <t>True</t>
        </is>
      </c>
      <c r="CT297" s="24" t="n"/>
      <c r="CU297" s="24" t="n"/>
      <c r="CV297" s="24" t="n"/>
      <c r="CW297" s="24" t="n"/>
      <c r="CX297" s="24" t="n"/>
      <c r="CY297" s="24" t="n"/>
      <c r="CZ297" s="24" t="n"/>
      <c r="DA297" s="24" t="n"/>
      <c r="DB297" s="24" t="n"/>
      <c r="DC297" s="24" t="n"/>
      <c r="DD297" s="24" t="n"/>
      <c r="DE297" s="24" t="n"/>
      <c r="DF297" s="24" t="n"/>
      <c r="DG297" s="24" t="n"/>
      <c r="DH297" s="24" t="n"/>
      <c r="DI297" s="24" t="n"/>
      <c r="DJ297" s="24" t="inlineStr">
        <is>
          <t>0.519231</t>
        </is>
      </c>
      <c r="DK297" s="24" t="n"/>
      <c r="DL297" s="24" t="n"/>
      <c r="DM297" s="24" t="n"/>
      <c r="DN297" s="24" t="n"/>
      <c r="DO297" s="24" t="n"/>
      <c r="DP297" s="24" t="n"/>
      <c r="DQ297" s="24" t="inlineStr">
        <is>
          <t>{"artifact_hash": "1d168f11d221cd3c", "event_id": "401858448", "event_start_utc": "2026-09-19T18:00Z", "features": {"altitude_fatigue_penalty": 0.0, "away_team": "Southern Illinois Salukis", "efficiency_gap": 2.176, "elo_away": 1337.5, "elo_home": 1662.0, "elo_home_win_prob": 0.904, "event_id": "401858448", "game_start_utc": "2026-09-19T18:00Z", "home_field_advantage_points": 2.8, "home_team": "Illinois Fighting Illini", "is_dome": false, "is_fbs_vs_fcs": false, "is_neutral_site": false, "projected_away_points": 19.3, "projected_home_points": 35.2, "projected_margin_home": 15.9, "projected_possessions": 12.4, "projected_total": 54.5,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19.3, "mu_home": 35.2,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210391213156218918116720011685962456557}, "uinteger": 0}, "spread_home_line": -35.5, "total_line": 55.5}, "market_type": "total", "model_version": "cfb-total-v1", "observed_at_utc": "2026-09-19T17:08:25.088129+00:00", "probabilities": {"over": 0.452467, "push": 0.0, "under": 0.547533}, "replay_scope": "Full precision score means, exact engine parameters and original RNG state; upstream feature construction not certified.", "schema": "cfb-joint-replay-v1", "snapshot_hash": "deb278cd13b0cf013d94a73e7c09e15393954c1ade949e3bcf868836bfe0fcda", "sport": "NCAAF"}</t>
        </is>
      </c>
    </row>
    <row r="298" ht="36" customHeight="1">
      <c r="A298" s="24" t="inlineStr">
        <is>
          <t>2a39727055d547cd</t>
        </is>
      </c>
      <c r="B298" s="24" t="inlineStr">
        <is>
          <t>2026-09-19T17:08:25.088129Z</t>
        </is>
      </c>
      <c r="C298" s="24" t="inlineStr">
        <is>
          <t>2026-09-19T19:00Z</t>
        </is>
      </c>
      <c r="D298" s="24" t="inlineStr">
        <is>
          <t>401862774</t>
        </is>
      </c>
      <c r="E298" s="24" t="inlineStr">
        <is>
          <t>NCAAF</t>
        </is>
      </c>
      <c r="F298" s="24" t="inlineStr">
        <is>
          <t>Temple Owls</t>
        </is>
      </c>
      <c r="G298" s="24" t="inlineStr">
        <is>
          <t>Toledo Rockets</t>
        </is>
      </c>
      <c r="H298" s="24" t="inlineStr">
        <is>
          <t>moneyline</t>
        </is>
      </c>
      <c r="I298" s="24" t="inlineStr">
        <is>
          <t>home</t>
        </is>
      </c>
      <c r="J298" s="25" t="n"/>
      <c r="K298" s="24" t="inlineStr">
        <is>
          <t>espn_consensus</t>
        </is>
      </c>
      <c r="L298" s="26" t="n">
        <v>-205</v>
      </c>
      <c r="M298" s="27" t="n">
        <v>1.487805</v>
      </c>
      <c r="N298" s="28" t="n">
        <v>0.672131</v>
      </c>
      <c r="O298" s="28" t="n">
        <v>0.785712</v>
      </c>
      <c r="P298" s="28" t="n">
        <v>0.18</v>
      </c>
      <c r="Q298" s="28" t="n">
        <v>0.113581</v>
      </c>
      <c r="R298" s="26" t="n">
        <v>0</v>
      </c>
      <c r="S298" s="29" t="n">
        <v>1</v>
      </c>
      <c r="T298" s="24" t="inlineStr">
        <is>
          <t>college-football-v1</t>
        </is>
      </c>
      <c r="U298" s="24" t="inlineStr">
        <is>
          <t>settled</t>
        </is>
      </c>
      <c r="V298" s="24" t="inlineStr">
        <is>
          <t>win</t>
        </is>
      </c>
      <c r="W298" s="26" t="n">
        <v>48</v>
      </c>
      <c r="X298" s="26" t="n">
        <v>49</v>
      </c>
      <c r="Y298" s="25" t="n"/>
      <c r="Z298" s="26" t="n"/>
      <c r="AA298" s="28" t="n"/>
      <c r="AB298" s="28" t="n"/>
      <c r="AC298" s="30" t="n">
        <v>0.4878</v>
      </c>
      <c r="AD298" s="24" t="inlineStr">
        <is>
          <t>2026-09-20T04:30:36.533722Z</t>
        </is>
      </c>
      <c r="AE298" s="31" t="inlineStr">
        <is>
          <t>CFB Joint Model (negative_binomial): proj score Temple Owls 19.1 @ Toledo Rockets 34.0 (Margin +14.9). Possessions: 12.4, HFA: +2.8 pts.</t>
        </is>
      </c>
      <c r="AF298" s="31" t="inlineStr">
        <is>
          <t>College football model; multi-market (moneyline, spread, total).</t>
        </is>
      </c>
      <c r="AG298" s="24" t="inlineStr">
        <is>
          <t>not_applicable</t>
        </is>
      </c>
      <c r="AH298" s="24" t="n"/>
      <c r="AI298" s="31" t="n"/>
      <c r="AJ298" s="31" t="n"/>
      <c r="AK298" s="24" t="inlineStr">
        <is>
          <t>model_qualified</t>
        </is>
      </c>
      <c r="AL298" s="26" t="n">
        <v>4</v>
      </c>
      <c r="AM298" s="24" t="inlineStr">
        <is>
          <t>QUALIFIED_SHADOW_CALL</t>
        </is>
      </c>
      <c r="AN298" s="24" t="inlineStr">
        <is>
          <t>CALL</t>
        </is>
      </c>
      <c r="AO298" s="24" t="inlineStr">
        <is>
          <t>QUALIFIED</t>
        </is>
      </c>
      <c r="AP298" s="24" t="inlineStr">
        <is>
          <t>Temple Owls</t>
        </is>
      </c>
      <c r="AQ298" s="24" t="inlineStr">
        <is>
          <t>Temple Owls</t>
        </is>
      </c>
      <c r="AR298" s="24" t="inlineStr">
        <is>
          <t>Temple Owls</t>
        </is>
      </c>
      <c r="AS298" s="24" t="inlineStr">
        <is>
          <t>Toledo Rockets</t>
        </is>
      </c>
      <c r="AT298" s="24" t="inlineStr">
        <is>
          <t>Toledo Rockets</t>
        </is>
      </c>
      <c r="AU298" s="24" t="inlineStr">
        <is>
          <t>Toledo Rockets</t>
        </is>
      </c>
      <c r="AV298" s="24" t="n"/>
      <c r="AW298" s="24" t="n"/>
      <c r="AX298" s="24" t="inlineStr">
        <is>
          <t>statistical_model</t>
        </is>
      </c>
      <c r="AY298" s="24" t="n"/>
      <c r="AZ298" s="24" t="inlineStr">
        <is>
          <t>shadow_qualified</t>
        </is>
      </c>
      <c r="BA298" s="24" t="inlineStr">
        <is>
          <t>1d168f11d221cd3c</t>
        </is>
      </c>
      <c r="BB298" s="24" t="inlineStr">
        <is>
          <t>cfb_key_number_engine</t>
        </is>
      </c>
      <c r="BC298" s="24" t="inlineStr">
        <is>
          <t>college-football-v1</t>
        </is>
      </c>
      <c r="BD298" s="24" t="inlineStr">
        <is>
          <t>1d168f11d221cd3c</t>
        </is>
      </c>
      <c r="BE298" s="24" t="inlineStr">
        <is>
          <t>cfb-v1</t>
        </is>
      </c>
      <c r="BF298" s="24" t="inlineStr">
        <is>
          <t>1</t>
        </is>
      </c>
      <c r="BG298" s="24" t="inlineStr">
        <is>
          <t>1d168f11d221cd3c</t>
        </is>
      </c>
      <c r="BH298" s="24" t="inlineStr">
        <is>
          <t>2026-09-19T17:08:25.088129+00:00</t>
        </is>
      </c>
      <c r="BI298" s="24" t="inlineStr">
        <is>
          <t>["same_event","same_team_same_day","same_league_same_day"]</t>
        </is>
      </c>
      <c r="BJ298" s="25" t="n"/>
      <c r="BK298" s="26" t="n">
        <v>-205</v>
      </c>
      <c r="BL298" s="27" t="n">
        <v>1.487805</v>
      </c>
      <c r="BM298" s="28" t="n">
        <v>0.672131</v>
      </c>
      <c r="BN298" s="28" t="n"/>
      <c r="BO298" s="28" t="n"/>
      <c r="BP298" s="25" t="n"/>
      <c r="BQ298" s="27" t="n"/>
      <c r="BR298" s="28" t="n"/>
      <c r="BS298" s="28" t="n"/>
      <c r="BT298" s="28" t="n"/>
      <c r="BU298" s="25" t="n"/>
      <c r="BV298" s="29" t="n"/>
      <c r="BW298" s="24" t="n"/>
      <c r="BX298" s="30" t="n"/>
      <c r="BY298" s="27" t="n"/>
      <c r="BZ298" s="24" t="n"/>
      <c r="CA298" s="31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inlineStr">
        <is>
          <t>True</t>
        </is>
      </c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/>
      <c r="DH298" s="24" t="n"/>
      <c r="DI298" s="24" t="n"/>
      <c r="DJ298" s="24" t="inlineStr">
        <is>
          <t>0.672131</t>
        </is>
      </c>
      <c r="DK298" s="24" t="n"/>
      <c r="DL298" s="24" t="n"/>
      <c r="DM298" s="24" t="n"/>
      <c r="DN298" s="24" t="n"/>
      <c r="DO298" s="24" t="n"/>
      <c r="DP298" s="24" t="n"/>
      <c r="DQ298" s="24" t="inlineStr">
        <is>
          <t>{"artifact_hash": "1d168f11d221cd3c", "event_id": "401862774", "event_start_utc": "2026-09-19T19:00Z", "features": {"altitude_fatigue_penalty": 0.0, "away_team": "Temple Owls", "efficiency_gap": -0.826, "elo_away": 1292.2, "elo_home": 1592.6, "elo_home_win_prob": 0.8912, "event_id": "401862774", "game_start_utc": "2026-09-19T19:00Z", "home_field_advantage_points": 2.8, "home_team": "Toledo Rockets", "is_dome": false, "is_fbs_vs_fcs": false, "is_neutral_site": false, "projected_away_points": 19.1, "projected_home_points": 34.0, "projected_margin_home": 14.9, "projected_possessions": 12.4, "projected_total": 53.1, "stadium_elevation_ft": 600, "travel_distance_miles": 458.0, "uncertainty": 0.18, "weather_total_adjustment": 0.0}, "historical_source_observation_times_verified": false, "inference_inputs": {"engine_source_sha256": "449ba2f0e86fa9c445730076a0e0bf100fb4914620be53c75c6f3bfe24298f3f", "mu_away": 19.1, "mu_home": 34.0,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226013431823979121824094399382752511050}, "uinteger": 0}, "spread_home_line": -5.5, "total_line": 48.5}, "market_type": "moneyline", "model_version": "college-football-v1", "observed_at_utc": "2026-09-19T17:08:25.088129+00:00", "probabilities": {"away": 0.214288, "home": 0.785712}, "replay_scope": "Full precision score means, exact engine parameters and original RNG state; upstream feature construction not certified.", "schema": "cfb-joint-replay-v1", "snapshot_hash": "d5a7cdd788ada46822e9d1ef63f9530b84a7a1d59d13709d4673a84139be3d6d", "sport": "NCAAF"}</t>
        </is>
      </c>
    </row>
    <row r="299" ht="36" customHeight="1">
      <c r="A299" s="24" t="inlineStr">
        <is>
          <t>e479131e9a06487d</t>
        </is>
      </c>
      <c r="B299" s="24" t="inlineStr">
        <is>
          <t>2026-09-19T17:08:25.088129Z</t>
        </is>
      </c>
      <c r="C299" s="24" t="inlineStr">
        <is>
          <t>2026-09-19T19:00Z</t>
        </is>
      </c>
      <c r="D299" s="24" t="inlineStr">
        <is>
          <t>401862774</t>
        </is>
      </c>
      <c r="E299" s="24" t="inlineStr">
        <is>
          <t>NCAAF</t>
        </is>
      </c>
      <c r="F299" s="24" t="inlineStr">
        <is>
          <t>Temple Owls</t>
        </is>
      </c>
      <c r="G299" s="24" t="inlineStr">
        <is>
          <t>Toledo Rockets</t>
        </is>
      </c>
      <c r="H299" s="24" t="inlineStr">
        <is>
          <t>spread</t>
        </is>
      </c>
      <c r="I299" s="24" t="inlineStr">
        <is>
          <t>home</t>
        </is>
      </c>
      <c r="J299" s="25" t="n">
        <v>-5.5</v>
      </c>
      <c r="K299" s="24" t="inlineStr">
        <is>
          <t>espn_consensus</t>
        </is>
      </c>
      <c r="L299" s="26" t="n">
        <v>-105</v>
      </c>
      <c r="M299" s="27" t="n">
        <v>1.952381</v>
      </c>
      <c r="N299" s="28" t="n">
        <v>0.512195</v>
      </c>
      <c r="O299" s="28" t="n">
        <v>0.692733</v>
      </c>
      <c r="P299" s="28" t="n">
        <v>0.18</v>
      </c>
      <c r="Q299" s="28" t="n">
        <v>0.180538</v>
      </c>
      <c r="R299" s="26" t="n">
        <v>32</v>
      </c>
      <c r="S299" s="29" t="n">
        <v>1</v>
      </c>
      <c r="T299" s="24" t="inlineStr">
        <is>
          <t>cfb-spread-v1</t>
        </is>
      </c>
      <c r="U299" s="24" t="inlineStr">
        <is>
          <t>settled</t>
        </is>
      </c>
      <c r="V299" s="24" t="inlineStr">
        <is>
          <t>loss</t>
        </is>
      </c>
      <c r="W299" s="26" t="n">
        <v>48</v>
      </c>
      <c r="X299" s="26" t="n">
        <v>49</v>
      </c>
      <c r="Y299" s="25" t="n"/>
      <c r="Z299" s="26" t="n"/>
      <c r="AA299" s="28" t="n"/>
      <c r="AB299" s="28" t="n"/>
      <c r="AC299" s="30" t="n">
        <v>-1</v>
      </c>
      <c r="AD299" s="24" t="inlineStr">
        <is>
          <t>2026-09-20T04:30:37.014416Z</t>
        </is>
      </c>
      <c r="AE299" s="31" t="inlineStr">
        <is>
          <t>Projected home margin +14.9 pts. Spread: Home -5.5 / Away +5.5 -&gt; P(Away cover)=0.307, P(Home cover)=0.693, P(Push)=0.000.</t>
        </is>
      </c>
      <c r="AF299" s="31" t="inlineStr">
        <is>
          <t>College football model; multi-market (moneyline, spread, total).</t>
        </is>
      </c>
      <c r="AG299" s="24" t="inlineStr">
        <is>
          <t>review_required</t>
        </is>
      </c>
      <c r="AH299" s="24" t="n"/>
      <c r="AI299" s="31" t="n"/>
      <c r="AJ299" s="31" t="n"/>
      <c r="AK299" s="24" t="inlineStr">
        <is>
          <t>model_qualified</t>
        </is>
      </c>
      <c r="AL299" s="26" t="n">
        <v>4</v>
      </c>
      <c r="AM299" s="24" t="inlineStr">
        <is>
          <t>QUALIFIED_SHADOW_CALL</t>
        </is>
      </c>
      <c r="AN299" s="24" t="inlineStr">
        <is>
          <t>CALL</t>
        </is>
      </c>
      <c r="AO299" s="24" t="inlineStr">
        <is>
          <t>QUALIFIED</t>
        </is>
      </c>
      <c r="AP299" s="24" t="inlineStr">
        <is>
          <t>Temple Owls</t>
        </is>
      </c>
      <c r="AQ299" s="24" t="inlineStr">
        <is>
          <t>Temple Owls</t>
        </is>
      </c>
      <c r="AR299" s="24" t="inlineStr">
        <is>
          <t>Temple Owls</t>
        </is>
      </c>
      <c r="AS299" s="24" t="inlineStr">
        <is>
          <t>Toledo Rockets</t>
        </is>
      </c>
      <c r="AT299" s="24" t="inlineStr">
        <is>
          <t>Toledo Rockets</t>
        </is>
      </c>
      <c r="AU299" s="24" t="inlineStr">
        <is>
          <t>Toledo Rockets</t>
        </is>
      </c>
      <c r="AV299" s="24" t="n"/>
      <c r="AW299" s="24" t="n"/>
      <c r="AX299" s="24" t="inlineStr">
        <is>
          <t>statistical_model</t>
        </is>
      </c>
      <c r="AY299" s="24" t="n"/>
      <c r="AZ299" s="24" t="inlineStr">
        <is>
          <t>shadow_qualified</t>
        </is>
      </c>
      <c r="BA299" s="24" t="inlineStr">
        <is>
          <t>1d168f11d221cd3c</t>
        </is>
      </c>
      <c r="BB299" s="24" t="inlineStr">
        <is>
          <t>cfb_key_number_engine</t>
        </is>
      </c>
      <c r="BC299" s="24" t="inlineStr">
        <is>
          <t>cfb-spread-v1</t>
        </is>
      </c>
      <c r="BD299" s="24" t="inlineStr">
        <is>
          <t>1d168f11d221cd3c</t>
        </is>
      </c>
      <c r="BE299" s="24" t="inlineStr">
        <is>
          <t>cfb-v1</t>
        </is>
      </c>
      <c r="BF299" s="24" t="inlineStr">
        <is>
          <t>1</t>
        </is>
      </c>
      <c r="BG299" s="24" t="inlineStr">
        <is>
          <t>1d168f11d221cd3c</t>
        </is>
      </c>
      <c r="BH299" s="24" t="inlineStr">
        <is>
          <t>2026-09-19T17:08:25.088129+00:00</t>
        </is>
      </c>
      <c r="BI299" s="24" t="inlineStr">
        <is>
          <t>["same_event","same_team_same_day","same_league_same_day"]</t>
        </is>
      </c>
      <c r="BJ299" s="25" t="n">
        <v>-5.5</v>
      </c>
      <c r="BK299" s="26" t="n">
        <v>-105</v>
      </c>
      <c r="BL299" s="27" t="n">
        <v>1.952381</v>
      </c>
      <c r="BM299" s="28" t="n">
        <v>0.512195</v>
      </c>
      <c r="BN299" s="28" t="n"/>
      <c r="BO299" s="28" t="n"/>
      <c r="BP299" s="25" t="n"/>
      <c r="BQ299" s="27" t="n"/>
      <c r="BR299" s="28" t="n"/>
      <c r="BS299" s="28" t="n"/>
      <c r="BT299" s="28" t="n"/>
      <c r="BU299" s="25" t="n"/>
      <c r="BV299" s="29" t="n"/>
      <c r="BW299" s="24" t="n"/>
      <c r="BX299" s="30" t="n"/>
      <c r="BY299" s="27" t="n"/>
      <c r="BZ299" s="24" t="n"/>
      <c r="CA299" s="31" t="n"/>
      <c r="CB299" s="24" t="n"/>
      <c r="CC299" s="24" t="n"/>
      <c r="CD299" s="24" t="n"/>
      <c r="CE299" s="24" t="n"/>
      <c r="CF299" s="24" t="n"/>
      <c r="CG299" s="24" t="n"/>
      <c r="CH299" s="24" t="n"/>
      <c r="CI299" s="24" t="n"/>
      <c r="CJ299" s="24" t="n"/>
      <c r="CK299" s="24" t="n"/>
      <c r="CL299" s="24" t="n"/>
      <c r="CM299" s="24" t="n"/>
      <c r="CN299" s="24" t="n"/>
      <c r="CO299" s="24" t="n"/>
      <c r="CP299" s="24" t="n"/>
      <c r="CQ299" s="24" t="n"/>
      <c r="CR299" s="24" t="n"/>
      <c r="CS299" s="24" t="inlineStr">
        <is>
          <t>True</t>
        </is>
      </c>
      <c r="CT299" s="24" t="n"/>
      <c r="CU299" s="24" t="n"/>
      <c r="CV299" s="24" t="n"/>
      <c r="CW299" s="24" t="n"/>
      <c r="CX299" s="24" t="n"/>
      <c r="CY299" s="24" t="n"/>
      <c r="CZ299" s="24" t="n"/>
      <c r="DA299" s="24" t="n"/>
      <c r="DB299" s="24" t="n"/>
      <c r="DC299" s="24" t="n"/>
      <c r="DD299" s="24" t="n"/>
      <c r="DE299" s="24" t="n"/>
      <c r="DF299" s="24" t="n"/>
      <c r="DG299" s="24" t="n"/>
      <c r="DH299" s="24" t="n"/>
      <c r="DI299" s="24" t="n"/>
      <c r="DJ299" s="24" t="inlineStr">
        <is>
          <t>0.512195</t>
        </is>
      </c>
      <c r="DK299" s="24" t="n"/>
      <c r="DL299" s="24" t="n"/>
      <c r="DM299" s="24" t="n"/>
      <c r="DN299" s="24" t="n"/>
      <c r="DO299" s="24" t="n"/>
      <c r="DP299" s="24" t="n"/>
      <c r="DQ299" s="24" t="inlineStr">
        <is>
          <t>{"artifact_hash": "1d168f11d221cd3c", "event_id": "401862774", "event_start_utc": "2026-09-19T19:00Z", "features": {"altitude_fatigue_penalty": 0.0, "away_team": "Temple Owls", "efficiency_gap": -0.826, "elo_away": 1292.2, "elo_home": 1592.6, "elo_home_win_prob": 0.8912, "event_id": "401862774", "game_start_utc": "2026-09-19T19:00Z", "home_field_advantage_points": 2.8, "home_team": "Toledo Rockets", "is_dome": false, "is_fbs_vs_fcs": false, "is_neutral_site": false, "projected_away_points": 19.1, "projected_home_points": 34.0, "projected_margin_home": 14.9, "projected_possessions": 12.4, "projected_total": 53.1, "stadium_elevation_ft": 600, "travel_distance_miles": 458.0, "uncertainty": 0.18, "weather_total_adjustment": 0.0}, "historical_source_observation_times_verified": false, "inference_inputs": {"engine_source_sha256": "449ba2f0e86fa9c445730076a0e0bf100fb4914620be53c75c6f3bfe24298f3f", "mu_away": 19.1, "mu_home": 34.0,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226013431823979121824094399382752511050}, "uinteger": 0}, "spread_home_line": -5.5, "total_line": 48.5}, "market_type": "spread", "model_version": "cfb-spread-v1", "observed_at_utc": "2026-09-19T17:08:25.088129+00:00", "probabilities": {"away": 0.307267, "home": 0.692733, "push": 0.0}, "replay_scope": "Full precision score means, exact engine parameters and original RNG state; upstream feature construction not certified.", "schema": "cfb-joint-replay-v1", "snapshot_hash": "68ac295c0f4650cc211daf0641afc2fb5fd86ec91569feb257930127ed0f04a2", "sport": "NCAAF"}</t>
        </is>
      </c>
    </row>
    <row r="300" ht="36" customHeight="1">
      <c r="A300" s="24" t="inlineStr">
        <is>
          <t>3f06d6fa8a72462a</t>
        </is>
      </c>
      <c r="B300" s="24" t="inlineStr">
        <is>
          <t>2026-09-19T17:08:25.088129Z</t>
        </is>
      </c>
      <c r="C300" s="24" t="inlineStr">
        <is>
          <t>2026-09-19T19:00Z</t>
        </is>
      </c>
      <c r="D300" s="24" t="inlineStr">
        <is>
          <t>401862774</t>
        </is>
      </c>
      <c r="E300" s="24" t="inlineStr">
        <is>
          <t>NCAAF</t>
        </is>
      </c>
      <c r="F300" s="24" t="inlineStr">
        <is>
          <t>Temple Owls</t>
        </is>
      </c>
      <c r="G300" s="24" t="inlineStr">
        <is>
          <t>Toledo Rockets</t>
        </is>
      </c>
      <c r="H300" s="24" t="inlineStr">
        <is>
          <t>total</t>
        </is>
      </c>
      <c r="I300" s="24" t="inlineStr">
        <is>
          <t>over</t>
        </is>
      </c>
      <c r="J300" s="25" t="n">
        <v>48.5</v>
      </c>
      <c r="K300" s="24" t="inlineStr">
        <is>
          <t>espn_consensus</t>
        </is>
      </c>
      <c r="L300" s="26" t="n">
        <v>-115</v>
      </c>
      <c r="M300" s="27" t="n">
        <v>1.869565</v>
      </c>
      <c r="N300" s="28" t="n">
        <v>0.534884</v>
      </c>
      <c r="O300" s="28" t="n">
        <v>0.541667</v>
      </c>
      <c r="P300" s="28" t="n">
        <v>0.18</v>
      </c>
      <c r="Q300" s="28" t="n">
        <v>0.006783</v>
      </c>
      <c r="R300" s="26" t="n">
        <v>0</v>
      </c>
      <c r="S300" s="29" t="n">
        <v>1</v>
      </c>
      <c r="T300" s="24" t="inlineStr">
        <is>
          <t>cfb-total-v1</t>
        </is>
      </c>
      <c r="U300" s="24" t="inlineStr">
        <is>
          <t>settled</t>
        </is>
      </c>
      <c r="V300" s="24" t="inlineStr">
        <is>
          <t>win</t>
        </is>
      </c>
      <c r="W300" s="26" t="n">
        <v>48</v>
      </c>
      <c r="X300" s="26" t="n">
        <v>49</v>
      </c>
      <c r="Y300" s="25" t="n"/>
      <c r="Z300" s="26" t="n"/>
      <c r="AA300" s="28" t="n"/>
      <c r="AB300" s="28" t="n"/>
      <c r="AC300" s="30" t="n">
        <v>0.8696</v>
      </c>
      <c r="AD300" s="24" t="inlineStr">
        <is>
          <t>2026-09-20T04:30:37.485039Z</t>
        </is>
      </c>
      <c r="AE300" s="31" t="inlineStr">
        <is>
          <t>Projected total 53.1 pts (Weather adj: +0.0 pts). Total line 48.5 -&gt; P(Over)=0.542, P(Under)=0.458, P(Push)=0.000.</t>
        </is>
      </c>
      <c r="AF300" s="31" t="inlineStr">
        <is>
          <t>College football model; multi-market (moneyline, spread, total).</t>
        </is>
      </c>
      <c r="AG300" s="24" t="inlineStr">
        <is>
          <t>not_applicable</t>
        </is>
      </c>
      <c r="AH300" s="24" t="n"/>
      <c r="AI300" s="31" t="n"/>
      <c r="AJ300" s="31" t="n"/>
      <c r="AK300" s="24" t="inlineStr">
        <is>
          <t>paper_call</t>
        </is>
      </c>
      <c r="AL300" s="26" t="n">
        <v>4</v>
      </c>
      <c r="AM300" s="24" t="inlineStr">
        <is>
          <t>RESEARCH_OBSERVATION</t>
        </is>
      </c>
      <c r="AN300" s="24" t="inlineStr">
        <is>
          <t>CALL</t>
        </is>
      </c>
      <c r="AO300" s="24" t="inlineStr">
        <is>
          <t>PAPER_CALL_LOW_EDGE</t>
        </is>
      </c>
      <c r="AP300" s="24" t="inlineStr">
        <is>
          <t>Temple Owls</t>
        </is>
      </c>
      <c r="AQ300" s="24" t="inlineStr">
        <is>
          <t>Temple Owls</t>
        </is>
      </c>
      <c r="AR300" s="24" t="inlineStr">
        <is>
          <t>Temple Owls</t>
        </is>
      </c>
      <c r="AS300" s="24" t="inlineStr">
        <is>
          <t>Toledo Rockets</t>
        </is>
      </c>
      <c r="AT300" s="24" t="inlineStr">
        <is>
          <t>Toledo Rockets</t>
        </is>
      </c>
      <c r="AU300" s="24" t="inlineStr">
        <is>
          <t>Toledo Rockets</t>
        </is>
      </c>
      <c r="AV300" s="24" t="n"/>
      <c r="AW300" s="24" t="n"/>
      <c r="AX300" s="24" t="inlineStr">
        <is>
          <t>statistical_model</t>
        </is>
      </c>
      <c r="AY300" s="24" t="n"/>
      <c r="AZ300" s="24" t="inlineStr">
        <is>
          <t>shadow_qualified</t>
        </is>
      </c>
      <c r="BA300" s="24" t="inlineStr">
        <is>
          <t>1d168f11d221cd3c</t>
        </is>
      </c>
      <c r="BB300" s="24" t="inlineStr">
        <is>
          <t>cfb_key_number_engine</t>
        </is>
      </c>
      <c r="BC300" s="24" t="inlineStr">
        <is>
          <t>cfb-total-v1</t>
        </is>
      </c>
      <c r="BD300" s="24" t="inlineStr">
        <is>
          <t>1d168f11d221cd3c</t>
        </is>
      </c>
      <c r="BE300" s="24" t="inlineStr">
        <is>
          <t>cfb-v1</t>
        </is>
      </c>
      <c r="BF300" s="24" t="inlineStr">
        <is>
          <t>1</t>
        </is>
      </c>
      <c r="BG300" s="24" t="inlineStr">
        <is>
          <t>1d168f11d221cd3c</t>
        </is>
      </c>
      <c r="BH300" s="24" t="inlineStr">
        <is>
          <t>2026-09-19T17:08:25.088129+00:00</t>
        </is>
      </c>
      <c r="BI300" s="24" t="inlineStr">
        <is>
          <t>["same_event","same_team_same_day","same_league_same_day"]</t>
        </is>
      </c>
      <c r="BJ300" s="25" t="n">
        <v>48.5</v>
      </c>
      <c r="BK300" s="26" t="n">
        <v>-115</v>
      </c>
      <c r="BL300" s="27" t="n">
        <v>1.869565</v>
      </c>
      <c r="BM300" s="28" t="n">
        <v>0.534884</v>
      </c>
      <c r="BN300" s="28" t="n"/>
      <c r="BO300" s="28" t="n"/>
      <c r="BP300" s="25" t="n"/>
      <c r="BQ300" s="27" t="n"/>
      <c r="BR300" s="28" t="n"/>
      <c r="BS300" s="28" t="n"/>
      <c r="BT300" s="28" t="n"/>
      <c r="BU300" s="25" t="n"/>
      <c r="BV300" s="29" t="n"/>
      <c r="BW300" s="24" t="n"/>
      <c r="BX300" s="30" t="n">
        <v>1</v>
      </c>
      <c r="BY300" s="27" t="n">
        <v>0.869565</v>
      </c>
      <c r="BZ300" s="24" t="inlineStr">
        <is>
          <t>2026-09-20T04:30:37.485039Z</t>
        </is>
      </c>
      <c r="CA300" s="31" t="inlineStr">
        <is>
          <t>fixed one-unit hypothetical scoring; no real exposure or execution</t>
        </is>
      </c>
      <c r="CB300" s="24" t="n"/>
      <c r="CC300" s="24" t="n"/>
      <c r="CD300" s="24" t="n"/>
      <c r="CE300" s="24" t="n"/>
      <c r="CF300" s="24" t="n"/>
      <c r="CG300" s="24" t="n"/>
      <c r="CH300" s="24" t="n"/>
      <c r="CI300" s="24" t="n"/>
      <c r="CJ300" s="24" t="n"/>
      <c r="CK300" s="24" t="n"/>
      <c r="CL300" s="24" t="n"/>
      <c r="CM300" s="24" t="n"/>
      <c r="CN300" s="24" t="n"/>
      <c r="CO300" s="24" t="n"/>
      <c r="CP300" s="24" t="n"/>
      <c r="CQ300" s="24" t="n"/>
      <c r="CR300" s="24" t="n"/>
      <c r="CS300" s="24" t="inlineStr">
        <is>
          <t>True</t>
        </is>
      </c>
      <c r="CT300" s="24" t="n"/>
      <c r="CU300" s="24" t="n"/>
      <c r="CV300" s="24" t="n"/>
      <c r="CW300" s="24" t="n"/>
      <c r="CX300" s="24" t="n"/>
      <c r="CY300" s="24" t="n"/>
      <c r="CZ300" s="24" t="n"/>
      <c r="DA300" s="24" t="n"/>
      <c r="DB300" s="24" t="n"/>
      <c r="DC300" s="24" t="n"/>
      <c r="DD300" s="24" t="n"/>
      <c r="DE300" s="24" t="n"/>
      <c r="DF300" s="24" t="n"/>
      <c r="DG300" s="24" t="n"/>
      <c r="DH300" s="24" t="n"/>
      <c r="DI300" s="24" t="n"/>
      <c r="DJ300" s="24" t="inlineStr">
        <is>
          <t>0.534884</t>
        </is>
      </c>
      <c r="DK300" s="24" t="n"/>
      <c r="DL300" s="24" t="n"/>
      <c r="DM300" s="24" t="n"/>
      <c r="DN300" s="24" t="n"/>
      <c r="DO300" s="24" t="n"/>
      <c r="DP300" s="24" t="n"/>
      <c r="DQ300" s="24" t="inlineStr">
        <is>
          <t>{"artifact_hash": "1d168f11d221cd3c", "event_id": "401862774", "event_start_utc": "2026-09-19T19:00Z", "features": {"altitude_fatigue_penalty": 0.0, "away_team": "Temple Owls", "efficiency_gap": -0.826, "elo_away": 1292.2, "elo_home": 1592.6, "elo_home_win_prob": 0.8912, "event_id": "401862774", "game_start_utc": "2026-09-19T19:00Z", "home_field_advantage_points": 2.8, "home_team": "Toledo Rockets", "is_dome": false, "is_fbs_vs_fcs": false, "is_neutral_site": false, "projected_away_points": 19.1, "projected_home_points": 34.0, "projected_margin_home": 14.9, "projected_possessions": 12.4, "projected_total": 53.1, "stadium_elevation_ft": 600, "travel_distance_miles": 458.0, "uncertainty": 0.18, "weather_total_adjustment": 0.0}, "historical_source_observation_times_verified": false, "inference_inputs": {"engine_source_sha256": "449ba2f0e86fa9c445730076a0e0bf100fb4914620be53c75c6f3bfe24298f3f", "mu_away": 19.1, "mu_home": 34.0,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226013431823979121824094399382752511050}, "uinteger": 0}, "spread_home_line": -5.5, "total_line": 48.5}, "market_type": "total", "model_version": "cfb-total-v1", "observed_at_utc": "2026-09-19T17:08:25.088129+00:00", "probabilities": {"over": 0.541667, "push": 0.0, "under": 0.458333}, "replay_scope": "Full precision score means, exact engine parameters and original RNG state; upstream feature construction not certified.", "schema": "cfb-joint-replay-v1", "snapshot_hash": "b8c39e90aec2cc7868392a8d9e05c5c7a4f03f014c137071ae4fc05f1704e763", "sport": "NCAAF"}</t>
        </is>
      </c>
    </row>
    <row r="301" ht="36" customHeight="1">
      <c r="A301" s="24" t="inlineStr">
        <is>
          <t>8ca5c51f8f4e40d3</t>
        </is>
      </c>
      <c r="B301" s="24" t="inlineStr">
        <is>
          <t>2026-09-19T17:08:25.088129Z</t>
        </is>
      </c>
      <c r="C301" s="24" t="inlineStr">
        <is>
          <t>2026-09-19T19:30Z</t>
        </is>
      </c>
      <c r="D301" s="24" t="inlineStr">
        <is>
          <t>401856694</t>
        </is>
      </c>
      <c r="E301" s="24" t="inlineStr">
        <is>
          <t>NCAAF</t>
        </is>
      </c>
      <c r="F301" s="24" t="inlineStr">
        <is>
          <t>Kentucky Wildcats</t>
        </is>
      </c>
      <c r="G301" s="24" t="inlineStr">
        <is>
          <t>Texas A&amp;M Aggies</t>
        </is>
      </c>
      <c r="H301" s="24" t="inlineStr">
        <is>
          <t>moneyline</t>
        </is>
      </c>
      <c r="I301" s="24" t="inlineStr">
        <is>
          <t>home</t>
        </is>
      </c>
      <c r="J301" s="25" t="n"/>
      <c r="K301" s="24" t="inlineStr">
        <is>
          <t>espn_consensus</t>
        </is>
      </c>
      <c r="L301" s="26" t="n">
        <v>-850</v>
      </c>
      <c r="M301" s="27" t="n">
        <v>1.117647</v>
      </c>
      <c r="N301" s="28" t="n">
        <v>0.894737</v>
      </c>
      <c r="O301" s="28" t="n">
        <v>0.802405</v>
      </c>
      <c r="P301" s="28" t="n">
        <v>0.18</v>
      </c>
      <c r="Q301" s="28" t="n">
        <v>-0.092332</v>
      </c>
      <c r="R301" s="26" t="n">
        <v>0</v>
      </c>
      <c r="S301" s="29" t="n">
        <v>1</v>
      </c>
      <c r="T301" s="24" t="inlineStr">
        <is>
          <t>college-football-v1</t>
        </is>
      </c>
      <c r="U301" s="24" t="inlineStr">
        <is>
          <t>settled</t>
        </is>
      </c>
      <c r="V301" s="24" t="inlineStr">
        <is>
          <t>loss</t>
        </is>
      </c>
      <c r="W301" s="26" t="n">
        <v>31</v>
      </c>
      <c r="X301" s="26" t="n">
        <v>21</v>
      </c>
      <c r="Y301" s="25" t="n"/>
      <c r="Z301" s="26" t="n"/>
      <c r="AA301" s="28" t="n"/>
      <c r="AB301" s="28" t="n"/>
      <c r="AC301" s="30" t="n">
        <v>-1</v>
      </c>
      <c r="AD301" s="24" t="inlineStr">
        <is>
          <t>2026-09-20T04:30:37.969834Z</t>
        </is>
      </c>
      <c r="AE301" s="31" t="inlineStr">
        <is>
          <t>CFB Joint Model (negative_binomial): proj score Kentucky Wildcats 19.6 @ Texas A&amp;M Aggies 36.0 (Margin +16.4). Possessions: 12.4, HFA: +2.8 pts.</t>
        </is>
      </c>
      <c r="AF301" s="31" t="inlineStr">
        <is>
          <t>College football model; multi-market (moneyline, spread, total).</t>
        </is>
      </c>
      <c r="AG301" s="24" t="inlineStr">
        <is>
          <t>review_required</t>
        </is>
      </c>
      <c r="AH301" s="24" t="n"/>
      <c r="AI301" s="31" t="n"/>
      <c r="AJ301" s="31" t="n"/>
      <c r="AK301" s="24" t="inlineStr">
        <is>
          <t>paper_call</t>
        </is>
      </c>
      <c r="AL301" s="26" t="n">
        <v>4</v>
      </c>
      <c r="AM301" s="24" t="inlineStr">
        <is>
          <t>RESEARCH_OBSERVATION</t>
        </is>
      </c>
      <c r="AN301" s="24" t="inlineStr">
        <is>
          <t>CALL</t>
        </is>
      </c>
      <c r="AO301" s="24" t="inlineStr">
        <is>
          <t>PAPER_CALL_LOW_EDGE</t>
        </is>
      </c>
      <c r="AP301" s="24" t="inlineStr">
        <is>
          <t>Kentucky Wildcats</t>
        </is>
      </c>
      <c r="AQ301" s="24" t="inlineStr">
        <is>
          <t>Kentucky Wildcats</t>
        </is>
      </c>
      <c r="AR301" s="24" t="inlineStr">
        <is>
          <t>Kentucky Wildcats</t>
        </is>
      </c>
      <c r="AS301" s="24" t="inlineStr">
        <is>
          <t>Texas A&amp;M Aggies</t>
        </is>
      </c>
      <c r="AT301" s="24" t="inlineStr">
        <is>
          <t>Texas A&amp;M Aggies</t>
        </is>
      </c>
      <c r="AU301" s="24" t="inlineStr">
        <is>
          <t>Texas A&amp;M Aggies</t>
        </is>
      </c>
      <c r="AV301" s="24" t="n"/>
      <c r="AW301" s="24" t="n"/>
      <c r="AX301" s="24" t="inlineStr">
        <is>
          <t>statistical_model</t>
        </is>
      </c>
      <c r="AY301" s="24" t="n"/>
      <c r="AZ301" s="24" t="inlineStr">
        <is>
          <t>shadow_qualified</t>
        </is>
      </c>
      <c r="BA301" s="24" t="inlineStr">
        <is>
          <t>1d168f11d221cd3c</t>
        </is>
      </c>
      <c r="BB301" s="24" t="inlineStr">
        <is>
          <t>cfb_key_number_engine</t>
        </is>
      </c>
      <c r="BC301" s="24" t="inlineStr">
        <is>
          <t>college-football-v1</t>
        </is>
      </c>
      <c r="BD301" s="24" t="inlineStr">
        <is>
          <t>1d168f11d221cd3c</t>
        </is>
      </c>
      <c r="BE301" s="24" t="inlineStr">
        <is>
          <t>cfb-v1</t>
        </is>
      </c>
      <c r="BF301" s="24" t="inlineStr">
        <is>
          <t>1</t>
        </is>
      </c>
      <c r="BG301" s="24" t="inlineStr">
        <is>
          <t>1d168f11d221cd3c</t>
        </is>
      </c>
      <c r="BH301" s="24" t="inlineStr">
        <is>
          <t>2026-09-19T17:08:25.088129+00:00</t>
        </is>
      </c>
      <c r="BI301" s="24" t="inlineStr">
        <is>
          <t>["same_event","same_team_same_day","same_league_same_day"]</t>
        </is>
      </c>
      <c r="BJ301" s="25" t="n"/>
      <c r="BK301" s="26" t="n">
        <v>-850</v>
      </c>
      <c r="BL301" s="27" t="n">
        <v>1.117647</v>
      </c>
      <c r="BM301" s="28" t="n">
        <v>0.894737</v>
      </c>
      <c r="BN301" s="28" t="n"/>
      <c r="BO301" s="28" t="n"/>
      <c r="BP301" s="25" t="n"/>
      <c r="BQ301" s="27" t="n"/>
      <c r="BR301" s="28" t="n"/>
      <c r="BS301" s="28" t="n"/>
      <c r="BT301" s="28" t="n"/>
      <c r="BU301" s="25" t="n"/>
      <c r="BV301" s="29" t="n"/>
      <c r="BW301" s="24" t="n"/>
      <c r="BX301" s="30" t="n">
        <v>1</v>
      </c>
      <c r="BY301" s="27" t="n">
        <v>-1</v>
      </c>
      <c r="BZ301" s="24" t="inlineStr">
        <is>
          <t>2026-09-20T04:30:37.969834Z</t>
        </is>
      </c>
      <c r="CA301" s="31" t="inlineStr">
        <is>
          <t>fixed one-unit hypothetical scoring; no real exposure or execution</t>
        </is>
      </c>
      <c r="CB301" s="24" t="n"/>
      <c r="CC301" s="24" t="n"/>
      <c r="CD301" s="24" t="n"/>
      <c r="CE301" s="24" t="n"/>
      <c r="CF301" s="24" t="n"/>
      <c r="CG301" s="24" t="n"/>
      <c r="CH301" s="24" t="n"/>
      <c r="CI301" s="24" t="n"/>
      <c r="CJ301" s="24" t="n"/>
      <c r="CK301" s="24" t="n"/>
      <c r="CL301" s="24" t="n"/>
      <c r="CM301" s="24" t="n"/>
      <c r="CN301" s="24" t="n"/>
      <c r="CO301" s="24" t="n"/>
      <c r="CP301" s="24" t="n"/>
      <c r="CQ301" s="24" t="n"/>
      <c r="CR301" s="24" t="n"/>
      <c r="CS301" s="24" t="inlineStr">
        <is>
          <t>False</t>
        </is>
      </c>
      <c r="CT301" s="24" t="n"/>
      <c r="CU301" s="24" t="n"/>
      <c r="CV301" s="24" t="n"/>
      <c r="CW301" s="24" t="n"/>
      <c r="CX301" s="24" t="n"/>
      <c r="CY301" s="24" t="n"/>
      <c r="CZ301" s="24" t="n"/>
      <c r="DA301" s="24" t="n"/>
      <c r="DB301" s="24" t="n"/>
      <c r="DC301" s="24" t="n"/>
      <c r="DD301" s="24" t="n"/>
      <c r="DE301" s="24" t="n"/>
      <c r="DF301" s="24" t="n"/>
      <c r="DG301" s="24" t="n"/>
      <c r="DH301" s="24" t="n"/>
      <c r="DI301" s="24" t="n"/>
      <c r="DJ301" s="24" t="inlineStr">
        <is>
          <t>0.894737</t>
        </is>
      </c>
      <c r="DK301" s="24" t="n"/>
      <c r="DL301" s="24" t="n"/>
      <c r="DM301" s="24" t="n"/>
      <c r="DN301" s="24" t="n"/>
      <c r="DO301" s="24" t="n"/>
      <c r="DP301" s="24" t="n"/>
      <c r="DQ301" s="24" t="inlineStr">
        <is>
          <t>{"artifact_hash": "1d168f11d221cd3c", "event_id": "401856694", "event_start_utc": "2026-09-19T19:30Z", "features": {"altitude_fatigue_penalty": 0.0, "away_team": "Kentucky Wildcats", "efficiency_gap": 0.0, "elo_away": 1323.4, "elo_home": 1660.5, "elo_home_win_prob": 0.9101, "event_id": "401856694", "game_start_utc": "2026-09-19T19:30Z", "home_field_advantage_points": 2.8, "home_team": "Texas A&amp;M Aggies", "is_dome": false, "is_fbs_vs_fcs": false, "is_neutral_site": false, "projected_away_points": 19.6, "projected_home_points": 36.0, "projected_margin_home": 16.4, "projected_possessions": 12.4, "projected_total": 55.5, "stadium_elevation_ft": 330, "travel_distance_miles": 846.0, "uncertainty": 0.18, "weather_total_adjustment": 0.0}, "historical_source_observation_times_verified": false, "inference_inputs": {"engine_source_sha256": "449ba2f0e86fa9c445730076a0e0bf100fb4914620be53c75c6f3bfe24298f3f", "mu_away": 19.6, "mu_home": 36.0,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288423473386209631268488387175422860075}, "uinteger": 0}, "spread_home_line": -16.5, "total_line": 49.5}, "market_type": "moneyline", "model_version": "college-football-v1", "observed_at_utc": "2026-09-19T17:08:25.088129+00:00", "probabilities": {"away": 0.197595, "home": 0.802405}, "replay_scope": "Full precision score means, exact engine parameters and original RNG state; upstream feature construction not certified.", "schema": "cfb-joint-replay-v1", "snapshot_hash": "03cf713c0db36a4ef9a275560742f83750feb492fad066b84eff289b9012ff28", "sport": "NCAAF"}</t>
        </is>
      </c>
    </row>
    <row r="302" ht="36" customHeight="1">
      <c r="A302" s="24" t="inlineStr">
        <is>
          <t>e1f9fd3a73454063</t>
        </is>
      </c>
      <c r="B302" s="24" t="inlineStr">
        <is>
          <t>2026-09-19T17:08:25.088129Z</t>
        </is>
      </c>
      <c r="C302" s="24" t="inlineStr">
        <is>
          <t>2026-09-19T19:30Z</t>
        </is>
      </c>
      <c r="D302" s="24" t="inlineStr">
        <is>
          <t>401856694</t>
        </is>
      </c>
      <c r="E302" s="24" t="inlineStr">
        <is>
          <t>NCAAF</t>
        </is>
      </c>
      <c r="F302" s="24" t="inlineStr">
        <is>
          <t>Kentucky Wildcats</t>
        </is>
      </c>
      <c r="G302" s="24" t="inlineStr">
        <is>
          <t>Texas A&amp;M Aggies</t>
        </is>
      </c>
      <c r="H302" s="24" t="inlineStr">
        <is>
          <t>spread</t>
        </is>
      </c>
      <c r="I302" s="24" t="inlineStr">
        <is>
          <t>away</t>
        </is>
      </c>
      <c r="J302" s="25" t="n">
        <v>16.5</v>
      </c>
      <c r="K302" s="24" t="inlineStr">
        <is>
          <t>espn_consensus</t>
        </is>
      </c>
      <c r="L302" s="26" t="n">
        <v>-102</v>
      </c>
      <c r="M302" s="27" t="n">
        <v>1.980392</v>
      </c>
      <c r="N302" s="28" t="n">
        <v>0.50495</v>
      </c>
      <c r="O302" s="28" t="n">
        <v>0.502467</v>
      </c>
      <c r="P302" s="28" t="n">
        <v>0.18</v>
      </c>
      <c r="Q302" s="28" t="n">
        <v>-0.002483</v>
      </c>
      <c r="R302" s="26" t="n">
        <v>0</v>
      </c>
      <c r="S302" s="29" t="n">
        <v>1</v>
      </c>
      <c r="T302" s="24" t="inlineStr">
        <is>
          <t>cfb-spread-v1</t>
        </is>
      </c>
      <c r="U302" s="24" t="inlineStr">
        <is>
          <t>settled</t>
        </is>
      </c>
      <c r="V302" s="24" t="inlineStr">
        <is>
          <t>win</t>
        </is>
      </c>
      <c r="W302" s="26" t="n">
        <v>31</v>
      </c>
      <c r="X302" s="26" t="n">
        <v>21</v>
      </c>
      <c r="Y302" s="25" t="n"/>
      <c r="Z302" s="26" t="n"/>
      <c r="AA302" s="28" t="n"/>
      <c r="AB302" s="28" t="n"/>
      <c r="AC302" s="30" t="n">
        <v>0.9804</v>
      </c>
      <c r="AD302" s="24" t="inlineStr">
        <is>
          <t>2026-09-20T04:30:38.393163Z</t>
        </is>
      </c>
      <c r="AE302" s="31" t="inlineStr">
        <is>
          <t>Projected home margin +16.4 pts. Spread: Home -16.5 / Away +16.5 -&gt; P(Away cover)=0.502, P(Home cover)=0.498, P(Push)=0.000.</t>
        </is>
      </c>
      <c r="AF302" s="31" t="inlineStr">
        <is>
          <t>College football model; multi-market (moneyline, spread, total).</t>
        </is>
      </c>
      <c r="AG302" s="24" t="inlineStr">
        <is>
          <t>not_applicable</t>
        </is>
      </c>
      <c r="AH302" s="24" t="n"/>
      <c r="AI302" s="31" t="n"/>
      <c r="AJ302" s="31" t="n"/>
      <c r="AK302" s="24" t="inlineStr">
        <is>
          <t>paper_call</t>
        </is>
      </c>
      <c r="AL302" s="26" t="n">
        <v>4</v>
      </c>
      <c r="AM302" s="24" t="inlineStr">
        <is>
          <t>RESEARCH_OBSERVATION</t>
        </is>
      </c>
      <c r="AN302" s="24" t="inlineStr">
        <is>
          <t>CALL</t>
        </is>
      </c>
      <c r="AO302" s="24" t="inlineStr">
        <is>
          <t>PAPER_CALL_LOW_EDGE</t>
        </is>
      </c>
      <c r="AP302" s="24" t="inlineStr">
        <is>
          <t>Kentucky Wildcats</t>
        </is>
      </c>
      <c r="AQ302" s="24" t="inlineStr">
        <is>
          <t>Kentucky Wildcats</t>
        </is>
      </c>
      <c r="AR302" s="24" t="inlineStr">
        <is>
          <t>Kentucky Wildcats</t>
        </is>
      </c>
      <c r="AS302" s="24" t="inlineStr">
        <is>
          <t>Texas A&amp;M Aggies</t>
        </is>
      </c>
      <c r="AT302" s="24" t="inlineStr">
        <is>
          <t>Texas A&amp;M Aggies</t>
        </is>
      </c>
      <c r="AU302" s="24" t="inlineStr">
        <is>
          <t>Texas A&amp;M Aggies</t>
        </is>
      </c>
      <c r="AV302" s="24" t="n"/>
      <c r="AW302" s="24" t="n"/>
      <c r="AX302" s="24" t="inlineStr">
        <is>
          <t>statistical_model</t>
        </is>
      </c>
      <c r="AY302" s="24" t="n"/>
      <c r="AZ302" s="24" t="inlineStr">
        <is>
          <t>shadow_qualified</t>
        </is>
      </c>
      <c r="BA302" s="24" t="inlineStr">
        <is>
          <t>1d168f11d221cd3c</t>
        </is>
      </c>
      <c r="BB302" s="24" t="inlineStr">
        <is>
          <t>cfb_key_number_engine</t>
        </is>
      </c>
      <c r="BC302" s="24" t="inlineStr">
        <is>
          <t>cfb-spread-v1</t>
        </is>
      </c>
      <c r="BD302" s="24" t="inlineStr">
        <is>
          <t>1d168f11d221cd3c</t>
        </is>
      </c>
      <c r="BE302" s="24" t="inlineStr">
        <is>
          <t>cfb-v1</t>
        </is>
      </c>
      <c r="BF302" s="24" t="inlineStr">
        <is>
          <t>1</t>
        </is>
      </c>
      <c r="BG302" s="24" t="inlineStr">
        <is>
          <t>1d168f11d221cd3c</t>
        </is>
      </c>
      <c r="BH302" s="24" t="inlineStr">
        <is>
          <t>2026-09-19T17:08:25.088129+00:00</t>
        </is>
      </c>
      <c r="BI302" s="24" t="inlineStr">
        <is>
          <t>["same_event","same_team_same_day","same_league_same_day"]</t>
        </is>
      </c>
      <c r="BJ302" s="25" t="n">
        <v>16.5</v>
      </c>
      <c r="BK302" s="26" t="n">
        <v>-102</v>
      </c>
      <c r="BL302" s="27" t="n">
        <v>1.980392</v>
      </c>
      <c r="BM302" s="28" t="n">
        <v>0.50495</v>
      </c>
      <c r="BN302" s="28" t="n"/>
      <c r="BO302" s="28" t="n"/>
      <c r="BP302" s="25" t="n"/>
      <c r="BQ302" s="27" t="n"/>
      <c r="BR302" s="28" t="n"/>
      <c r="BS302" s="28" t="n"/>
      <c r="BT302" s="28" t="n"/>
      <c r="BU302" s="25" t="n"/>
      <c r="BV302" s="29" t="n"/>
      <c r="BW302" s="24" t="n"/>
      <c r="BX302" s="30" t="n">
        <v>1</v>
      </c>
      <c r="BY302" s="27" t="n">
        <v>0.980392</v>
      </c>
      <c r="BZ302" s="24" t="inlineStr">
        <is>
          <t>2026-09-20T04:30:38.393163Z</t>
        </is>
      </c>
      <c r="CA302" s="31" t="inlineStr">
        <is>
          <t>fixed one-unit hypothetical scoring; no real exposure or execution</t>
        </is>
      </c>
      <c r="CB302" s="24" t="n"/>
      <c r="CC302" s="24" t="n"/>
      <c r="CD302" s="24" t="n"/>
      <c r="CE302" s="24" t="n"/>
      <c r="CF302" s="24" t="n"/>
      <c r="CG302" s="24" t="n"/>
      <c r="CH302" s="24" t="n"/>
      <c r="CI302" s="24" t="n"/>
      <c r="CJ302" s="24" t="n"/>
      <c r="CK302" s="24" t="n"/>
      <c r="CL302" s="24" t="n"/>
      <c r="CM302" s="24" t="n"/>
      <c r="CN302" s="24" t="n"/>
      <c r="CO302" s="24" t="n"/>
      <c r="CP302" s="24" t="n"/>
      <c r="CQ302" s="24" t="n"/>
      <c r="CR302" s="24" t="n"/>
      <c r="CS302" s="24" t="inlineStr">
        <is>
          <t>False</t>
        </is>
      </c>
      <c r="CT302" s="24" t="n"/>
      <c r="CU302" s="24" t="n"/>
      <c r="CV302" s="24" t="n"/>
      <c r="CW302" s="24" t="n"/>
      <c r="CX302" s="24" t="n"/>
      <c r="CY302" s="24" t="n"/>
      <c r="CZ302" s="24" t="n"/>
      <c r="DA302" s="24" t="n"/>
      <c r="DB302" s="24" t="n"/>
      <c r="DC302" s="24" t="n"/>
      <c r="DD302" s="24" t="n"/>
      <c r="DE302" s="24" t="n"/>
      <c r="DF302" s="24" t="n"/>
      <c r="DG302" s="24" t="n"/>
      <c r="DH302" s="24" t="n"/>
      <c r="DI302" s="24" t="n"/>
      <c r="DJ302" s="24" t="inlineStr">
        <is>
          <t>0.50495</t>
        </is>
      </c>
      <c r="DK302" s="24" t="n"/>
      <c r="DL302" s="24" t="n"/>
      <c r="DM302" s="24" t="n"/>
      <c r="DN302" s="24" t="n"/>
      <c r="DO302" s="24" t="n"/>
      <c r="DP302" s="24" t="n"/>
      <c r="DQ302" s="24" t="inlineStr">
        <is>
          <t>{"artifact_hash": "1d168f11d221cd3c", "event_id": "401856694", "event_start_utc": "2026-09-19T19:30Z", "features": {"altitude_fatigue_penalty": 0.0, "away_team": "Kentucky Wildcats", "efficiency_gap": 0.0, "elo_away": 1323.4, "elo_home": 1660.5, "elo_home_win_prob": 0.9101, "event_id": "401856694", "game_start_utc": "2026-09-19T19:30Z", "home_field_advantage_points": 2.8, "home_team": "Texas A&amp;M Aggies", "is_dome": false, "is_fbs_vs_fcs": false, "is_neutral_site": false, "projected_away_points": 19.6, "projected_home_points": 36.0, "projected_margin_home": 16.4, "projected_possessions": 12.4, "projected_total": 55.5, "stadium_elevation_ft": 330, "travel_distance_miles": 846.0, "uncertainty": 0.18, "weather_total_adjustment": 0.0}, "historical_source_observation_times_verified": false, "inference_inputs": {"engine_source_sha256": "449ba2f0e86fa9c445730076a0e0bf100fb4914620be53c75c6f3bfe24298f3f", "mu_away": 19.6, "mu_home": 36.0,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288423473386209631268488387175422860075}, "uinteger": 0}, "spread_home_line": -16.5, "total_line": 49.5}, "market_type": "spread", "model_version": "cfb-spread-v1", "observed_at_utc": "2026-09-19T17:08:25.088129+00:00", "probabilities": {"away": 0.502467, "home": 0.497533, "push": 0.0}, "replay_scope": "Full precision score means, exact engine parameters and original RNG state; upstream feature construction not certified.", "schema": "cfb-joint-replay-v1", "snapshot_hash": "e7cf427f1d616837ff644ca6edc537e2e7264f3d67f633913ff35c590ce0c336", "sport": "NCAAF"}</t>
        </is>
      </c>
    </row>
    <row r="303" ht="36" customHeight="1">
      <c r="A303" s="24" t="inlineStr">
        <is>
          <t>c39383c9af2e4fa4</t>
        </is>
      </c>
      <c r="B303" s="24" t="inlineStr">
        <is>
          <t>2026-09-19T17:08:25.088129Z</t>
        </is>
      </c>
      <c r="C303" s="24" t="inlineStr">
        <is>
          <t>2026-09-19T19:30Z</t>
        </is>
      </c>
      <c r="D303" s="24" t="inlineStr">
        <is>
          <t>401856694</t>
        </is>
      </c>
      <c r="E303" s="24" t="inlineStr">
        <is>
          <t>NCAAF</t>
        </is>
      </c>
      <c r="F303" s="24" t="inlineStr">
        <is>
          <t>Kentucky Wildcats</t>
        </is>
      </c>
      <c r="G303" s="24" t="inlineStr">
        <is>
          <t>Texas A&amp;M Aggies</t>
        </is>
      </c>
      <c r="H303" s="24" t="inlineStr">
        <is>
          <t>total</t>
        </is>
      </c>
      <c r="I303" s="24" t="inlineStr">
        <is>
          <t>over</t>
        </is>
      </c>
      <c r="J303" s="25" t="n">
        <v>49.5</v>
      </c>
      <c r="K303" s="24" t="inlineStr">
        <is>
          <t>espn_consensus</t>
        </is>
      </c>
      <c r="L303" s="26" t="n">
        <v>-112</v>
      </c>
      <c r="M303" s="27" t="n">
        <v>1.892857</v>
      </c>
      <c r="N303" s="28" t="n">
        <v>0.528302</v>
      </c>
      <c r="O303" s="28" t="n">
        <v>0.571533</v>
      </c>
      <c r="P303" s="28" t="n">
        <v>0.18</v>
      </c>
      <c r="Q303" s="28" t="n">
        <v>0.043231</v>
      </c>
      <c r="R303" s="26" t="n">
        <v>0</v>
      </c>
      <c r="S303" s="29" t="n">
        <v>1</v>
      </c>
      <c r="T303" s="24" t="inlineStr">
        <is>
          <t>cfb-total-v1</t>
        </is>
      </c>
      <c r="U303" s="24" t="inlineStr">
        <is>
          <t>settled</t>
        </is>
      </c>
      <c r="V303" s="24" t="inlineStr">
        <is>
          <t>win</t>
        </is>
      </c>
      <c r="W303" s="26" t="n">
        <v>31</v>
      </c>
      <c r="X303" s="26" t="n">
        <v>21</v>
      </c>
      <c r="Y303" s="25" t="n"/>
      <c r="Z303" s="26" t="n"/>
      <c r="AA303" s="28" t="n"/>
      <c r="AB303" s="28" t="n"/>
      <c r="AC303" s="30" t="n">
        <v>0.8929</v>
      </c>
      <c r="AD303" s="24" t="inlineStr">
        <is>
          <t>2026-09-20T04:30:38.925102Z</t>
        </is>
      </c>
      <c r="AE303" s="31" t="inlineStr">
        <is>
          <t>Projected total 55.5 pts (Weather adj: +0.0 pts). Total line 49.5 -&gt; P(Over)=0.572, P(Under)=0.428, P(Push)=0.000.</t>
        </is>
      </c>
      <c r="AF303" s="31" t="inlineStr">
        <is>
          <t>College football model; multi-market (moneyline, spread, total).</t>
        </is>
      </c>
      <c r="AG303" s="24" t="inlineStr">
        <is>
          <t>not_applicable</t>
        </is>
      </c>
      <c r="AH303" s="24" t="n"/>
      <c r="AI303" s="31" t="n"/>
      <c r="AJ303" s="31" t="n"/>
      <c r="AK303" s="24" t="inlineStr">
        <is>
          <t>model_qualified</t>
        </is>
      </c>
      <c r="AL303" s="26" t="n">
        <v>4</v>
      </c>
      <c r="AM303" s="24" t="inlineStr">
        <is>
          <t>QUALIFIED_SHADOW_CALL</t>
        </is>
      </c>
      <c r="AN303" s="24" t="inlineStr">
        <is>
          <t>CALL</t>
        </is>
      </c>
      <c r="AO303" s="24" t="inlineStr">
        <is>
          <t>QUALIFIED</t>
        </is>
      </c>
      <c r="AP303" s="24" t="inlineStr">
        <is>
          <t>Kentucky Wildcats</t>
        </is>
      </c>
      <c r="AQ303" s="24" t="inlineStr">
        <is>
          <t>Kentucky Wildcats</t>
        </is>
      </c>
      <c r="AR303" s="24" t="inlineStr">
        <is>
          <t>Kentucky Wildcats</t>
        </is>
      </c>
      <c r="AS303" s="24" t="inlineStr">
        <is>
          <t>Texas A&amp;M Aggies</t>
        </is>
      </c>
      <c r="AT303" s="24" t="inlineStr">
        <is>
          <t>Texas A&amp;M Aggies</t>
        </is>
      </c>
      <c r="AU303" s="24" t="inlineStr">
        <is>
          <t>Texas A&amp;M Aggies</t>
        </is>
      </c>
      <c r="AV303" s="24" t="n"/>
      <c r="AW303" s="24" t="n"/>
      <c r="AX303" s="24" t="inlineStr">
        <is>
          <t>statistical_model</t>
        </is>
      </c>
      <c r="AY303" s="24" t="n"/>
      <c r="AZ303" s="24" t="inlineStr">
        <is>
          <t>shadow_qualified</t>
        </is>
      </c>
      <c r="BA303" s="24" t="inlineStr">
        <is>
          <t>1d168f11d221cd3c</t>
        </is>
      </c>
      <c r="BB303" s="24" t="inlineStr">
        <is>
          <t>cfb_key_number_engine</t>
        </is>
      </c>
      <c r="BC303" s="24" t="inlineStr">
        <is>
          <t>cfb-total-v1</t>
        </is>
      </c>
      <c r="BD303" s="24" t="inlineStr">
        <is>
          <t>1d168f11d221cd3c</t>
        </is>
      </c>
      <c r="BE303" s="24" t="inlineStr">
        <is>
          <t>cfb-v1</t>
        </is>
      </c>
      <c r="BF303" s="24" t="inlineStr">
        <is>
          <t>1</t>
        </is>
      </c>
      <c r="BG303" s="24" t="inlineStr">
        <is>
          <t>1d168f11d221cd3c</t>
        </is>
      </c>
      <c r="BH303" s="24" t="inlineStr">
        <is>
          <t>2026-09-19T17:08:25.088129+00:00</t>
        </is>
      </c>
      <c r="BI303" s="24" t="inlineStr">
        <is>
          <t>["same_event","same_team_same_day","same_league_same_day"]</t>
        </is>
      </c>
      <c r="BJ303" s="25" t="n">
        <v>49.5</v>
      </c>
      <c r="BK303" s="26" t="n">
        <v>-112</v>
      </c>
      <c r="BL303" s="27" t="n">
        <v>1.892857</v>
      </c>
      <c r="BM303" s="28" t="n">
        <v>0.528302</v>
      </c>
      <c r="BN303" s="28" t="n"/>
      <c r="BO303" s="28" t="n"/>
      <c r="BP303" s="25" t="n"/>
      <c r="BQ303" s="27" t="n"/>
      <c r="BR303" s="28" t="n"/>
      <c r="BS303" s="28" t="n"/>
      <c r="BT303" s="28" t="n"/>
      <c r="BU303" s="25" t="n"/>
      <c r="BV303" s="29" t="n"/>
      <c r="BW303" s="24" t="n"/>
      <c r="BX303" s="30" t="n"/>
      <c r="BY303" s="27" t="n"/>
      <c r="BZ303" s="24" t="n"/>
      <c r="CA303" s="31" t="n"/>
      <c r="CB303" s="24" t="n"/>
      <c r="CC303" s="24" t="n"/>
      <c r="CD303" s="24" t="n"/>
      <c r="CE303" s="24" t="n"/>
      <c r="CF303" s="24" t="n"/>
      <c r="CG303" s="24" t="n"/>
      <c r="CH303" s="24" t="n"/>
      <c r="CI303" s="24" t="n"/>
      <c r="CJ303" s="24" t="n"/>
      <c r="CK303" s="24" t="n"/>
      <c r="CL303" s="24" t="n"/>
      <c r="CM303" s="24" t="n"/>
      <c r="CN303" s="24" t="n"/>
      <c r="CO303" s="24" t="n"/>
      <c r="CP303" s="24" t="n"/>
      <c r="CQ303" s="24" t="n"/>
      <c r="CR303" s="24" t="n"/>
      <c r="CS303" s="24" t="inlineStr">
        <is>
          <t>True</t>
        </is>
      </c>
      <c r="CT303" s="24" t="n"/>
      <c r="CU303" s="24" t="n"/>
      <c r="CV303" s="24" t="n"/>
      <c r="CW303" s="24" t="n"/>
      <c r="CX303" s="24" t="n"/>
      <c r="CY303" s="24" t="n"/>
      <c r="CZ303" s="24" t="n"/>
      <c r="DA303" s="24" t="n"/>
      <c r="DB303" s="24" t="n"/>
      <c r="DC303" s="24" t="n"/>
      <c r="DD303" s="24" t="n"/>
      <c r="DE303" s="24" t="n"/>
      <c r="DF303" s="24" t="n"/>
      <c r="DG303" s="24" t="n"/>
      <c r="DH303" s="24" t="n"/>
      <c r="DI303" s="24" t="n"/>
      <c r="DJ303" s="24" t="inlineStr">
        <is>
          <t>0.528302</t>
        </is>
      </c>
      <c r="DK303" s="24" t="n"/>
      <c r="DL303" s="24" t="n"/>
      <c r="DM303" s="24" t="n"/>
      <c r="DN303" s="24" t="n"/>
      <c r="DO303" s="24" t="n"/>
      <c r="DP303" s="24" t="n"/>
      <c r="DQ303" s="24" t="inlineStr">
        <is>
          <t>{"artifact_hash": "1d168f11d221cd3c", "event_id": "401856694", "event_start_utc": "2026-09-19T19:30Z", "features": {"altitude_fatigue_penalty": 0.0, "away_team": "Kentucky Wildcats", "efficiency_gap": 0.0, "elo_away": 1323.4, "elo_home": 1660.5, "elo_home_win_prob": 0.9101, "event_id": "401856694", "game_start_utc": "2026-09-19T19:30Z", "home_field_advantage_points": 2.8, "home_team": "Texas A&amp;M Aggies", "is_dome": false, "is_fbs_vs_fcs": false, "is_neutral_site": false, "projected_away_points": 19.6, "projected_home_points": 36.0, "projected_margin_home": 16.4, "projected_possessions": 12.4, "projected_total": 55.5, "stadium_elevation_ft": 330, "travel_distance_miles": 846.0, "uncertainty": 0.18, "weather_total_adjustment": 0.0}, "historical_source_observation_times_verified": false, "inference_inputs": {"engine_source_sha256": "449ba2f0e86fa9c445730076a0e0bf100fb4914620be53c75c6f3bfe24298f3f", "mu_away": 19.6, "mu_home": 36.0,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288423473386209631268488387175422860075}, "uinteger": 0}, "spread_home_line": -16.5, "total_line": 49.5}, "market_type": "total", "model_version": "cfb-total-v1", "observed_at_utc": "2026-09-19T17:08:25.088129+00:00", "probabilities": {"over": 0.571533, "push": 0.0, "under": 0.428467}, "replay_scope": "Full precision score means, exact engine parameters and original RNG state; upstream feature construction not certified.", "schema": "cfb-joint-replay-v1", "snapshot_hash": "507987efc23dcf7a0b82df0eeda570f5e8a469f237b8fd54c8eaf672a81744ba", "sport": "NCAAF"}</t>
        </is>
      </c>
    </row>
    <row r="304" ht="36" customHeight="1">
      <c r="A304" s="24" t="inlineStr">
        <is>
          <t>9b192f9b79ce407d</t>
        </is>
      </c>
      <c r="B304" s="24" t="inlineStr">
        <is>
          <t>2026-09-19T17:08:25.088129Z</t>
        </is>
      </c>
      <c r="C304" s="24" t="inlineStr">
        <is>
          <t>2026-09-19T19:30Z</t>
        </is>
      </c>
      <c r="D304" s="24" t="inlineStr">
        <is>
          <t>401856685</t>
        </is>
      </c>
      <c r="E304" s="24" t="inlineStr">
        <is>
          <t>NCAAF</t>
        </is>
      </c>
      <c r="F304" s="24" t="inlineStr">
        <is>
          <t>Florida State Seminoles</t>
        </is>
      </c>
      <c r="G304" s="24" t="inlineStr">
        <is>
          <t>Alabama Crimson Tide</t>
        </is>
      </c>
      <c r="H304" s="24" t="inlineStr">
        <is>
          <t>moneyline</t>
        </is>
      </c>
      <c r="I304" s="24" t="inlineStr">
        <is>
          <t>home</t>
        </is>
      </c>
      <c r="J304" s="25" t="n"/>
      <c r="K304" s="24" t="inlineStr">
        <is>
          <t>espn_consensus</t>
        </is>
      </c>
      <c r="L304" s="26" t="n">
        <v>-1350</v>
      </c>
      <c r="M304" s="27" t="n">
        <v>1.074074</v>
      </c>
      <c r="N304" s="28" t="n">
        <v>0.931034</v>
      </c>
      <c r="O304" s="28" t="n">
        <v>0.70492</v>
      </c>
      <c r="P304" s="28" t="n">
        <v>0.165</v>
      </c>
      <c r="Q304" s="28" t="n">
        <v>-0.226114</v>
      </c>
      <c r="R304" s="26" t="n">
        <v>0</v>
      </c>
      <c r="S304" s="29" t="n">
        <v>1</v>
      </c>
      <c r="T304" s="24" t="inlineStr">
        <is>
          <t>college-football-v1</t>
        </is>
      </c>
      <c r="U304" s="24" t="inlineStr">
        <is>
          <t>settled</t>
        </is>
      </c>
      <c r="V304" s="24" t="inlineStr">
        <is>
          <t>win</t>
        </is>
      </c>
      <c r="W304" s="26" t="n">
        <v>36</v>
      </c>
      <c r="X304" s="26" t="n">
        <v>50</v>
      </c>
      <c r="Y304" s="25" t="n"/>
      <c r="Z304" s="26" t="n"/>
      <c r="AA304" s="28" t="n"/>
      <c r="AB304" s="28" t="n"/>
      <c r="AC304" s="30" t="n">
        <v>0.0741</v>
      </c>
      <c r="AD304" s="24" t="inlineStr">
        <is>
          <t>2026-09-20T04:30:39.404270Z</t>
        </is>
      </c>
      <c r="AE304" s="31" t="inlineStr">
        <is>
          <t>CFB Joint Model (negative_binomial): proj score Florida State Seminoles 22.7 @ Alabama Crimson Tide 33.2 (Margin +10.5). Possessions: 12.4, HFA: +2.8 pts.</t>
        </is>
      </c>
      <c r="AF304" s="31" t="inlineStr">
        <is>
          <t>College football model; multi-market (moneyline, spread, total).</t>
        </is>
      </c>
      <c r="AG304" s="24" t="inlineStr">
        <is>
          <t>not_applicable</t>
        </is>
      </c>
      <c r="AH304" s="24" t="n"/>
      <c r="AI304" s="31" t="n"/>
      <c r="AJ304" s="31" t="n"/>
      <c r="AK304" s="24" t="inlineStr">
        <is>
          <t>paper_call</t>
        </is>
      </c>
      <c r="AL304" s="26" t="n">
        <v>4</v>
      </c>
      <c r="AM304" s="24" t="inlineStr">
        <is>
          <t>RESEARCH_OBSERVATION</t>
        </is>
      </c>
      <c r="AN304" s="24" t="inlineStr">
        <is>
          <t>CALL</t>
        </is>
      </c>
      <c r="AO304" s="24" t="inlineStr">
        <is>
          <t>PAPER_CALL_LOW_EDGE</t>
        </is>
      </c>
      <c r="AP304" s="24" t="inlineStr">
        <is>
          <t>Florida State Seminoles</t>
        </is>
      </c>
      <c r="AQ304" s="24" t="inlineStr">
        <is>
          <t>Florida State Seminoles</t>
        </is>
      </c>
      <c r="AR304" s="24" t="inlineStr">
        <is>
          <t>Florida State Seminoles</t>
        </is>
      </c>
      <c r="AS304" s="24" t="inlineStr">
        <is>
          <t>Alabama Crimson Tide</t>
        </is>
      </c>
      <c r="AT304" s="24" t="inlineStr">
        <is>
          <t>Alabama Crimson Tide</t>
        </is>
      </c>
      <c r="AU304" s="24" t="inlineStr">
        <is>
          <t>Alabama Crimson Tide</t>
        </is>
      </c>
      <c r="AV304" s="24" t="n"/>
      <c r="AW304" s="24" t="n"/>
      <c r="AX304" s="24" t="inlineStr">
        <is>
          <t>statistical_model</t>
        </is>
      </c>
      <c r="AY304" s="24" t="n"/>
      <c r="AZ304" s="24" t="inlineStr">
        <is>
          <t>shadow_qualified</t>
        </is>
      </c>
      <c r="BA304" s="24" t="inlineStr">
        <is>
          <t>1d168f11d221cd3c</t>
        </is>
      </c>
      <c r="BB304" s="24" t="inlineStr">
        <is>
          <t>cfb_key_number_engine</t>
        </is>
      </c>
      <c r="BC304" s="24" t="inlineStr">
        <is>
          <t>college-football-v1</t>
        </is>
      </c>
      <c r="BD304" s="24" t="inlineStr">
        <is>
          <t>1d168f11d221cd3c</t>
        </is>
      </c>
      <c r="BE304" s="24" t="inlineStr">
        <is>
          <t>cfb-v1</t>
        </is>
      </c>
      <c r="BF304" s="24" t="inlineStr">
        <is>
          <t>1</t>
        </is>
      </c>
      <c r="BG304" s="24" t="inlineStr">
        <is>
          <t>1d168f11d221cd3c</t>
        </is>
      </c>
      <c r="BH304" s="24" t="inlineStr">
        <is>
          <t>2026-09-19T17:08:25.088129+00:00</t>
        </is>
      </c>
      <c r="BI304" s="24" t="inlineStr">
        <is>
          <t>["same_event","same_team_same_day","same_league_same_day"]</t>
        </is>
      </c>
      <c r="BJ304" s="25" t="n"/>
      <c r="BK304" s="26" t="n">
        <v>-1350</v>
      </c>
      <c r="BL304" s="27" t="n">
        <v>1.074074</v>
      </c>
      <c r="BM304" s="28" t="n">
        <v>0.931034</v>
      </c>
      <c r="BN304" s="28" t="n"/>
      <c r="BO304" s="28" t="n"/>
      <c r="BP304" s="25" t="n"/>
      <c r="BQ304" s="27" t="n"/>
      <c r="BR304" s="28" t="n"/>
      <c r="BS304" s="28" t="n"/>
      <c r="BT304" s="28" t="n"/>
      <c r="BU304" s="25" t="n"/>
      <c r="BV304" s="29" t="n"/>
      <c r="BW304" s="24" t="n"/>
      <c r="BX304" s="30" t="n">
        <v>1</v>
      </c>
      <c r="BY304" s="27" t="n">
        <v>0.074074</v>
      </c>
      <c r="BZ304" s="24" t="inlineStr">
        <is>
          <t>2026-09-20T04:30:39.404270Z</t>
        </is>
      </c>
      <c r="CA304" s="31" t="inlineStr">
        <is>
          <t>fixed one-unit hypothetical scoring; no real exposure or execution</t>
        </is>
      </c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inlineStr">
        <is>
          <t>False</t>
        </is>
      </c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/>
      <c r="DH304" s="24" t="n"/>
      <c r="DI304" s="24" t="n"/>
      <c r="DJ304" s="24" t="inlineStr">
        <is>
          <t>0.931034</t>
        </is>
      </c>
      <c r="DK304" s="24" t="n"/>
      <c r="DL304" s="24" t="n"/>
      <c r="DM304" s="24" t="n"/>
      <c r="DN304" s="24" t="n"/>
      <c r="DO304" s="24" t="n"/>
      <c r="DP304" s="24" t="n"/>
      <c r="DQ304" s="24" t="inlineStr">
        <is>
          <t>{"artifact_hash": "1d168f11d221cd3c", "event_id": "401856685", "event_start_utc": "2026-09-19T19:30Z", "features": {"altitude_fatigue_penalty": 0.0, "away_team": "Florida State Seminoles", "efficiency_gap": 1.165, "elo_away": 1458.5, "elo_home": 1650.4, "elo_home_win_prob": 0.8144, "event_id": "401856685", "game_start_utc": "2026-09-19T19:30Z", "home_field_advantage_points": 2.8, "home_team": "Alabama Crimson Tide", "is_dome": false, "is_fbs_vs_fcs": false, "is_neutral_site": false, "projected_away_points": 22.7, "projected_home_points": 33.2, "projected_margin_home": 10.5, "projected_possessions": 12.4, "projected_total": 55.9, "stadium_elevation_ft": 223, "travel_distance_miles": 270.0, "uncertainty": 0.165, "weather_total_adjustment": 0.0}, "historical_source_observation_times_verified": false, "inference_inputs": {"engine_source_sha256": "449ba2f0e86fa9c445730076a0e0bf100fb4914620be53c75c6f3bfe24298f3f", "mu_away": 22.7, "mu_home": 33.2,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230015170758542271911121875572009394602}, "uinteger": 0}, "spread_home_line": -19.5, "total_line": 49.5}, "market_type": "moneyline", "model_version": "college-football-v1", "observed_at_utc": "2026-09-19T17:08:25.088129+00:00", "probabilities": {"away": 0.29508, "home": 0.70492}, "replay_scope": "Full precision score means, exact engine parameters and original RNG state; upstream feature construction not certified.", "schema": "cfb-joint-replay-v1", "snapshot_hash": "2a13667d5d423039993494f5fc5a768e49f1928b47559977feee4a6432c19f0a", "sport": "NCAAF"}</t>
        </is>
      </c>
    </row>
    <row r="305" ht="36" customHeight="1">
      <c r="A305" s="24" t="inlineStr">
        <is>
          <t>8d2be102dafa4d69</t>
        </is>
      </c>
      <c r="B305" s="24" t="inlineStr">
        <is>
          <t>2026-09-19T17:08:25.088129Z</t>
        </is>
      </c>
      <c r="C305" s="24" t="inlineStr">
        <is>
          <t>2026-09-19T19:30Z</t>
        </is>
      </c>
      <c r="D305" s="24" t="inlineStr">
        <is>
          <t>401856685</t>
        </is>
      </c>
      <c r="E305" s="24" t="inlineStr">
        <is>
          <t>NCAAF</t>
        </is>
      </c>
      <c r="F305" s="24" t="inlineStr">
        <is>
          <t>Florida State Seminoles</t>
        </is>
      </c>
      <c r="G305" s="24" t="inlineStr">
        <is>
          <t>Alabama Crimson Tide</t>
        </is>
      </c>
      <c r="H305" s="24" t="inlineStr">
        <is>
          <t>spread</t>
        </is>
      </c>
      <c r="I305" s="24" t="inlineStr">
        <is>
          <t>away</t>
        </is>
      </c>
      <c r="J305" s="25" t="n">
        <v>19.5</v>
      </c>
      <c r="K305" s="24" t="inlineStr">
        <is>
          <t>espn_consensus</t>
        </is>
      </c>
      <c r="L305" s="26" t="n">
        <v>-108</v>
      </c>
      <c r="M305" s="27" t="n">
        <v>1.925926</v>
      </c>
      <c r="N305" s="28" t="n">
        <v>0.519231</v>
      </c>
      <c r="O305" s="28" t="n">
        <v>0.6792</v>
      </c>
      <c r="P305" s="28" t="n">
        <v>0.165</v>
      </c>
      <c r="Q305" s="28" t="n">
        <v>0.159969</v>
      </c>
      <c r="R305" s="26" t="n">
        <v>31</v>
      </c>
      <c r="S305" s="29" t="n">
        <v>1</v>
      </c>
      <c r="T305" s="24" t="inlineStr">
        <is>
          <t>cfb-spread-v1</t>
        </is>
      </c>
      <c r="U305" s="24" t="inlineStr">
        <is>
          <t>settled</t>
        </is>
      </c>
      <c r="V305" s="24" t="inlineStr">
        <is>
          <t>win</t>
        </is>
      </c>
      <c r="W305" s="26" t="n">
        <v>36</v>
      </c>
      <c r="X305" s="26" t="n">
        <v>50</v>
      </c>
      <c r="Y305" s="25" t="n"/>
      <c r="Z305" s="26" t="n"/>
      <c r="AA305" s="28" t="n"/>
      <c r="AB305" s="28" t="n"/>
      <c r="AC305" s="30" t="n">
        <v>0.9258999999999999</v>
      </c>
      <c r="AD305" s="24" t="inlineStr">
        <is>
          <t>2026-09-20T04:30:39.825175Z</t>
        </is>
      </c>
      <c r="AE305" s="31" t="inlineStr">
        <is>
          <t>Projected home margin +10.5 pts. Spread: Home -19.5 / Away +19.5 -&gt; P(Away cover)=0.679, P(Home cover)=0.321, P(Push)=0.000.</t>
        </is>
      </c>
      <c r="AF305" s="31" t="inlineStr">
        <is>
          <t>College football model; multi-market (moneyline, spread, total).</t>
        </is>
      </c>
      <c r="AG305" s="24" t="inlineStr">
        <is>
          <t>not_applicable</t>
        </is>
      </c>
      <c r="AH305" s="24" t="n"/>
      <c r="AI305" s="31" t="n"/>
      <c r="AJ305" s="31" t="n"/>
      <c r="AK305" s="24" t="inlineStr">
        <is>
          <t>model_qualified</t>
        </is>
      </c>
      <c r="AL305" s="26" t="n">
        <v>4</v>
      </c>
      <c r="AM305" s="24" t="inlineStr">
        <is>
          <t>QUALIFIED_SHADOW_CALL</t>
        </is>
      </c>
      <c r="AN305" s="24" t="inlineStr">
        <is>
          <t>CALL</t>
        </is>
      </c>
      <c r="AO305" s="24" t="inlineStr">
        <is>
          <t>QUALIFIED</t>
        </is>
      </c>
      <c r="AP305" s="24" t="inlineStr">
        <is>
          <t>Florida State Seminoles</t>
        </is>
      </c>
      <c r="AQ305" s="24" t="inlineStr">
        <is>
          <t>Florida State Seminoles</t>
        </is>
      </c>
      <c r="AR305" s="24" t="inlineStr">
        <is>
          <t>Florida State Seminoles</t>
        </is>
      </c>
      <c r="AS305" s="24" t="inlineStr">
        <is>
          <t>Alabama Crimson Tide</t>
        </is>
      </c>
      <c r="AT305" s="24" t="inlineStr">
        <is>
          <t>Alabama Crimson Tide</t>
        </is>
      </c>
      <c r="AU305" s="24" t="inlineStr">
        <is>
          <t>Alabama Crimson Tide</t>
        </is>
      </c>
      <c r="AV305" s="24" t="n"/>
      <c r="AW305" s="24" t="n"/>
      <c r="AX305" s="24" t="inlineStr">
        <is>
          <t>statistical_model</t>
        </is>
      </c>
      <c r="AY305" s="24" t="n"/>
      <c r="AZ305" s="24" t="inlineStr">
        <is>
          <t>shadow_qualified</t>
        </is>
      </c>
      <c r="BA305" s="24" t="inlineStr">
        <is>
          <t>1d168f11d221cd3c</t>
        </is>
      </c>
      <c r="BB305" s="24" t="inlineStr">
        <is>
          <t>cfb_key_number_engine</t>
        </is>
      </c>
      <c r="BC305" s="24" t="inlineStr">
        <is>
          <t>cfb-spread-v1</t>
        </is>
      </c>
      <c r="BD305" s="24" t="inlineStr">
        <is>
          <t>1d168f11d221cd3c</t>
        </is>
      </c>
      <c r="BE305" s="24" t="inlineStr">
        <is>
          <t>cfb-v1</t>
        </is>
      </c>
      <c r="BF305" s="24" t="inlineStr">
        <is>
          <t>1</t>
        </is>
      </c>
      <c r="BG305" s="24" t="inlineStr">
        <is>
          <t>1d168f11d221cd3c</t>
        </is>
      </c>
      <c r="BH305" s="24" t="inlineStr">
        <is>
          <t>2026-09-19T17:08:25.088129+00:00</t>
        </is>
      </c>
      <c r="BI305" s="24" t="inlineStr">
        <is>
          <t>["same_event","same_team_same_day","same_league_same_day"]</t>
        </is>
      </c>
      <c r="BJ305" s="25" t="n">
        <v>19.5</v>
      </c>
      <c r="BK305" s="26" t="n">
        <v>-108</v>
      </c>
      <c r="BL305" s="27" t="n">
        <v>1.925926</v>
      </c>
      <c r="BM305" s="28" t="n">
        <v>0.519231</v>
      </c>
      <c r="BN305" s="28" t="n"/>
      <c r="BO305" s="28" t="n"/>
      <c r="BP305" s="25" t="n"/>
      <c r="BQ305" s="27" t="n"/>
      <c r="BR305" s="28" t="n"/>
      <c r="BS305" s="28" t="n"/>
      <c r="BT305" s="28" t="n"/>
      <c r="BU305" s="25" t="n"/>
      <c r="BV305" s="29" t="n"/>
      <c r="BW305" s="24" t="n"/>
      <c r="BX305" s="30" t="n"/>
      <c r="BY305" s="27" t="n"/>
      <c r="BZ305" s="24" t="n"/>
      <c r="CA305" s="31" t="n"/>
      <c r="CB305" s="24" t="n"/>
      <c r="CC305" s="24" t="n"/>
      <c r="CD305" s="24" t="n"/>
      <c r="CE305" s="24" t="n"/>
      <c r="CF305" s="24" t="n"/>
      <c r="CG305" s="24" t="n"/>
      <c r="CH305" s="24" t="n"/>
      <c r="CI305" s="24" t="n"/>
      <c r="CJ305" s="24" t="n"/>
      <c r="CK305" s="24" t="n"/>
      <c r="CL305" s="24" t="n"/>
      <c r="CM305" s="24" t="n"/>
      <c r="CN305" s="24" t="n"/>
      <c r="CO305" s="24" t="n"/>
      <c r="CP305" s="24" t="n"/>
      <c r="CQ305" s="24" t="n"/>
      <c r="CR305" s="24" t="n"/>
      <c r="CS305" s="24" t="inlineStr">
        <is>
          <t>True</t>
        </is>
      </c>
      <c r="CT305" s="24" t="n"/>
      <c r="CU305" s="24" t="n"/>
      <c r="CV305" s="24" t="n"/>
      <c r="CW305" s="24" t="n"/>
      <c r="CX305" s="24" t="n"/>
      <c r="CY305" s="24" t="n"/>
      <c r="CZ305" s="24" t="n"/>
      <c r="DA305" s="24" t="n"/>
      <c r="DB305" s="24" t="n"/>
      <c r="DC305" s="24" t="n"/>
      <c r="DD305" s="24" t="n"/>
      <c r="DE305" s="24" t="n"/>
      <c r="DF305" s="24" t="n"/>
      <c r="DG305" s="24" t="n"/>
      <c r="DH305" s="24" t="n"/>
      <c r="DI305" s="24" t="n"/>
      <c r="DJ305" s="24" t="inlineStr">
        <is>
          <t>0.519231</t>
        </is>
      </c>
      <c r="DK305" s="24" t="n"/>
      <c r="DL305" s="24" t="n"/>
      <c r="DM305" s="24" t="n"/>
      <c r="DN305" s="24" t="n"/>
      <c r="DO305" s="24" t="n"/>
      <c r="DP305" s="24" t="n"/>
      <c r="DQ305" s="24" t="inlineStr">
        <is>
          <t>{"artifact_hash": "1d168f11d221cd3c", "event_id": "401856685", "event_start_utc": "2026-09-19T19:30Z", "features": {"altitude_fatigue_penalty": 0.0, "away_team": "Florida State Seminoles", "efficiency_gap": 1.165, "elo_away": 1458.5, "elo_home": 1650.4, "elo_home_win_prob": 0.8144, "event_id": "401856685", "game_start_utc": "2026-09-19T19:30Z", "home_field_advantage_points": 2.8, "home_team": "Alabama Crimson Tide", "is_dome": false, "is_fbs_vs_fcs": false, "is_neutral_site": false, "projected_away_points": 22.7, "projected_home_points": 33.2, "projected_margin_home": 10.5, "projected_possessions": 12.4, "projected_total": 55.9, "stadium_elevation_ft": 223, "travel_distance_miles": 270.0, "uncertainty": 0.165, "weather_total_adjustment": 0.0}, "historical_source_observation_times_verified": false, "inference_inputs": {"engine_source_sha256": "449ba2f0e86fa9c445730076a0e0bf100fb4914620be53c75c6f3bfe24298f3f", "mu_away": 22.7, "mu_home": 33.2,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230015170758542271911121875572009394602}, "uinteger": 0}, "spread_home_line": -19.5, "total_line": 49.5}, "market_type": "spread", "model_version": "cfb-spread-v1", "observed_at_utc": "2026-09-19T17:08:25.088129+00:00", "probabilities": {"away": 0.6792, "home": 0.3208, "push": 0.0}, "replay_scope": "Full precision score means, exact engine parameters and original RNG state; upstream feature construction not certified.", "schema": "cfb-joint-replay-v1", "snapshot_hash": "5ea6fa4ae2b4716d95f7141103d723a7bc956bf19ac307a6de5c5ec51c7773d3", "sport": "NCAAF"}</t>
        </is>
      </c>
    </row>
    <row r="306" ht="36" customHeight="1">
      <c r="A306" s="24" t="inlineStr">
        <is>
          <t>440efd0dee2b440c</t>
        </is>
      </c>
      <c r="B306" s="24" t="inlineStr">
        <is>
          <t>2026-09-19T17:08:25.088129Z</t>
        </is>
      </c>
      <c r="C306" s="24" t="inlineStr">
        <is>
          <t>2026-09-19T19:30Z</t>
        </is>
      </c>
      <c r="D306" s="24" t="inlineStr">
        <is>
          <t>401856685</t>
        </is>
      </c>
      <c r="E306" s="24" t="inlineStr">
        <is>
          <t>NCAAF</t>
        </is>
      </c>
      <c r="F306" s="24" t="inlineStr">
        <is>
          <t>Florida State Seminoles</t>
        </is>
      </c>
      <c r="G306" s="24" t="inlineStr">
        <is>
          <t>Alabama Crimson Tide</t>
        </is>
      </c>
      <c r="H306" s="24" t="inlineStr">
        <is>
          <t>total</t>
        </is>
      </c>
      <c r="I306" s="24" t="inlineStr">
        <is>
          <t>over</t>
        </is>
      </c>
      <c r="J306" s="25" t="n">
        <v>49.5</v>
      </c>
      <c r="K306" s="24" t="inlineStr">
        <is>
          <t>espn_consensus</t>
        </is>
      </c>
      <c r="L306" s="26" t="n">
        <v>-112</v>
      </c>
      <c r="M306" s="27" t="n">
        <v>1.892857</v>
      </c>
      <c r="N306" s="28" t="n">
        <v>0.528302</v>
      </c>
      <c r="O306" s="28" t="n">
        <v>0.568267</v>
      </c>
      <c r="P306" s="28" t="n">
        <v>0.165</v>
      </c>
      <c r="Q306" s="28" t="n">
        <v>0.039965</v>
      </c>
      <c r="R306" s="26" t="n">
        <v>0</v>
      </c>
      <c r="S306" s="29" t="n">
        <v>1</v>
      </c>
      <c r="T306" s="24" t="inlineStr">
        <is>
          <t>cfb-total-v1</t>
        </is>
      </c>
      <c r="U306" s="24" t="inlineStr">
        <is>
          <t>settled</t>
        </is>
      </c>
      <c r="V306" s="24" t="inlineStr">
        <is>
          <t>win</t>
        </is>
      </c>
      <c r="W306" s="26" t="n">
        <v>36</v>
      </c>
      <c r="X306" s="26" t="n">
        <v>50</v>
      </c>
      <c r="Y306" s="25" t="n"/>
      <c r="Z306" s="26" t="n"/>
      <c r="AA306" s="28" t="n"/>
      <c r="AB306" s="28" t="n"/>
      <c r="AC306" s="30" t="n">
        <v>0.8929</v>
      </c>
      <c r="AD306" s="24" t="inlineStr">
        <is>
          <t>2026-09-20T04:30:40.305898Z</t>
        </is>
      </c>
      <c r="AE306" s="31" t="inlineStr">
        <is>
          <t>Projected total 55.9 pts (Weather adj: +0.0 pts). Total line 49.5 -&gt; P(Over)=0.568, P(Under)=0.432, P(Push)=0.000.</t>
        </is>
      </c>
      <c r="AF306" s="31" t="inlineStr">
        <is>
          <t>College football model; multi-market (moneyline, spread, total).</t>
        </is>
      </c>
      <c r="AG306" s="24" t="inlineStr">
        <is>
          <t>not_applicable</t>
        </is>
      </c>
      <c r="AH306" s="24" t="n"/>
      <c r="AI306" s="31" t="n"/>
      <c r="AJ306" s="31" t="n"/>
      <c r="AK306" s="24" t="inlineStr">
        <is>
          <t>model_qualified</t>
        </is>
      </c>
      <c r="AL306" s="26" t="n">
        <v>4</v>
      </c>
      <c r="AM306" s="24" t="inlineStr">
        <is>
          <t>QUALIFIED_SHADOW_CALL</t>
        </is>
      </c>
      <c r="AN306" s="24" t="inlineStr">
        <is>
          <t>CALL</t>
        </is>
      </c>
      <c r="AO306" s="24" t="inlineStr">
        <is>
          <t>QUALIFIED</t>
        </is>
      </c>
      <c r="AP306" s="24" t="inlineStr">
        <is>
          <t>Florida State Seminoles</t>
        </is>
      </c>
      <c r="AQ306" s="24" t="inlineStr">
        <is>
          <t>Florida State Seminoles</t>
        </is>
      </c>
      <c r="AR306" s="24" t="inlineStr">
        <is>
          <t>Florida State Seminoles</t>
        </is>
      </c>
      <c r="AS306" s="24" t="inlineStr">
        <is>
          <t>Alabama Crimson Tide</t>
        </is>
      </c>
      <c r="AT306" s="24" t="inlineStr">
        <is>
          <t>Alabama Crimson Tide</t>
        </is>
      </c>
      <c r="AU306" s="24" t="inlineStr">
        <is>
          <t>Alabama Crimson Tide</t>
        </is>
      </c>
      <c r="AV306" s="24" t="n"/>
      <c r="AW306" s="24" t="n"/>
      <c r="AX306" s="24" t="inlineStr">
        <is>
          <t>statistical_model</t>
        </is>
      </c>
      <c r="AY306" s="24" t="n"/>
      <c r="AZ306" s="24" t="inlineStr">
        <is>
          <t>shadow_qualified</t>
        </is>
      </c>
      <c r="BA306" s="24" t="inlineStr">
        <is>
          <t>1d168f11d221cd3c</t>
        </is>
      </c>
      <c r="BB306" s="24" t="inlineStr">
        <is>
          <t>cfb_key_number_engine</t>
        </is>
      </c>
      <c r="BC306" s="24" t="inlineStr">
        <is>
          <t>cfb-total-v1</t>
        </is>
      </c>
      <c r="BD306" s="24" t="inlineStr">
        <is>
          <t>1d168f11d221cd3c</t>
        </is>
      </c>
      <c r="BE306" s="24" t="inlineStr">
        <is>
          <t>cfb-v1</t>
        </is>
      </c>
      <c r="BF306" s="24" t="inlineStr">
        <is>
          <t>1</t>
        </is>
      </c>
      <c r="BG306" s="24" t="inlineStr">
        <is>
          <t>1d168f11d221cd3c</t>
        </is>
      </c>
      <c r="BH306" s="24" t="inlineStr">
        <is>
          <t>2026-09-19T17:08:25.088129+00:00</t>
        </is>
      </c>
      <c r="BI306" s="24" t="inlineStr">
        <is>
          <t>["same_event","same_team_same_day","same_league_same_day"]</t>
        </is>
      </c>
      <c r="BJ306" s="25" t="n">
        <v>49.5</v>
      </c>
      <c r="BK306" s="26" t="n">
        <v>-112</v>
      </c>
      <c r="BL306" s="27" t="n">
        <v>1.892857</v>
      </c>
      <c r="BM306" s="28" t="n">
        <v>0.528302</v>
      </c>
      <c r="BN306" s="28" t="n"/>
      <c r="BO306" s="28" t="n"/>
      <c r="BP306" s="25" t="n"/>
      <c r="BQ306" s="27" t="n"/>
      <c r="BR306" s="28" t="n"/>
      <c r="BS306" s="28" t="n"/>
      <c r="BT306" s="28" t="n"/>
      <c r="BU306" s="25" t="n"/>
      <c r="BV306" s="29" t="n"/>
      <c r="BW306" s="24" t="n"/>
      <c r="BX306" s="30" t="n"/>
      <c r="BY306" s="27" t="n"/>
      <c r="BZ306" s="24" t="n"/>
      <c r="CA306" s="31" t="n"/>
      <c r="CB306" s="24" t="n"/>
      <c r="CC306" s="24" t="n"/>
      <c r="CD306" s="24" t="n"/>
      <c r="CE306" s="24" t="n"/>
      <c r="CF306" s="24" t="n"/>
      <c r="CG306" s="24" t="n"/>
      <c r="CH306" s="24" t="n"/>
      <c r="CI306" s="24" t="n"/>
      <c r="CJ306" s="24" t="n"/>
      <c r="CK306" s="24" t="n"/>
      <c r="CL306" s="24" t="n"/>
      <c r="CM306" s="24" t="n"/>
      <c r="CN306" s="24" t="n"/>
      <c r="CO306" s="24" t="n"/>
      <c r="CP306" s="24" t="n"/>
      <c r="CQ306" s="24" t="n"/>
      <c r="CR306" s="24" t="n"/>
      <c r="CS306" s="24" t="inlineStr">
        <is>
          <t>True</t>
        </is>
      </c>
      <c r="CT306" s="24" t="n"/>
      <c r="CU306" s="24" t="n"/>
      <c r="CV306" s="24" t="n"/>
      <c r="CW306" s="24" t="n"/>
      <c r="CX306" s="24" t="n"/>
      <c r="CY306" s="24" t="n"/>
      <c r="CZ306" s="24" t="n"/>
      <c r="DA306" s="24" t="n"/>
      <c r="DB306" s="24" t="n"/>
      <c r="DC306" s="24" t="n"/>
      <c r="DD306" s="24" t="n"/>
      <c r="DE306" s="24" t="n"/>
      <c r="DF306" s="24" t="n"/>
      <c r="DG306" s="24" t="n"/>
      <c r="DH306" s="24" t="n"/>
      <c r="DI306" s="24" t="n"/>
      <c r="DJ306" s="24" t="inlineStr">
        <is>
          <t>0.528302</t>
        </is>
      </c>
      <c r="DK306" s="24" t="n"/>
      <c r="DL306" s="24" t="n"/>
      <c r="DM306" s="24" t="n"/>
      <c r="DN306" s="24" t="n"/>
      <c r="DO306" s="24" t="n"/>
      <c r="DP306" s="24" t="n"/>
      <c r="DQ306" s="24" t="inlineStr">
        <is>
          <t>{"artifact_hash": "1d168f11d221cd3c", "event_id": "401856685", "event_start_utc": "2026-09-19T19:30Z", "features": {"altitude_fatigue_penalty": 0.0, "away_team": "Florida State Seminoles", "efficiency_gap": 1.165, "elo_away": 1458.5, "elo_home": 1650.4, "elo_home_win_prob": 0.8144, "event_id": "401856685", "game_start_utc": "2026-09-19T19:30Z", "home_field_advantage_points": 2.8, "home_team": "Alabama Crimson Tide", "is_dome": false, "is_fbs_vs_fcs": false, "is_neutral_site": false, "projected_away_points": 22.7, "projected_home_points": 33.2, "projected_margin_home": 10.5, "projected_possessions": 12.4, "projected_total": 55.9, "stadium_elevation_ft": 223, "travel_distance_miles": 270.0, "uncertainty": 0.165, "weather_total_adjustment": 0.0}, "historical_source_observation_times_verified": false, "inference_inputs": {"engine_source_sha256": "449ba2f0e86fa9c445730076a0e0bf100fb4914620be53c75c6f3bfe24298f3f", "mu_away": 22.7, "mu_home": 33.2,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230015170758542271911121875572009394602}, "uinteger": 0}, "spread_home_line": -19.5, "total_line": 49.5}, "market_type": "total", "model_version": "cfb-total-v1", "observed_at_utc": "2026-09-19T17:08:25.088129+00:00", "probabilities": {"over": 0.568267, "push": 0.0, "under": 0.431733}, "replay_scope": "Full precision score means, exact engine parameters and original RNG state; upstream feature construction not certified.", "schema": "cfb-joint-replay-v1", "snapshot_hash": "315450e919001eacc6c8c281e532f03b0d52c360d229314e5903c7186973ccec", "sport": "NCAAF"}</t>
        </is>
      </c>
    </row>
    <row r="307" ht="36" customHeight="1">
      <c r="A307" s="24" t="inlineStr">
        <is>
          <t>41302d3d544d45c2</t>
        </is>
      </c>
      <c r="B307" s="24" t="inlineStr">
        <is>
          <t>2026-09-19T17:08:25.088129Z</t>
        </is>
      </c>
      <c r="C307" s="24" t="inlineStr">
        <is>
          <t>2026-09-19T19:30Z</t>
        </is>
      </c>
      <c r="D307" s="24" t="inlineStr">
        <is>
          <t>401858457</t>
        </is>
      </c>
      <c r="E307" s="24" t="inlineStr">
        <is>
          <t>NCAAF</t>
        </is>
      </c>
      <c r="F307" s="24" t="inlineStr">
        <is>
          <t>USC Trojans</t>
        </is>
      </c>
      <c r="G307" s="24" t="inlineStr">
        <is>
          <t>Rutgers Scarlet Knights</t>
        </is>
      </c>
      <c r="H307" s="24" t="inlineStr">
        <is>
          <t>moneyline</t>
        </is>
      </c>
      <c r="I307" s="24" t="inlineStr">
        <is>
          <t>away</t>
        </is>
      </c>
      <c r="J307" s="25" t="n"/>
      <c r="K307" s="24" t="inlineStr">
        <is>
          <t>espn_consensus</t>
        </is>
      </c>
      <c r="L307" s="26" t="n">
        <v>-2100</v>
      </c>
      <c r="M307" s="27" t="n">
        <v>1.047619</v>
      </c>
      <c r="N307" s="28" t="n">
        <v>0.954545</v>
      </c>
      <c r="O307" s="28" t="n">
        <v>0.765181</v>
      </c>
      <c r="P307" s="28" t="n">
        <v>0.165</v>
      </c>
      <c r="Q307" s="28" t="n">
        <v>-0.189364</v>
      </c>
      <c r="R307" s="26" t="n">
        <v>0</v>
      </c>
      <c r="S307" s="29" t="n">
        <v>1</v>
      </c>
      <c r="T307" s="24" t="inlineStr">
        <is>
          <t>college-football-v1</t>
        </is>
      </c>
      <c r="U307" s="24" t="inlineStr">
        <is>
          <t>settled</t>
        </is>
      </c>
      <c r="V307" s="24" t="inlineStr">
        <is>
          <t>win</t>
        </is>
      </c>
      <c r="W307" s="26" t="n">
        <v>42</v>
      </c>
      <c r="X307" s="26" t="n">
        <v>35</v>
      </c>
      <c r="Y307" s="25" t="n"/>
      <c r="Z307" s="26" t="n"/>
      <c r="AA307" s="28" t="n"/>
      <c r="AB307" s="28" t="n"/>
      <c r="AC307" s="30" t="n">
        <v>0.0476</v>
      </c>
      <c r="AD307" s="24" t="inlineStr">
        <is>
          <t>2026-09-20T04:30:40.842876Z</t>
        </is>
      </c>
      <c r="AE307" s="31" t="inlineStr">
        <is>
          <t>CFB Joint Model (negative_binomial): proj score USC Trojans 34.8 @ Rutgers Scarlet Knights 20.6 (Margin -14.2). Possessions: 12.4, HFA: +2.8 pts.</t>
        </is>
      </c>
      <c r="AF307" s="31" t="inlineStr">
        <is>
          <t>College football model; multi-market (moneyline, spread, total).</t>
        </is>
      </c>
      <c r="AG307" s="24" t="inlineStr">
        <is>
          <t>not_applicable</t>
        </is>
      </c>
      <c r="AH307" s="24" t="n"/>
      <c r="AI307" s="31" t="n"/>
      <c r="AJ307" s="31" t="n"/>
      <c r="AK307" s="24" t="inlineStr">
        <is>
          <t>paper_call</t>
        </is>
      </c>
      <c r="AL307" s="26" t="n">
        <v>4</v>
      </c>
      <c r="AM307" s="24" t="inlineStr">
        <is>
          <t>RESEARCH_OBSERVATION</t>
        </is>
      </c>
      <c r="AN307" s="24" t="inlineStr">
        <is>
          <t>CALL</t>
        </is>
      </c>
      <c r="AO307" s="24" t="inlineStr">
        <is>
          <t>PAPER_CALL_LOW_EDGE</t>
        </is>
      </c>
      <c r="AP307" s="24" t="inlineStr">
        <is>
          <t>USC Trojans</t>
        </is>
      </c>
      <c r="AQ307" s="24" t="inlineStr">
        <is>
          <t>USC Trojans</t>
        </is>
      </c>
      <c r="AR307" s="24" t="inlineStr">
        <is>
          <t>USC Trojans</t>
        </is>
      </c>
      <c r="AS307" s="24" t="inlineStr">
        <is>
          <t>Rutgers Scarlet Knights</t>
        </is>
      </c>
      <c r="AT307" s="24" t="inlineStr">
        <is>
          <t>Rutgers Scarlet Knights</t>
        </is>
      </c>
      <c r="AU307" s="24" t="inlineStr">
        <is>
          <t>Rutgers Scarlet Knights</t>
        </is>
      </c>
      <c r="AV307" s="24" t="n"/>
      <c r="AW307" s="24" t="n"/>
      <c r="AX307" s="24" t="inlineStr">
        <is>
          <t>statistical_model</t>
        </is>
      </c>
      <c r="AY307" s="24" t="n"/>
      <c r="AZ307" s="24" t="inlineStr">
        <is>
          <t>shadow_qualified</t>
        </is>
      </c>
      <c r="BA307" s="24" t="inlineStr">
        <is>
          <t>1d168f11d221cd3c</t>
        </is>
      </c>
      <c r="BB307" s="24" t="inlineStr">
        <is>
          <t>cfb_key_number_engine</t>
        </is>
      </c>
      <c r="BC307" s="24" t="inlineStr">
        <is>
          <t>college-football-v1</t>
        </is>
      </c>
      <c r="BD307" s="24" t="inlineStr">
        <is>
          <t>1d168f11d221cd3c</t>
        </is>
      </c>
      <c r="BE307" s="24" t="inlineStr">
        <is>
          <t>cfb-v1</t>
        </is>
      </c>
      <c r="BF307" s="24" t="inlineStr">
        <is>
          <t>1</t>
        </is>
      </c>
      <c r="BG307" s="24" t="inlineStr">
        <is>
          <t>1d168f11d221cd3c</t>
        </is>
      </c>
      <c r="BH307" s="24" t="inlineStr">
        <is>
          <t>2026-09-19T17:08:25.088129+00:00</t>
        </is>
      </c>
      <c r="BI307" s="24" t="inlineStr">
        <is>
          <t>["same_event","same_team_same_day","same_league_same_day"]</t>
        </is>
      </c>
      <c r="BJ307" s="25" t="n"/>
      <c r="BK307" s="26" t="n">
        <v>-2100</v>
      </c>
      <c r="BL307" s="27" t="n">
        <v>1.047619</v>
      </c>
      <c r="BM307" s="28" t="n">
        <v>0.954545</v>
      </c>
      <c r="BN307" s="28" t="n"/>
      <c r="BO307" s="28" t="n"/>
      <c r="BP307" s="25" t="n"/>
      <c r="BQ307" s="27" t="n"/>
      <c r="BR307" s="28" t="n"/>
      <c r="BS307" s="28" t="n"/>
      <c r="BT307" s="28" t="n"/>
      <c r="BU307" s="25" t="n"/>
      <c r="BV307" s="29" t="n"/>
      <c r="BW307" s="24" t="n"/>
      <c r="BX307" s="30" t="n">
        <v>1</v>
      </c>
      <c r="BY307" s="27" t="n">
        <v>0.047619</v>
      </c>
      <c r="BZ307" s="24" t="inlineStr">
        <is>
          <t>2026-09-20T04:30:40.842876Z</t>
        </is>
      </c>
      <c r="CA307" s="31" t="inlineStr">
        <is>
          <t>fixed one-unit hypothetical scoring; no real exposure or execution</t>
        </is>
      </c>
      <c r="CB307" s="24" t="n"/>
      <c r="CC307" s="24" t="n"/>
      <c r="CD307" s="24" t="n"/>
      <c r="CE307" s="24" t="n"/>
      <c r="CF307" s="24" t="n"/>
      <c r="CG307" s="24" t="n"/>
      <c r="CH307" s="24" t="n"/>
      <c r="CI307" s="24" t="n"/>
      <c r="CJ307" s="24" t="n"/>
      <c r="CK307" s="24" t="n"/>
      <c r="CL307" s="24" t="n"/>
      <c r="CM307" s="24" t="n"/>
      <c r="CN307" s="24" t="n"/>
      <c r="CO307" s="24" t="n"/>
      <c r="CP307" s="24" t="n"/>
      <c r="CQ307" s="24" t="n"/>
      <c r="CR307" s="24" t="n"/>
      <c r="CS307" s="24" t="inlineStr">
        <is>
          <t>False</t>
        </is>
      </c>
      <c r="CT307" s="24" t="n"/>
      <c r="CU307" s="24" t="n"/>
      <c r="CV307" s="24" t="n"/>
      <c r="CW307" s="24" t="n"/>
      <c r="CX307" s="24" t="n"/>
      <c r="CY307" s="24" t="n"/>
      <c r="CZ307" s="24" t="n"/>
      <c r="DA307" s="24" t="n"/>
      <c r="DB307" s="24" t="n"/>
      <c r="DC307" s="24" t="n"/>
      <c r="DD307" s="24" t="n"/>
      <c r="DE307" s="24" t="n"/>
      <c r="DF307" s="24" t="n"/>
      <c r="DG307" s="24" t="n"/>
      <c r="DH307" s="24" t="n"/>
      <c r="DI307" s="24" t="n"/>
      <c r="DJ307" s="24" t="inlineStr">
        <is>
          <t>0.954545</t>
        </is>
      </c>
      <c r="DK307" s="24" t="n"/>
      <c r="DL307" s="24" t="n"/>
      <c r="DM307" s="24" t="n"/>
      <c r="DN307" s="24" t="n"/>
      <c r="DO307" s="24" t="n"/>
      <c r="DP307" s="24" t="n"/>
      <c r="DQ307" s="24" t="inlineStr">
        <is>
          <t>{"artifact_hash": "1d168f11d221cd3c", "event_id": "401858457", "event_start_utc": "2026-09-19T19:30Z", "features": {"altitude_fatigue_penalty": 0.0, "away_team": "USC Trojans", "efficiency_gap": -1.228, "elo_away": 1724.5, "elo_home": 1301.2, "elo_home_win_prob": 0.1128, "event_id": "401858457", "game_start_utc": "2026-09-19T19:30Z", "home_field_advantage_points": 2.8, "home_team": "Rutgers Scarlet Knights", "is_dome": false, "is_fbs_vs_fcs": false, "is_neutral_site": false, "projected_away_points": 34.8, "projected_home_points": 20.6, "projected_margin_home": -14.2, "projected_possessions": 12.4, "projected_total": 55.4, "stadium_elevation_ft": 80, "travel_distance_miles": 2426.0, "uncertainty": 0.165, "weather_total_adjustment": 0.0}, "historical_source_observation_times_verified": false, "inference_inputs": {"engine_source_sha256": "449ba2f0e86fa9c445730076a0e0bf100fb4914620be53c75c6f3bfe24298f3f", "mu_away": 34.8, "mu_home": 20.6,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7363111654640818515571315067581837492}, "uinteger": 0}, "spread_home_line": 21.0, "total_line": 57.5}, "market_type": "moneyline", "model_version": "college-football-v1", "observed_at_utc": "2026-09-19T17:08:25.088129+00:00", "probabilities": {"away": 0.765181, "home": 0.234819}, "replay_scope": "Full precision score means, exact engine parameters and original RNG state; upstream feature construction not certified.", "schema": "cfb-joint-replay-v1", "snapshot_hash": "23ef3325d12c1b8af05a0487cf21c07d4895cd5852fdee491973b4ec4b101d12", "sport": "NCAAF"}</t>
        </is>
      </c>
    </row>
    <row r="308" ht="36" customHeight="1">
      <c r="A308" s="24" t="inlineStr">
        <is>
          <t>ed7f22650dc24fda</t>
        </is>
      </c>
      <c r="B308" s="24" t="inlineStr">
        <is>
          <t>2026-09-19T17:08:25.088129Z</t>
        </is>
      </c>
      <c r="C308" s="24" t="inlineStr">
        <is>
          <t>2026-09-19T19:30Z</t>
        </is>
      </c>
      <c r="D308" s="24" t="inlineStr">
        <is>
          <t>401858457</t>
        </is>
      </c>
      <c r="E308" s="24" t="inlineStr">
        <is>
          <t>NCAAF</t>
        </is>
      </c>
      <c r="F308" s="24" t="inlineStr">
        <is>
          <t>USC Trojans</t>
        </is>
      </c>
      <c r="G308" s="24" t="inlineStr">
        <is>
          <t>Rutgers Scarlet Knights</t>
        </is>
      </c>
      <c r="H308" s="24" t="inlineStr">
        <is>
          <t>spread</t>
        </is>
      </c>
      <c r="I308" s="24" t="inlineStr">
        <is>
          <t>home</t>
        </is>
      </c>
      <c r="J308" s="25" t="n">
        <v>21</v>
      </c>
      <c r="K308" s="24" t="inlineStr">
        <is>
          <t>espn_consensus</t>
        </is>
      </c>
      <c r="L308" s="26" t="n">
        <v>-105</v>
      </c>
      <c r="M308" s="27" t="n">
        <v>1.952381</v>
      </c>
      <c r="N308" s="28" t="n">
        <v>0.512195</v>
      </c>
      <c r="O308" s="28" t="n">
        <v>0.6352</v>
      </c>
      <c r="P308" s="28" t="n">
        <v>0.165</v>
      </c>
      <c r="Q308" s="28" t="n">
        <v>0.123005</v>
      </c>
      <c r="R308" s="26" t="n">
        <v>13</v>
      </c>
      <c r="S308" s="29" t="n">
        <v>1</v>
      </c>
      <c r="T308" s="24" t="inlineStr">
        <is>
          <t>cfb-spread-v1</t>
        </is>
      </c>
      <c r="U308" s="24" t="inlineStr">
        <is>
          <t>settled</t>
        </is>
      </c>
      <c r="V308" s="24" t="inlineStr">
        <is>
          <t>win</t>
        </is>
      </c>
      <c r="W308" s="26" t="n">
        <v>42</v>
      </c>
      <c r="X308" s="26" t="n">
        <v>35</v>
      </c>
      <c r="Y308" s="25" t="n"/>
      <c r="Z308" s="26" t="n"/>
      <c r="AA308" s="28" t="n"/>
      <c r="AB308" s="28" t="n"/>
      <c r="AC308" s="30" t="n">
        <v>0.9524</v>
      </c>
      <c r="AD308" s="24" t="inlineStr">
        <is>
          <t>2026-09-20T04:30:41.261458Z</t>
        </is>
      </c>
      <c r="AE308" s="31" t="inlineStr">
        <is>
          <t>Projected home margin -14.2 pts. Spread: Home +21.0 / Away -21.0 -&gt; P(Away cover)=0.343, P(Home cover)=0.635, P(Push)=0.021.</t>
        </is>
      </c>
      <c r="AF308" s="31" t="inlineStr">
        <is>
          <t>College football model; multi-market (moneyline, spread, total).</t>
        </is>
      </c>
      <c r="AG308" s="24" t="inlineStr">
        <is>
          <t>not_applicable</t>
        </is>
      </c>
      <c r="AH308" s="24" t="n"/>
      <c r="AI308" s="31" t="n"/>
      <c r="AJ308" s="31" t="n"/>
      <c r="AK308" s="24" t="inlineStr">
        <is>
          <t>model_qualified</t>
        </is>
      </c>
      <c r="AL308" s="26" t="n">
        <v>4</v>
      </c>
      <c r="AM308" s="24" t="inlineStr">
        <is>
          <t>QUALIFIED_SHADOW_CALL</t>
        </is>
      </c>
      <c r="AN308" s="24" t="inlineStr">
        <is>
          <t>CALL</t>
        </is>
      </c>
      <c r="AO308" s="24" t="inlineStr">
        <is>
          <t>QUALIFIED</t>
        </is>
      </c>
      <c r="AP308" s="24" t="inlineStr">
        <is>
          <t>USC Trojans</t>
        </is>
      </c>
      <c r="AQ308" s="24" t="inlineStr">
        <is>
          <t>USC Trojans</t>
        </is>
      </c>
      <c r="AR308" s="24" t="inlineStr">
        <is>
          <t>USC Trojans</t>
        </is>
      </c>
      <c r="AS308" s="24" t="inlineStr">
        <is>
          <t>Rutgers Scarlet Knights</t>
        </is>
      </c>
      <c r="AT308" s="24" t="inlineStr">
        <is>
          <t>Rutgers Scarlet Knights</t>
        </is>
      </c>
      <c r="AU308" s="24" t="inlineStr">
        <is>
          <t>Rutgers Scarlet Knights</t>
        </is>
      </c>
      <c r="AV308" s="24" t="n"/>
      <c r="AW308" s="24" t="n"/>
      <c r="AX308" s="24" t="inlineStr">
        <is>
          <t>statistical_model</t>
        </is>
      </c>
      <c r="AY308" s="24" t="n"/>
      <c r="AZ308" s="24" t="inlineStr">
        <is>
          <t>shadow_qualified</t>
        </is>
      </c>
      <c r="BA308" s="24" t="inlineStr">
        <is>
          <t>1d168f11d221cd3c</t>
        </is>
      </c>
      <c r="BB308" s="24" t="inlineStr">
        <is>
          <t>cfb_key_number_engine</t>
        </is>
      </c>
      <c r="BC308" s="24" t="inlineStr">
        <is>
          <t>cfb-spread-v1</t>
        </is>
      </c>
      <c r="BD308" s="24" t="inlineStr">
        <is>
          <t>1d168f11d221cd3c</t>
        </is>
      </c>
      <c r="BE308" s="24" t="inlineStr">
        <is>
          <t>cfb-v1</t>
        </is>
      </c>
      <c r="BF308" s="24" t="inlineStr">
        <is>
          <t>1</t>
        </is>
      </c>
      <c r="BG308" s="24" t="inlineStr">
        <is>
          <t>1d168f11d221cd3c</t>
        </is>
      </c>
      <c r="BH308" s="24" t="inlineStr">
        <is>
          <t>2026-09-19T17:08:25.088129+00:00</t>
        </is>
      </c>
      <c r="BI308" s="24" t="inlineStr">
        <is>
          <t>["same_event","same_team_same_day","same_league_same_day"]</t>
        </is>
      </c>
      <c r="BJ308" s="25" t="n">
        <v>21</v>
      </c>
      <c r="BK308" s="26" t="n">
        <v>-105</v>
      </c>
      <c r="BL308" s="27" t="n">
        <v>1.952381</v>
      </c>
      <c r="BM308" s="28" t="n">
        <v>0.512195</v>
      </c>
      <c r="BN308" s="28" t="n"/>
      <c r="BO308" s="28" t="n"/>
      <c r="BP308" s="25" t="n"/>
      <c r="BQ308" s="27" t="n"/>
      <c r="BR308" s="28" t="n"/>
      <c r="BS308" s="28" t="n"/>
      <c r="BT308" s="28" t="n"/>
      <c r="BU308" s="25" t="n"/>
      <c r="BV308" s="29" t="n"/>
      <c r="BW308" s="24" t="n"/>
      <c r="BX308" s="30" t="n"/>
      <c r="BY308" s="27" t="n"/>
      <c r="BZ308" s="24" t="n"/>
      <c r="CA308" s="31" t="n"/>
      <c r="CB308" s="24" t="n"/>
      <c r="CC308" s="24" t="n"/>
      <c r="CD308" s="24" t="n"/>
      <c r="CE308" s="24" t="n"/>
      <c r="CF308" s="24" t="n"/>
      <c r="CG308" s="24" t="n"/>
      <c r="CH308" s="24" t="n"/>
      <c r="CI308" s="24" t="n"/>
      <c r="CJ308" s="24" t="n"/>
      <c r="CK308" s="24" t="n"/>
      <c r="CL308" s="24" t="n"/>
      <c r="CM308" s="24" t="n"/>
      <c r="CN308" s="24" t="n"/>
      <c r="CO308" s="24" t="n"/>
      <c r="CP308" s="24" t="n"/>
      <c r="CQ308" s="24" t="n"/>
      <c r="CR308" s="24" t="n"/>
      <c r="CS308" s="24" t="inlineStr">
        <is>
          <t>True</t>
        </is>
      </c>
      <c r="CT308" s="24" t="n"/>
      <c r="CU308" s="24" t="n"/>
      <c r="CV308" s="24" t="n"/>
      <c r="CW308" s="24" t="n"/>
      <c r="CX308" s="24" t="n"/>
      <c r="CY308" s="24" t="n"/>
      <c r="CZ308" s="24" t="n"/>
      <c r="DA308" s="24" t="n"/>
      <c r="DB308" s="24" t="n"/>
      <c r="DC308" s="24" t="n"/>
      <c r="DD308" s="24" t="n"/>
      <c r="DE308" s="24" t="n"/>
      <c r="DF308" s="24" t="n"/>
      <c r="DG308" s="24" t="n"/>
      <c r="DH308" s="24" t="n"/>
      <c r="DI308" s="24" t="n"/>
      <c r="DJ308" s="24" t="inlineStr">
        <is>
          <t>0.512195</t>
        </is>
      </c>
      <c r="DK308" s="24" t="n"/>
      <c r="DL308" s="24" t="n"/>
      <c r="DM308" s="24" t="n"/>
      <c r="DN308" s="24" t="n"/>
      <c r="DO308" s="24" t="n"/>
      <c r="DP308" s="24" t="n"/>
      <c r="DQ308" s="24" t="inlineStr">
        <is>
          <t>{"artifact_hash": "1d168f11d221cd3c", "event_id": "401858457", "event_start_utc": "2026-09-19T19:30Z", "features": {"altitude_fatigue_penalty": 0.0, "away_team": "USC Trojans", "efficiency_gap": -1.228, "elo_away": 1724.5, "elo_home": 1301.2, "elo_home_win_prob": 0.1128, "event_id": "401858457", "game_start_utc": "2026-09-19T19:30Z", "home_field_advantage_points": 2.8, "home_team": "Rutgers Scarlet Knights", "is_dome": false, "is_fbs_vs_fcs": false, "is_neutral_site": false, "projected_away_points": 34.8, "projected_home_points": 20.6, "projected_margin_home": -14.2, "projected_possessions": 12.4, "projected_total": 55.4, "stadium_elevation_ft": 80, "travel_distance_miles": 2426.0, "uncertainty": 0.165, "weather_total_adjustment": 0.0}, "historical_source_observation_times_verified": false, "inference_inputs": {"engine_source_sha256": "449ba2f0e86fa9c445730076a0e0bf100fb4914620be53c75c6f3bfe24298f3f", "mu_away": 34.8, "mu_home": 20.6,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7363111654640818515571315067581837492}, "uinteger": 0}, "spread_home_line": 21.0, "total_line": 57.5}, "market_type": "spread", "model_version": "cfb-spread-v1", "observed_at_utc": "2026-09-19T17:08:25.088129+00:00", "probabilities": {"away": 0.3434, "home": 0.6352, "push": 0.0214}, "replay_scope": "Full precision score means, exact engine parameters and original RNG state; upstream feature construction not certified.", "schema": "cfb-joint-replay-v1", "snapshot_hash": "8970ca623f05d17f98169c821730c7c9a6f9e79917c7aebf2b104a37de2348b0", "sport": "NCAAF"}</t>
        </is>
      </c>
    </row>
    <row r="309" ht="36" customHeight="1">
      <c r="A309" s="24" t="inlineStr">
        <is>
          <t>d02114386f044a01</t>
        </is>
      </c>
      <c r="B309" s="24" t="inlineStr">
        <is>
          <t>2026-09-19T17:08:25.088129Z</t>
        </is>
      </c>
      <c r="C309" s="24" t="inlineStr">
        <is>
          <t>2026-09-19T19:30Z</t>
        </is>
      </c>
      <c r="D309" s="24" t="inlineStr">
        <is>
          <t>401858457</t>
        </is>
      </c>
      <c r="E309" s="24" t="inlineStr">
        <is>
          <t>NCAAF</t>
        </is>
      </c>
      <c r="F309" s="24" t="inlineStr">
        <is>
          <t>USC Trojans</t>
        </is>
      </c>
      <c r="G309" s="24" t="inlineStr">
        <is>
          <t>Rutgers Scarlet Knights</t>
        </is>
      </c>
      <c r="H309" s="24" t="inlineStr">
        <is>
          <t>total</t>
        </is>
      </c>
      <c r="I309" s="24" t="inlineStr">
        <is>
          <t>under</t>
        </is>
      </c>
      <c r="J309" s="25" t="n">
        <v>57.5</v>
      </c>
      <c r="K309" s="24" t="inlineStr">
        <is>
          <t>espn_consensus</t>
        </is>
      </c>
      <c r="L309" s="26" t="n">
        <v>-112</v>
      </c>
      <c r="M309" s="27" t="n">
        <v>1.892857</v>
      </c>
      <c r="N309" s="28" t="n">
        <v>0.528302</v>
      </c>
      <c r="O309" s="28" t="n">
        <v>0.5656</v>
      </c>
      <c r="P309" s="28" t="n">
        <v>0.165</v>
      </c>
      <c r="Q309" s="28" t="n">
        <v>0.037298</v>
      </c>
      <c r="R309" s="26" t="n">
        <v>0</v>
      </c>
      <c r="S309" s="29" t="n">
        <v>1</v>
      </c>
      <c r="T309" s="24" t="inlineStr">
        <is>
          <t>cfb-total-v1</t>
        </is>
      </c>
      <c r="U309" s="24" t="inlineStr">
        <is>
          <t>settled</t>
        </is>
      </c>
      <c r="V309" s="24" t="inlineStr">
        <is>
          <t>loss</t>
        </is>
      </c>
      <c r="W309" s="26" t="n">
        <v>42</v>
      </c>
      <c r="X309" s="26" t="n">
        <v>35</v>
      </c>
      <c r="Y309" s="25" t="n"/>
      <c r="Z309" s="26" t="n"/>
      <c r="AA309" s="28" t="n"/>
      <c r="AB309" s="28" t="n"/>
      <c r="AC309" s="30" t="n">
        <v>-1</v>
      </c>
      <c r="AD309" s="24" t="inlineStr">
        <is>
          <t>2026-09-20T04:30:41.745780Z</t>
        </is>
      </c>
      <c r="AE309" s="31" t="inlineStr">
        <is>
          <t>Projected total 55.4 pts (Weather adj: +0.0 pts). Total line 57.5 -&gt; P(Over)=0.434, P(Under)=0.566, P(Push)=0.000.</t>
        </is>
      </c>
      <c r="AF309" s="31" t="inlineStr">
        <is>
          <t>College football model; multi-market (moneyline, spread, total).</t>
        </is>
      </c>
      <c r="AG309" s="24" t="inlineStr">
        <is>
          <t>review_required</t>
        </is>
      </c>
      <c r="AH309" s="24" t="n"/>
      <c r="AI309" s="31" t="n"/>
      <c r="AJ309" s="31" t="n"/>
      <c r="AK309" s="24" t="inlineStr">
        <is>
          <t>model_qualified</t>
        </is>
      </c>
      <c r="AL309" s="26" t="n">
        <v>4</v>
      </c>
      <c r="AM309" s="24" t="inlineStr">
        <is>
          <t>QUALIFIED_SHADOW_CALL</t>
        </is>
      </c>
      <c r="AN309" s="24" t="inlineStr">
        <is>
          <t>CALL</t>
        </is>
      </c>
      <c r="AO309" s="24" t="inlineStr">
        <is>
          <t>QUALIFIED</t>
        </is>
      </c>
      <c r="AP309" s="24" t="inlineStr">
        <is>
          <t>USC Trojans</t>
        </is>
      </c>
      <c r="AQ309" s="24" t="inlineStr">
        <is>
          <t>USC Trojans</t>
        </is>
      </c>
      <c r="AR309" s="24" t="inlineStr">
        <is>
          <t>USC Trojans</t>
        </is>
      </c>
      <c r="AS309" s="24" t="inlineStr">
        <is>
          <t>Rutgers Scarlet Knights</t>
        </is>
      </c>
      <c r="AT309" s="24" t="inlineStr">
        <is>
          <t>Rutgers Scarlet Knights</t>
        </is>
      </c>
      <c r="AU309" s="24" t="inlineStr">
        <is>
          <t>Rutgers Scarlet Knights</t>
        </is>
      </c>
      <c r="AV309" s="24" t="n"/>
      <c r="AW309" s="24" t="n"/>
      <c r="AX309" s="24" t="inlineStr">
        <is>
          <t>statistical_model</t>
        </is>
      </c>
      <c r="AY309" s="24" t="n"/>
      <c r="AZ309" s="24" t="inlineStr">
        <is>
          <t>shadow_qualified</t>
        </is>
      </c>
      <c r="BA309" s="24" t="inlineStr">
        <is>
          <t>1d168f11d221cd3c</t>
        </is>
      </c>
      <c r="BB309" s="24" t="inlineStr">
        <is>
          <t>cfb_key_number_engine</t>
        </is>
      </c>
      <c r="BC309" s="24" t="inlineStr">
        <is>
          <t>cfb-total-v1</t>
        </is>
      </c>
      <c r="BD309" s="24" t="inlineStr">
        <is>
          <t>1d168f11d221cd3c</t>
        </is>
      </c>
      <c r="BE309" s="24" t="inlineStr">
        <is>
          <t>cfb-v1</t>
        </is>
      </c>
      <c r="BF309" s="24" t="inlineStr">
        <is>
          <t>1</t>
        </is>
      </c>
      <c r="BG309" s="24" t="inlineStr">
        <is>
          <t>1d168f11d221cd3c</t>
        </is>
      </c>
      <c r="BH309" s="24" t="inlineStr">
        <is>
          <t>2026-09-19T17:08:25.088129+00:00</t>
        </is>
      </c>
      <c r="BI309" s="24" t="inlineStr">
        <is>
          <t>["same_event","same_team_same_day","same_league_same_day"]</t>
        </is>
      </c>
      <c r="BJ309" s="25" t="n">
        <v>57.5</v>
      </c>
      <c r="BK309" s="26" t="n">
        <v>-112</v>
      </c>
      <c r="BL309" s="27" t="n">
        <v>1.892857</v>
      </c>
      <c r="BM309" s="28" t="n">
        <v>0.528302</v>
      </c>
      <c r="BN309" s="28" t="n"/>
      <c r="BO309" s="28" t="n"/>
      <c r="BP309" s="25" t="n"/>
      <c r="BQ309" s="27" t="n"/>
      <c r="BR309" s="28" t="n"/>
      <c r="BS309" s="28" t="n"/>
      <c r="BT309" s="28" t="n"/>
      <c r="BU309" s="25" t="n"/>
      <c r="BV309" s="29" t="n"/>
      <c r="BW309" s="24" t="n"/>
      <c r="BX309" s="30" t="n"/>
      <c r="BY309" s="27" t="n"/>
      <c r="BZ309" s="24" t="n"/>
      <c r="CA309" s="31" t="n"/>
      <c r="CB309" s="24" t="n"/>
      <c r="CC309" s="24" t="n"/>
      <c r="CD309" s="24" t="n"/>
      <c r="CE309" s="24" t="n"/>
      <c r="CF309" s="24" t="n"/>
      <c r="CG309" s="24" t="n"/>
      <c r="CH309" s="24" t="n"/>
      <c r="CI309" s="24" t="n"/>
      <c r="CJ309" s="24" t="n"/>
      <c r="CK309" s="24" t="n"/>
      <c r="CL309" s="24" t="n"/>
      <c r="CM309" s="24" t="n"/>
      <c r="CN309" s="24" t="n"/>
      <c r="CO309" s="24" t="n"/>
      <c r="CP309" s="24" t="n"/>
      <c r="CQ309" s="24" t="n"/>
      <c r="CR309" s="24" t="n"/>
      <c r="CS309" s="24" t="inlineStr">
        <is>
          <t>True</t>
        </is>
      </c>
      <c r="CT309" s="24" t="n"/>
      <c r="CU309" s="24" t="n"/>
      <c r="CV309" s="24" t="n"/>
      <c r="CW309" s="24" t="n"/>
      <c r="CX309" s="24" t="n"/>
      <c r="CY309" s="24" t="n"/>
      <c r="CZ309" s="24" t="n"/>
      <c r="DA309" s="24" t="n"/>
      <c r="DB309" s="24" t="n"/>
      <c r="DC309" s="24" t="n"/>
      <c r="DD309" s="24" t="n"/>
      <c r="DE309" s="24" t="n"/>
      <c r="DF309" s="24" t="n"/>
      <c r="DG309" s="24" t="n"/>
      <c r="DH309" s="24" t="n"/>
      <c r="DI309" s="24" t="n"/>
      <c r="DJ309" s="24" t="inlineStr">
        <is>
          <t>0.528302</t>
        </is>
      </c>
      <c r="DK309" s="24" t="n"/>
      <c r="DL309" s="24" t="n"/>
      <c r="DM309" s="24" t="n"/>
      <c r="DN309" s="24" t="n"/>
      <c r="DO309" s="24" t="n"/>
      <c r="DP309" s="24" t="n"/>
      <c r="DQ309" s="24" t="inlineStr">
        <is>
          <t>{"artifact_hash": "1d168f11d221cd3c", "event_id": "401858457", "event_start_utc": "2026-09-19T19:30Z", "features": {"altitude_fatigue_penalty": 0.0, "away_team": "USC Trojans", "efficiency_gap": -1.228, "elo_away": 1724.5, "elo_home": 1301.2, "elo_home_win_prob": 0.1128, "event_id": "401858457", "game_start_utc": "2026-09-19T19:30Z", "home_field_advantage_points": 2.8, "home_team": "Rutgers Scarlet Knights", "is_dome": false, "is_fbs_vs_fcs": false, "is_neutral_site": false, "projected_away_points": 34.8, "projected_home_points": 20.6, "projected_margin_home": -14.2, "projected_possessions": 12.4, "projected_total": 55.4, "stadium_elevation_ft": 80, "travel_distance_miles": 2426.0, "uncertainty": 0.165, "weather_total_adjustment": 0.0}, "historical_source_observation_times_verified": false, "inference_inputs": {"engine_source_sha256": "449ba2f0e86fa9c445730076a0e0bf100fb4914620be53c75c6f3bfe24298f3f", "mu_away": 34.8, "mu_home": 20.6,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7363111654640818515571315067581837492}, "uinteger": 0}, "spread_home_line": 21.0, "total_line": 57.5}, "market_type": "total", "model_version": "cfb-total-v1", "observed_at_utc": "2026-09-19T17:08:25.088129+00:00", "probabilities": {"over": 0.4344, "push": 0.0, "under": 0.5656}, "replay_scope": "Full precision score means, exact engine parameters and original RNG state; upstream feature construction not certified.", "schema": "cfb-joint-replay-v1", "snapshot_hash": "7398d56b08819f57593ce56e0b3553488010f6853dd4ce280de50972058f7648", "sport": "NCAAF"}</t>
        </is>
      </c>
    </row>
    <row r="310" ht="36" customHeight="1">
      <c r="A310" s="24" t="inlineStr">
        <is>
          <t>9648d239956f4b51</t>
        </is>
      </c>
      <c r="B310" s="24" t="inlineStr">
        <is>
          <t>2026-09-19T17:08:25.088129Z</t>
        </is>
      </c>
      <c r="C310" s="24" t="inlineStr">
        <is>
          <t>2026-09-19T19:30Z</t>
        </is>
      </c>
      <c r="D310" s="24" t="inlineStr">
        <is>
          <t>401858230</t>
        </is>
      </c>
      <c r="E310" s="24" t="inlineStr">
        <is>
          <t>NCAAF</t>
        </is>
      </c>
      <c r="F310" s="24" t="inlineStr">
        <is>
          <t>SMU Mustangs</t>
        </is>
      </c>
      <c r="G310" s="24" t="inlineStr">
        <is>
          <t>Louisville Cardinals</t>
        </is>
      </c>
      <c r="H310" s="24" t="inlineStr">
        <is>
          <t>moneyline</t>
        </is>
      </c>
      <c r="I310" s="24" t="inlineStr">
        <is>
          <t>away</t>
        </is>
      </c>
      <c r="J310" s="25" t="n"/>
      <c r="K310" s="24" t="inlineStr">
        <is>
          <t>espn_consensus</t>
        </is>
      </c>
      <c r="L310" s="26" t="n">
        <v>110</v>
      </c>
      <c r="M310" s="27" t="n">
        <v>2.1</v>
      </c>
      <c r="N310" s="28" t="n">
        <v>0.47619</v>
      </c>
      <c r="O310" s="28" t="n">
        <v>0.545955</v>
      </c>
      <c r="P310" s="28" t="n">
        <v>0.18</v>
      </c>
      <c r="Q310" s="28" t="n">
        <v>0.06976499999999999</v>
      </c>
      <c r="R310" s="26" t="n">
        <v>0</v>
      </c>
      <c r="S310" s="29" t="n">
        <v>1</v>
      </c>
      <c r="T310" s="24" t="inlineStr">
        <is>
          <t>college-football-v1</t>
        </is>
      </c>
      <c r="U310" s="24" t="inlineStr">
        <is>
          <t>settled</t>
        </is>
      </c>
      <c r="V310" s="24" t="inlineStr">
        <is>
          <t>loss</t>
        </is>
      </c>
      <c r="W310" s="26" t="n">
        <v>31</v>
      </c>
      <c r="X310" s="26" t="n">
        <v>41</v>
      </c>
      <c r="Y310" s="25" t="n"/>
      <c r="Z310" s="26" t="n"/>
      <c r="AA310" s="28" t="n"/>
      <c r="AB310" s="28" t="n"/>
      <c r="AC310" s="30" t="n">
        <v>-1</v>
      </c>
      <c r="AD310" s="24" t="inlineStr">
        <is>
          <t>2026-09-20T04:30:42.281965Z</t>
        </is>
      </c>
      <c r="AE310" s="31" t="inlineStr">
        <is>
          <t>CFB Joint Model (negative_binomial): proj score SMU Mustangs 28.5 @ Louisville Cardinals 26.4 (Margin -2.1). Possessions: 12.4, HFA: +2.8 pts.</t>
        </is>
      </c>
      <c r="AF310" s="31" t="inlineStr">
        <is>
          <t>College football model; multi-market (moneyline, spread, total).</t>
        </is>
      </c>
      <c r="AG310" s="24" t="inlineStr">
        <is>
          <t>review_required</t>
        </is>
      </c>
      <c r="AH310" s="24" t="n"/>
      <c r="AI310" s="31" t="n"/>
      <c r="AJ310" s="31" t="n"/>
      <c r="AK310" s="24" t="inlineStr">
        <is>
          <t>model_qualified</t>
        </is>
      </c>
      <c r="AL310" s="26" t="n">
        <v>4</v>
      </c>
      <c r="AM310" s="24" t="inlineStr">
        <is>
          <t>QUALIFIED_SHADOW_CALL</t>
        </is>
      </c>
      <c r="AN310" s="24" t="inlineStr">
        <is>
          <t>CALL</t>
        </is>
      </c>
      <c r="AO310" s="24" t="inlineStr">
        <is>
          <t>QUALIFIED</t>
        </is>
      </c>
      <c r="AP310" s="24" t="inlineStr">
        <is>
          <t>SMU Mustangs</t>
        </is>
      </c>
      <c r="AQ310" s="24" t="inlineStr">
        <is>
          <t>SMU Mustangs</t>
        </is>
      </c>
      <c r="AR310" s="24" t="inlineStr">
        <is>
          <t>SMU Mustangs</t>
        </is>
      </c>
      <c r="AS310" s="24" t="inlineStr">
        <is>
          <t>Louisville Cardinals</t>
        </is>
      </c>
      <c r="AT310" s="24" t="inlineStr">
        <is>
          <t>Louisville Cardinals</t>
        </is>
      </c>
      <c r="AU310" s="24" t="inlineStr">
        <is>
          <t>Louisville Cardinals</t>
        </is>
      </c>
      <c r="AV310" s="24" t="n"/>
      <c r="AW310" s="24" t="n"/>
      <c r="AX310" s="24" t="inlineStr">
        <is>
          <t>statistical_model</t>
        </is>
      </c>
      <c r="AY310" s="24" t="n"/>
      <c r="AZ310" s="24" t="inlineStr">
        <is>
          <t>shadow_qualified</t>
        </is>
      </c>
      <c r="BA310" s="24" t="inlineStr">
        <is>
          <t>1d168f11d221cd3c</t>
        </is>
      </c>
      <c r="BB310" s="24" t="inlineStr">
        <is>
          <t>cfb_key_number_engine</t>
        </is>
      </c>
      <c r="BC310" s="24" t="inlineStr">
        <is>
          <t>college-football-v1</t>
        </is>
      </c>
      <c r="BD310" s="24" t="inlineStr">
        <is>
          <t>1d168f11d221cd3c</t>
        </is>
      </c>
      <c r="BE310" s="24" t="inlineStr">
        <is>
          <t>cfb-v1</t>
        </is>
      </c>
      <c r="BF310" s="24" t="inlineStr">
        <is>
          <t>1</t>
        </is>
      </c>
      <c r="BG310" s="24" t="inlineStr">
        <is>
          <t>1d168f11d221cd3c</t>
        </is>
      </c>
      <c r="BH310" s="24" t="inlineStr">
        <is>
          <t>2026-09-19T17:08:25.088129+00:00</t>
        </is>
      </c>
      <c r="BI310" s="24" t="inlineStr">
        <is>
          <t>["same_event","same_team_same_day","same_league_same_day"]</t>
        </is>
      </c>
      <c r="BJ310" s="25" t="n"/>
      <c r="BK310" s="26" t="n">
        <v>110</v>
      </c>
      <c r="BL310" s="27" t="n">
        <v>2.1</v>
      </c>
      <c r="BM310" s="28" t="n">
        <v>0.47619</v>
      </c>
      <c r="BN310" s="28" t="n"/>
      <c r="BO310" s="28" t="n"/>
      <c r="BP310" s="25" t="n"/>
      <c r="BQ310" s="27" t="n"/>
      <c r="BR310" s="28" t="n"/>
      <c r="BS310" s="28" t="n"/>
      <c r="BT310" s="28" t="n"/>
      <c r="BU310" s="25" t="n"/>
      <c r="BV310" s="29" t="n"/>
      <c r="BW310" s="24" t="n"/>
      <c r="BX310" s="30" t="n"/>
      <c r="BY310" s="27" t="n"/>
      <c r="BZ310" s="24" t="n"/>
      <c r="CA310" s="31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inlineStr">
        <is>
          <t>True</t>
        </is>
      </c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/>
      <c r="DH310" s="24" t="n"/>
      <c r="DI310" s="24" t="n"/>
      <c r="DJ310" s="24" t="inlineStr">
        <is>
          <t>0.47619</t>
        </is>
      </c>
      <c r="DK310" s="24" t="n"/>
      <c r="DL310" s="24" t="n"/>
      <c r="DM310" s="24" t="n"/>
      <c r="DN310" s="24" t="n"/>
      <c r="DO310" s="24" t="n"/>
      <c r="DP310" s="24" t="n"/>
      <c r="DQ310" s="24" t="inlineStr">
        <is>
          <t>{"artifact_hash": "1d168f11d221cd3c", "event_id": "401858230", "event_start_utc": "2026-09-19T19:30Z", "features": {"altitude_fatigue_penalty": 0.0, "away_team": "SMU Mustangs", "efficiency_gap": -0.169, "elo_away": 1750.8, "elo_home": 1634.0, "elo_home_win_prob": 0.4259, "event_id": "401858230", "game_start_utc": "2026-09-19T19:30Z", "home_field_advantage_points": 2.8, "home_team": "Louisville Cardinals", "is_dome": false, "is_fbs_vs_fcs": false, "is_neutral_site": false, "projected_away_points": 28.5, "projected_home_points": 26.4, "projected_margin_home": -2.1, "projected_possessions": 12.4, "projected_total": 54.9, "stadium_elevation_ft": 460, "travel_distance_miles": 722.0, "uncertainty": 0.18, "weather_total_adjustment": 0.0}, "historical_source_observation_times_verified": false, "inference_inputs": {"engine_source_sha256": "449ba2f0e86fa9c445730076a0e0bf100fb4914620be53c75c6f3bfe24298f3f", "mu_away": 28.5, "mu_home": 26.4,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303513165979210046887288016839769460749}, "uinteger": 0}, "spread_home_line": -2.5, "total_line": 58.5}, "market_type": "moneyline", "model_version": "college-football-v1", "observed_at_utc": "2026-09-19T17:08:25.088129+00:00", "probabilities": {"away": 0.545955, "home": 0.454045}, "replay_scope": "Full precision score means, exact engine parameters and original RNG state; upstream feature construction not certified.", "schema": "cfb-joint-replay-v1", "snapshot_hash": "ecaf5185de6067bd611a9c6def984cdecd313068e3fc1ef5e03c9e2eb25c47eb", "sport": "NCAAF"}</t>
        </is>
      </c>
    </row>
    <row r="311" ht="36" customHeight="1">
      <c r="A311" s="24" t="inlineStr">
        <is>
          <t>2992718384f247a4</t>
        </is>
      </c>
      <c r="B311" s="24" t="inlineStr">
        <is>
          <t>2026-09-19T17:08:25.088129Z</t>
        </is>
      </c>
      <c r="C311" s="24" t="inlineStr">
        <is>
          <t>2026-09-19T19:30Z</t>
        </is>
      </c>
      <c r="D311" s="24" t="inlineStr">
        <is>
          <t>401858230</t>
        </is>
      </c>
      <c r="E311" s="24" t="inlineStr">
        <is>
          <t>NCAAF</t>
        </is>
      </c>
      <c r="F311" s="24" t="inlineStr">
        <is>
          <t>SMU Mustangs</t>
        </is>
      </c>
      <c r="G311" s="24" t="inlineStr">
        <is>
          <t>Louisville Cardinals</t>
        </is>
      </c>
      <c r="H311" s="24" t="inlineStr">
        <is>
          <t>spread</t>
        </is>
      </c>
      <c r="I311" s="24" t="inlineStr">
        <is>
          <t>away</t>
        </is>
      </c>
      <c r="J311" s="25" t="n">
        <v>2.5</v>
      </c>
      <c r="K311" s="24" t="inlineStr">
        <is>
          <t>espn_consensus</t>
        </is>
      </c>
      <c r="L311" s="26" t="n">
        <v>-112</v>
      </c>
      <c r="M311" s="27" t="n">
        <v>1.892857</v>
      </c>
      <c r="N311" s="28" t="n">
        <v>0.528302</v>
      </c>
      <c r="O311" s="28" t="n">
        <v>0.595733</v>
      </c>
      <c r="P311" s="28" t="n">
        <v>0.18</v>
      </c>
      <c r="Q311" s="28" t="n">
        <v>0.067431</v>
      </c>
      <c r="R311" s="26" t="n">
        <v>0</v>
      </c>
      <c r="S311" s="29" t="n">
        <v>1</v>
      </c>
      <c r="T311" s="24" t="inlineStr">
        <is>
          <t>cfb-spread-v1</t>
        </is>
      </c>
      <c r="U311" s="24" t="inlineStr">
        <is>
          <t>settled</t>
        </is>
      </c>
      <c r="V311" s="24" t="inlineStr">
        <is>
          <t>loss</t>
        </is>
      </c>
      <c r="W311" s="26" t="n">
        <v>31</v>
      </c>
      <c r="X311" s="26" t="n">
        <v>41</v>
      </c>
      <c r="Y311" s="25" t="n"/>
      <c r="Z311" s="26" t="n"/>
      <c r="AA311" s="28" t="n"/>
      <c r="AB311" s="28" t="n"/>
      <c r="AC311" s="30" t="n">
        <v>-1</v>
      </c>
      <c r="AD311" s="24" t="inlineStr">
        <is>
          <t>2026-09-20T04:30:42.701791Z</t>
        </is>
      </c>
      <c r="AE311" s="31" t="inlineStr">
        <is>
          <t>Projected home margin -2.1 pts. Spread: Home -2.5 / Away +2.5 -&gt; P(Away cover)=0.596, P(Home cover)=0.404, P(Push)=0.000.</t>
        </is>
      </c>
      <c r="AF311" s="31" t="inlineStr">
        <is>
          <t>College football model; multi-market (moneyline, spread, total).</t>
        </is>
      </c>
      <c r="AG311" s="24" t="inlineStr">
        <is>
          <t>review_required</t>
        </is>
      </c>
      <c r="AH311" s="24" t="n"/>
      <c r="AI311" s="31" t="n"/>
      <c r="AJ311" s="31" t="n"/>
      <c r="AK311" s="24" t="inlineStr">
        <is>
          <t>model_qualified</t>
        </is>
      </c>
      <c r="AL311" s="26" t="n">
        <v>4</v>
      </c>
      <c r="AM311" s="24" t="inlineStr">
        <is>
          <t>QUALIFIED_SHADOW_CALL</t>
        </is>
      </c>
      <c r="AN311" s="24" t="inlineStr">
        <is>
          <t>CALL</t>
        </is>
      </c>
      <c r="AO311" s="24" t="inlineStr">
        <is>
          <t>QUALIFIED</t>
        </is>
      </c>
      <c r="AP311" s="24" t="inlineStr">
        <is>
          <t>SMU Mustangs</t>
        </is>
      </c>
      <c r="AQ311" s="24" t="inlineStr">
        <is>
          <t>SMU Mustangs</t>
        </is>
      </c>
      <c r="AR311" s="24" t="inlineStr">
        <is>
          <t>SMU Mustangs</t>
        </is>
      </c>
      <c r="AS311" s="24" t="inlineStr">
        <is>
          <t>Louisville Cardinals</t>
        </is>
      </c>
      <c r="AT311" s="24" t="inlineStr">
        <is>
          <t>Louisville Cardinals</t>
        </is>
      </c>
      <c r="AU311" s="24" t="inlineStr">
        <is>
          <t>Louisville Cardinals</t>
        </is>
      </c>
      <c r="AV311" s="24" t="n"/>
      <c r="AW311" s="24" t="n"/>
      <c r="AX311" s="24" t="inlineStr">
        <is>
          <t>statistical_model</t>
        </is>
      </c>
      <c r="AY311" s="24" t="n"/>
      <c r="AZ311" s="24" t="inlineStr">
        <is>
          <t>shadow_qualified</t>
        </is>
      </c>
      <c r="BA311" s="24" t="inlineStr">
        <is>
          <t>1d168f11d221cd3c</t>
        </is>
      </c>
      <c r="BB311" s="24" t="inlineStr">
        <is>
          <t>cfb_key_number_engine</t>
        </is>
      </c>
      <c r="BC311" s="24" t="inlineStr">
        <is>
          <t>cfb-spread-v1</t>
        </is>
      </c>
      <c r="BD311" s="24" t="inlineStr">
        <is>
          <t>1d168f11d221cd3c</t>
        </is>
      </c>
      <c r="BE311" s="24" t="inlineStr">
        <is>
          <t>cfb-v1</t>
        </is>
      </c>
      <c r="BF311" s="24" t="inlineStr">
        <is>
          <t>1</t>
        </is>
      </c>
      <c r="BG311" s="24" t="inlineStr">
        <is>
          <t>1d168f11d221cd3c</t>
        </is>
      </c>
      <c r="BH311" s="24" t="inlineStr">
        <is>
          <t>2026-09-19T17:08:25.088129+00:00</t>
        </is>
      </c>
      <c r="BI311" s="24" t="inlineStr">
        <is>
          <t>["same_event","same_team_same_day","same_league_same_day"]</t>
        </is>
      </c>
      <c r="BJ311" s="25" t="n">
        <v>2.5</v>
      </c>
      <c r="BK311" s="26" t="n">
        <v>-112</v>
      </c>
      <c r="BL311" s="27" t="n">
        <v>1.892857</v>
      </c>
      <c r="BM311" s="28" t="n">
        <v>0.528302</v>
      </c>
      <c r="BN311" s="28" t="n"/>
      <c r="BO311" s="28" t="n"/>
      <c r="BP311" s="25" t="n"/>
      <c r="BQ311" s="27" t="n"/>
      <c r="BR311" s="28" t="n"/>
      <c r="BS311" s="28" t="n"/>
      <c r="BT311" s="28" t="n"/>
      <c r="BU311" s="25" t="n"/>
      <c r="BV311" s="29" t="n"/>
      <c r="BW311" s="24" t="n"/>
      <c r="BX311" s="30" t="n"/>
      <c r="BY311" s="27" t="n"/>
      <c r="BZ311" s="24" t="n"/>
      <c r="CA311" s="31" t="n"/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n"/>
      <c r="CR311" s="24" t="n"/>
      <c r="CS311" s="24" t="inlineStr">
        <is>
          <t>True</t>
        </is>
      </c>
      <c r="CT311" s="24" t="n"/>
      <c r="CU311" s="24" t="n"/>
      <c r="CV311" s="24" t="n"/>
      <c r="CW311" s="24" t="n"/>
      <c r="CX311" s="24" t="n"/>
      <c r="CY311" s="24" t="n"/>
      <c r="CZ311" s="24" t="n"/>
      <c r="DA311" s="24" t="n"/>
      <c r="DB311" s="24" t="n"/>
      <c r="DC311" s="24" t="n"/>
      <c r="DD311" s="24" t="n"/>
      <c r="DE311" s="24" t="n"/>
      <c r="DF311" s="24" t="n"/>
      <c r="DG311" s="24" t="n"/>
      <c r="DH311" s="24" t="n"/>
      <c r="DI311" s="24" t="n"/>
      <c r="DJ311" s="24" t="inlineStr">
        <is>
          <t>0.528302</t>
        </is>
      </c>
      <c r="DK311" s="24" t="n"/>
      <c r="DL311" s="24" t="n"/>
      <c r="DM311" s="24" t="n"/>
      <c r="DN311" s="24" t="n"/>
      <c r="DO311" s="24" t="n"/>
      <c r="DP311" s="24" t="n"/>
      <c r="DQ311" s="24" t="inlineStr">
        <is>
          <t>{"artifact_hash": "1d168f11d221cd3c", "event_id": "401858230", "event_start_utc": "2026-09-19T19:30Z", "features": {"altitude_fatigue_penalty": 0.0, "away_team": "SMU Mustangs", "efficiency_gap": -0.169, "elo_away": 1750.8, "elo_home": 1634.0, "elo_home_win_prob": 0.4259, "event_id": "401858230", "game_start_utc": "2026-09-19T19:30Z", "home_field_advantage_points": 2.8, "home_team": "Louisville Cardinals", "is_dome": false, "is_fbs_vs_fcs": false, "is_neutral_site": false, "projected_away_points": 28.5, "projected_home_points": 26.4, "projected_margin_home": -2.1, "projected_possessions": 12.4, "projected_total": 54.9, "stadium_elevation_ft": 460, "travel_distance_miles": 722.0, "uncertainty": 0.18, "weather_total_adjustment": 0.0}, "historical_source_observation_times_verified": false, "inference_inputs": {"engine_source_sha256": "449ba2f0e86fa9c445730076a0e0bf100fb4914620be53c75c6f3bfe24298f3f", "mu_away": 28.5, "mu_home": 26.4,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303513165979210046887288016839769460749}, "uinteger": 0}, "spread_home_line": -2.5, "total_line": 58.5}, "market_type": "spread", "model_version": "cfb-spread-v1", "observed_at_utc": "2026-09-19T17:08:25.088129+00:00", "probabilities": {"away": 0.595733, "home": 0.404267, "push": 0.0}, "replay_scope": "Full precision score means, exact engine parameters and original RNG state; upstream feature construction not certified.", "schema": "cfb-joint-replay-v1", "snapshot_hash": "933bc6049bab6abdbc0da43a16a0298c1a7d152b0c1395ef1686b950bb67cbc5", "sport": "NCAAF"}</t>
        </is>
      </c>
    </row>
    <row r="312" ht="36" customHeight="1">
      <c r="A312" s="24" t="inlineStr">
        <is>
          <t>8076b823f07e4552</t>
        </is>
      </c>
      <c r="B312" s="24" t="inlineStr">
        <is>
          <t>2026-09-19T17:08:25.088129Z</t>
        </is>
      </c>
      <c r="C312" s="24" t="inlineStr">
        <is>
          <t>2026-09-19T19:30Z</t>
        </is>
      </c>
      <c r="D312" s="24" t="inlineStr">
        <is>
          <t>401858230</t>
        </is>
      </c>
      <c r="E312" s="24" t="inlineStr">
        <is>
          <t>NCAAF</t>
        </is>
      </c>
      <c r="F312" s="24" t="inlineStr">
        <is>
          <t>SMU Mustangs</t>
        </is>
      </c>
      <c r="G312" s="24" t="inlineStr">
        <is>
          <t>Louisville Cardinals</t>
        </is>
      </c>
      <c r="H312" s="24" t="inlineStr">
        <is>
          <t>total</t>
        </is>
      </c>
      <c r="I312" s="24" t="inlineStr">
        <is>
          <t>under</t>
        </is>
      </c>
      <c r="J312" s="25" t="n">
        <v>58.5</v>
      </c>
      <c r="K312" s="24" t="inlineStr">
        <is>
          <t>espn_consensus</t>
        </is>
      </c>
      <c r="L312" s="26" t="n">
        <v>-108</v>
      </c>
      <c r="M312" s="27" t="n">
        <v>1.925926</v>
      </c>
      <c r="N312" s="28" t="n">
        <v>0.519231</v>
      </c>
      <c r="O312" s="28" t="n">
        <v>0.589467</v>
      </c>
      <c r="P312" s="28" t="n">
        <v>0.18</v>
      </c>
      <c r="Q312" s="28" t="n">
        <v>0.07023600000000001</v>
      </c>
      <c r="R312" s="26" t="n">
        <v>0</v>
      </c>
      <c r="S312" s="29" t="n">
        <v>1</v>
      </c>
      <c r="T312" s="24" t="inlineStr">
        <is>
          <t>cfb-total-v1</t>
        </is>
      </c>
      <c r="U312" s="24" t="inlineStr">
        <is>
          <t>settled</t>
        </is>
      </c>
      <c r="V312" s="24" t="inlineStr">
        <is>
          <t>loss</t>
        </is>
      </c>
      <c r="W312" s="26" t="n">
        <v>31</v>
      </c>
      <c r="X312" s="26" t="n">
        <v>41</v>
      </c>
      <c r="Y312" s="25" t="n"/>
      <c r="Z312" s="26" t="n"/>
      <c r="AA312" s="28" t="n"/>
      <c r="AB312" s="28" t="n"/>
      <c r="AC312" s="30" t="n">
        <v>-1</v>
      </c>
      <c r="AD312" s="24" t="inlineStr">
        <is>
          <t>2026-09-20T04:30:43.182252Z</t>
        </is>
      </c>
      <c r="AE312" s="31" t="inlineStr">
        <is>
          <t>Projected total 54.9 pts (Weather adj: +0.0 pts). Total line 58.5 -&gt; P(Over)=0.411, P(Under)=0.589, P(Push)=0.000.</t>
        </is>
      </c>
      <c r="AF312" s="31" t="inlineStr">
        <is>
          <t>College football model; multi-market (moneyline, spread, total).</t>
        </is>
      </c>
      <c r="AG312" s="24" t="inlineStr">
        <is>
          <t>review_required</t>
        </is>
      </c>
      <c r="AH312" s="24" t="n"/>
      <c r="AI312" s="31" t="n"/>
      <c r="AJ312" s="31" t="n"/>
      <c r="AK312" s="24" t="inlineStr">
        <is>
          <t>model_qualified</t>
        </is>
      </c>
      <c r="AL312" s="26" t="n">
        <v>4</v>
      </c>
      <c r="AM312" s="24" t="inlineStr">
        <is>
          <t>QUALIFIED_SHADOW_CALL</t>
        </is>
      </c>
      <c r="AN312" s="24" t="inlineStr">
        <is>
          <t>CALL</t>
        </is>
      </c>
      <c r="AO312" s="24" t="inlineStr">
        <is>
          <t>QUALIFIED</t>
        </is>
      </c>
      <c r="AP312" s="24" t="inlineStr">
        <is>
          <t>SMU Mustangs</t>
        </is>
      </c>
      <c r="AQ312" s="24" t="inlineStr">
        <is>
          <t>SMU Mustangs</t>
        </is>
      </c>
      <c r="AR312" s="24" t="inlineStr">
        <is>
          <t>SMU Mustangs</t>
        </is>
      </c>
      <c r="AS312" s="24" t="inlineStr">
        <is>
          <t>Louisville Cardinals</t>
        </is>
      </c>
      <c r="AT312" s="24" t="inlineStr">
        <is>
          <t>Louisville Cardinals</t>
        </is>
      </c>
      <c r="AU312" s="24" t="inlineStr">
        <is>
          <t>Louisville Cardinals</t>
        </is>
      </c>
      <c r="AV312" s="24" t="n"/>
      <c r="AW312" s="24" t="n"/>
      <c r="AX312" s="24" t="inlineStr">
        <is>
          <t>statistical_model</t>
        </is>
      </c>
      <c r="AY312" s="24" t="n"/>
      <c r="AZ312" s="24" t="inlineStr">
        <is>
          <t>shadow_qualified</t>
        </is>
      </c>
      <c r="BA312" s="24" t="inlineStr">
        <is>
          <t>1d168f11d221cd3c</t>
        </is>
      </c>
      <c r="BB312" s="24" t="inlineStr">
        <is>
          <t>cfb_key_number_engine</t>
        </is>
      </c>
      <c r="BC312" s="24" t="inlineStr">
        <is>
          <t>cfb-total-v1</t>
        </is>
      </c>
      <c r="BD312" s="24" t="inlineStr">
        <is>
          <t>1d168f11d221cd3c</t>
        </is>
      </c>
      <c r="BE312" s="24" t="inlineStr">
        <is>
          <t>cfb-v1</t>
        </is>
      </c>
      <c r="BF312" s="24" t="inlineStr">
        <is>
          <t>1</t>
        </is>
      </c>
      <c r="BG312" s="24" t="inlineStr">
        <is>
          <t>1d168f11d221cd3c</t>
        </is>
      </c>
      <c r="BH312" s="24" t="inlineStr">
        <is>
          <t>2026-09-19T17:08:25.088129+00:00</t>
        </is>
      </c>
      <c r="BI312" s="24" t="inlineStr">
        <is>
          <t>["same_event","same_team_same_day","same_league_same_day"]</t>
        </is>
      </c>
      <c r="BJ312" s="25" t="n">
        <v>58.5</v>
      </c>
      <c r="BK312" s="26" t="n">
        <v>-108</v>
      </c>
      <c r="BL312" s="27" t="n">
        <v>1.925926</v>
      </c>
      <c r="BM312" s="28" t="n">
        <v>0.519231</v>
      </c>
      <c r="BN312" s="28" t="n"/>
      <c r="BO312" s="28" t="n"/>
      <c r="BP312" s="25" t="n"/>
      <c r="BQ312" s="27" t="n"/>
      <c r="BR312" s="28" t="n"/>
      <c r="BS312" s="28" t="n"/>
      <c r="BT312" s="28" t="n"/>
      <c r="BU312" s="25" t="n"/>
      <c r="BV312" s="29" t="n"/>
      <c r="BW312" s="24" t="n"/>
      <c r="BX312" s="30" t="n"/>
      <c r="BY312" s="27" t="n"/>
      <c r="BZ312" s="24" t="n"/>
      <c r="CA312" s="31" t="n"/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n"/>
      <c r="CR312" s="24" t="n"/>
      <c r="CS312" s="24" t="inlineStr">
        <is>
          <t>True</t>
        </is>
      </c>
      <c r="CT312" s="24" t="n"/>
      <c r="CU312" s="24" t="n"/>
      <c r="CV312" s="24" t="n"/>
      <c r="CW312" s="24" t="n"/>
      <c r="CX312" s="24" t="n"/>
      <c r="CY312" s="24" t="n"/>
      <c r="CZ312" s="24" t="n"/>
      <c r="DA312" s="24" t="n"/>
      <c r="DB312" s="24" t="n"/>
      <c r="DC312" s="24" t="n"/>
      <c r="DD312" s="24" t="n"/>
      <c r="DE312" s="24" t="n"/>
      <c r="DF312" s="24" t="n"/>
      <c r="DG312" s="24" t="n"/>
      <c r="DH312" s="24" t="n"/>
      <c r="DI312" s="24" t="n"/>
      <c r="DJ312" s="24" t="inlineStr">
        <is>
          <t>0.519231</t>
        </is>
      </c>
      <c r="DK312" s="24" t="n"/>
      <c r="DL312" s="24" t="n"/>
      <c r="DM312" s="24" t="n"/>
      <c r="DN312" s="24" t="n"/>
      <c r="DO312" s="24" t="n"/>
      <c r="DP312" s="24" t="n"/>
      <c r="DQ312" s="24" t="inlineStr">
        <is>
          <t>{"artifact_hash": "1d168f11d221cd3c", "event_id": "401858230", "event_start_utc": "2026-09-19T19:30Z", "features": {"altitude_fatigue_penalty": 0.0, "away_team": "SMU Mustangs", "efficiency_gap": -0.169, "elo_away": 1750.8, "elo_home": 1634.0, "elo_home_win_prob": 0.4259, "event_id": "401858230", "game_start_utc": "2026-09-19T19:30Z", "home_field_advantage_points": 2.8, "home_team": "Louisville Cardinals", "is_dome": false, "is_fbs_vs_fcs": false, "is_neutral_site": false, "projected_away_points": 28.5, "projected_home_points": 26.4, "projected_margin_home": -2.1, "projected_possessions": 12.4, "projected_total": 54.9, "stadium_elevation_ft": 460, "travel_distance_miles": 722.0, "uncertainty": 0.18, "weather_total_adjustment": 0.0}, "historical_source_observation_times_verified": false, "inference_inputs": {"engine_source_sha256": "449ba2f0e86fa9c445730076a0e0bf100fb4914620be53c75c6f3bfe24298f3f", "mu_away": 28.5, "mu_home": 26.4,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303513165979210046887288016839769460749}, "uinteger": 0}, "spread_home_line": -2.5, "total_line": 58.5}, "market_type": "total", "model_version": "cfb-total-v1", "observed_at_utc": "2026-09-19T17:08:25.088129+00:00", "probabilities": {"over": 0.410533, "push": 0.0, "under": 0.589467}, "replay_scope": "Full precision score means, exact engine parameters and original RNG state; upstream feature construction not certified.", "schema": "cfb-joint-replay-v1", "snapshot_hash": "f9ed9dafaec354fd5861023f09be3f03a93ef0453d369021c615337a8f4c7eda", "sport": "NCAAF"}</t>
        </is>
      </c>
    </row>
    <row r="313" ht="36" customHeight="1">
      <c r="A313" s="24" t="inlineStr">
        <is>
          <t>b9a1f4cdc03a47b2</t>
        </is>
      </c>
      <c r="B313" s="24" t="inlineStr">
        <is>
          <t>2026-09-19T17:08:25.088129Z</t>
        </is>
      </c>
      <c r="C313" s="24" t="inlineStr">
        <is>
          <t>2026-09-19T19:30Z</t>
        </is>
      </c>
      <c r="D313" s="24" t="inlineStr">
        <is>
          <t>401856801</t>
        </is>
      </c>
      <c r="E313" s="24" t="inlineStr">
        <is>
          <t>NCAAF</t>
        </is>
      </c>
      <c r="F313" s="24" t="inlineStr">
        <is>
          <t>Utah State Aggies</t>
        </is>
      </c>
      <c r="G313" s="24" t="inlineStr">
        <is>
          <t>Utah Utes</t>
        </is>
      </c>
      <c r="H313" s="24" t="inlineStr">
        <is>
          <t>moneyline</t>
        </is>
      </c>
      <c r="I313" s="24" t="inlineStr">
        <is>
          <t>home</t>
        </is>
      </c>
      <c r="J313" s="25" t="n"/>
      <c r="K313" s="24" t="inlineStr">
        <is>
          <t>espn_consensus</t>
        </is>
      </c>
      <c r="L313" s="26" t="n">
        <v>-5000</v>
      </c>
      <c r="M313" s="27" t="n">
        <v>1.02</v>
      </c>
      <c r="N313" s="28" t="n">
        <v>0.980392</v>
      </c>
      <c r="O313" s="28" t="n">
        <v>0.831288</v>
      </c>
      <c r="P313" s="28" t="n">
        <v>0.18</v>
      </c>
      <c r="Q313" s="28" t="n">
        <v>-0.149104</v>
      </c>
      <c r="R313" s="26" t="n">
        <v>0</v>
      </c>
      <c r="S313" s="29" t="n">
        <v>1</v>
      </c>
      <c r="T313" s="24" t="inlineStr">
        <is>
          <t>college-football-v1</t>
        </is>
      </c>
      <c r="U313" s="24" t="inlineStr">
        <is>
          <t>settled</t>
        </is>
      </c>
      <c r="V313" s="24" t="inlineStr">
        <is>
          <t>win</t>
        </is>
      </c>
      <c r="W313" s="26" t="n">
        <v>0</v>
      </c>
      <c r="X313" s="26" t="n">
        <v>33</v>
      </c>
      <c r="Y313" s="25" t="n"/>
      <c r="Z313" s="26" t="n"/>
      <c r="AA313" s="28" t="n"/>
      <c r="AB313" s="28" t="n"/>
      <c r="AC313" s="30" t="n">
        <v>0.02</v>
      </c>
      <c r="AD313" s="24" t="inlineStr">
        <is>
          <t>2026-09-20T04:30:43.661879Z</t>
        </is>
      </c>
      <c r="AE313" s="31" t="inlineStr">
        <is>
          <t>CFB Joint Model (negative_binomial): proj score Utah State Aggies 18.4 @ Utah Utes 37.1 (Margin +18.7). Possessions: 12.4, HFA: +2.8 pts.</t>
        </is>
      </c>
      <c r="AF313" s="31" t="inlineStr">
        <is>
          <t>College football model; multi-market (moneyline, spread, total).</t>
        </is>
      </c>
      <c r="AG313" s="24" t="inlineStr">
        <is>
          <t>not_applicable</t>
        </is>
      </c>
      <c r="AH313" s="24" t="n"/>
      <c r="AI313" s="31" t="n"/>
      <c r="AJ313" s="31" t="n"/>
      <c r="AK313" s="24" t="inlineStr">
        <is>
          <t>paper_call</t>
        </is>
      </c>
      <c r="AL313" s="26" t="n">
        <v>4</v>
      </c>
      <c r="AM313" s="24" t="inlineStr">
        <is>
          <t>RESEARCH_OBSERVATION</t>
        </is>
      </c>
      <c r="AN313" s="24" t="inlineStr">
        <is>
          <t>CALL</t>
        </is>
      </c>
      <c r="AO313" s="24" t="inlineStr">
        <is>
          <t>PAPER_CALL_LOW_EDGE</t>
        </is>
      </c>
      <c r="AP313" s="24" t="inlineStr">
        <is>
          <t>Utah State Aggies</t>
        </is>
      </c>
      <c r="AQ313" s="24" t="inlineStr">
        <is>
          <t>Utah State Aggies</t>
        </is>
      </c>
      <c r="AR313" s="24" t="inlineStr">
        <is>
          <t>Utah State Aggies</t>
        </is>
      </c>
      <c r="AS313" s="24" t="inlineStr">
        <is>
          <t>Utah Utes</t>
        </is>
      </c>
      <c r="AT313" s="24" t="inlineStr">
        <is>
          <t>Utah Utes</t>
        </is>
      </c>
      <c r="AU313" s="24" t="inlineStr">
        <is>
          <t>Utah Utes</t>
        </is>
      </c>
      <c r="AV313" s="24" t="n"/>
      <c r="AW313" s="24" t="n"/>
      <c r="AX313" s="24" t="inlineStr">
        <is>
          <t>statistical_model</t>
        </is>
      </c>
      <c r="AY313" s="24" t="n"/>
      <c r="AZ313" s="24" t="inlineStr">
        <is>
          <t>shadow_qualified</t>
        </is>
      </c>
      <c r="BA313" s="24" t="inlineStr">
        <is>
          <t>1d168f11d221cd3c</t>
        </is>
      </c>
      <c r="BB313" s="24" t="inlineStr">
        <is>
          <t>cfb_key_number_engine</t>
        </is>
      </c>
      <c r="BC313" s="24" t="inlineStr">
        <is>
          <t>college-football-v1</t>
        </is>
      </c>
      <c r="BD313" s="24" t="inlineStr">
        <is>
          <t>1d168f11d221cd3c</t>
        </is>
      </c>
      <c r="BE313" s="24" t="inlineStr">
        <is>
          <t>cfb-v1</t>
        </is>
      </c>
      <c r="BF313" s="24" t="inlineStr">
        <is>
          <t>1</t>
        </is>
      </c>
      <c r="BG313" s="24" t="inlineStr">
        <is>
          <t>1d168f11d221cd3c</t>
        </is>
      </c>
      <c r="BH313" s="24" t="inlineStr">
        <is>
          <t>2026-09-19T17:08:25.088129+00:00</t>
        </is>
      </c>
      <c r="BI313" s="24" t="inlineStr">
        <is>
          <t>["same_event","same_team_same_day","same_league_same_day"]</t>
        </is>
      </c>
      <c r="BJ313" s="25" t="n"/>
      <c r="BK313" s="26" t="n">
        <v>-5000</v>
      </c>
      <c r="BL313" s="27" t="n">
        <v>1.02</v>
      </c>
      <c r="BM313" s="28" t="n">
        <v>0.980392</v>
      </c>
      <c r="BN313" s="28" t="n"/>
      <c r="BO313" s="28" t="n"/>
      <c r="BP313" s="25" t="n"/>
      <c r="BQ313" s="27" t="n"/>
      <c r="BR313" s="28" t="n"/>
      <c r="BS313" s="28" t="n"/>
      <c r="BT313" s="28" t="n"/>
      <c r="BU313" s="25" t="n"/>
      <c r="BV313" s="29" t="n"/>
      <c r="BW313" s="24" t="n"/>
      <c r="BX313" s="30" t="n">
        <v>1</v>
      </c>
      <c r="BY313" s="27" t="n">
        <v>0.02</v>
      </c>
      <c r="BZ313" s="24" t="inlineStr">
        <is>
          <t>2026-09-20T04:30:43.661879Z</t>
        </is>
      </c>
      <c r="CA313" s="31" t="inlineStr">
        <is>
          <t>fixed one-unit hypothetical scoring; no real exposure or execution</t>
        </is>
      </c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n"/>
      <c r="CR313" s="24" t="n"/>
      <c r="CS313" s="24" t="inlineStr">
        <is>
          <t>False</t>
        </is>
      </c>
      <c r="CT313" s="24" t="n"/>
      <c r="CU313" s="24" t="n"/>
      <c r="CV313" s="24" t="n"/>
      <c r="CW313" s="24" t="n"/>
      <c r="CX313" s="24" t="n"/>
      <c r="CY313" s="24" t="n"/>
      <c r="CZ313" s="24" t="n"/>
      <c r="DA313" s="24" t="n"/>
      <c r="DB313" s="24" t="n"/>
      <c r="DC313" s="24" t="n"/>
      <c r="DD313" s="24" t="n"/>
      <c r="DE313" s="24" t="n"/>
      <c r="DF313" s="24" t="n"/>
      <c r="DG313" s="24" t="n"/>
      <c r="DH313" s="24" t="n"/>
      <c r="DI313" s="24" t="n"/>
      <c r="DJ313" s="24" t="inlineStr">
        <is>
          <t>0.980392</t>
        </is>
      </c>
      <c r="DK313" s="24" t="n"/>
      <c r="DL313" s="24" t="n"/>
      <c r="DM313" s="24" t="n"/>
      <c r="DN313" s="24" t="n"/>
      <c r="DO313" s="24" t="n"/>
      <c r="DP313" s="24" t="n"/>
      <c r="DQ313" s="24" t="inlineStr">
        <is>
          <t>{"artifact_hash": "1d168f11d221cd3c", "event_id": "401856801", "event_start_utc": "2026-09-19T19:30Z", "features": {"altitude_fatigue_penalty": 0.0, "away_team": "Utah State Aggies", "efficiency_gap": 2.162, "elo_away": 1438.6, "elo_home": 1832.9, "elo_home_win_prob": 0.9336, "event_id": "401856801", "game_start_utc": "2026-09-19T19:30Z", "home_field_advantage_points": 2.8, "home_team": "Utah Utes", "is_dome": false, "is_fbs_vs_fcs": false, "is_neutral_site": false, "projected_away_points": 18.4, "projected_home_points": 37.1, "projected_margin_home": 18.7, "projected_possessions": 12.4, "projected_total": 55.5, "stadium_elevation_ft": 4657, "travel_distance_miles": 69.0, "uncertainty": 0.18, "weather_total_adjustment": 0.0}, "historical_source_observation_times_verified": false, "inference_inputs": {"engine_source_sha256": "449ba2f0e86fa9c445730076a0e0bf100fb4914620be53c75c6f3bfe24298f3f", "mu_away": 18.4,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158394750902418574279696903526149477518}, "uinteger": 0}, "spread_home_line": -27.5, "total_line": 55.5}, "market_type": "moneyline", "model_version": "college-football-v1", "observed_at_utc": "2026-09-19T17:08:25.088129+00:00", "probabilities": {"away": 0.168712, "home": 0.831288}, "replay_scope": "Full precision score means, exact engine parameters and original RNG state; upstream feature construction not certified.", "schema": "cfb-joint-replay-v1", "snapshot_hash": "3c45150d086865488c79a426e7cd333330b6719fb83a8ca1016c0f087d900d32", "sport": "NCAAF"}</t>
        </is>
      </c>
    </row>
    <row r="314" ht="36" customHeight="1">
      <c r="A314" s="24" t="inlineStr">
        <is>
          <t>364604bb0c9d430c</t>
        </is>
      </c>
      <c r="B314" s="24" t="inlineStr">
        <is>
          <t>2026-09-19T17:08:25.088129Z</t>
        </is>
      </c>
      <c r="C314" s="24" t="inlineStr">
        <is>
          <t>2026-09-19T19:30Z</t>
        </is>
      </c>
      <c r="D314" s="24" t="inlineStr">
        <is>
          <t>401856801</t>
        </is>
      </c>
      <c r="E314" s="24" t="inlineStr">
        <is>
          <t>NCAAF</t>
        </is>
      </c>
      <c r="F314" s="24" t="inlineStr">
        <is>
          <t>Utah State Aggies</t>
        </is>
      </c>
      <c r="G314" s="24" t="inlineStr">
        <is>
          <t>Utah Utes</t>
        </is>
      </c>
      <c r="H314" s="24" t="inlineStr">
        <is>
          <t>spread</t>
        </is>
      </c>
      <c r="I314" s="24" t="inlineStr">
        <is>
          <t>away</t>
        </is>
      </c>
      <c r="J314" s="25" t="n">
        <v>27.5</v>
      </c>
      <c r="K314" s="24" t="inlineStr">
        <is>
          <t>espn_consensus</t>
        </is>
      </c>
      <c r="L314" s="26" t="n">
        <v>-112</v>
      </c>
      <c r="M314" s="27" t="n">
        <v>1.892857</v>
      </c>
      <c r="N314" s="28" t="n">
        <v>0.528302</v>
      </c>
      <c r="O314" s="28" t="n">
        <v>0.6932</v>
      </c>
      <c r="P314" s="28" t="n">
        <v>0.18</v>
      </c>
      <c r="Q314" s="28" t="n">
        <v>0.164898</v>
      </c>
      <c r="R314" s="26" t="n">
        <v>24</v>
      </c>
      <c r="S314" s="29" t="n">
        <v>1</v>
      </c>
      <c r="T314" s="24" t="inlineStr">
        <is>
          <t>cfb-spread-v1</t>
        </is>
      </c>
      <c r="U314" s="24" t="inlineStr">
        <is>
          <t>settled</t>
        </is>
      </c>
      <c r="V314" s="24" t="inlineStr">
        <is>
          <t>loss</t>
        </is>
      </c>
      <c r="W314" s="26" t="n">
        <v>0</v>
      </c>
      <c r="X314" s="26" t="n">
        <v>33</v>
      </c>
      <c r="Y314" s="25" t="n"/>
      <c r="Z314" s="26" t="n"/>
      <c r="AA314" s="28" t="n"/>
      <c r="AB314" s="28" t="n"/>
      <c r="AC314" s="30" t="n">
        <v>-1</v>
      </c>
      <c r="AD314" s="24" t="inlineStr">
        <is>
          <t>2026-09-20T04:30:44.148784Z</t>
        </is>
      </c>
      <c r="AE314" s="31" t="inlineStr">
        <is>
          <t>Projected home margin +18.7 pts. Spread: Home -27.5 / Away +27.5 -&gt; P(Away cover)=0.693, P(Home cover)=0.307, P(Push)=0.000.</t>
        </is>
      </c>
      <c r="AF314" s="31" t="inlineStr">
        <is>
          <t>College football model; multi-market (moneyline, spread, total).</t>
        </is>
      </c>
      <c r="AG314" s="24" t="inlineStr">
        <is>
          <t>review_required</t>
        </is>
      </c>
      <c r="AH314" s="24" t="n"/>
      <c r="AI314" s="31" t="n"/>
      <c r="AJ314" s="31" t="n"/>
      <c r="AK314" s="24" t="inlineStr">
        <is>
          <t>model_qualified</t>
        </is>
      </c>
      <c r="AL314" s="26" t="n">
        <v>4</v>
      </c>
      <c r="AM314" s="24" t="inlineStr">
        <is>
          <t>QUALIFIED_SHADOW_CALL</t>
        </is>
      </c>
      <c r="AN314" s="24" t="inlineStr">
        <is>
          <t>CALL</t>
        </is>
      </c>
      <c r="AO314" s="24" t="inlineStr">
        <is>
          <t>QUALIFIED</t>
        </is>
      </c>
      <c r="AP314" s="24" t="inlineStr">
        <is>
          <t>Utah State Aggies</t>
        </is>
      </c>
      <c r="AQ314" s="24" t="inlineStr">
        <is>
          <t>Utah State Aggies</t>
        </is>
      </c>
      <c r="AR314" s="24" t="inlineStr">
        <is>
          <t>Utah State Aggies</t>
        </is>
      </c>
      <c r="AS314" s="24" t="inlineStr">
        <is>
          <t>Utah Utes</t>
        </is>
      </c>
      <c r="AT314" s="24" t="inlineStr">
        <is>
          <t>Utah Utes</t>
        </is>
      </c>
      <c r="AU314" s="24" t="inlineStr">
        <is>
          <t>Utah Utes</t>
        </is>
      </c>
      <c r="AV314" s="24" t="n"/>
      <c r="AW314" s="24" t="n"/>
      <c r="AX314" s="24" t="inlineStr">
        <is>
          <t>statistical_model</t>
        </is>
      </c>
      <c r="AY314" s="24" t="n"/>
      <c r="AZ314" s="24" t="inlineStr">
        <is>
          <t>shadow_qualified</t>
        </is>
      </c>
      <c r="BA314" s="24" t="inlineStr">
        <is>
          <t>1d168f11d221cd3c</t>
        </is>
      </c>
      <c r="BB314" s="24" t="inlineStr">
        <is>
          <t>cfb_key_number_engine</t>
        </is>
      </c>
      <c r="BC314" s="24" t="inlineStr">
        <is>
          <t>cfb-spread-v1</t>
        </is>
      </c>
      <c r="BD314" s="24" t="inlineStr">
        <is>
          <t>1d168f11d221cd3c</t>
        </is>
      </c>
      <c r="BE314" s="24" t="inlineStr">
        <is>
          <t>cfb-v1</t>
        </is>
      </c>
      <c r="BF314" s="24" t="inlineStr">
        <is>
          <t>1</t>
        </is>
      </c>
      <c r="BG314" s="24" t="inlineStr">
        <is>
          <t>1d168f11d221cd3c</t>
        </is>
      </c>
      <c r="BH314" s="24" t="inlineStr">
        <is>
          <t>2026-09-19T17:08:25.088129+00:00</t>
        </is>
      </c>
      <c r="BI314" s="24" t="inlineStr">
        <is>
          <t>["same_event","same_team_same_day","same_league_same_day"]</t>
        </is>
      </c>
      <c r="BJ314" s="25" t="n">
        <v>27.5</v>
      </c>
      <c r="BK314" s="26" t="n">
        <v>-112</v>
      </c>
      <c r="BL314" s="27" t="n">
        <v>1.892857</v>
      </c>
      <c r="BM314" s="28" t="n">
        <v>0.528302</v>
      </c>
      <c r="BN314" s="28" t="n"/>
      <c r="BO314" s="28" t="n"/>
      <c r="BP314" s="25" t="n"/>
      <c r="BQ314" s="27" t="n"/>
      <c r="BR314" s="28" t="n"/>
      <c r="BS314" s="28" t="n"/>
      <c r="BT314" s="28" t="n"/>
      <c r="BU314" s="25" t="n"/>
      <c r="BV314" s="29" t="n"/>
      <c r="BW314" s="24" t="n"/>
      <c r="BX314" s="30" t="n"/>
      <c r="BY314" s="27" t="n"/>
      <c r="BZ314" s="24" t="n"/>
      <c r="CA314" s="31" t="n"/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n"/>
      <c r="CR314" s="24" t="n"/>
      <c r="CS314" s="24" t="inlineStr">
        <is>
          <t>True</t>
        </is>
      </c>
      <c r="CT314" s="24" t="n"/>
      <c r="CU314" s="24" t="n"/>
      <c r="CV314" s="24" t="n"/>
      <c r="CW314" s="24" t="n"/>
      <c r="CX314" s="24" t="n"/>
      <c r="CY314" s="24" t="n"/>
      <c r="CZ314" s="24" t="n"/>
      <c r="DA314" s="24" t="n"/>
      <c r="DB314" s="24" t="n"/>
      <c r="DC314" s="24" t="n"/>
      <c r="DD314" s="24" t="n"/>
      <c r="DE314" s="24" t="n"/>
      <c r="DF314" s="24" t="n"/>
      <c r="DG314" s="24" t="n"/>
      <c r="DH314" s="24" t="n"/>
      <c r="DI314" s="24" t="n"/>
      <c r="DJ314" s="24" t="inlineStr">
        <is>
          <t>0.528302</t>
        </is>
      </c>
      <c r="DK314" s="24" t="n"/>
      <c r="DL314" s="24" t="n"/>
      <c r="DM314" s="24" t="n"/>
      <c r="DN314" s="24" t="n"/>
      <c r="DO314" s="24" t="n"/>
      <c r="DP314" s="24" t="n"/>
      <c r="DQ314" s="24" t="inlineStr">
        <is>
          <t>{"artifact_hash": "1d168f11d221cd3c", "event_id": "401856801", "event_start_utc": "2026-09-19T19:30Z", "features": {"altitude_fatigue_penalty": 0.0, "away_team": "Utah State Aggies", "efficiency_gap": 2.162, "elo_away": 1438.6, "elo_home": 1832.9, "elo_home_win_prob": 0.9336, "event_id": "401856801", "game_start_utc": "2026-09-19T19:30Z", "home_field_advantage_points": 2.8, "home_team": "Utah Utes", "is_dome": false, "is_fbs_vs_fcs": false, "is_neutral_site": false, "projected_away_points": 18.4, "projected_home_points": 37.1, "projected_margin_home": 18.7, "projected_possessions": 12.4, "projected_total": 55.5, "stadium_elevation_ft": 4657, "travel_distance_miles": 69.0, "uncertainty": 0.18, "weather_total_adjustment": 0.0}, "historical_source_observation_times_verified": false, "inference_inputs": {"engine_source_sha256": "449ba2f0e86fa9c445730076a0e0bf100fb4914620be53c75c6f3bfe24298f3f", "mu_away": 18.4,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158394750902418574279696903526149477518}, "uinteger": 0}, "spread_home_line": -27.5, "total_line": 55.5}, "market_type": "spread", "model_version": "cfb-spread-v1", "observed_at_utc": "2026-09-19T17:08:25.088129+00:00", "probabilities": {"away": 0.6932, "home": 0.3068, "push": 0.0}, "replay_scope": "Full precision score means, exact engine parameters and original RNG state; upstream feature construction not certified.", "schema": "cfb-joint-replay-v1", "snapshot_hash": "fab368a44a7216e930946afedcbc4c7314ef9f011409987653e734040af25862", "sport": "NCAAF"}</t>
        </is>
      </c>
    </row>
    <row r="315" ht="36" customHeight="1">
      <c r="A315" s="24" t="inlineStr">
        <is>
          <t>9248bfd6de5e4c90</t>
        </is>
      </c>
      <c r="B315" s="24" t="inlineStr">
        <is>
          <t>2026-09-19T17:08:25.088129Z</t>
        </is>
      </c>
      <c r="C315" s="24" t="inlineStr">
        <is>
          <t>2026-09-19T19:30Z</t>
        </is>
      </c>
      <c r="D315" s="24" t="inlineStr">
        <is>
          <t>401856801</t>
        </is>
      </c>
      <c r="E315" s="24" t="inlineStr">
        <is>
          <t>NCAAF</t>
        </is>
      </c>
      <c r="F315" s="24" t="inlineStr">
        <is>
          <t>Utah State Aggies</t>
        </is>
      </c>
      <c r="G315" s="24" t="inlineStr">
        <is>
          <t>Utah Utes</t>
        </is>
      </c>
      <c r="H315" s="24" t="inlineStr">
        <is>
          <t>total</t>
        </is>
      </c>
      <c r="I315" s="24" t="inlineStr">
        <is>
          <t>under</t>
        </is>
      </c>
      <c r="J315" s="25" t="n">
        <v>55.5</v>
      </c>
      <c r="K315" s="24" t="inlineStr">
        <is>
          <t>espn_consensus</t>
        </is>
      </c>
      <c r="L315" s="26" t="n">
        <v>-110</v>
      </c>
      <c r="M315" s="27" t="n">
        <v>1.909091</v>
      </c>
      <c r="N315" s="28" t="n">
        <v>0.52381</v>
      </c>
      <c r="O315" s="28" t="n">
        <v>0.531467</v>
      </c>
      <c r="P315" s="28" t="n">
        <v>0.18</v>
      </c>
      <c r="Q315" s="28" t="n">
        <v>0.007657</v>
      </c>
      <c r="R315" s="26" t="n">
        <v>0</v>
      </c>
      <c r="S315" s="29" t="n">
        <v>1</v>
      </c>
      <c r="T315" s="24" t="inlineStr">
        <is>
          <t>cfb-total-v1</t>
        </is>
      </c>
      <c r="U315" s="24" t="inlineStr">
        <is>
          <t>settled</t>
        </is>
      </c>
      <c r="V315" s="24" t="inlineStr">
        <is>
          <t>win</t>
        </is>
      </c>
      <c r="W315" s="26" t="n">
        <v>0</v>
      </c>
      <c r="X315" s="26" t="n">
        <v>33</v>
      </c>
      <c r="Y315" s="25" t="n"/>
      <c r="Z315" s="26" t="n"/>
      <c r="AA315" s="28" t="n"/>
      <c r="AB315" s="28" t="n"/>
      <c r="AC315" s="30" t="n">
        <v>0.9091</v>
      </c>
      <c r="AD315" s="24" t="inlineStr">
        <is>
          <t>2026-09-20T04:30:44.632744Z</t>
        </is>
      </c>
      <c r="AE315" s="31" t="inlineStr">
        <is>
          <t>Projected total 55.5 pts (Weather adj: +0.0 pts). Total line 55.5 -&gt; P(Over)=0.469, P(Under)=0.531, P(Push)=0.000.</t>
        </is>
      </c>
      <c r="AF315" s="31" t="inlineStr">
        <is>
          <t>College football model; multi-market (moneyline, spread, total).</t>
        </is>
      </c>
      <c r="AG315" s="24" t="inlineStr">
        <is>
          <t>not_applicable</t>
        </is>
      </c>
      <c r="AH315" s="24" t="n"/>
      <c r="AI315" s="31" t="n"/>
      <c r="AJ315" s="31" t="n"/>
      <c r="AK315" s="24" t="inlineStr">
        <is>
          <t>paper_call</t>
        </is>
      </c>
      <c r="AL315" s="26" t="n">
        <v>4</v>
      </c>
      <c r="AM315" s="24" t="inlineStr">
        <is>
          <t>RESEARCH_OBSERVATION</t>
        </is>
      </c>
      <c r="AN315" s="24" t="inlineStr">
        <is>
          <t>CALL</t>
        </is>
      </c>
      <c r="AO315" s="24" t="inlineStr">
        <is>
          <t>PAPER_CALL_LOW_EDGE</t>
        </is>
      </c>
      <c r="AP315" s="24" t="inlineStr">
        <is>
          <t>Utah State Aggies</t>
        </is>
      </c>
      <c r="AQ315" s="24" t="inlineStr">
        <is>
          <t>Utah State Aggies</t>
        </is>
      </c>
      <c r="AR315" s="24" t="inlineStr">
        <is>
          <t>Utah State Aggies</t>
        </is>
      </c>
      <c r="AS315" s="24" t="inlineStr">
        <is>
          <t>Utah Utes</t>
        </is>
      </c>
      <c r="AT315" s="24" t="inlineStr">
        <is>
          <t>Utah Utes</t>
        </is>
      </c>
      <c r="AU315" s="24" t="inlineStr">
        <is>
          <t>Utah Utes</t>
        </is>
      </c>
      <c r="AV315" s="24" t="n"/>
      <c r="AW315" s="24" t="n"/>
      <c r="AX315" s="24" t="inlineStr">
        <is>
          <t>statistical_model</t>
        </is>
      </c>
      <c r="AY315" s="24" t="n"/>
      <c r="AZ315" s="24" t="inlineStr">
        <is>
          <t>shadow_qualified</t>
        </is>
      </c>
      <c r="BA315" s="24" t="inlineStr">
        <is>
          <t>1d168f11d221cd3c</t>
        </is>
      </c>
      <c r="BB315" s="24" t="inlineStr">
        <is>
          <t>cfb_key_number_engine</t>
        </is>
      </c>
      <c r="BC315" s="24" t="inlineStr">
        <is>
          <t>cfb-total-v1</t>
        </is>
      </c>
      <c r="BD315" s="24" t="inlineStr">
        <is>
          <t>1d168f11d221cd3c</t>
        </is>
      </c>
      <c r="BE315" s="24" t="inlineStr">
        <is>
          <t>cfb-v1</t>
        </is>
      </c>
      <c r="BF315" s="24" t="inlineStr">
        <is>
          <t>1</t>
        </is>
      </c>
      <c r="BG315" s="24" t="inlineStr">
        <is>
          <t>1d168f11d221cd3c</t>
        </is>
      </c>
      <c r="BH315" s="24" t="inlineStr">
        <is>
          <t>2026-09-19T17:08:25.088129+00:00</t>
        </is>
      </c>
      <c r="BI315" s="24" t="inlineStr">
        <is>
          <t>["same_event","same_team_same_day","same_league_same_day"]</t>
        </is>
      </c>
      <c r="BJ315" s="25" t="n">
        <v>55.5</v>
      </c>
      <c r="BK315" s="26" t="n">
        <v>-110</v>
      </c>
      <c r="BL315" s="27" t="n">
        <v>1.909091</v>
      </c>
      <c r="BM315" s="28" t="n">
        <v>0.52381</v>
      </c>
      <c r="BN315" s="28" t="n"/>
      <c r="BO315" s="28" t="n"/>
      <c r="BP315" s="25" t="n"/>
      <c r="BQ315" s="27" t="n"/>
      <c r="BR315" s="28" t="n"/>
      <c r="BS315" s="28" t="n"/>
      <c r="BT315" s="28" t="n"/>
      <c r="BU315" s="25" t="n"/>
      <c r="BV315" s="29" t="n"/>
      <c r="BW315" s="24" t="n"/>
      <c r="BX315" s="30" t="n">
        <v>1</v>
      </c>
      <c r="BY315" s="27" t="n">
        <v>0.909091</v>
      </c>
      <c r="BZ315" s="24" t="inlineStr">
        <is>
          <t>2026-09-20T04:30:44.632744Z</t>
        </is>
      </c>
      <c r="CA315" s="31" t="inlineStr">
        <is>
          <t>fixed one-unit hypothetical scoring; no real exposure or execution</t>
        </is>
      </c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n"/>
      <c r="CR315" s="24" t="n"/>
      <c r="CS315" s="24" t="inlineStr">
        <is>
          <t>True</t>
        </is>
      </c>
      <c r="CT315" s="24" t="n"/>
      <c r="CU315" s="24" t="n"/>
      <c r="CV315" s="24" t="n"/>
      <c r="CW315" s="24" t="n"/>
      <c r="CX315" s="24" t="n"/>
      <c r="CY315" s="24" t="n"/>
      <c r="CZ315" s="24" t="n"/>
      <c r="DA315" s="24" t="n"/>
      <c r="DB315" s="24" t="n"/>
      <c r="DC315" s="24" t="n"/>
      <c r="DD315" s="24" t="n"/>
      <c r="DE315" s="24" t="n"/>
      <c r="DF315" s="24" t="n"/>
      <c r="DG315" s="24" t="n"/>
      <c r="DH315" s="24" t="n"/>
      <c r="DI315" s="24" t="n"/>
      <c r="DJ315" s="24" t="inlineStr">
        <is>
          <t>0.52381</t>
        </is>
      </c>
      <c r="DK315" s="24" t="n"/>
      <c r="DL315" s="24" t="n"/>
      <c r="DM315" s="24" t="n"/>
      <c r="DN315" s="24" t="n"/>
      <c r="DO315" s="24" t="n"/>
      <c r="DP315" s="24" t="n"/>
      <c r="DQ315" s="24" t="inlineStr">
        <is>
          <t>{"artifact_hash": "1d168f11d221cd3c", "event_id": "401856801", "event_start_utc": "2026-09-19T19:30Z", "features": {"altitude_fatigue_penalty": 0.0, "away_team": "Utah State Aggies", "efficiency_gap": 2.162, "elo_away": 1438.6, "elo_home": 1832.9, "elo_home_win_prob": 0.9336, "event_id": "401856801", "game_start_utc": "2026-09-19T19:30Z", "home_field_advantage_points": 2.8, "home_team": "Utah Utes", "is_dome": false, "is_fbs_vs_fcs": false, "is_neutral_site": false, "projected_away_points": 18.4, "projected_home_points": 37.1, "projected_margin_home": 18.7, "projected_possessions": 12.4, "projected_total": 55.5, "stadium_elevation_ft": 4657, "travel_distance_miles": 69.0, "uncertainty": 0.18, "weather_total_adjustment": 0.0}, "historical_source_observation_times_verified": false, "inference_inputs": {"engine_source_sha256": "449ba2f0e86fa9c445730076a0e0bf100fb4914620be53c75c6f3bfe24298f3f", "mu_away": 18.4,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158394750902418574279696903526149477518}, "uinteger": 0}, "spread_home_line": -27.5, "total_line": 55.5}, "market_type": "total", "model_version": "cfb-total-v1", "observed_at_utc": "2026-09-19T17:08:25.088129+00:00", "probabilities": {"over": 0.468533, "push": 0.0, "under": 0.531467}, "replay_scope": "Full precision score means, exact engine parameters and original RNG state; upstream feature construction not certified.", "schema": "cfb-joint-replay-v1", "snapshot_hash": "54dbc9d43a25707ac7e09db4f355d8baf35a4790b939fc78b743f7f8423e8cb4", "sport": "NCAAF"}</t>
        </is>
      </c>
    </row>
    <row r="316" ht="36" customHeight="1">
      <c r="A316" s="24" t="inlineStr">
        <is>
          <t>5e9ee28ff1ef485a</t>
        </is>
      </c>
      <c r="B316" s="24" t="inlineStr">
        <is>
          <t>2026-09-19T17:08:25.088129Z</t>
        </is>
      </c>
      <c r="C316" s="24" t="inlineStr">
        <is>
          <t>2026-09-19T19:30Z</t>
        </is>
      </c>
      <c r="D316" s="24" t="inlineStr">
        <is>
          <t>401858450</t>
        </is>
      </c>
      <c r="E316" s="24" t="inlineStr">
        <is>
          <t>NCAAF</t>
        </is>
      </c>
      <c r="F316" s="24" t="inlineStr">
        <is>
          <t>UTEP Miners</t>
        </is>
      </c>
      <c r="G316" s="24" t="inlineStr">
        <is>
          <t>Michigan Wolverines</t>
        </is>
      </c>
      <c r="H316" s="24" t="inlineStr">
        <is>
          <t>spread</t>
        </is>
      </c>
      <c r="I316" s="24" t="inlineStr">
        <is>
          <t>away</t>
        </is>
      </c>
      <c r="J316" s="25" t="n">
        <v>34.5</v>
      </c>
      <c r="K316" s="24" t="inlineStr">
        <is>
          <t>espn_consensus</t>
        </is>
      </c>
      <c r="L316" s="26" t="n">
        <v>-108</v>
      </c>
      <c r="M316" s="27" t="n">
        <v>1.925926</v>
      </c>
      <c r="N316" s="28" t="n">
        <v>0.519231</v>
      </c>
      <c r="O316" s="28" t="n">
        <v>0.779667</v>
      </c>
      <c r="P316" s="28" t="n">
        <v>0.165</v>
      </c>
      <c r="Q316" s="28" t="n">
        <v>0.260436</v>
      </c>
      <c r="R316" s="26" t="n">
        <v>81</v>
      </c>
      <c r="S316" s="29" t="n">
        <v>1.75</v>
      </c>
      <c r="T316" s="24" t="inlineStr">
        <is>
          <t>cfb-spread-v1</t>
        </is>
      </c>
      <c r="U316" s="24" t="inlineStr">
        <is>
          <t>settled</t>
        </is>
      </c>
      <c r="V316" s="24" t="inlineStr">
        <is>
          <t>loss</t>
        </is>
      </c>
      <c r="W316" s="26" t="n">
        <v>17</v>
      </c>
      <c r="X316" s="26" t="n">
        <v>52</v>
      </c>
      <c r="Y316" s="25" t="n"/>
      <c r="Z316" s="26" t="n"/>
      <c r="AA316" s="28" t="n"/>
      <c r="AB316" s="28" t="n"/>
      <c r="AC316" s="30" t="n">
        <v>-1.75</v>
      </c>
      <c r="AD316" s="24" t="inlineStr">
        <is>
          <t>2026-09-20T04:30:45.110690Z</t>
        </is>
      </c>
      <c r="AE316" s="31" t="inlineStr">
        <is>
          <t>Projected home margin +21.4 pts. Spread: Home -34.5 / Away +34.5 -&gt; P(Away cover)=0.780, P(Home cover)=0.220, P(Push)=0.000.</t>
        </is>
      </c>
      <c r="AF316" s="31" t="inlineStr">
        <is>
          <t>College football model; multi-market (moneyline, spread, total).</t>
        </is>
      </c>
      <c r="AG316" s="24" t="inlineStr">
        <is>
          <t>review_required</t>
        </is>
      </c>
      <c r="AH316" s="24" t="n"/>
      <c r="AI316" s="31" t="n"/>
      <c r="AJ316" s="31" t="n"/>
      <c r="AK316" s="24" t="inlineStr">
        <is>
          <t>model_qualified</t>
        </is>
      </c>
      <c r="AL316" s="26" t="n">
        <v>4</v>
      </c>
      <c r="AM316" s="24" t="inlineStr">
        <is>
          <t>QUALIFIED_SHADOW_CALL</t>
        </is>
      </c>
      <c r="AN316" s="24" t="inlineStr">
        <is>
          <t>CALL</t>
        </is>
      </c>
      <c r="AO316" s="24" t="inlineStr">
        <is>
          <t>QUALIFIED</t>
        </is>
      </c>
      <c r="AP316" s="24" t="inlineStr">
        <is>
          <t>UTEP Miners</t>
        </is>
      </c>
      <c r="AQ316" s="24" t="inlineStr">
        <is>
          <t>UTEP Miners</t>
        </is>
      </c>
      <c r="AR316" s="24" t="inlineStr">
        <is>
          <t>UTEP Miners</t>
        </is>
      </c>
      <c r="AS316" s="24" t="inlineStr">
        <is>
          <t>Michigan Wolverines</t>
        </is>
      </c>
      <c r="AT316" s="24" t="inlineStr">
        <is>
          <t>Michigan Wolverines</t>
        </is>
      </c>
      <c r="AU316" s="24" t="inlineStr">
        <is>
          <t>Michigan Wolverines</t>
        </is>
      </c>
      <c r="AV316" s="24" t="n"/>
      <c r="AW316" s="24" t="n"/>
      <c r="AX316" s="24" t="inlineStr">
        <is>
          <t>statistical_model</t>
        </is>
      </c>
      <c r="AY316" s="24" t="n"/>
      <c r="AZ316" s="24" t="inlineStr">
        <is>
          <t>shadow_qualified</t>
        </is>
      </c>
      <c r="BA316" s="24" t="inlineStr">
        <is>
          <t>1d168f11d221cd3c</t>
        </is>
      </c>
      <c r="BB316" s="24" t="inlineStr">
        <is>
          <t>cfb_key_number_engine</t>
        </is>
      </c>
      <c r="BC316" s="24" t="inlineStr">
        <is>
          <t>cfb-spread-v1</t>
        </is>
      </c>
      <c r="BD316" s="24" t="inlineStr">
        <is>
          <t>1d168f11d221cd3c</t>
        </is>
      </c>
      <c r="BE316" s="24" t="inlineStr">
        <is>
          <t>cfb-v1</t>
        </is>
      </c>
      <c r="BF316" s="24" t="inlineStr">
        <is>
          <t>1</t>
        </is>
      </c>
      <c r="BG316" s="24" t="inlineStr">
        <is>
          <t>1d168f11d221cd3c</t>
        </is>
      </c>
      <c r="BH316" s="24" t="inlineStr">
        <is>
          <t>2026-09-19T17:08:25.088129+00:00</t>
        </is>
      </c>
      <c r="BI316" s="24" t="inlineStr">
        <is>
          <t>["same_event","same_team_same_day","same_league_same_day"]</t>
        </is>
      </c>
      <c r="BJ316" s="25" t="n">
        <v>34.5</v>
      </c>
      <c r="BK316" s="26" t="n">
        <v>-108</v>
      </c>
      <c r="BL316" s="27" t="n">
        <v>1.925926</v>
      </c>
      <c r="BM316" s="28" t="n">
        <v>0.519231</v>
      </c>
      <c r="BN316" s="28" t="n"/>
      <c r="BO316" s="28" t="n"/>
      <c r="BP316" s="25" t="n"/>
      <c r="BQ316" s="27" t="n"/>
      <c r="BR316" s="28" t="n"/>
      <c r="BS316" s="28" t="n"/>
      <c r="BT316" s="28" t="n"/>
      <c r="BU316" s="25" t="n"/>
      <c r="BV316" s="29" t="n"/>
      <c r="BW316" s="24" t="n"/>
      <c r="BX316" s="30" t="n"/>
      <c r="BY316" s="27" t="n"/>
      <c r="BZ316" s="24" t="n"/>
      <c r="CA316" s="31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inlineStr">
        <is>
          <t>True</t>
        </is>
      </c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/>
      <c r="DH316" s="24" t="n"/>
      <c r="DI316" s="24" t="n"/>
      <c r="DJ316" s="24" t="inlineStr">
        <is>
          <t>0.519231</t>
        </is>
      </c>
      <c r="DK316" s="24" t="n"/>
      <c r="DL316" s="24" t="n"/>
      <c r="DM316" s="24" t="n"/>
      <c r="DN316" s="24" t="n"/>
      <c r="DO316" s="24" t="n"/>
      <c r="DP316" s="24" t="n"/>
      <c r="DQ316" s="24" t="inlineStr">
        <is>
          <t>{"artifact_hash": "1d168f11d221cd3c", "event_id": "401858450", "event_start_utc": "2026-09-19T19:30Z", "features": {"altitude_fatigue_penalty": 0.0, "away_team": "UTEP Miners", "efficiency_gap": 2.976, "elo_away": 1127.5, "elo_home": 1584.3, "elo_home_win_prob": 0.9528, "event_id": "401858450", "game_start_utc": "2026-09-19T19:30Z", "home_field_advantage_points": 2.8, "home_team": "Michigan Wolverines", "is_dome": false, "is_fbs_vs_fcs": false, "is_neutral_site": false, "projected_away_points": 15.5, "projected_home_points": 36.8, "projected_margin_home": 21.4, "projected_possessions": 12.4, "projected_total": 52.3, "stadium_elevation_ft": 840, "travel_distance_miles": 1443.0, "uncertainty": 0.165, "weather_total_adjustment": 0.0}, "historical_source_observation_times_verified": false, "inference_inputs": {"engine_source_sha256": "449ba2f0e86fa9c445730076a0e0bf100fb4914620be53c75c6f3bfe24298f3f", "mu_away": 15.5, "mu_home": 36.8,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270118182412883988077975278438486429274}, "uinteger": 0}, "spread_home_line": -34.5, "total_line": 48.5}, "market_type": "spread", "model_version": "cfb-spread-v1", "observed_at_utc": "2026-09-19T17:08:25.088129+00:00", "probabilities": {"away": 0.779667, "home": 0.220333, "push": 0.0}, "replay_scope": "Full precision score means, exact engine parameters and original RNG state; upstream feature construction not certified.", "schema": "cfb-joint-replay-v1", "snapshot_hash": "e4c2b0efae33adbee6fdda6ffc676f8c213fbdc99d158a4d990b963a79096de8", "sport": "NCAAF"}</t>
        </is>
      </c>
    </row>
    <row r="317" ht="36" customHeight="1">
      <c r="A317" s="24" t="inlineStr">
        <is>
          <t>c064956b936a4be1</t>
        </is>
      </c>
      <c r="B317" s="24" t="inlineStr">
        <is>
          <t>2026-09-19T17:08:25.088129Z</t>
        </is>
      </c>
      <c r="C317" s="24" t="inlineStr">
        <is>
          <t>2026-09-19T19:30Z</t>
        </is>
      </c>
      <c r="D317" s="24" t="inlineStr">
        <is>
          <t>401858450</t>
        </is>
      </c>
      <c r="E317" s="24" t="inlineStr">
        <is>
          <t>NCAAF</t>
        </is>
      </c>
      <c r="F317" s="24" t="inlineStr">
        <is>
          <t>UTEP Miners</t>
        </is>
      </c>
      <c r="G317" s="24" t="inlineStr">
        <is>
          <t>Michigan Wolverines</t>
        </is>
      </c>
      <c r="H317" s="24" t="inlineStr">
        <is>
          <t>total</t>
        </is>
      </c>
      <c r="I317" s="24" t="inlineStr">
        <is>
          <t>over</t>
        </is>
      </c>
      <c r="J317" s="25" t="n">
        <v>48.5</v>
      </c>
      <c r="K317" s="24" t="inlineStr">
        <is>
          <t>espn_consensus</t>
        </is>
      </c>
      <c r="L317" s="26" t="n">
        <v>-110</v>
      </c>
      <c r="M317" s="27" t="n">
        <v>1.909091</v>
      </c>
      <c r="N317" s="28" t="n">
        <v>0.52381</v>
      </c>
      <c r="O317" s="28" t="n">
        <v>0.536</v>
      </c>
      <c r="P317" s="28" t="n">
        <v>0.165</v>
      </c>
      <c r="Q317" s="28" t="n">
        <v>0.01219</v>
      </c>
      <c r="R317" s="26" t="n">
        <v>0</v>
      </c>
      <c r="S317" s="29" t="n">
        <v>1</v>
      </c>
      <c r="T317" s="24" t="inlineStr">
        <is>
          <t>cfb-total-v1</t>
        </is>
      </c>
      <c r="U317" s="24" t="inlineStr">
        <is>
          <t>settled</t>
        </is>
      </c>
      <c r="V317" s="24" t="inlineStr">
        <is>
          <t>win</t>
        </is>
      </c>
      <c r="W317" s="26" t="n">
        <v>17</v>
      </c>
      <c r="X317" s="26" t="n">
        <v>52</v>
      </c>
      <c r="Y317" s="25" t="n"/>
      <c r="Z317" s="26" t="n"/>
      <c r="AA317" s="28" t="n"/>
      <c r="AB317" s="28" t="n"/>
      <c r="AC317" s="30" t="n">
        <v>0.9091</v>
      </c>
      <c r="AD317" s="24" t="inlineStr">
        <is>
          <t>2026-09-20T04:30:45.590028Z</t>
        </is>
      </c>
      <c r="AE317" s="31" t="inlineStr">
        <is>
          <t>Projected total 52.3 pts (Weather adj: +0.0 pts). Total line 48.5 -&gt; P(Over)=0.536, P(Under)=0.464, P(Push)=0.000.</t>
        </is>
      </c>
      <c r="AF317" s="31" t="inlineStr">
        <is>
          <t>College football model; multi-market (moneyline, spread, total).</t>
        </is>
      </c>
      <c r="AG317" s="24" t="inlineStr">
        <is>
          <t>not_applicable</t>
        </is>
      </c>
      <c r="AH317" s="24" t="n"/>
      <c r="AI317" s="31" t="n"/>
      <c r="AJ317" s="31" t="n"/>
      <c r="AK317" s="24" t="inlineStr">
        <is>
          <t>paper_call</t>
        </is>
      </c>
      <c r="AL317" s="26" t="n">
        <v>4</v>
      </c>
      <c r="AM317" s="24" t="inlineStr">
        <is>
          <t>RESEARCH_OBSERVATION</t>
        </is>
      </c>
      <c r="AN317" s="24" t="inlineStr">
        <is>
          <t>CALL</t>
        </is>
      </c>
      <c r="AO317" s="24" t="inlineStr">
        <is>
          <t>PAPER_CALL_LOW_EDGE</t>
        </is>
      </c>
      <c r="AP317" s="24" t="inlineStr">
        <is>
          <t>UTEP Miners</t>
        </is>
      </c>
      <c r="AQ317" s="24" t="inlineStr">
        <is>
          <t>UTEP Miners</t>
        </is>
      </c>
      <c r="AR317" s="24" t="inlineStr">
        <is>
          <t>UTEP Miners</t>
        </is>
      </c>
      <c r="AS317" s="24" t="inlineStr">
        <is>
          <t>Michigan Wolverines</t>
        </is>
      </c>
      <c r="AT317" s="24" t="inlineStr">
        <is>
          <t>Michigan Wolverines</t>
        </is>
      </c>
      <c r="AU317" s="24" t="inlineStr">
        <is>
          <t>Michigan Wolverines</t>
        </is>
      </c>
      <c r="AV317" s="24" t="n"/>
      <c r="AW317" s="24" t="n"/>
      <c r="AX317" s="24" t="inlineStr">
        <is>
          <t>statistical_model</t>
        </is>
      </c>
      <c r="AY317" s="24" t="n"/>
      <c r="AZ317" s="24" t="inlineStr">
        <is>
          <t>shadow_qualified</t>
        </is>
      </c>
      <c r="BA317" s="24" t="inlineStr">
        <is>
          <t>1d168f11d221cd3c</t>
        </is>
      </c>
      <c r="BB317" s="24" t="inlineStr">
        <is>
          <t>cfb_key_number_engine</t>
        </is>
      </c>
      <c r="BC317" s="24" t="inlineStr">
        <is>
          <t>cfb-total-v1</t>
        </is>
      </c>
      <c r="BD317" s="24" t="inlineStr">
        <is>
          <t>1d168f11d221cd3c</t>
        </is>
      </c>
      <c r="BE317" s="24" t="inlineStr">
        <is>
          <t>cfb-v1</t>
        </is>
      </c>
      <c r="BF317" s="24" t="inlineStr">
        <is>
          <t>1</t>
        </is>
      </c>
      <c r="BG317" s="24" t="inlineStr">
        <is>
          <t>1d168f11d221cd3c</t>
        </is>
      </c>
      <c r="BH317" s="24" t="inlineStr">
        <is>
          <t>2026-09-19T17:08:25.088129+00:00</t>
        </is>
      </c>
      <c r="BI317" s="24" t="inlineStr">
        <is>
          <t>["same_event","same_team_same_day","same_league_same_day"]</t>
        </is>
      </c>
      <c r="BJ317" s="25" t="n">
        <v>48.5</v>
      </c>
      <c r="BK317" s="26" t="n">
        <v>-110</v>
      </c>
      <c r="BL317" s="27" t="n">
        <v>1.909091</v>
      </c>
      <c r="BM317" s="28" t="n">
        <v>0.52381</v>
      </c>
      <c r="BN317" s="28" t="n"/>
      <c r="BO317" s="28" t="n"/>
      <c r="BP317" s="25" t="n"/>
      <c r="BQ317" s="27" t="n"/>
      <c r="BR317" s="28" t="n"/>
      <c r="BS317" s="28" t="n"/>
      <c r="BT317" s="28" t="n"/>
      <c r="BU317" s="25" t="n"/>
      <c r="BV317" s="29" t="n"/>
      <c r="BW317" s="24" t="n"/>
      <c r="BX317" s="30" t="n">
        <v>1</v>
      </c>
      <c r="BY317" s="27" t="n">
        <v>0.909091</v>
      </c>
      <c r="BZ317" s="24" t="inlineStr">
        <is>
          <t>2026-09-20T04:30:45.590028Z</t>
        </is>
      </c>
      <c r="CA317" s="31" t="inlineStr">
        <is>
          <t>fixed one-unit hypothetical scoring; no real exposure or execution</t>
        </is>
      </c>
      <c r="CB317" s="24" t="n"/>
      <c r="CC317" s="24" t="n"/>
      <c r="CD317" s="24" t="n"/>
      <c r="CE317" s="24" t="n"/>
      <c r="CF317" s="24" t="n"/>
      <c r="CG317" s="24" t="n"/>
      <c r="CH317" s="24" t="n"/>
      <c r="CI317" s="24" t="n"/>
      <c r="CJ317" s="24" t="n"/>
      <c r="CK317" s="24" t="n"/>
      <c r="CL317" s="24" t="n"/>
      <c r="CM317" s="24" t="n"/>
      <c r="CN317" s="24" t="n"/>
      <c r="CO317" s="24" t="n"/>
      <c r="CP317" s="24" t="n"/>
      <c r="CQ317" s="24" t="n"/>
      <c r="CR317" s="24" t="n"/>
      <c r="CS317" s="24" t="inlineStr">
        <is>
          <t>True</t>
        </is>
      </c>
      <c r="CT317" s="24" t="n"/>
      <c r="CU317" s="24" t="n"/>
      <c r="CV317" s="24" t="n"/>
      <c r="CW317" s="24" t="n"/>
      <c r="CX317" s="24" t="n"/>
      <c r="CY317" s="24" t="n"/>
      <c r="CZ317" s="24" t="n"/>
      <c r="DA317" s="24" t="n"/>
      <c r="DB317" s="24" t="n"/>
      <c r="DC317" s="24" t="n"/>
      <c r="DD317" s="24" t="n"/>
      <c r="DE317" s="24" t="n"/>
      <c r="DF317" s="24" t="n"/>
      <c r="DG317" s="24" t="n"/>
      <c r="DH317" s="24" t="n"/>
      <c r="DI317" s="24" t="n"/>
      <c r="DJ317" s="24" t="inlineStr">
        <is>
          <t>0.52381</t>
        </is>
      </c>
      <c r="DK317" s="24" t="n"/>
      <c r="DL317" s="24" t="n"/>
      <c r="DM317" s="24" t="n"/>
      <c r="DN317" s="24" t="n"/>
      <c r="DO317" s="24" t="n"/>
      <c r="DP317" s="24" t="n"/>
      <c r="DQ317" s="24" t="inlineStr">
        <is>
          <t>{"artifact_hash": "1d168f11d221cd3c", "event_id": "401858450", "event_start_utc": "2026-09-19T19:30Z", "features": {"altitude_fatigue_penalty": 0.0, "away_team": "UTEP Miners", "efficiency_gap": 2.976, "elo_away": 1127.5, "elo_home": 1584.3, "elo_home_win_prob": 0.9528, "event_id": "401858450", "game_start_utc": "2026-09-19T19:30Z", "home_field_advantage_points": 2.8, "home_team": "Michigan Wolverines", "is_dome": false, "is_fbs_vs_fcs": false, "is_neutral_site": false, "projected_away_points": 15.5, "projected_home_points": 36.8, "projected_margin_home": 21.4, "projected_possessions": 12.4, "projected_total": 52.3, "stadium_elevation_ft": 840, "travel_distance_miles": 1443.0, "uncertainty": 0.165, "weather_total_adjustment": 0.0}, "historical_source_observation_times_verified": false, "inference_inputs": {"engine_source_sha256": "449ba2f0e86fa9c445730076a0e0bf100fb4914620be53c75c6f3bfe24298f3f", "mu_away": 15.5, "mu_home": 36.8,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270118182412883988077975278438486429274}, "uinteger": 0}, "spread_home_line": -34.5, "total_line": 48.5}, "market_type": "total", "model_version": "cfb-total-v1", "observed_at_utc": "2026-09-19T17:08:25.088129+00:00", "probabilities": {"over": 0.536, "push": 0.0, "under": 0.464}, "replay_scope": "Full precision score means, exact engine parameters and original RNG state; upstream feature construction not certified.", "schema": "cfb-joint-replay-v1", "snapshot_hash": "06c7245f006e3ecf4609b354d8f00f95f9191ba9961f802749e08c7ecce53635", "sport": "NCAAF"}</t>
        </is>
      </c>
    </row>
    <row r="318" ht="36" customHeight="1">
      <c r="A318" s="24" t="inlineStr">
        <is>
          <t>deb96107f0c3451b</t>
        </is>
      </c>
      <c r="B318" s="24" t="inlineStr">
        <is>
          <t>2026-09-19T17:08:25.088129Z</t>
        </is>
      </c>
      <c r="C318" s="24" t="inlineStr">
        <is>
          <t>2026-09-19T19:30Z</t>
        </is>
      </c>
      <c r="D318" s="24" t="inlineStr">
        <is>
          <t>401856797</t>
        </is>
      </c>
      <c r="E318" s="24" t="inlineStr">
        <is>
          <t>NCAAF</t>
        </is>
      </c>
      <c r="F318" s="24" t="inlineStr">
        <is>
          <t>Miami (OH) RedHawks</t>
        </is>
      </c>
      <c r="G318" s="24" t="inlineStr">
        <is>
          <t>Cincinnati Bearcats</t>
        </is>
      </c>
      <c r="H318" s="24" t="inlineStr">
        <is>
          <t>moneyline</t>
        </is>
      </c>
      <c r="I318" s="24" t="inlineStr">
        <is>
          <t>home</t>
        </is>
      </c>
      <c r="J318" s="25" t="n"/>
      <c r="K318" s="24" t="inlineStr">
        <is>
          <t>espn_consensus</t>
        </is>
      </c>
      <c r="L318" s="26" t="n">
        <v>-675</v>
      </c>
      <c r="M318" s="27" t="n">
        <v>1.148148</v>
      </c>
      <c r="N318" s="28" t="n">
        <v>0.870968</v>
      </c>
      <c r="O318" s="28" t="n">
        <v>0.611376</v>
      </c>
      <c r="P318" s="28" t="n">
        <v>0.165</v>
      </c>
      <c r="Q318" s="28" t="n">
        <v>-0.259592</v>
      </c>
      <c r="R318" s="26" t="n">
        <v>0</v>
      </c>
      <c r="S318" s="29" t="n">
        <v>1</v>
      </c>
      <c r="T318" s="24" t="inlineStr">
        <is>
          <t>college-football-v1</t>
        </is>
      </c>
      <c r="U318" s="24" t="inlineStr">
        <is>
          <t>settled</t>
        </is>
      </c>
      <c r="V318" s="24" t="inlineStr">
        <is>
          <t>win</t>
        </is>
      </c>
      <c r="W318" s="26" t="n">
        <v>31</v>
      </c>
      <c r="X318" s="26" t="n">
        <v>35</v>
      </c>
      <c r="Y318" s="25" t="n"/>
      <c r="Z318" s="26" t="n"/>
      <c r="AA318" s="28" t="n"/>
      <c r="AB318" s="28" t="n"/>
      <c r="AC318" s="30" t="n">
        <v>0.1481</v>
      </c>
      <c r="AD318" s="24" t="inlineStr">
        <is>
          <t>2026-09-20T04:30:46.136480Z</t>
        </is>
      </c>
      <c r="AE318" s="31" t="inlineStr">
        <is>
          <t>CFB Joint Model (negative_binomial): proj score Miami (OH) RedHawks 24.1 @ Cincinnati Bearcats 29.3 (Margin +5.2). Possessions: 12.4, HFA: +2.8 pts.</t>
        </is>
      </c>
      <c r="AF318" s="31" t="inlineStr">
        <is>
          <t>College football model; multi-market (moneyline, spread, total).</t>
        </is>
      </c>
      <c r="AG318" s="24" t="inlineStr">
        <is>
          <t>not_applicable</t>
        </is>
      </c>
      <c r="AH318" s="24" t="n"/>
      <c r="AI318" s="31" t="n"/>
      <c r="AJ318" s="31" t="n"/>
      <c r="AK318" s="24" t="inlineStr">
        <is>
          <t>paper_call</t>
        </is>
      </c>
      <c r="AL318" s="26" t="n">
        <v>4</v>
      </c>
      <c r="AM318" s="24" t="inlineStr">
        <is>
          <t>RESEARCH_OBSERVATION</t>
        </is>
      </c>
      <c r="AN318" s="24" t="inlineStr">
        <is>
          <t>CALL</t>
        </is>
      </c>
      <c r="AO318" s="24" t="inlineStr">
        <is>
          <t>PAPER_CALL_LOW_EDGE</t>
        </is>
      </c>
      <c r="AP318" s="24" t="inlineStr">
        <is>
          <t>Miami (OH) RedHawks</t>
        </is>
      </c>
      <c r="AQ318" s="24" t="inlineStr">
        <is>
          <t>Miami (OH) RedHawks</t>
        </is>
      </c>
      <c r="AR318" s="24" t="inlineStr">
        <is>
          <t>Miami (OH) RedHawks</t>
        </is>
      </c>
      <c r="AS318" s="24" t="inlineStr">
        <is>
          <t>Cincinnati Bearcats</t>
        </is>
      </c>
      <c r="AT318" s="24" t="inlineStr">
        <is>
          <t>Cincinnati Bearcats</t>
        </is>
      </c>
      <c r="AU318" s="24" t="inlineStr">
        <is>
          <t>Cincinnati Bearcats</t>
        </is>
      </c>
      <c r="AV318" s="24" t="n"/>
      <c r="AW318" s="24" t="n"/>
      <c r="AX318" s="24" t="inlineStr">
        <is>
          <t>statistical_model</t>
        </is>
      </c>
      <c r="AY318" s="24" t="n"/>
      <c r="AZ318" s="24" t="inlineStr">
        <is>
          <t>shadow_qualified</t>
        </is>
      </c>
      <c r="BA318" s="24" t="inlineStr">
        <is>
          <t>1d168f11d221cd3c</t>
        </is>
      </c>
      <c r="BB318" s="24" t="inlineStr">
        <is>
          <t>cfb_key_number_engine</t>
        </is>
      </c>
      <c r="BC318" s="24" t="inlineStr">
        <is>
          <t>college-football-v1</t>
        </is>
      </c>
      <c r="BD318" s="24" t="inlineStr">
        <is>
          <t>1d168f11d221cd3c</t>
        </is>
      </c>
      <c r="BE318" s="24" t="inlineStr">
        <is>
          <t>cfb-v1</t>
        </is>
      </c>
      <c r="BF318" s="24" t="inlineStr">
        <is>
          <t>1</t>
        </is>
      </c>
      <c r="BG318" s="24" t="inlineStr">
        <is>
          <t>1d168f11d221cd3c</t>
        </is>
      </c>
      <c r="BH318" s="24" t="inlineStr">
        <is>
          <t>2026-09-19T17:08:25.088129+00:00</t>
        </is>
      </c>
      <c r="BI318" s="24" t="inlineStr">
        <is>
          <t>["same_event","same_team_same_day","same_league_same_day"]</t>
        </is>
      </c>
      <c r="BJ318" s="25" t="n"/>
      <c r="BK318" s="26" t="n">
        <v>-675</v>
      </c>
      <c r="BL318" s="27" t="n">
        <v>1.148148</v>
      </c>
      <c r="BM318" s="28" t="n">
        <v>0.870968</v>
      </c>
      <c r="BN318" s="28" t="n"/>
      <c r="BO318" s="28" t="n"/>
      <c r="BP318" s="25" t="n"/>
      <c r="BQ318" s="27" t="n"/>
      <c r="BR318" s="28" t="n"/>
      <c r="BS318" s="28" t="n"/>
      <c r="BT318" s="28" t="n"/>
      <c r="BU318" s="25" t="n"/>
      <c r="BV318" s="29" t="n"/>
      <c r="BW318" s="24" t="n"/>
      <c r="BX318" s="30" t="n">
        <v>1</v>
      </c>
      <c r="BY318" s="27" t="n">
        <v>0.148148</v>
      </c>
      <c r="BZ318" s="24" t="inlineStr">
        <is>
          <t>2026-09-20T04:30:46.136480Z</t>
        </is>
      </c>
      <c r="CA318" s="31" t="inlineStr">
        <is>
          <t>fixed one-unit hypothetical scoring; no real exposure or execution</t>
        </is>
      </c>
      <c r="CB318" s="24" t="n"/>
      <c r="CC318" s="24" t="n"/>
      <c r="CD318" s="24" t="n"/>
      <c r="CE318" s="24" t="n"/>
      <c r="CF318" s="24" t="n"/>
      <c r="CG318" s="24" t="n"/>
      <c r="CH318" s="24" t="n"/>
      <c r="CI318" s="24" t="n"/>
      <c r="CJ318" s="24" t="n"/>
      <c r="CK318" s="24" t="n"/>
      <c r="CL318" s="24" t="n"/>
      <c r="CM318" s="24" t="n"/>
      <c r="CN318" s="24" t="n"/>
      <c r="CO318" s="24" t="n"/>
      <c r="CP318" s="24" t="n"/>
      <c r="CQ318" s="24" t="n"/>
      <c r="CR318" s="24" t="n"/>
      <c r="CS318" s="24" t="inlineStr">
        <is>
          <t>False</t>
        </is>
      </c>
      <c r="CT318" s="24" t="n"/>
      <c r="CU318" s="24" t="n"/>
      <c r="CV318" s="24" t="n"/>
      <c r="CW318" s="24" t="n"/>
      <c r="CX318" s="24" t="n"/>
      <c r="CY318" s="24" t="n"/>
      <c r="CZ318" s="24" t="n"/>
      <c r="DA318" s="24" t="n"/>
      <c r="DB318" s="24" t="n"/>
      <c r="DC318" s="24" t="n"/>
      <c r="DD318" s="24" t="n"/>
      <c r="DE318" s="24" t="n"/>
      <c r="DF318" s="24" t="n"/>
      <c r="DG318" s="24" t="n"/>
      <c r="DH318" s="24" t="n"/>
      <c r="DI318" s="24" t="n"/>
      <c r="DJ318" s="24" t="inlineStr">
        <is>
          <t>0.870968</t>
        </is>
      </c>
      <c r="DK318" s="24" t="n"/>
      <c r="DL318" s="24" t="n"/>
      <c r="DM318" s="24" t="n"/>
      <c r="DN318" s="24" t="n"/>
      <c r="DO318" s="24" t="n"/>
      <c r="DP318" s="24" t="n"/>
      <c r="DQ318" s="24" t="inlineStr">
        <is>
          <t>{"artifact_hash": "1d168f11d221cd3c", "event_id": "401856797", "event_start_utc": "2026-09-19T19:30Z", "features": {"altitude_fatigue_penalty": 0.0, "away_team": "Miami (OH) RedHawks", "efficiency_gap": 2.846, "elo_away": 1378.8, "elo_home": 1425.3, "elo_home_win_prob": 0.6552, "event_id": "401856797", "game_start_utc": "2026-09-19T19:30Z", "home_field_advantage_points": 2.8, "home_team": "Cincinnati Bearcats", "is_dome": false, "is_fbs_vs_fcs": false, "is_neutral_site": false, "projected_away_points": 24.1, "projected_home_points": 29.3, "projected_margin_home": 5.2, "projected_possessions": 12.4, "projected_total": 53.5, "stadium_elevation_ft": 750, "travel_distance_miles": 29.0, "uncertainty": 0.165, "weather_total_adjustment": 0.0}, "historical_source_observation_times_verified": false, "inference_inputs": {"engine_source_sha256": "449ba2f0e86fa9c445730076a0e0bf100fb4914620be53c75c6f3bfe24298f3f", "mu_away": 24.1, "mu_home": 29.3,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162805768291351036686346978453192412843}, "uinteger": 0}, "spread_home_line": -15.5, "total_line": 50.5}, "market_type": "moneyline", "model_version": "college-football-v1", "observed_at_utc": "2026-09-19T17:08:25.088129+00:00", "probabilities": {"away": 0.388624, "home": 0.611376}, "replay_scope": "Full precision score means, exact engine parameters and original RNG state; upstream feature construction not certified.", "schema": "cfb-joint-replay-v1", "snapshot_hash": "e30c205cea6dd5018fcdba641e1f7df5b2d40c83cfdac5b17e1ef435451c668c", "sport": "NCAAF"}</t>
        </is>
      </c>
    </row>
    <row r="319" ht="36" customHeight="1">
      <c r="A319" s="24" t="inlineStr">
        <is>
          <t>5855e46b9ae548b3</t>
        </is>
      </c>
      <c r="B319" s="24" t="inlineStr">
        <is>
          <t>2026-09-19T17:08:25.088129Z</t>
        </is>
      </c>
      <c r="C319" s="24" t="inlineStr">
        <is>
          <t>2026-09-19T19:30Z</t>
        </is>
      </c>
      <c r="D319" s="24" t="inlineStr">
        <is>
          <t>401856797</t>
        </is>
      </c>
      <c r="E319" s="24" t="inlineStr">
        <is>
          <t>NCAAF</t>
        </is>
      </c>
      <c r="F319" s="24" t="inlineStr">
        <is>
          <t>Miami (OH) RedHawks</t>
        </is>
      </c>
      <c r="G319" s="24" t="inlineStr">
        <is>
          <t>Cincinnati Bearcats</t>
        </is>
      </c>
      <c r="H319" s="24" t="inlineStr">
        <is>
          <t>spread</t>
        </is>
      </c>
      <c r="I319" s="24" t="inlineStr">
        <is>
          <t>away</t>
        </is>
      </c>
      <c r="J319" s="25" t="n">
        <v>15.5</v>
      </c>
      <c r="K319" s="24" t="inlineStr">
        <is>
          <t>espn_consensus</t>
        </is>
      </c>
      <c r="L319" s="26" t="n">
        <v>-112</v>
      </c>
      <c r="M319" s="27" t="n">
        <v>1.892857</v>
      </c>
      <c r="N319" s="28" t="n">
        <v>0.528302</v>
      </c>
      <c r="O319" s="28" t="n">
        <v>0.7006</v>
      </c>
      <c r="P319" s="28" t="n">
        <v>0.165</v>
      </c>
      <c r="Q319" s="28" t="n">
        <v>0.172298</v>
      </c>
      <c r="R319" s="26" t="n">
        <v>37</v>
      </c>
      <c r="S319" s="29" t="n">
        <v>1</v>
      </c>
      <c r="T319" s="24" t="inlineStr">
        <is>
          <t>cfb-spread-v1</t>
        </is>
      </c>
      <c r="U319" s="24" t="inlineStr">
        <is>
          <t>settled</t>
        </is>
      </c>
      <c r="V319" s="24" t="inlineStr">
        <is>
          <t>win</t>
        </is>
      </c>
      <c r="W319" s="26" t="n">
        <v>31</v>
      </c>
      <c r="X319" s="26" t="n">
        <v>35</v>
      </c>
      <c r="Y319" s="25" t="n"/>
      <c r="Z319" s="26" t="n"/>
      <c r="AA319" s="28" t="n"/>
      <c r="AB319" s="28" t="n"/>
      <c r="AC319" s="30" t="n">
        <v>0.8929</v>
      </c>
      <c r="AD319" s="24" t="inlineStr">
        <is>
          <t>2026-09-20T04:30:46.554116Z</t>
        </is>
      </c>
      <c r="AE319" s="31" t="inlineStr">
        <is>
          <t>Projected home margin +5.2 pts. Spread: Home -15.5 / Away +15.5 -&gt; P(Away cover)=0.701, P(Home cover)=0.299, P(Push)=0.000.</t>
        </is>
      </c>
      <c r="AF319" s="31" t="inlineStr">
        <is>
          <t>College football model; multi-market (moneyline, spread, total).</t>
        </is>
      </c>
      <c r="AG319" s="24" t="inlineStr">
        <is>
          <t>not_applicable</t>
        </is>
      </c>
      <c r="AH319" s="24" t="n"/>
      <c r="AI319" s="31" t="n"/>
      <c r="AJ319" s="31" t="n"/>
      <c r="AK319" s="24" t="inlineStr">
        <is>
          <t>model_qualified</t>
        </is>
      </c>
      <c r="AL319" s="26" t="n">
        <v>4</v>
      </c>
      <c r="AM319" s="24" t="inlineStr">
        <is>
          <t>QUALIFIED_SHADOW_CALL</t>
        </is>
      </c>
      <c r="AN319" s="24" t="inlineStr">
        <is>
          <t>CALL</t>
        </is>
      </c>
      <c r="AO319" s="24" t="inlineStr">
        <is>
          <t>QUALIFIED</t>
        </is>
      </c>
      <c r="AP319" s="24" t="inlineStr">
        <is>
          <t>Miami (OH) RedHawks</t>
        </is>
      </c>
      <c r="AQ319" s="24" t="inlineStr">
        <is>
          <t>Miami (OH) RedHawks</t>
        </is>
      </c>
      <c r="AR319" s="24" t="inlineStr">
        <is>
          <t>Miami (OH) RedHawks</t>
        </is>
      </c>
      <c r="AS319" s="24" t="inlineStr">
        <is>
          <t>Cincinnati Bearcats</t>
        </is>
      </c>
      <c r="AT319" s="24" t="inlineStr">
        <is>
          <t>Cincinnati Bearcats</t>
        </is>
      </c>
      <c r="AU319" s="24" t="inlineStr">
        <is>
          <t>Cincinnati Bearcats</t>
        </is>
      </c>
      <c r="AV319" s="24" t="n"/>
      <c r="AW319" s="24" t="n"/>
      <c r="AX319" s="24" t="inlineStr">
        <is>
          <t>statistical_model</t>
        </is>
      </c>
      <c r="AY319" s="24" t="n"/>
      <c r="AZ319" s="24" t="inlineStr">
        <is>
          <t>shadow_qualified</t>
        </is>
      </c>
      <c r="BA319" s="24" t="inlineStr">
        <is>
          <t>1d168f11d221cd3c</t>
        </is>
      </c>
      <c r="BB319" s="24" t="inlineStr">
        <is>
          <t>cfb_key_number_engine</t>
        </is>
      </c>
      <c r="BC319" s="24" t="inlineStr">
        <is>
          <t>cfb-spread-v1</t>
        </is>
      </c>
      <c r="BD319" s="24" t="inlineStr">
        <is>
          <t>1d168f11d221cd3c</t>
        </is>
      </c>
      <c r="BE319" s="24" t="inlineStr">
        <is>
          <t>cfb-v1</t>
        </is>
      </c>
      <c r="BF319" s="24" t="inlineStr">
        <is>
          <t>1</t>
        </is>
      </c>
      <c r="BG319" s="24" t="inlineStr">
        <is>
          <t>1d168f11d221cd3c</t>
        </is>
      </c>
      <c r="BH319" s="24" t="inlineStr">
        <is>
          <t>2026-09-19T17:08:25.088129+00:00</t>
        </is>
      </c>
      <c r="BI319" s="24" t="inlineStr">
        <is>
          <t>["same_event","same_team_same_day","same_league_same_day"]</t>
        </is>
      </c>
      <c r="BJ319" s="25" t="n">
        <v>15.5</v>
      </c>
      <c r="BK319" s="26" t="n">
        <v>-112</v>
      </c>
      <c r="BL319" s="27" t="n">
        <v>1.892857</v>
      </c>
      <c r="BM319" s="28" t="n">
        <v>0.528302</v>
      </c>
      <c r="BN319" s="28" t="n"/>
      <c r="BO319" s="28" t="n"/>
      <c r="BP319" s="25" t="n"/>
      <c r="BQ319" s="27" t="n"/>
      <c r="BR319" s="28" t="n"/>
      <c r="BS319" s="28" t="n"/>
      <c r="BT319" s="28" t="n"/>
      <c r="BU319" s="25" t="n"/>
      <c r="BV319" s="29" t="n"/>
      <c r="BW319" s="24" t="n"/>
      <c r="BX319" s="30" t="n"/>
      <c r="BY319" s="27" t="n"/>
      <c r="BZ319" s="24" t="n"/>
      <c r="CA319" s="31" t="n"/>
      <c r="CB319" s="24" t="n"/>
      <c r="CC319" s="24" t="n"/>
      <c r="CD319" s="24" t="n"/>
      <c r="CE319" s="24" t="n"/>
      <c r="CF319" s="24" t="n"/>
      <c r="CG319" s="24" t="n"/>
      <c r="CH319" s="24" t="n"/>
      <c r="CI319" s="24" t="n"/>
      <c r="CJ319" s="24" t="n"/>
      <c r="CK319" s="24" t="n"/>
      <c r="CL319" s="24" t="n"/>
      <c r="CM319" s="24" t="n"/>
      <c r="CN319" s="24" t="n"/>
      <c r="CO319" s="24" t="n"/>
      <c r="CP319" s="24" t="n"/>
      <c r="CQ319" s="24" t="n"/>
      <c r="CR319" s="24" t="n"/>
      <c r="CS319" s="24" t="inlineStr">
        <is>
          <t>True</t>
        </is>
      </c>
      <c r="CT319" s="24" t="n"/>
      <c r="CU319" s="24" t="n"/>
      <c r="CV319" s="24" t="n"/>
      <c r="CW319" s="24" t="n"/>
      <c r="CX319" s="24" t="n"/>
      <c r="CY319" s="24" t="n"/>
      <c r="CZ319" s="24" t="n"/>
      <c r="DA319" s="24" t="n"/>
      <c r="DB319" s="24" t="n"/>
      <c r="DC319" s="24" t="n"/>
      <c r="DD319" s="24" t="n"/>
      <c r="DE319" s="24" t="n"/>
      <c r="DF319" s="24" t="n"/>
      <c r="DG319" s="24" t="n"/>
      <c r="DH319" s="24" t="n"/>
      <c r="DI319" s="24" t="n"/>
      <c r="DJ319" s="24" t="inlineStr">
        <is>
          <t>0.528302</t>
        </is>
      </c>
      <c r="DK319" s="24" t="n"/>
      <c r="DL319" s="24" t="n"/>
      <c r="DM319" s="24" t="n"/>
      <c r="DN319" s="24" t="n"/>
      <c r="DO319" s="24" t="n"/>
      <c r="DP319" s="24" t="n"/>
      <c r="DQ319" s="24" t="inlineStr">
        <is>
          <t>{"artifact_hash": "1d168f11d221cd3c", "event_id": "401856797", "event_start_utc": "2026-09-19T19:30Z", "features": {"altitude_fatigue_penalty": 0.0, "away_team": "Miami (OH) RedHawks", "efficiency_gap": 2.846, "elo_away": 1378.8, "elo_home": 1425.3, "elo_home_win_prob": 0.6552, "event_id": "401856797", "game_start_utc": "2026-09-19T19:30Z", "home_field_advantage_points": 2.8, "home_team": "Cincinnati Bearcats", "is_dome": false, "is_fbs_vs_fcs": false, "is_neutral_site": false, "projected_away_points": 24.1, "projected_home_points": 29.3, "projected_margin_home": 5.2, "projected_possessions": 12.4, "projected_total": 53.5, "stadium_elevation_ft": 750, "travel_distance_miles": 29.0, "uncertainty": 0.165, "weather_total_adjustment": 0.0}, "historical_source_observation_times_verified": false, "inference_inputs": {"engine_source_sha256": "449ba2f0e86fa9c445730076a0e0bf100fb4914620be53c75c6f3bfe24298f3f", "mu_away": 24.1, "mu_home": 29.3,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162805768291351036686346978453192412843}, "uinteger": 0}, "spread_home_line": -15.5, "total_line": 50.5}, "market_type": "spread", "model_version": "cfb-spread-v1", "observed_at_utc": "2026-09-19T17:08:25.088129+00:00", "probabilities": {"away": 0.7006, "home": 0.2994, "push": 0.0}, "replay_scope": "Full precision score means, exact engine parameters and original RNG state; upstream feature construction not certified.", "schema": "cfb-joint-replay-v1", "snapshot_hash": "662a7cd38cad6fcf0b39f1caea26a7e1ae5acd04e546206819a1a3fdf5b21f06", "sport": "NCAAF"}</t>
        </is>
      </c>
    </row>
    <row r="320" ht="36" customHeight="1">
      <c r="A320" s="24" t="inlineStr">
        <is>
          <t>884a18ad6b8f41eb</t>
        </is>
      </c>
      <c r="B320" s="24" t="inlineStr">
        <is>
          <t>2026-09-19T17:08:25.088129Z</t>
        </is>
      </c>
      <c r="C320" s="24" t="inlineStr">
        <is>
          <t>2026-09-19T19:30Z</t>
        </is>
      </c>
      <c r="D320" s="24" t="inlineStr">
        <is>
          <t>401856797</t>
        </is>
      </c>
      <c r="E320" s="24" t="inlineStr">
        <is>
          <t>NCAAF</t>
        </is>
      </c>
      <c r="F320" s="24" t="inlineStr">
        <is>
          <t>Miami (OH) RedHawks</t>
        </is>
      </c>
      <c r="G320" s="24" t="inlineStr">
        <is>
          <t>Cincinnati Bearcats</t>
        </is>
      </c>
      <c r="H320" s="24" t="inlineStr">
        <is>
          <t>total</t>
        </is>
      </c>
      <c r="I320" s="24" t="inlineStr">
        <is>
          <t>over</t>
        </is>
      </c>
      <c r="J320" s="25" t="n">
        <v>50.5</v>
      </c>
      <c r="K320" s="24" t="inlineStr">
        <is>
          <t>espn_consensus</t>
        </is>
      </c>
      <c r="L320" s="26" t="n">
        <v>-110</v>
      </c>
      <c r="M320" s="27" t="n">
        <v>1.909091</v>
      </c>
      <c r="N320" s="28" t="n">
        <v>0.52381</v>
      </c>
      <c r="O320" s="28" t="n">
        <v>0.5204</v>
      </c>
      <c r="P320" s="28" t="n">
        <v>0.165</v>
      </c>
      <c r="Q320" s="28" t="n">
        <v>-0.00341</v>
      </c>
      <c r="R320" s="26" t="n">
        <v>0</v>
      </c>
      <c r="S320" s="29" t="n">
        <v>1</v>
      </c>
      <c r="T320" s="24" t="inlineStr">
        <is>
          <t>cfb-total-v1</t>
        </is>
      </c>
      <c r="U320" s="24" t="inlineStr">
        <is>
          <t>settled</t>
        </is>
      </c>
      <c r="V320" s="24" t="inlineStr">
        <is>
          <t>win</t>
        </is>
      </c>
      <c r="W320" s="26" t="n">
        <v>31</v>
      </c>
      <c r="X320" s="26" t="n">
        <v>35</v>
      </c>
      <c r="Y320" s="25" t="n"/>
      <c r="Z320" s="26" t="n"/>
      <c r="AA320" s="28" t="n"/>
      <c r="AB320" s="28" t="n"/>
      <c r="AC320" s="30" t="n">
        <v>0.9091</v>
      </c>
      <c r="AD320" s="24" t="inlineStr">
        <is>
          <t>2026-09-20T04:30:47.049339Z</t>
        </is>
      </c>
      <c r="AE320" s="31" t="inlineStr">
        <is>
          <t>Projected total 53.5 pts (Weather adj: +0.0 pts). Total line 50.5 -&gt; P(Over)=0.520, P(Under)=0.480, P(Push)=0.000.</t>
        </is>
      </c>
      <c r="AF320" s="31" t="inlineStr">
        <is>
          <t>College football model; multi-market (moneyline, spread, total).</t>
        </is>
      </c>
      <c r="AG320" s="24" t="inlineStr">
        <is>
          <t>not_applicable</t>
        </is>
      </c>
      <c r="AH320" s="24" t="n"/>
      <c r="AI320" s="31" t="n"/>
      <c r="AJ320" s="31" t="n"/>
      <c r="AK320" s="24" t="inlineStr">
        <is>
          <t>paper_call</t>
        </is>
      </c>
      <c r="AL320" s="26" t="n">
        <v>4</v>
      </c>
      <c r="AM320" s="24" t="inlineStr">
        <is>
          <t>RESEARCH_OBSERVATION</t>
        </is>
      </c>
      <c r="AN320" s="24" t="inlineStr">
        <is>
          <t>CALL</t>
        </is>
      </c>
      <c r="AO320" s="24" t="inlineStr">
        <is>
          <t>PAPER_CALL_LOW_EDGE</t>
        </is>
      </c>
      <c r="AP320" s="24" t="inlineStr">
        <is>
          <t>Miami (OH) RedHawks</t>
        </is>
      </c>
      <c r="AQ320" s="24" t="inlineStr">
        <is>
          <t>Miami (OH) RedHawks</t>
        </is>
      </c>
      <c r="AR320" s="24" t="inlineStr">
        <is>
          <t>Miami (OH) RedHawks</t>
        </is>
      </c>
      <c r="AS320" s="24" t="inlineStr">
        <is>
          <t>Cincinnati Bearcats</t>
        </is>
      </c>
      <c r="AT320" s="24" t="inlineStr">
        <is>
          <t>Cincinnati Bearcats</t>
        </is>
      </c>
      <c r="AU320" s="24" t="inlineStr">
        <is>
          <t>Cincinnati Bearcats</t>
        </is>
      </c>
      <c r="AV320" s="24" t="n"/>
      <c r="AW320" s="24" t="n"/>
      <c r="AX320" s="24" t="inlineStr">
        <is>
          <t>statistical_model</t>
        </is>
      </c>
      <c r="AY320" s="24" t="n"/>
      <c r="AZ320" s="24" t="inlineStr">
        <is>
          <t>shadow_qualified</t>
        </is>
      </c>
      <c r="BA320" s="24" t="inlineStr">
        <is>
          <t>1d168f11d221cd3c</t>
        </is>
      </c>
      <c r="BB320" s="24" t="inlineStr">
        <is>
          <t>cfb_key_number_engine</t>
        </is>
      </c>
      <c r="BC320" s="24" t="inlineStr">
        <is>
          <t>cfb-total-v1</t>
        </is>
      </c>
      <c r="BD320" s="24" t="inlineStr">
        <is>
          <t>1d168f11d221cd3c</t>
        </is>
      </c>
      <c r="BE320" s="24" t="inlineStr">
        <is>
          <t>cfb-v1</t>
        </is>
      </c>
      <c r="BF320" s="24" t="inlineStr">
        <is>
          <t>1</t>
        </is>
      </c>
      <c r="BG320" s="24" t="inlineStr">
        <is>
          <t>1d168f11d221cd3c</t>
        </is>
      </c>
      <c r="BH320" s="24" t="inlineStr">
        <is>
          <t>2026-09-19T17:08:25.088129+00:00</t>
        </is>
      </c>
      <c r="BI320" s="24" t="inlineStr">
        <is>
          <t>["same_event","same_team_same_day","same_league_same_day"]</t>
        </is>
      </c>
      <c r="BJ320" s="25" t="n">
        <v>50.5</v>
      </c>
      <c r="BK320" s="26" t="n">
        <v>-110</v>
      </c>
      <c r="BL320" s="27" t="n">
        <v>1.909091</v>
      </c>
      <c r="BM320" s="28" t="n">
        <v>0.52381</v>
      </c>
      <c r="BN320" s="28" t="n"/>
      <c r="BO320" s="28" t="n"/>
      <c r="BP320" s="25" t="n"/>
      <c r="BQ320" s="27" t="n"/>
      <c r="BR320" s="28" t="n"/>
      <c r="BS320" s="28" t="n"/>
      <c r="BT320" s="28" t="n"/>
      <c r="BU320" s="25" t="n"/>
      <c r="BV320" s="29" t="n"/>
      <c r="BW320" s="24" t="n"/>
      <c r="BX320" s="30" t="n">
        <v>1</v>
      </c>
      <c r="BY320" s="27" t="n">
        <v>0.909091</v>
      </c>
      <c r="BZ320" s="24" t="inlineStr">
        <is>
          <t>2026-09-20T04:30:47.049339Z</t>
        </is>
      </c>
      <c r="CA320" s="31" t="inlineStr">
        <is>
          <t>fixed one-unit hypothetical scoring; no real exposure or execution</t>
        </is>
      </c>
      <c r="CB320" s="24" t="n"/>
      <c r="CC320" s="24" t="n"/>
      <c r="CD320" s="24" t="n"/>
      <c r="CE320" s="24" t="n"/>
      <c r="CF320" s="24" t="n"/>
      <c r="CG320" s="24" t="n"/>
      <c r="CH320" s="24" t="n"/>
      <c r="CI320" s="24" t="n"/>
      <c r="CJ320" s="24" t="n"/>
      <c r="CK320" s="24" t="n"/>
      <c r="CL320" s="24" t="n"/>
      <c r="CM320" s="24" t="n"/>
      <c r="CN320" s="24" t="n"/>
      <c r="CO320" s="24" t="n"/>
      <c r="CP320" s="24" t="n"/>
      <c r="CQ320" s="24" t="n"/>
      <c r="CR320" s="24" t="n"/>
      <c r="CS320" s="24" t="inlineStr">
        <is>
          <t>False</t>
        </is>
      </c>
      <c r="CT320" s="24" t="n"/>
      <c r="CU320" s="24" t="n"/>
      <c r="CV320" s="24" t="n"/>
      <c r="CW320" s="24" t="n"/>
      <c r="CX320" s="24" t="n"/>
      <c r="CY320" s="24" t="n"/>
      <c r="CZ320" s="24" t="n"/>
      <c r="DA320" s="24" t="n"/>
      <c r="DB320" s="24" t="n"/>
      <c r="DC320" s="24" t="n"/>
      <c r="DD320" s="24" t="n"/>
      <c r="DE320" s="24" t="n"/>
      <c r="DF320" s="24" t="n"/>
      <c r="DG320" s="24" t="n"/>
      <c r="DH320" s="24" t="n"/>
      <c r="DI320" s="24" t="n"/>
      <c r="DJ320" s="24" t="inlineStr">
        <is>
          <t>0.52381</t>
        </is>
      </c>
      <c r="DK320" s="24" t="n"/>
      <c r="DL320" s="24" t="n"/>
      <c r="DM320" s="24" t="n"/>
      <c r="DN320" s="24" t="n"/>
      <c r="DO320" s="24" t="n"/>
      <c r="DP320" s="24" t="n"/>
      <c r="DQ320" s="24" t="inlineStr">
        <is>
          <t>{"artifact_hash": "1d168f11d221cd3c", "event_id": "401856797", "event_start_utc": "2026-09-19T19:30Z", "features": {"altitude_fatigue_penalty": 0.0, "away_team": "Miami (OH) RedHawks", "efficiency_gap": 2.846, "elo_away": 1378.8, "elo_home": 1425.3, "elo_home_win_prob": 0.6552, "event_id": "401856797", "game_start_utc": "2026-09-19T19:30Z", "home_field_advantage_points": 2.8, "home_team": "Cincinnati Bearcats", "is_dome": false, "is_fbs_vs_fcs": false, "is_neutral_site": false, "projected_away_points": 24.1, "projected_home_points": 29.3, "projected_margin_home": 5.2, "projected_possessions": 12.4, "projected_total": 53.5, "stadium_elevation_ft": 750, "travel_distance_miles": 29.0, "uncertainty": 0.165, "weather_total_adjustment": 0.0}, "historical_source_observation_times_verified": false, "inference_inputs": {"engine_source_sha256": "449ba2f0e86fa9c445730076a0e0bf100fb4914620be53c75c6f3bfe24298f3f", "mu_away": 24.1, "mu_home": 29.3,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162805768291351036686346978453192412843}, "uinteger": 0}, "spread_home_line": -15.5, "total_line": 50.5}, "market_type": "total", "model_version": "cfb-total-v1", "observed_at_utc": "2026-09-19T17:08:25.088129+00:00", "probabilities": {"over": 0.5204, "push": 0.0, "under": 0.4796}, "replay_scope": "Full precision score means, exact engine parameters and original RNG state; upstream feature construction not certified.", "schema": "cfb-joint-replay-v1", "snapshot_hash": "3f60e57ac5d46f7145f5f6eca686b06bfc653474bb5b5de67949cca039d670ef", "sport": "NCAAF"}</t>
        </is>
      </c>
    </row>
    <row r="321" ht="36" customHeight="1">
      <c r="A321" s="24" t="inlineStr">
        <is>
          <t>8eace7fc1ab945d8</t>
        </is>
      </c>
      <c r="B321" s="24" t="inlineStr">
        <is>
          <t>2026-09-19T17:08:25.088129Z</t>
        </is>
      </c>
      <c r="C321" s="24" t="inlineStr">
        <is>
          <t>2026-09-19T19:30Z</t>
        </is>
      </c>
      <c r="D321" s="24" t="inlineStr">
        <is>
          <t>401858233</t>
        </is>
      </c>
      <c r="E321" s="24" t="inlineStr">
        <is>
          <t>NCAAF</t>
        </is>
      </c>
      <c r="F321" s="24" t="inlineStr">
        <is>
          <t>Wagner Seahawks</t>
        </is>
      </c>
      <c r="G321" s="24" t="inlineStr">
        <is>
          <t>California Golden Bears</t>
        </is>
      </c>
      <c r="H321" s="24" t="inlineStr">
        <is>
          <t>spread</t>
        </is>
      </c>
      <c r="I321" s="24" t="inlineStr">
        <is>
          <t>away</t>
        </is>
      </c>
      <c r="J321" s="25" t="n">
        <v>58.5</v>
      </c>
      <c r="K321" s="24" t="inlineStr">
        <is>
          <t>espn_consensus</t>
        </is>
      </c>
      <c r="L321" s="26" t="n">
        <v>-110</v>
      </c>
      <c r="M321" s="27" t="n">
        <v>1.909091</v>
      </c>
      <c r="N321" s="28" t="n">
        <v>0.52381</v>
      </c>
      <c r="O321" s="28" t="n">
        <v>0.992133</v>
      </c>
      <c r="P321" s="28" t="n">
        <v>0.18</v>
      </c>
      <c r="Q321" s="28" t="n">
        <v>0.468323</v>
      </c>
      <c r="R321" s="26" t="n">
        <v>100</v>
      </c>
      <c r="S321" s="29" t="n">
        <v>2</v>
      </c>
      <c r="T321" s="24" t="inlineStr">
        <is>
          <t>cfb-spread-v1</t>
        </is>
      </c>
      <c r="U321" s="24" t="inlineStr">
        <is>
          <t>settled</t>
        </is>
      </c>
      <c r="V321" s="24" t="inlineStr">
        <is>
          <t>win</t>
        </is>
      </c>
      <c r="W321" s="26" t="n">
        <v>7</v>
      </c>
      <c r="X321" s="26" t="n">
        <v>49</v>
      </c>
      <c r="Y321" s="25" t="n"/>
      <c r="Z321" s="26" t="n"/>
      <c r="AA321" s="28" t="n"/>
      <c r="AB321" s="28" t="n"/>
      <c r="AC321" s="30" t="n">
        <v>1.8182</v>
      </c>
      <c r="AD321" s="24" t="inlineStr">
        <is>
          <t>2026-09-20T04:30:47.552234Z</t>
        </is>
      </c>
      <c r="AE321" s="31" t="inlineStr">
        <is>
          <t>Projected home margin +2.2 pts. Spread: Home -58.5 / Away +58.5 -&gt; P(Away cover)=0.992, P(Home cover)=0.008, P(Push)=0.000.</t>
        </is>
      </c>
      <c r="AF321" s="31" t="inlineStr">
        <is>
          <t>College football model; multi-market (moneyline, spread, total).</t>
        </is>
      </c>
      <c r="AG321" s="24" t="inlineStr">
        <is>
          <t>not_applicable</t>
        </is>
      </c>
      <c r="AH321" s="24" t="n"/>
      <c r="AI321" s="31" t="n"/>
      <c r="AJ321" s="31" t="n"/>
      <c r="AK321" s="24" t="inlineStr">
        <is>
          <t>model_qualified</t>
        </is>
      </c>
      <c r="AL321" s="26" t="n">
        <v>4</v>
      </c>
      <c r="AM321" s="24" t="inlineStr">
        <is>
          <t>QUALIFIED_SHADOW_CALL</t>
        </is>
      </c>
      <c r="AN321" s="24" t="inlineStr">
        <is>
          <t>CALL</t>
        </is>
      </c>
      <c r="AO321" s="24" t="inlineStr">
        <is>
          <t>QUALIFIED</t>
        </is>
      </c>
      <c r="AP321" s="24" t="inlineStr">
        <is>
          <t>Wagner Seahawks</t>
        </is>
      </c>
      <c r="AQ321" s="24" t="inlineStr">
        <is>
          <t>Wagner Seahawks</t>
        </is>
      </c>
      <c r="AR321" s="24" t="inlineStr">
        <is>
          <t>Wagner Seahawks</t>
        </is>
      </c>
      <c r="AS321" s="24" t="inlineStr">
        <is>
          <t>California Golden Bears</t>
        </is>
      </c>
      <c r="AT321" s="24" t="inlineStr">
        <is>
          <t>California Golden Bears</t>
        </is>
      </c>
      <c r="AU321" s="24" t="inlineStr">
        <is>
          <t>California Golden Bears</t>
        </is>
      </c>
      <c r="AV321" s="24" t="n"/>
      <c r="AW321" s="24" t="n"/>
      <c r="AX321" s="24" t="inlineStr">
        <is>
          <t>statistical_model</t>
        </is>
      </c>
      <c r="AY321" s="24" t="n"/>
      <c r="AZ321" s="24" t="inlineStr">
        <is>
          <t>shadow_qualified</t>
        </is>
      </c>
      <c r="BA321" s="24" t="inlineStr">
        <is>
          <t>1d168f11d221cd3c</t>
        </is>
      </c>
      <c r="BB321" s="24" t="inlineStr">
        <is>
          <t>cfb_key_number_engine</t>
        </is>
      </c>
      <c r="BC321" s="24" t="inlineStr">
        <is>
          <t>cfb-spread-v1</t>
        </is>
      </c>
      <c r="BD321" s="24" t="inlineStr">
        <is>
          <t>1d168f11d221cd3c</t>
        </is>
      </c>
      <c r="BE321" s="24" t="inlineStr">
        <is>
          <t>cfb-v1</t>
        </is>
      </c>
      <c r="BF321" s="24" t="inlineStr">
        <is>
          <t>1</t>
        </is>
      </c>
      <c r="BG321" s="24" t="inlineStr">
        <is>
          <t>1d168f11d221cd3c</t>
        </is>
      </c>
      <c r="BH321" s="24" t="inlineStr">
        <is>
          <t>2026-09-19T17:08:25.088129+00:00</t>
        </is>
      </c>
      <c r="BI321" s="24" t="inlineStr">
        <is>
          <t>["same_event","same_team_same_day","same_league_same_day"]</t>
        </is>
      </c>
      <c r="BJ321" s="25" t="n">
        <v>58.5</v>
      </c>
      <c r="BK321" s="26" t="n">
        <v>-110</v>
      </c>
      <c r="BL321" s="27" t="n">
        <v>1.909091</v>
      </c>
      <c r="BM321" s="28" t="n">
        <v>0.52381</v>
      </c>
      <c r="BN321" s="28" t="n"/>
      <c r="BO321" s="28" t="n"/>
      <c r="BP321" s="25" t="n"/>
      <c r="BQ321" s="27" t="n"/>
      <c r="BR321" s="28" t="n"/>
      <c r="BS321" s="28" t="n"/>
      <c r="BT321" s="28" t="n"/>
      <c r="BU321" s="25" t="n"/>
      <c r="BV321" s="29" t="n"/>
      <c r="BW321" s="24" t="n"/>
      <c r="BX321" s="30" t="n"/>
      <c r="BY321" s="27" t="n"/>
      <c r="BZ321" s="24" t="n"/>
      <c r="CA321" s="31" t="n"/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  <c r="CL321" s="24" t="n"/>
      <c r="CM321" s="24" t="n"/>
      <c r="CN321" s="24" t="n"/>
      <c r="CO321" s="24" t="n"/>
      <c r="CP321" s="24" t="n"/>
      <c r="CQ321" s="24" t="n"/>
      <c r="CR321" s="24" t="n"/>
      <c r="CS321" s="24" t="inlineStr">
        <is>
          <t>True</t>
        </is>
      </c>
      <c r="CT321" s="24" t="n"/>
      <c r="CU321" s="24" t="n"/>
      <c r="CV321" s="24" t="n"/>
      <c r="CW321" s="24" t="n"/>
      <c r="CX321" s="24" t="n"/>
      <c r="CY321" s="24" t="n"/>
      <c r="CZ321" s="24" t="n"/>
      <c r="DA321" s="24" t="n"/>
      <c r="DB321" s="24" t="n"/>
      <c r="DC321" s="24" t="n"/>
      <c r="DD321" s="24" t="n"/>
      <c r="DE321" s="24" t="n"/>
      <c r="DF321" s="24" t="n"/>
      <c r="DG321" s="24" t="n"/>
      <c r="DH321" s="24" t="n"/>
      <c r="DI321" s="24" t="n"/>
      <c r="DJ321" s="24" t="inlineStr">
        <is>
          <t>0.52381</t>
        </is>
      </c>
      <c r="DK321" s="24" t="n"/>
      <c r="DL321" s="24" t="n"/>
      <c r="DM321" s="24" t="n"/>
      <c r="DN321" s="24" t="n"/>
      <c r="DO321" s="24" t="n"/>
      <c r="DP321" s="24" t="n"/>
      <c r="DQ321" s="24" t="inlineStr">
        <is>
          <t>{"artifact_hash": "1d168f11d221cd3c", "event_id": "401858233", "event_start_utc": "2026-09-19T19:30Z", "features": {"altitude_fatigue_penalty": 0.0, "away_team": "Wagner Seahawks", "efficiency_gap": 0.579, "elo_away": 1337.5, "elo_home": 1325.7, "elo_home_win_prob": 0.576, "event_id": "401858233", "game_start_utc": "2026-09-19T19:30Z", "home_field_advantage_points": 2.8, "home_team": "California Golden Bears", "is_dome": false, "is_fbs_vs_fcs": false, "is_neutral_site": false, "projected_away_points": 25.6, "projected_home_points": 27.8, "projected_margin_home": 2.2, "projected_possessions": 12.4, "projected_total": 53.4,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25.6, "mu_home": 27.8,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287412245508589858751762072672097875581}, "uinteger": 0}, "spread_home_line": -58.5, "total_line": 65.5}, "market_type": "spread", "model_version": "cfb-spread-v1", "observed_at_utc": "2026-09-19T17:08:25.088129+00:00", "probabilities": {"away": 0.992133, "home": 0.007867, "push": 0.0}, "replay_scope": "Full precision score means, exact engine parameters and original RNG state; upstream feature construction not certified.", "schema": "cfb-joint-replay-v1", "snapshot_hash": "b21d354562ef4c9882d9a7e67fc8196fc0a0560e0bb481456a90b806b87fdf55", "sport": "NCAAF"}</t>
        </is>
      </c>
    </row>
    <row r="322" ht="36" customHeight="1">
      <c r="A322" s="24" t="inlineStr">
        <is>
          <t>507d0c1c96ea4b3d</t>
        </is>
      </c>
      <c r="B322" s="24" t="inlineStr">
        <is>
          <t>2026-09-19T17:08:25.088129Z</t>
        </is>
      </c>
      <c r="C322" s="24" t="inlineStr">
        <is>
          <t>2026-09-19T19:30Z</t>
        </is>
      </c>
      <c r="D322" s="24" t="inlineStr">
        <is>
          <t>401858233</t>
        </is>
      </c>
      <c r="E322" s="24" t="inlineStr">
        <is>
          <t>NCAAF</t>
        </is>
      </c>
      <c r="F322" s="24" t="inlineStr">
        <is>
          <t>Wagner Seahawks</t>
        </is>
      </c>
      <c r="G322" s="24" t="inlineStr">
        <is>
          <t>California Golden Bears</t>
        </is>
      </c>
      <c r="H322" s="24" t="inlineStr">
        <is>
          <t>total</t>
        </is>
      </c>
      <c r="I322" s="24" t="inlineStr">
        <is>
          <t>under</t>
        </is>
      </c>
      <c r="J322" s="25" t="n">
        <v>65.5</v>
      </c>
      <c r="K322" s="24" t="inlineStr">
        <is>
          <t>espn_consensus</t>
        </is>
      </c>
      <c r="L322" s="26" t="n">
        <v>-110</v>
      </c>
      <c r="M322" s="27" t="n">
        <v>1.909091</v>
      </c>
      <c r="N322" s="28" t="n">
        <v>0.52381</v>
      </c>
      <c r="O322" s="28" t="n">
        <v>0.704467</v>
      </c>
      <c r="P322" s="28" t="n">
        <v>0.18</v>
      </c>
      <c r="Q322" s="28" t="n">
        <v>0.180657</v>
      </c>
      <c r="R322" s="26" t="n">
        <v>32</v>
      </c>
      <c r="S322" s="29" t="n">
        <v>1</v>
      </c>
      <c r="T322" s="24" t="inlineStr">
        <is>
          <t>cfb-total-v1</t>
        </is>
      </c>
      <c r="U322" s="24" t="inlineStr">
        <is>
          <t>settled</t>
        </is>
      </c>
      <c r="V322" s="24" t="inlineStr">
        <is>
          <t>win</t>
        </is>
      </c>
      <c r="W322" s="26" t="n">
        <v>7</v>
      </c>
      <c r="X322" s="26" t="n">
        <v>49</v>
      </c>
      <c r="Y322" s="25" t="n"/>
      <c r="Z322" s="26" t="n"/>
      <c r="AA322" s="28" t="n"/>
      <c r="AB322" s="28" t="n"/>
      <c r="AC322" s="30" t="n">
        <v>0.9091</v>
      </c>
      <c r="AD322" s="24" t="inlineStr">
        <is>
          <t>2026-09-20T04:30:48.092488Z</t>
        </is>
      </c>
      <c r="AE322" s="31" t="inlineStr">
        <is>
          <t>Projected total 53.4 pts (Weather adj: +0.0 pts). Total line 65.5 -&gt; P(Over)=0.296, P(Under)=0.704, P(Push)=0.000.</t>
        </is>
      </c>
      <c r="AF322" s="31" t="inlineStr">
        <is>
          <t>College football model; multi-market (moneyline, spread, total).</t>
        </is>
      </c>
      <c r="AG322" s="24" t="inlineStr">
        <is>
          <t>not_applicable</t>
        </is>
      </c>
      <c r="AH322" s="24" t="n"/>
      <c r="AI322" s="31" t="n"/>
      <c r="AJ322" s="31" t="n"/>
      <c r="AK322" s="24" t="inlineStr">
        <is>
          <t>model_qualified</t>
        </is>
      </c>
      <c r="AL322" s="26" t="n">
        <v>4</v>
      </c>
      <c r="AM322" s="24" t="inlineStr">
        <is>
          <t>QUALIFIED_SHADOW_CALL</t>
        </is>
      </c>
      <c r="AN322" s="24" t="inlineStr">
        <is>
          <t>CALL</t>
        </is>
      </c>
      <c r="AO322" s="24" t="inlineStr">
        <is>
          <t>QUALIFIED</t>
        </is>
      </c>
      <c r="AP322" s="24" t="inlineStr">
        <is>
          <t>Wagner Seahawks</t>
        </is>
      </c>
      <c r="AQ322" s="24" t="inlineStr">
        <is>
          <t>Wagner Seahawks</t>
        </is>
      </c>
      <c r="AR322" s="24" t="inlineStr">
        <is>
          <t>Wagner Seahawks</t>
        </is>
      </c>
      <c r="AS322" s="24" t="inlineStr">
        <is>
          <t>California Golden Bears</t>
        </is>
      </c>
      <c r="AT322" s="24" t="inlineStr">
        <is>
          <t>California Golden Bears</t>
        </is>
      </c>
      <c r="AU322" s="24" t="inlineStr">
        <is>
          <t>California Golden Bears</t>
        </is>
      </c>
      <c r="AV322" s="24" t="n"/>
      <c r="AW322" s="24" t="n"/>
      <c r="AX322" s="24" t="inlineStr">
        <is>
          <t>statistical_model</t>
        </is>
      </c>
      <c r="AY322" s="24" t="n"/>
      <c r="AZ322" s="24" t="inlineStr">
        <is>
          <t>shadow_qualified</t>
        </is>
      </c>
      <c r="BA322" s="24" t="inlineStr">
        <is>
          <t>1d168f11d221cd3c</t>
        </is>
      </c>
      <c r="BB322" s="24" t="inlineStr">
        <is>
          <t>cfb_key_number_engine</t>
        </is>
      </c>
      <c r="BC322" s="24" t="inlineStr">
        <is>
          <t>cfb-total-v1</t>
        </is>
      </c>
      <c r="BD322" s="24" t="inlineStr">
        <is>
          <t>1d168f11d221cd3c</t>
        </is>
      </c>
      <c r="BE322" s="24" t="inlineStr">
        <is>
          <t>cfb-v1</t>
        </is>
      </c>
      <c r="BF322" s="24" t="inlineStr">
        <is>
          <t>1</t>
        </is>
      </c>
      <c r="BG322" s="24" t="inlineStr">
        <is>
          <t>1d168f11d221cd3c</t>
        </is>
      </c>
      <c r="BH322" s="24" t="inlineStr">
        <is>
          <t>2026-09-19T17:08:25.088129+00:00</t>
        </is>
      </c>
      <c r="BI322" s="24" t="inlineStr">
        <is>
          <t>["same_event","same_team_same_day","same_league_same_day"]</t>
        </is>
      </c>
      <c r="BJ322" s="25" t="n">
        <v>65.5</v>
      </c>
      <c r="BK322" s="26" t="n">
        <v>-110</v>
      </c>
      <c r="BL322" s="27" t="n">
        <v>1.909091</v>
      </c>
      <c r="BM322" s="28" t="n">
        <v>0.52381</v>
      </c>
      <c r="BN322" s="28" t="n"/>
      <c r="BO322" s="28" t="n"/>
      <c r="BP322" s="25" t="n"/>
      <c r="BQ322" s="27" t="n"/>
      <c r="BR322" s="28" t="n"/>
      <c r="BS322" s="28" t="n"/>
      <c r="BT322" s="28" t="n"/>
      <c r="BU322" s="25" t="n"/>
      <c r="BV322" s="29" t="n"/>
      <c r="BW322" s="24" t="n"/>
      <c r="BX322" s="30" t="n"/>
      <c r="BY322" s="27" t="n"/>
      <c r="BZ322" s="24" t="n"/>
      <c r="CA322" s="31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inlineStr">
        <is>
          <t>True</t>
        </is>
      </c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/>
      <c r="DH322" s="24" t="n"/>
      <c r="DI322" s="24" t="n"/>
      <c r="DJ322" s="24" t="inlineStr">
        <is>
          <t>0.52381</t>
        </is>
      </c>
      <c r="DK322" s="24" t="n"/>
      <c r="DL322" s="24" t="n"/>
      <c r="DM322" s="24" t="n"/>
      <c r="DN322" s="24" t="n"/>
      <c r="DO322" s="24" t="n"/>
      <c r="DP322" s="24" t="n"/>
      <c r="DQ322" s="24" t="inlineStr">
        <is>
          <t>{"artifact_hash": "1d168f11d221cd3c", "event_id": "401858233", "event_start_utc": "2026-09-19T19:30Z", "features": {"altitude_fatigue_penalty": 0.0, "away_team": "Wagner Seahawks", "efficiency_gap": 0.579, "elo_away": 1337.5, "elo_home": 1325.7, "elo_home_win_prob": 0.576, "event_id": "401858233", "game_start_utc": "2026-09-19T19:30Z", "home_field_advantage_points": 2.8, "home_team": "California Golden Bears", "is_dome": false, "is_fbs_vs_fcs": false, "is_neutral_site": false, "projected_away_points": 25.6, "projected_home_points": 27.8, "projected_margin_home": 2.2, "projected_possessions": 12.4, "projected_total": 53.4,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25.6, "mu_home": 27.8,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287412245508589858751762072672097875581}, "uinteger": 0}, "spread_home_line": -58.5, "total_line": 65.5}, "market_type": "total", "model_version": "cfb-total-v1", "observed_at_utc": "2026-09-19T17:08:25.088129+00:00", "probabilities": {"over": 0.295533, "push": 0.0, "under": 0.704467}, "replay_scope": "Full precision score means, exact engine parameters and original RNG state; upstream feature construction not certified.", "schema": "cfb-joint-replay-v1", "snapshot_hash": "9536f8d455bb839039c6ce30ddb21782688116e7e839d188613a8b48d6872a4f", "sport": "NCAAF"}</t>
        </is>
      </c>
    </row>
    <row r="323" ht="36" customHeight="1">
      <c r="A323" s="24" t="inlineStr">
        <is>
          <t>7fdb97e6ee014f4e</t>
        </is>
      </c>
      <c r="B323" s="24" t="inlineStr">
        <is>
          <t>2026-09-19T17:08:25.088129Z</t>
        </is>
      </c>
      <c r="C323" s="24" t="inlineStr">
        <is>
          <t>2026-09-19T19:30Z</t>
        </is>
      </c>
      <c r="D323" s="24" t="inlineStr">
        <is>
          <t>401860890</t>
        </is>
      </c>
      <c r="E323" s="24" t="inlineStr">
        <is>
          <t>NCAAF</t>
        </is>
      </c>
      <c r="F323" s="24" t="inlineStr">
        <is>
          <t>Duquesne Dukes</t>
        </is>
      </c>
      <c r="G323" s="24" t="inlineStr">
        <is>
          <t>Washington State Cougars</t>
        </is>
      </c>
      <c r="H323" s="24" t="inlineStr">
        <is>
          <t>spread</t>
        </is>
      </c>
      <c r="I323" s="24" t="inlineStr">
        <is>
          <t>away</t>
        </is>
      </c>
      <c r="J323" s="25" t="n">
        <v>38.5</v>
      </c>
      <c r="K323" s="24" t="inlineStr">
        <is>
          <t>espn_consensus</t>
        </is>
      </c>
      <c r="L323" s="26" t="n">
        <v>-120</v>
      </c>
      <c r="M323" s="27" t="n">
        <v>1.833333</v>
      </c>
      <c r="N323" s="28" t="n">
        <v>0.545455</v>
      </c>
      <c r="O323" s="28" t="n">
        <v>0.9094</v>
      </c>
      <c r="P323" s="28" t="n">
        <v>0.18</v>
      </c>
      <c r="Q323" s="28" t="n">
        <v>0.363945</v>
      </c>
      <c r="R323" s="26" t="n">
        <v>100</v>
      </c>
      <c r="S323" s="29" t="n">
        <v>2</v>
      </c>
      <c r="T323" s="24" t="inlineStr">
        <is>
          <t>cfb-spread-v1</t>
        </is>
      </c>
      <c r="U323" s="24" t="inlineStr">
        <is>
          <t>settled</t>
        </is>
      </c>
      <c r="V323" s="24" t="inlineStr">
        <is>
          <t>loss</t>
        </is>
      </c>
      <c r="W323" s="26" t="n">
        <v>7</v>
      </c>
      <c r="X323" s="26" t="n">
        <v>48</v>
      </c>
      <c r="Y323" s="25" t="n"/>
      <c r="Z323" s="26" t="n"/>
      <c r="AA323" s="28" t="n"/>
      <c r="AB323" s="28" t="n"/>
      <c r="AC323" s="30" t="n">
        <v>-2</v>
      </c>
      <c r="AD323" s="24" t="inlineStr">
        <is>
          <t>2026-09-20T04:30:48.588280Z</t>
        </is>
      </c>
      <c r="AE323" s="31" t="inlineStr">
        <is>
          <t>Projected home margin +11.6 pts. Spread: Home -38.5 / Away +38.5 -&gt; P(Away cover)=0.909, P(Home cover)=0.091, P(Push)=0.000.</t>
        </is>
      </c>
      <c r="AF323" s="31" t="inlineStr">
        <is>
          <t>College football model; multi-market (moneyline, spread, total).</t>
        </is>
      </c>
      <c r="AG323" s="24" t="inlineStr">
        <is>
          <t>review_required</t>
        </is>
      </c>
      <c r="AH323" s="24" t="n"/>
      <c r="AI323" s="31" t="n"/>
      <c r="AJ323" s="31" t="n"/>
      <c r="AK323" s="24" t="inlineStr">
        <is>
          <t>model_qualified</t>
        </is>
      </c>
      <c r="AL323" s="26" t="n">
        <v>4</v>
      </c>
      <c r="AM323" s="24" t="inlineStr">
        <is>
          <t>QUALIFIED_SHADOW_CALL</t>
        </is>
      </c>
      <c r="AN323" s="24" t="inlineStr">
        <is>
          <t>CALL</t>
        </is>
      </c>
      <c r="AO323" s="24" t="inlineStr">
        <is>
          <t>QUALIFIED</t>
        </is>
      </c>
      <c r="AP323" s="24" t="inlineStr">
        <is>
          <t>Duquesne Dukes</t>
        </is>
      </c>
      <c r="AQ323" s="24" t="inlineStr">
        <is>
          <t>Duquesne Dukes</t>
        </is>
      </c>
      <c r="AR323" s="24" t="inlineStr">
        <is>
          <t>Duquesne Dukes</t>
        </is>
      </c>
      <c r="AS323" s="24" t="inlineStr">
        <is>
          <t>Washington State Cougars</t>
        </is>
      </c>
      <c r="AT323" s="24" t="inlineStr">
        <is>
          <t>Washington State Cougars</t>
        </is>
      </c>
      <c r="AU323" s="24" t="inlineStr">
        <is>
          <t>Washington State Cougars</t>
        </is>
      </c>
      <c r="AV323" s="24" t="n"/>
      <c r="AW323" s="24" t="n"/>
      <c r="AX323" s="24" t="inlineStr">
        <is>
          <t>statistical_model</t>
        </is>
      </c>
      <c r="AY323" s="24" t="n"/>
      <c r="AZ323" s="24" t="inlineStr">
        <is>
          <t>shadow_qualified</t>
        </is>
      </c>
      <c r="BA323" s="24" t="inlineStr">
        <is>
          <t>1d168f11d221cd3c</t>
        </is>
      </c>
      <c r="BB323" s="24" t="inlineStr">
        <is>
          <t>cfb_key_number_engine</t>
        </is>
      </c>
      <c r="BC323" s="24" t="inlineStr">
        <is>
          <t>cfb-spread-v1</t>
        </is>
      </c>
      <c r="BD323" s="24" t="inlineStr">
        <is>
          <t>1d168f11d221cd3c</t>
        </is>
      </c>
      <c r="BE323" s="24" t="inlineStr">
        <is>
          <t>cfb-v1</t>
        </is>
      </c>
      <c r="BF323" s="24" t="inlineStr">
        <is>
          <t>1</t>
        </is>
      </c>
      <c r="BG323" s="24" t="inlineStr">
        <is>
          <t>1d168f11d221cd3c</t>
        </is>
      </c>
      <c r="BH323" s="24" t="inlineStr">
        <is>
          <t>2026-09-19T17:08:25.088129+00:00</t>
        </is>
      </c>
      <c r="BI323" s="24" t="inlineStr">
        <is>
          <t>["same_event","same_team_same_day","same_league_same_day"]</t>
        </is>
      </c>
      <c r="BJ323" s="25" t="n">
        <v>38.5</v>
      </c>
      <c r="BK323" s="26" t="n">
        <v>-120</v>
      </c>
      <c r="BL323" s="27" t="n">
        <v>1.833333</v>
      </c>
      <c r="BM323" s="28" t="n">
        <v>0.545455</v>
      </c>
      <c r="BN323" s="28" t="n"/>
      <c r="BO323" s="28" t="n"/>
      <c r="BP323" s="25" t="n"/>
      <c r="BQ323" s="27" t="n"/>
      <c r="BR323" s="28" t="n"/>
      <c r="BS323" s="28" t="n"/>
      <c r="BT323" s="28" t="n"/>
      <c r="BU323" s="25" t="n"/>
      <c r="BV323" s="29" t="n"/>
      <c r="BW323" s="24" t="n"/>
      <c r="BX323" s="30" t="n"/>
      <c r="BY323" s="27" t="n"/>
      <c r="BZ323" s="24" t="n"/>
      <c r="CA323" s="31" t="n"/>
      <c r="CB323" s="24" t="n"/>
      <c r="CC323" s="24" t="n"/>
      <c r="CD323" s="24" t="n"/>
      <c r="CE323" s="24" t="n"/>
      <c r="CF323" s="24" t="n"/>
      <c r="CG323" s="24" t="n"/>
      <c r="CH323" s="24" t="n"/>
      <c r="CI323" s="24" t="n"/>
      <c r="CJ323" s="24" t="n"/>
      <c r="CK323" s="24" t="n"/>
      <c r="CL323" s="24" t="n"/>
      <c r="CM323" s="24" t="n"/>
      <c r="CN323" s="24" t="n"/>
      <c r="CO323" s="24" t="n"/>
      <c r="CP323" s="24" t="n"/>
      <c r="CQ323" s="24" t="n"/>
      <c r="CR323" s="24" t="n"/>
      <c r="CS323" s="24" t="inlineStr">
        <is>
          <t>True</t>
        </is>
      </c>
      <c r="CT323" s="24" t="n"/>
      <c r="CU323" s="24" t="n"/>
      <c r="CV323" s="24" t="n"/>
      <c r="CW323" s="24" t="n"/>
      <c r="CX323" s="24" t="n"/>
      <c r="CY323" s="24" t="n"/>
      <c r="CZ323" s="24" t="n"/>
      <c r="DA323" s="24" t="n"/>
      <c r="DB323" s="24" t="n"/>
      <c r="DC323" s="24" t="n"/>
      <c r="DD323" s="24" t="n"/>
      <c r="DE323" s="24" t="n"/>
      <c r="DF323" s="24" t="n"/>
      <c r="DG323" s="24" t="n"/>
      <c r="DH323" s="24" t="n"/>
      <c r="DI323" s="24" t="n"/>
      <c r="DJ323" s="24" t="inlineStr">
        <is>
          <t>0.545455</t>
        </is>
      </c>
      <c r="DK323" s="24" t="n"/>
      <c r="DL323" s="24" t="n"/>
      <c r="DM323" s="24" t="n"/>
      <c r="DN323" s="24" t="n"/>
      <c r="DO323" s="24" t="n"/>
      <c r="DP323" s="24" t="n"/>
      <c r="DQ323" s="24" t="inlineStr">
        <is>
          <t>{"artifact_hash": "1d168f11d221cd3c", "event_id": "401860890", "event_start_utc": "2026-09-19T19:30Z", "features": {"altitude_fatigue_penalty": 0.0, "away_team": "Duquesne Dukes", "efficiency_gap": 0.672, "elo_away": 1337.5, "elo_home": 1555.8, "elo_home_win_prob": 0.8363, "event_id": "401860890", "game_start_utc": "2026-09-19T19:30Z", "home_field_advantage_points": 2.8, "home_team": "Washington State Cougars", "is_dome": false, "is_fbs_vs_fcs": false, "is_neutral_site": false, "projected_away_points": 20.6, "projected_home_points": 32.2, "projected_margin_home": 11.6,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20.6, "mu_home": 32.2,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99452313526674652976975105164639004748}, "uinteger": 0}, "spread_home_line": -38.5, "total_line": 51.5}, "market_type": "spread", "model_version": "cfb-spread-v1", "observed_at_utc": "2026-09-19T17:08:25.088129+00:00", "probabilities": {"away": 0.9094, "home": 0.0906, "push": 0.0}, "replay_scope": "Full precision score means, exact engine parameters and original RNG state; upstream feature construction not certified.", "schema": "cfb-joint-replay-v1", "snapshot_hash": "4e7f406d6bdd881c587a85fe07cb1b9ba1ea827e93282d9c8ea6053bfb1c5d9c", "sport": "NCAAF"}</t>
        </is>
      </c>
    </row>
    <row r="324" ht="36" customHeight="1">
      <c r="A324" s="24" t="inlineStr">
        <is>
          <t>cd068a4f1c344f84</t>
        </is>
      </c>
      <c r="B324" s="24" t="inlineStr">
        <is>
          <t>2026-09-19T17:08:25.088129Z</t>
        </is>
      </c>
      <c r="C324" s="24" t="inlineStr">
        <is>
          <t>2026-09-19T19:30Z</t>
        </is>
      </c>
      <c r="D324" s="24" t="inlineStr">
        <is>
          <t>401860890</t>
        </is>
      </c>
      <c r="E324" s="24" t="inlineStr">
        <is>
          <t>NCAAF</t>
        </is>
      </c>
      <c r="F324" s="24" t="inlineStr">
        <is>
          <t>Duquesne Dukes</t>
        </is>
      </c>
      <c r="G324" s="24" t="inlineStr">
        <is>
          <t>Washington State Cougars</t>
        </is>
      </c>
      <c r="H324" s="24" t="inlineStr">
        <is>
          <t>total</t>
        </is>
      </c>
      <c r="I324" s="24" t="inlineStr">
        <is>
          <t>under</t>
        </is>
      </c>
      <c r="J324" s="25" t="n">
        <v>51.5</v>
      </c>
      <c r="K324" s="24" t="inlineStr">
        <is>
          <t>espn_consensus</t>
        </is>
      </c>
      <c r="L324" s="26" t="n">
        <v>-105</v>
      </c>
      <c r="M324" s="27" t="n">
        <v>1.952381</v>
      </c>
      <c r="N324" s="28" t="n">
        <v>0.512195</v>
      </c>
      <c r="O324" s="28" t="n">
        <v>0.515467</v>
      </c>
      <c r="P324" s="28" t="n">
        <v>0.18</v>
      </c>
      <c r="Q324" s="28" t="n">
        <v>0.003272</v>
      </c>
      <c r="R324" s="26" t="n">
        <v>0</v>
      </c>
      <c r="S324" s="29" t="n">
        <v>1</v>
      </c>
      <c r="T324" s="24" t="inlineStr">
        <is>
          <t>cfb-total-v1</t>
        </is>
      </c>
      <c r="U324" s="24" t="inlineStr">
        <is>
          <t>settled</t>
        </is>
      </c>
      <c r="V324" s="24" t="inlineStr">
        <is>
          <t>loss</t>
        </is>
      </c>
      <c r="W324" s="26" t="n">
        <v>7</v>
      </c>
      <c r="X324" s="26" t="n">
        <v>48</v>
      </c>
      <c r="Y324" s="25" t="n"/>
      <c r="Z324" s="26" t="n"/>
      <c r="AA324" s="28" t="n"/>
      <c r="AB324" s="28" t="n"/>
      <c r="AC324" s="30" t="n">
        <v>-1</v>
      </c>
      <c r="AD324" s="24" t="inlineStr">
        <is>
          <t>2026-09-20T04:30:49.071689Z</t>
        </is>
      </c>
      <c r="AE324" s="31" t="inlineStr">
        <is>
          <t>Projected total 52.8 pts (Weather adj: +0.0 pts). Total line 51.5 -&gt; P(Over)=0.485, P(Under)=0.515, P(Push)=0.000.</t>
        </is>
      </c>
      <c r="AF324" s="31" t="inlineStr">
        <is>
          <t>College football model; multi-market (moneyline, spread, total).</t>
        </is>
      </c>
      <c r="AG324" s="24" t="inlineStr">
        <is>
          <t>review_required</t>
        </is>
      </c>
      <c r="AH324" s="24" t="n"/>
      <c r="AI324" s="31" t="n"/>
      <c r="AJ324" s="31" t="n"/>
      <c r="AK324" s="24" t="inlineStr">
        <is>
          <t>paper_call</t>
        </is>
      </c>
      <c r="AL324" s="26" t="n">
        <v>4</v>
      </c>
      <c r="AM324" s="24" t="inlineStr">
        <is>
          <t>RESEARCH_OBSERVATION</t>
        </is>
      </c>
      <c r="AN324" s="24" t="inlineStr">
        <is>
          <t>CALL</t>
        </is>
      </c>
      <c r="AO324" s="24" t="inlineStr">
        <is>
          <t>PAPER_CALL_LOW_EDGE</t>
        </is>
      </c>
      <c r="AP324" s="24" t="inlineStr">
        <is>
          <t>Duquesne Dukes</t>
        </is>
      </c>
      <c r="AQ324" s="24" t="inlineStr">
        <is>
          <t>Duquesne Dukes</t>
        </is>
      </c>
      <c r="AR324" s="24" t="inlineStr">
        <is>
          <t>Duquesne Dukes</t>
        </is>
      </c>
      <c r="AS324" s="24" t="inlineStr">
        <is>
          <t>Washington State Cougars</t>
        </is>
      </c>
      <c r="AT324" s="24" t="inlineStr">
        <is>
          <t>Washington State Cougars</t>
        </is>
      </c>
      <c r="AU324" s="24" t="inlineStr">
        <is>
          <t>Washington State Cougars</t>
        </is>
      </c>
      <c r="AV324" s="24" t="n"/>
      <c r="AW324" s="24" t="n"/>
      <c r="AX324" s="24" t="inlineStr">
        <is>
          <t>statistical_model</t>
        </is>
      </c>
      <c r="AY324" s="24" t="n"/>
      <c r="AZ324" s="24" t="inlineStr">
        <is>
          <t>shadow_qualified</t>
        </is>
      </c>
      <c r="BA324" s="24" t="inlineStr">
        <is>
          <t>1d168f11d221cd3c</t>
        </is>
      </c>
      <c r="BB324" s="24" t="inlineStr">
        <is>
          <t>cfb_key_number_engine</t>
        </is>
      </c>
      <c r="BC324" s="24" t="inlineStr">
        <is>
          <t>cfb-total-v1</t>
        </is>
      </c>
      <c r="BD324" s="24" t="inlineStr">
        <is>
          <t>1d168f11d221cd3c</t>
        </is>
      </c>
      <c r="BE324" s="24" t="inlineStr">
        <is>
          <t>cfb-v1</t>
        </is>
      </c>
      <c r="BF324" s="24" t="inlineStr">
        <is>
          <t>1</t>
        </is>
      </c>
      <c r="BG324" s="24" t="inlineStr">
        <is>
          <t>1d168f11d221cd3c</t>
        </is>
      </c>
      <c r="BH324" s="24" t="inlineStr">
        <is>
          <t>2026-09-19T17:08:25.088129+00:00</t>
        </is>
      </c>
      <c r="BI324" s="24" t="inlineStr">
        <is>
          <t>["same_event","same_team_same_day","same_league_same_day"]</t>
        </is>
      </c>
      <c r="BJ324" s="25" t="n">
        <v>51.5</v>
      </c>
      <c r="BK324" s="26" t="n">
        <v>-105</v>
      </c>
      <c r="BL324" s="27" t="n">
        <v>1.952381</v>
      </c>
      <c r="BM324" s="28" t="n">
        <v>0.512195</v>
      </c>
      <c r="BN324" s="28" t="n"/>
      <c r="BO324" s="28" t="n"/>
      <c r="BP324" s="25" t="n"/>
      <c r="BQ324" s="27" t="n"/>
      <c r="BR324" s="28" t="n"/>
      <c r="BS324" s="28" t="n"/>
      <c r="BT324" s="28" t="n"/>
      <c r="BU324" s="25" t="n"/>
      <c r="BV324" s="29" t="n"/>
      <c r="BW324" s="24" t="n"/>
      <c r="BX324" s="30" t="n">
        <v>1</v>
      </c>
      <c r="BY324" s="27" t="n">
        <v>-1</v>
      </c>
      <c r="BZ324" s="24" t="inlineStr">
        <is>
          <t>2026-09-20T04:30:49.071689Z</t>
        </is>
      </c>
      <c r="CA324" s="31" t="inlineStr">
        <is>
          <t>fixed one-unit hypothetical scoring; no real exposure or execution</t>
        </is>
      </c>
      <c r="CB324" s="24" t="n"/>
      <c r="CC324" s="24" t="n"/>
      <c r="CD324" s="24" t="n"/>
      <c r="CE324" s="24" t="n"/>
      <c r="CF324" s="24" t="n"/>
      <c r="CG324" s="24" t="n"/>
      <c r="CH324" s="24" t="n"/>
      <c r="CI324" s="24" t="n"/>
      <c r="CJ324" s="24" t="n"/>
      <c r="CK324" s="24" t="n"/>
      <c r="CL324" s="24" t="n"/>
      <c r="CM324" s="24" t="n"/>
      <c r="CN324" s="24" t="n"/>
      <c r="CO324" s="24" t="n"/>
      <c r="CP324" s="24" t="n"/>
      <c r="CQ324" s="24" t="n"/>
      <c r="CR324" s="24" t="n"/>
      <c r="CS324" s="24" t="inlineStr">
        <is>
          <t>True</t>
        </is>
      </c>
      <c r="CT324" s="24" t="n"/>
      <c r="CU324" s="24" t="n"/>
      <c r="CV324" s="24" t="n"/>
      <c r="CW324" s="24" t="n"/>
      <c r="CX324" s="24" t="n"/>
      <c r="CY324" s="24" t="n"/>
      <c r="CZ324" s="24" t="n"/>
      <c r="DA324" s="24" t="n"/>
      <c r="DB324" s="24" t="n"/>
      <c r="DC324" s="24" t="n"/>
      <c r="DD324" s="24" t="n"/>
      <c r="DE324" s="24" t="n"/>
      <c r="DF324" s="24" t="n"/>
      <c r="DG324" s="24" t="n"/>
      <c r="DH324" s="24" t="n"/>
      <c r="DI324" s="24" t="n"/>
      <c r="DJ324" s="24" t="inlineStr">
        <is>
          <t>0.512195</t>
        </is>
      </c>
      <c r="DK324" s="24" t="n"/>
      <c r="DL324" s="24" t="n"/>
      <c r="DM324" s="24" t="n"/>
      <c r="DN324" s="24" t="n"/>
      <c r="DO324" s="24" t="n"/>
      <c r="DP324" s="24" t="n"/>
      <c r="DQ324" s="24" t="inlineStr">
        <is>
          <t>{"artifact_hash": "1d168f11d221cd3c", "event_id": "401860890", "event_start_utc": "2026-09-19T19:30Z", "features": {"altitude_fatigue_penalty": 0.0, "away_team": "Duquesne Dukes", "efficiency_gap": 0.672, "elo_away": 1337.5, "elo_home": 1555.8, "elo_home_win_prob": 0.8363, "event_id": "401860890", "game_start_utc": "2026-09-19T19:30Z", "home_field_advantage_points": 2.8, "home_team": "Washington State Cougars", "is_dome": false, "is_fbs_vs_fcs": false, "is_neutral_site": false, "projected_away_points": 20.6, "projected_home_points": 32.2, "projected_margin_home": 11.6,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20.6, "mu_home": 32.2,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99452313526674652976975105164639004748}, "uinteger": 0}, "spread_home_line": -38.5, "total_line": 51.5}, "market_type": "total", "model_version": "cfb-total-v1", "observed_at_utc": "2026-09-19T17:08:25.088129+00:00", "probabilities": {"over": 0.484533, "push": 0.0, "under": 0.515467}, "replay_scope": "Full precision score means, exact engine parameters and original RNG state; upstream feature construction not certified.", "schema": "cfb-joint-replay-v1", "snapshot_hash": "c5d094eb992edd4d821e6a160ca311d01706b86479b9412a9c195d7369107a4f", "sport": "NCAAF"}</t>
        </is>
      </c>
    </row>
    <row r="325" ht="36" customHeight="1">
      <c r="A325" s="24" t="inlineStr">
        <is>
          <t>4a52f0fe6f304fe7</t>
        </is>
      </c>
      <c r="B325" s="24" t="inlineStr">
        <is>
          <t>2026-09-19T17:08:25.088129Z</t>
        </is>
      </c>
      <c r="C325" s="24" t="inlineStr">
        <is>
          <t>2026-09-19T19:30Z</t>
        </is>
      </c>
      <c r="D325" s="24" t="inlineStr">
        <is>
          <t>401866424</t>
        </is>
      </c>
      <c r="E325" s="24" t="inlineStr">
        <is>
          <t>NCAAF</t>
        </is>
      </c>
      <c r="F325" s="24" t="inlineStr">
        <is>
          <t>Stonehill Skyhawks</t>
        </is>
      </c>
      <c r="G325" s="24" t="inlineStr">
        <is>
          <t>Massachusetts Minutemen</t>
        </is>
      </c>
      <c r="H325" s="24" t="inlineStr">
        <is>
          <t>spread</t>
        </is>
      </c>
      <c r="I325" s="24" t="inlineStr">
        <is>
          <t>away</t>
        </is>
      </c>
      <c r="J325" s="25" t="n">
        <v>30.5</v>
      </c>
      <c r="K325" s="24" t="inlineStr">
        <is>
          <t>espn_consensus</t>
        </is>
      </c>
      <c r="L325" s="26" t="n">
        <v>-105</v>
      </c>
      <c r="M325" s="27" t="n">
        <v>1.952381</v>
      </c>
      <c r="N325" s="28" t="n">
        <v>0.512195</v>
      </c>
      <c r="O325" s="28" t="n">
        <v>0.95</v>
      </c>
      <c r="P325" s="28" t="n">
        <v>0.18</v>
      </c>
      <c r="Q325" s="28" t="n">
        <v>0.437805</v>
      </c>
      <c r="R325" s="26" t="n">
        <v>100</v>
      </c>
      <c r="S325" s="29" t="n">
        <v>2</v>
      </c>
      <c r="T325" s="24" t="inlineStr">
        <is>
          <t>cfb-spread-v1</t>
        </is>
      </c>
      <c r="U325" s="24" t="inlineStr">
        <is>
          <t>settled</t>
        </is>
      </c>
      <c r="V325" s="24" t="inlineStr">
        <is>
          <t>win</t>
        </is>
      </c>
      <c r="W325" s="26" t="n">
        <v>14</v>
      </c>
      <c r="X325" s="26" t="n">
        <v>36</v>
      </c>
      <c r="Y325" s="25" t="n"/>
      <c r="Z325" s="26" t="n"/>
      <c r="AA325" s="28" t="n"/>
      <c r="AB325" s="28" t="n"/>
      <c r="AC325" s="30" t="n">
        <v>1.9048</v>
      </c>
      <c r="AD325" s="24" t="inlineStr">
        <is>
          <t>2026-09-20T04:30:49.627738Z</t>
        </is>
      </c>
      <c r="AE325" s="31" t="inlineStr">
        <is>
          <t>Projected home margin -5.8 pts. Spread: Home -30.5 / Away +30.5 -&gt; P(Away cover)=0.950, P(Home cover)=0.050, P(Push)=0.000.</t>
        </is>
      </c>
      <c r="AF325" s="31" t="inlineStr">
        <is>
          <t>College football model; multi-market (moneyline, spread, total).</t>
        </is>
      </c>
      <c r="AG325" s="24" t="inlineStr">
        <is>
          <t>not_applicable</t>
        </is>
      </c>
      <c r="AH325" s="24" t="n"/>
      <c r="AI325" s="31" t="n"/>
      <c r="AJ325" s="31" t="n"/>
      <c r="AK325" s="24" t="inlineStr">
        <is>
          <t>model_qualified</t>
        </is>
      </c>
      <c r="AL325" s="26" t="n">
        <v>4</v>
      </c>
      <c r="AM325" s="24" t="inlineStr">
        <is>
          <t>QUALIFIED_SHADOW_CALL</t>
        </is>
      </c>
      <c r="AN325" s="24" t="inlineStr">
        <is>
          <t>CALL</t>
        </is>
      </c>
      <c r="AO325" s="24" t="inlineStr">
        <is>
          <t>QUALIFIED</t>
        </is>
      </c>
      <c r="AP325" s="24" t="inlineStr">
        <is>
          <t>Stonehill Skyhawks</t>
        </is>
      </c>
      <c r="AQ325" s="24" t="inlineStr">
        <is>
          <t>Stonehill Skyhawks</t>
        </is>
      </c>
      <c r="AR325" s="24" t="inlineStr">
        <is>
          <t>Stonehill Skyhawks</t>
        </is>
      </c>
      <c r="AS325" s="24" t="inlineStr">
        <is>
          <t>Massachusetts Minutemen</t>
        </is>
      </c>
      <c r="AT325" s="24" t="inlineStr">
        <is>
          <t>Massachusetts Minutemen</t>
        </is>
      </c>
      <c r="AU325" s="24" t="inlineStr">
        <is>
          <t>Massachusetts Minutemen</t>
        </is>
      </c>
      <c r="AV325" s="24" t="n"/>
      <c r="AW325" s="24" t="n"/>
      <c r="AX325" s="24" t="inlineStr">
        <is>
          <t>statistical_model</t>
        </is>
      </c>
      <c r="AY325" s="24" t="n"/>
      <c r="AZ325" s="24" t="inlineStr">
        <is>
          <t>shadow_qualified</t>
        </is>
      </c>
      <c r="BA325" s="24" t="inlineStr">
        <is>
          <t>1d168f11d221cd3c</t>
        </is>
      </c>
      <c r="BB325" s="24" t="inlineStr">
        <is>
          <t>cfb_key_number_engine</t>
        </is>
      </c>
      <c r="BC325" s="24" t="inlineStr">
        <is>
          <t>cfb-spread-v1</t>
        </is>
      </c>
      <c r="BD325" s="24" t="inlineStr">
        <is>
          <t>1d168f11d221cd3c</t>
        </is>
      </c>
      <c r="BE325" s="24" t="inlineStr">
        <is>
          <t>cfb-v1</t>
        </is>
      </c>
      <c r="BF325" s="24" t="inlineStr">
        <is>
          <t>1</t>
        </is>
      </c>
      <c r="BG325" s="24" t="inlineStr">
        <is>
          <t>1d168f11d221cd3c</t>
        </is>
      </c>
      <c r="BH325" s="24" t="inlineStr">
        <is>
          <t>2026-09-19T17:08:25.088129+00:00</t>
        </is>
      </c>
      <c r="BI325" s="24" t="inlineStr">
        <is>
          <t>["same_event","same_team_same_day","same_league_same_day"]</t>
        </is>
      </c>
      <c r="BJ325" s="25" t="n">
        <v>30.5</v>
      </c>
      <c r="BK325" s="26" t="n">
        <v>-105</v>
      </c>
      <c r="BL325" s="27" t="n">
        <v>1.952381</v>
      </c>
      <c r="BM325" s="28" t="n">
        <v>0.512195</v>
      </c>
      <c r="BN325" s="28" t="n"/>
      <c r="BO325" s="28" t="n"/>
      <c r="BP325" s="25" t="n"/>
      <c r="BQ325" s="27" t="n"/>
      <c r="BR325" s="28" t="n"/>
      <c r="BS325" s="28" t="n"/>
      <c r="BT325" s="28" t="n"/>
      <c r="BU325" s="25" t="n"/>
      <c r="BV325" s="29" t="n"/>
      <c r="BW325" s="24" t="n"/>
      <c r="BX325" s="30" t="n"/>
      <c r="BY325" s="27" t="n"/>
      <c r="BZ325" s="24" t="n"/>
      <c r="CA325" s="31" t="n"/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n"/>
      <c r="CR325" s="24" t="n"/>
      <c r="CS325" s="24" t="inlineStr">
        <is>
          <t>True</t>
        </is>
      </c>
      <c r="CT325" s="24" t="n"/>
      <c r="CU325" s="24" t="n"/>
      <c r="CV325" s="24" t="n"/>
      <c r="CW325" s="24" t="n"/>
      <c r="CX325" s="24" t="n"/>
      <c r="CY325" s="24" t="n"/>
      <c r="CZ325" s="24" t="n"/>
      <c r="DA325" s="24" t="n"/>
      <c r="DB325" s="24" t="n"/>
      <c r="DC325" s="24" t="n"/>
      <c r="DD325" s="24" t="n"/>
      <c r="DE325" s="24" t="n"/>
      <c r="DF325" s="24" t="n"/>
      <c r="DG325" s="24" t="n"/>
      <c r="DH325" s="24" t="n"/>
      <c r="DI325" s="24" t="n"/>
      <c r="DJ325" s="24" t="inlineStr">
        <is>
          <t>0.512195</t>
        </is>
      </c>
      <c r="DK325" s="24" t="n"/>
      <c r="DL325" s="24" t="n"/>
      <c r="DM325" s="24" t="n"/>
      <c r="DN325" s="24" t="n"/>
      <c r="DO325" s="24" t="n"/>
      <c r="DP325" s="24" t="n"/>
      <c r="DQ325" s="24" t="inlineStr">
        <is>
          <t>{"artifact_hash": "1d168f11d221cd3c", "event_id": "401866424", "event_start_utc": "2026-09-19T19:30Z", "features": {"altitude_fatigue_penalty": 0.0, "away_team": "Stonehill Skyhawks", "efficiency_gap": 0.635, "elo_away": 1337.5, "elo_home": 1129.7, "elo_home_win_prob": 0.3054, "event_id": "401866424", "game_start_utc": "2026-09-19T19:30Z", "home_field_advantage_points": 2.8, "home_team": "Massachusetts Minutemen", "is_dome": false, "is_fbs_vs_fcs": false, "is_neutral_site": false, "projected_away_points": 29.5, "projected_home_points": 23.7, "projected_margin_home": -5.8,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29.5, "mu_home": 23.7,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262516829071236423201182394011618935153}, "uinteger": 0}, "spread_home_line": -30.5, "total_line": 50.5}, "market_type": "spread", "model_version": "cfb-spread-v1", "observed_at_utc": "2026-09-19T17:08:25.088129+00:00", "probabilities": {"away": 0.95, "home": 0.05, "push": 0.0}, "replay_scope": "Full precision score means, exact engine parameters and original RNG state; upstream feature construction not certified.", "schema": "cfb-joint-replay-v1", "snapshot_hash": "bd9ca60c8b0998ae2a39892aa5aaabfa5fe27b22f941870d9f8bc6b87a321c9a", "sport": "NCAAF"}</t>
        </is>
      </c>
    </row>
    <row r="326" ht="36" customHeight="1">
      <c r="A326" s="24" t="inlineStr">
        <is>
          <t>c2388f01080442a4</t>
        </is>
      </c>
      <c r="B326" s="24" t="inlineStr">
        <is>
          <t>2026-09-19T17:08:25.088129Z</t>
        </is>
      </c>
      <c r="C326" s="24" t="inlineStr">
        <is>
          <t>2026-09-19T19:30Z</t>
        </is>
      </c>
      <c r="D326" s="24" t="inlineStr">
        <is>
          <t>401866424</t>
        </is>
      </c>
      <c r="E326" s="24" t="inlineStr">
        <is>
          <t>NCAAF</t>
        </is>
      </c>
      <c r="F326" s="24" t="inlineStr">
        <is>
          <t>Stonehill Skyhawks</t>
        </is>
      </c>
      <c r="G326" s="24" t="inlineStr">
        <is>
          <t>Massachusetts Minutemen</t>
        </is>
      </c>
      <c r="H326" s="24" t="inlineStr">
        <is>
          <t>total</t>
        </is>
      </c>
      <c r="I326" s="24" t="inlineStr">
        <is>
          <t>over</t>
        </is>
      </c>
      <c r="J326" s="25" t="n">
        <v>50.5</v>
      </c>
      <c r="K326" s="24" t="inlineStr">
        <is>
          <t>espn_consensus</t>
        </is>
      </c>
      <c r="L326" s="26" t="n">
        <v>-108</v>
      </c>
      <c r="M326" s="27" t="n">
        <v>1.925926</v>
      </c>
      <c r="N326" s="28" t="n">
        <v>0.519231</v>
      </c>
      <c r="O326" s="28" t="n">
        <v>0.516133</v>
      </c>
      <c r="P326" s="28" t="n">
        <v>0.18</v>
      </c>
      <c r="Q326" s="28" t="n">
        <v>-0.003098</v>
      </c>
      <c r="R326" s="26" t="n">
        <v>0</v>
      </c>
      <c r="S326" s="29" t="n">
        <v>1</v>
      </c>
      <c r="T326" s="24" t="inlineStr">
        <is>
          <t>cfb-total-v1</t>
        </is>
      </c>
      <c r="U326" s="24" t="inlineStr">
        <is>
          <t>settled</t>
        </is>
      </c>
      <c r="V326" s="24" t="inlineStr">
        <is>
          <t>loss</t>
        </is>
      </c>
      <c r="W326" s="26" t="n">
        <v>14</v>
      </c>
      <c r="X326" s="26" t="n">
        <v>36</v>
      </c>
      <c r="Y326" s="25" t="n"/>
      <c r="Z326" s="26" t="n"/>
      <c r="AA326" s="28" t="n"/>
      <c r="AB326" s="28" t="n"/>
      <c r="AC326" s="30" t="n">
        <v>-1</v>
      </c>
      <c r="AD326" s="24" t="inlineStr">
        <is>
          <t>2026-09-20T04:30:50.115382Z</t>
        </is>
      </c>
      <c r="AE326" s="31" t="inlineStr">
        <is>
          <t>Projected total 53.2 pts (Weather adj: +0.0 pts). Total line 50.5 -&gt; P(Over)=0.516, P(Under)=0.484, P(Push)=0.000.</t>
        </is>
      </c>
      <c r="AF326" s="31" t="inlineStr">
        <is>
          <t>College football model; multi-market (moneyline, spread, total).</t>
        </is>
      </c>
      <c r="AG326" s="24" t="inlineStr">
        <is>
          <t>review_required</t>
        </is>
      </c>
      <c r="AH326" s="24" t="n"/>
      <c r="AI326" s="31" t="n"/>
      <c r="AJ326" s="31" t="n"/>
      <c r="AK326" s="24" t="inlineStr">
        <is>
          <t>paper_call</t>
        </is>
      </c>
      <c r="AL326" s="26" t="n">
        <v>4</v>
      </c>
      <c r="AM326" s="24" t="inlineStr">
        <is>
          <t>RESEARCH_OBSERVATION</t>
        </is>
      </c>
      <c r="AN326" s="24" t="inlineStr">
        <is>
          <t>CALL</t>
        </is>
      </c>
      <c r="AO326" s="24" t="inlineStr">
        <is>
          <t>PAPER_CALL_LOW_EDGE</t>
        </is>
      </c>
      <c r="AP326" s="24" t="inlineStr">
        <is>
          <t>Stonehill Skyhawks</t>
        </is>
      </c>
      <c r="AQ326" s="24" t="inlineStr">
        <is>
          <t>Stonehill Skyhawks</t>
        </is>
      </c>
      <c r="AR326" s="24" t="inlineStr">
        <is>
          <t>Stonehill Skyhawks</t>
        </is>
      </c>
      <c r="AS326" s="24" t="inlineStr">
        <is>
          <t>Massachusetts Minutemen</t>
        </is>
      </c>
      <c r="AT326" s="24" t="inlineStr">
        <is>
          <t>Massachusetts Minutemen</t>
        </is>
      </c>
      <c r="AU326" s="24" t="inlineStr">
        <is>
          <t>Massachusetts Minutemen</t>
        </is>
      </c>
      <c r="AV326" s="24" t="n"/>
      <c r="AW326" s="24" t="n"/>
      <c r="AX326" s="24" t="inlineStr">
        <is>
          <t>statistical_model</t>
        </is>
      </c>
      <c r="AY326" s="24" t="n"/>
      <c r="AZ326" s="24" t="inlineStr">
        <is>
          <t>shadow_qualified</t>
        </is>
      </c>
      <c r="BA326" s="24" t="inlineStr">
        <is>
          <t>1d168f11d221cd3c</t>
        </is>
      </c>
      <c r="BB326" s="24" t="inlineStr">
        <is>
          <t>cfb_key_number_engine</t>
        </is>
      </c>
      <c r="BC326" s="24" t="inlineStr">
        <is>
          <t>cfb-total-v1</t>
        </is>
      </c>
      <c r="BD326" s="24" t="inlineStr">
        <is>
          <t>1d168f11d221cd3c</t>
        </is>
      </c>
      <c r="BE326" s="24" t="inlineStr">
        <is>
          <t>cfb-v1</t>
        </is>
      </c>
      <c r="BF326" s="24" t="inlineStr">
        <is>
          <t>1</t>
        </is>
      </c>
      <c r="BG326" s="24" t="inlineStr">
        <is>
          <t>1d168f11d221cd3c</t>
        </is>
      </c>
      <c r="BH326" s="24" t="inlineStr">
        <is>
          <t>2026-09-19T17:08:25.088129+00:00</t>
        </is>
      </c>
      <c r="BI326" s="24" t="inlineStr">
        <is>
          <t>["same_event","same_team_same_day","same_league_same_day"]</t>
        </is>
      </c>
      <c r="BJ326" s="25" t="n">
        <v>50.5</v>
      </c>
      <c r="BK326" s="26" t="n">
        <v>-108</v>
      </c>
      <c r="BL326" s="27" t="n">
        <v>1.925926</v>
      </c>
      <c r="BM326" s="28" t="n">
        <v>0.519231</v>
      </c>
      <c r="BN326" s="28" t="n"/>
      <c r="BO326" s="28" t="n"/>
      <c r="BP326" s="25" t="n"/>
      <c r="BQ326" s="27" t="n"/>
      <c r="BR326" s="28" t="n"/>
      <c r="BS326" s="28" t="n"/>
      <c r="BT326" s="28" t="n"/>
      <c r="BU326" s="25" t="n"/>
      <c r="BV326" s="29" t="n"/>
      <c r="BW326" s="24" t="n"/>
      <c r="BX326" s="30" t="n">
        <v>1</v>
      </c>
      <c r="BY326" s="27" t="n">
        <v>-1</v>
      </c>
      <c r="BZ326" s="24" t="inlineStr">
        <is>
          <t>2026-09-20T04:30:50.115382Z</t>
        </is>
      </c>
      <c r="CA326" s="31" t="inlineStr">
        <is>
          <t>fixed one-unit hypothetical scoring; no real exposure or execution</t>
        </is>
      </c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  <c r="CL326" s="24" t="n"/>
      <c r="CM326" s="24" t="n"/>
      <c r="CN326" s="24" t="n"/>
      <c r="CO326" s="24" t="n"/>
      <c r="CP326" s="24" t="n"/>
      <c r="CQ326" s="24" t="n"/>
      <c r="CR326" s="24" t="n"/>
      <c r="CS326" s="24" t="inlineStr">
        <is>
          <t>False</t>
        </is>
      </c>
      <c r="CT326" s="24" t="n"/>
      <c r="CU326" s="24" t="n"/>
      <c r="CV326" s="24" t="n"/>
      <c r="CW326" s="24" t="n"/>
      <c r="CX326" s="24" t="n"/>
      <c r="CY326" s="24" t="n"/>
      <c r="CZ326" s="24" t="n"/>
      <c r="DA326" s="24" t="n"/>
      <c r="DB326" s="24" t="n"/>
      <c r="DC326" s="24" t="n"/>
      <c r="DD326" s="24" t="n"/>
      <c r="DE326" s="24" t="n"/>
      <c r="DF326" s="24" t="n"/>
      <c r="DG326" s="24" t="n"/>
      <c r="DH326" s="24" t="n"/>
      <c r="DI326" s="24" t="n"/>
      <c r="DJ326" s="24" t="inlineStr">
        <is>
          <t>0.519231</t>
        </is>
      </c>
      <c r="DK326" s="24" t="n"/>
      <c r="DL326" s="24" t="n"/>
      <c r="DM326" s="24" t="n"/>
      <c r="DN326" s="24" t="n"/>
      <c r="DO326" s="24" t="n"/>
      <c r="DP326" s="24" t="n"/>
      <c r="DQ326" s="24" t="inlineStr">
        <is>
          <t>{"artifact_hash": "1d168f11d221cd3c", "event_id": "401866424", "event_start_utc": "2026-09-19T19:30Z", "features": {"altitude_fatigue_penalty": 0.0, "away_team": "Stonehill Skyhawks", "efficiency_gap": 0.635, "elo_away": 1337.5, "elo_home": 1129.7, "elo_home_win_prob": 0.3054, "event_id": "401866424", "game_start_utc": "2026-09-19T19:30Z", "home_field_advantage_points": 2.8, "home_team": "Massachusetts Minutemen", "is_dome": false, "is_fbs_vs_fcs": false, "is_neutral_site": false, "projected_away_points": 29.5, "projected_home_points": 23.7, "projected_margin_home": -5.8,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29.5, "mu_home": 23.7,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262516829071236423201182394011618935153}, "uinteger": 0}, "spread_home_line": -30.5, "total_line": 50.5}, "market_type": "total", "model_version": "cfb-total-v1", "observed_at_utc": "2026-09-19T17:08:25.088129+00:00", "probabilities": {"over": 0.516133, "push": 0.0, "under": 0.483867}, "replay_scope": "Full precision score means, exact engine parameters and original RNG state; upstream feature construction not certified.", "schema": "cfb-joint-replay-v1", "snapshot_hash": "101675dc745007db276452d9b35ec2098c99ec6a2767c12404f3eb89236c67b6", "sport": "NCAAF"}</t>
        </is>
      </c>
    </row>
    <row r="327" ht="36" customHeight="1">
      <c r="A327" s="24" t="inlineStr">
        <is>
          <t>ed93a8d9366a4db1</t>
        </is>
      </c>
      <c r="B327" s="24" t="inlineStr">
        <is>
          <t>2026-09-19T17:08:25.088129Z</t>
        </is>
      </c>
      <c r="C327" s="24" t="inlineStr">
        <is>
          <t>2026-09-19T20:00Z</t>
        </is>
      </c>
      <c r="D327" s="24" t="inlineStr">
        <is>
          <t>401858449</t>
        </is>
      </c>
      <c r="E327" s="24" t="inlineStr">
        <is>
          <t>NCAAF</t>
        </is>
      </c>
      <c r="F327" s="24" t="inlineStr">
        <is>
          <t>Western Kentucky Hilltoppers</t>
        </is>
      </c>
      <c r="G327" s="24" t="inlineStr">
        <is>
          <t>Indiana Hoosiers</t>
        </is>
      </c>
      <c r="H327" s="24" t="inlineStr">
        <is>
          <t>spread</t>
        </is>
      </c>
      <c r="I327" s="24" t="inlineStr">
        <is>
          <t>away</t>
        </is>
      </c>
      <c r="J327" s="25" t="n">
        <v>44.5</v>
      </c>
      <c r="K327" s="24" t="inlineStr">
        <is>
          <t>espn_consensus</t>
        </is>
      </c>
      <c r="L327" s="26" t="n">
        <v>-108</v>
      </c>
      <c r="M327" s="27" t="n">
        <v>1.925926</v>
      </c>
      <c r="N327" s="28" t="n">
        <v>0.519231</v>
      </c>
      <c r="O327" s="28" t="n">
        <v>0.899267</v>
      </c>
      <c r="P327" s="28" t="n">
        <v>0.165</v>
      </c>
      <c r="Q327" s="28" t="n">
        <v>0.380036</v>
      </c>
      <c r="R327" s="26" t="n">
        <v>100</v>
      </c>
      <c r="S327" s="29" t="n">
        <v>2</v>
      </c>
      <c r="T327" s="24" t="inlineStr">
        <is>
          <t>cfb-spread-v1</t>
        </is>
      </c>
      <c r="U327" s="24" t="inlineStr">
        <is>
          <t>settled</t>
        </is>
      </c>
      <c r="V327" s="24" t="inlineStr">
        <is>
          <t>win</t>
        </is>
      </c>
      <c r="W327" s="26" t="n">
        <v>0</v>
      </c>
      <c r="X327" s="26" t="n">
        <v>38</v>
      </c>
      <c r="Y327" s="25" t="n"/>
      <c r="Z327" s="26" t="n"/>
      <c r="AA327" s="28" t="n"/>
      <c r="AB327" s="28" t="n"/>
      <c r="AC327" s="30" t="n">
        <v>1.8519</v>
      </c>
      <c r="AD327" s="24" t="inlineStr">
        <is>
          <t>2026-09-20T04:30:50.598479Z</t>
        </is>
      </c>
      <c r="AE327" s="31" t="inlineStr">
        <is>
          <t>Projected home margin +20.6 pts. Spread: Home -44.5 / Away +44.5 -&gt; P(Away cover)=0.899, P(Home cover)=0.101, P(Push)=0.000.</t>
        </is>
      </c>
      <c r="AF327" s="31" t="inlineStr">
        <is>
          <t>College football model; multi-market (moneyline, spread, total).</t>
        </is>
      </c>
      <c r="AG327" s="24" t="inlineStr">
        <is>
          <t>not_applicable</t>
        </is>
      </c>
      <c r="AH327" s="24" t="n"/>
      <c r="AI327" s="31" t="n"/>
      <c r="AJ327" s="31" t="n"/>
      <c r="AK327" s="24" t="inlineStr">
        <is>
          <t>model_qualified</t>
        </is>
      </c>
      <c r="AL327" s="26" t="n">
        <v>4</v>
      </c>
      <c r="AM327" s="24" t="inlineStr">
        <is>
          <t>QUALIFIED_SHADOW_CALL</t>
        </is>
      </c>
      <c r="AN327" s="24" t="inlineStr">
        <is>
          <t>CALL</t>
        </is>
      </c>
      <c r="AO327" s="24" t="inlineStr">
        <is>
          <t>QUALIFIED</t>
        </is>
      </c>
      <c r="AP327" s="24" t="inlineStr">
        <is>
          <t>Western Kentucky Hilltoppers</t>
        </is>
      </c>
      <c r="AQ327" s="24" t="inlineStr">
        <is>
          <t>Western Kentucky Hilltoppers</t>
        </is>
      </c>
      <c r="AR327" s="24" t="inlineStr">
        <is>
          <t>Western Kentucky Hilltoppers</t>
        </is>
      </c>
      <c r="AS327" s="24" t="inlineStr">
        <is>
          <t>Indiana Hoosiers</t>
        </is>
      </c>
      <c r="AT327" s="24" t="inlineStr">
        <is>
          <t>Indiana Hoosiers</t>
        </is>
      </c>
      <c r="AU327" s="24" t="inlineStr">
        <is>
          <t>Indiana Hoosiers</t>
        </is>
      </c>
      <c r="AV327" s="24" t="n"/>
      <c r="AW327" s="24" t="n"/>
      <c r="AX327" s="24" t="inlineStr">
        <is>
          <t>statistical_model</t>
        </is>
      </c>
      <c r="AY327" s="24" t="n"/>
      <c r="AZ327" s="24" t="inlineStr">
        <is>
          <t>shadow_qualified</t>
        </is>
      </c>
      <c r="BA327" s="24" t="inlineStr">
        <is>
          <t>1d168f11d221cd3c</t>
        </is>
      </c>
      <c r="BB327" s="24" t="inlineStr">
        <is>
          <t>cfb_key_number_engine</t>
        </is>
      </c>
      <c r="BC327" s="24" t="inlineStr">
        <is>
          <t>cfb-spread-v1</t>
        </is>
      </c>
      <c r="BD327" s="24" t="inlineStr">
        <is>
          <t>1d168f11d221cd3c</t>
        </is>
      </c>
      <c r="BE327" s="24" t="inlineStr">
        <is>
          <t>cfb-v1</t>
        </is>
      </c>
      <c r="BF327" s="24" t="inlineStr">
        <is>
          <t>1</t>
        </is>
      </c>
      <c r="BG327" s="24" t="inlineStr">
        <is>
          <t>1d168f11d221cd3c</t>
        </is>
      </c>
      <c r="BH327" s="24" t="inlineStr">
        <is>
          <t>2026-09-19T17:08:25.088129+00:00</t>
        </is>
      </c>
      <c r="BI327" s="24" t="inlineStr">
        <is>
          <t>["same_event","same_team_same_day","same_league_same_day"]</t>
        </is>
      </c>
      <c r="BJ327" s="25" t="n">
        <v>44.5</v>
      </c>
      <c r="BK327" s="26" t="n">
        <v>-108</v>
      </c>
      <c r="BL327" s="27" t="n">
        <v>1.925926</v>
      </c>
      <c r="BM327" s="28" t="n">
        <v>0.519231</v>
      </c>
      <c r="BN327" s="28" t="n"/>
      <c r="BO327" s="28" t="n"/>
      <c r="BP327" s="25" t="n"/>
      <c r="BQ327" s="27" t="n"/>
      <c r="BR327" s="28" t="n"/>
      <c r="BS327" s="28" t="n"/>
      <c r="BT327" s="28" t="n"/>
      <c r="BU327" s="25" t="n"/>
      <c r="BV327" s="29" t="n"/>
      <c r="BW327" s="24" t="n"/>
      <c r="BX327" s="30" t="n"/>
      <c r="BY327" s="27" t="n"/>
      <c r="BZ327" s="24" t="n"/>
      <c r="CA327" s="31" t="n"/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  <c r="CL327" s="24" t="n"/>
      <c r="CM327" s="24" t="n"/>
      <c r="CN327" s="24" t="n"/>
      <c r="CO327" s="24" t="n"/>
      <c r="CP327" s="24" t="n"/>
      <c r="CQ327" s="24" t="n"/>
      <c r="CR327" s="24" t="n"/>
      <c r="CS327" s="24" t="inlineStr">
        <is>
          <t>True</t>
        </is>
      </c>
      <c r="CT327" s="24" t="n"/>
      <c r="CU327" s="24" t="n"/>
      <c r="CV327" s="24" t="n"/>
      <c r="CW327" s="24" t="n"/>
      <c r="CX327" s="24" t="n"/>
      <c r="CY327" s="24" t="n"/>
      <c r="CZ327" s="24" t="n"/>
      <c r="DA327" s="24" t="n"/>
      <c r="DB327" s="24" t="n"/>
      <c r="DC327" s="24" t="n"/>
      <c r="DD327" s="24" t="n"/>
      <c r="DE327" s="24" t="n"/>
      <c r="DF327" s="24" t="n"/>
      <c r="DG327" s="24" t="n"/>
      <c r="DH327" s="24" t="n"/>
      <c r="DI327" s="24" t="n"/>
      <c r="DJ327" s="24" t="inlineStr">
        <is>
          <t>0.519231</t>
        </is>
      </c>
      <c r="DK327" s="24" t="n"/>
      <c r="DL327" s="24" t="n"/>
      <c r="DM327" s="24" t="n"/>
      <c r="DN327" s="24" t="n"/>
      <c r="DO327" s="24" t="n"/>
      <c r="DP327" s="24" t="n"/>
      <c r="DQ327" s="24" t="inlineStr">
        <is>
          <t>{"artifact_hash": "1d168f11d221cd3c", "event_id": "401858449", "event_start_utc": "2026-09-19T20:00Z", "features": {"altitude_fatigue_penalty": 0.0, "away_team": "Western Kentucky Hilltoppers", "efficiency_gap": 3.512, "elo_away": 1500.5, "elo_home": 1934.8, "elo_home_win_prob": 0.9466, "event_id": "401858449", "game_start_utc": "2026-09-19T20:00Z", "home_field_advantage_points": 2.8, "home_team": "Indiana Hoosiers", "is_dome": false, "is_fbs_vs_fcs": false, "is_neutral_site": false, "projected_away_points": 16.9, "projected_home_points": 37.5, "projected_margin_home": 20.6, "projected_possessions": 12.4, "projected_total": 54.5, "stadium_elevation_ft": 760, "travel_distance_miles": 152.0, "uncertainty": 0.165, "weather_total_adjustment": 0.0}, "historical_source_observation_times_verified": false, "inference_inputs": {"engine_source_sha256": "449ba2f0e86fa9c445730076a0e0bf100fb4914620be53c75c6f3bfe24298f3f", "mu_away": 16.9, "mu_home": 37.5,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215079132508110395449034581461308218929}, "uinteger": 0}, "spread_home_line": -44.5, "total_line": 60.5}, "market_type": "spread", "model_version": "cfb-spread-v1", "observed_at_utc": "2026-09-19T17:08:25.088129+00:00", "probabilities": {"away": 0.899267, "home": 0.100733, "push": 0.0}, "replay_scope": "Full precision score means, exact engine parameters and original RNG state; upstream feature construction not certified.", "schema": "cfb-joint-replay-v1", "snapshot_hash": "39a6e113503ac163c09fb3940e4175121a768f237c69a4fb4bbc7eec77f4d8f8", "sport": "NCAAF"}</t>
        </is>
      </c>
    </row>
    <row r="328" ht="36" customHeight="1">
      <c r="A328" s="24" t="inlineStr">
        <is>
          <t>dc49ce5409664942</t>
        </is>
      </c>
      <c r="B328" s="24" t="inlineStr">
        <is>
          <t>2026-09-19T17:08:25.088129Z</t>
        </is>
      </c>
      <c r="C328" s="24" t="inlineStr">
        <is>
          <t>2026-09-19T20:00Z</t>
        </is>
      </c>
      <c r="D328" s="24" t="inlineStr">
        <is>
          <t>401858449</t>
        </is>
      </c>
      <c r="E328" s="24" t="inlineStr">
        <is>
          <t>NCAAF</t>
        </is>
      </c>
      <c r="F328" s="24" t="inlineStr">
        <is>
          <t>Western Kentucky Hilltoppers</t>
        </is>
      </c>
      <c r="G328" s="24" t="inlineStr">
        <is>
          <t>Indiana Hoosiers</t>
        </is>
      </c>
      <c r="H328" s="24" t="inlineStr">
        <is>
          <t>total</t>
        </is>
      </c>
      <c r="I328" s="24" t="inlineStr">
        <is>
          <t>under</t>
        </is>
      </c>
      <c r="J328" s="25" t="n">
        <v>60.5</v>
      </c>
      <c r="K328" s="24" t="inlineStr">
        <is>
          <t>espn_consensus</t>
        </is>
      </c>
      <c r="L328" s="26" t="n">
        <v>-110</v>
      </c>
      <c r="M328" s="27" t="n">
        <v>1.909091</v>
      </c>
      <c r="N328" s="28" t="n">
        <v>0.52381</v>
      </c>
      <c r="O328" s="28" t="n">
        <v>0.627267</v>
      </c>
      <c r="P328" s="28" t="n">
        <v>0.165</v>
      </c>
      <c r="Q328" s="28" t="n">
        <v>0.103457</v>
      </c>
      <c r="R328" s="26" t="n">
        <v>3</v>
      </c>
      <c r="S328" s="29" t="n">
        <v>1</v>
      </c>
      <c r="T328" s="24" t="inlineStr">
        <is>
          <t>cfb-total-v1</t>
        </is>
      </c>
      <c r="U328" s="24" t="inlineStr">
        <is>
          <t>settled</t>
        </is>
      </c>
      <c r="V328" s="24" t="inlineStr">
        <is>
          <t>win</t>
        </is>
      </c>
      <c r="W328" s="26" t="n">
        <v>0</v>
      </c>
      <c r="X328" s="26" t="n">
        <v>38</v>
      </c>
      <c r="Y328" s="25" t="n"/>
      <c r="Z328" s="26" t="n"/>
      <c r="AA328" s="28" t="n"/>
      <c r="AB328" s="28" t="n"/>
      <c r="AC328" s="30" t="n">
        <v>0.9091</v>
      </c>
      <c r="AD328" s="24" t="inlineStr">
        <is>
          <t>2026-09-20T04:30:51.113841Z</t>
        </is>
      </c>
      <c r="AE328" s="31" t="inlineStr">
        <is>
          <t>Projected total 54.5 pts (Weather adj: +0.0 pts). Total line 60.5 -&gt; P(Over)=0.373, P(Under)=0.627, P(Push)=0.000.</t>
        </is>
      </c>
      <c r="AF328" s="31" t="inlineStr">
        <is>
          <t>College football model; multi-market (moneyline, spread, total).</t>
        </is>
      </c>
      <c r="AG328" s="24" t="inlineStr">
        <is>
          <t>not_applicable</t>
        </is>
      </c>
      <c r="AH328" s="24" t="n"/>
      <c r="AI328" s="31" t="n"/>
      <c r="AJ328" s="31" t="n"/>
      <c r="AK328" s="24" t="inlineStr">
        <is>
          <t>model_qualified</t>
        </is>
      </c>
      <c r="AL328" s="26" t="n">
        <v>4</v>
      </c>
      <c r="AM328" s="24" t="inlineStr">
        <is>
          <t>QUALIFIED_SHADOW_CALL</t>
        </is>
      </c>
      <c r="AN328" s="24" t="inlineStr">
        <is>
          <t>CALL</t>
        </is>
      </c>
      <c r="AO328" s="24" t="inlineStr">
        <is>
          <t>QUALIFIED</t>
        </is>
      </c>
      <c r="AP328" s="24" t="inlineStr">
        <is>
          <t>Western Kentucky Hilltoppers</t>
        </is>
      </c>
      <c r="AQ328" s="24" t="inlineStr">
        <is>
          <t>Western Kentucky Hilltoppers</t>
        </is>
      </c>
      <c r="AR328" s="24" t="inlineStr">
        <is>
          <t>Western Kentucky Hilltoppers</t>
        </is>
      </c>
      <c r="AS328" s="24" t="inlineStr">
        <is>
          <t>Indiana Hoosiers</t>
        </is>
      </c>
      <c r="AT328" s="24" t="inlineStr">
        <is>
          <t>Indiana Hoosiers</t>
        </is>
      </c>
      <c r="AU328" s="24" t="inlineStr">
        <is>
          <t>Indiana Hoosiers</t>
        </is>
      </c>
      <c r="AV328" s="24" t="n"/>
      <c r="AW328" s="24" t="n"/>
      <c r="AX328" s="24" t="inlineStr">
        <is>
          <t>statistical_model</t>
        </is>
      </c>
      <c r="AY328" s="24" t="n"/>
      <c r="AZ328" s="24" t="inlineStr">
        <is>
          <t>shadow_qualified</t>
        </is>
      </c>
      <c r="BA328" s="24" t="inlineStr">
        <is>
          <t>1d168f11d221cd3c</t>
        </is>
      </c>
      <c r="BB328" s="24" t="inlineStr">
        <is>
          <t>cfb_key_number_engine</t>
        </is>
      </c>
      <c r="BC328" s="24" t="inlineStr">
        <is>
          <t>cfb-total-v1</t>
        </is>
      </c>
      <c r="BD328" s="24" t="inlineStr">
        <is>
          <t>1d168f11d221cd3c</t>
        </is>
      </c>
      <c r="BE328" s="24" t="inlineStr">
        <is>
          <t>cfb-v1</t>
        </is>
      </c>
      <c r="BF328" s="24" t="inlineStr">
        <is>
          <t>1</t>
        </is>
      </c>
      <c r="BG328" s="24" t="inlineStr">
        <is>
          <t>1d168f11d221cd3c</t>
        </is>
      </c>
      <c r="BH328" s="24" t="inlineStr">
        <is>
          <t>2026-09-19T17:08:25.088129+00:00</t>
        </is>
      </c>
      <c r="BI328" s="24" t="inlineStr">
        <is>
          <t>["same_event","same_team_same_day","same_league_same_day"]</t>
        </is>
      </c>
      <c r="BJ328" s="25" t="n">
        <v>60.5</v>
      </c>
      <c r="BK328" s="26" t="n">
        <v>-110</v>
      </c>
      <c r="BL328" s="27" t="n">
        <v>1.909091</v>
      </c>
      <c r="BM328" s="28" t="n">
        <v>0.52381</v>
      </c>
      <c r="BN328" s="28" t="n"/>
      <c r="BO328" s="28" t="n"/>
      <c r="BP328" s="25" t="n"/>
      <c r="BQ328" s="27" t="n"/>
      <c r="BR328" s="28" t="n"/>
      <c r="BS328" s="28" t="n"/>
      <c r="BT328" s="28" t="n"/>
      <c r="BU328" s="25" t="n"/>
      <c r="BV328" s="29" t="n"/>
      <c r="BW328" s="24" t="n"/>
      <c r="BX328" s="30" t="n"/>
      <c r="BY328" s="27" t="n"/>
      <c r="BZ328" s="24" t="n"/>
      <c r="CA328" s="31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inlineStr">
        <is>
          <t>True</t>
        </is>
      </c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/>
      <c r="DH328" s="24" t="n"/>
      <c r="DI328" s="24" t="n"/>
      <c r="DJ328" s="24" t="inlineStr">
        <is>
          <t>0.52381</t>
        </is>
      </c>
      <c r="DK328" s="24" t="n"/>
      <c r="DL328" s="24" t="n"/>
      <c r="DM328" s="24" t="n"/>
      <c r="DN328" s="24" t="n"/>
      <c r="DO328" s="24" t="n"/>
      <c r="DP328" s="24" t="n"/>
      <c r="DQ328" s="24" t="inlineStr">
        <is>
          <t>{"artifact_hash": "1d168f11d221cd3c", "event_id": "401858449", "event_start_utc": "2026-09-19T20:00Z", "features": {"altitude_fatigue_penalty": 0.0, "away_team": "Western Kentucky Hilltoppers", "efficiency_gap": 3.512, "elo_away": 1500.5, "elo_home": 1934.8, "elo_home_win_prob": 0.9466, "event_id": "401858449", "game_start_utc": "2026-09-19T20:00Z", "home_field_advantage_points": 2.8, "home_team": "Indiana Hoosiers", "is_dome": false, "is_fbs_vs_fcs": false, "is_neutral_site": false, "projected_away_points": 16.9, "projected_home_points": 37.5, "projected_margin_home": 20.6, "projected_possessions": 12.4, "projected_total": 54.5, "stadium_elevation_ft": 760, "travel_distance_miles": 152.0, "uncertainty": 0.165, "weather_total_adjustment": 0.0}, "historical_source_observation_times_verified": false, "inference_inputs": {"engine_source_sha256": "449ba2f0e86fa9c445730076a0e0bf100fb4914620be53c75c6f3bfe24298f3f", "mu_away": 16.9, "mu_home": 37.5,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215079132508110395449034581461308218929}, "uinteger": 0}, "spread_home_line": -44.5, "total_line": 60.5}, "market_type": "total", "model_version": "cfb-total-v1", "observed_at_utc": "2026-09-19T17:08:25.088129+00:00", "probabilities": {"over": 0.372733, "push": 0.0, "under": 0.627267}, "replay_scope": "Full precision score means, exact engine parameters and original RNG state; upstream feature construction not certified.", "schema": "cfb-joint-replay-v1", "snapshot_hash": "e777d185f71fb5be56b6673fbf0d5b995ba162101b0d015a7a908b8fa7d18e8b", "sport": "NCAAF"}</t>
        </is>
      </c>
    </row>
    <row r="329" ht="36" customHeight="1">
      <c r="A329" s="24" t="inlineStr">
        <is>
          <t>67b030835b37405d</t>
        </is>
      </c>
      <c r="B329" s="24" t="inlineStr">
        <is>
          <t>2026-09-19T17:08:25.088129Z</t>
        </is>
      </c>
      <c r="C329" s="24" t="inlineStr">
        <is>
          <t>2026-09-19T20:00Z</t>
        </is>
      </c>
      <c r="D329" s="24" t="inlineStr">
        <is>
          <t>401858471</t>
        </is>
      </c>
      <c r="E329" s="24" t="inlineStr">
        <is>
          <t>NCAAF</t>
        </is>
      </c>
      <c r="F329" s="24" t="inlineStr">
        <is>
          <t>Northern Iowa Panthers</t>
        </is>
      </c>
      <c r="G329" s="24" t="inlineStr">
        <is>
          <t>Iowa Hawkeyes</t>
        </is>
      </c>
      <c r="H329" s="24" t="inlineStr">
        <is>
          <t>spread</t>
        </is>
      </c>
      <c r="I329" s="24" t="inlineStr">
        <is>
          <t>away</t>
        </is>
      </c>
      <c r="J329" s="25" t="n">
        <v>37.5</v>
      </c>
      <c r="K329" s="24" t="inlineStr">
        <is>
          <t>espn_consensus</t>
        </is>
      </c>
      <c r="L329" s="26" t="n">
        <v>-108</v>
      </c>
      <c r="M329" s="27" t="n">
        <v>1.925926</v>
      </c>
      <c r="N329" s="28" t="n">
        <v>0.519231</v>
      </c>
      <c r="O329" s="28" t="n">
        <v>0.8252</v>
      </c>
      <c r="P329" s="28" t="n">
        <v>0.18</v>
      </c>
      <c r="Q329" s="28" t="n">
        <v>0.305969</v>
      </c>
      <c r="R329" s="26" t="n">
        <v>95</v>
      </c>
      <c r="S329" s="29" t="n">
        <v>1.75</v>
      </c>
      <c r="T329" s="24" t="inlineStr">
        <is>
          <t>cfb-spread-v1</t>
        </is>
      </c>
      <c r="U329" s="24" t="inlineStr">
        <is>
          <t>settled</t>
        </is>
      </c>
      <c r="V329" s="24" t="inlineStr">
        <is>
          <t>loss</t>
        </is>
      </c>
      <c r="W329" s="26" t="n">
        <v>0</v>
      </c>
      <c r="X329" s="26" t="n">
        <v>55</v>
      </c>
      <c r="Y329" s="25" t="n"/>
      <c r="Z329" s="26" t="n"/>
      <c r="AA329" s="28" t="n"/>
      <c r="AB329" s="28" t="n"/>
      <c r="AC329" s="30" t="n">
        <v>-1.75</v>
      </c>
      <c r="AD329" s="24" t="inlineStr">
        <is>
          <t>2026-09-20T04:30:51.672105Z</t>
        </is>
      </c>
      <c r="AE329" s="31" t="inlineStr">
        <is>
          <t>Projected home margin +20.0 pts. Spread: Home -37.5 / Away +37.5 -&gt; P(Away cover)=0.825, P(Home cover)=0.175, P(Push)=0.000.</t>
        </is>
      </c>
      <c r="AF329" s="31" t="inlineStr">
        <is>
          <t>College football model; multi-market (moneyline, spread, total).</t>
        </is>
      </c>
      <c r="AG329" s="24" t="inlineStr">
        <is>
          <t>review_required</t>
        </is>
      </c>
      <c r="AH329" s="24" t="n"/>
      <c r="AI329" s="31" t="n"/>
      <c r="AJ329" s="31" t="n"/>
      <c r="AK329" s="24" t="inlineStr">
        <is>
          <t>model_qualified</t>
        </is>
      </c>
      <c r="AL329" s="26" t="n">
        <v>4</v>
      </c>
      <c r="AM329" s="24" t="inlineStr">
        <is>
          <t>QUALIFIED_SHADOW_CALL</t>
        </is>
      </c>
      <c r="AN329" s="24" t="inlineStr">
        <is>
          <t>CALL</t>
        </is>
      </c>
      <c r="AO329" s="24" t="inlineStr">
        <is>
          <t>QUALIFIED</t>
        </is>
      </c>
      <c r="AP329" s="24" t="inlineStr">
        <is>
          <t>Northern Iowa Panthers</t>
        </is>
      </c>
      <c r="AQ329" s="24" t="inlineStr">
        <is>
          <t>Northern Iowa Panthers</t>
        </is>
      </c>
      <c r="AR329" s="24" t="inlineStr">
        <is>
          <t>Northern Iowa Panthers</t>
        </is>
      </c>
      <c r="AS329" s="24" t="inlineStr">
        <is>
          <t>Iowa Hawkeyes</t>
        </is>
      </c>
      <c r="AT329" s="24" t="inlineStr">
        <is>
          <t>Iowa Hawkeyes</t>
        </is>
      </c>
      <c r="AU329" s="24" t="inlineStr">
        <is>
          <t>Iowa Hawkeyes</t>
        </is>
      </c>
      <c r="AV329" s="24" t="n"/>
      <c r="AW329" s="24" t="n"/>
      <c r="AX329" s="24" t="inlineStr">
        <is>
          <t>statistical_model</t>
        </is>
      </c>
      <c r="AY329" s="24" t="n"/>
      <c r="AZ329" s="24" t="inlineStr">
        <is>
          <t>shadow_qualified</t>
        </is>
      </c>
      <c r="BA329" s="24" t="inlineStr">
        <is>
          <t>1d168f11d221cd3c</t>
        </is>
      </c>
      <c r="BB329" s="24" t="inlineStr">
        <is>
          <t>cfb_key_number_engine</t>
        </is>
      </c>
      <c r="BC329" s="24" t="inlineStr">
        <is>
          <t>cfb-spread-v1</t>
        </is>
      </c>
      <c r="BD329" s="24" t="inlineStr">
        <is>
          <t>1d168f11d221cd3c</t>
        </is>
      </c>
      <c r="BE329" s="24" t="inlineStr">
        <is>
          <t>cfb-v1</t>
        </is>
      </c>
      <c r="BF329" s="24" t="inlineStr">
        <is>
          <t>1</t>
        </is>
      </c>
      <c r="BG329" s="24" t="inlineStr">
        <is>
          <t>1d168f11d221cd3c</t>
        </is>
      </c>
      <c r="BH329" s="24" t="inlineStr">
        <is>
          <t>2026-09-19T17:08:25.088129+00:00</t>
        </is>
      </c>
      <c r="BI329" s="24" t="inlineStr">
        <is>
          <t>["same_event","same_team_same_day","same_league_same_day"]</t>
        </is>
      </c>
      <c r="BJ329" s="25" t="n">
        <v>37.5</v>
      </c>
      <c r="BK329" s="26" t="n">
        <v>-108</v>
      </c>
      <c r="BL329" s="27" t="n">
        <v>1.925926</v>
      </c>
      <c r="BM329" s="28" t="n">
        <v>0.519231</v>
      </c>
      <c r="BN329" s="28" t="n"/>
      <c r="BO329" s="28" t="n"/>
      <c r="BP329" s="25" t="n"/>
      <c r="BQ329" s="27" t="n"/>
      <c r="BR329" s="28" t="n"/>
      <c r="BS329" s="28" t="n"/>
      <c r="BT329" s="28" t="n"/>
      <c r="BU329" s="25" t="n"/>
      <c r="BV329" s="29" t="n"/>
      <c r="BW329" s="24" t="n"/>
      <c r="BX329" s="30" t="n"/>
      <c r="BY329" s="27" t="n"/>
      <c r="BZ329" s="24" t="n"/>
      <c r="CA329" s="31" t="n"/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  <c r="CL329" s="24" t="n"/>
      <c r="CM329" s="24" t="n"/>
      <c r="CN329" s="24" t="n"/>
      <c r="CO329" s="24" t="n"/>
      <c r="CP329" s="24" t="n"/>
      <c r="CQ329" s="24" t="n"/>
      <c r="CR329" s="24" t="n"/>
      <c r="CS329" s="24" t="inlineStr">
        <is>
          <t>True</t>
        </is>
      </c>
      <c r="CT329" s="24" t="n"/>
      <c r="CU329" s="24" t="n"/>
      <c r="CV329" s="24" t="n"/>
      <c r="CW329" s="24" t="n"/>
      <c r="CX329" s="24" t="n"/>
      <c r="CY329" s="24" t="n"/>
      <c r="CZ329" s="24" t="n"/>
      <c r="DA329" s="24" t="n"/>
      <c r="DB329" s="24" t="n"/>
      <c r="DC329" s="24" t="n"/>
      <c r="DD329" s="24" t="n"/>
      <c r="DE329" s="24" t="n"/>
      <c r="DF329" s="24" t="n"/>
      <c r="DG329" s="24" t="n"/>
      <c r="DH329" s="24" t="n"/>
      <c r="DI329" s="24" t="n"/>
      <c r="DJ329" s="24" t="inlineStr">
        <is>
          <t>0.519231</t>
        </is>
      </c>
      <c r="DK329" s="24" t="n"/>
      <c r="DL329" s="24" t="n"/>
      <c r="DM329" s="24" t="n"/>
      <c r="DN329" s="24" t="n"/>
      <c r="DO329" s="24" t="n"/>
      <c r="DP329" s="24" t="n"/>
      <c r="DQ329" s="24" t="inlineStr">
        <is>
          <t>{"artifact_hash": "1d168f11d221cd3c", "event_id": "401858471", "event_start_utc": "2026-09-19T20:00Z", "features": {"altitude_fatigue_penalty": 0.0, "away_team": "Northern Iowa Panthers", "efficiency_gap": 2.769, "elo_away": 1337.5, "elo_home": 1763.6, "elo_home_win_prob": 0.9441, "event_id": "401858471", "game_start_utc": "2026-09-19T20:00Z", "home_field_advantage_points": 2.8, "home_team": "Iowa Hawkeyes", "is_dome": false, "is_fbs_vs_fcs": false, "is_neutral_site": false, "projected_away_points": 17.2, "projected_home_points": 37.2, "projected_margin_home": 20.0, "projected_possessions": 12.4, "projected_total": 54.4,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17.2, "mu_home": 37.2,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189045027244858685832350290361388797805}, "uinteger": 0}, "spread_home_line": -37.5, "total_line": 48.5}, "market_type": "spread", "model_version": "cfb-spread-v1", "observed_at_utc": "2026-09-19T17:08:25.088129+00:00", "probabilities": {"away": 0.8252, "home": 0.1748, "push": 0.0}, "replay_scope": "Full precision score means, exact engine parameters and original RNG state; upstream feature construction not certified.", "schema": "cfb-joint-replay-v1", "snapshot_hash": "1a77ad8b14e6d8553bf42c84e8dd23f4aea00ba6265a0b73516a20bc2d23425f", "sport": "NCAAF"}</t>
        </is>
      </c>
    </row>
    <row r="330" ht="36" customHeight="1">
      <c r="A330" s="24" t="inlineStr">
        <is>
          <t>20f1a6ea4c724126</t>
        </is>
      </c>
      <c r="B330" s="24" t="inlineStr">
        <is>
          <t>2026-09-19T17:08:25.088129Z</t>
        </is>
      </c>
      <c r="C330" s="24" t="inlineStr">
        <is>
          <t>2026-09-19T20:00Z</t>
        </is>
      </c>
      <c r="D330" s="24" t="inlineStr">
        <is>
          <t>401858471</t>
        </is>
      </c>
      <c r="E330" s="24" t="inlineStr">
        <is>
          <t>NCAAF</t>
        </is>
      </c>
      <c r="F330" s="24" t="inlineStr">
        <is>
          <t>Northern Iowa Panthers</t>
        </is>
      </c>
      <c r="G330" s="24" t="inlineStr">
        <is>
          <t>Iowa Hawkeyes</t>
        </is>
      </c>
      <c r="H330" s="24" t="inlineStr">
        <is>
          <t>total</t>
        </is>
      </c>
      <c r="I330" s="24" t="inlineStr">
        <is>
          <t>over</t>
        </is>
      </c>
      <c r="J330" s="25" t="n">
        <v>48.5</v>
      </c>
      <c r="K330" s="24" t="inlineStr">
        <is>
          <t>espn_consensus</t>
        </is>
      </c>
      <c r="L330" s="26" t="n">
        <v>-110</v>
      </c>
      <c r="M330" s="27" t="n">
        <v>1.909091</v>
      </c>
      <c r="N330" s="28" t="n">
        <v>0.52381</v>
      </c>
      <c r="O330" s="28" t="n">
        <v>0.566533</v>
      </c>
      <c r="P330" s="28" t="n">
        <v>0.18</v>
      </c>
      <c r="Q330" s="28" t="n">
        <v>0.042723</v>
      </c>
      <c r="R330" s="26" t="n">
        <v>0</v>
      </c>
      <c r="S330" s="29" t="n">
        <v>1</v>
      </c>
      <c r="T330" s="24" t="inlineStr">
        <is>
          <t>cfb-total-v1</t>
        </is>
      </c>
      <c r="U330" s="24" t="inlineStr">
        <is>
          <t>settled</t>
        </is>
      </c>
      <c r="V330" s="24" t="inlineStr">
        <is>
          <t>win</t>
        </is>
      </c>
      <c r="W330" s="26" t="n">
        <v>0</v>
      </c>
      <c r="X330" s="26" t="n">
        <v>55</v>
      </c>
      <c r="Y330" s="25" t="n"/>
      <c r="Z330" s="26" t="n"/>
      <c r="AA330" s="28" t="n"/>
      <c r="AB330" s="28" t="n"/>
      <c r="AC330" s="30" t="n">
        <v>0.9091</v>
      </c>
      <c r="AD330" s="24" t="inlineStr">
        <is>
          <t>2026-09-20T04:30:52.161079Z</t>
        </is>
      </c>
      <c r="AE330" s="31" t="inlineStr">
        <is>
          <t>Projected total 54.4 pts (Weather adj: +0.0 pts). Total line 48.5 -&gt; P(Over)=0.567, P(Under)=0.433, P(Push)=0.000.</t>
        </is>
      </c>
      <c r="AF330" s="31" t="inlineStr">
        <is>
          <t>College football model; multi-market (moneyline, spread, total).</t>
        </is>
      </c>
      <c r="AG330" s="24" t="inlineStr">
        <is>
          <t>not_applicable</t>
        </is>
      </c>
      <c r="AH330" s="24" t="n"/>
      <c r="AI330" s="31" t="n"/>
      <c r="AJ330" s="31" t="n"/>
      <c r="AK330" s="24" t="inlineStr">
        <is>
          <t>model_qualified</t>
        </is>
      </c>
      <c r="AL330" s="26" t="n">
        <v>4</v>
      </c>
      <c r="AM330" s="24" t="inlineStr">
        <is>
          <t>QUALIFIED_SHADOW_CALL</t>
        </is>
      </c>
      <c r="AN330" s="24" t="inlineStr">
        <is>
          <t>CALL</t>
        </is>
      </c>
      <c r="AO330" s="24" t="inlineStr">
        <is>
          <t>QUALIFIED</t>
        </is>
      </c>
      <c r="AP330" s="24" t="inlineStr">
        <is>
          <t>Northern Iowa Panthers</t>
        </is>
      </c>
      <c r="AQ330" s="24" t="inlineStr">
        <is>
          <t>Northern Iowa Panthers</t>
        </is>
      </c>
      <c r="AR330" s="24" t="inlineStr">
        <is>
          <t>Northern Iowa Panthers</t>
        </is>
      </c>
      <c r="AS330" s="24" t="inlineStr">
        <is>
          <t>Iowa Hawkeyes</t>
        </is>
      </c>
      <c r="AT330" s="24" t="inlineStr">
        <is>
          <t>Iowa Hawkeyes</t>
        </is>
      </c>
      <c r="AU330" s="24" t="inlineStr">
        <is>
          <t>Iowa Hawkeyes</t>
        </is>
      </c>
      <c r="AV330" s="24" t="n"/>
      <c r="AW330" s="24" t="n"/>
      <c r="AX330" s="24" t="inlineStr">
        <is>
          <t>statistical_model</t>
        </is>
      </c>
      <c r="AY330" s="24" t="n"/>
      <c r="AZ330" s="24" t="inlineStr">
        <is>
          <t>shadow_qualified</t>
        </is>
      </c>
      <c r="BA330" s="24" t="inlineStr">
        <is>
          <t>1d168f11d221cd3c</t>
        </is>
      </c>
      <c r="BB330" s="24" t="inlineStr">
        <is>
          <t>cfb_key_number_engine</t>
        </is>
      </c>
      <c r="BC330" s="24" t="inlineStr">
        <is>
          <t>cfb-total-v1</t>
        </is>
      </c>
      <c r="BD330" s="24" t="inlineStr">
        <is>
          <t>1d168f11d221cd3c</t>
        </is>
      </c>
      <c r="BE330" s="24" t="inlineStr">
        <is>
          <t>cfb-v1</t>
        </is>
      </c>
      <c r="BF330" s="24" t="inlineStr">
        <is>
          <t>1</t>
        </is>
      </c>
      <c r="BG330" s="24" t="inlineStr">
        <is>
          <t>1d168f11d221cd3c</t>
        </is>
      </c>
      <c r="BH330" s="24" t="inlineStr">
        <is>
          <t>2026-09-19T17:08:25.088129+00:00</t>
        </is>
      </c>
      <c r="BI330" s="24" t="inlineStr">
        <is>
          <t>["same_event","same_team_same_day","same_league_same_day"]</t>
        </is>
      </c>
      <c r="BJ330" s="25" t="n">
        <v>48.5</v>
      </c>
      <c r="BK330" s="26" t="n">
        <v>-110</v>
      </c>
      <c r="BL330" s="27" t="n">
        <v>1.909091</v>
      </c>
      <c r="BM330" s="28" t="n">
        <v>0.52381</v>
      </c>
      <c r="BN330" s="28" t="n"/>
      <c r="BO330" s="28" t="n"/>
      <c r="BP330" s="25" t="n"/>
      <c r="BQ330" s="27" t="n"/>
      <c r="BR330" s="28" t="n"/>
      <c r="BS330" s="28" t="n"/>
      <c r="BT330" s="28" t="n"/>
      <c r="BU330" s="25" t="n"/>
      <c r="BV330" s="29" t="n"/>
      <c r="BW330" s="24" t="n"/>
      <c r="BX330" s="30" t="n"/>
      <c r="BY330" s="27" t="n"/>
      <c r="BZ330" s="24" t="n"/>
      <c r="CA330" s="31" t="n"/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n"/>
      <c r="CQ330" s="24" t="n"/>
      <c r="CR330" s="24" t="n"/>
      <c r="CS330" s="24" t="inlineStr">
        <is>
          <t>True</t>
        </is>
      </c>
      <c r="CT330" s="24" t="n"/>
      <c r="CU330" s="24" t="n"/>
      <c r="CV330" s="24" t="n"/>
      <c r="CW330" s="24" t="n"/>
      <c r="CX330" s="24" t="n"/>
      <c r="CY330" s="24" t="n"/>
      <c r="CZ330" s="24" t="n"/>
      <c r="DA330" s="24" t="n"/>
      <c r="DB330" s="24" t="n"/>
      <c r="DC330" s="24" t="n"/>
      <c r="DD330" s="24" t="n"/>
      <c r="DE330" s="24" t="n"/>
      <c r="DF330" s="24" t="n"/>
      <c r="DG330" s="24" t="n"/>
      <c r="DH330" s="24" t="n"/>
      <c r="DI330" s="24" t="n"/>
      <c r="DJ330" s="24" t="inlineStr">
        <is>
          <t>0.52381</t>
        </is>
      </c>
      <c r="DK330" s="24" t="n"/>
      <c r="DL330" s="24" t="n"/>
      <c r="DM330" s="24" t="n"/>
      <c r="DN330" s="24" t="n"/>
      <c r="DO330" s="24" t="n"/>
      <c r="DP330" s="24" t="n"/>
      <c r="DQ330" s="24" t="inlineStr">
        <is>
          <t>{"artifact_hash": "1d168f11d221cd3c", "event_id": "401858471", "event_start_utc": "2026-09-19T20:00Z", "features": {"altitude_fatigue_penalty": 0.0, "away_team": "Northern Iowa Panthers", "efficiency_gap": 2.769, "elo_away": 1337.5, "elo_home": 1763.6, "elo_home_win_prob": 0.9441, "event_id": "401858471", "game_start_utc": "2026-09-19T20:00Z", "home_field_advantage_points": 2.8, "home_team": "Iowa Hawkeyes", "is_dome": false, "is_fbs_vs_fcs": false, "is_neutral_site": false, "projected_away_points": 17.2, "projected_home_points": 37.2, "projected_margin_home": 20.0, "projected_possessions": 12.4, "projected_total": 54.4,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17.2, "mu_home": 37.2,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189045027244858685832350290361388797805}, "uinteger": 0}, "spread_home_line": -37.5, "total_line": 48.5}, "market_type": "total", "model_version": "cfb-total-v1", "observed_at_utc": "2026-09-19T17:08:25.088129+00:00", "probabilities": {"over": 0.566533, "push": 0.0, "under": 0.433467}, "replay_scope": "Full precision score means, exact engine parameters and original RNG state; upstream feature construction not certified.", "schema": "cfb-joint-replay-v1", "snapshot_hash": "41cde73cb3f0bafdc2b6b334de84d603e146087915652f479b52cdf86babbdf8", "sport": "NCAAF"}</t>
        </is>
      </c>
    </row>
    <row r="331" ht="36" customHeight="1">
      <c r="A331" s="24" t="inlineStr">
        <is>
          <t>6d8c15c8f96e4f53</t>
        </is>
      </c>
      <c r="B331" s="24" t="inlineStr">
        <is>
          <t>2026-09-19T17:08:25.088129Z</t>
        </is>
      </c>
      <c r="C331" s="24" t="inlineStr">
        <is>
          <t>2026-09-19T20:00Z</t>
        </is>
      </c>
      <c r="D331" s="24" t="inlineStr">
        <is>
          <t>401858231</t>
        </is>
      </c>
      <c r="E331" s="24" t="inlineStr">
        <is>
          <t>NCAAF</t>
        </is>
      </c>
      <c r="F331" s="24" t="inlineStr">
        <is>
          <t>Stanford Cardinal</t>
        </is>
      </c>
      <c r="G331" s="24" t="inlineStr">
        <is>
          <t>Duke Blue Devils</t>
        </is>
      </c>
      <c r="H331" s="24" t="inlineStr">
        <is>
          <t>moneyline</t>
        </is>
      </c>
      <c r="I331" s="24" t="inlineStr">
        <is>
          <t>home</t>
        </is>
      </c>
      <c r="J331" s="25" t="n"/>
      <c r="K331" s="24" t="inlineStr">
        <is>
          <t>espn_consensus</t>
        </is>
      </c>
      <c r="L331" s="26" t="n">
        <v>-395</v>
      </c>
      <c r="M331" s="27" t="n">
        <v>1.253165</v>
      </c>
      <c r="N331" s="28" t="n">
        <v>0.79798</v>
      </c>
      <c r="O331" s="28" t="n">
        <v>0.805992</v>
      </c>
      <c r="P331" s="28" t="n">
        <v>0.165</v>
      </c>
      <c r="Q331" s="28" t="n">
        <v>0.008012</v>
      </c>
      <c r="R331" s="26" t="n">
        <v>0</v>
      </c>
      <c r="S331" s="29" t="n">
        <v>1</v>
      </c>
      <c r="T331" s="24" t="inlineStr">
        <is>
          <t>college-football-v1</t>
        </is>
      </c>
      <c r="U331" s="24" t="inlineStr">
        <is>
          <t>settled</t>
        </is>
      </c>
      <c r="V331" s="24" t="inlineStr">
        <is>
          <t>win</t>
        </is>
      </c>
      <c r="W331" s="26" t="n">
        <v>7</v>
      </c>
      <c r="X331" s="26" t="n">
        <v>35</v>
      </c>
      <c r="Y331" s="25" t="n"/>
      <c r="Z331" s="26" t="n"/>
      <c r="AA331" s="28" t="n"/>
      <c r="AB331" s="28" t="n"/>
      <c r="AC331" s="30" t="n">
        <v>0.2532</v>
      </c>
      <c r="AD331" s="24" t="inlineStr">
        <is>
          <t>2026-09-20T04:30:52.649729Z</t>
        </is>
      </c>
      <c r="AE331" s="31" t="inlineStr">
        <is>
          <t>CFB Joint Model (negative_binomial): proj score Stanford Cardinal 18.6 @ Duke Blue Devils 35.2 (Margin +16.6). Possessions: 12.4, HFA: +2.8 pts.</t>
        </is>
      </c>
      <c r="AF331" s="31" t="inlineStr">
        <is>
          <t>College football model; multi-market (moneyline, spread, total).</t>
        </is>
      </c>
      <c r="AG331" s="24" t="inlineStr">
        <is>
          <t>not_applicable</t>
        </is>
      </c>
      <c r="AH331" s="24" t="n"/>
      <c r="AI331" s="31" t="n"/>
      <c r="AJ331" s="31" t="n"/>
      <c r="AK331" s="24" t="inlineStr">
        <is>
          <t>paper_call</t>
        </is>
      </c>
      <c r="AL331" s="26" t="n">
        <v>4</v>
      </c>
      <c r="AM331" s="24" t="inlineStr">
        <is>
          <t>RESEARCH_OBSERVATION</t>
        </is>
      </c>
      <c r="AN331" s="24" t="inlineStr">
        <is>
          <t>CALL</t>
        </is>
      </c>
      <c r="AO331" s="24" t="inlineStr">
        <is>
          <t>PAPER_CALL_LOW_EDGE</t>
        </is>
      </c>
      <c r="AP331" s="24" t="inlineStr">
        <is>
          <t>Stanford Cardinal</t>
        </is>
      </c>
      <c r="AQ331" s="24" t="inlineStr">
        <is>
          <t>Stanford Cardinal</t>
        </is>
      </c>
      <c r="AR331" s="24" t="inlineStr">
        <is>
          <t>Stanford Cardinal</t>
        </is>
      </c>
      <c r="AS331" s="24" t="inlineStr">
        <is>
          <t>Duke Blue Devils</t>
        </is>
      </c>
      <c r="AT331" s="24" t="inlineStr">
        <is>
          <t>Duke Blue Devils</t>
        </is>
      </c>
      <c r="AU331" s="24" t="inlineStr">
        <is>
          <t>Duke Blue Devils</t>
        </is>
      </c>
      <c r="AV331" s="24" t="n"/>
      <c r="AW331" s="24" t="n"/>
      <c r="AX331" s="24" t="inlineStr">
        <is>
          <t>statistical_model</t>
        </is>
      </c>
      <c r="AY331" s="24" t="n"/>
      <c r="AZ331" s="24" t="inlineStr">
        <is>
          <t>shadow_qualified</t>
        </is>
      </c>
      <c r="BA331" s="24" t="inlineStr">
        <is>
          <t>1d168f11d221cd3c</t>
        </is>
      </c>
      <c r="BB331" s="24" t="inlineStr">
        <is>
          <t>cfb_key_number_engine</t>
        </is>
      </c>
      <c r="BC331" s="24" t="inlineStr">
        <is>
          <t>college-football-v1</t>
        </is>
      </c>
      <c r="BD331" s="24" t="inlineStr">
        <is>
          <t>1d168f11d221cd3c</t>
        </is>
      </c>
      <c r="BE331" s="24" t="inlineStr">
        <is>
          <t>cfb-v1</t>
        </is>
      </c>
      <c r="BF331" s="24" t="inlineStr">
        <is>
          <t>1</t>
        </is>
      </c>
      <c r="BG331" s="24" t="inlineStr">
        <is>
          <t>1d168f11d221cd3c</t>
        </is>
      </c>
      <c r="BH331" s="24" t="inlineStr">
        <is>
          <t>2026-09-19T17:08:25.088129+00:00</t>
        </is>
      </c>
      <c r="BI331" s="24" t="inlineStr">
        <is>
          <t>["same_event","same_team_same_day","same_league_same_day"]</t>
        </is>
      </c>
      <c r="BJ331" s="25" t="n"/>
      <c r="BK331" s="26" t="n">
        <v>-395</v>
      </c>
      <c r="BL331" s="27" t="n">
        <v>1.253165</v>
      </c>
      <c r="BM331" s="28" t="n">
        <v>0.79798</v>
      </c>
      <c r="BN331" s="28" t="n"/>
      <c r="BO331" s="28" t="n"/>
      <c r="BP331" s="25" t="n"/>
      <c r="BQ331" s="27" t="n"/>
      <c r="BR331" s="28" t="n"/>
      <c r="BS331" s="28" t="n"/>
      <c r="BT331" s="28" t="n"/>
      <c r="BU331" s="25" t="n"/>
      <c r="BV331" s="29" t="n"/>
      <c r="BW331" s="24" t="n"/>
      <c r="BX331" s="30" t="n">
        <v>1</v>
      </c>
      <c r="BY331" s="27" t="n">
        <v>0.253165</v>
      </c>
      <c r="BZ331" s="24" t="inlineStr">
        <is>
          <t>2026-09-20T04:30:52.649729Z</t>
        </is>
      </c>
      <c r="CA331" s="31" t="inlineStr">
        <is>
          <t>fixed one-unit hypothetical scoring; no real exposure or execution</t>
        </is>
      </c>
      <c r="CB331" s="24" t="n"/>
      <c r="CC331" s="24" t="n"/>
      <c r="CD331" s="24" t="n"/>
      <c r="CE331" s="24" t="n"/>
      <c r="CF331" s="24" t="n"/>
      <c r="CG331" s="24" t="n"/>
      <c r="CH331" s="24" t="n"/>
      <c r="CI331" s="24" t="n"/>
      <c r="CJ331" s="24" t="n"/>
      <c r="CK331" s="24" t="n"/>
      <c r="CL331" s="24" t="n"/>
      <c r="CM331" s="24" t="n"/>
      <c r="CN331" s="24" t="n"/>
      <c r="CO331" s="24" t="n"/>
      <c r="CP331" s="24" t="n"/>
      <c r="CQ331" s="24" t="n"/>
      <c r="CR331" s="24" t="n"/>
      <c r="CS331" s="24" t="inlineStr">
        <is>
          <t>True</t>
        </is>
      </c>
      <c r="CT331" s="24" t="n"/>
      <c r="CU331" s="24" t="n"/>
      <c r="CV331" s="24" t="n"/>
      <c r="CW331" s="24" t="n"/>
      <c r="CX331" s="24" t="n"/>
      <c r="CY331" s="24" t="n"/>
      <c r="CZ331" s="24" t="n"/>
      <c r="DA331" s="24" t="n"/>
      <c r="DB331" s="24" t="n"/>
      <c r="DC331" s="24" t="n"/>
      <c r="DD331" s="24" t="n"/>
      <c r="DE331" s="24" t="n"/>
      <c r="DF331" s="24" t="n"/>
      <c r="DG331" s="24" t="n"/>
      <c r="DH331" s="24" t="n"/>
      <c r="DI331" s="24" t="n"/>
      <c r="DJ331" s="24" t="inlineStr">
        <is>
          <t>0.79798</t>
        </is>
      </c>
      <c r="DK331" s="24" t="n"/>
      <c r="DL331" s="24" t="n"/>
      <c r="DM331" s="24" t="n"/>
      <c r="DN331" s="24" t="n"/>
      <c r="DO331" s="24" t="n"/>
      <c r="DP331" s="24" t="n"/>
      <c r="DQ331" s="24" t="inlineStr">
        <is>
          <t>{"artifact_hash": "1d168f11d221cd3c", "event_id": "401858231", "event_start_utc": "2026-09-19T20:00Z", "features": {"altitude_fatigue_penalty": 0.0, "away_team": "Stanford Cardinal", "efficiency_gap": 0.804, "elo_away": 1335.9, "elo_home": 1684.9, "elo_home_win_prob": 0.9155, "event_id": "401858231", "game_start_utc": "2026-09-19T20:00Z", "home_field_advantage_points": 2.8, "home_team": "Duke Blue Devils", "is_dome": false, "is_fbs_vs_fcs": false, "is_neutral_site": false, "projected_away_points": 18.6, "projected_home_points": 35.2, "projected_margin_home": 16.6, "projected_possessions": 12.4, "projected_total": 53.7, "stadium_elevation_ft": 400, "travel_distance_miles": 2375.0, "uncertainty": 0.165, "weather_total_adjustment": 0.0}, "historical_source_observation_times_verified": false, "inference_inputs": {"engine_source_sha256": "449ba2f0e86fa9c445730076a0e0bf100fb4914620be53c75c6f3bfe24298f3f", "mu_away": 18.6, "mu_home": 35.2,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204550389153304093634765220453798487267}, "uinteger": 0}, "spread_home_line": -10.0, "total_line": 51.5}, "market_type": "moneyline", "model_version": "college-football-v1", "observed_at_utc": "2026-09-19T17:08:25.088129+00:00", "probabilities": {"away": 0.194008, "home": 0.805992}, "replay_scope": "Full precision score means, exact engine parameters and original RNG state; upstream feature construction not certified.", "schema": "cfb-joint-replay-v1", "snapshot_hash": "4c9bcc7d7428fea88ef7691d7c4aa50af32bd2f58d61e0cb9567e80bc54e5d88", "sport": "NCAAF"}</t>
        </is>
      </c>
    </row>
    <row r="332" ht="36" customHeight="1">
      <c r="A332" s="24" t="inlineStr">
        <is>
          <t>1a41eb4dc5494714</t>
        </is>
      </c>
      <c r="B332" s="24" t="inlineStr">
        <is>
          <t>2026-09-19T17:08:25.088129Z</t>
        </is>
      </c>
      <c r="C332" s="24" t="inlineStr">
        <is>
          <t>2026-09-19T20:00Z</t>
        </is>
      </c>
      <c r="D332" s="24" t="inlineStr">
        <is>
          <t>401858231</t>
        </is>
      </c>
      <c r="E332" s="24" t="inlineStr">
        <is>
          <t>NCAAF</t>
        </is>
      </c>
      <c r="F332" s="24" t="inlineStr">
        <is>
          <t>Stanford Cardinal</t>
        </is>
      </c>
      <c r="G332" s="24" t="inlineStr">
        <is>
          <t>Duke Blue Devils</t>
        </is>
      </c>
      <c r="H332" s="24" t="inlineStr">
        <is>
          <t>spread</t>
        </is>
      </c>
      <c r="I332" s="24" t="inlineStr">
        <is>
          <t>home</t>
        </is>
      </c>
      <c r="J332" s="25" t="n">
        <v>-10</v>
      </c>
      <c r="K332" s="24" t="inlineStr">
        <is>
          <t>espn_consensus</t>
        </is>
      </c>
      <c r="L332" s="26" t="n">
        <v>-105</v>
      </c>
      <c r="M332" s="27" t="n">
        <v>1.952381</v>
      </c>
      <c r="N332" s="28" t="n">
        <v>0.512195</v>
      </c>
      <c r="O332" s="28" t="n">
        <v>0.622933</v>
      </c>
      <c r="P332" s="28" t="n">
        <v>0.165</v>
      </c>
      <c r="Q332" s="28" t="n">
        <v>0.110738</v>
      </c>
      <c r="R332" s="26" t="n">
        <v>6</v>
      </c>
      <c r="S332" s="29" t="n">
        <v>1</v>
      </c>
      <c r="T332" s="24" t="inlineStr">
        <is>
          <t>cfb-spread-v1</t>
        </is>
      </c>
      <c r="U332" s="24" t="inlineStr">
        <is>
          <t>settled</t>
        </is>
      </c>
      <c r="V332" s="24" t="inlineStr">
        <is>
          <t>win</t>
        </is>
      </c>
      <c r="W332" s="26" t="n">
        <v>7</v>
      </c>
      <c r="X332" s="26" t="n">
        <v>35</v>
      </c>
      <c r="Y332" s="25" t="n"/>
      <c r="Z332" s="26" t="n"/>
      <c r="AA332" s="28" t="n"/>
      <c r="AB332" s="28" t="n"/>
      <c r="AC332" s="30" t="n">
        <v>0.9524</v>
      </c>
      <c r="AD332" s="24" t="inlineStr">
        <is>
          <t>2026-09-20T04:30:53.076055Z</t>
        </is>
      </c>
      <c r="AE332" s="31" t="inlineStr">
        <is>
          <t>Projected home margin +16.6 pts. Spread: Home -10.0 / Away +10.0 -&gt; P(Away cover)=0.356, P(Home cover)=0.623, P(Push)=0.021.</t>
        </is>
      </c>
      <c r="AF332" s="31" t="inlineStr">
        <is>
          <t>College football model; multi-market (moneyline, spread, total).</t>
        </is>
      </c>
      <c r="AG332" s="24" t="inlineStr">
        <is>
          <t>not_applicable</t>
        </is>
      </c>
      <c r="AH332" s="24" t="n"/>
      <c r="AI332" s="31" t="n"/>
      <c r="AJ332" s="31" t="n"/>
      <c r="AK332" s="24" t="inlineStr">
        <is>
          <t>model_qualified</t>
        </is>
      </c>
      <c r="AL332" s="26" t="n">
        <v>4</v>
      </c>
      <c r="AM332" s="24" t="inlineStr">
        <is>
          <t>QUALIFIED_SHADOW_CALL</t>
        </is>
      </c>
      <c r="AN332" s="24" t="inlineStr">
        <is>
          <t>CALL</t>
        </is>
      </c>
      <c r="AO332" s="24" t="inlineStr">
        <is>
          <t>QUALIFIED</t>
        </is>
      </c>
      <c r="AP332" s="24" t="inlineStr">
        <is>
          <t>Stanford Cardinal</t>
        </is>
      </c>
      <c r="AQ332" s="24" t="inlineStr">
        <is>
          <t>Stanford Cardinal</t>
        </is>
      </c>
      <c r="AR332" s="24" t="inlineStr">
        <is>
          <t>Stanford Cardinal</t>
        </is>
      </c>
      <c r="AS332" s="24" t="inlineStr">
        <is>
          <t>Duke Blue Devils</t>
        </is>
      </c>
      <c r="AT332" s="24" t="inlineStr">
        <is>
          <t>Duke Blue Devils</t>
        </is>
      </c>
      <c r="AU332" s="24" t="inlineStr">
        <is>
          <t>Duke Blue Devils</t>
        </is>
      </c>
      <c r="AV332" s="24" t="n"/>
      <c r="AW332" s="24" t="n"/>
      <c r="AX332" s="24" t="inlineStr">
        <is>
          <t>statistical_model</t>
        </is>
      </c>
      <c r="AY332" s="24" t="n"/>
      <c r="AZ332" s="24" t="inlineStr">
        <is>
          <t>shadow_qualified</t>
        </is>
      </c>
      <c r="BA332" s="24" t="inlineStr">
        <is>
          <t>1d168f11d221cd3c</t>
        </is>
      </c>
      <c r="BB332" s="24" t="inlineStr">
        <is>
          <t>cfb_key_number_engine</t>
        </is>
      </c>
      <c r="BC332" s="24" t="inlineStr">
        <is>
          <t>cfb-spread-v1</t>
        </is>
      </c>
      <c r="BD332" s="24" t="inlineStr">
        <is>
          <t>1d168f11d221cd3c</t>
        </is>
      </c>
      <c r="BE332" s="24" t="inlineStr">
        <is>
          <t>cfb-v1</t>
        </is>
      </c>
      <c r="BF332" s="24" t="inlineStr">
        <is>
          <t>1</t>
        </is>
      </c>
      <c r="BG332" s="24" t="inlineStr">
        <is>
          <t>1d168f11d221cd3c</t>
        </is>
      </c>
      <c r="BH332" s="24" t="inlineStr">
        <is>
          <t>2026-09-19T17:08:25.088129+00:00</t>
        </is>
      </c>
      <c r="BI332" s="24" t="inlineStr">
        <is>
          <t>["same_event","same_team_same_day","same_league_same_day"]</t>
        </is>
      </c>
      <c r="BJ332" s="25" t="n">
        <v>-10</v>
      </c>
      <c r="BK332" s="26" t="n">
        <v>-105</v>
      </c>
      <c r="BL332" s="27" t="n">
        <v>1.952381</v>
      </c>
      <c r="BM332" s="28" t="n">
        <v>0.512195</v>
      </c>
      <c r="BN332" s="28" t="n"/>
      <c r="BO332" s="28" t="n"/>
      <c r="BP332" s="25" t="n"/>
      <c r="BQ332" s="27" t="n"/>
      <c r="BR332" s="28" t="n"/>
      <c r="BS332" s="28" t="n"/>
      <c r="BT332" s="28" t="n"/>
      <c r="BU332" s="25" t="n"/>
      <c r="BV332" s="29" t="n"/>
      <c r="BW332" s="24" t="n"/>
      <c r="BX332" s="30" t="n"/>
      <c r="BY332" s="27" t="n"/>
      <c r="BZ332" s="24" t="n"/>
      <c r="CA332" s="31" t="n"/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  <c r="CL332" s="24" t="n"/>
      <c r="CM332" s="24" t="n"/>
      <c r="CN332" s="24" t="n"/>
      <c r="CO332" s="24" t="n"/>
      <c r="CP332" s="24" t="n"/>
      <c r="CQ332" s="24" t="n"/>
      <c r="CR332" s="24" t="n"/>
      <c r="CS332" s="24" t="inlineStr">
        <is>
          <t>True</t>
        </is>
      </c>
      <c r="CT332" s="24" t="n"/>
      <c r="CU332" s="24" t="n"/>
      <c r="CV332" s="24" t="n"/>
      <c r="CW332" s="24" t="n"/>
      <c r="CX332" s="24" t="n"/>
      <c r="CY332" s="24" t="n"/>
      <c r="CZ332" s="24" t="n"/>
      <c r="DA332" s="24" t="n"/>
      <c r="DB332" s="24" t="n"/>
      <c r="DC332" s="24" t="n"/>
      <c r="DD332" s="24" t="n"/>
      <c r="DE332" s="24" t="n"/>
      <c r="DF332" s="24" t="n"/>
      <c r="DG332" s="24" t="n"/>
      <c r="DH332" s="24" t="n"/>
      <c r="DI332" s="24" t="n"/>
      <c r="DJ332" s="24" t="inlineStr">
        <is>
          <t>0.512195</t>
        </is>
      </c>
      <c r="DK332" s="24" t="n"/>
      <c r="DL332" s="24" t="n"/>
      <c r="DM332" s="24" t="n"/>
      <c r="DN332" s="24" t="n"/>
      <c r="DO332" s="24" t="n"/>
      <c r="DP332" s="24" t="n"/>
      <c r="DQ332" s="24" t="inlineStr">
        <is>
          <t>{"artifact_hash": "1d168f11d221cd3c", "event_id": "401858231", "event_start_utc": "2026-09-19T20:00Z", "features": {"altitude_fatigue_penalty": 0.0, "away_team": "Stanford Cardinal", "efficiency_gap": 0.804, "elo_away": 1335.9, "elo_home": 1684.9, "elo_home_win_prob": 0.9155, "event_id": "401858231", "game_start_utc": "2026-09-19T20:00Z", "home_field_advantage_points": 2.8, "home_team": "Duke Blue Devils", "is_dome": false, "is_fbs_vs_fcs": false, "is_neutral_site": false, "projected_away_points": 18.6, "projected_home_points": 35.2, "projected_margin_home": 16.6, "projected_possessions": 12.4, "projected_total": 53.7, "stadium_elevation_ft": 400, "travel_distance_miles": 2375.0, "uncertainty": 0.165, "weather_total_adjustment": 0.0}, "historical_source_observation_times_verified": false, "inference_inputs": {"engine_source_sha256": "449ba2f0e86fa9c445730076a0e0bf100fb4914620be53c75c6f3bfe24298f3f", "mu_away": 18.6, "mu_home": 35.2,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204550389153304093634765220453798487267}, "uinteger": 0}, "spread_home_line": -10.0, "total_line": 51.5}, "market_type": "spread", "model_version": "cfb-spread-v1", "observed_at_utc": "2026-09-19T17:08:25.088129+00:00", "probabilities": {"away": 0.3556, "home": 0.622933, "push": 0.021467}, "replay_scope": "Full precision score means, exact engine parameters and original RNG state; upstream feature construction not certified.", "schema": "cfb-joint-replay-v1", "snapshot_hash": "f0447ba4a6a75476897b3321a8844953c08f6dd17bc47fb002c06552c57a92ae", "sport": "NCAAF"}</t>
        </is>
      </c>
    </row>
    <row r="333" ht="36" customHeight="1">
      <c r="A333" s="24" t="inlineStr">
        <is>
          <t>64788f112bb64276</t>
        </is>
      </c>
      <c r="B333" s="24" t="inlineStr">
        <is>
          <t>2026-09-19T17:08:25.088129Z</t>
        </is>
      </c>
      <c r="C333" s="24" t="inlineStr">
        <is>
          <t>2026-09-19T20:00Z</t>
        </is>
      </c>
      <c r="D333" s="24" t="inlineStr">
        <is>
          <t>401858231</t>
        </is>
      </c>
      <c r="E333" s="24" t="inlineStr">
        <is>
          <t>NCAAF</t>
        </is>
      </c>
      <c r="F333" s="24" t="inlineStr">
        <is>
          <t>Stanford Cardinal</t>
        </is>
      </c>
      <c r="G333" s="24" t="inlineStr">
        <is>
          <t>Duke Blue Devils</t>
        </is>
      </c>
      <c r="H333" s="24" t="inlineStr">
        <is>
          <t>total</t>
        </is>
      </c>
      <c r="I333" s="24" t="inlineStr">
        <is>
          <t>over</t>
        </is>
      </c>
      <c r="J333" s="25" t="n">
        <v>51.5</v>
      </c>
      <c r="K333" s="24" t="inlineStr">
        <is>
          <t>espn_consensus</t>
        </is>
      </c>
      <c r="L333" s="26" t="n">
        <v>-102</v>
      </c>
      <c r="M333" s="27" t="n">
        <v>1.980392</v>
      </c>
      <c r="N333" s="28" t="n">
        <v>0.50495</v>
      </c>
      <c r="O333" s="28" t="n">
        <v>0.516667</v>
      </c>
      <c r="P333" s="28" t="n">
        <v>0.165</v>
      </c>
      <c r="Q333" s="28" t="n">
        <v>0.011717</v>
      </c>
      <c r="R333" s="26" t="n">
        <v>0</v>
      </c>
      <c r="S333" s="29" t="n">
        <v>1</v>
      </c>
      <c r="T333" s="24" t="inlineStr">
        <is>
          <t>cfb-total-v1</t>
        </is>
      </c>
      <c r="U333" s="24" t="inlineStr">
        <is>
          <t>settled</t>
        </is>
      </c>
      <c r="V333" s="24" t="inlineStr">
        <is>
          <t>loss</t>
        </is>
      </c>
      <c r="W333" s="26" t="n">
        <v>7</v>
      </c>
      <c r="X333" s="26" t="n">
        <v>35</v>
      </c>
      <c r="Y333" s="25" t="n"/>
      <c r="Z333" s="26" t="n"/>
      <c r="AA333" s="28" t="n"/>
      <c r="AB333" s="28" t="n"/>
      <c r="AC333" s="30" t="n">
        <v>-1</v>
      </c>
      <c r="AD333" s="24" t="inlineStr">
        <is>
          <t>2026-09-20T04:30:53.610088Z</t>
        </is>
      </c>
      <c r="AE333" s="31" t="inlineStr">
        <is>
          <t>Projected total 53.7 pts (Weather adj: +0.0 pts). Total line 51.5 -&gt; P(Over)=0.517, P(Under)=0.483, P(Push)=0.000.</t>
        </is>
      </c>
      <c r="AF333" s="31" t="inlineStr">
        <is>
          <t>College football model; multi-market (moneyline, spread, total).</t>
        </is>
      </c>
      <c r="AG333" s="24" t="inlineStr">
        <is>
          <t>review_required</t>
        </is>
      </c>
      <c r="AH333" s="24" t="n"/>
      <c r="AI333" s="31" t="n"/>
      <c r="AJ333" s="31" t="n"/>
      <c r="AK333" s="24" t="inlineStr">
        <is>
          <t>paper_call</t>
        </is>
      </c>
      <c r="AL333" s="26" t="n">
        <v>4</v>
      </c>
      <c r="AM333" s="24" t="inlineStr">
        <is>
          <t>RESEARCH_OBSERVATION</t>
        </is>
      </c>
      <c r="AN333" s="24" t="inlineStr">
        <is>
          <t>CALL</t>
        </is>
      </c>
      <c r="AO333" s="24" t="inlineStr">
        <is>
          <t>PAPER_CALL_LOW_EDGE</t>
        </is>
      </c>
      <c r="AP333" s="24" t="inlineStr">
        <is>
          <t>Stanford Cardinal</t>
        </is>
      </c>
      <c r="AQ333" s="24" t="inlineStr">
        <is>
          <t>Stanford Cardinal</t>
        </is>
      </c>
      <c r="AR333" s="24" t="inlineStr">
        <is>
          <t>Stanford Cardinal</t>
        </is>
      </c>
      <c r="AS333" s="24" t="inlineStr">
        <is>
          <t>Duke Blue Devils</t>
        </is>
      </c>
      <c r="AT333" s="24" t="inlineStr">
        <is>
          <t>Duke Blue Devils</t>
        </is>
      </c>
      <c r="AU333" s="24" t="inlineStr">
        <is>
          <t>Duke Blue Devils</t>
        </is>
      </c>
      <c r="AV333" s="24" t="n"/>
      <c r="AW333" s="24" t="n"/>
      <c r="AX333" s="24" t="inlineStr">
        <is>
          <t>statistical_model</t>
        </is>
      </c>
      <c r="AY333" s="24" t="n"/>
      <c r="AZ333" s="24" t="inlineStr">
        <is>
          <t>shadow_qualified</t>
        </is>
      </c>
      <c r="BA333" s="24" t="inlineStr">
        <is>
          <t>1d168f11d221cd3c</t>
        </is>
      </c>
      <c r="BB333" s="24" t="inlineStr">
        <is>
          <t>cfb_key_number_engine</t>
        </is>
      </c>
      <c r="BC333" s="24" t="inlineStr">
        <is>
          <t>cfb-total-v1</t>
        </is>
      </c>
      <c r="BD333" s="24" t="inlineStr">
        <is>
          <t>1d168f11d221cd3c</t>
        </is>
      </c>
      <c r="BE333" s="24" t="inlineStr">
        <is>
          <t>cfb-v1</t>
        </is>
      </c>
      <c r="BF333" s="24" t="inlineStr">
        <is>
          <t>1</t>
        </is>
      </c>
      <c r="BG333" s="24" t="inlineStr">
        <is>
          <t>1d168f11d221cd3c</t>
        </is>
      </c>
      <c r="BH333" s="24" t="inlineStr">
        <is>
          <t>2026-09-19T17:08:25.088129+00:00</t>
        </is>
      </c>
      <c r="BI333" s="24" t="inlineStr">
        <is>
          <t>["same_event","same_team_same_day","same_league_same_day"]</t>
        </is>
      </c>
      <c r="BJ333" s="25" t="n">
        <v>51.5</v>
      </c>
      <c r="BK333" s="26" t="n">
        <v>-102</v>
      </c>
      <c r="BL333" s="27" t="n">
        <v>1.980392</v>
      </c>
      <c r="BM333" s="28" t="n">
        <v>0.50495</v>
      </c>
      <c r="BN333" s="28" t="n"/>
      <c r="BO333" s="28" t="n"/>
      <c r="BP333" s="25" t="n"/>
      <c r="BQ333" s="27" t="n"/>
      <c r="BR333" s="28" t="n"/>
      <c r="BS333" s="28" t="n"/>
      <c r="BT333" s="28" t="n"/>
      <c r="BU333" s="25" t="n"/>
      <c r="BV333" s="29" t="n"/>
      <c r="BW333" s="24" t="n"/>
      <c r="BX333" s="30" t="n">
        <v>1</v>
      </c>
      <c r="BY333" s="27" t="n">
        <v>-1</v>
      </c>
      <c r="BZ333" s="24" t="inlineStr">
        <is>
          <t>2026-09-20T04:30:53.610088Z</t>
        </is>
      </c>
      <c r="CA333" s="31" t="inlineStr">
        <is>
          <t>fixed one-unit hypothetical scoring; no real exposure or execution</t>
        </is>
      </c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  <c r="CL333" s="24" t="n"/>
      <c r="CM333" s="24" t="n"/>
      <c r="CN333" s="24" t="n"/>
      <c r="CO333" s="24" t="n"/>
      <c r="CP333" s="24" t="n"/>
      <c r="CQ333" s="24" t="n"/>
      <c r="CR333" s="24" t="n"/>
      <c r="CS333" s="24" t="inlineStr">
        <is>
          <t>True</t>
        </is>
      </c>
      <c r="CT333" s="24" t="n"/>
      <c r="CU333" s="24" t="n"/>
      <c r="CV333" s="24" t="n"/>
      <c r="CW333" s="24" t="n"/>
      <c r="CX333" s="24" t="n"/>
      <c r="CY333" s="24" t="n"/>
      <c r="CZ333" s="24" t="n"/>
      <c r="DA333" s="24" t="n"/>
      <c r="DB333" s="24" t="n"/>
      <c r="DC333" s="24" t="n"/>
      <c r="DD333" s="24" t="n"/>
      <c r="DE333" s="24" t="n"/>
      <c r="DF333" s="24" t="n"/>
      <c r="DG333" s="24" t="n"/>
      <c r="DH333" s="24" t="n"/>
      <c r="DI333" s="24" t="n"/>
      <c r="DJ333" s="24" t="inlineStr">
        <is>
          <t>0.50495</t>
        </is>
      </c>
      <c r="DK333" s="24" t="n"/>
      <c r="DL333" s="24" t="n"/>
      <c r="DM333" s="24" t="n"/>
      <c r="DN333" s="24" t="n"/>
      <c r="DO333" s="24" t="n"/>
      <c r="DP333" s="24" t="n"/>
      <c r="DQ333" s="24" t="inlineStr">
        <is>
          <t>{"artifact_hash": "1d168f11d221cd3c", "event_id": "401858231", "event_start_utc": "2026-09-19T20:00Z", "features": {"altitude_fatigue_penalty": 0.0, "away_team": "Stanford Cardinal", "efficiency_gap": 0.804, "elo_away": 1335.9, "elo_home": 1684.9, "elo_home_win_prob": 0.9155, "event_id": "401858231", "game_start_utc": "2026-09-19T20:00Z", "home_field_advantage_points": 2.8, "home_team": "Duke Blue Devils", "is_dome": false, "is_fbs_vs_fcs": false, "is_neutral_site": false, "projected_away_points": 18.6, "projected_home_points": 35.2, "projected_margin_home": 16.6, "projected_possessions": 12.4, "projected_total": 53.7, "stadium_elevation_ft": 400, "travel_distance_miles": 2375.0, "uncertainty": 0.165, "weather_total_adjustment": 0.0}, "historical_source_observation_times_verified": false, "inference_inputs": {"engine_source_sha256": "449ba2f0e86fa9c445730076a0e0bf100fb4914620be53c75c6f3bfe24298f3f", "mu_away": 18.6, "mu_home": 35.2,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204550389153304093634765220453798487267}, "uinteger": 0}, "spread_home_line": -10.0, "total_line": 51.5}, "market_type": "total", "model_version": "cfb-total-v1", "observed_at_utc": "2026-09-19T17:08:25.088129+00:00", "probabilities": {"over": 0.516667, "push": 0.0, "under": 0.483333}, "replay_scope": "Full precision score means, exact engine parameters and original RNG state; upstream feature construction not certified.", "schema": "cfb-joint-replay-v1", "snapshot_hash": "e84690940884e7192cf39a715f9933c684d75a4be859079b1be96ea2acfeb624", "sport": "NCAAF"}</t>
        </is>
      </c>
    </row>
    <row r="334" ht="36" customHeight="1">
      <c r="A334" s="24" t="inlineStr">
        <is>
          <t>101aa0d4e6634550</t>
        </is>
      </c>
      <c r="B334" s="24" t="inlineStr">
        <is>
          <t>2026-09-19T17:08:25.088129Z</t>
        </is>
      </c>
      <c r="C334" s="24" t="inlineStr">
        <is>
          <t>2026-09-19T20:00Z</t>
        </is>
      </c>
      <c r="D334" s="24" t="inlineStr">
        <is>
          <t>401866422</t>
        </is>
      </c>
      <c r="E334" s="24" t="inlineStr">
        <is>
          <t>NCAAF</t>
        </is>
      </c>
      <c r="F334" s="24" t="inlineStr">
        <is>
          <t>Ball State Cardinals</t>
        </is>
      </c>
      <c r="G334" s="24" t="inlineStr">
        <is>
          <t>Liberty Flames</t>
        </is>
      </c>
      <c r="H334" s="24" t="inlineStr">
        <is>
          <t>moneyline</t>
        </is>
      </c>
      <c r="I334" s="24" t="inlineStr">
        <is>
          <t>home</t>
        </is>
      </c>
      <c r="J334" s="25" t="n"/>
      <c r="K334" s="24" t="inlineStr">
        <is>
          <t>espn_consensus</t>
        </is>
      </c>
      <c r="L334" s="26" t="n">
        <v>-650</v>
      </c>
      <c r="M334" s="27" t="n">
        <v>1.153846</v>
      </c>
      <c r="N334" s="28" t="n">
        <v>0.866667</v>
      </c>
      <c r="O334" s="28" t="n">
        <v>0.711203</v>
      </c>
      <c r="P334" s="28" t="n">
        <v>0.165</v>
      </c>
      <c r="Q334" s="28" t="n">
        <v>-0.155464</v>
      </c>
      <c r="R334" s="26" t="n">
        <v>0</v>
      </c>
      <c r="S334" s="29" t="n">
        <v>1</v>
      </c>
      <c r="T334" s="24" t="inlineStr">
        <is>
          <t>college-football-v1</t>
        </is>
      </c>
      <c r="U334" s="24" t="inlineStr">
        <is>
          <t>settled</t>
        </is>
      </c>
      <c r="V334" s="24" t="inlineStr">
        <is>
          <t>win</t>
        </is>
      </c>
      <c r="W334" s="26" t="n">
        <v>15</v>
      </c>
      <c r="X334" s="26" t="n">
        <v>51</v>
      </c>
      <c r="Y334" s="25" t="n"/>
      <c r="Z334" s="26" t="n"/>
      <c r="AA334" s="28" t="n"/>
      <c r="AB334" s="28" t="n"/>
      <c r="AC334" s="30" t="n">
        <v>0.1538</v>
      </c>
      <c r="AD334" s="24" t="inlineStr">
        <is>
          <t>2026-09-20T04:30:54.100640Z</t>
        </is>
      </c>
      <c r="AE334" s="31" t="inlineStr">
        <is>
          <t>CFB Joint Model (negative_binomial): proj score Ball State Cardinals 20.7 @ Liberty Flames 30.7 (Margin +10.0). Possessions: 12.4, HFA: +2.8 pts.</t>
        </is>
      </c>
      <c r="AF334" s="31" t="inlineStr">
        <is>
          <t>College football model; multi-market (moneyline, spread, total).</t>
        </is>
      </c>
      <c r="AG334" s="24" t="inlineStr">
        <is>
          <t>not_applicable</t>
        </is>
      </c>
      <c r="AH334" s="24" t="n"/>
      <c r="AI334" s="31" t="n"/>
      <c r="AJ334" s="31" t="n"/>
      <c r="AK334" s="24" t="inlineStr">
        <is>
          <t>paper_call</t>
        </is>
      </c>
      <c r="AL334" s="26" t="n">
        <v>4</v>
      </c>
      <c r="AM334" s="24" t="inlineStr">
        <is>
          <t>RESEARCH_OBSERVATION</t>
        </is>
      </c>
      <c r="AN334" s="24" t="inlineStr">
        <is>
          <t>CALL</t>
        </is>
      </c>
      <c r="AO334" s="24" t="inlineStr">
        <is>
          <t>PAPER_CALL_LOW_EDGE</t>
        </is>
      </c>
      <c r="AP334" s="24" t="inlineStr">
        <is>
          <t>Ball State Cardinals</t>
        </is>
      </c>
      <c r="AQ334" s="24" t="inlineStr">
        <is>
          <t>Ball State Cardinals</t>
        </is>
      </c>
      <c r="AR334" s="24" t="inlineStr">
        <is>
          <t>Ball State Cardinals</t>
        </is>
      </c>
      <c r="AS334" s="24" t="inlineStr">
        <is>
          <t>Liberty Flames</t>
        </is>
      </c>
      <c r="AT334" s="24" t="inlineStr">
        <is>
          <t>Liberty Flames</t>
        </is>
      </c>
      <c r="AU334" s="24" t="inlineStr">
        <is>
          <t>Liberty Flames</t>
        </is>
      </c>
      <c r="AV334" s="24" t="n"/>
      <c r="AW334" s="24" t="n"/>
      <c r="AX334" s="24" t="inlineStr">
        <is>
          <t>statistical_model</t>
        </is>
      </c>
      <c r="AY334" s="24" t="n"/>
      <c r="AZ334" s="24" t="inlineStr">
        <is>
          <t>shadow_qualified</t>
        </is>
      </c>
      <c r="BA334" s="24" t="inlineStr">
        <is>
          <t>1d168f11d221cd3c</t>
        </is>
      </c>
      <c r="BB334" s="24" t="inlineStr">
        <is>
          <t>cfb_key_number_engine</t>
        </is>
      </c>
      <c r="BC334" s="24" t="inlineStr">
        <is>
          <t>college-football-v1</t>
        </is>
      </c>
      <c r="BD334" s="24" t="inlineStr">
        <is>
          <t>1d168f11d221cd3c</t>
        </is>
      </c>
      <c r="BE334" s="24" t="inlineStr">
        <is>
          <t>cfb-v1</t>
        </is>
      </c>
      <c r="BF334" s="24" t="inlineStr">
        <is>
          <t>1</t>
        </is>
      </c>
      <c r="BG334" s="24" t="inlineStr">
        <is>
          <t>1d168f11d221cd3c</t>
        </is>
      </c>
      <c r="BH334" s="24" t="inlineStr">
        <is>
          <t>2026-09-19T17:08:25.088129+00:00</t>
        </is>
      </c>
      <c r="BI334" s="24" t="inlineStr">
        <is>
          <t>["same_event","same_team_same_day","same_league_same_day"]</t>
        </is>
      </c>
      <c r="BJ334" s="25" t="n"/>
      <c r="BK334" s="26" t="n">
        <v>-650</v>
      </c>
      <c r="BL334" s="27" t="n">
        <v>1.153846</v>
      </c>
      <c r="BM334" s="28" t="n">
        <v>0.866667</v>
      </c>
      <c r="BN334" s="28" t="n"/>
      <c r="BO334" s="28" t="n"/>
      <c r="BP334" s="25" t="n"/>
      <c r="BQ334" s="27" t="n"/>
      <c r="BR334" s="28" t="n"/>
      <c r="BS334" s="28" t="n"/>
      <c r="BT334" s="28" t="n"/>
      <c r="BU334" s="25" t="n"/>
      <c r="BV334" s="29" t="n"/>
      <c r="BW334" s="24" t="n"/>
      <c r="BX334" s="30" t="n">
        <v>1</v>
      </c>
      <c r="BY334" s="27" t="n">
        <v>0.153846</v>
      </c>
      <c r="BZ334" s="24" t="inlineStr">
        <is>
          <t>2026-09-20T04:30:54.100640Z</t>
        </is>
      </c>
      <c r="CA334" s="31" t="inlineStr">
        <is>
          <t>fixed one-unit hypothetical scoring; no real exposure or execution</t>
        </is>
      </c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inlineStr">
        <is>
          <t>False</t>
        </is>
      </c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n"/>
      <c r="DE334" s="24" t="n"/>
      <c r="DF334" s="24" t="n"/>
      <c r="DG334" s="24" t="n"/>
      <c r="DH334" s="24" t="n"/>
      <c r="DI334" s="24" t="n"/>
      <c r="DJ334" s="24" t="inlineStr">
        <is>
          <t>0.866667</t>
        </is>
      </c>
      <c r="DK334" s="24" t="n"/>
      <c r="DL334" s="24" t="n"/>
      <c r="DM334" s="24" t="n"/>
      <c r="DN334" s="24" t="n"/>
      <c r="DO334" s="24" t="n"/>
      <c r="DP334" s="24" t="n"/>
      <c r="DQ334" s="24" t="inlineStr">
        <is>
          <t>{"artifact_hash": "1d168f11d221cd3c", "event_id": "401866422", "event_start_utc": "2026-09-19T20:00Z", "features": {"altitude_fatigue_penalty": 0.0, "away_team": "Ball State Cardinals", "efficiency_gap": 1.246, "elo_away": 1204.6, "elo_home": 1384.7, "elo_home_win_prob": 0.804, "event_id": "401866422", "game_start_utc": "2026-09-19T20:00Z", "home_field_advantage_points": 2.8, "home_team": "Liberty Flames", "is_dome": false, "is_fbs_vs_fcs": false, "is_neutral_site": false, "projected_away_points": 20.7, "projected_home_points": 30.7, "projected_margin_home": 10.0, "projected_possessions": 12.4, "projected_total": 51.4, "stadium_elevation_ft": 890, "travel_distance_miles": 390.0, "uncertainty": 0.165, "weather_total_adjustment": 0.0}, "historical_source_observation_times_verified": false, "inference_inputs": {"engine_source_sha256": "449ba2f0e86fa9c445730076a0e0bf100fb4914620be53c75c6f3bfe24298f3f", "mu_away": 20.7, "mu_home": 30.7,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266284437478962364329910122714055720650}, "uinteger": 0}, "spread_home_line": -14.0, "total_line": 48.5}, "market_type": "moneyline", "model_version": "college-football-v1", "observed_at_utc": "2026-09-19T17:08:25.088129+00:00", "probabilities": {"away": 0.288797, "home": 0.711203}, "replay_scope": "Full precision score means, exact engine parameters and original RNG state; upstream feature construction not certified.", "schema": "cfb-joint-replay-v1", "snapshot_hash": "ec1bb15885eab7b7f08a92baae26567fe920891a3d44f5486f1e9ee63cfad4f4", "sport": "NCAAF"}</t>
        </is>
      </c>
    </row>
    <row r="335" ht="36" customHeight="1">
      <c r="A335" s="24" t="inlineStr">
        <is>
          <t>34ca03f7707548d2</t>
        </is>
      </c>
      <c r="B335" s="24" t="inlineStr">
        <is>
          <t>2026-09-19T17:08:25.088129Z</t>
        </is>
      </c>
      <c r="C335" s="24" t="inlineStr">
        <is>
          <t>2026-09-19T20:00Z</t>
        </is>
      </c>
      <c r="D335" s="24" t="inlineStr">
        <is>
          <t>401866422</t>
        </is>
      </c>
      <c r="E335" s="24" t="inlineStr">
        <is>
          <t>NCAAF</t>
        </is>
      </c>
      <c r="F335" s="24" t="inlineStr">
        <is>
          <t>Ball State Cardinals</t>
        </is>
      </c>
      <c r="G335" s="24" t="inlineStr">
        <is>
          <t>Liberty Flames</t>
        </is>
      </c>
      <c r="H335" s="24" t="inlineStr">
        <is>
          <t>spread</t>
        </is>
      </c>
      <c r="I335" s="24" t="inlineStr">
        <is>
          <t>away</t>
        </is>
      </c>
      <c r="J335" s="25" t="n">
        <v>14</v>
      </c>
      <c r="K335" s="24" t="inlineStr">
        <is>
          <t>espn_consensus</t>
        </is>
      </c>
      <c r="L335" s="26" t="n">
        <v>-105</v>
      </c>
      <c r="M335" s="27" t="n">
        <v>1.952381</v>
      </c>
      <c r="N335" s="28" t="n">
        <v>0.512195</v>
      </c>
      <c r="O335" s="28" t="n">
        <v>0.568667</v>
      </c>
      <c r="P335" s="28" t="n">
        <v>0.165</v>
      </c>
      <c r="Q335" s="28" t="n">
        <v>0.056472</v>
      </c>
      <c r="R335" s="26" t="n">
        <v>0</v>
      </c>
      <c r="S335" s="29" t="n">
        <v>1</v>
      </c>
      <c r="T335" s="24" t="inlineStr">
        <is>
          <t>cfb-spread-v1</t>
        </is>
      </c>
      <c r="U335" s="24" t="inlineStr">
        <is>
          <t>settled</t>
        </is>
      </c>
      <c r="V335" s="24" t="inlineStr">
        <is>
          <t>loss</t>
        </is>
      </c>
      <c r="W335" s="26" t="n">
        <v>15</v>
      </c>
      <c r="X335" s="26" t="n">
        <v>51</v>
      </c>
      <c r="Y335" s="25" t="n"/>
      <c r="Z335" s="26" t="n"/>
      <c r="AA335" s="28" t="n"/>
      <c r="AB335" s="28" t="n"/>
      <c r="AC335" s="30" t="n">
        <v>-1</v>
      </c>
      <c r="AD335" s="24" t="inlineStr">
        <is>
          <t>2026-09-20T04:30:54.530874Z</t>
        </is>
      </c>
      <c r="AE335" s="31" t="inlineStr">
        <is>
          <t>Projected home margin +10.0 pts. Spread: Home -14.0 / Away +14.0 -&gt; P(Away cover)=0.569, P(Home cover)=0.412, P(Push)=0.019.</t>
        </is>
      </c>
      <c r="AF335" s="31" t="inlineStr">
        <is>
          <t>College football model; multi-market (moneyline, spread, total).</t>
        </is>
      </c>
      <c r="AG335" s="24" t="inlineStr">
        <is>
          <t>review_required</t>
        </is>
      </c>
      <c r="AH335" s="24" t="n"/>
      <c r="AI335" s="31" t="n"/>
      <c r="AJ335" s="31" t="n"/>
      <c r="AK335" s="24" t="inlineStr">
        <is>
          <t>model_qualified</t>
        </is>
      </c>
      <c r="AL335" s="26" t="n">
        <v>4</v>
      </c>
      <c r="AM335" s="24" t="inlineStr">
        <is>
          <t>QUALIFIED_SHADOW_CALL</t>
        </is>
      </c>
      <c r="AN335" s="24" t="inlineStr">
        <is>
          <t>CALL</t>
        </is>
      </c>
      <c r="AO335" s="24" t="inlineStr">
        <is>
          <t>QUALIFIED</t>
        </is>
      </c>
      <c r="AP335" s="24" t="inlineStr">
        <is>
          <t>Ball State Cardinals</t>
        </is>
      </c>
      <c r="AQ335" s="24" t="inlineStr">
        <is>
          <t>Ball State Cardinals</t>
        </is>
      </c>
      <c r="AR335" s="24" t="inlineStr">
        <is>
          <t>Ball State Cardinals</t>
        </is>
      </c>
      <c r="AS335" s="24" t="inlineStr">
        <is>
          <t>Liberty Flames</t>
        </is>
      </c>
      <c r="AT335" s="24" t="inlineStr">
        <is>
          <t>Liberty Flames</t>
        </is>
      </c>
      <c r="AU335" s="24" t="inlineStr">
        <is>
          <t>Liberty Flames</t>
        </is>
      </c>
      <c r="AV335" s="24" t="n"/>
      <c r="AW335" s="24" t="n"/>
      <c r="AX335" s="24" t="inlineStr">
        <is>
          <t>statistical_model</t>
        </is>
      </c>
      <c r="AY335" s="24" t="n"/>
      <c r="AZ335" s="24" t="inlineStr">
        <is>
          <t>shadow_qualified</t>
        </is>
      </c>
      <c r="BA335" s="24" t="inlineStr">
        <is>
          <t>1d168f11d221cd3c</t>
        </is>
      </c>
      <c r="BB335" s="24" t="inlineStr">
        <is>
          <t>cfb_key_number_engine</t>
        </is>
      </c>
      <c r="BC335" s="24" t="inlineStr">
        <is>
          <t>cfb-spread-v1</t>
        </is>
      </c>
      <c r="BD335" s="24" t="inlineStr">
        <is>
          <t>1d168f11d221cd3c</t>
        </is>
      </c>
      <c r="BE335" s="24" t="inlineStr">
        <is>
          <t>cfb-v1</t>
        </is>
      </c>
      <c r="BF335" s="24" t="inlineStr">
        <is>
          <t>1</t>
        </is>
      </c>
      <c r="BG335" s="24" t="inlineStr">
        <is>
          <t>1d168f11d221cd3c</t>
        </is>
      </c>
      <c r="BH335" s="24" t="inlineStr">
        <is>
          <t>2026-09-19T17:08:25.088129+00:00</t>
        </is>
      </c>
      <c r="BI335" s="24" t="inlineStr">
        <is>
          <t>["same_event","same_team_same_day","same_league_same_day"]</t>
        </is>
      </c>
      <c r="BJ335" s="25" t="n">
        <v>14</v>
      </c>
      <c r="BK335" s="26" t="n">
        <v>-105</v>
      </c>
      <c r="BL335" s="27" t="n">
        <v>1.952381</v>
      </c>
      <c r="BM335" s="28" t="n">
        <v>0.512195</v>
      </c>
      <c r="BN335" s="28" t="n"/>
      <c r="BO335" s="28" t="n"/>
      <c r="BP335" s="25" t="n"/>
      <c r="BQ335" s="27" t="n"/>
      <c r="BR335" s="28" t="n"/>
      <c r="BS335" s="28" t="n"/>
      <c r="BT335" s="28" t="n"/>
      <c r="BU335" s="25" t="n"/>
      <c r="BV335" s="29" t="n"/>
      <c r="BW335" s="24" t="n"/>
      <c r="BX335" s="30" t="n"/>
      <c r="BY335" s="27" t="n"/>
      <c r="BZ335" s="24" t="n"/>
      <c r="CA335" s="31" t="n"/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  <c r="CL335" s="24" t="n"/>
      <c r="CM335" s="24" t="n"/>
      <c r="CN335" s="24" t="n"/>
      <c r="CO335" s="24" t="n"/>
      <c r="CP335" s="24" t="n"/>
      <c r="CQ335" s="24" t="n"/>
      <c r="CR335" s="24" t="n"/>
      <c r="CS335" s="24" t="inlineStr">
        <is>
          <t>True</t>
        </is>
      </c>
      <c r="CT335" s="24" t="n"/>
      <c r="CU335" s="24" t="n"/>
      <c r="CV335" s="24" t="n"/>
      <c r="CW335" s="24" t="n"/>
      <c r="CX335" s="24" t="n"/>
      <c r="CY335" s="24" t="n"/>
      <c r="CZ335" s="24" t="n"/>
      <c r="DA335" s="24" t="n"/>
      <c r="DB335" s="24" t="n"/>
      <c r="DC335" s="24" t="n"/>
      <c r="DD335" s="24" t="n"/>
      <c r="DE335" s="24" t="n"/>
      <c r="DF335" s="24" t="n"/>
      <c r="DG335" s="24" t="n"/>
      <c r="DH335" s="24" t="n"/>
      <c r="DI335" s="24" t="n"/>
      <c r="DJ335" s="24" t="inlineStr">
        <is>
          <t>0.512195</t>
        </is>
      </c>
      <c r="DK335" s="24" t="n"/>
      <c r="DL335" s="24" t="n"/>
      <c r="DM335" s="24" t="n"/>
      <c r="DN335" s="24" t="n"/>
      <c r="DO335" s="24" t="n"/>
      <c r="DP335" s="24" t="n"/>
      <c r="DQ335" s="24" t="inlineStr">
        <is>
          <t>{"artifact_hash": "1d168f11d221cd3c", "event_id": "401866422", "event_start_utc": "2026-09-19T20:00Z", "features": {"altitude_fatigue_penalty": 0.0, "away_team": "Ball State Cardinals", "efficiency_gap": 1.246, "elo_away": 1204.6, "elo_home": 1384.7, "elo_home_win_prob": 0.804, "event_id": "401866422", "game_start_utc": "2026-09-19T20:00Z", "home_field_advantage_points": 2.8, "home_team": "Liberty Flames", "is_dome": false, "is_fbs_vs_fcs": false, "is_neutral_site": false, "projected_away_points": 20.7, "projected_home_points": 30.7, "projected_margin_home": 10.0, "projected_possessions": 12.4, "projected_total": 51.4, "stadium_elevation_ft": 890, "travel_distance_miles": 390.0, "uncertainty": 0.165, "weather_total_adjustment": 0.0}, "historical_source_observation_times_verified": false, "inference_inputs": {"engine_source_sha256": "449ba2f0e86fa9c445730076a0e0bf100fb4914620be53c75c6f3bfe24298f3f", "mu_away": 20.7, "mu_home": 30.7,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266284437478962364329910122714055720650}, "uinteger": 0}, "spread_home_line": -14.0, "total_line": 48.5}, "market_type": "spread", "model_version": "cfb-spread-v1", "observed_at_utc": "2026-09-19T17:08:25.088129+00:00", "probabilities": {"away": 0.568667, "home": 0.412133, "push": 0.0192}, "replay_scope": "Full precision score means, exact engine parameters and original RNG state; upstream feature construction not certified.", "schema": "cfb-joint-replay-v1", "snapshot_hash": "76ce9a71ff0889aa3ea7dbe93e4ee757d05e523ac6e651dca62606b2f0a8bc6c", "sport": "NCAAF"}</t>
        </is>
      </c>
    </row>
    <row r="336" ht="36" customHeight="1">
      <c r="A336" s="24" t="inlineStr">
        <is>
          <t>dad2fe2f7bac433c</t>
        </is>
      </c>
      <c r="B336" s="24" t="inlineStr">
        <is>
          <t>2026-09-19T17:08:25.088129Z</t>
        </is>
      </c>
      <c r="C336" s="24" t="inlineStr">
        <is>
          <t>2026-09-19T20:00Z</t>
        </is>
      </c>
      <c r="D336" s="24" t="inlineStr">
        <is>
          <t>401866422</t>
        </is>
      </c>
      <c r="E336" s="24" t="inlineStr">
        <is>
          <t>NCAAF</t>
        </is>
      </c>
      <c r="F336" s="24" t="inlineStr">
        <is>
          <t>Ball State Cardinals</t>
        </is>
      </c>
      <c r="G336" s="24" t="inlineStr">
        <is>
          <t>Liberty Flames</t>
        </is>
      </c>
      <c r="H336" s="24" t="inlineStr">
        <is>
          <t>total</t>
        </is>
      </c>
      <c r="I336" s="24" t="inlineStr">
        <is>
          <t>over</t>
        </is>
      </c>
      <c r="J336" s="25" t="n">
        <v>48.5</v>
      </c>
      <c r="K336" s="24" t="inlineStr">
        <is>
          <t>espn_consensus</t>
        </is>
      </c>
      <c r="L336" s="26" t="n">
        <v>-112</v>
      </c>
      <c r="M336" s="27" t="n">
        <v>1.892857</v>
      </c>
      <c r="N336" s="28" t="n">
        <v>0.528302</v>
      </c>
      <c r="O336" s="28" t="n">
        <v>0.515933</v>
      </c>
      <c r="P336" s="28" t="n">
        <v>0.165</v>
      </c>
      <c r="Q336" s="28" t="n">
        <v>-0.012369</v>
      </c>
      <c r="R336" s="26" t="n">
        <v>0</v>
      </c>
      <c r="S336" s="29" t="n">
        <v>1</v>
      </c>
      <c r="T336" s="24" t="inlineStr">
        <is>
          <t>cfb-total-v1</t>
        </is>
      </c>
      <c r="U336" s="24" t="inlineStr">
        <is>
          <t>settled</t>
        </is>
      </c>
      <c r="V336" s="24" t="inlineStr">
        <is>
          <t>win</t>
        </is>
      </c>
      <c r="W336" s="26" t="n">
        <v>15</v>
      </c>
      <c r="X336" s="26" t="n">
        <v>51</v>
      </c>
      <c r="Y336" s="25" t="n"/>
      <c r="Z336" s="26" t="n"/>
      <c r="AA336" s="28" t="n"/>
      <c r="AB336" s="28" t="n"/>
      <c r="AC336" s="30" t="n">
        <v>0.8929</v>
      </c>
      <c r="AD336" s="24" t="inlineStr">
        <is>
          <t>2026-09-20T04:30:55.008298Z</t>
        </is>
      </c>
      <c r="AE336" s="31" t="inlineStr">
        <is>
          <t>Projected total 51.4 pts (Weather adj: +0.0 pts). Total line 48.5 -&gt; P(Over)=0.516, P(Under)=0.484, P(Push)=0.000.</t>
        </is>
      </c>
      <c r="AF336" s="31" t="inlineStr">
        <is>
          <t>College football model; multi-market (moneyline, spread, total).</t>
        </is>
      </c>
      <c r="AG336" s="24" t="inlineStr">
        <is>
          <t>not_applicable</t>
        </is>
      </c>
      <c r="AH336" s="24" t="n"/>
      <c r="AI336" s="31" t="n"/>
      <c r="AJ336" s="31" t="n"/>
      <c r="AK336" s="24" t="inlineStr">
        <is>
          <t>paper_call</t>
        </is>
      </c>
      <c r="AL336" s="26" t="n">
        <v>4</v>
      </c>
      <c r="AM336" s="24" t="inlineStr">
        <is>
          <t>RESEARCH_OBSERVATION</t>
        </is>
      </c>
      <c r="AN336" s="24" t="inlineStr">
        <is>
          <t>CALL</t>
        </is>
      </c>
      <c r="AO336" s="24" t="inlineStr">
        <is>
          <t>PAPER_CALL_LOW_EDGE</t>
        </is>
      </c>
      <c r="AP336" s="24" t="inlineStr">
        <is>
          <t>Ball State Cardinals</t>
        </is>
      </c>
      <c r="AQ336" s="24" t="inlineStr">
        <is>
          <t>Ball State Cardinals</t>
        </is>
      </c>
      <c r="AR336" s="24" t="inlineStr">
        <is>
          <t>Ball State Cardinals</t>
        </is>
      </c>
      <c r="AS336" s="24" t="inlineStr">
        <is>
          <t>Liberty Flames</t>
        </is>
      </c>
      <c r="AT336" s="24" t="inlineStr">
        <is>
          <t>Liberty Flames</t>
        </is>
      </c>
      <c r="AU336" s="24" t="inlineStr">
        <is>
          <t>Liberty Flames</t>
        </is>
      </c>
      <c r="AV336" s="24" t="n"/>
      <c r="AW336" s="24" t="n"/>
      <c r="AX336" s="24" t="inlineStr">
        <is>
          <t>statistical_model</t>
        </is>
      </c>
      <c r="AY336" s="24" t="n"/>
      <c r="AZ336" s="24" t="inlineStr">
        <is>
          <t>shadow_qualified</t>
        </is>
      </c>
      <c r="BA336" s="24" t="inlineStr">
        <is>
          <t>1d168f11d221cd3c</t>
        </is>
      </c>
      <c r="BB336" s="24" t="inlineStr">
        <is>
          <t>cfb_key_number_engine</t>
        </is>
      </c>
      <c r="BC336" s="24" t="inlineStr">
        <is>
          <t>cfb-total-v1</t>
        </is>
      </c>
      <c r="BD336" s="24" t="inlineStr">
        <is>
          <t>1d168f11d221cd3c</t>
        </is>
      </c>
      <c r="BE336" s="24" t="inlineStr">
        <is>
          <t>cfb-v1</t>
        </is>
      </c>
      <c r="BF336" s="24" t="inlineStr">
        <is>
          <t>1</t>
        </is>
      </c>
      <c r="BG336" s="24" t="inlineStr">
        <is>
          <t>1d168f11d221cd3c</t>
        </is>
      </c>
      <c r="BH336" s="24" t="inlineStr">
        <is>
          <t>2026-09-19T17:08:25.088129+00:00</t>
        </is>
      </c>
      <c r="BI336" s="24" t="inlineStr">
        <is>
          <t>["same_event","same_team_same_day","same_league_same_day"]</t>
        </is>
      </c>
      <c r="BJ336" s="25" t="n">
        <v>48.5</v>
      </c>
      <c r="BK336" s="26" t="n">
        <v>-112</v>
      </c>
      <c r="BL336" s="27" t="n">
        <v>1.892857</v>
      </c>
      <c r="BM336" s="28" t="n">
        <v>0.528302</v>
      </c>
      <c r="BN336" s="28" t="n"/>
      <c r="BO336" s="28" t="n"/>
      <c r="BP336" s="25" t="n"/>
      <c r="BQ336" s="27" t="n"/>
      <c r="BR336" s="28" t="n"/>
      <c r="BS336" s="28" t="n"/>
      <c r="BT336" s="28" t="n"/>
      <c r="BU336" s="25" t="n"/>
      <c r="BV336" s="29" t="n"/>
      <c r="BW336" s="24" t="n"/>
      <c r="BX336" s="30" t="n">
        <v>1</v>
      </c>
      <c r="BY336" s="27" t="n">
        <v>0.892857</v>
      </c>
      <c r="BZ336" s="24" t="inlineStr">
        <is>
          <t>2026-09-20T04:30:55.008298Z</t>
        </is>
      </c>
      <c r="CA336" s="31" t="inlineStr">
        <is>
          <t>fixed one-unit hypothetical scoring; no real exposure or execution</t>
        </is>
      </c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  <c r="CL336" s="24" t="n"/>
      <c r="CM336" s="24" t="n"/>
      <c r="CN336" s="24" t="n"/>
      <c r="CO336" s="24" t="n"/>
      <c r="CP336" s="24" t="n"/>
      <c r="CQ336" s="24" t="n"/>
      <c r="CR336" s="24" t="n"/>
      <c r="CS336" s="24" t="inlineStr">
        <is>
          <t>False</t>
        </is>
      </c>
      <c r="CT336" s="24" t="n"/>
      <c r="CU336" s="24" t="n"/>
      <c r="CV336" s="24" t="n"/>
      <c r="CW336" s="24" t="n"/>
      <c r="CX336" s="24" t="n"/>
      <c r="CY336" s="24" t="n"/>
      <c r="CZ336" s="24" t="n"/>
      <c r="DA336" s="24" t="n"/>
      <c r="DB336" s="24" t="n"/>
      <c r="DC336" s="24" t="n"/>
      <c r="DD336" s="24" t="n"/>
      <c r="DE336" s="24" t="n"/>
      <c r="DF336" s="24" t="n"/>
      <c r="DG336" s="24" t="n"/>
      <c r="DH336" s="24" t="n"/>
      <c r="DI336" s="24" t="n"/>
      <c r="DJ336" s="24" t="inlineStr">
        <is>
          <t>0.528302</t>
        </is>
      </c>
      <c r="DK336" s="24" t="n"/>
      <c r="DL336" s="24" t="n"/>
      <c r="DM336" s="24" t="n"/>
      <c r="DN336" s="24" t="n"/>
      <c r="DO336" s="24" t="n"/>
      <c r="DP336" s="24" t="n"/>
      <c r="DQ336" s="24" t="inlineStr">
        <is>
          <t>{"artifact_hash": "1d168f11d221cd3c", "event_id": "401866422", "event_start_utc": "2026-09-19T20:00Z", "features": {"altitude_fatigue_penalty": 0.0, "away_team": "Ball State Cardinals", "efficiency_gap": 1.246, "elo_away": 1204.6, "elo_home": 1384.7, "elo_home_win_prob": 0.804, "event_id": "401866422", "game_start_utc": "2026-09-19T20:00Z", "home_field_advantage_points": 2.8, "home_team": "Liberty Flames", "is_dome": false, "is_fbs_vs_fcs": false, "is_neutral_site": false, "projected_away_points": 20.7, "projected_home_points": 30.7, "projected_margin_home": 10.0, "projected_possessions": 12.4, "projected_total": 51.4, "stadium_elevation_ft": 890, "travel_distance_miles": 390.0, "uncertainty": 0.165, "weather_total_adjustment": 0.0}, "historical_source_observation_times_verified": false, "inference_inputs": {"engine_source_sha256": "449ba2f0e86fa9c445730076a0e0bf100fb4914620be53c75c6f3bfe24298f3f", "mu_away": 20.7, "mu_home": 30.7,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266284437478962364329910122714055720650}, "uinteger": 0}, "spread_home_line": -14.0, "total_line": 48.5}, "market_type": "total", "model_version": "cfb-total-v1", "observed_at_utc": "2026-09-19T17:08:25.088129+00:00", "probabilities": {"over": 0.515933, "push": 0.0, "under": 0.484067}, "replay_scope": "Full precision score means, exact engine parameters and original RNG state; upstream feature construction not certified.", "schema": "cfb-joint-replay-v1", "snapshot_hash": "29a890e0f96db3ec0c008f24a3bb99a042e1ad1d5910698219a20f273fc5a928", "sport": "NCAAF"}</t>
        </is>
      </c>
    </row>
    <row r="337" ht="36" customHeight="1">
      <c r="A337" s="24" t="inlineStr">
        <is>
          <t>2ed6cf44d71a4fe2</t>
        </is>
      </c>
      <c r="B337" s="24" t="inlineStr">
        <is>
          <t>2026-09-19T17:08:25.088129Z</t>
        </is>
      </c>
      <c r="C337" s="24" t="inlineStr">
        <is>
          <t>2026-09-19T20:00Z</t>
        </is>
      </c>
      <c r="D337" s="24" t="inlineStr">
        <is>
          <t>401867804</t>
        </is>
      </c>
      <c r="E337" s="24" t="inlineStr">
        <is>
          <t>NCAAF</t>
        </is>
      </c>
      <c r="F337" s="24" t="inlineStr">
        <is>
          <t>Louisiana Tech Bulldogs</t>
        </is>
      </c>
      <c r="G337" s="24" t="inlineStr">
        <is>
          <t>Baylor Bears</t>
        </is>
      </c>
      <c r="H337" s="24" t="inlineStr">
        <is>
          <t>moneyline</t>
        </is>
      </c>
      <c r="I337" s="24" t="inlineStr">
        <is>
          <t>away</t>
        </is>
      </c>
      <c r="J337" s="25" t="n"/>
      <c r="K337" s="24" t="inlineStr">
        <is>
          <t>espn_consensus</t>
        </is>
      </c>
      <c r="L337" s="26" t="n">
        <v>800</v>
      </c>
      <c r="M337" s="27" t="n">
        <v>9</v>
      </c>
      <c r="N337" s="28" t="n">
        <v>0.111111</v>
      </c>
      <c r="O337" s="28" t="n">
        <v>0.647227</v>
      </c>
      <c r="P337" s="28" t="n">
        <v>0.18</v>
      </c>
      <c r="Q337" s="28" t="n">
        <v>0.536116</v>
      </c>
      <c r="R337" s="26" t="n">
        <v>100</v>
      </c>
      <c r="S337" s="29" t="n">
        <v>2</v>
      </c>
      <c r="T337" s="24" t="inlineStr">
        <is>
          <t>college-football-v1</t>
        </is>
      </c>
      <c r="U337" s="24" t="inlineStr">
        <is>
          <t>settled</t>
        </is>
      </c>
      <c r="V337" s="24" t="inlineStr">
        <is>
          <t>loss</t>
        </is>
      </c>
      <c r="W337" s="26" t="n">
        <v>19</v>
      </c>
      <c r="X337" s="26" t="n">
        <v>36</v>
      </c>
      <c r="Y337" s="25" t="n"/>
      <c r="Z337" s="26" t="n"/>
      <c r="AA337" s="28" t="n"/>
      <c r="AB337" s="28" t="n"/>
      <c r="AC337" s="30" t="n">
        <v>-2</v>
      </c>
      <c r="AD337" s="24" t="inlineStr">
        <is>
          <t>2026-09-20T04:30:55.558239Z</t>
        </is>
      </c>
      <c r="AE337" s="31" t="inlineStr">
        <is>
          <t>CFB Joint Model (negative_binomial): proj score Louisiana Tech Bulldogs 30.1 @ Baylor Bears 23.0 (Margin -7.1). Possessions: 12.4, HFA: +2.8 pts.</t>
        </is>
      </c>
      <c r="AF337" s="31" t="inlineStr">
        <is>
          <t>College football model; multi-market (moneyline, spread, total).</t>
        </is>
      </c>
      <c r="AG337" s="24" t="inlineStr">
        <is>
          <t>review_required</t>
        </is>
      </c>
      <c r="AH337" s="24" t="n"/>
      <c r="AI337" s="31" t="n"/>
      <c r="AJ337" s="31" t="n"/>
      <c r="AK337" s="24" t="inlineStr">
        <is>
          <t>model_qualified</t>
        </is>
      </c>
      <c r="AL337" s="26" t="n">
        <v>4</v>
      </c>
      <c r="AM337" s="24" t="inlineStr">
        <is>
          <t>QUALIFIED_SHADOW_CALL</t>
        </is>
      </c>
      <c r="AN337" s="24" t="inlineStr">
        <is>
          <t>CALL</t>
        </is>
      </c>
      <c r="AO337" s="24" t="inlineStr">
        <is>
          <t>QUALIFIED</t>
        </is>
      </c>
      <c r="AP337" s="24" t="inlineStr">
        <is>
          <t>Louisiana Tech Bulldogs</t>
        </is>
      </c>
      <c r="AQ337" s="24" t="inlineStr">
        <is>
          <t>Louisiana Tech Bulldogs</t>
        </is>
      </c>
      <c r="AR337" s="24" t="inlineStr">
        <is>
          <t>Louisiana Tech Bulldogs</t>
        </is>
      </c>
      <c r="AS337" s="24" t="inlineStr">
        <is>
          <t>Baylor Bears</t>
        </is>
      </c>
      <c r="AT337" s="24" t="inlineStr">
        <is>
          <t>Baylor Bears</t>
        </is>
      </c>
      <c r="AU337" s="24" t="inlineStr">
        <is>
          <t>Baylor Bears</t>
        </is>
      </c>
      <c r="AV337" s="24" t="n"/>
      <c r="AW337" s="24" t="n"/>
      <c r="AX337" s="24" t="inlineStr">
        <is>
          <t>statistical_model</t>
        </is>
      </c>
      <c r="AY337" s="24" t="n"/>
      <c r="AZ337" s="24" t="inlineStr">
        <is>
          <t>shadow_qualified</t>
        </is>
      </c>
      <c r="BA337" s="24" t="inlineStr">
        <is>
          <t>1d168f11d221cd3c</t>
        </is>
      </c>
      <c r="BB337" s="24" t="inlineStr">
        <is>
          <t>cfb_key_number_engine</t>
        </is>
      </c>
      <c r="BC337" s="24" t="inlineStr">
        <is>
          <t>college-football-v1</t>
        </is>
      </c>
      <c r="BD337" s="24" t="inlineStr">
        <is>
          <t>1d168f11d221cd3c</t>
        </is>
      </c>
      <c r="BE337" s="24" t="inlineStr">
        <is>
          <t>cfb-v1</t>
        </is>
      </c>
      <c r="BF337" s="24" t="inlineStr">
        <is>
          <t>1</t>
        </is>
      </c>
      <c r="BG337" s="24" t="inlineStr">
        <is>
          <t>1d168f11d221cd3c</t>
        </is>
      </c>
      <c r="BH337" s="24" t="inlineStr">
        <is>
          <t>2026-09-19T17:08:25.088129+00:00</t>
        </is>
      </c>
      <c r="BI337" s="24" t="inlineStr">
        <is>
          <t>["same_event","same_team_same_day","same_league_same_day"]</t>
        </is>
      </c>
      <c r="BJ337" s="25" t="n"/>
      <c r="BK337" s="26" t="n">
        <v>800</v>
      </c>
      <c r="BL337" s="27" t="n">
        <v>9</v>
      </c>
      <c r="BM337" s="28" t="n">
        <v>0.111111</v>
      </c>
      <c r="BN337" s="28" t="n"/>
      <c r="BO337" s="28" t="n"/>
      <c r="BP337" s="25" t="n"/>
      <c r="BQ337" s="27" t="n"/>
      <c r="BR337" s="28" t="n"/>
      <c r="BS337" s="28" t="n"/>
      <c r="BT337" s="28" t="n"/>
      <c r="BU337" s="25" t="n"/>
      <c r="BV337" s="29" t="n"/>
      <c r="BW337" s="24" t="n"/>
      <c r="BX337" s="30" t="n"/>
      <c r="BY337" s="27" t="n"/>
      <c r="BZ337" s="24" t="n"/>
      <c r="CA337" s="31" t="n"/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  <c r="CL337" s="24" t="n"/>
      <c r="CM337" s="24" t="n"/>
      <c r="CN337" s="24" t="n"/>
      <c r="CO337" s="24" t="n"/>
      <c r="CP337" s="24" t="n"/>
      <c r="CQ337" s="24" t="n"/>
      <c r="CR337" s="24" t="n"/>
      <c r="CS337" s="24" t="inlineStr">
        <is>
          <t>True</t>
        </is>
      </c>
      <c r="CT337" s="24" t="n"/>
      <c r="CU337" s="24" t="n"/>
      <c r="CV337" s="24" t="n"/>
      <c r="CW337" s="24" t="n"/>
      <c r="CX337" s="24" t="n"/>
      <c r="CY337" s="24" t="n"/>
      <c r="CZ337" s="24" t="n"/>
      <c r="DA337" s="24" t="n"/>
      <c r="DB337" s="24" t="n"/>
      <c r="DC337" s="24" t="n"/>
      <c r="DD337" s="24" t="n"/>
      <c r="DE337" s="24" t="n"/>
      <c r="DF337" s="24" t="n"/>
      <c r="DG337" s="24" t="n"/>
      <c r="DH337" s="24" t="n"/>
      <c r="DI337" s="24" t="n"/>
      <c r="DJ337" s="24" t="inlineStr">
        <is>
          <t>0.111111</t>
        </is>
      </c>
      <c r="DK337" s="24" t="n"/>
      <c r="DL337" s="24" t="n"/>
      <c r="DM337" s="24" t="n"/>
      <c r="DN337" s="24" t="n"/>
      <c r="DO337" s="24" t="n"/>
      <c r="DP337" s="24" t="n"/>
      <c r="DQ337" s="24" t="inlineStr">
        <is>
          <t>{"artifact_hash": "1d168f11d221cd3c", "event_id": "401867804", "event_start_utc": "2026-09-19T20:00Z", "features": {"altitude_fatigue_penalty": 0.0, "away_team": "Louisiana Tech Bulldogs", "efficiency_gap": 1.261, "elo_away": 1581.7, "elo_home": 1341.9, "elo_home_win_prob": 0.2678, "event_id": "401867804", "game_start_utc": "2026-09-19T20:00Z", "home_field_advantage_points": 2.8, "home_team": "Baylor Bears", "is_dome": false, "is_fbs_vs_fcs": false, "is_neutral_site": false, "projected_away_points": 30.1, "projected_home_points": 23.0, "projected_margin_home": -7.1, "projected_possessions": 12.4, "projected_total": 53.1, "stadium_elevation_ft": 400, "travel_distance_miles": 270.0, "uncertainty": 0.18, "weather_total_adjustment": 0.0}, "historical_source_observation_times_verified": false, "inference_inputs": {"engine_source_sha256": "449ba2f0e86fa9c445730076a0e0bf100fb4914620be53c75c6f3bfe24298f3f", "mu_away": 30.1, "mu_home": 23.0,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228596256663190665157200583811777430976}, "uinteger": 0}, "spread_home_line": -19.5, "total_line": 50.5}, "market_type": "moneyline", "model_version": "college-football-v1", "observed_at_utc": "2026-09-19T17:08:25.088129+00:00", "probabilities": {"away": 0.647227, "home": 0.352773}, "replay_scope": "Full precision score means, exact engine parameters and original RNG state; upstream feature construction not certified.", "schema": "cfb-joint-replay-v1", "snapshot_hash": "c2d707638d28ebed5826be44cc0fc22c47d43e7db68370c3b1ede4c0215ac307", "sport": "NCAAF"}</t>
        </is>
      </c>
    </row>
    <row r="338" ht="36" customHeight="1">
      <c r="A338" s="24" t="inlineStr">
        <is>
          <t>76bd6011e6124615</t>
        </is>
      </c>
      <c r="B338" s="24" t="inlineStr">
        <is>
          <t>2026-09-19T17:08:25.088129Z</t>
        </is>
      </c>
      <c r="C338" s="24" t="inlineStr">
        <is>
          <t>2026-09-19T20:00Z</t>
        </is>
      </c>
      <c r="D338" s="24" t="inlineStr">
        <is>
          <t>401867804</t>
        </is>
      </c>
      <c r="E338" s="24" t="inlineStr">
        <is>
          <t>NCAAF</t>
        </is>
      </c>
      <c r="F338" s="24" t="inlineStr">
        <is>
          <t>Louisiana Tech Bulldogs</t>
        </is>
      </c>
      <c r="G338" s="24" t="inlineStr">
        <is>
          <t>Baylor Bears</t>
        </is>
      </c>
      <c r="H338" s="24" t="inlineStr">
        <is>
          <t>spread</t>
        </is>
      </c>
      <c r="I338" s="24" t="inlineStr">
        <is>
          <t>away</t>
        </is>
      </c>
      <c r="J338" s="25" t="n">
        <v>19.5</v>
      </c>
      <c r="K338" s="24" t="inlineStr">
        <is>
          <t>espn_consensus</t>
        </is>
      </c>
      <c r="L338" s="26" t="n">
        <v>-105</v>
      </c>
      <c r="M338" s="27" t="n">
        <v>1.952381</v>
      </c>
      <c r="N338" s="28" t="n">
        <v>0.512195</v>
      </c>
      <c r="O338" s="28" t="n">
        <v>0.899267</v>
      </c>
      <c r="P338" s="28" t="n">
        <v>0.18</v>
      </c>
      <c r="Q338" s="28" t="n">
        <v>0.387072</v>
      </c>
      <c r="R338" s="26" t="n">
        <v>100</v>
      </c>
      <c r="S338" s="29" t="n">
        <v>2</v>
      </c>
      <c r="T338" s="24" t="inlineStr">
        <is>
          <t>cfb-spread-v1</t>
        </is>
      </c>
      <c r="U338" s="24" t="inlineStr">
        <is>
          <t>settled</t>
        </is>
      </c>
      <c r="V338" s="24" t="inlineStr">
        <is>
          <t>win</t>
        </is>
      </c>
      <c r="W338" s="26" t="n">
        <v>19</v>
      </c>
      <c r="X338" s="26" t="n">
        <v>36</v>
      </c>
      <c r="Y338" s="25" t="n"/>
      <c r="Z338" s="26" t="n"/>
      <c r="AA338" s="28" t="n"/>
      <c r="AB338" s="28" t="n"/>
      <c r="AC338" s="30" t="n">
        <v>1.9048</v>
      </c>
      <c r="AD338" s="24" t="inlineStr">
        <is>
          <t>2026-09-20T04:30:55.979922Z</t>
        </is>
      </c>
      <c r="AE338" s="31" t="inlineStr">
        <is>
          <t>Projected home margin -7.1 pts. Spread: Home -19.5 / Away +19.5 -&gt; P(Away cover)=0.899, P(Home cover)=0.101, P(Push)=0.000.</t>
        </is>
      </c>
      <c r="AF338" s="31" t="inlineStr">
        <is>
          <t>College football model; multi-market (moneyline, spread, total).</t>
        </is>
      </c>
      <c r="AG338" s="24" t="inlineStr">
        <is>
          <t>not_applicable</t>
        </is>
      </c>
      <c r="AH338" s="24" t="n"/>
      <c r="AI338" s="31" t="n"/>
      <c r="AJ338" s="31" t="n"/>
      <c r="AK338" s="24" t="inlineStr">
        <is>
          <t>model_qualified</t>
        </is>
      </c>
      <c r="AL338" s="26" t="n">
        <v>4</v>
      </c>
      <c r="AM338" s="24" t="inlineStr">
        <is>
          <t>QUALIFIED_SHADOW_CALL</t>
        </is>
      </c>
      <c r="AN338" s="24" t="inlineStr">
        <is>
          <t>CALL</t>
        </is>
      </c>
      <c r="AO338" s="24" t="inlineStr">
        <is>
          <t>QUALIFIED</t>
        </is>
      </c>
      <c r="AP338" s="24" t="inlineStr">
        <is>
          <t>Louisiana Tech Bulldogs</t>
        </is>
      </c>
      <c r="AQ338" s="24" t="inlineStr">
        <is>
          <t>Louisiana Tech Bulldogs</t>
        </is>
      </c>
      <c r="AR338" s="24" t="inlineStr">
        <is>
          <t>Louisiana Tech Bulldogs</t>
        </is>
      </c>
      <c r="AS338" s="24" t="inlineStr">
        <is>
          <t>Baylor Bears</t>
        </is>
      </c>
      <c r="AT338" s="24" t="inlineStr">
        <is>
          <t>Baylor Bears</t>
        </is>
      </c>
      <c r="AU338" s="24" t="inlineStr">
        <is>
          <t>Baylor Bears</t>
        </is>
      </c>
      <c r="AV338" s="24" t="n"/>
      <c r="AW338" s="24" t="n"/>
      <c r="AX338" s="24" t="inlineStr">
        <is>
          <t>statistical_model</t>
        </is>
      </c>
      <c r="AY338" s="24" t="n"/>
      <c r="AZ338" s="24" t="inlineStr">
        <is>
          <t>shadow_qualified</t>
        </is>
      </c>
      <c r="BA338" s="24" t="inlineStr">
        <is>
          <t>1d168f11d221cd3c</t>
        </is>
      </c>
      <c r="BB338" s="24" t="inlineStr">
        <is>
          <t>cfb_key_number_engine</t>
        </is>
      </c>
      <c r="BC338" s="24" t="inlineStr">
        <is>
          <t>cfb-spread-v1</t>
        </is>
      </c>
      <c r="BD338" s="24" t="inlineStr">
        <is>
          <t>1d168f11d221cd3c</t>
        </is>
      </c>
      <c r="BE338" s="24" t="inlineStr">
        <is>
          <t>cfb-v1</t>
        </is>
      </c>
      <c r="BF338" s="24" t="inlineStr">
        <is>
          <t>1</t>
        </is>
      </c>
      <c r="BG338" s="24" t="inlineStr">
        <is>
          <t>1d168f11d221cd3c</t>
        </is>
      </c>
      <c r="BH338" s="24" t="inlineStr">
        <is>
          <t>2026-09-19T17:08:25.088129+00:00</t>
        </is>
      </c>
      <c r="BI338" s="24" t="inlineStr">
        <is>
          <t>["same_event","same_team_same_day","same_league_same_day"]</t>
        </is>
      </c>
      <c r="BJ338" s="25" t="n">
        <v>19.5</v>
      </c>
      <c r="BK338" s="26" t="n">
        <v>-105</v>
      </c>
      <c r="BL338" s="27" t="n">
        <v>1.952381</v>
      </c>
      <c r="BM338" s="28" t="n">
        <v>0.512195</v>
      </c>
      <c r="BN338" s="28" t="n"/>
      <c r="BO338" s="28" t="n"/>
      <c r="BP338" s="25" t="n"/>
      <c r="BQ338" s="27" t="n"/>
      <c r="BR338" s="28" t="n"/>
      <c r="BS338" s="28" t="n"/>
      <c r="BT338" s="28" t="n"/>
      <c r="BU338" s="25" t="n"/>
      <c r="BV338" s="29" t="n"/>
      <c r="BW338" s="24" t="n"/>
      <c r="BX338" s="30" t="n"/>
      <c r="BY338" s="27" t="n"/>
      <c r="BZ338" s="24" t="n"/>
      <c r="CA338" s="31" t="n"/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  <c r="CL338" s="24" t="n"/>
      <c r="CM338" s="24" t="n"/>
      <c r="CN338" s="24" t="n"/>
      <c r="CO338" s="24" t="n"/>
      <c r="CP338" s="24" t="n"/>
      <c r="CQ338" s="24" t="n"/>
      <c r="CR338" s="24" t="n"/>
      <c r="CS338" s="24" t="inlineStr">
        <is>
          <t>True</t>
        </is>
      </c>
      <c r="CT338" s="24" t="n"/>
      <c r="CU338" s="24" t="n"/>
      <c r="CV338" s="24" t="n"/>
      <c r="CW338" s="24" t="n"/>
      <c r="CX338" s="24" t="n"/>
      <c r="CY338" s="24" t="n"/>
      <c r="CZ338" s="24" t="n"/>
      <c r="DA338" s="24" t="n"/>
      <c r="DB338" s="24" t="n"/>
      <c r="DC338" s="24" t="n"/>
      <c r="DD338" s="24" t="n"/>
      <c r="DE338" s="24" t="n"/>
      <c r="DF338" s="24" t="n"/>
      <c r="DG338" s="24" t="n"/>
      <c r="DH338" s="24" t="n"/>
      <c r="DI338" s="24" t="n"/>
      <c r="DJ338" s="24" t="inlineStr">
        <is>
          <t>0.512195</t>
        </is>
      </c>
      <c r="DK338" s="24" t="n"/>
      <c r="DL338" s="24" t="n"/>
      <c r="DM338" s="24" t="n"/>
      <c r="DN338" s="24" t="n"/>
      <c r="DO338" s="24" t="n"/>
      <c r="DP338" s="24" t="n"/>
      <c r="DQ338" s="24" t="inlineStr">
        <is>
          <t>{"artifact_hash": "1d168f11d221cd3c", "event_id": "401867804", "event_start_utc": "2026-09-19T20:00Z", "features": {"altitude_fatigue_penalty": 0.0, "away_team": "Louisiana Tech Bulldogs", "efficiency_gap": 1.261, "elo_away": 1581.7, "elo_home": 1341.9, "elo_home_win_prob": 0.2678, "event_id": "401867804", "game_start_utc": "2026-09-19T20:00Z", "home_field_advantage_points": 2.8, "home_team": "Baylor Bears", "is_dome": false, "is_fbs_vs_fcs": false, "is_neutral_site": false, "projected_away_points": 30.1, "projected_home_points": 23.0, "projected_margin_home": -7.1, "projected_possessions": 12.4, "projected_total": 53.1, "stadium_elevation_ft": 400, "travel_distance_miles": 270.0, "uncertainty": 0.18, "weather_total_adjustment": 0.0}, "historical_source_observation_times_verified": false, "inference_inputs": {"engine_source_sha256": "449ba2f0e86fa9c445730076a0e0bf100fb4914620be53c75c6f3bfe24298f3f", "mu_away": 30.1, "mu_home": 23.0,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228596256663190665157200583811777430976}, "uinteger": 0}, "spread_home_line": -19.5, "total_line": 50.5}, "market_type": "spread", "model_version": "cfb-spread-v1", "observed_at_utc": "2026-09-19T17:08:25.088129+00:00", "probabilities": {"away": 0.899267, "home": 0.100733, "push": 0.0}, "replay_scope": "Full precision score means, exact engine parameters and original RNG state; upstream feature construction not certified.", "schema": "cfb-joint-replay-v1", "snapshot_hash": "9668b0fc22da712e15d8e86f89561f372cc0da58041d7a819c8996160cb5a187", "sport": "NCAAF"}</t>
        </is>
      </c>
    </row>
    <row r="339" ht="36" customHeight="1">
      <c r="A339" s="24" t="inlineStr">
        <is>
          <t>58a7f1849bff4384</t>
        </is>
      </c>
      <c r="B339" s="24" t="inlineStr">
        <is>
          <t>2026-09-19T17:08:25.088129Z</t>
        </is>
      </c>
      <c r="C339" s="24" t="inlineStr">
        <is>
          <t>2026-09-19T20:00Z</t>
        </is>
      </c>
      <c r="D339" s="24" t="inlineStr">
        <is>
          <t>401867804</t>
        </is>
      </c>
      <c r="E339" s="24" t="inlineStr">
        <is>
          <t>NCAAF</t>
        </is>
      </c>
      <c r="F339" s="24" t="inlineStr">
        <is>
          <t>Louisiana Tech Bulldogs</t>
        </is>
      </c>
      <c r="G339" s="24" t="inlineStr">
        <is>
          <t>Baylor Bears</t>
        </is>
      </c>
      <c r="H339" s="24" t="inlineStr">
        <is>
          <t>total</t>
        </is>
      </c>
      <c r="I339" s="24" t="inlineStr">
        <is>
          <t>over</t>
        </is>
      </c>
      <c r="J339" s="25" t="n">
        <v>50.5</v>
      </c>
      <c r="K339" s="24" t="inlineStr">
        <is>
          <t>espn_consensus</t>
        </is>
      </c>
      <c r="L339" s="26" t="n">
        <v>-110</v>
      </c>
      <c r="M339" s="27" t="n">
        <v>1.909091</v>
      </c>
      <c r="N339" s="28" t="n">
        <v>0.52381</v>
      </c>
      <c r="O339" s="28" t="n">
        <v>0.5104</v>
      </c>
      <c r="P339" s="28" t="n">
        <v>0.18</v>
      </c>
      <c r="Q339" s="28" t="n">
        <v>-0.01341</v>
      </c>
      <c r="R339" s="26" t="n">
        <v>0</v>
      </c>
      <c r="S339" s="29" t="n">
        <v>1</v>
      </c>
      <c r="T339" s="24" t="inlineStr">
        <is>
          <t>cfb-total-v1</t>
        </is>
      </c>
      <c r="U339" s="24" t="inlineStr">
        <is>
          <t>settled</t>
        </is>
      </c>
      <c r="V339" s="24" t="inlineStr">
        <is>
          <t>win</t>
        </is>
      </c>
      <c r="W339" s="26" t="n">
        <v>19</v>
      </c>
      <c r="X339" s="26" t="n">
        <v>36</v>
      </c>
      <c r="Y339" s="25" t="n"/>
      <c r="Z339" s="26" t="n"/>
      <c r="AA339" s="28" t="n"/>
      <c r="AB339" s="28" t="n"/>
      <c r="AC339" s="30" t="n">
        <v>0.9091</v>
      </c>
      <c r="AD339" s="24" t="inlineStr">
        <is>
          <t>2026-09-20T04:30:56.461627Z</t>
        </is>
      </c>
      <c r="AE339" s="31" t="inlineStr">
        <is>
          <t>Projected total 53.1 pts (Weather adj: +0.0 pts). Total line 50.5 -&gt; P(Over)=0.510, P(Under)=0.490, P(Push)=0.000.</t>
        </is>
      </c>
      <c r="AF339" s="31" t="inlineStr">
        <is>
          <t>College football model; multi-market (moneyline, spread, total).</t>
        </is>
      </c>
      <c r="AG339" s="24" t="inlineStr">
        <is>
          <t>not_applicable</t>
        </is>
      </c>
      <c r="AH339" s="24" t="n"/>
      <c r="AI339" s="31" t="n"/>
      <c r="AJ339" s="31" t="n"/>
      <c r="AK339" s="24" t="inlineStr">
        <is>
          <t>paper_call</t>
        </is>
      </c>
      <c r="AL339" s="26" t="n">
        <v>4</v>
      </c>
      <c r="AM339" s="24" t="inlineStr">
        <is>
          <t>RESEARCH_OBSERVATION</t>
        </is>
      </c>
      <c r="AN339" s="24" t="inlineStr">
        <is>
          <t>CALL</t>
        </is>
      </c>
      <c r="AO339" s="24" t="inlineStr">
        <is>
          <t>PAPER_CALL_LOW_EDGE</t>
        </is>
      </c>
      <c r="AP339" s="24" t="inlineStr">
        <is>
          <t>Louisiana Tech Bulldogs</t>
        </is>
      </c>
      <c r="AQ339" s="24" t="inlineStr">
        <is>
          <t>Louisiana Tech Bulldogs</t>
        </is>
      </c>
      <c r="AR339" s="24" t="inlineStr">
        <is>
          <t>Louisiana Tech Bulldogs</t>
        </is>
      </c>
      <c r="AS339" s="24" t="inlineStr">
        <is>
          <t>Baylor Bears</t>
        </is>
      </c>
      <c r="AT339" s="24" t="inlineStr">
        <is>
          <t>Baylor Bears</t>
        </is>
      </c>
      <c r="AU339" s="24" t="inlineStr">
        <is>
          <t>Baylor Bears</t>
        </is>
      </c>
      <c r="AV339" s="24" t="n"/>
      <c r="AW339" s="24" t="n"/>
      <c r="AX339" s="24" t="inlineStr">
        <is>
          <t>statistical_model</t>
        </is>
      </c>
      <c r="AY339" s="24" t="n"/>
      <c r="AZ339" s="24" t="inlineStr">
        <is>
          <t>shadow_qualified</t>
        </is>
      </c>
      <c r="BA339" s="24" t="inlineStr">
        <is>
          <t>1d168f11d221cd3c</t>
        </is>
      </c>
      <c r="BB339" s="24" t="inlineStr">
        <is>
          <t>cfb_key_number_engine</t>
        </is>
      </c>
      <c r="BC339" s="24" t="inlineStr">
        <is>
          <t>cfb-total-v1</t>
        </is>
      </c>
      <c r="BD339" s="24" t="inlineStr">
        <is>
          <t>1d168f11d221cd3c</t>
        </is>
      </c>
      <c r="BE339" s="24" t="inlineStr">
        <is>
          <t>cfb-v1</t>
        </is>
      </c>
      <c r="BF339" s="24" t="inlineStr">
        <is>
          <t>1</t>
        </is>
      </c>
      <c r="BG339" s="24" t="inlineStr">
        <is>
          <t>1d168f11d221cd3c</t>
        </is>
      </c>
      <c r="BH339" s="24" t="inlineStr">
        <is>
          <t>2026-09-19T17:08:25.088129+00:00</t>
        </is>
      </c>
      <c r="BI339" s="24" t="inlineStr">
        <is>
          <t>["same_event","same_team_same_day","same_league_same_day"]</t>
        </is>
      </c>
      <c r="BJ339" s="25" t="n">
        <v>50.5</v>
      </c>
      <c r="BK339" s="26" t="n">
        <v>-110</v>
      </c>
      <c r="BL339" s="27" t="n">
        <v>1.909091</v>
      </c>
      <c r="BM339" s="28" t="n">
        <v>0.52381</v>
      </c>
      <c r="BN339" s="28" t="n"/>
      <c r="BO339" s="28" t="n"/>
      <c r="BP339" s="25" t="n"/>
      <c r="BQ339" s="27" t="n"/>
      <c r="BR339" s="28" t="n"/>
      <c r="BS339" s="28" t="n"/>
      <c r="BT339" s="28" t="n"/>
      <c r="BU339" s="25" t="n"/>
      <c r="BV339" s="29" t="n"/>
      <c r="BW339" s="24" t="n"/>
      <c r="BX339" s="30" t="n">
        <v>1</v>
      </c>
      <c r="BY339" s="27" t="n">
        <v>0.909091</v>
      </c>
      <c r="BZ339" s="24" t="inlineStr">
        <is>
          <t>2026-09-20T04:30:56.461627Z</t>
        </is>
      </c>
      <c r="CA339" s="31" t="inlineStr">
        <is>
          <t>fixed one-unit hypothetical scoring; no real exposure or execution</t>
        </is>
      </c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  <c r="CL339" s="24" t="n"/>
      <c r="CM339" s="24" t="n"/>
      <c r="CN339" s="24" t="n"/>
      <c r="CO339" s="24" t="n"/>
      <c r="CP339" s="24" t="n"/>
      <c r="CQ339" s="24" t="n"/>
      <c r="CR339" s="24" t="n"/>
      <c r="CS339" s="24" t="inlineStr">
        <is>
          <t>False</t>
        </is>
      </c>
      <c r="CT339" s="24" t="n"/>
      <c r="CU339" s="24" t="n"/>
      <c r="CV339" s="24" t="n"/>
      <c r="CW339" s="24" t="n"/>
      <c r="CX339" s="24" t="n"/>
      <c r="CY339" s="24" t="n"/>
      <c r="CZ339" s="24" t="n"/>
      <c r="DA339" s="24" t="n"/>
      <c r="DB339" s="24" t="n"/>
      <c r="DC339" s="24" t="n"/>
      <c r="DD339" s="24" t="n"/>
      <c r="DE339" s="24" t="n"/>
      <c r="DF339" s="24" t="n"/>
      <c r="DG339" s="24" t="n"/>
      <c r="DH339" s="24" t="n"/>
      <c r="DI339" s="24" t="n"/>
      <c r="DJ339" s="24" t="inlineStr">
        <is>
          <t>0.52381</t>
        </is>
      </c>
      <c r="DK339" s="24" t="n"/>
      <c r="DL339" s="24" t="n"/>
      <c r="DM339" s="24" t="n"/>
      <c r="DN339" s="24" t="n"/>
      <c r="DO339" s="24" t="n"/>
      <c r="DP339" s="24" t="n"/>
      <c r="DQ339" s="24" t="inlineStr">
        <is>
          <t>{"artifact_hash": "1d168f11d221cd3c", "event_id": "401867804", "event_start_utc": "2026-09-19T20:00Z", "features": {"altitude_fatigue_penalty": 0.0, "away_team": "Louisiana Tech Bulldogs", "efficiency_gap": 1.261, "elo_away": 1581.7, "elo_home": 1341.9, "elo_home_win_prob": 0.2678, "event_id": "401867804", "game_start_utc": "2026-09-19T20:00Z", "home_field_advantage_points": 2.8, "home_team": "Baylor Bears", "is_dome": false, "is_fbs_vs_fcs": false, "is_neutral_site": false, "projected_away_points": 30.1, "projected_home_points": 23.0, "projected_margin_home": -7.1, "projected_possessions": 12.4, "projected_total": 53.1, "stadium_elevation_ft": 400, "travel_distance_miles": 270.0, "uncertainty": 0.18, "weather_total_adjustment": 0.0}, "historical_source_observation_times_verified": false, "inference_inputs": {"engine_source_sha256": "449ba2f0e86fa9c445730076a0e0bf100fb4914620be53c75c6f3bfe24298f3f", "mu_away": 30.1, "mu_home": 23.0,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228596256663190665157200583811777430976}, "uinteger": 0}, "spread_home_line": -19.5, "total_line": 50.5}, "market_type": "total", "model_version": "cfb-total-v1", "observed_at_utc": "2026-09-19T17:08:25.088129+00:00", "probabilities": {"over": 0.5104, "push": 0.0, "under": 0.4896}, "replay_scope": "Full precision score means, exact engine parameters and original RNG state; upstream feature construction not certified.", "schema": "cfb-joint-replay-v1", "snapshot_hash": "77161e5dad90de68257f82de2ea8ff2e75fccbb45d5e881fb0303b91c6571724", "sport": "NCAAF"}</t>
        </is>
      </c>
    </row>
    <row r="340" ht="36" customHeight="1">
      <c r="A340" s="24" t="inlineStr">
        <is>
          <t>30b7b773a2af4e33</t>
        </is>
      </c>
      <c r="B340" s="24" t="inlineStr">
        <is>
          <t>2026-09-19T17:08:25.088129Z</t>
        </is>
      </c>
      <c r="C340" s="24" t="inlineStr">
        <is>
          <t>2026-09-19T20:15Z</t>
        </is>
      </c>
      <c r="D340" s="24" t="inlineStr">
        <is>
          <t>401856691</t>
        </is>
      </c>
      <c r="E340" s="24" t="inlineStr">
        <is>
          <t>NCAAF</t>
        </is>
      </c>
      <c r="F340" s="24" t="inlineStr">
        <is>
          <t>Mississippi State Bulldogs</t>
        </is>
      </c>
      <c r="G340" s="24" t="inlineStr">
        <is>
          <t>South Carolina Gamecocks</t>
        </is>
      </c>
      <c r="H340" s="24" t="inlineStr">
        <is>
          <t>moneyline</t>
        </is>
      </c>
      <c r="I340" s="24" t="inlineStr">
        <is>
          <t>home</t>
        </is>
      </c>
      <c r="J340" s="25" t="n"/>
      <c r="K340" s="24" t="inlineStr">
        <is>
          <t>espn_consensus</t>
        </is>
      </c>
      <c r="L340" s="26" t="n">
        <v>-175</v>
      </c>
      <c r="M340" s="27" t="n">
        <v>1.571429</v>
      </c>
      <c r="N340" s="28" t="n">
        <v>0.636364</v>
      </c>
      <c r="O340" s="28" t="n">
        <v>0.672856</v>
      </c>
      <c r="P340" s="28" t="n">
        <v>0.165</v>
      </c>
      <c r="Q340" s="28" t="n">
        <v>0.036492</v>
      </c>
      <c r="R340" s="26" t="n">
        <v>0</v>
      </c>
      <c r="S340" s="29" t="n">
        <v>1</v>
      </c>
      <c r="T340" s="24" t="inlineStr">
        <is>
          <t>college-football-v1</t>
        </is>
      </c>
      <c r="U340" s="24" t="inlineStr">
        <is>
          <t>settled</t>
        </is>
      </c>
      <c r="V340" s="24" t="inlineStr">
        <is>
          <t>loss</t>
        </is>
      </c>
      <c r="W340" s="26" t="n">
        <v>41</v>
      </c>
      <c r="X340" s="26" t="n">
        <v>34</v>
      </c>
      <c r="Y340" s="25" t="n"/>
      <c r="Z340" s="26" t="n"/>
      <c r="AA340" s="28" t="n"/>
      <c r="AB340" s="28" t="n"/>
      <c r="AC340" s="30" t="n">
        <v>-1</v>
      </c>
      <c r="AD340" s="24" t="inlineStr">
        <is>
          <t>2026-09-20T04:30:57.006435Z</t>
        </is>
      </c>
      <c r="AE340" s="31" t="inlineStr">
        <is>
          <t>CFB Joint Model (negative_binomial): proj score Mississippi State Bulldogs 24.7 @ South Carolina Gamecocks 33.1 (Margin +8.4). Possessions: 12.4, HFA: +2.8 pts.</t>
        </is>
      </c>
      <c r="AF340" s="31" t="inlineStr">
        <is>
          <t>College football model; multi-market (moneyline, spread, total).</t>
        </is>
      </c>
      <c r="AG340" s="24" t="inlineStr">
        <is>
          <t>review_required</t>
        </is>
      </c>
      <c r="AH340" s="24" t="n"/>
      <c r="AI340" s="31" t="n"/>
      <c r="AJ340" s="31" t="n"/>
      <c r="AK340" s="24" t="inlineStr">
        <is>
          <t>model_qualified</t>
        </is>
      </c>
      <c r="AL340" s="26" t="n">
        <v>4</v>
      </c>
      <c r="AM340" s="24" t="inlineStr">
        <is>
          <t>QUALIFIED_SHADOW_CALL</t>
        </is>
      </c>
      <c r="AN340" s="24" t="inlineStr">
        <is>
          <t>CALL</t>
        </is>
      </c>
      <c r="AO340" s="24" t="inlineStr">
        <is>
          <t>QUALIFIED</t>
        </is>
      </c>
      <c r="AP340" s="24" t="inlineStr">
        <is>
          <t>Mississippi State Bulldogs</t>
        </is>
      </c>
      <c r="AQ340" s="24" t="inlineStr">
        <is>
          <t>Mississippi State Bulldogs</t>
        </is>
      </c>
      <c r="AR340" s="24" t="inlineStr">
        <is>
          <t>Mississippi State Bulldogs</t>
        </is>
      </c>
      <c r="AS340" s="24" t="inlineStr">
        <is>
          <t>South Carolina Gamecocks</t>
        </is>
      </c>
      <c r="AT340" s="24" t="inlineStr">
        <is>
          <t>South Carolina Gamecocks</t>
        </is>
      </c>
      <c r="AU340" s="24" t="inlineStr">
        <is>
          <t>South Carolina Gamecocks</t>
        </is>
      </c>
      <c r="AV340" s="24" t="n"/>
      <c r="AW340" s="24" t="n"/>
      <c r="AX340" s="24" t="inlineStr">
        <is>
          <t>statistical_model</t>
        </is>
      </c>
      <c r="AY340" s="24" t="n"/>
      <c r="AZ340" s="24" t="inlineStr">
        <is>
          <t>shadow_qualified</t>
        </is>
      </c>
      <c r="BA340" s="24" t="inlineStr">
        <is>
          <t>1d168f11d221cd3c</t>
        </is>
      </c>
      <c r="BB340" s="24" t="inlineStr">
        <is>
          <t>cfb_key_number_engine</t>
        </is>
      </c>
      <c r="BC340" s="24" t="inlineStr">
        <is>
          <t>college-football-v1</t>
        </is>
      </c>
      <c r="BD340" s="24" t="inlineStr">
        <is>
          <t>1d168f11d221cd3c</t>
        </is>
      </c>
      <c r="BE340" s="24" t="inlineStr">
        <is>
          <t>cfb-v1</t>
        </is>
      </c>
      <c r="BF340" s="24" t="inlineStr">
        <is>
          <t>1</t>
        </is>
      </c>
      <c r="BG340" s="24" t="inlineStr">
        <is>
          <t>1d168f11d221cd3c</t>
        </is>
      </c>
      <c r="BH340" s="24" t="inlineStr">
        <is>
          <t>2026-09-19T17:08:25.088129+00:00</t>
        </is>
      </c>
      <c r="BI340" s="24" t="inlineStr">
        <is>
          <t>["same_event","same_team_same_day","same_league_same_day"]</t>
        </is>
      </c>
      <c r="BJ340" s="25" t="n"/>
      <c r="BK340" s="26" t="n">
        <v>-175</v>
      </c>
      <c r="BL340" s="27" t="n">
        <v>1.571429</v>
      </c>
      <c r="BM340" s="28" t="n">
        <v>0.636364</v>
      </c>
      <c r="BN340" s="28" t="n"/>
      <c r="BO340" s="28" t="n"/>
      <c r="BP340" s="25" t="n"/>
      <c r="BQ340" s="27" t="n"/>
      <c r="BR340" s="28" t="n"/>
      <c r="BS340" s="28" t="n"/>
      <c r="BT340" s="28" t="n"/>
      <c r="BU340" s="25" t="n"/>
      <c r="BV340" s="29" t="n"/>
      <c r="BW340" s="24" t="n"/>
      <c r="BX340" s="30" t="n"/>
      <c r="BY340" s="27" t="n"/>
      <c r="BZ340" s="24" t="n"/>
      <c r="CA340" s="31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inlineStr">
        <is>
          <t>True</t>
        </is>
      </c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/>
      <c r="DH340" s="24" t="n"/>
      <c r="DI340" s="24" t="n"/>
      <c r="DJ340" s="24" t="inlineStr">
        <is>
          <t>0.636364</t>
        </is>
      </c>
      <c r="DK340" s="24" t="n"/>
      <c r="DL340" s="24" t="n"/>
      <c r="DM340" s="24" t="n"/>
      <c r="DN340" s="24" t="n"/>
      <c r="DO340" s="24" t="n"/>
      <c r="DP340" s="24" t="n"/>
      <c r="DQ340" s="24" t="inlineStr">
        <is>
          <t>{"artifact_hash": "1d168f11d221cd3c", "event_id": "401856691", "event_start_utc": "2026-09-19T20:15Z", "features": {"altitude_fatigue_penalty": 0.0, "away_team": "Mississippi State Bulldogs", "efficiency_gap": 0.226, "elo_away": 1388.2, "elo_home": 1531.9, "elo_home_win_prob": 0.7688, "event_id": "401856691", "game_start_utc": "2026-09-19T20:15Z", "home_field_advantage_points": 2.8, "home_team": "South Carolina Gamecocks", "is_dome": false, "is_fbs_vs_fcs": false, "is_neutral_site": false, "projected_away_points": 24.7, "projected_home_points": 33.1, "projected_margin_home": 8.4, "projected_possessions": 12.4, "projected_total": 57.8, "stadium_elevation_ft": 210, "travel_distance_miles": 448.0, "uncertainty": 0.165, "weather_total_adjustment": 0.0}, "historical_source_observation_times_verified": false, "inference_inputs": {"engine_source_sha256": "449ba2f0e86fa9c445730076a0e0bf100fb4914620be53c75c6f3bfe24298f3f", "mu_away": 24.7, "mu_home": 33.1,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34743979915506734906043685468384591883}, "uinteger": 0}, "spread_home_line": -3.5, "total_line": 58.5}, "market_type": "moneyline", "model_version": "college-football-v1", "observed_at_utc": "2026-09-19T17:08:25.088129+00:00", "probabilities": {"away": 0.327144, "home": 0.672856}, "replay_scope": "Full precision score means, exact engine parameters and original RNG state; upstream feature construction not certified.", "schema": "cfb-joint-replay-v1", "snapshot_hash": "3f0683b6ec94b093e3cd0fc40a8eafa8891f4704e67e5e15f5264758e9ed8c76", "sport": "NCAAF"}</t>
        </is>
      </c>
    </row>
    <row r="341" ht="36" customHeight="1">
      <c r="A341" s="24" t="inlineStr">
        <is>
          <t>0255d2734b1f4362</t>
        </is>
      </c>
      <c r="B341" s="24" t="inlineStr">
        <is>
          <t>2026-09-19T17:08:25.088129Z</t>
        </is>
      </c>
      <c r="C341" s="24" t="inlineStr">
        <is>
          <t>2026-09-19T20:15Z</t>
        </is>
      </c>
      <c r="D341" s="24" t="inlineStr">
        <is>
          <t>401856691</t>
        </is>
      </c>
      <c r="E341" s="24" t="inlineStr">
        <is>
          <t>NCAAF</t>
        </is>
      </c>
      <c r="F341" s="24" t="inlineStr">
        <is>
          <t>Mississippi State Bulldogs</t>
        </is>
      </c>
      <c r="G341" s="24" t="inlineStr">
        <is>
          <t>South Carolina Gamecocks</t>
        </is>
      </c>
      <c r="H341" s="24" t="inlineStr">
        <is>
          <t>spread</t>
        </is>
      </c>
      <c r="I341" s="24" t="inlineStr">
        <is>
          <t>home</t>
        </is>
      </c>
      <c r="J341" s="25" t="n">
        <v>-3.5</v>
      </c>
      <c r="K341" s="24" t="inlineStr">
        <is>
          <t>espn_consensus</t>
        </is>
      </c>
      <c r="L341" s="26" t="n">
        <v>-108</v>
      </c>
      <c r="M341" s="27" t="n">
        <v>1.925926</v>
      </c>
      <c r="N341" s="28" t="n">
        <v>0.519231</v>
      </c>
      <c r="O341" s="28" t="n">
        <v>0.6068</v>
      </c>
      <c r="P341" s="28" t="n">
        <v>0.165</v>
      </c>
      <c r="Q341" s="28" t="n">
        <v>0.08756899999999999</v>
      </c>
      <c r="R341" s="26" t="n">
        <v>0</v>
      </c>
      <c r="S341" s="29" t="n">
        <v>1</v>
      </c>
      <c r="T341" s="24" t="inlineStr">
        <is>
          <t>cfb-spread-v1</t>
        </is>
      </c>
      <c r="U341" s="24" t="inlineStr">
        <is>
          <t>settled</t>
        </is>
      </c>
      <c r="V341" s="24" t="inlineStr">
        <is>
          <t>loss</t>
        </is>
      </c>
      <c r="W341" s="26" t="n">
        <v>41</v>
      </c>
      <c r="X341" s="26" t="n">
        <v>34</v>
      </c>
      <c r="Y341" s="25" t="n"/>
      <c r="Z341" s="26" t="n"/>
      <c r="AA341" s="28" t="n"/>
      <c r="AB341" s="28" t="n"/>
      <c r="AC341" s="30" t="n">
        <v>-1</v>
      </c>
      <c r="AD341" s="24" t="inlineStr">
        <is>
          <t>2026-09-20T04:30:57.434729Z</t>
        </is>
      </c>
      <c r="AE341" s="31" t="inlineStr">
        <is>
          <t>Projected home margin +8.4 pts. Spread: Home -3.5 / Away +3.5 -&gt; P(Away cover)=0.393, P(Home cover)=0.607, P(Push)=0.000.</t>
        </is>
      </c>
      <c r="AF341" s="31" t="inlineStr">
        <is>
          <t>College football model; multi-market (moneyline, spread, total).</t>
        </is>
      </c>
      <c r="AG341" s="24" t="inlineStr">
        <is>
          <t>review_required</t>
        </is>
      </c>
      <c r="AH341" s="24" t="n"/>
      <c r="AI341" s="31" t="n"/>
      <c r="AJ341" s="31" t="n"/>
      <c r="AK341" s="24" t="inlineStr">
        <is>
          <t>model_qualified</t>
        </is>
      </c>
      <c r="AL341" s="26" t="n">
        <v>4</v>
      </c>
      <c r="AM341" s="24" t="inlineStr">
        <is>
          <t>QUALIFIED_SHADOW_CALL</t>
        </is>
      </c>
      <c r="AN341" s="24" t="inlineStr">
        <is>
          <t>CALL</t>
        </is>
      </c>
      <c r="AO341" s="24" t="inlineStr">
        <is>
          <t>QUALIFIED</t>
        </is>
      </c>
      <c r="AP341" s="24" t="inlineStr">
        <is>
          <t>Mississippi State Bulldogs</t>
        </is>
      </c>
      <c r="AQ341" s="24" t="inlineStr">
        <is>
          <t>Mississippi State Bulldogs</t>
        </is>
      </c>
      <c r="AR341" s="24" t="inlineStr">
        <is>
          <t>Mississippi State Bulldogs</t>
        </is>
      </c>
      <c r="AS341" s="24" t="inlineStr">
        <is>
          <t>South Carolina Gamecocks</t>
        </is>
      </c>
      <c r="AT341" s="24" t="inlineStr">
        <is>
          <t>South Carolina Gamecocks</t>
        </is>
      </c>
      <c r="AU341" s="24" t="inlineStr">
        <is>
          <t>South Carolina Gamecocks</t>
        </is>
      </c>
      <c r="AV341" s="24" t="n"/>
      <c r="AW341" s="24" t="n"/>
      <c r="AX341" s="24" t="inlineStr">
        <is>
          <t>statistical_model</t>
        </is>
      </c>
      <c r="AY341" s="24" t="n"/>
      <c r="AZ341" s="24" t="inlineStr">
        <is>
          <t>shadow_qualified</t>
        </is>
      </c>
      <c r="BA341" s="24" t="inlineStr">
        <is>
          <t>1d168f11d221cd3c</t>
        </is>
      </c>
      <c r="BB341" s="24" t="inlineStr">
        <is>
          <t>cfb_key_number_engine</t>
        </is>
      </c>
      <c r="BC341" s="24" t="inlineStr">
        <is>
          <t>cfb-spread-v1</t>
        </is>
      </c>
      <c r="BD341" s="24" t="inlineStr">
        <is>
          <t>1d168f11d221cd3c</t>
        </is>
      </c>
      <c r="BE341" s="24" t="inlineStr">
        <is>
          <t>cfb-v1</t>
        </is>
      </c>
      <c r="BF341" s="24" t="inlineStr">
        <is>
          <t>1</t>
        </is>
      </c>
      <c r="BG341" s="24" t="inlineStr">
        <is>
          <t>1d168f11d221cd3c</t>
        </is>
      </c>
      <c r="BH341" s="24" t="inlineStr">
        <is>
          <t>2026-09-19T17:08:25.088129+00:00</t>
        </is>
      </c>
      <c r="BI341" s="24" t="inlineStr">
        <is>
          <t>["same_event","same_team_same_day","same_league_same_day"]</t>
        </is>
      </c>
      <c r="BJ341" s="25" t="n">
        <v>-3.5</v>
      </c>
      <c r="BK341" s="26" t="n">
        <v>-108</v>
      </c>
      <c r="BL341" s="27" t="n">
        <v>1.925926</v>
      </c>
      <c r="BM341" s="28" t="n">
        <v>0.519231</v>
      </c>
      <c r="BN341" s="28" t="n"/>
      <c r="BO341" s="28" t="n"/>
      <c r="BP341" s="25" t="n"/>
      <c r="BQ341" s="27" t="n"/>
      <c r="BR341" s="28" t="n"/>
      <c r="BS341" s="28" t="n"/>
      <c r="BT341" s="28" t="n"/>
      <c r="BU341" s="25" t="n"/>
      <c r="BV341" s="29" t="n"/>
      <c r="BW341" s="24" t="n"/>
      <c r="BX341" s="30" t="n"/>
      <c r="BY341" s="27" t="n"/>
      <c r="BZ341" s="24" t="n"/>
      <c r="CA341" s="31" t="n"/>
      <c r="CB341" s="24" t="n"/>
      <c r="CC341" s="24" t="n"/>
      <c r="CD341" s="24" t="n"/>
      <c r="CE341" s="24" t="n"/>
      <c r="CF341" s="24" t="n"/>
      <c r="CG341" s="24" t="n"/>
      <c r="CH341" s="24" t="n"/>
      <c r="CI341" s="24" t="n"/>
      <c r="CJ341" s="24" t="n"/>
      <c r="CK341" s="24" t="n"/>
      <c r="CL341" s="24" t="n"/>
      <c r="CM341" s="24" t="n"/>
      <c r="CN341" s="24" t="n"/>
      <c r="CO341" s="24" t="n"/>
      <c r="CP341" s="24" t="n"/>
      <c r="CQ341" s="24" t="n"/>
      <c r="CR341" s="24" t="n"/>
      <c r="CS341" s="24" t="inlineStr">
        <is>
          <t>True</t>
        </is>
      </c>
      <c r="CT341" s="24" t="n"/>
      <c r="CU341" s="24" t="n"/>
      <c r="CV341" s="24" t="n"/>
      <c r="CW341" s="24" t="n"/>
      <c r="CX341" s="24" t="n"/>
      <c r="CY341" s="24" t="n"/>
      <c r="CZ341" s="24" t="n"/>
      <c r="DA341" s="24" t="n"/>
      <c r="DB341" s="24" t="n"/>
      <c r="DC341" s="24" t="n"/>
      <c r="DD341" s="24" t="n"/>
      <c r="DE341" s="24" t="n"/>
      <c r="DF341" s="24" t="n"/>
      <c r="DG341" s="24" t="n"/>
      <c r="DH341" s="24" t="n"/>
      <c r="DI341" s="24" t="n"/>
      <c r="DJ341" s="24" t="inlineStr">
        <is>
          <t>0.519231</t>
        </is>
      </c>
      <c r="DK341" s="24" t="n"/>
      <c r="DL341" s="24" t="n"/>
      <c r="DM341" s="24" t="n"/>
      <c r="DN341" s="24" t="n"/>
      <c r="DO341" s="24" t="n"/>
      <c r="DP341" s="24" t="n"/>
      <c r="DQ341" s="24" t="inlineStr">
        <is>
          <t>{"artifact_hash": "1d168f11d221cd3c", "event_id": "401856691", "event_start_utc": "2026-09-19T20:15Z", "features": {"altitude_fatigue_penalty": 0.0, "away_team": "Mississippi State Bulldogs", "efficiency_gap": 0.226, "elo_away": 1388.2, "elo_home": 1531.9, "elo_home_win_prob": 0.7688, "event_id": "401856691", "game_start_utc": "2026-09-19T20:15Z", "home_field_advantage_points": 2.8, "home_team": "South Carolina Gamecocks", "is_dome": false, "is_fbs_vs_fcs": false, "is_neutral_site": false, "projected_away_points": 24.7, "projected_home_points": 33.1, "projected_margin_home": 8.4, "projected_possessions": 12.4, "projected_total": 57.8, "stadium_elevation_ft": 210, "travel_distance_miles": 448.0, "uncertainty": 0.165, "weather_total_adjustment": 0.0}, "historical_source_observation_times_verified": false, "inference_inputs": {"engine_source_sha256": "449ba2f0e86fa9c445730076a0e0bf100fb4914620be53c75c6f3bfe24298f3f", "mu_away": 24.7, "mu_home": 33.1,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34743979915506734906043685468384591883}, "uinteger": 0}, "spread_home_line": -3.5, "total_line": 58.5}, "market_type": "spread", "model_version": "cfb-spread-v1", "observed_at_utc": "2026-09-19T17:08:25.088129+00:00", "probabilities": {"away": 0.3932, "home": 0.6068, "push": 0.0}, "replay_scope": "Full precision score means, exact engine parameters and original RNG state; upstream feature construction not certified.", "schema": "cfb-joint-replay-v1", "snapshot_hash": "9910eeef5da730f59438b2d06cde44208dc225fc8cda503cdbf91bceebe27181", "sport": "NCAAF"}</t>
        </is>
      </c>
    </row>
    <row r="342" ht="36" customHeight="1">
      <c r="A342" s="24" t="inlineStr">
        <is>
          <t>6022cb2909764527</t>
        </is>
      </c>
      <c r="B342" s="24" t="inlineStr">
        <is>
          <t>2026-09-19T17:08:25.088129Z</t>
        </is>
      </c>
      <c r="C342" s="24" t="inlineStr">
        <is>
          <t>2026-09-19T20:15Z</t>
        </is>
      </c>
      <c r="D342" s="24" t="inlineStr">
        <is>
          <t>401856691</t>
        </is>
      </c>
      <c r="E342" s="24" t="inlineStr">
        <is>
          <t>NCAAF</t>
        </is>
      </c>
      <c r="F342" s="24" t="inlineStr">
        <is>
          <t>Mississippi State Bulldogs</t>
        </is>
      </c>
      <c r="G342" s="24" t="inlineStr">
        <is>
          <t>South Carolina Gamecocks</t>
        </is>
      </c>
      <c r="H342" s="24" t="inlineStr">
        <is>
          <t>total</t>
        </is>
      </c>
      <c r="I342" s="24" t="inlineStr">
        <is>
          <t>under</t>
        </is>
      </c>
      <c r="J342" s="25" t="n">
        <v>58.5</v>
      </c>
      <c r="K342" s="24" t="inlineStr">
        <is>
          <t>espn_consensus</t>
        </is>
      </c>
      <c r="L342" s="26" t="n">
        <v>-105</v>
      </c>
      <c r="M342" s="27" t="n">
        <v>1.952381</v>
      </c>
      <c r="N342" s="28" t="n">
        <v>0.512195</v>
      </c>
      <c r="O342" s="28" t="n">
        <v>0.5456</v>
      </c>
      <c r="P342" s="28" t="n">
        <v>0.165</v>
      </c>
      <c r="Q342" s="28" t="n">
        <v>0.033405</v>
      </c>
      <c r="R342" s="26" t="n">
        <v>0</v>
      </c>
      <c r="S342" s="29" t="n">
        <v>1</v>
      </c>
      <c r="T342" s="24" t="inlineStr">
        <is>
          <t>cfb-total-v1</t>
        </is>
      </c>
      <c r="U342" s="24" t="inlineStr">
        <is>
          <t>settled</t>
        </is>
      </c>
      <c r="V342" s="24" t="inlineStr">
        <is>
          <t>loss</t>
        </is>
      </c>
      <c r="W342" s="26" t="n">
        <v>41</v>
      </c>
      <c r="X342" s="26" t="n">
        <v>34</v>
      </c>
      <c r="Y342" s="25" t="n"/>
      <c r="Z342" s="26" t="n"/>
      <c r="AA342" s="28" t="n"/>
      <c r="AB342" s="28" t="n"/>
      <c r="AC342" s="30" t="n">
        <v>-1</v>
      </c>
      <c r="AD342" s="24" t="inlineStr">
        <is>
          <t>2026-09-20T04:30:57.929361Z</t>
        </is>
      </c>
      <c r="AE342" s="31" t="inlineStr">
        <is>
          <t>Projected total 57.8 pts (Weather adj: +0.0 pts). Total line 58.5 -&gt; P(Over)=0.454, P(Under)=0.546, P(Push)=0.000.</t>
        </is>
      </c>
      <c r="AF342" s="31" t="inlineStr">
        <is>
          <t>College football model; multi-market (moneyline, spread, total).</t>
        </is>
      </c>
      <c r="AG342" s="24" t="inlineStr">
        <is>
          <t>review_required</t>
        </is>
      </c>
      <c r="AH342" s="24" t="n"/>
      <c r="AI342" s="31" t="n"/>
      <c r="AJ342" s="31" t="n"/>
      <c r="AK342" s="24" t="inlineStr">
        <is>
          <t>model_qualified</t>
        </is>
      </c>
      <c r="AL342" s="26" t="n">
        <v>4</v>
      </c>
      <c r="AM342" s="24" t="inlineStr">
        <is>
          <t>QUALIFIED_SHADOW_CALL</t>
        </is>
      </c>
      <c r="AN342" s="24" t="inlineStr">
        <is>
          <t>CALL</t>
        </is>
      </c>
      <c r="AO342" s="24" t="inlineStr">
        <is>
          <t>QUALIFIED</t>
        </is>
      </c>
      <c r="AP342" s="24" t="inlineStr">
        <is>
          <t>Mississippi State Bulldogs</t>
        </is>
      </c>
      <c r="AQ342" s="24" t="inlineStr">
        <is>
          <t>Mississippi State Bulldogs</t>
        </is>
      </c>
      <c r="AR342" s="24" t="inlineStr">
        <is>
          <t>Mississippi State Bulldogs</t>
        </is>
      </c>
      <c r="AS342" s="24" t="inlineStr">
        <is>
          <t>South Carolina Gamecocks</t>
        </is>
      </c>
      <c r="AT342" s="24" t="inlineStr">
        <is>
          <t>South Carolina Gamecocks</t>
        </is>
      </c>
      <c r="AU342" s="24" t="inlineStr">
        <is>
          <t>South Carolina Gamecocks</t>
        </is>
      </c>
      <c r="AV342" s="24" t="n"/>
      <c r="AW342" s="24" t="n"/>
      <c r="AX342" s="24" t="inlineStr">
        <is>
          <t>statistical_model</t>
        </is>
      </c>
      <c r="AY342" s="24" t="n"/>
      <c r="AZ342" s="24" t="inlineStr">
        <is>
          <t>shadow_qualified</t>
        </is>
      </c>
      <c r="BA342" s="24" t="inlineStr">
        <is>
          <t>1d168f11d221cd3c</t>
        </is>
      </c>
      <c r="BB342" s="24" t="inlineStr">
        <is>
          <t>cfb_key_number_engine</t>
        </is>
      </c>
      <c r="BC342" s="24" t="inlineStr">
        <is>
          <t>cfb-total-v1</t>
        </is>
      </c>
      <c r="BD342" s="24" t="inlineStr">
        <is>
          <t>1d168f11d221cd3c</t>
        </is>
      </c>
      <c r="BE342" s="24" t="inlineStr">
        <is>
          <t>cfb-v1</t>
        </is>
      </c>
      <c r="BF342" s="24" t="inlineStr">
        <is>
          <t>1</t>
        </is>
      </c>
      <c r="BG342" s="24" t="inlineStr">
        <is>
          <t>1d168f11d221cd3c</t>
        </is>
      </c>
      <c r="BH342" s="24" t="inlineStr">
        <is>
          <t>2026-09-19T17:08:25.088129+00:00</t>
        </is>
      </c>
      <c r="BI342" s="24" t="inlineStr">
        <is>
          <t>["same_event","same_team_same_day","same_league_same_day"]</t>
        </is>
      </c>
      <c r="BJ342" s="25" t="n">
        <v>58.5</v>
      </c>
      <c r="BK342" s="26" t="n">
        <v>-105</v>
      </c>
      <c r="BL342" s="27" t="n">
        <v>1.952381</v>
      </c>
      <c r="BM342" s="28" t="n">
        <v>0.512195</v>
      </c>
      <c r="BN342" s="28" t="n"/>
      <c r="BO342" s="28" t="n"/>
      <c r="BP342" s="25" t="n"/>
      <c r="BQ342" s="27" t="n"/>
      <c r="BR342" s="28" t="n"/>
      <c r="BS342" s="28" t="n"/>
      <c r="BT342" s="28" t="n"/>
      <c r="BU342" s="25" t="n"/>
      <c r="BV342" s="29" t="n"/>
      <c r="BW342" s="24" t="n"/>
      <c r="BX342" s="30" t="n"/>
      <c r="BY342" s="27" t="n"/>
      <c r="BZ342" s="24" t="n"/>
      <c r="CA342" s="31" t="n"/>
      <c r="CB342" s="24" t="n"/>
      <c r="CC342" s="24" t="n"/>
      <c r="CD342" s="24" t="n"/>
      <c r="CE342" s="24" t="n"/>
      <c r="CF342" s="24" t="n"/>
      <c r="CG342" s="24" t="n"/>
      <c r="CH342" s="24" t="n"/>
      <c r="CI342" s="24" t="n"/>
      <c r="CJ342" s="24" t="n"/>
      <c r="CK342" s="24" t="n"/>
      <c r="CL342" s="24" t="n"/>
      <c r="CM342" s="24" t="n"/>
      <c r="CN342" s="24" t="n"/>
      <c r="CO342" s="24" t="n"/>
      <c r="CP342" s="24" t="n"/>
      <c r="CQ342" s="24" t="n"/>
      <c r="CR342" s="24" t="n"/>
      <c r="CS342" s="24" t="inlineStr">
        <is>
          <t>True</t>
        </is>
      </c>
      <c r="CT342" s="24" t="n"/>
      <c r="CU342" s="24" t="n"/>
      <c r="CV342" s="24" t="n"/>
      <c r="CW342" s="24" t="n"/>
      <c r="CX342" s="24" t="n"/>
      <c r="CY342" s="24" t="n"/>
      <c r="CZ342" s="24" t="n"/>
      <c r="DA342" s="24" t="n"/>
      <c r="DB342" s="24" t="n"/>
      <c r="DC342" s="24" t="n"/>
      <c r="DD342" s="24" t="n"/>
      <c r="DE342" s="24" t="n"/>
      <c r="DF342" s="24" t="n"/>
      <c r="DG342" s="24" t="n"/>
      <c r="DH342" s="24" t="n"/>
      <c r="DI342" s="24" t="n"/>
      <c r="DJ342" s="24" t="inlineStr">
        <is>
          <t>0.512195</t>
        </is>
      </c>
      <c r="DK342" s="24" t="n"/>
      <c r="DL342" s="24" t="n"/>
      <c r="DM342" s="24" t="n"/>
      <c r="DN342" s="24" t="n"/>
      <c r="DO342" s="24" t="n"/>
      <c r="DP342" s="24" t="n"/>
      <c r="DQ342" s="24" t="inlineStr">
        <is>
          <t>{"artifact_hash": "1d168f11d221cd3c", "event_id": "401856691", "event_start_utc": "2026-09-19T20:15Z", "features": {"altitude_fatigue_penalty": 0.0, "away_team": "Mississippi State Bulldogs", "efficiency_gap": 0.226, "elo_away": 1388.2, "elo_home": 1531.9, "elo_home_win_prob": 0.7688, "event_id": "401856691", "game_start_utc": "2026-09-19T20:15Z", "home_field_advantage_points": 2.8, "home_team": "South Carolina Gamecocks", "is_dome": false, "is_fbs_vs_fcs": false, "is_neutral_site": false, "projected_away_points": 24.7, "projected_home_points": 33.1, "projected_margin_home": 8.4, "projected_possessions": 12.4, "projected_total": 57.8, "stadium_elevation_ft": 210, "travel_distance_miles": 448.0, "uncertainty": 0.165, "weather_total_adjustment": 0.0}, "historical_source_observation_times_verified": false, "inference_inputs": {"engine_source_sha256": "449ba2f0e86fa9c445730076a0e0bf100fb4914620be53c75c6f3bfe24298f3f", "mu_away": 24.7, "mu_home": 33.1,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34743979915506734906043685468384591883}, "uinteger": 0}, "spread_home_line": -3.5, "total_line": 58.5}, "market_type": "total", "model_version": "cfb-total-v1", "observed_at_utc": "2026-09-19T17:08:25.088129+00:00", "probabilities": {"over": 0.4544, "push": 0.0, "under": 0.5456}, "replay_scope": "Full precision score means, exact engine parameters and original RNG state; upstream feature construction not certified.", "schema": "cfb-joint-replay-v1", "snapshot_hash": "467dde10742720bc3d85cc76a419df5844a937234e2c8b9036e9f05e2ff0e9db", "sport": "NCAAF"}</t>
        </is>
      </c>
    </row>
    <row r="343" ht="36" customHeight="1">
      <c r="A343" s="24" t="inlineStr">
        <is>
          <t>27c63ad56322450b</t>
        </is>
      </c>
      <c r="B343" s="24" t="inlineStr">
        <is>
          <t>2026-09-19T17:08:25.088129Z</t>
        </is>
      </c>
      <c r="C343" s="24" t="inlineStr">
        <is>
          <t>2026-09-19T20:30Z</t>
        </is>
      </c>
      <c r="D343" s="24" t="inlineStr">
        <is>
          <t>401868317</t>
        </is>
      </c>
      <c r="E343" s="24" t="inlineStr">
        <is>
          <t>NCAAF</t>
        </is>
      </c>
      <c r="F343" s="24" t="inlineStr">
        <is>
          <t>SE Louisiana Lions</t>
        </is>
      </c>
      <c r="G343" s="24" t="inlineStr">
        <is>
          <t>UL Monroe Warhawks</t>
        </is>
      </c>
      <c r="H343" s="24" t="inlineStr">
        <is>
          <t>spread</t>
        </is>
      </c>
      <c r="I343" s="24" t="inlineStr">
        <is>
          <t>away</t>
        </is>
      </c>
      <c r="J343" s="25" t="n">
        <v>9.5</v>
      </c>
      <c r="K343" s="24" t="inlineStr">
        <is>
          <t>espn_consensus</t>
        </is>
      </c>
      <c r="L343" s="26" t="n">
        <v>-102</v>
      </c>
      <c r="M343" s="27" t="n">
        <v>1.980392</v>
      </c>
      <c r="N343" s="28" t="n">
        <v>0.50495</v>
      </c>
      <c r="O343" s="28" t="n">
        <v>0.7758</v>
      </c>
      <c r="P343" s="28" t="n">
        <v>0.18</v>
      </c>
      <c r="Q343" s="28" t="n">
        <v>0.27085</v>
      </c>
      <c r="R343" s="26" t="n">
        <v>77</v>
      </c>
      <c r="S343" s="29" t="n">
        <v>1.5</v>
      </c>
      <c r="T343" s="24" t="inlineStr">
        <is>
          <t>cfb-spread-v1</t>
        </is>
      </c>
      <c r="U343" s="24" t="inlineStr">
        <is>
          <t>settled</t>
        </is>
      </c>
      <c r="V343" s="24" t="inlineStr">
        <is>
          <t>win</t>
        </is>
      </c>
      <c r="W343" s="26" t="n">
        <v>38</v>
      </c>
      <c r="X343" s="26" t="n">
        <v>35</v>
      </c>
      <c r="Y343" s="25" t="n"/>
      <c r="Z343" s="26" t="n"/>
      <c r="AA343" s="28" t="n"/>
      <c r="AB343" s="28" t="n"/>
      <c r="AC343" s="30" t="n">
        <v>1.4706</v>
      </c>
      <c r="AD343" s="24" t="inlineStr">
        <is>
          <t>2026-09-20T04:30:58.417809Z</t>
        </is>
      </c>
      <c r="AE343" s="31" t="inlineStr">
        <is>
          <t>Projected home margin -5.5 pts. Spread: Home -9.5 / Away +9.5 -&gt; P(Away cover)=0.776, P(Home cover)=0.224, P(Push)=0.000.</t>
        </is>
      </c>
      <c r="AF343" s="31" t="inlineStr">
        <is>
          <t>College football model; multi-market (moneyline, spread, total).</t>
        </is>
      </c>
      <c r="AG343" s="24" t="inlineStr">
        <is>
          <t>not_applicable</t>
        </is>
      </c>
      <c r="AH343" s="24" t="n"/>
      <c r="AI343" s="31" t="n"/>
      <c r="AJ343" s="31" t="n"/>
      <c r="AK343" s="24" t="inlineStr">
        <is>
          <t>model_qualified</t>
        </is>
      </c>
      <c r="AL343" s="26" t="n">
        <v>4</v>
      </c>
      <c r="AM343" s="24" t="inlineStr">
        <is>
          <t>QUALIFIED_SHADOW_CALL</t>
        </is>
      </c>
      <c r="AN343" s="24" t="inlineStr">
        <is>
          <t>CALL</t>
        </is>
      </c>
      <c r="AO343" s="24" t="inlineStr">
        <is>
          <t>QUALIFIED</t>
        </is>
      </c>
      <c r="AP343" s="24" t="inlineStr">
        <is>
          <t>SE Louisiana Lions</t>
        </is>
      </c>
      <c r="AQ343" s="24" t="inlineStr">
        <is>
          <t>SE Louisiana Lions</t>
        </is>
      </c>
      <c r="AR343" s="24" t="inlineStr">
        <is>
          <t>SE Louisiana Lions</t>
        </is>
      </c>
      <c r="AS343" s="24" t="inlineStr">
        <is>
          <t>UL Monroe Warhawks</t>
        </is>
      </c>
      <c r="AT343" s="24" t="inlineStr">
        <is>
          <t>UL Monroe Warhawks</t>
        </is>
      </c>
      <c r="AU343" s="24" t="inlineStr">
        <is>
          <t>UL Monroe Warhawks</t>
        </is>
      </c>
      <c r="AV343" s="24" t="n"/>
      <c r="AW343" s="24" t="n"/>
      <c r="AX343" s="24" t="inlineStr">
        <is>
          <t>statistical_model</t>
        </is>
      </c>
      <c r="AY343" s="24" t="n"/>
      <c r="AZ343" s="24" t="inlineStr">
        <is>
          <t>shadow_qualified</t>
        </is>
      </c>
      <c r="BA343" s="24" t="inlineStr">
        <is>
          <t>1d168f11d221cd3c</t>
        </is>
      </c>
      <c r="BB343" s="24" t="inlineStr">
        <is>
          <t>cfb_key_number_engine</t>
        </is>
      </c>
      <c r="BC343" s="24" t="inlineStr">
        <is>
          <t>cfb-spread-v1</t>
        </is>
      </c>
      <c r="BD343" s="24" t="inlineStr">
        <is>
          <t>1d168f11d221cd3c</t>
        </is>
      </c>
      <c r="BE343" s="24" t="inlineStr">
        <is>
          <t>cfb-v1</t>
        </is>
      </c>
      <c r="BF343" s="24" t="inlineStr">
        <is>
          <t>1</t>
        </is>
      </c>
      <c r="BG343" s="24" t="inlineStr">
        <is>
          <t>1d168f11d221cd3c</t>
        </is>
      </c>
      <c r="BH343" s="24" t="inlineStr">
        <is>
          <t>2026-09-19T17:08:25.088129+00:00</t>
        </is>
      </c>
      <c r="BI343" s="24" t="inlineStr">
        <is>
          <t>["same_event","same_team_same_day","same_league_same_day"]</t>
        </is>
      </c>
      <c r="BJ343" s="25" t="n">
        <v>9.5</v>
      </c>
      <c r="BK343" s="26" t="n">
        <v>-102</v>
      </c>
      <c r="BL343" s="27" t="n">
        <v>1.980392</v>
      </c>
      <c r="BM343" s="28" t="n">
        <v>0.50495</v>
      </c>
      <c r="BN343" s="28" t="n"/>
      <c r="BO343" s="28" t="n"/>
      <c r="BP343" s="25" t="n"/>
      <c r="BQ343" s="27" t="n"/>
      <c r="BR343" s="28" t="n"/>
      <c r="BS343" s="28" t="n"/>
      <c r="BT343" s="28" t="n"/>
      <c r="BU343" s="25" t="n"/>
      <c r="BV343" s="29" t="n"/>
      <c r="BW343" s="24" t="n"/>
      <c r="BX343" s="30" t="n"/>
      <c r="BY343" s="27" t="n"/>
      <c r="BZ343" s="24" t="n"/>
      <c r="CA343" s="31" t="n"/>
      <c r="CB343" s="24" t="n"/>
      <c r="CC343" s="24" t="n"/>
      <c r="CD343" s="24" t="n"/>
      <c r="CE343" s="24" t="n"/>
      <c r="CF343" s="24" t="n"/>
      <c r="CG343" s="24" t="n"/>
      <c r="CH343" s="24" t="n"/>
      <c r="CI343" s="24" t="n"/>
      <c r="CJ343" s="24" t="n"/>
      <c r="CK343" s="24" t="n"/>
      <c r="CL343" s="24" t="n"/>
      <c r="CM343" s="24" t="n"/>
      <c r="CN343" s="24" t="n"/>
      <c r="CO343" s="24" t="n"/>
      <c r="CP343" s="24" t="n"/>
      <c r="CQ343" s="24" t="n"/>
      <c r="CR343" s="24" t="n"/>
      <c r="CS343" s="24" t="inlineStr">
        <is>
          <t>True</t>
        </is>
      </c>
      <c r="CT343" s="24" t="n"/>
      <c r="CU343" s="24" t="n"/>
      <c r="CV343" s="24" t="n"/>
      <c r="CW343" s="24" t="n"/>
      <c r="CX343" s="24" t="n"/>
      <c r="CY343" s="24" t="n"/>
      <c r="CZ343" s="24" t="n"/>
      <c r="DA343" s="24" t="n"/>
      <c r="DB343" s="24" t="n"/>
      <c r="DC343" s="24" t="n"/>
      <c r="DD343" s="24" t="n"/>
      <c r="DE343" s="24" t="n"/>
      <c r="DF343" s="24" t="n"/>
      <c r="DG343" s="24" t="n"/>
      <c r="DH343" s="24" t="n"/>
      <c r="DI343" s="24" t="n"/>
      <c r="DJ343" s="24" t="inlineStr">
        <is>
          <t>0.50495</t>
        </is>
      </c>
      <c r="DK343" s="24" t="n"/>
      <c r="DL343" s="24" t="n"/>
      <c r="DM343" s="24" t="n"/>
      <c r="DN343" s="24" t="n"/>
      <c r="DO343" s="24" t="n"/>
      <c r="DP343" s="24" t="n"/>
      <c r="DQ343" s="24" t="inlineStr">
        <is>
          <t>{"artifact_hash": "1d168f11d221cd3c", "event_id": "401868317", "event_start_utc": "2026-09-19T20:30Z", "features": {"altitude_fatigue_penalty": 0.0, "away_team": "SE Louisiana Lions", "efficiency_gap": -0.836, "elo_away": 1337.5, "elo_home": 1138.8, "elo_home_win_prob": 0.3165, "event_id": "401868317", "game_start_utc": "2026-09-19T20:30Z", "home_field_advantage_points": 2.8, "home_team": "UL Monroe Warhawks", "is_dome": false, "is_fbs_vs_fcs": false, "is_neutral_site": false, "projected_away_points": 29.0, "projected_home_points": 23.5, "projected_margin_home": -5.5, "projected_possessions": 12.4, "projected_total": 52.5,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29.0, "mu_home": 23.5,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27950783344101206512768051432048024724}, "uinteger": 0}, "spread_home_line": -9.5, "total_line": 48.5}, "market_type": "spread", "model_version": "cfb-spread-v1", "observed_at_utc": "2026-09-19T17:08:25.088129+00:00", "probabilities": {"away": 0.7758, "home": 0.2242, "push": 0.0}, "replay_scope": "Full precision score means, exact engine parameters and original RNG state; upstream feature construction not certified.", "schema": "cfb-joint-replay-v1", "snapshot_hash": "150c3fa17ffd1639e63ebc1d13fa1c4c2016b4fe572ab1fe837a8ccd0ea3bb16", "sport": "NCAAF"}</t>
        </is>
      </c>
    </row>
    <row r="344" ht="36" customHeight="1">
      <c r="A344" s="24" t="inlineStr">
        <is>
          <t>18927077401546fe</t>
        </is>
      </c>
      <c r="B344" s="24" t="inlineStr">
        <is>
          <t>2026-09-19T17:08:25.088129Z</t>
        </is>
      </c>
      <c r="C344" s="24" t="inlineStr">
        <is>
          <t>2026-09-19T20:30Z</t>
        </is>
      </c>
      <c r="D344" s="24" t="inlineStr">
        <is>
          <t>401868317</t>
        </is>
      </c>
      <c r="E344" s="24" t="inlineStr">
        <is>
          <t>NCAAF</t>
        </is>
      </c>
      <c r="F344" s="24" t="inlineStr">
        <is>
          <t>SE Louisiana Lions</t>
        </is>
      </c>
      <c r="G344" s="24" t="inlineStr">
        <is>
          <t>UL Monroe Warhawks</t>
        </is>
      </c>
      <c r="H344" s="24" t="inlineStr">
        <is>
          <t>total</t>
        </is>
      </c>
      <c r="I344" s="24" t="inlineStr">
        <is>
          <t>over</t>
        </is>
      </c>
      <c r="J344" s="25" t="n">
        <v>48.5</v>
      </c>
      <c r="K344" s="24" t="inlineStr">
        <is>
          <t>espn_consensus</t>
        </is>
      </c>
      <c r="L344" s="26" t="n">
        <v>-105</v>
      </c>
      <c r="M344" s="27" t="n">
        <v>1.952381</v>
      </c>
      <c r="N344" s="28" t="n">
        <v>0.512195</v>
      </c>
      <c r="O344" s="28" t="n">
        <v>0.542333</v>
      </c>
      <c r="P344" s="28" t="n">
        <v>0.18</v>
      </c>
      <c r="Q344" s="28" t="n">
        <v>0.030138</v>
      </c>
      <c r="R344" s="26" t="n">
        <v>0</v>
      </c>
      <c r="S344" s="29" t="n">
        <v>1</v>
      </c>
      <c r="T344" s="24" t="inlineStr">
        <is>
          <t>cfb-total-v1</t>
        </is>
      </c>
      <c r="U344" s="24" t="inlineStr">
        <is>
          <t>settled</t>
        </is>
      </c>
      <c r="V344" s="24" t="inlineStr">
        <is>
          <t>win</t>
        </is>
      </c>
      <c r="W344" s="26" t="n">
        <v>38</v>
      </c>
      <c r="X344" s="26" t="n">
        <v>35</v>
      </c>
      <c r="Y344" s="25" t="n"/>
      <c r="Z344" s="26" t="n"/>
      <c r="AA344" s="28" t="n"/>
      <c r="AB344" s="28" t="n"/>
      <c r="AC344" s="30" t="n">
        <v>0.9524</v>
      </c>
      <c r="AD344" s="24" t="inlineStr">
        <is>
          <t>2026-09-20T04:30:58.963588Z</t>
        </is>
      </c>
      <c r="AE344" s="31" t="inlineStr">
        <is>
          <t>Projected total 52.5 pts (Weather adj: +0.0 pts). Total line 48.5 -&gt; P(Over)=0.542, P(Under)=0.458, P(Push)=0.000.</t>
        </is>
      </c>
      <c r="AF344" s="31" t="inlineStr">
        <is>
          <t>College football model; multi-market (moneyline, spread, total).</t>
        </is>
      </c>
      <c r="AG344" s="24" t="inlineStr">
        <is>
          <t>not_applicable</t>
        </is>
      </c>
      <c r="AH344" s="24" t="n"/>
      <c r="AI344" s="31" t="n"/>
      <c r="AJ344" s="31" t="n"/>
      <c r="AK344" s="24" t="inlineStr">
        <is>
          <t>model_qualified</t>
        </is>
      </c>
      <c r="AL344" s="26" t="n">
        <v>4</v>
      </c>
      <c r="AM344" s="24" t="inlineStr">
        <is>
          <t>QUALIFIED_SHADOW_CALL</t>
        </is>
      </c>
      <c r="AN344" s="24" t="inlineStr">
        <is>
          <t>CALL</t>
        </is>
      </c>
      <c r="AO344" s="24" t="inlineStr">
        <is>
          <t>QUALIFIED</t>
        </is>
      </c>
      <c r="AP344" s="24" t="inlineStr">
        <is>
          <t>SE Louisiana Lions</t>
        </is>
      </c>
      <c r="AQ344" s="24" t="inlineStr">
        <is>
          <t>SE Louisiana Lions</t>
        </is>
      </c>
      <c r="AR344" s="24" t="inlineStr">
        <is>
          <t>SE Louisiana Lions</t>
        </is>
      </c>
      <c r="AS344" s="24" t="inlineStr">
        <is>
          <t>UL Monroe Warhawks</t>
        </is>
      </c>
      <c r="AT344" s="24" t="inlineStr">
        <is>
          <t>UL Monroe Warhawks</t>
        </is>
      </c>
      <c r="AU344" s="24" t="inlineStr">
        <is>
          <t>UL Monroe Warhawks</t>
        </is>
      </c>
      <c r="AV344" s="24" t="n"/>
      <c r="AW344" s="24" t="n"/>
      <c r="AX344" s="24" t="inlineStr">
        <is>
          <t>statistical_model</t>
        </is>
      </c>
      <c r="AY344" s="24" t="n"/>
      <c r="AZ344" s="24" t="inlineStr">
        <is>
          <t>shadow_qualified</t>
        </is>
      </c>
      <c r="BA344" s="24" t="inlineStr">
        <is>
          <t>1d168f11d221cd3c</t>
        </is>
      </c>
      <c r="BB344" s="24" t="inlineStr">
        <is>
          <t>cfb_key_number_engine</t>
        </is>
      </c>
      <c r="BC344" s="24" t="inlineStr">
        <is>
          <t>cfb-total-v1</t>
        </is>
      </c>
      <c r="BD344" s="24" t="inlineStr">
        <is>
          <t>1d168f11d221cd3c</t>
        </is>
      </c>
      <c r="BE344" s="24" t="inlineStr">
        <is>
          <t>cfb-v1</t>
        </is>
      </c>
      <c r="BF344" s="24" t="inlineStr">
        <is>
          <t>1</t>
        </is>
      </c>
      <c r="BG344" s="24" t="inlineStr">
        <is>
          <t>1d168f11d221cd3c</t>
        </is>
      </c>
      <c r="BH344" s="24" t="inlineStr">
        <is>
          <t>2026-09-19T17:08:25.088129+00:00</t>
        </is>
      </c>
      <c r="BI344" s="24" t="inlineStr">
        <is>
          <t>["same_event","same_team_same_day","same_league_same_day"]</t>
        </is>
      </c>
      <c r="BJ344" s="25" t="n">
        <v>48.5</v>
      </c>
      <c r="BK344" s="26" t="n">
        <v>-105</v>
      </c>
      <c r="BL344" s="27" t="n">
        <v>1.952381</v>
      </c>
      <c r="BM344" s="28" t="n">
        <v>0.512195</v>
      </c>
      <c r="BN344" s="28" t="n"/>
      <c r="BO344" s="28" t="n"/>
      <c r="BP344" s="25" t="n"/>
      <c r="BQ344" s="27" t="n"/>
      <c r="BR344" s="28" t="n"/>
      <c r="BS344" s="28" t="n"/>
      <c r="BT344" s="28" t="n"/>
      <c r="BU344" s="25" t="n"/>
      <c r="BV344" s="29" t="n"/>
      <c r="BW344" s="24" t="n"/>
      <c r="BX344" s="30" t="n"/>
      <c r="BY344" s="27" t="n"/>
      <c r="BZ344" s="24" t="n"/>
      <c r="CA344" s="31" t="n"/>
      <c r="CB344" s="24" t="n"/>
      <c r="CC344" s="24" t="n"/>
      <c r="CD344" s="24" t="n"/>
      <c r="CE344" s="24" t="n"/>
      <c r="CF344" s="24" t="n"/>
      <c r="CG344" s="24" t="n"/>
      <c r="CH344" s="24" t="n"/>
      <c r="CI344" s="24" t="n"/>
      <c r="CJ344" s="24" t="n"/>
      <c r="CK344" s="24" t="n"/>
      <c r="CL344" s="24" t="n"/>
      <c r="CM344" s="24" t="n"/>
      <c r="CN344" s="24" t="n"/>
      <c r="CO344" s="24" t="n"/>
      <c r="CP344" s="24" t="n"/>
      <c r="CQ344" s="24" t="n"/>
      <c r="CR344" s="24" t="n"/>
      <c r="CS344" s="24" t="inlineStr">
        <is>
          <t>True</t>
        </is>
      </c>
      <c r="CT344" s="24" t="n"/>
      <c r="CU344" s="24" t="n"/>
      <c r="CV344" s="24" t="n"/>
      <c r="CW344" s="24" t="n"/>
      <c r="CX344" s="24" t="n"/>
      <c r="CY344" s="24" t="n"/>
      <c r="CZ344" s="24" t="n"/>
      <c r="DA344" s="24" t="n"/>
      <c r="DB344" s="24" t="n"/>
      <c r="DC344" s="24" t="n"/>
      <c r="DD344" s="24" t="n"/>
      <c r="DE344" s="24" t="n"/>
      <c r="DF344" s="24" t="n"/>
      <c r="DG344" s="24" t="n"/>
      <c r="DH344" s="24" t="n"/>
      <c r="DI344" s="24" t="n"/>
      <c r="DJ344" s="24" t="inlineStr">
        <is>
          <t>0.512195</t>
        </is>
      </c>
      <c r="DK344" s="24" t="n"/>
      <c r="DL344" s="24" t="n"/>
      <c r="DM344" s="24" t="n"/>
      <c r="DN344" s="24" t="n"/>
      <c r="DO344" s="24" t="n"/>
      <c r="DP344" s="24" t="n"/>
      <c r="DQ344" s="24" t="inlineStr">
        <is>
          <t>{"artifact_hash": "1d168f11d221cd3c", "event_id": "401868317", "event_start_utc": "2026-09-19T20:30Z", "features": {"altitude_fatigue_penalty": 0.0, "away_team": "SE Louisiana Lions", "efficiency_gap": -0.836, "elo_away": 1337.5, "elo_home": 1138.8, "elo_home_win_prob": 0.3165, "event_id": "401868317", "game_start_utc": "2026-09-19T20:30Z", "home_field_advantage_points": 2.8, "home_team": "UL Monroe Warhawks", "is_dome": false, "is_fbs_vs_fcs": false, "is_neutral_site": false, "projected_away_points": 29.0, "projected_home_points": 23.5, "projected_margin_home": -5.5, "projected_possessions": 12.4, "projected_total": 52.5,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29.0, "mu_home": 23.5,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27950783344101206512768051432048024724}, "uinteger": 0}, "spread_home_line": -9.5, "total_line": 48.5}, "market_type": "total", "model_version": "cfb-total-v1", "observed_at_utc": "2026-09-19T17:08:25.088129+00:00", "probabilities": {"over": 0.542333, "push": 0.0, "under": 0.457667}, "replay_scope": "Full precision score means, exact engine parameters and original RNG state; upstream feature construction not certified.", "schema": "cfb-joint-replay-v1", "snapshot_hash": "8cebd24c648c7e326106506588b4e7e0e0121237a2d7b10fe009a3f0a43b3f1a", "sport": "NCAAF"}</t>
        </is>
      </c>
    </row>
    <row r="345" ht="36" customHeight="1">
      <c r="A345" s="24" t="inlineStr">
        <is>
          <t>a6b0503c7068490f</t>
        </is>
      </c>
      <c r="B345" s="24" t="inlineStr">
        <is>
          <t>2026-09-19T17:08:25.088129Z</t>
        </is>
      </c>
      <c r="C345" s="24" t="inlineStr">
        <is>
          <t>2026-09-19T22:00Z</t>
        </is>
      </c>
      <c r="D345" s="24" t="inlineStr">
        <is>
          <t>401862710</t>
        </is>
      </c>
      <c r="E345" s="24" t="inlineStr">
        <is>
          <t>NCAAF</t>
        </is>
      </c>
      <c r="F345" s="24" t="inlineStr">
        <is>
          <t>East Carolina Pirates</t>
        </is>
      </c>
      <c r="G345" s="24" t="inlineStr">
        <is>
          <t>Old Dominion Monarchs</t>
        </is>
      </c>
      <c r="H345" s="24" t="inlineStr">
        <is>
          <t>moneyline</t>
        </is>
      </c>
      <c r="I345" s="24" t="inlineStr">
        <is>
          <t>home</t>
        </is>
      </c>
      <c r="J345" s="25" t="n"/>
      <c r="K345" s="24" t="inlineStr">
        <is>
          <t>espn_consensus</t>
        </is>
      </c>
      <c r="L345" s="26" t="n">
        <v>-142</v>
      </c>
      <c r="M345" s="27" t="n">
        <v>1.704225</v>
      </c>
      <c r="N345" s="28" t="n">
        <v>0.586777</v>
      </c>
      <c r="O345" s="28" t="n">
        <v>0.714571</v>
      </c>
      <c r="P345" s="28" t="n">
        <v>0.18</v>
      </c>
      <c r="Q345" s="28" t="n">
        <v>0.127794</v>
      </c>
      <c r="R345" s="26" t="n">
        <v>6</v>
      </c>
      <c r="S345" s="29" t="n">
        <v>1</v>
      </c>
      <c r="T345" s="24" t="inlineStr">
        <is>
          <t>college-football-v1</t>
        </is>
      </c>
      <c r="U345" s="24" t="inlineStr">
        <is>
          <t>settled</t>
        </is>
      </c>
      <c r="V345" s="24" t="inlineStr">
        <is>
          <t>loss</t>
        </is>
      </c>
      <c r="W345" s="26" t="n">
        <v>20</v>
      </c>
      <c r="X345" s="26" t="n">
        <v>17</v>
      </c>
      <c r="Y345" s="25" t="n"/>
      <c r="Z345" s="26" t="n"/>
      <c r="AA345" s="28" t="n"/>
      <c r="AB345" s="28" t="n"/>
      <c r="AC345" s="30" t="n">
        <v>-1</v>
      </c>
      <c r="AD345" s="24" t="inlineStr">
        <is>
          <t>2026-09-20T04:30:59.456976Z</t>
        </is>
      </c>
      <c r="AE345" s="31" t="inlineStr">
        <is>
          <t>CFB Joint Model (negative_binomial): proj score East Carolina Pirates 21.2 @ Old Dominion Monarchs 31.7 (Margin +10.5). Possessions: 12.4, HFA: +2.8 pts.</t>
        </is>
      </c>
      <c r="AF345" s="31" t="inlineStr">
        <is>
          <t>College football model; multi-market (moneyline, spread, total).</t>
        </is>
      </c>
      <c r="AG345" s="24" t="inlineStr">
        <is>
          <t>review_required</t>
        </is>
      </c>
      <c r="AH345" s="24" t="n"/>
      <c r="AI345" s="31" t="n"/>
      <c r="AJ345" s="31" t="n"/>
      <c r="AK345" s="24" t="inlineStr">
        <is>
          <t>model_qualified</t>
        </is>
      </c>
      <c r="AL345" s="26" t="n">
        <v>4</v>
      </c>
      <c r="AM345" s="24" t="inlineStr">
        <is>
          <t>QUALIFIED_SHADOW_CALL</t>
        </is>
      </c>
      <c r="AN345" s="24" t="inlineStr">
        <is>
          <t>CALL</t>
        </is>
      </c>
      <c r="AO345" s="24" t="inlineStr">
        <is>
          <t>QUALIFIED</t>
        </is>
      </c>
      <c r="AP345" s="24" t="inlineStr">
        <is>
          <t>East Carolina Pirates</t>
        </is>
      </c>
      <c r="AQ345" s="24" t="inlineStr">
        <is>
          <t>East Carolina Pirates</t>
        </is>
      </c>
      <c r="AR345" s="24" t="inlineStr">
        <is>
          <t>East Carolina Pirates</t>
        </is>
      </c>
      <c r="AS345" s="24" t="inlineStr">
        <is>
          <t>Old Dominion Monarchs</t>
        </is>
      </c>
      <c r="AT345" s="24" t="inlineStr">
        <is>
          <t>Old Dominion Monarchs</t>
        </is>
      </c>
      <c r="AU345" s="24" t="inlineStr">
        <is>
          <t>Old Dominion Monarchs</t>
        </is>
      </c>
      <c r="AV345" s="24" t="n"/>
      <c r="AW345" s="24" t="n"/>
      <c r="AX345" s="24" t="inlineStr">
        <is>
          <t>statistical_model</t>
        </is>
      </c>
      <c r="AY345" s="24" t="n"/>
      <c r="AZ345" s="24" t="inlineStr">
        <is>
          <t>shadow_qualified</t>
        </is>
      </c>
      <c r="BA345" s="24" t="inlineStr">
        <is>
          <t>1d168f11d221cd3c</t>
        </is>
      </c>
      <c r="BB345" s="24" t="inlineStr">
        <is>
          <t>cfb_key_number_engine</t>
        </is>
      </c>
      <c r="BC345" s="24" t="inlineStr">
        <is>
          <t>college-football-v1</t>
        </is>
      </c>
      <c r="BD345" s="24" t="inlineStr">
        <is>
          <t>1d168f11d221cd3c</t>
        </is>
      </c>
      <c r="BE345" s="24" t="inlineStr">
        <is>
          <t>cfb-v1</t>
        </is>
      </c>
      <c r="BF345" s="24" t="inlineStr">
        <is>
          <t>1</t>
        </is>
      </c>
      <c r="BG345" s="24" t="inlineStr">
        <is>
          <t>1d168f11d221cd3c</t>
        </is>
      </c>
      <c r="BH345" s="24" t="inlineStr">
        <is>
          <t>2026-09-19T17:08:25.088129+00:00</t>
        </is>
      </c>
      <c r="BI345" s="24" t="inlineStr">
        <is>
          <t>["same_event","same_team_same_day","same_league_same_day"]</t>
        </is>
      </c>
      <c r="BJ345" s="25" t="n"/>
      <c r="BK345" s="26" t="n">
        <v>-142</v>
      </c>
      <c r="BL345" s="27" t="n">
        <v>1.704225</v>
      </c>
      <c r="BM345" s="28" t="n">
        <v>0.586777</v>
      </c>
      <c r="BN345" s="28" t="n"/>
      <c r="BO345" s="28" t="n"/>
      <c r="BP345" s="25" t="n"/>
      <c r="BQ345" s="27" t="n"/>
      <c r="BR345" s="28" t="n"/>
      <c r="BS345" s="28" t="n"/>
      <c r="BT345" s="28" t="n"/>
      <c r="BU345" s="25" t="n"/>
      <c r="BV345" s="29" t="n"/>
      <c r="BW345" s="24" t="n"/>
      <c r="BX345" s="30" t="n"/>
      <c r="BY345" s="27" t="n"/>
      <c r="BZ345" s="24" t="n"/>
      <c r="CA345" s="31" t="n"/>
      <c r="CB345" s="24" t="n"/>
      <c r="CC345" s="24" t="n"/>
      <c r="CD345" s="24" t="n"/>
      <c r="CE345" s="24" t="n"/>
      <c r="CF345" s="24" t="n"/>
      <c r="CG345" s="24" t="n"/>
      <c r="CH345" s="24" t="n"/>
      <c r="CI345" s="24" t="n"/>
      <c r="CJ345" s="24" t="n"/>
      <c r="CK345" s="24" t="n"/>
      <c r="CL345" s="24" t="n"/>
      <c r="CM345" s="24" t="n"/>
      <c r="CN345" s="24" t="n"/>
      <c r="CO345" s="24" t="n"/>
      <c r="CP345" s="24" t="n"/>
      <c r="CQ345" s="24" t="n"/>
      <c r="CR345" s="24" t="n"/>
      <c r="CS345" s="24" t="inlineStr">
        <is>
          <t>True</t>
        </is>
      </c>
      <c r="CT345" s="24" t="n"/>
      <c r="CU345" s="24" t="n"/>
      <c r="CV345" s="24" t="n"/>
      <c r="CW345" s="24" t="n"/>
      <c r="CX345" s="24" t="n"/>
      <c r="CY345" s="24" t="n"/>
      <c r="CZ345" s="24" t="n"/>
      <c r="DA345" s="24" t="n"/>
      <c r="DB345" s="24" t="n"/>
      <c r="DC345" s="24" t="n"/>
      <c r="DD345" s="24" t="n"/>
      <c r="DE345" s="24" t="n"/>
      <c r="DF345" s="24" t="n"/>
      <c r="DG345" s="24" t="n"/>
      <c r="DH345" s="24" t="n"/>
      <c r="DI345" s="24" t="n"/>
      <c r="DJ345" s="24" t="inlineStr">
        <is>
          <t>0.586777</t>
        </is>
      </c>
      <c r="DK345" s="24" t="n"/>
      <c r="DL345" s="24" t="n"/>
      <c r="DM345" s="24" t="n"/>
      <c r="DN345" s="24" t="n"/>
      <c r="DO345" s="24" t="n"/>
      <c r="DP345" s="24" t="n"/>
      <c r="DQ345" s="24" t="inlineStr">
        <is>
          <t>{"artifact_hash": "1d168f11d221cd3c", "event_id": "401862710", "event_start_utc": "2026-09-19T22:00Z", "features": {"altitude_fatigue_penalty": 0.0, "away_team": "East Carolina Pirates", "efficiency_gap": 0.78, "elo_away": 1564.7, "elo_home": 1756.4, "elo_home_win_prob": 0.8142, "event_id": "401862710", "game_start_utc": "2026-09-19T22:00Z", "home_field_advantage_points": 2.8, "home_team": "Old Dominion Monarchs", "is_dome": false, "is_fbs_vs_fcs": false, "is_neutral_site": false, "projected_away_points": 21.2, "projected_home_points": 31.7, "projected_margin_home": 10.5, "projected_possessions": 12.4, "projected_total": 52.9, "stadium_elevation_ft": 15, "travel_distance_miles": 107.0, "uncertainty": 0.18, "weather_total_adjustment": 0.0}, "historical_source_observation_times_verified": false, "inference_inputs": {"engine_source_sha256": "449ba2f0e86fa9c445730076a0e0bf100fb4914620be53c75c6f3bfe24298f3f", "mu_away": 21.2, "mu_home": 31.7,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75085514717526749001896979405558556056}, "uinteger": 0}, "spread_home_line": -2.5, "total_line": 48.5}, "market_type": "moneyline", "model_version": "college-football-v1", "observed_at_utc": "2026-09-19T17:08:25.088129+00:00", "probabilities": {"away": 0.285429, "home": 0.714571}, "replay_scope": "Full precision score means, exact engine parameters and original RNG state; upstream feature construction not certified.", "schema": "cfb-joint-replay-v1", "snapshot_hash": "d9cde5d3ab01395477ecb08e1a5e931d48f6a21146698f2c377cd74df713f103", "sport": "NCAAF"}</t>
        </is>
      </c>
    </row>
    <row r="346" ht="36" customHeight="1">
      <c r="A346" s="24" t="inlineStr">
        <is>
          <t>5b893a6e796f4bc2</t>
        </is>
      </c>
      <c r="B346" s="24" t="inlineStr">
        <is>
          <t>2026-09-19T17:08:25.088129Z</t>
        </is>
      </c>
      <c r="C346" s="24" t="inlineStr">
        <is>
          <t>2026-09-19T22:00Z</t>
        </is>
      </c>
      <c r="D346" s="24" t="inlineStr">
        <is>
          <t>401862710</t>
        </is>
      </c>
      <c r="E346" s="24" t="inlineStr">
        <is>
          <t>NCAAF</t>
        </is>
      </c>
      <c r="F346" s="24" t="inlineStr">
        <is>
          <t>East Carolina Pirates</t>
        </is>
      </c>
      <c r="G346" s="24" t="inlineStr">
        <is>
          <t>Old Dominion Monarchs</t>
        </is>
      </c>
      <c r="H346" s="24" t="inlineStr">
        <is>
          <t>spread</t>
        </is>
      </c>
      <c r="I346" s="24" t="inlineStr">
        <is>
          <t>home</t>
        </is>
      </c>
      <c r="J346" s="25" t="n">
        <v>-2.5</v>
      </c>
      <c r="K346" s="24" t="inlineStr">
        <is>
          <t>espn_consensus</t>
        </is>
      </c>
      <c r="L346" s="26" t="n">
        <v>-118</v>
      </c>
      <c r="M346" s="27" t="n">
        <v>1.847458</v>
      </c>
      <c r="N346" s="28" t="n">
        <v>0.541284</v>
      </c>
      <c r="O346" s="28" t="n">
        <v>0.6682670000000001</v>
      </c>
      <c r="P346" s="28" t="n">
        <v>0.18</v>
      </c>
      <c r="Q346" s="28" t="n">
        <v>0.126983</v>
      </c>
      <c r="R346" s="26" t="n">
        <v>5</v>
      </c>
      <c r="S346" s="29" t="n">
        <v>1</v>
      </c>
      <c r="T346" s="24" t="inlineStr">
        <is>
          <t>cfb-spread-v1</t>
        </is>
      </c>
      <c r="U346" s="24" t="inlineStr">
        <is>
          <t>settled</t>
        </is>
      </c>
      <c r="V346" s="24" t="inlineStr">
        <is>
          <t>loss</t>
        </is>
      </c>
      <c r="W346" s="26" t="n">
        <v>20</v>
      </c>
      <c r="X346" s="26" t="n">
        <v>17</v>
      </c>
      <c r="Y346" s="25" t="n"/>
      <c r="Z346" s="26" t="n"/>
      <c r="AA346" s="28" t="n"/>
      <c r="AB346" s="28" t="n"/>
      <c r="AC346" s="30" t="n">
        <v>-1</v>
      </c>
      <c r="AD346" s="24" t="inlineStr">
        <is>
          <t>2026-09-20T04:30:59.882271Z</t>
        </is>
      </c>
      <c r="AE346" s="31" t="inlineStr">
        <is>
          <t>Projected home margin +10.5 pts. Spread: Home -2.5 / Away +2.5 -&gt; P(Away cover)=0.332, P(Home cover)=0.668, P(Push)=0.000.</t>
        </is>
      </c>
      <c r="AF346" s="31" t="inlineStr">
        <is>
          <t>College football model; multi-market (moneyline, spread, total).</t>
        </is>
      </c>
      <c r="AG346" s="24" t="inlineStr">
        <is>
          <t>review_required</t>
        </is>
      </c>
      <c r="AH346" s="24" t="n"/>
      <c r="AI346" s="31" t="n"/>
      <c r="AJ346" s="31" t="n"/>
      <c r="AK346" s="24" t="inlineStr">
        <is>
          <t>model_qualified</t>
        </is>
      </c>
      <c r="AL346" s="26" t="n">
        <v>4</v>
      </c>
      <c r="AM346" s="24" t="inlineStr">
        <is>
          <t>QUALIFIED_SHADOW_CALL</t>
        </is>
      </c>
      <c r="AN346" s="24" t="inlineStr">
        <is>
          <t>CALL</t>
        </is>
      </c>
      <c r="AO346" s="24" t="inlineStr">
        <is>
          <t>QUALIFIED</t>
        </is>
      </c>
      <c r="AP346" s="24" t="inlineStr">
        <is>
          <t>East Carolina Pirates</t>
        </is>
      </c>
      <c r="AQ346" s="24" t="inlineStr">
        <is>
          <t>East Carolina Pirates</t>
        </is>
      </c>
      <c r="AR346" s="24" t="inlineStr">
        <is>
          <t>East Carolina Pirates</t>
        </is>
      </c>
      <c r="AS346" s="24" t="inlineStr">
        <is>
          <t>Old Dominion Monarchs</t>
        </is>
      </c>
      <c r="AT346" s="24" t="inlineStr">
        <is>
          <t>Old Dominion Monarchs</t>
        </is>
      </c>
      <c r="AU346" s="24" t="inlineStr">
        <is>
          <t>Old Dominion Monarchs</t>
        </is>
      </c>
      <c r="AV346" s="24" t="n"/>
      <c r="AW346" s="24" t="n"/>
      <c r="AX346" s="24" t="inlineStr">
        <is>
          <t>statistical_model</t>
        </is>
      </c>
      <c r="AY346" s="24" t="n"/>
      <c r="AZ346" s="24" t="inlineStr">
        <is>
          <t>shadow_qualified</t>
        </is>
      </c>
      <c r="BA346" s="24" t="inlineStr">
        <is>
          <t>1d168f11d221cd3c</t>
        </is>
      </c>
      <c r="BB346" s="24" t="inlineStr">
        <is>
          <t>cfb_key_number_engine</t>
        </is>
      </c>
      <c r="BC346" s="24" t="inlineStr">
        <is>
          <t>cfb-spread-v1</t>
        </is>
      </c>
      <c r="BD346" s="24" t="inlineStr">
        <is>
          <t>1d168f11d221cd3c</t>
        </is>
      </c>
      <c r="BE346" s="24" t="inlineStr">
        <is>
          <t>cfb-v1</t>
        </is>
      </c>
      <c r="BF346" s="24" t="inlineStr">
        <is>
          <t>1</t>
        </is>
      </c>
      <c r="BG346" s="24" t="inlineStr">
        <is>
          <t>1d168f11d221cd3c</t>
        </is>
      </c>
      <c r="BH346" s="24" t="inlineStr">
        <is>
          <t>2026-09-19T17:08:25.088129+00:00</t>
        </is>
      </c>
      <c r="BI346" s="24" t="inlineStr">
        <is>
          <t>["same_event","same_team_same_day","same_league_same_day"]</t>
        </is>
      </c>
      <c r="BJ346" s="25" t="n">
        <v>-2.5</v>
      </c>
      <c r="BK346" s="26" t="n">
        <v>-118</v>
      </c>
      <c r="BL346" s="27" t="n">
        <v>1.847458</v>
      </c>
      <c r="BM346" s="28" t="n">
        <v>0.541284</v>
      </c>
      <c r="BN346" s="28" t="n"/>
      <c r="BO346" s="28" t="n"/>
      <c r="BP346" s="25" t="n"/>
      <c r="BQ346" s="27" t="n"/>
      <c r="BR346" s="28" t="n"/>
      <c r="BS346" s="28" t="n"/>
      <c r="BT346" s="28" t="n"/>
      <c r="BU346" s="25" t="n"/>
      <c r="BV346" s="29" t="n"/>
      <c r="BW346" s="24" t="n"/>
      <c r="BX346" s="30" t="n"/>
      <c r="BY346" s="27" t="n"/>
      <c r="BZ346" s="24" t="n"/>
      <c r="CA346" s="31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inlineStr">
        <is>
          <t>True</t>
        </is>
      </c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/>
      <c r="DH346" s="24" t="n"/>
      <c r="DI346" s="24" t="n"/>
      <c r="DJ346" s="24" t="inlineStr">
        <is>
          <t>0.541284</t>
        </is>
      </c>
      <c r="DK346" s="24" t="n"/>
      <c r="DL346" s="24" t="n"/>
      <c r="DM346" s="24" t="n"/>
      <c r="DN346" s="24" t="n"/>
      <c r="DO346" s="24" t="n"/>
      <c r="DP346" s="24" t="n"/>
      <c r="DQ346" s="24" t="inlineStr">
        <is>
          <t>{"artifact_hash": "1d168f11d221cd3c", "event_id": "401862710", "event_start_utc": "2026-09-19T22:00Z", "features": {"altitude_fatigue_penalty": 0.0, "away_team": "East Carolina Pirates", "efficiency_gap": 0.78, "elo_away": 1564.7, "elo_home": 1756.4, "elo_home_win_prob": 0.8142, "event_id": "401862710", "game_start_utc": "2026-09-19T22:00Z", "home_field_advantage_points": 2.8, "home_team": "Old Dominion Monarchs", "is_dome": false, "is_fbs_vs_fcs": false, "is_neutral_site": false, "projected_away_points": 21.2, "projected_home_points": 31.7, "projected_margin_home": 10.5, "projected_possessions": 12.4, "projected_total": 52.9, "stadium_elevation_ft": 15, "travel_distance_miles": 107.0, "uncertainty": 0.18, "weather_total_adjustment": 0.0}, "historical_source_observation_times_verified": false, "inference_inputs": {"engine_source_sha256": "449ba2f0e86fa9c445730076a0e0bf100fb4914620be53c75c6f3bfe24298f3f", "mu_away": 21.2, "mu_home": 31.7,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75085514717526749001896979405558556056}, "uinteger": 0}, "spread_home_line": -2.5, "total_line": 48.5}, "market_type": "spread", "model_version": "cfb-spread-v1", "observed_at_utc": "2026-09-19T17:08:25.088129+00:00", "probabilities": {"away": 0.331733, "home": 0.668267, "push": 0.0}, "replay_scope": "Full precision score means, exact engine parameters and original RNG state; upstream feature construction not certified.", "schema": "cfb-joint-replay-v1", "snapshot_hash": "5bcb5fa96a2285d42215f6a62542a0ab67f05f3f66c792b2c14c5cf5eaf459c4", "sport": "NCAAF"}</t>
        </is>
      </c>
    </row>
    <row r="347" ht="36" customHeight="1">
      <c r="A347" s="24" t="inlineStr">
        <is>
          <t>972b6b1196e74387</t>
        </is>
      </c>
      <c r="B347" s="24" t="inlineStr">
        <is>
          <t>2026-09-19T17:08:25.088129Z</t>
        </is>
      </c>
      <c r="C347" s="24" t="inlineStr">
        <is>
          <t>2026-09-19T22:00Z</t>
        </is>
      </c>
      <c r="D347" s="24" t="inlineStr">
        <is>
          <t>401862710</t>
        </is>
      </c>
      <c r="E347" s="24" t="inlineStr">
        <is>
          <t>NCAAF</t>
        </is>
      </c>
      <c r="F347" s="24" t="inlineStr">
        <is>
          <t>East Carolina Pirates</t>
        </is>
      </c>
      <c r="G347" s="24" t="inlineStr">
        <is>
          <t>Old Dominion Monarchs</t>
        </is>
      </c>
      <c r="H347" s="24" t="inlineStr">
        <is>
          <t>total</t>
        </is>
      </c>
      <c r="I347" s="24" t="inlineStr">
        <is>
          <t>over</t>
        </is>
      </c>
      <c r="J347" s="25" t="n">
        <v>48.5</v>
      </c>
      <c r="K347" s="24" t="inlineStr">
        <is>
          <t>espn_consensus</t>
        </is>
      </c>
      <c r="L347" s="26" t="n">
        <v>-112</v>
      </c>
      <c r="M347" s="27" t="n">
        <v>1.892857</v>
      </c>
      <c r="N347" s="28" t="n">
        <v>0.528302</v>
      </c>
      <c r="O347" s="28" t="n">
        <v>0.5364</v>
      </c>
      <c r="P347" s="28" t="n">
        <v>0.18</v>
      </c>
      <c r="Q347" s="28" t="n">
        <v>0.008097999999999999</v>
      </c>
      <c r="R347" s="26" t="n">
        <v>0</v>
      </c>
      <c r="S347" s="29" t="n">
        <v>1</v>
      </c>
      <c r="T347" s="24" t="inlineStr">
        <is>
          <t>cfb-total-v1</t>
        </is>
      </c>
      <c r="U347" s="24" t="inlineStr">
        <is>
          <t>settled</t>
        </is>
      </c>
      <c r="V347" s="24" t="inlineStr">
        <is>
          <t>loss</t>
        </is>
      </c>
      <c r="W347" s="26" t="n">
        <v>20</v>
      </c>
      <c r="X347" s="26" t="n">
        <v>17</v>
      </c>
      <c r="Y347" s="25" t="n"/>
      <c r="Z347" s="26" t="n"/>
      <c r="AA347" s="28" t="n"/>
      <c r="AB347" s="28" t="n"/>
      <c r="AC347" s="30" t="n">
        <v>-1</v>
      </c>
      <c r="AD347" s="24" t="inlineStr">
        <is>
          <t>2026-09-20T04:31:00.367991Z</t>
        </is>
      </c>
      <c r="AE347" s="31" t="inlineStr">
        <is>
          <t>Projected total 52.9 pts (Weather adj: +0.0 pts). Total line 48.5 -&gt; P(Over)=0.536, P(Under)=0.464, P(Push)=0.000.</t>
        </is>
      </c>
      <c r="AF347" s="31" t="inlineStr">
        <is>
          <t>College football model; multi-market (moneyline, spread, total).</t>
        </is>
      </c>
      <c r="AG347" s="24" t="inlineStr">
        <is>
          <t>review_required</t>
        </is>
      </c>
      <c r="AH347" s="24" t="n"/>
      <c r="AI347" s="31" t="n"/>
      <c r="AJ347" s="31" t="n"/>
      <c r="AK347" s="24" t="inlineStr">
        <is>
          <t>paper_call</t>
        </is>
      </c>
      <c r="AL347" s="26" t="n">
        <v>4</v>
      </c>
      <c r="AM347" s="24" t="inlineStr">
        <is>
          <t>RESEARCH_OBSERVATION</t>
        </is>
      </c>
      <c r="AN347" s="24" t="inlineStr">
        <is>
          <t>CALL</t>
        </is>
      </c>
      <c r="AO347" s="24" t="inlineStr">
        <is>
          <t>PAPER_CALL_LOW_EDGE</t>
        </is>
      </c>
      <c r="AP347" s="24" t="inlineStr">
        <is>
          <t>East Carolina Pirates</t>
        </is>
      </c>
      <c r="AQ347" s="24" t="inlineStr">
        <is>
          <t>East Carolina Pirates</t>
        </is>
      </c>
      <c r="AR347" s="24" t="inlineStr">
        <is>
          <t>East Carolina Pirates</t>
        </is>
      </c>
      <c r="AS347" s="24" t="inlineStr">
        <is>
          <t>Old Dominion Monarchs</t>
        </is>
      </c>
      <c r="AT347" s="24" t="inlineStr">
        <is>
          <t>Old Dominion Monarchs</t>
        </is>
      </c>
      <c r="AU347" s="24" t="inlineStr">
        <is>
          <t>Old Dominion Monarchs</t>
        </is>
      </c>
      <c r="AV347" s="24" t="n"/>
      <c r="AW347" s="24" t="n"/>
      <c r="AX347" s="24" t="inlineStr">
        <is>
          <t>statistical_model</t>
        </is>
      </c>
      <c r="AY347" s="24" t="n"/>
      <c r="AZ347" s="24" t="inlineStr">
        <is>
          <t>shadow_qualified</t>
        </is>
      </c>
      <c r="BA347" s="24" t="inlineStr">
        <is>
          <t>1d168f11d221cd3c</t>
        </is>
      </c>
      <c r="BB347" s="24" t="inlineStr">
        <is>
          <t>cfb_key_number_engine</t>
        </is>
      </c>
      <c r="BC347" s="24" t="inlineStr">
        <is>
          <t>cfb-total-v1</t>
        </is>
      </c>
      <c r="BD347" s="24" t="inlineStr">
        <is>
          <t>1d168f11d221cd3c</t>
        </is>
      </c>
      <c r="BE347" s="24" t="inlineStr">
        <is>
          <t>cfb-v1</t>
        </is>
      </c>
      <c r="BF347" s="24" t="inlineStr">
        <is>
          <t>1</t>
        </is>
      </c>
      <c r="BG347" s="24" t="inlineStr">
        <is>
          <t>1d168f11d221cd3c</t>
        </is>
      </c>
      <c r="BH347" s="24" t="inlineStr">
        <is>
          <t>2026-09-19T17:08:25.088129+00:00</t>
        </is>
      </c>
      <c r="BI347" s="24" t="inlineStr">
        <is>
          <t>["same_event","same_team_same_day","same_league_same_day"]</t>
        </is>
      </c>
      <c r="BJ347" s="25" t="n">
        <v>48.5</v>
      </c>
      <c r="BK347" s="26" t="n">
        <v>-112</v>
      </c>
      <c r="BL347" s="27" t="n">
        <v>1.892857</v>
      </c>
      <c r="BM347" s="28" t="n">
        <v>0.528302</v>
      </c>
      <c r="BN347" s="28" t="n"/>
      <c r="BO347" s="28" t="n"/>
      <c r="BP347" s="25" t="n"/>
      <c r="BQ347" s="27" t="n"/>
      <c r="BR347" s="28" t="n"/>
      <c r="BS347" s="28" t="n"/>
      <c r="BT347" s="28" t="n"/>
      <c r="BU347" s="25" t="n"/>
      <c r="BV347" s="29" t="n"/>
      <c r="BW347" s="24" t="n"/>
      <c r="BX347" s="30" t="n">
        <v>1</v>
      </c>
      <c r="BY347" s="27" t="n">
        <v>-1</v>
      </c>
      <c r="BZ347" s="24" t="inlineStr">
        <is>
          <t>2026-09-20T04:31:00.367991Z</t>
        </is>
      </c>
      <c r="CA347" s="31" t="inlineStr">
        <is>
          <t>fixed one-unit hypothetical scoring; no real exposure or execution</t>
        </is>
      </c>
      <c r="CB347" s="24" t="n"/>
      <c r="CC347" s="24" t="n"/>
      <c r="CD347" s="24" t="n"/>
      <c r="CE347" s="24" t="n"/>
      <c r="CF347" s="24" t="n"/>
      <c r="CG347" s="24" t="n"/>
      <c r="CH347" s="24" t="n"/>
      <c r="CI347" s="24" t="n"/>
      <c r="CJ347" s="24" t="n"/>
      <c r="CK347" s="24" t="n"/>
      <c r="CL347" s="24" t="n"/>
      <c r="CM347" s="24" t="n"/>
      <c r="CN347" s="24" t="n"/>
      <c r="CO347" s="24" t="n"/>
      <c r="CP347" s="24" t="n"/>
      <c r="CQ347" s="24" t="n"/>
      <c r="CR347" s="24" t="n"/>
      <c r="CS347" s="24" t="inlineStr">
        <is>
          <t>True</t>
        </is>
      </c>
      <c r="CT347" s="24" t="n"/>
      <c r="CU347" s="24" t="n"/>
      <c r="CV347" s="24" t="n"/>
      <c r="CW347" s="24" t="n"/>
      <c r="CX347" s="24" t="n"/>
      <c r="CY347" s="24" t="n"/>
      <c r="CZ347" s="24" t="n"/>
      <c r="DA347" s="24" t="n"/>
      <c r="DB347" s="24" t="n"/>
      <c r="DC347" s="24" t="n"/>
      <c r="DD347" s="24" t="n"/>
      <c r="DE347" s="24" t="n"/>
      <c r="DF347" s="24" t="n"/>
      <c r="DG347" s="24" t="n"/>
      <c r="DH347" s="24" t="n"/>
      <c r="DI347" s="24" t="n"/>
      <c r="DJ347" s="24" t="inlineStr">
        <is>
          <t>0.528302</t>
        </is>
      </c>
      <c r="DK347" s="24" t="n"/>
      <c r="DL347" s="24" t="n"/>
      <c r="DM347" s="24" t="n"/>
      <c r="DN347" s="24" t="n"/>
      <c r="DO347" s="24" t="n"/>
      <c r="DP347" s="24" t="n"/>
      <c r="DQ347" s="24" t="inlineStr">
        <is>
          <t>{"artifact_hash": "1d168f11d221cd3c", "event_id": "401862710", "event_start_utc": "2026-09-19T22:00Z", "features": {"altitude_fatigue_penalty": 0.0, "away_team": "East Carolina Pirates", "efficiency_gap": 0.78, "elo_away": 1564.7, "elo_home": 1756.4, "elo_home_win_prob": 0.8142, "event_id": "401862710", "game_start_utc": "2026-09-19T22:00Z", "home_field_advantage_points": 2.8, "home_team": "Old Dominion Monarchs", "is_dome": false, "is_fbs_vs_fcs": false, "is_neutral_site": false, "projected_away_points": 21.2, "projected_home_points": 31.7, "projected_margin_home": 10.5, "projected_possessions": 12.4, "projected_total": 52.9, "stadium_elevation_ft": 15, "travel_distance_miles": 107.0, "uncertainty": 0.18, "weather_total_adjustment": 0.0}, "historical_source_observation_times_verified": false, "inference_inputs": {"engine_source_sha256": "449ba2f0e86fa9c445730076a0e0bf100fb4914620be53c75c6f3bfe24298f3f", "mu_away": 21.2, "mu_home": 31.7,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75085514717526749001896979405558556056}, "uinteger": 0}, "spread_home_line": -2.5, "total_line": 48.5}, "market_type": "total", "model_version": "cfb-total-v1", "observed_at_utc": "2026-09-19T17:08:25.088129+00:00", "probabilities": {"over": 0.5364, "push": 0.0, "under": 0.4636}, "replay_scope": "Full precision score means, exact engine parameters and original RNG state; upstream feature construction not certified.", "schema": "cfb-joint-replay-v1", "snapshot_hash": "71ec910a819012a8f8f9eb2708b7f9422018d2fd00ccaec6ae781b060c5b09ac", "sport": "NCAAF"}</t>
        </is>
      </c>
    </row>
    <row r="348" ht="36" customHeight="1">
      <c r="A348" s="24" t="inlineStr">
        <is>
          <t>c90b412638434981</t>
        </is>
      </c>
      <c r="B348" s="24" t="inlineStr">
        <is>
          <t>2026-09-19T17:08:25.088129Z</t>
        </is>
      </c>
      <c r="C348" s="24" t="inlineStr">
        <is>
          <t>2026-09-19T22:00Z</t>
        </is>
      </c>
      <c r="D348" s="24" t="inlineStr">
        <is>
          <t>401862771</t>
        </is>
      </c>
      <c r="E348" s="24" t="inlineStr">
        <is>
          <t>NCAAF</t>
        </is>
      </c>
      <c r="F348" s="24" t="inlineStr">
        <is>
          <t>Florida International Panthers</t>
        </is>
      </c>
      <c r="G348" s="24" t="inlineStr">
        <is>
          <t>Florida Atlantic Owls</t>
        </is>
      </c>
      <c r="H348" s="24" t="inlineStr">
        <is>
          <t>moneyline</t>
        </is>
      </c>
      <c r="I348" s="24" t="inlineStr">
        <is>
          <t>away</t>
        </is>
      </c>
      <c r="J348" s="25" t="n"/>
      <c r="K348" s="24" t="inlineStr">
        <is>
          <t>espn_consensus</t>
        </is>
      </c>
      <c r="L348" s="26" t="n">
        <v>200</v>
      </c>
      <c r="M348" s="27" t="n">
        <v>3</v>
      </c>
      <c r="N348" s="28" t="n">
        <v>0.333333</v>
      </c>
      <c r="O348" s="28" t="n">
        <v>0.517085</v>
      </c>
      <c r="P348" s="28" t="n">
        <v>0.18</v>
      </c>
      <c r="Q348" s="28" t="n">
        <v>0.183752</v>
      </c>
      <c r="R348" s="26" t="n">
        <v>34</v>
      </c>
      <c r="S348" s="29" t="n">
        <v>1</v>
      </c>
      <c r="T348" s="24" t="inlineStr">
        <is>
          <t>college-football-v1</t>
        </is>
      </c>
      <c r="U348" s="24" t="inlineStr">
        <is>
          <t>settled</t>
        </is>
      </c>
      <c r="V348" s="24" t="inlineStr">
        <is>
          <t>loss</t>
        </is>
      </c>
      <c r="W348" s="26" t="n">
        <v>10</v>
      </c>
      <c r="X348" s="26" t="n">
        <v>16</v>
      </c>
      <c r="Y348" s="25" t="n"/>
      <c r="Z348" s="26" t="n"/>
      <c r="AA348" s="28" t="n"/>
      <c r="AB348" s="28" t="n"/>
      <c r="AC348" s="30" t="n">
        <v>-1</v>
      </c>
      <c r="AD348" s="24" t="inlineStr">
        <is>
          <t>2026-09-20T04:31:00.933859Z</t>
        </is>
      </c>
      <c r="AE348" s="31" t="inlineStr">
        <is>
          <t>CFB Joint Model (negative_binomial): proj score Florida International Panthers 26.8 @ Florida Atlantic Owls 26.2 (Margin -0.7). Possessions: 12.4, HFA: +2.8 pts.</t>
        </is>
      </c>
      <c r="AF348" s="31" t="inlineStr">
        <is>
          <t>College football model; multi-market (moneyline, spread, total).</t>
        </is>
      </c>
      <c r="AG348" s="24" t="inlineStr">
        <is>
          <t>review_required</t>
        </is>
      </c>
      <c r="AH348" s="24" t="n"/>
      <c r="AI348" s="31" t="n"/>
      <c r="AJ348" s="31" t="n"/>
      <c r="AK348" s="24" t="inlineStr">
        <is>
          <t>model_qualified</t>
        </is>
      </c>
      <c r="AL348" s="26" t="n">
        <v>4</v>
      </c>
      <c r="AM348" s="24" t="inlineStr">
        <is>
          <t>QUALIFIED_SHADOW_CALL</t>
        </is>
      </c>
      <c r="AN348" s="24" t="inlineStr">
        <is>
          <t>CALL</t>
        </is>
      </c>
      <c r="AO348" s="24" t="inlineStr">
        <is>
          <t>QUALIFIED</t>
        </is>
      </c>
      <c r="AP348" s="24" t="inlineStr">
        <is>
          <t>Florida International Panthers</t>
        </is>
      </c>
      <c r="AQ348" s="24" t="inlineStr">
        <is>
          <t>Florida International Panthers</t>
        </is>
      </c>
      <c r="AR348" s="24" t="inlineStr">
        <is>
          <t>Florida International Panthers</t>
        </is>
      </c>
      <c r="AS348" s="24" t="inlineStr">
        <is>
          <t>Florida Atlantic Owls</t>
        </is>
      </c>
      <c r="AT348" s="24" t="inlineStr">
        <is>
          <t>Florida Atlantic Owls</t>
        </is>
      </c>
      <c r="AU348" s="24" t="inlineStr">
        <is>
          <t>Florida Atlantic Owls</t>
        </is>
      </c>
      <c r="AV348" s="24" t="n"/>
      <c r="AW348" s="24" t="n"/>
      <c r="AX348" s="24" t="inlineStr">
        <is>
          <t>statistical_model</t>
        </is>
      </c>
      <c r="AY348" s="24" t="n"/>
      <c r="AZ348" s="24" t="inlineStr">
        <is>
          <t>shadow_qualified</t>
        </is>
      </c>
      <c r="BA348" s="24" t="inlineStr">
        <is>
          <t>1d168f11d221cd3c</t>
        </is>
      </c>
      <c r="BB348" s="24" t="inlineStr">
        <is>
          <t>cfb_key_number_engine</t>
        </is>
      </c>
      <c r="BC348" s="24" t="inlineStr">
        <is>
          <t>college-football-v1</t>
        </is>
      </c>
      <c r="BD348" s="24" t="inlineStr">
        <is>
          <t>1d168f11d221cd3c</t>
        </is>
      </c>
      <c r="BE348" s="24" t="inlineStr">
        <is>
          <t>cfb-v1</t>
        </is>
      </c>
      <c r="BF348" s="24" t="inlineStr">
        <is>
          <t>1</t>
        </is>
      </c>
      <c r="BG348" s="24" t="inlineStr">
        <is>
          <t>1d168f11d221cd3c</t>
        </is>
      </c>
      <c r="BH348" s="24" t="inlineStr">
        <is>
          <t>2026-09-19T17:08:25.088129+00:00</t>
        </is>
      </c>
      <c r="BI348" s="24" t="inlineStr">
        <is>
          <t>["same_event","same_team_same_day","same_league_same_day"]</t>
        </is>
      </c>
      <c r="BJ348" s="25" t="n"/>
      <c r="BK348" s="26" t="n">
        <v>200</v>
      </c>
      <c r="BL348" s="27" t="n">
        <v>3</v>
      </c>
      <c r="BM348" s="28" t="n">
        <v>0.333333</v>
      </c>
      <c r="BN348" s="28" t="n"/>
      <c r="BO348" s="28" t="n"/>
      <c r="BP348" s="25" t="n"/>
      <c r="BQ348" s="27" t="n"/>
      <c r="BR348" s="28" t="n"/>
      <c r="BS348" s="28" t="n"/>
      <c r="BT348" s="28" t="n"/>
      <c r="BU348" s="25" t="n"/>
      <c r="BV348" s="29" t="n"/>
      <c r="BW348" s="24" t="n"/>
      <c r="BX348" s="30" t="n"/>
      <c r="BY348" s="27" t="n"/>
      <c r="BZ348" s="24" t="n"/>
      <c r="CA348" s="31" t="n"/>
      <c r="CB348" s="24" t="n"/>
      <c r="CC348" s="24" t="n"/>
      <c r="CD348" s="24" t="n"/>
      <c r="CE348" s="24" t="n"/>
      <c r="CF348" s="24" t="n"/>
      <c r="CG348" s="24" t="n"/>
      <c r="CH348" s="24" t="n"/>
      <c r="CI348" s="24" t="n"/>
      <c r="CJ348" s="24" t="n"/>
      <c r="CK348" s="24" t="n"/>
      <c r="CL348" s="24" t="n"/>
      <c r="CM348" s="24" t="n"/>
      <c r="CN348" s="24" t="n"/>
      <c r="CO348" s="24" t="n"/>
      <c r="CP348" s="24" t="n"/>
      <c r="CQ348" s="24" t="n"/>
      <c r="CR348" s="24" t="n"/>
      <c r="CS348" s="24" t="inlineStr">
        <is>
          <t>True</t>
        </is>
      </c>
      <c r="CT348" s="24" t="n"/>
      <c r="CU348" s="24" t="n"/>
      <c r="CV348" s="24" t="n"/>
      <c r="CW348" s="24" t="n"/>
      <c r="CX348" s="24" t="n"/>
      <c r="CY348" s="24" t="n"/>
      <c r="CZ348" s="24" t="n"/>
      <c r="DA348" s="24" t="n"/>
      <c r="DB348" s="24" t="n"/>
      <c r="DC348" s="24" t="n"/>
      <c r="DD348" s="24" t="n"/>
      <c r="DE348" s="24" t="n"/>
      <c r="DF348" s="24" t="n"/>
      <c r="DG348" s="24" t="n"/>
      <c r="DH348" s="24" t="n"/>
      <c r="DI348" s="24" t="n"/>
      <c r="DJ348" s="24" t="inlineStr">
        <is>
          <t>0.333333</t>
        </is>
      </c>
      <c r="DK348" s="24" t="n"/>
      <c r="DL348" s="24" t="n"/>
      <c r="DM348" s="24" t="n"/>
      <c r="DN348" s="24" t="n"/>
      <c r="DO348" s="24" t="n"/>
      <c r="DP348" s="24" t="n"/>
      <c r="DQ348" s="24" t="inlineStr">
        <is>
          <t>{"artifact_hash": "1d168f11d221cd3c", "event_id": "401862771", "event_start_utc": "2026-09-19T22:00Z", "features": {"altitude_fatigue_penalty": 0.0, "away_team": "Florida International Panthers", "efficiency_gap": -0.515, "elo_away": 1337.5, "elo_home": 1256.5, "elo_home_win_prob": 0.4769, "event_id": "401862771", "game_start_utc": "2026-09-19T22:00Z", "home_field_advantage_points": 2.8, "home_team": "Florida Atlantic Owls", "is_dome": false, "is_fbs_vs_fcs": false, "is_neutral_site": false, "projected_away_points": 26.8, "projected_home_points": 26.2, "projected_margin_home": -0.7,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312287291443169735831080788105099921184}, "uinteger": 0}, "spread_home_line": -6.5, "total_line": 62.5}, "market_type": "moneyline", "model_version": "college-football-v1", "observed_at_utc": "2026-09-19T17:08:25.088129+00:00", "probabilities": {"away": 0.517085, "home": 0.482915}, "replay_scope": "Full precision score means, exact engine parameters and original RNG state; upstream feature construction not certified.", "schema": "cfb-joint-replay-v1", "snapshot_hash": "20cea3fcf557d4b6aa7a1e16cd37c9653b7765ade4bf640c635d565fc6653b97", "sport": "NCAAF"}</t>
        </is>
      </c>
    </row>
    <row r="349" ht="36" customHeight="1">
      <c r="A349" s="24" t="inlineStr">
        <is>
          <t>c444deabe37a4772</t>
        </is>
      </c>
      <c r="B349" s="24" t="inlineStr">
        <is>
          <t>2026-09-19T17:08:25.088129Z</t>
        </is>
      </c>
      <c r="C349" s="24" t="inlineStr">
        <is>
          <t>2026-09-19T22:00Z</t>
        </is>
      </c>
      <c r="D349" s="24" t="inlineStr">
        <is>
          <t>401862771</t>
        </is>
      </c>
      <c r="E349" s="24" t="inlineStr">
        <is>
          <t>NCAAF</t>
        </is>
      </c>
      <c r="F349" s="24" t="inlineStr">
        <is>
          <t>Florida International Panthers</t>
        </is>
      </c>
      <c r="G349" s="24" t="inlineStr">
        <is>
          <t>Florida Atlantic Owls</t>
        </is>
      </c>
      <c r="H349" s="24" t="inlineStr">
        <is>
          <t>spread</t>
        </is>
      </c>
      <c r="I349" s="24" t="inlineStr">
        <is>
          <t>away</t>
        </is>
      </c>
      <c r="J349" s="25" t="n">
        <v>6.5</v>
      </c>
      <c r="K349" s="24" t="inlineStr">
        <is>
          <t>espn_consensus</t>
        </is>
      </c>
      <c r="L349" s="26" t="n">
        <v>-108</v>
      </c>
      <c r="M349" s="27" t="n">
        <v>1.925926</v>
      </c>
      <c r="N349" s="28" t="n">
        <v>0.519231</v>
      </c>
      <c r="O349" s="28" t="n">
        <v>0.651733</v>
      </c>
      <c r="P349" s="28" t="n">
        <v>0.18</v>
      </c>
      <c r="Q349" s="28" t="n">
        <v>0.132502</v>
      </c>
      <c r="R349" s="26" t="n">
        <v>8</v>
      </c>
      <c r="S349" s="29" t="n">
        <v>1</v>
      </c>
      <c r="T349" s="24" t="inlineStr">
        <is>
          <t>cfb-spread-v1</t>
        </is>
      </c>
      <c r="U349" s="24" t="inlineStr">
        <is>
          <t>settled</t>
        </is>
      </c>
      <c r="V349" s="24" t="inlineStr">
        <is>
          <t>win</t>
        </is>
      </c>
      <c r="W349" s="26" t="n">
        <v>10</v>
      </c>
      <c r="X349" s="26" t="n">
        <v>16</v>
      </c>
      <c r="Y349" s="25" t="n"/>
      <c r="Z349" s="26" t="n"/>
      <c r="AA349" s="28" t="n"/>
      <c r="AB349" s="28" t="n"/>
      <c r="AC349" s="30" t="n">
        <v>0.9258999999999999</v>
      </c>
      <c r="AD349" s="24" t="inlineStr">
        <is>
          <t>2026-09-20T04:31:01.371649Z</t>
        </is>
      </c>
      <c r="AE349" s="31" t="inlineStr">
        <is>
          <t>Projected home margin -0.7 pts. Spread: Home -6.5 / Away +6.5 -&gt; P(Away cover)=0.652, P(Home cover)=0.348, P(Push)=0.000.</t>
        </is>
      </c>
      <c r="AF349" s="31" t="inlineStr">
        <is>
          <t>College football model; multi-market (moneyline, spread, total).</t>
        </is>
      </c>
      <c r="AG349" s="24" t="inlineStr">
        <is>
          <t>not_applicable</t>
        </is>
      </c>
      <c r="AH349" s="24" t="n"/>
      <c r="AI349" s="31" t="n"/>
      <c r="AJ349" s="31" t="n"/>
      <c r="AK349" s="24" t="inlineStr">
        <is>
          <t>model_qualified</t>
        </is>
      </c>
      <c r="AL349" s="26" t="n">
        <v>4</v>
      </c>
      <c r="AM349" s="24" t="inlineStr">
        <is>
          <t>QUALIFIED_SHADOW_CALL</t>
        </is>
      </c>
      <c r="AN349" s="24" t="inlineStr">
        <is>
          <t>CALL</t>
        </is>
      </c>
      <c r="AO349" s="24" t="inlineStr">
        <is>
          <t>QUALIFIED</t>
        </is>
      </c>
      <c r="AP349" s="24" t="inlineStr">
        <is>
          <t>Florida International Panthers</t>
        </is>
      </c>
      <c r="AQ349" s="24" t="inlineStr">
        <is>
          <t>Florida International Panthers</t>
        </is>
      </c>
      <c r="AR349" s="24" t="inlineStr">
        <is>
          <t>Florida International Panthers</t>
        </is>
      </c>
      <c r="AS349" s="24" t="inlineStr">
        <is>
          <t>Florida Atlantic Owls</t>
        </is>
      </c>
      <c r="AT349" s="24" t="inlineStr">
        <is>
          <t>Florida Atlantic Owls</t>
        </is>
      </c>
      <c r="AU349" s="24" t="inlineStr">
        <is>
          <t>Florida Atlantic Owls</t>
        </is>
      </c>
      <c r="AV349" s="24" t="n"/>
      <c r="AW349" s="24" t="n"/>
      <c r="AX349" s="24" t="inlineStr">
        <is>
          <t>statistical_model</t>
        </is>
      </c>
      <c r="AY349" s="24" t="n"/>
      <c r="AZ349" s="24" t="inlineStr">
        <is>
          <t>shadow_qualified</t>
        </is>
      </c>
      <c r="BA349" s="24" t="inlineStr">
        <is>
          <t>1d168f11d221cd3c</t>
        </is>
      </c>
      <c r="BB349" s="24" t="inlineStr">
        <is>
          <t>cfb_key_number_engine</t>
        </is>
      </c>
      <c r="BC349" s="24" t="inlineStr">
        <is>
          <t>cfb-spread-v1</t>
        </is>
      </c>
      <c r="BD349" s="24" t="inlineStr">
        <is>
          <t>1d168f11d221cd3c</t>
        </is>
      </c>
      <c r="BE349" s="24" t="inlineStr">
        <is>
          <t>cfb-v1</t>
        </is>
      </c>
      <c r="BF349" s="24" t="inlineStr">
        <is>
          <t>1</t>
        </is>
      </c>
      <c r="BG349" s="24" t="inlineStr">
        <is>
          <t>1d168f11d221cd3c</t>
        </is>
      </c>
      <c r="BH349" s="24" t="inlineStr">
        <is>
          <t>2026-09-19T17:08:25.088129+00:00</t>
        </is>
      </c>
      <c r="BI349" s="24" t="inlineStr">
        <is>
          <t>["same_event","same_team_same_day","same_league_same_day"]</t>
        </is>
      </c>
      <c r="BJ349" s="25" t="n">
        <v>6.5</v>
      </c>
      <c r="BK349" s="26" t="n">
        <v>-108</v>
      </c>
      <c r="BL349" s="27" t="n">
        <v>1.925926</v>
      </c>
      <c r="BM349" s="28" t="n">
        <v>0.519231</v>
      </c>
      <c r="BN349" s="28" t="n"/>
      <c r="BO349" s="28" t="n"/>
      <c r="BP349" s="25" t="n"/>
      <c r="BQ349" s="27" t="n"/>
      <c r="BR349" s="28" t="n"/>
      <c r="BS349" s="28" t="n"/>
      <c r="BT349" s="28" t="n"/>
      <c r="BU349" s="25" t="n"/>
      <c r="BV349" s="29" t="n"/>
      <c r="BW349" s="24" t="n"/>
      <c r="BX349" s="30" t="n"/>
      <c r="BY349" s="27" t="n"/>
      <c r="BZ349" s="24" t="n"/>
      <c r="CA349" s="31" t="n"/>
      <c r="CB349" s="24" t="n"/>
      <c r="CC349" s="24" t="n"/>
      <c r="CD349" s="24" t="n"/>
      <c r="CE349" s="24" t="n"/>
      <c r="CF349" s="24" t="n"/>
      <c r="CG349" s="24" t="n"/>
      <c r="CH349" s="24" t="n"/>
      <c r="CI349" s="24" t="n"/>
      <c r="CJ349" s="24" t="n"/>
      <c r="CK349" s="24" t="n"/>
      <c r="CL349" s="24" t="n"/>
      <c r="CM349" s="24" t="n"/>
      <c r="CN349" s="24" t="n"/>
      <c r="CO349" s="24" t="n"/>
      <c r="CP349" s="24" t="n"/>
      <c r="CQ349" s="24" t="n"/>
      <c r="CR349" s="24" t="n"/>
      <c r="CS349" s="24" t="inlineStr">
        <is>
          <t>True</t>
        </is>
      </c>
      <c r="CT349" s="24" t="n"/>
      <c r="CU349" s="24" t="n"/>
      <c r="CV349" s="24" t="n"/>
      <c r="CW349" s="24" t="n"/>
      <c r="CX349" s="24" t="n"/>
      <c r="CY349" s="24" t="n"/>
      <c r="CZ349" s="24" t="n"/>
      <c r="DA349" s="24" t="n"/>
      <c r="DB349" s="24" t="n"/>
      <c r="DC349" s="24" t="n"/>
      <c r="DD349" s="24" t="n"/>
      <c r="DE349" s="24" t="n"/>
      <c r="DF349" s="24" t="n"/>
      <c r="DG349" s="24" t="n"/>
      <c r="DH349" s="24" t="n"/>
      <c r="DI349" s="24" t="n"/>
      <c r="DJ349" s="24" t="inlineStr">
        <is>
          <t>0.519231</t>
        </is>
      </c>
      <c r="DK349" s="24" t="n"/>
      <c r="DL349" s="24" t="n"/>
      <c r="DM349" s="24" t="n"/>
      <c r="DN349" s="24" t="n"/>
      <c r="DO349" s="24" t="n"/>
      <c r="DP349" s="24" t="n"/>
      <c r="DQ349" s="24" t="inlineStr">
        <is>
          <t>{"artifact_hash": "1d168f11d221cd3c", "event_id": "401862771", "event_start_utc": "2026-09-19T22:00Z", "features": {"altitude_fatigue_penalty": 0.0, "away_team": "Florida International Panthers", "efficiency_gap": -0.515, "elo_away": 1337.5, "elo_home": 1256.5, "elo_home_win_prob": 0.4769, "event_id": "401862771", "game_start_utc": "2026-09-19T22:00Z", "home_field_advantage_points": 2.8, "home_team": "Florida Atlantic Owls", "is_dome": false, "is_fbs_vs_fcs": false, "is_neutral_site": false, "projected_away_points": 26.8, "projected_home_points": 26.2, "projected_margin_home": -0.7,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312287291443169735831080788105099921184}, "uinteger": 0}, "spread_home_line": -6.5, "total_line": 62.5}, "market_type": "spread", "model_version": "cfb-spread-v1", "observed_at_utc": "2026-09-19T17:08:25.088129+00:00", "probabilities": {"away": 0.651733, "home": 0.348267, "push": 0.0}, "replay_scope": "Full precision score means, exact engine parameters and original RNG state; upstream feature construction not certified.", "schema": "cfb-joint-replay-v1", "snapshot_hash": "ba5e1629b101e26ec0d42afcc6981eafbd9653d1e862fd8a7673dc7ebd8b0af6", "sport": "NCAAF"}</t>
        </is>
      </c>
    </row>
    <row r="350" ht="36" customHeight="1">
      <c r="A350" s="24" t="inlineStr">
        <is>
          <t>0297ccb8b61142f1</t>
        </is>
      </c>
      <c r="B350" s="24" t="inlineStr">
        <is>
          <t>2026-09-19T17:08:25.088129Z</t>
        </is>
      </c>
      <c r="C350" s="24" t="inlineStr">
        <is>
          <t>2026-09-19T22:00Z</t>
        </is>
      </c>
      <c r="D350" s="24" t="inlineStr">
        <is>
          <t>401862771</t>
        </is>
      </c>
      <c r="E350" s="24" t="inlineStr">
        <is>
          <t>NCAAF</t>
        </is>
      </c>
      <c r="F350" s="24" t="inlineStr">
        <is>
          <t>Florida International Panthers</t>
        </is>
      </c>
      <c r="G350" s="24" t="inlineStr">
        <is>
          <t>Florida Atlantic Owls</t>
        </is>
      </c>
      <c r="H350" s="24" t="inlineStr">
        <is>
          <t>total</t>
        </is>
      </c>
      <c r="I350" s="24" t="inlineStr">
        <is>
          <t>under</t>
        </is>
      </c>
      <c r="J350" s="25" t="n">
        <v>62.5</v>
      </c>
      <c r="K350" s="24" t="inlineStr">
        <is>
          <t>espn_consensus</t>
        </is>
      </c>
      <c r="L350" s="26" t="n">
        <v>-112</v>
      </c>
      <c r="M350" s="27" t="n">
        <v>1.892857</v>
      </c>
      <c r="N350" s="28" t="n">
        <v>0.528302</v>
      </c>
      <c r="O350" s="28" t="n">
        <v>0.682267</v>
      </c>
      <c r="P350" s="28" t="n">
        <v>0.18</v>
      </c>
      <c r="Q350" s="28" t="n">
        <v>0.153965</v>
      </c>
      <c r="R350" s="26" t="n">
        <v>19</v>
      </c>
      <c r="S350" s="29" t="n">
        <v>1</v>
      </c>
      <c r="T350" s="24" t="inlineStr">
        <is>
          <t>cfb-total-v1</t>
        </is>
      </c>
      <c r="U350" s="24" t="inlineStr">
        <is>
          <t>settled</t>
        </is>
      </c>
      <c r="V350" s="24" t="inlineStr">
        <is>
          <t>win</t>
        </is>
      </c>
      <c r="W350" s="26" t="n">
        <v>10</v>
      </c>
      <c r="X350" s="26" t="n">
        <v>16</v>
      </c>
      <c r="Y350" s="25" t="n"/>
      <c r="Z350" s="26" t="n"/>
      <c r="AA350" s="28" t="n"/>
      <c r="AB350" s="28" t="n"/>
      <c r="AC350" s="30" t="n">
        <v>0.8929</v>
      </c>
      <c r="AD350" s="24" t="inlineStr">
        <is>
          <t>2026-09-20T04:31:01.867607Z</t>
        </is>
      </c>
      <c r="AE350" s="31" t="inlineStr">
        <is>
          <t>Projected total 53.0 pts (Weather adj: +0.0 pts). Total line 62.5 -&gt; P(Over)=0.318, P(Under)=0.682, P(Push)=0.000.</t>
        </is>
      </c>
      <c r="AF350" s="31" t="inlineStr">
        <is>
          <t>College football model; multi-market (moneyline, spread, total).</t>
        </is>
      </c>
      <c r="AG350" s="24" t="inlineStr">
        <is>
          <t>not_applicable</t>
        </is>
      </c>
      <c r="AH350" s="24" t="n"/>
      <c r="AI350" s="31" t="n"/>
      <c r="AJ350" s="31" t="n"/>
      <c r="AK350" s="24" t="inlineStr">
        <is>
          <t>model_qualified</t>
        </is>
      </c>
      <c r="AL350" s="26" t="n">
        <v>4</v>
      </c>
      <c r="AM350" s="24" t="inlineStr">
        <is>
          <t>QUALIFIED_SHADOW_CALL</t>
        </is>
      </c>
      <c r="AN350" s="24" t="inlineStr">
        <is>
          <t>CALL</t>
        </is>
      </c>
      <c r="AO350" s="24" t="inlineStr">
        <is>
          <t>QUALIFIED</t>
        </is>
      </c>
      <c r="AP350" s="24" t="inlineStr">
        <is>
          <t>Florida International Panthers</t>
        </is>
      </c>
      <c r="AQ350" s="24" t="inlineStr">
        <is>
          <t>Florida International Panthers</t>
        </is>
      </c>
      <c r="AR350" s="24" t="inlineStr">
        <is>
          <t>Florida International Panthers</t>
        </is>
      </c>
      <c r="AS350" s="24" t="inlineStr">
        <is>
          <t>Florida Atlantic Owls</t>
        </is>
      </c>
      <c r="AT350" s="24" t="inlineStr">
        <is>
          <t>Florida Atlantic Owls</t>
        </is>
      </c>
      <c r="AU350" s="24" t="inlineStr">
        <is>
          <t>Florida Atlantic Owls</t>
        </is>
      </c>
      <c r="AV350" s="24" t="n"/>
      <c r="AW350" s="24" t="n"/>
      <c r="AX350" s="24" t="inlineStr">
        <is>
          <t>statistical_model</t>
        </is>
      </c>
      <c r="AY350" s="24" t="n"/>
      <c r="AZ350" s="24" t="inlineStr">
        <is>
          <t>shadow_qualified</t>
        </is>
      </c>
      <c r="BA350" s="24" t="inlineStr">
        <is>
          <t>1d168f11d221cd3c</t>
        </is>
      </c>
      <c r="BB350" s="24" t="inlineStr">
        <is>
          <t>cfb_key_number_engine</t>
        </is>
      </c>
      <c r="BC350" s="24" t="inlineStr">
        <is>
          <t>cfb-total-v1</t>
        </is>
      </c>
      <c r="BD350" s="24" t="inlineStr">
        <is>
          <t>1d168f11d221cd3c</t>
        </is>
      </c>
      <c r="BE350" s="24" t="inlineStr">
        <is>
          <t>cfb-v1</t>
        </is>
      </c>
      <c r="BF350" s="24" t="inlineStr">
        <is>
          <t>1</t>
        </is>
      </c>
      <c r="BG350" s="24" t="inlineStr">
        <is>
          <t>1d168f11d221cd3c</t>
        </is>
      </c>
      <c r="BH350" s="24" t="inlineStr">
        <is>
          <t>2026-09-19T17:08:25.088129+00:00</t>
        </is>
      </c>
      <c r="BI350" s="24" t="inlineStr">
        <is>
          <t>["same_event","same_team_same_day","same_league_same_day"]</t>
        </is>
      </c>
      <c r="BJ350" s="25" t="n">
        <v>62.5</v>
      </c>
      <c r="BK350" s="26" t="n">
        <v>-112</v>
      </c>
      <c r="BL350" s="27" t="n">
        <v>1.892857</v>
      </c>
      <c r="BM350" s="28" t="n">
        <v>0.528302</v>
      </c>
      <c r="BN350" s="28" t="n"/>
      <c r="BO350" s="28" t="n"/>
      <c r="BP350" s="25" t="n"/>
      <c r="BQ350" s="27" t="n"/>
      <c r="BR350" s="28" t="n"/>
      <c r="BS350" s="28" t="n"/>
      <c r="BT350" s="28" t="n"/>
      <c r="BU350" s="25" t="n"/>
      <c r="BV350" s="29" t="n"/>
      <c r="BW350" s="24" t="n"/>
      <c r="BX350" s="30" t="n"/>
      <c r="BY350" s="27" t="n"/>
      <c r="BZ350" s="24" t="n"/>
      <c r="CA350" s="31" t="n"/>
      <c r="CB350" s="24" t="n"/>
      <c r="CC350" s="24" t="n"/>
      <c r="CD350" s="24" t="n"/>
      <c r="CE350" s="24" t="n"/>
      <c r="CF350" s="24" t="n"/>
      <c r="CG350" s="24" t="n"/>
      <c r="CH350" s="24" t="n"/>
      <c r="CI350" s="24" t="n"/>
      <c r="CJ350" s="24" t="n"/>
      <c r="CK350" s="24" t="n"/>
      <c r="CL350" s="24" t="n"/>
      <c r="CM350" s="24" t="n"/>
      <c r="CN350" s="24" t="n"/>
      <c r="CO350" s="24" t="n"/>
      <c r="CP350" s="24" t="n"/>
      <c r="CQ350" s="24" t="n"/>
      <c r="CR350" s="24" t="n"/>
      <c r="CS350" s="24" t="inlineStr">
        <is>
          <t>True</t>
        </is>
      </c>
      <c r="CT350" s="24" t="n"/>
      <c r="CU350" s="24" t="n"/>
      <c r="CV350" s="24" t="n"/>
      <c r="CW350" s="24" t="n"/>
      <c r="CX350" s="24" t="n"/>
      <c r="CY350" s="24" t="n"/>
      <c r="CZ350" s="24" t="n"/>
      <c r="DA350" s="24" t="n"/>
      <c r="DB350" s="24" t="n"/>
      <c r="DC350" s="24" t="n"/>
      <c r="DD350" s="24" t="n"/>
      <c r="DE350" s="24" t="n"/>
      <c r="DF350" s="24" t="n"/>
      <c r="DG350" s="24" t="n"/>
      <c r="DH350" s="24" t="n"/>
      <c r="DI350" s="24" t="n"/>
      <c r="DJ350" s="24" t="inlineStr">
        <is>
          <t>0.528302</t>
        </is>
      </c>
      <c r="DK350" s="24" t="n"/>
      <c r="DL350" s="24" t="n"/>
      <c r="DM350" s="24" t="n"/>
      <c r="DN350" s="24" t="n"/>
      <c r="DO350" s="24" t="n"/>
      <c r="DP350" s="24" t="n"/>
      <c r="DQ350" s="24" t="inlineStr">
        <is>
          <t>{"artifact_hash": "1d168f11d221cd3c", "event_id": "401862771", "event_start_utc": "2026-09-19T22:00Z", "features": {"altitude_fatigue_penalty": 0.0, "away_team": "Florida International Panthers", "efficiency_gap": -0.515, "elo_away": 1337.5, "elo_home": 1256.5, "elo_home_win_prob": 0.4769, "event_id": "401862771", "game_start_utc": "2026-09-19T22:00Z", "home_field_advantage_points": 2.8, "home_team": "Florida Atlantic Owls", "is_dome": false, "is_fbs_vs_fcs": false, "is_neutral_site": false, "projected_away_points": 26.8, "projected_home_points": 26.2, "projected_margin_home": -0.7,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312287291443169735831080788105099921184}, "uinteger": 0}, "spread_home_line": -6.5, "total_line": 62.5}, "market_type": "total", "model_version": "cfb-total-v1", "observed_at_utc": "2026-09-19T17:08:25.088129+00:00", "probabilities": {"over": 0.317733, "push": 0.0, "under": 0.682267}, "replay_scope": "Full precision score means, exact engine parameters and original RNG state; upstream feature construction not certified.", "schema": "cfb-joint-replay-v1", "snapshot_hash": "348894d263c41fcd62d9e2310c3403683f3230ea3d85e62268061e695ba2a756", "sport": "NCAAF"}</t>
        </is>
      </c>
    </row>
    <row r="351" ht="36" customHeight="1">
      <c r="A351" s="24" t="inlineStr">
        <is>
          <t>7d122335debf42fb</t>
        </is>
      </c>
      <c r="B351" s="24" t="inlineStr">
        <is>
          <t>2026-09-19T17:08:25.088129Z</t>
        </is>
      </c>
      <c r="C351" s="24" t="inlineStr">
        <is>
          <t>2026-09-19T22:00Z</t>
        </is>
      </c>
      <c r="D351" s="24" t="inlineStr">
        <is>
          <t>401864574</t>
        </is>
      </c>
      <c r="E351" s="24" t="inlineStr">
        <is>
          <t>NCAAF</t>
        </is>
      </c>
      <c r="F351" s="24" t="inlineStr">
        <is>
          <t>Charlotte 49ers</t>
        </is>
      </c>
      <c r="G351" s="24" t="inlineStr">
        <is>
          <t>App State Mountaineers</t>
        </is>
      </c>
      <c r="H351" s="24" t="inlineStr">
        <is>
          <t>moneyline</t>
        </is>
      </c>
      <c r="I351" s="24" t="inlineStr">
        <is>
          <t>home</t>
        </is>
      </c>
      <c r="J351" s="25" t="n"/>
      <c r="K351" s="24" t="inlineStr">
        <is>
          <t>espn_consensus</t>
        </is>
      </c>
      <c r="L351" s="26" t="n">
        <v>-1100</v>
      </c>
      <c r="M351" s="27" t="n">
        <v>1.090909</v>
      </c>
      <c r="N351" s="28" t="n">
        <v>0.916667</v>
      </c>
      <c r="O351" s="28" t="n">
        <v>0.79304</v>
      </c>
      <c r="P351" s="28" t="n">
        <v>0.18</v>
      </c>
      <c r="Q351" s="28" t="n">
        <v>-0.123627</v>
      </c>
      <c r="R351" s="26" t="n">
        <v>0</v>
      </c>
      <c r="S351" s="29" t="n">
        <v>1</v>
      </c>
      <c r="T351" s="24" t="inlineStr">
        <is>
          <t>college-football-v1</t>
        </is>
      </c>
      <c r="U351" s="24" t="inlineStr">
        <is>
          <t>settled</t>
        </is>
      </c>
      <c r="V351" s="24" t="inlineStr">
        <is>
          <t>win</t>
        </is>
      </c>
      <c r="W351" s="26" t="n">
        <v>21</v>
      </c>
      <c r="X351" s="26" t="n">
        <v>26</v>
      </c>
      <c r="Y351" s="25" t="n"/>
      <c r="Z351" s="26" t="n"/>
      <c r="AA351" s="28" t="n"/>
      <c r="AB351" s="28" t="n"/>
      <c r="AC351" s="30" t="n">
        <v>0.09089999999999999</v>
      </c>
      <c r="AD351" s="24" t="inlineStr">
        <is>
          <t>2026-09-20T10:00:09.434656Z</t>
        </is>
      </c>
      <c r="AE351" s="31" t="inlineStr">
        <is>
          <t>CFB Joint Model (negative_binomial): proj score Charlotte 49ers 19.0 @ App State Mountaineers 34.5 (Margin +15.5). Possessions: 12.4, HFA: +2.8 pts.</t>
        </is>
      </c>
      <c r="AF351" s="31" t="inlineStr">
        <is>
          <t>College football model; multi-market (moneyline, spread, total).</t>
        </is>
      </c>
      <c r="AG351" s="24" t="inlineStr">
        <is>
          <t>not_applicable</t>
        </is>
      </c>
      <c r="AH351" s="24" t="n"/>
      <c r="AI351" s="31" t="n"/>
      <c r="AJ351" s="31" t="n"/>
      <c r="AK351" s="24" t="inlineStr">
        <is>
          <t>paper_call</t>
        </is>
      </c>
      <c r="AL351" s="26" t="n">
        <v>4</v>
      </c>
      <c r="AM351" s="24" t="inlineStr">
        <is>
          <t>RESEARCH_OBSERVATION</t>
        </is>
      </c>
      <c r="AN351" s="24" t="inlineStr">
        <is>
          <t>CALL</t>
        </is>
      </c>
      <c r="AO351" s="24" t="inlineStr">
        <is>
          <t>PAPER_CALL_LOW_EDGE</t>
        </is>
      </c>
      <c r="AP351" s="24" t="inlineStr">
        <is>
          <t>Charlotte 49ers</t>
        </is>
      </c>
      <c r="AQ351" s="24" t="inlineStr">
        <is>
          <t>Charlotte 49ers</t>
        </is>
      </c>
      <c r="AR351" s="24" t="inlineStr">
        <is>
          <t>Charlotte 49ers</t>
        </is>
      </c>
      <c r="AS351" s="24" t="inlineStr">
        <is>
          <t>App State Mountaineers</t>
        </is>
      </c>
      <c r="AT351" s="24" t="inlineStr">
        <is>
          <t>App State Mountaineers</t>
        </is>
      </c>
      <c r="AU351" s="24" t="inlineStr">
        <is>
          <t>App State Mountaineers</t>
        </is>
      </c>
      <c r="AV351" s="24" t="n"/>
      <c r="AW351" s="24" t="n"/>
      <c r="AX351" s="24" t="inlineStr">
        <is>
          <t>statistical_model</t>
        </is>
      </c>
      <c r="AY351" s="24" t="n"/>
      <c r="AZ351" s="24" t="inlineStr">
        <is>
          <t>shadow_qualified</t>
        </is>
      </c>
      <c r="BA351" s="24" t="inlineStr">
        <is>
          <t>1d168f11d221cd3c</t>
        </is>
      </c>
      <c r="BB351" s="24" t="inlineStr">
        <is>
          <t>cfb_key_number_engine</t>
        </is>
      </c>
      <c r="BC351" s="24" t="inlineStr">
        <is>
          <t>college-football-v1</t>
        </is>
      </c>
      <c r="BD351" s="24" t="inlineStr">
        <is>
          <t>1d168f11d221cd3c</t>
        </is>
      </c>
      <c r="BE351" s="24" t="inlineStr">
        <is>
          <t>cfb-v1</t>
        </is>
      </c>
      <c r="BF351" s="24" t="inlineStr">
        <is>
          <t>1</t>
        </is>
      </c>
      <c r="BG351" s="24" t="inlineStr">
        <is>
          <t>1d168f11d221cd3c</t>
        </is>
      </c>
      <c r="BH351" s="24" t="inlineStr">
        <is>
          <t>2026-09-19T17:08:25.088129+00:00</t>
        </is>
      </c>
      <c r="BI351" s="24" t="inlineStr">
        <is>
          <t>["same_event","same_team_same_day","same_league_same_day"]</t>
        </is>
      </c>
      <c r="BJ351" s="25" t="n"/>
      <c r="BK351" s="26" t="n">
        <v>-1100</v>
      </c>
      <c r="BL351" s="27" t="n">
        <v>1.090909</v>
      </c>
      <c r="BM351" s="28" t="n">
        <v>0.916667</v>
      </c>
      <c r="BN351" s="28" t="n"/>
      <c r="BO351" s="28" t="n"/>
      <c r="BP351" s="25" t="n"/>
      <c r="BQ351" s="27" t="n"/>
      <c r="BR351" s="28" t="n"/>
      <c r="BS351" s="28" t="n"/>
      <c r="BT351" s="28" t="n"/>
      <c r="BU351" s="25" t="n"/>
      <c r="BV351" s="29" t="n"/>
      <c r="BW351" s="24" t="n"/>
      <c r="BX351" s="30" t="n">
        <v>1</v>
      </c>
      <c r="BY351" s="27" t="n">
        <v>0.090909</v>
      </c>
      <c r="BZ351" s="24" t="inlineStr">
        <is>
          <t>2026-09-20T10:00:09.434656Z</t>
        </is>
      </c>
      <c r="CA351" s="31" t="inlineStr">
        <is>
          <t>fixed one-unit hypothetical scoring; no real exposure or execution</t>
        </is>
      </c>
      <c r="CB351" s="24" t="n"/>
      <c r="CC351" s="24" t="n"/>
      <c r="CD351" s="24" t="n"/>
      <c r="CE351" s="24" t="n"/>
      <c r="CF351" s="24" t="n"/>
      <c r="CG351" s="24" t="n"/>
      <c r="CH351" s="24" t="n"/>
      <c r="CI351" s="24" t="n"/>
      <c r="CJ351" s="24" t="n"/>
      <c r="CK351" s="24" t="n"/>
      <c r="CL351" s="24" t="n"/>
      <c r="CM351" s="24" t="n"/>
      <c r="CN351" s="24" t="n"/>
      <c r="CO351" s="24" t="n"/>
      <c r="CP351" s="24" t="n"/>
      <c r="CQ351" s="24" t="n"/>
      <c r="CR351" s="24" t="n"/>
      <c r="CS351" s="24" t="inlineStr">
        <is>
          <t>False</t>
        </is>
      </c>
      <c r="CT351" s="24" t="n"/>
      <c r="CU351" s="24" t="n"/>
      <c r="CV351" s="24" t="n"/>
      <c r="CW351" s="24" t="n"/>
      <c r="CX351" s="24" t="n"/>
      <c r="CY351" s="24" t="n"/>
      <c r="CZ351" s="24" t="n"/>
      <c r="DA351" s="24" t="n"/>
      <c r="DB351" s="24" t="n"/>
      <c r="DC351" s="24" t="n"/>
      <c r="DD351" s="24" t="n"/>
      <c r="DE351" s="24" t="n"/>
      <c r="DF351" s="24" t="n"/>
      <c r="DG351" s="24" t="n"/>
      <c r="DH351" s="24" t="n"/>
      <c r="DI351" s="24" t="n"/>
      <c r="DJ351" s="24" t="inlineStr">
        <is>
          <t>0.916667</t>
        </is>
      </c>
      <c r="DK351" s="24" t="n"/>
      <c r="DL351" s="24" t="n"/>
      <c r="DM351" s="24" t="n"/>
      <c r="DN351" s="24" t="n"/>
      <c r="DO351" s="24" t="n"/>
      <c r="DP351" s="24" t="n"/>
      <c r="DQ351" s="24" t="inlineStr">
        <is>
          <t>{"artifact_hash": "1d168f11d221cd3c", "event_id": "401864574", "event_start_utc": "2026-09-19T22:00Z", "features": {"altitude_fatigue_penalty": 0.0, "away_team": "Charlotte 49ers", "efficiency_gap": -0.264, "elo_away": 1110.6, "elo_home": 1425.0, "elo_home_win_prob": 0.8988, "event_id": "401864574", "game_start_utc": "2026-09-19T22:00Z", "home_field_advantage_points": 2.8, "home_team": "App State Mountaineers", "is_dome": false, "is_fbs_vs_fcs": false, "is_neutral_site": false, "projected_away_points": 19.0, "projected_home_points": 34.5, "projected_margin_home": 15.5, "projected_possessions": 12.4, "projected_total": 53.5, "stadium_elevation_ft": 3333, "travel_distance_miles": 82.0, "uncertainty": 0.18, "weather_total_adjustment": 0.0}, "historical_source_observation_times_verified": false, "inference_inputs": {"engine_source_sha256": "449ba2f0e86fa9c445730076a0e0bf100fb4914620be53c75c6f3bfe24298f3f", "mu_away": 19.0,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11706864531024188450126884835894305822}, "uinteger": 0}, "spread_home_line": -17.5, "total_line": 52.5}, "market_type": "moneyline", "model_version": "college-football-v1", "observed_at_utc": "2026-09-19T17:08:25.088129+00:00", "probabilities": {"away": 0.20696, "home": 0.79304}, "replay_scope": "Full precision score means, exact engine parameters and original RNG state; upstream feature construction not certified.", "schema": "cfb-joint-replay-v1", "snapshot_hash": "b5f774fb5472d9b88821d1c9942c9343e2491d2f889e28245246827d2058681d", "sport": "NCAAF"}</t>
        </is>
      </c>
    </row>
    <row r="352" ht="36" customHeight="1">
      <c r="A352" s="24" t="inlineStr">
        <is>
          <t>c938ff3a93354f5e</t>
        </is>
      </c>
      <c r="B352" s="24" t="inlineStr">
        <is>
          <t>2026-09-19T17:08:25.088129Z</t>
        </is>
      </c>
      <c r="C352" s="24" t="inlineStr">
        <is>
          <t>2026-09-19T22:00Z</t>
        </is>
      </c>
      <c r="D352" s="24" t="inlineStr">
        <is>
          <t>401864574</t>
        </is>
      </c>
      <c r="E352" s="24" t="inlineStr">
        <is>
          <t>NCAAF</t>
        </is>
      </c>
      <c r="F352" s="24" t="inlineStr">
        <is>
          <t>Charlotte 49ers</t>
        </is>
      </c>
      <c r="G352" s="24" t="inlineStr">
        <is>
          <t>App State Mountaineers</t>
        </is>
      </c>
      <c r="H352" s="24" t="inlineStr">
        <is>
          <t>spread</t>
        </is>
      </c>
      <c r="I352" s="24" t="inlineStr">
        <is>
          <t>away</t>
        </is>
      </c>
      <c r="J352" s="25" t="n">
        <v>17.5</v>
      </c>
      <c r="K352" s="24" t="inlineStr">
        <is>
          <t>espn_consensus</t>
        </is>
      </c>
      <c r="L352" s="26" t="n">
        <v>-115</v>
      </c>
      <c r="M352" s="27" t="n">
        <v>1.869565</v>
      </c>
      <c r="N352" s="28" t="n">
        <v>0.534884</v>
      </c>
      <c r="O352" s="28" t="n">
        <v>0.546733</v>
      </c>
      <c r="P352" s="28" t="n">
        <v>0.18</v>
      </c>
      <c r="Q352" s="28" t="n">
        <v>0.011849</v>
      </c>
      <c r="R352" s="26" t="n">
        <v>0</v>
      </c>
      <c r="S352" s="29" t="n">
        <v>1</v>
      </c>
      <c r="T352" s="24" t="inlineStr">
        <is>
          <t>cfb-spread-v1</t>
        </is>
      </c>
      <c r="U352" s="24" t="inlineStr">
        <is>
          <t>settled</t>
        </is>
      </c>
      <c r="V352" s="24" t="inlineStr">
        <is>
          <t>win</t>
        </is>
      </c>
      <c r="W352" s="26" t="n">
        <v>21</v>
      </c>
      <c r="X352" s="26" t="n">
        <v>26</v>
      </c>
      <c r="Y352" s="25" t="n"/>
      <c r="Z352" s="26" t="n"/>
      <c r="AA352" s="28" t="n"/>
      <c r="AB352" s="28" t="n"/>
      <c r="AC352" s="30" t="n">
        <v>0.8696</v>
      </c>
      <c r="AD352" s="24" t="inlineStr">
        <is>
          <t>2026-09-20T10:00:09.995415Z</t>
        </is>
      </c>
      <c r="AE352" s="31" t="inlineStr">
        <is>
          <t>Projected home margin +15.5 pts. Spread: Home -17.5 / Away +17.5 -&gt; P(Away cover)=0.547, P(Home cover)=0.453, P(Push)=0.000.</t>
        </is>
      </c>
      <c r="AF352" s="31" t="inlineStr">
        <is>
          <t>College football model; multi-market (moneyline, spread, total).</t>
        </is>
      </c>
      <c r="AG352" s="24" t="inlineStr">
        <is>
          <t>not_applicable</t>
        </is>
      </c>
      <c r="AH352" s="24" t="n"/>
      <c r="AI352" s="31" t="n"/>
      <c r="AJ352" s="31" t="n"/>
      <c r="AK352" s="24" t="inlineStr">
        <is>
          <t>paper_call</t>
        </is>
      </c>
      <c r="AL352" s="26" t="n">
        <v>4</v>
      </c>
      <c r="AM352" s="24" t="inlineStr">
        <is>
          <t>RESEARCH_OBSERVATION</t>
        </is>
      </c>
      <c r="AN352" s="24" t="inlineStr">
        <is>
          <t>CALL</t>
        </is>
      </c>
      <c r="AO352" s="24" t="inlineStr">
        <is>
          <t>PAPER_CALL_LOW_EDGE</t>
        </is>
      </c>
      <c r="AP352" s="24" t="inlineStr">
        <is>
          <t>Charlotte 49ers</t>
        </is>
      </c>
      <c r="AQ352" s="24" t="inlineStr">
        <is>
          <t>Charlotte 49ers</t>
        </is>
      </c>
      <c r="AR352" s="24" t="inlineStr">
        <is>
          <t>Charlotte 49ers</t>
        </is>
      </c>
      <c r="AS352" s="24" t="inlineStr">
        <is>
          <t>App State Mountaineers</t>
        </is>
      </c>
      <c r="AT352" s="24" t="inlineStr">
        <is>
          <t>App State Mountaineers</t>
        </is>
      </c>
      <c r="AU352" s="24" t="inlineStr">
        <is>
          <t>App State Mountaineers</t>
        </is>
      </c>
      <c r="AV352" s="24" t="n"/>
      <c r="AW352" s="24" t="n"/>
      <c r="AX352" s="24" t="inlineStr">
        <is>
          <t>statistical_model</t>
        </is>
      </c>
      <c r="AY352" s="24" t="n"/>
      <c r="AZ352" s="24" t="inlineStr">
        <is>
          <t>shadow_qualified</t>
        </is>
      </c>
      <c r="BA352" s="24" t="inlineStr">
        <is>
          <t>1d168f11d221cd3c</t>
        </is>
      </c>
      <c r="BB352" s="24" t="inlineStr">
        <is>
          <t>cfb_key_number_engine</t>
        </is>
      </c>
      <c r="BC352" s="24" t="inlineStr">
        <is>
          <t>cfb-spread-v1</t>
        </is>
      </c>
      <c r="BD352" s="24" t="inlineStr">
        <is>
          <t>1d168f11d221cd3c</t>
        </is>
      </c>
      <c r="BE352" s="24" t="inlineStr">
        <is>
          <t>cfb-v1</t>
        </is>
      </c>
      <c r="BF352" s="24" t="inlineStr">
        <is>
          <t>1</t>
        </is>
      </c>
      <c r="BG352" s="24" t="inlineStr">
        <is>
          <t>1d168f11d221cd3c</t>
        </is>
      </c>
      <c r="BH352" s="24" t="inlineStr">
        <is>
          <t>2026-09-19T17:08:25.088129+00:00</t>
        </is>
      </c>
      <c r="BI352" s="24" t="inlineStr">
        <is>
          <t>["same_event","same_team_same_day","same_league_same_day"]</t>
        </is>
      </c>
      <c r="BJ352" s="25" t="n">
        <v>17.5</v>
      </c>
      <c r="BK352" s="26" t="n">
        <v>-115</v>
      </c>
      <c r="BL352" s="27" t="n">
        <v>1.869565</v>
      </c>
      <c r="BM352" s="28" t="n">
        <v>0.534884</v>
      </c>
      <c r="BN352" s="28" t="n"/>
      <c r="BO352" s="28" t="n"/>
      <c r="BP352" s="25" t="n"/>
      <c r="BQ352" s="27" t="n"/>
      <c r="BR352" s="28" t="n"/>
      <c r="BS352" s="28" t="n"/>
      <c r="BT352" s="28" t="n"/>
      <c r="BU352" s="25" t="n"/>
      <c r="BV352" s="29" t="n"/>
      <c r="BW352" s="24" t="n"/>
      <c r="BX352" s="30" t="n">
        <v>1</v>
      </c>
      <c r="BY352" s="27" t="n">
        <v>0.869565</v>
      </c>
      <c r="BZ352" s="24" t="inlineStr">
        <is>
          <t>2026-09-20T10:00:09.995415Z</t>
        </is>
      </c>
      <c r="CA352" s="31" t="inlineStr">
        <is>
          <t>fixed one-unit hypothetical scoring; no real exposure or execution</t>
        </is>
      </c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inlineStr">
        <is>
          <t>True</t>
        </is>
      </c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/>
      <c r="DH352" s="24" t="n"/>
      <c r="DI352" s="24" t="n"/>
      <c r="DJ352" s="24" t="inlineStr">
        <is>
          <t>0.534884</t>
        </is>
      </c>
      <c r="DK352" s="24" t="n"/>
      <c r="DL352" s="24" t="n"/>
      <c r="DM352" s="24" t="n"/>
      <c r="DN352" s="24" t="n"/>
      <c r="DO352" s="24" t="n"/>
      <c r="DP352" s="24" t="n"/>
      <c r="DQ352" s="24" t="inlineStr">
        <is>
          <t>{"artifact_hash": "1d168f11d221cd3c", "event_id": "401864574", "event_start_utc": "2026-09-19T22:00Z", "features": {"altitude_fatigue_penalty": 0.0, "away_team": "Charlotte 49ers", "efficiency_gap": -0.264, "elo_away": 1110.6, "elo_home": 1425.0, "elo_home_win_prob": 0.8988, "event_id": "401864574", "game_start_utc": "2026-09-19T22:00Z", "home_field_advantage_points": 2.8, "home_team": "App State Mountaineers", "is_dome": false, "is_fbs_vs_fcs": false, "is_neutral_site": false, "projected_away_points": 19.0, "projected_home_points": 34.5, "projected_margin_home": 15.5, "projected_possessions": 12.4, "projected_total": 53.5, "stadium_elevation_ft": 3333, "travel_distance_miles": 82.0, "uncertainty": 0.18, "weather_total_adjustment": 0.0}, "historical_source_observation_times_verified": false, "inference_inputs": {"engine_source_sha256": "449ba2f0e86fa9c445730076a0e0bf100fb4914620be53c75c6f3bfe24298f3f", "mu_away": 19.0,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11706864531024188450126884835894305822}, "uinteger": 0}, "spread_home_line": -17.5, "total_line": 52.5}, "market_type": "spread", "model_version": "cfb-spread-v1", "observed_at_utc": "2026-09-19T17:08:25.088129+00:00", "probabilities": {"away": 0.546733, "home": 0.453267, "push": 0.0}, "replay_scope": "Full precision score means, exact engine parameters and original RNG state; upstream feature construction not certified.", "schema": "cfb-joint-replay-v1", "snapshot_hash": "59fed3c5516f41bbe996be8e5281291406e139025d7f79d4af2e94fae4579237", "sport": "NCAAF"}</t>
        </is>
      </c>
    </row>
    <row r="353" ht="36" customHeight="1">
      <c r="A353" s="24" t="inlineStr">
        <is>
          <t>27230deb51274063</t>
        </is>
      </c>
      <c r="B353" s="24" t="inlineStr">
        <is>
          <t>2026-09-19T17:08:25.088129Z</t>
        </is>
      </c>
      <c r="C353" s="24" t="inlineStr">
        <is>
          <t>2026-09-19T22:00Z</t>
        </is>
      </c>
      <c r="D353" s="24" t="inlineStr">
        <is>
          <t>401864574</t>
        </is>
      </c>
      <c r="E353" s="24" t="inlineStr">
        <is>
          <t>NCAAF</t>
        </is>
      </c>
      <c r="F353" s="24" t="inlineStr">
        <is>
          <t>Charlotte 49ers</t>
        </is>
      </c>
      <c r="G353" s="24" t="inlineStr">
        <is>
          <t>App State Mountaineers</t>
        </is>
      </c>
      <c r="H353" s="24" t="inlineStr">
        <is>
          <t>total</t>
        </is>
      </c>
      <c r="I353" s="24" t="inlineStr">
        <is>
          <t>under</t>
        </is>
      </c>
      <c r="J353" s="25" t="n">
        <v>52.5</v>
      </c>
      <c r="K353" s="24" t="inlineStr">
        <is>
          <t>espn_consensus</t>
        </is>
      </c>
      <c r="L353" s="26" t="n">
        <v>-110</v>
      </c>
      <c r="M353" s="27" t="n">
        <v>1.909091</v>
      </c>
      <c r="N353" s="28" t="n">
        <v>0.52381</v>
      </c>
      <c r="O353" s="28" t="n">
        <v>0.509</v>
      </c>
      <c r="P353" s="28" t="n">
        <v>0.18</v>
      </c>
      <c r="Q353" s="28" t="n">
        <v>-0.01481</v>
      </c>
      <c r="R353" s="26" t="n">
        <v>0</v>
      </c>
      <c r="S353" s="29" t="n">
        <v>1</v>
      </c>
      <c r="T353" s="24" t="inlineStr">
        <is>
          <t>cfb-total-v1</t>
        </is>
      </c>
      <c r="U353" s="24" t="inlineStr">
        <is>
          <t>settled</t>
        </is>
      </c>
      <c r="V353" s="24" t="inlineStr">
        <is>
          <t>win</t>
        </is>
      </c>
      <c r="W353" s="26" t="n">
        <v>21</v>
      </c>
      <c r="X353" s="26" t="n">
        <v>26</v>
      </c>
      <c r="Y353" s="25" t="n"/>
      <c r="Z353" s="26" t="n"/>
      <c r="AA353" s="28" t="n"/>
      <c r="AB353" s="28" t="n"/>
      <c r="AC353" s="30" t="n">
        <v>0.9091</v>
      </c>
      <c r="AD353" s="24" t="inlineStr">
        <is>
          <t>2026-09-20T10:00:10.474881Z</t>
        </is>
      </c>
      <c r="AE353" s="31" t="inlineStr">
        <is>
          <t>Projected total 53.5 pts (Weather adj: +0.0 pts). Total line 52.5 -&gt; P(Over)=0.491, P(Under)=0.509, P(Push)=0.000.</t>
        </is>
      </c>
      <c r="AF353" s="31" t="inlineStr">
        <is>
          <t>College football model; multi-market (moneyline, spread, total).</t>
        </is>
      </c>
      <c r="AG353" s="24" t="inlineStr">
        <is>
          <t>not_applicable</t>
        </is>
      </c>
      <c r="AH353" s="24" t="n"/>
      <c r="AI353" s="31" t="n"/>
      <c r="AJ353" s="31" t="n"/>
      <c r="AK353" s="24" t="inlineStr">
        <is>
          <t>paper_call</t>
        </is>
      </c>
      <c r="AL353" s="26" t="n">
        <v>4</v>
      </c>
      <c r="AM353" s="24" t="inlineStr">
        <is>
          <t>RESEARCH_OBSERVATION</t>
        </is>
      </c>
      <c r="AN353" s="24" t="inlineStr">
        <is>
          <t>CALL</t>
        </is>
      </c>
      <c r="AO353" s="24" t="inlineStr">
        <is>
          <t>PAPER_CALL_LOW_EDGE</t>
        </is>
      </c>
      <c r="AP353" s="24" t="inlineStr">
        <is>
          <t>Charlotte 49ers</t>
        </is>
      </c>
      <c r="AQ353" s="24" t="inlineStr">
        <is>
          <t>Charlotte 49ers</t>
        </is>
      </c>
      <c r="AR353" s="24" t="inlineStr">
        <is>
          <t>Charlotte 49ers</t>
        </is>
      </c>
      <c r="AS353" s="24" t="inlineStr">
        <is>
          <t>App State Mountaineers</t>
        </is>
      </c>
      <c r="AT353" s="24" t="inlineStr">
        <is>
          <t>App State Mountaineers</t>
        </is>
      </c>
      <c r="AU353" s="24" t="inlineStr">
        <is>
          <t>App State Mountaineers</t>
        </is>
      </c>
      <c r="AV353" s="24" t="n"/>
      <c r="AW353" s="24" t="n"/>
      <c r="AX353" s="24" t="inlineStr">
        <is>
          <t>statistical_model</t>
        </is>
      </c>
      <c r="AY353" s="24" t="n"/>
      <c r="AZ353" s="24" t="inlineStr">
        <is>
          <t>shadow_qualified</t>
        </is>
      </c>
      <c r="BA353" s="24" t="inlineStr">
        <is>
          <t>1d168f11d221cd3c</t>
        </is>
      </c>
      <c r="BB353" s="24" t="inlineStr">
        <is>
          <t>cfb_key_number_engine</t>
        </is>
      </c>
      <c r="BC353" s="24" t="inlineStr">
        <is>
          <t>cfb-total-v1</t>
        </is>
      </c>
      <c r="BD353" s="24" t="inlineStr">
        <is>
          <t>1d168f11d221cd3c</t>
        </is>
      </c>
      <c r="BE353" s="24" t="inlineStr">
        <is>
          <t>cfb-v1</t>
        </is>
      </c>
      <c r="BF353" s="24" t="inlineStr">
        <is>
          <t>1</t>
        </is>
      </c>
      <c r="BG353" s="24" t="inlineStr">
        <is>
          <t>1d168f11d221cd3c</t>
        </is>
      </c>
      <c r="BH353" s="24" t="inlineStr">
        <is>
          <t>2026-09-19T17:08:25.088129+00:00</t>
        </is>
      </c>
      <c r="BI353" s="24" t="inlineStr">
        <is>
          <t>["same_event","same_team_same_day","same_league_same_day"]</t>
        </is>
      </c>
      <c r="BJ353" s="25" t="n">
        <v>52.5</v>
      </c>
      <c r="BK353" s="26" t="n">
        <v>-110</v>
      </c>
      <c r="BL353" s="27" t="n">
        <v>1.909091</v>
      </c>
      <c r="BM353" s="28" t="n">
        <v>0.52381</v>
      </c>
      <c r="BN353" s="28" t="n"/>
      <c r="BO353" s="28" t="n"/>
      <c r="BP353" s="25" t="n"/>
      <c r="BQ353" s="27" t="n"/>
      <c r="BR353" s="28" t="n"/>
      <c r="BS353" s="28" t="n"/>
      <c r="BT353" s="28" t="n"/>
      <c r="BU353" s="25" t="n"/>
      <c r="BV353" s="29" t="n"/>
      <c r="BW353" s="24" t="n"/>
      <c r="BX353" s="30" t="n">
        <v>1</v>
      </c>
      <c r="BY353" s="27" t="n">
        <v>0.909091</v>
      </c>
      <c r="BZ353" s="24" t="inlineStr">
        <is>
          <t>2026-09-20T10:00:10.474881Z</t>
        </is>
      </c>
      <c r="CA353" s="31" t="inlineStr">
        <is>
          <t>fixed one-unit hypothetical scoring; no real exposure or execution</t>
        </is>
      </c>
      <c r="CB353" s="24" t="n"/>
      <c r="CC353" s="24" t="n"/>
      <c r="CD353" s="24" t="n"/>
      <c r="CE353" s="24" t="n"/>
      <c r="CF353" s="24" t="n"/>
      <c r="CG353" s="24" t="n"/>
      <c r="CH353" s="24" t="n"/>
      <c r="CI353" s="24" t="n"/>
      <c r="CJ353" s="24" t="n"/>
      <c r="CK353" s="24" t="n"/>
      <c r="CL353" s="24" t="n"/>
      <c r="CM353" s="24" t="n"/>
      <c r="CN353" s="24" t="n"/>
      <c r="CO353" s="24" t="n"/>
      <c r="CP353" s="24" t="n"/>
      <c r="CQ353" s="24" t="n"/>
      <c r="CR353" s="24" t="n"/>
      <c r="CS353" s="24" t="inlineStr">
        <is>
          <t>False</t>
        </is>
      </c>
      <c r="CT353" s="24" t="n"/>
      <c r="CU353" s="24" t="n"/>
      <c r="CV353" s="24" t="n"/>
      <c r="CW353" s="24" t="n"/>
      <c r="CX353" s="24" t="n"/>
      <c r="CY353" s="24" t="n"/>
      <c r="CZ353" s="24" t="n"/>
      <c r="DA353" s="24" t="n"/>
      <c r="DB353" s="24" t="n"/>
      <c r="DC353" s="24" t="n"/>
      <c r="DD353" s="24" t="n"/>
      <c r="DE353" s="24" t="n"/>
      <c r="DF353" s="24" t="n"/>
      <c r="DG353" s="24" t="n"/>
      <c r="DH353" s="24" t="n"/>
      <c r="DI353" s="24" t="n"/>
      <c r="DJ353" s="24" t="inlineStr">
        <is>
          <t>0.52381</t>
        </is>
      </c>
      <c r="DK353" s="24" t="n"/>
      <c r="DL353" s="24" t="n"/>
      <c r="DM353" s="24" t="n"/>
      <c r="DN353" s="24" t="n"/>
      <c r="DO353" s="24" t="n"/>
      <c r="DP353" s="24" t="n"/>
      <c r="DQ353" s="24" t="inlineStr">
        <is>
          <t>{"artifact_hash": "1d168f11d221cd3c", "event_id": "401864574", "event_start_utc": "2026-09-19T22:00Z", "features": {"altitude_fatigue_penalty": 0.0, "away_team": "Charlotte 49ers", "efficiency_gap": -0.264, "elo_away": 1110.6, "elo_home": 1425.0, "elo_home_win_prob": 0.8988, "event_id": "401864574", "game_start_utc": "2026-09-19T22:00Z", "home_field_advantage_points": 2.8, "home_team": "App State Mountaineers", "is_dome": false, "is_fbs_vs_fcs": false, "is_neutral_site": false, "projected_away_points": 19.0, "projected_home_points": 34.5, "projected_margin_home": 15.5, "projected_possessions": 12.4, "projected_total": 53.5, "stadium_elevation_ft": 3333, "travel_distance_miles": 82.0, "uncertainty": 0.18, "weather_total_adjustment": 0.0}, "historical_source_observation_times_verified": false, "inference_inputs": {"engine_source_sha256": "449ba2f0e86fa9c445730076a0e0bf100fb4914620be53c75c6f3bfe24298f3f", "mu_away": 19.0,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11706864531024188450126884835894305822}, "uinteger": 0}, "spread_home_line": -17.5, "total_line": 52.5}, "market_type": "total", "model_version": "cfb-total-v1", "observed_at_utc": "2026-09-19T17:08:25.088129+00:00", "probabilities": {"over": 0.491, "push": 0.0, "under": 0.509}, "replay_scope": "Full precision score means, exact engine parameters and original RNG state; upstream feature construction not certified.", "schema": "cfb-joint-replay-v1", "snapshot_hash": "edd3d6592f6a3785cd0f2e3b174f2eb2e1e2567e614c6a16d24850b9a6842e6a", "sport": "NCAAF"}</t>
        </is>
      </c>
    </row>
    <row r="354" ht="36" customHeight="1">
      <c r="A354" s="24" t="inlineStr">
        <is>
          <t>8bec1c5fd8504174</t>
        </is>
      </c>
      <c r="B354" s="24" t="inlineStr">
        <is>
          <t>2026-09-19T17:08:25.088129Z</t>
        </is>
      </c>
      <c r="C354" s="24" t="inlineStr">
        <is>
          <t>2026-09-19T22:30Z</t>
        </is>
      </c>
      <c r="D354" s="24" t="inlineStr">
        <is>
          <t>401871047</t>
        </is>
      </c>
      <c r="E354" s="24" t="inlineStr">
        <is>
          <t>NCAAF</t>
        </is>
      </c>
      <c r="F354" s="24" t="inlineStr">
        <is>
          <t>Marshall Thundering Herd</t>
        </is>
      </c>
      <c r="G354" s="24" t="inlineStr">
        <is>
          <t>Missouri State Bears</t>
        </is>
      </c>
      <c r="H354" s="24" t="inlineStr">
        <is>
          <t>moneyline</t>
        </is>
      </c>
      <c r="I354" s="24" t="inlineStr">
        <is>
          <t>home</t>
        </is>
      </c>
      <c r="J354" s="25" t="n"/>
      <c r="K354" s="24" t="inlineStr">
        <is>
          <t>espn_consensus</t>
        </is>
      </c>
      <c r="L354" s="26" t="n">
        <v>160</v>
      </c>
      <c r="M354" s="27" t="n">
        <v>2.6</v>
      </c>
      <c r="N354" s="28" t="n">
        <v>0.384615</v>
      </c>
      <c r="O354" s="28" t="n">
        <v>0.512757</v>
      </c>
      <c r="P354" s="28" t="n">
        <v>0.18</v>
      </c>
      <c r="Q354" s="28" t="n">
        <v>0.128142</v>
      </c>
      <c r="R354" s="26" t="n">
        <v>6</v>
      </c>
      <c r="S354" s="29" t="n">
        <v>1</v>
      </c>
      <c r="T354" s="24" t="inlineStr">
        <is>
          <t>college-football-v1</t>
        </is>
      </c>
      <c r="U354" s="24" t="inlineStr">
        <is>
          <t>settled</t>
        </is>
      </c>
      <c r="V354" s="24" t="inlineStr">
        <is>
          <t>loss</t>
        </is>
      </c>
      <c r="W354" s="26" t="n">
        <v>30</v>
      </c>
      <c r="X354" s="26" t="n">
        <v>24</v>
      </c>
      <c r="Y354" s="25" t="n"/>
      <c r="Z354" s="26" t="n"/>
      <c r="AA354" s="28" t="n"/>
      <c r="AB354" s="28" t="n"/>
      <c r="AC354" s="30" t="n">
        <v>-1</v>
      </c>
      <c r="AD354" s="24" t="inlineStr">
        <is>
          <t>2026-09-20T04:31:02.356692Z</t>
        </is>
      </c>
      <c r="AE354" s="31" t="inlineStr">
        <is>
          <t>CFB Joint Model (negative_binomial): proj score Marshall Thundering Herd 25.8 @ Missouri State Bears 26.2 (Margin +0.5). Possessions: 12.4, HFA: +2.8 pts.</t>
        </is>
      </c>
      <c r="AF354" s="31" t="inlineStr">
        <is>
          <t>College football model; multi-market (moneyline, spread, total).</t>
        </is>
      </c>
      <c r="AG354" s="24" t="inlineStr">
        <is>
          <t>review_required</t>
        </is>
      </c>
      <c r="AH354" s="24" t="n"/>
      <c r="AI354" s="31" t="n"/>
      <c r="AJ354" s="31" t="n"/>
      <c r="AK354" s="24" t="inlineStr">
        <is>
          <t>model_qualified</t>
        </is>
      </c>
      <c r="AL354" s="26" t="n">
        <v>4</v>
      </c>
      <c r="AM354" s="24" t="inlineStr">
        <is>
          <t>QUALIFIED_SHADOW_CALL</t>
        </is>
      </c>
      <c r="AN354" s="24" t="inlineStr">
        <is>
          <t>CALL</t>
        </is>
      </c>
      <c r="AO354" s="24" t="inlineStr">
        <is>
          <t>QUALIFIED</t>
        </is>
      </c>
      <c r="AP354" s="24" t="inlineStr">
        <is>
          <t>Marshall Thundering Herd</t>
        </is>
      </c>
      <c r="AQ354" s="24" t="inlineStr">
        <is>
          <t>Marshall Thundering Herd</t>
        </is>
      </c>
      <c r="AR354" s="24" t="inlineStr">
        <is>
          <t>Marshall Thundering Herd</t>
        </is>
      </c>
      <c r="AS354" s="24" t="inlineStr">
        <is>
          <t>Missouri State Bears</t>
        </is>
      </c>
      <c r="AT354" s="24" t="inlineStr">
        <is>
          <t>Missouri State Bears</t>
        </is>
      </c>
      <c r="AU354" s="24" t="inlineStr">
        <is>
          <t>Missouri State Bears</t>
        </is>
      </c>
      <c r="AV354" s="24" t="n"/>
      <c r="AW354" s="24" t="n"/>
      <c r="AX354" s="24" t="inlineStr">
        <is>
          <t>statistical_model</t>
        </is>
      </c>
      <c r="AY354" s="24" t="n"/>
      <c r="AZ354" s="24" t="inlineStr">
        <is>
          <t>shadow_qualified</t>
        </is>
      </c>
      <c r="BA354" s="24" t="inlineStr">
        <is>
          <t>1d168f11d221cd3c</t>
        </is>
      </c>
      <c r="BB354" s="24" t="inlineStr">
        <is>
          <t>cfb_key_number_engine</t>
        </is>
      </c>
      <c r="BC354" s="24" t="inlineStr">
        <is>
          <t>college-football-v1</t>
        </is>
      </c>
      <c r="BD354" s="24" t="inlineStr">
        <is>
          <t>1d168f11d221cd3c</t>
        </is>
      </c>
      <c r="BE354" s="24" t="inlineStr">
        <is>
          <t>cfb-v1</t>
        </is>
      </c>
      <c r="BF354" s="24" t="inlineStr">
        <is>
          <t>1</t>
        </is>
      </c>
      <c r="BG354" s="24" t="inlineStr">
        <is>
          <t>1d168f11d221cd3c</t>
        </is>
      </c>
      <c r="BH354" s="24" t="inlineStr">
        <is>
          <t>2026-09-19T17:08:25.088129+00:00</t>
        </is>
      </c>
      <c r="BI354" s="24" t="inlineStr">
        <is>
          <t>["same_event","same_team_same_day","same_league_same_day"]</t>
        </is>
      </c>
      <c r="BJ354" s="25" t="n"/>
      <c r="BK354" s="26" t="n">
        <v>160</v>
      </c>
      <c r="BL354" s="27" t="n">
        <v>2.6</v>
      </c>
      <c r="BM354" s="28" t="n">
        <v>0.384615</v>
      </c>
      <c r="BN354" s="28" t="n"/>
      <c r="BO354" s="28" t="n"/>
      <c r="BP354" s="25" t="n"/>
      <c r="BQ354" s="27" t="n"/>
      <c r="BR354" s="28" t="n"/>
      <c r="BS354" s="28" t="n"/>
      <c r="BT354" s="28" t="n"/>
      <c r="BU354" s="25" t="n"/>
      <c r="BV354" s="29" t="n"/>
      <c r="BW354" s="24" t="n"/>
      <c r="BX354" s="30" t="n"/>
      <c r="BY354" s="27" t="n"/>
      <c r="BZ354" s="24" t="n"/>
      <c r="CA354" s="31" t="n"/>
      <c r="CB354" s="24" t="n"/>
      <c r="CC354" s="24" t="n"/>
      <c r="CD354" s="24" t="n"/>
      <c r="CE354" s="24" t="n"/>
      <c r="CF354" s="24" t="n"/>
      <c r="CG354" s="24" t="n"/>
      <c r="CH354" s="24" t="n"/>
      <c r="CI354" s="24" t="n"/>
      <c r="CJ354" s="24" t="n"/>
      <c r="CK354" s="24" t="n"/>
      <c r="CL354" s="24" t="n"/>
      <c r="CM354" s="24" t="n"/>
      <c r="CN354" s="24" t="n"/>
      <c r="CO354" s="24" t="n"/>
      <c r="CP354" s="24" t="n"/>
      <c r="CQ354" s="24" t="n"/>
      <c r="CR354" s="24" t="n"/>
      <c r="CS354" s="24" t="inlineStr">
        <is>
          <t>True</t>
        </is>
      </c>
      <c r="CT354" s="24" t="n"/>
      <c r="CU354" s="24" t="n"/>
      <c r="CV354" s="24" t="n"/>
      <c r="CW354" s="24" t="n"/>
      <c r="CX354" s="24" t="n"/>
      <c r="CY354" s="24" t="n"/>
      <c r="CZ354" s="24" t="n"/>
      <c r="DA354" s="24" t="n"/>
      <c r="DB354" s="24" t="n"/>
      <c r="DC354" s="24" t="n"/>
      <c r="DD354" s="24" t="n"/>
      <c r="DE354" s="24" t="n"/>
      <c r="DF354" s="24" t="n"/>
      <c r="DG354" s="24" t="n"/>
      <c r="DH354" s="24" t="n"/>
      <c r="DI354" s="24" t="n"/>
      <c r="DJ354" s="24" t="inlineStr">
        <is>
          <t>0.384615</t>
        </is>
      </c>
      <c r="DK354" s="24" t="n"/>
      <c r="DL354" s="24" t="n"/>
      <c r="DM354" s="24" t="n"/>
      <c r="DN354" s="24" t="n"/>
      <c r="DO354" s="24" t="n"/>
      <c r="DP354" s="24" t="n"/>
      <c r="DQ354" s="24" t="inlineStr">
        <is>
          <t>{"artifact_hash": "1d168f11d221cd3c", "event_id": "401871047", "event_start_utc": "2026-09-19T22:30Z", "features": {"altitude_fatigue_penalty": 0.0, "away_team": "Marshall Thundering Herd", "efficiency_gap": 0.723, "elo_away": 1390.7, "elo_home": 1337.5, "elo_home_win_prob": 0.517, "event_id": "401871047", "game_start_utc": "2026-09-19T22:30Z", "home_field_advantage_points": 2.8, "home_team": "Missouri State Bears", "is_dome": false, "is_fbs_vs_fcs": false, "is_neutral_site": false, "projected_away_points": 25.8, "projected_home_points": 26.2, "projected_margin_home": 0.5,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22412584052506697143291970859511446645}, "uinteger": 0}, "spread_home_line": 4.0, "total_line": 53.5}, "market_type": "moneyline", "model_version": "college-football-v1", "observed_at_utc": "2026-09-19T17:08:25.088129+00:00", "probabilities": {"away": 0.487243, "home": 0.512757}, "replay_scope": "Full precision score means, exact engine parameters and original RNG state; upstream feature construction not certified.", "schema": "cfb-joint-replay-v1", "snapshot_hash": "88932e436bcd7c8aba224e3e1d151c0ce0e76165a0fa77e756f9e090c74a33d4", "sport": "NCAAF"}</t>
        </is>
      </c>
    </row>
    <row r="355" ht="36" customHeight="1">
      <c r="A355" s="24" t="inlineStr">
        <is>
          <t>2c3b25dfac83469f</t>
        </is>
      </c>
      <c r="B355" s="24" t="inlineStr">
        <is>
          <t>2026-09-19T17:08:25.088129Z</t>
        </is>
      </c>
      <c r="C355" s="24" t="inlineStr">
        <is>
          <t>2026-09-19T22:30Z</t>
        </is>
      </c>
      <c r="D355" s="24" t="inlineStr">
        <is>
          <t>401871047</t>
        </is>
      </c>
      <c r="E355" s="24" t="inlineStr">
        <is>
          <t>NCAAF</t>
        </is>
      </c>
      <c r="F355" s="24" t="inlineStr">
        <is>
          <t>Marshall Thundering Herd</t>
        </is>
      </c>
      <c r="G355" s="24" t="inlineStr">
        <is>
          <t>Missouri State Bears</t>
        </is>
      </c>
      <c r="H355" s="24" t="inlineStr">
        <is>
          <t>spread</t>
        </is>
      </c>
      <c r="I355" s="24" t="inlineStr">
        <is>
          <t>home</t>
        </is>
      </c>
      <c r="J355" s="25" t="n">
        <v>4</v>
      </c>
      <c r="K355" s="24" t="inlineStr">
        <is>
          <t>espn_consensus</t>
        </is>
      </c>
      <c r="L355" s="26" t="n">
        <v>-110</v>
      </c>
      <c r="M355" s="27" t="n">
        <v>1.909091</v>
      </c>
      <c r="N355" s="28" t="n">
        <v>0.52381</v>
      </c>
      <c r="O355" s="28" t="n">
        <v>0.59</v>
      </c>
      <c r="P355" s="28" t="n">
        <v>0.18</v>
      </c>
      <c r="Q355" s="28" t="n">
        <v>0.06619</v>
      </c>
      <c r="R355" s="26" t="n">
        <v>0</v>
      </c>
      <c r="S355" s="29" t="n">
        <v>1</v>
      </c>
      <c r="T355" s="24" t="inlineStr">
        <is>
          <t>cfb-spread-v1</t>
        </is>
      </c>
      <c r="U355" s="24" t="inlineStr">
        <is>
          <t>settled</t>
        </is>
      </c>
      <c r="V355" s="24" t="inlineStr">
        <is>
          <t>loss</t>
        </is>
      </c>
      <c r="W355" s="26" t="n">
        <v>30</v>
      </c>
      <c r="X355" s="26" t="n">
        <v>24</v>
      </c>
      <c r="Y355" s="25" t="n"/>
      <c r="Z355" s="26" t="n"/>
      <c r="AA355" s="28" t="n"/>
      <c r="AB355" s="28" t="n"/>
      <c r="AC355" s="30" t="n">
        <v>-1</v>
      </c>
      <c r="AD355" s="24" t="inlineStr">
        <is>
          <t>2026-09-20T04:31:02.847208Z</t>
        </is>
      </c>
      <c r="AE355" s="31" t="inlineStr">
        <is>
          <t>Projected home margin +0.5 pts. Spread: Home +4.0 / Away -4.0 -&gt; P(Away cover)=0.390, P(Home cover)=0.590, P(Push)=0.020.</t>
        </is>
      </c>
      <c r="AF355" s="31" t="inlineStr">
        <is>
          <t>College football model; multi-market (moneyline, spread, total).</t>
        </is>
      </c>
      <c r="AG355" s="24" t="inlineStr">
        <is>
          <t>review_required</t>
        </is>
      </c>
      <c r="AH355" s="24" t="n"/>
      <c r="AI355" s="31" t="n"/>
      <c r="AJ355" s="31" t="n"/>
      <c r="AK355" s="24" t="inlineStr">
        <is>
          <t>model_qualified</t>
        </is>
      </c>
      <c r="AL355" s="26" t="n">
        <v>4</v>
      </c>
      <c r="AM355" s="24" t="inlineStr">
        <is>
          <t>QUALIFIED_SHADOW_CALL</t>
        </is>
      </c>
      <c r="AN355" s="24" t="inlineStr">
        <is>
          <t>CALL</t>
        </is>
      </c>
      <c r="AO355" s="24" t="inlineStr">
        <is>
          <t>QUALIFIED</t>
        </is>
      </c>
      <c r="AP355" s="24" t="inlineStr">
        <is>
          <t>Marshall Thundering Herd</t>
        </is>
      </c>
      <c r="AQ355" s="24" t="inlineStr">
        <is>
          <t>Marshall Thundering Herd</t>
        </is>
      </c>
      <c r="AR355" s="24" t="inlineStr">
        <is>
          <t>Marshall Thundering Herd</t>
        </is>
      </c>
      <c r="AS355" s="24" t="inlineStr">
        <is>
          <t>Missouri State Bears</t>
        </is>
      </c>
      <c r="AT355" s="24" t="inlineStr">
        <is>
          <t>Missouri State Bears</t>
        </is>
      </c>
      <c r="AU355" s="24" t="inlineStr">
        <is>
          <t>Missouri State Bears</t>
        </is>
      </c>
      <c r="AV355" s="24" t="n"/>
      <c r="AW355" s="24" t="n"/>
      <c r="AX355" s="24" t="inlineStr">
        <is>
          <t>statistical_model</t>
        </is>
      </c>
      <c r="AY355" s="24" t="n"/>
      <c r="AZ355" s="24" t="inlineStr">
        <is>
          <t>shadow_qualified</t>
        </is>
      </c>
      <c r="BA355" s="24" t="inlineStr">
        <is>
          <t>1d168f11d221cd3c</t>
        </is>
      </c>
      <c r="BB355" s="24" t="inlineStr">
        <is>
          <t>cfb_key_number_engine</t>
        </is>
      </c>
      <c r="BC355" s="24" t="inlineStr">
        <is>
          <t>cfb-spread-v1</t>
        </is>
      </c>
      <c r="BD355" s="24" t="inlineStr">
        <is>
          <t>1d168f11d221cd3c</t>
        </is>
      </c>
      <c r="BE355" s="24" t="inlineStr">
        <is>
          <t>cfb-v1</t>
        </is>
      </c>
      <c r="BF355" s="24" t="inlineStr">
        <is>
          <t>1</t>
        </is>
      </c>
      <c r="BG355" s="24" t="inlineStr">
        <is>
          <t>1d168f11d221cd3c</t>
        </is>
      </c>
      <c r="BH355" s="24" t="inlineStr">
        <is>
          <t>2026-09-19T17:08:25.088129+00:00</t>
        </is>
      </c>
      <c r="BI355" s="24" t="inlineStr">
        <is>
          <t>["same_event","same_team_same_day","same_league_same_day"]</t>
        </is>
      </c>
      <c r="BJ355" s="25" t="n">
        <v>4</v>
      </c>
      <c r="BK355" s="26" t="n">
        <v>-110</v>
      </c>
      <c r="BL355" s="27" t="n">
        <v>1.909091</v>
      </c>
      <c r="BM355" s="28" t="n">
        <v>0.52381</v>
      </c>
      <c r="BN355" s="28" t="n"/>
      <c r="BO355" s="28" t="n"/>
      <c r="BP355" s="25" t="n"/>
      <c r="BQ355" s="27" t="n"/>
      <c r="BR355" s="28" t="n"/>
      <c r="BS355" s="28" t="n"/>
      <c r="BT355" s="28" t="n"/>
      <c r="BU355" s="25" t="n"/>
      <c r="BV355" s="29" t="n"/>
      <c r="BW355" s="24" t="n"/>
      <c r="BX355" s="30" t="n"/>
      <c r="BY355" s="27" t="n"/>
      <c r="BZ355" s="24" t="n"/>
      <c r="CA355" s="31" t="n"/>
      <c r="CB355" s="24" t="n"/>
      <c r="CC355" s="24" t="n"/>
      <c r="CD355" s="24" t="n"/>
      <c r="CE355" s="24" t="n"/>
      <c r="CF355" s="24" t="n"/>
      <c r="CG355" s="24" t="n"/>
      <c r="CH355" s="24" t="n"/>
      <c r="CI355" s="24" t="n"/>
      <c r="CJ355" s="24" t="n"/>
      <c r="CK355" s="24" t="n"/>
      <c r="CL355" s="24" t="n"/>
      <c r="CM355" s="24" t="n"/>
      <c r="CN355" s="24" t="n"/>
      <c r="CO355" s="24" t="n"/>
      <c r="CP355" s="24" t="n"/>
      <c r="CQ355" s="24" t="n"/>
      <c r="CR355" s="24" t="n"/>
      <c r="CS355" s="24" t="inlineStr">
        <is>
          <t>True</t>
        </is>
      </c>
      <c r="CT355" s="24" t="n"/>
      <c r="CU355" s="24" t="n"/>
      <c r="CV355" s="24" t="n"/>
      <c r="CW355" s="24" t="n"/>
      <c r="CX355" s="24" t="n"/>
      <c r="CY355" s="24" t="n"/>
      <c r="CZ355" s="24" t="n"/>
      <c r="DA355" s="24" t="n"/>
      <c r="DB355" s="24" t="n"/>
      <c r="DC355" s="24" t="n"/>
      <c r="DD355" s="24" t="n"/>
      <c r="DE355" s="24" t="n"/>
      <c r="DF355" s="24" t="n"/>
      <c r="DG355" s="24" t="n"/>
      <c r="DH355" s="24" t="n"/>
      <c r="DI355" s="24" t="n"/>
      <c r="DJ355" s="24" t="inlineStr">
        <is>
          <t>0.52381</t>
        </is>
      </c>
      <c r="DK355" s="24" t="n"/>
      <c r="DL355" s="24" t="n"/>
      <c r="DM355" s="24" t="n"/>
      <c r="DN355" s="24" t="n"/>
      <c r="DO355" s="24" t="n"/>
      <c r="DP355" s="24" t="n"/>
      <c r="DQ355" s="24" t="inlineStr">
        <is>
          <t>{"artifact_hash": "1d168f11d221cd3c", "event_id": "401871047", "event_start_utc": "2026-09-19T22:30Z", "features": {"altitude_fatigue_penalty": 0.0, "away_team": "Marshall Thundering Herd", "efficiency_gap": 0.723, "elo_away": 1390.7, "elo_home": 1337.5, "elo_home_win_prob": 0.517, "event_id": "401871047", "game_start_utc": "2026-09-19T22:30Z", "home_field_advantage_points": 2.8, "home_team": "Missouri State Bears", "is_dome": false, "is_fbs_vs_fcs": false, "is_neutral_site": false, "projected_away_points": 25.8, "projected_home_points": 26.2, "projected_margin_home": 0.5,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22412584052506697143291970859511446645}, "uinteger": 0}, "spread_home_line": 4.0, "total_line": 53.5}, "market_type": "spread", "model_version": "cfb-spread-v1", "observed_at_utc": "2026-09-19T17:08:25.088129+00:00", "probabilities": {"away": 0.3902, "home": 0.59, "push": 0.0198}, "replay_scope": "Full precision score means, exact engine parameters and original RNG state; upstream feature construction not certified.", "schema": "cfb-joint-replay-v1", "snapshot_hash": "6569cf03d0c5f01797826dd8c0241e40ac89770abfa875761a8dd7853ecfdddd", "sport": "NCAAF"}</t>
        </is>
      </c>
    </row>
    <row r="356" ht="36" customHeight="1">
      <c r="A356" s="24" t="inlineStr">
        <is>
          <t>1c72b1e8aae84d0e</t>
        </is>
      </c>
      <c r="B356" s="24" t="inlineStr">
        <is>
          <t>2026-09-19T17:08:25.088129Z</t>
        </is>
      </c>
      <c r="C356" s="24" t="inlineStr">
        <is>
          <t>2026-09-19T22:30Z</t>
        </is>
      </c>
      <c r="D356" s="24" t="inlineStr">
        <is>
          <t>401871047</t>
        </is>
      </c>
      <c r="E356" s="24" t="inlineStr">
        <is>
          <t>NCAAF</t>
        </is>
      </c>
      <c r="F356" s="24" t="inlineStr">
        <is>
          <t>Marshall Thundering Herd</t>
        </is>
      </c>
      <c r="G356" s="24" t="inlineStr">
        <is>
          <t>Missouri State Bears</t>
        </is>
      </c>
      <c r="H356" s="24" t="inlineStr">
        <is>
          <t>total</t>
        </is>
      </c>
      <c r="I356" s="24" t="inlineStr">
        <is>
          <t>under</t>
        </is>
      </c>
      <c r="J356" s="25" t="n">
        <v>53.5</v>
      </c>
      <c r="K356" s="24" t="inlineStr">
        <is>
          <t>espn_consensus</t>
        </is>
      </c>
      <c r="L356" s="26" t="n">
        <v>-112</v>
      </c>
      <c r="M356" s="27" t="n">
        <v>1.892857</v>
      </c>
      <c r="N356" s="28" t="n">
        <v>0.528302</v>
      </c>
      <c r="O356" s="28" t="n">
        <v>0.548467</v>
      </c>
      <c r="P356" s="28" t="n">
        <v>0.18</v>
      </c>
      <c r="Q356" s="28" t="n">
        <v>0.020165</v>
      </c>
      <c r="R356" s="26" t="n">
        <v>0</v>
      </c>
      <c r="S356" s="29" t="n">
        <v>1</v>
      </c>
      <c r="T356" s="24" t="inlineStr">
        <is>
          <t>cfb-total-v1</t>
        </is>
      </c>
      <c r="U356" s="24" t="inlineStr">
        <is>
          <t>settled</t>
        </is>
      </c>
      <c r="V356" s="24" t="inlineStr">
        <is>
          <t>loss</t>
        </is>
      </c>
      <c r="W356" s="26" t="n">
        <v>30</v>
      </c>
      <c r="X356" s="26" t="n">
        <v>24</v>
      </c>
      <c r="Y356" s="25" t="n"/>
      <c r="Z356" s="26" t="n"/>
      <c r="AA356" s="28" t="n"/>
      <c r="AB356" s="28" t="n"/>
      <c r="AC356" s="30" t="n">
        <v>-1</v>
      </c>
      <c r="AD356" s="24" t="inlineStr">
        <is>
          <t>2026-09-20T04:31:03.335722Z</t>
        </is>
      </c>
      <c r="AE356" s="31" t="inlineStr">
        <is>
          <t>Projected total 52.0 pts (Weather adj: +0.0 pts). Total line 53.5 -&gt; P(Over)=0.452, P(Under)=0.548, P(Push)=0.000.</t>
        </is>
      </c>
      <c r="AF356" s="31" t="inlineStr">
        <is>
          <t>College football model; multi-market (moneyline, spread, total).</t>
        </is>
      </c>
      <c r="AG356" s="24" t="inlineStr">
        <is>
          <t>review_required</t>
        </is>
      </c>
      <c r="AH356" s="24" t="n"/>
      <c r="AI356" s="31" t="n"/>
      <c r="AJ356" s="31" t="n"/>
      <c r="AK356" s="24" t="inlineStr">
        <is>
          <t>paper_call</t>
        </is>
      </c>
      <c r="AL356" s="26" t="n">
        <v>4</v>
      </c>
      <c r="AM356" s="24" t="inlineStr">
        <is>
          <t>RESEARCH_OBSERVATION</t>
        </is>
      </c>
      <c r="AN356" s="24" t="inlineStr">
        <is>
          <t>CALL</t>
        </is>
      </c>
      <c r="AO356" s="24" t="inlineStr">
        <is>
          <t>PAPER_CALL_LOW_EDGE</t>
        </is>
      </c>
      <c r="AP356" s="24" t="inlineStr">
        <is>
          <t>Marshall Thundering Herd</t>
        </is>
      </c>
      <c r="AQ356" s="24" t="inlineStr">
        <is>
          <t>Marshall Thundering Herd</t>
        </is>
      </c>
      <c r="AR356" s="24" t="inlineStr">
        <is>
          <t>Marshall Thundering Herd</t>
        </is>
      </c>
      <c r="AS356" s="24" t="inlineStr">
        <is>
          <t>Missouri State Bears</t>
        </is>
      </c>
      <c r="AT356" s="24" t="inlineStr">
        <is>
          <t>Missouri State Bears</t>
        </is>
      </c>
      <c r="AU356" s="24" t="inlineStr">
        <is>
          <t>Missouri State Bears</t>
        </is>
      </c>
      <c r="AV356" s="24" t="n"/>
      <c r="AW356" s="24" t="n"/>
      <c r="AX356" s="24" t="inlineStr">
        <is>
          <t>statistical_model</t>
        </is>
      </c>
      <c r="AY356" s="24" t="n"/>
      <c r="AZ356" s="24" t="inlineStr">
        <is>
          <t>shadow_qualified</t>
        </is>
      </c>
      <c r="BA356" s="24" t="inlineStr">
        <is>
          <t>1d168f11d221cd3c</t>
        </is>
      </c>
      <c r="BB356" s="24" t="inlineStr">
        <is>
          <t>cfb_key_number_engine</t>
        </is>
      </c>
      <c r="BC356" s="24" t="inlineStr">
        <is>
          <t>cfb-total-v1</t>
        </is>
      </c>
      <c r="BD356" s="24" t="inlineStr">
        <is>
          <t>1d168f11d221cd3c</t>
        </is>
      </c>
      <c r="BE356" s="24" t="inlineStr">
        <is>
          <t>cfb-v1</t>
        </is>
      </c>
      <c r="BF356" s="24" t="inlineStr">
        <is>
          <t>1</t>
        </is>
      </c>
      <c r="BG356" s="24" t="inlineStr">
        <is>
          <t>1d168f11d221cd3c</t>
        </is>
      </c>
      <c r="BH356" s="24" t="inlineStr">
        <is>
          <t>2026-09-19T17:08:25.088129+00:00</t>
        </is>
      </c>
      <c r="BI356" s="24" t="inlineStr">
        <is>
          <t>["same_event","same_team_same_day","same_league_same_day"]</t>
        </is>
      </c>
      <c r="BJ356" s="25" t="n">
        <v>53.5</v>
      </c>
      <c r="BK356" s="26" t="n">
        <v>-112</v>
      </c>
      <c r="BL356" s="27" t="n">
        <v>1.892857</v>
      </c>
      <c r="BM356" s="28" t="n">
        <v>0.528302</v>
      </c>
      <c r="BN356" s="28" t="n"/>
      <c r="BO356" s="28" t="n"/>
      <c r="BP356" s="25" t="n"/>
      <c r="BQ356" s="27" t="n"/>
      <c r="BR356" s="28" t="n"/>
      <c r="BS356" s="28" t="n"/>
      <c r="BT356" s="28" t="n"/>
      <c r="BU356" s="25" t="n"/>
      <c r="BV356" s="29" t="n"/>
      <c r="BW356" s="24" t="n"/>
      <c r="BX356" s="30" t="n">
        <v>1</v>
      </c>
      <c r="BY356" s="27" t="n">
        <v>-1</v>
      </c>
      <c r="BZ356" s="24" t="inlineStr">
        <is>
          <t>2026-09-20T04:31:03.335722Z</t>
        </is>
      </c>
      <c r="CA356" s="31" t="inlineStr">
        <is>
          <t>fixed one-unit hypothetical scoring; no real exposure or execution</t>
        </is>
      </c>
      <c r="CB356" s="24" t="n"/>
      <c r="CC356" s="24" t="n"/>
      <c r="CD356" s="24" t="n"/>
      <c r="CE356" s="24" t="n"/>
      <c r="CF356" s="24" t="n"/>
      <c r="CG356" s="24" t="n"/>
      <c r="CH356" s="24" t="n"/>
      <c r="CI356" s="24" t="n"/>
      <c r="CJ356" s="24" t="n"/>
      <c r="CK356" s="24" t="n"/>
      <c r="CL356" s="24" t="n"/>
      <c r="CM356" s="24" t="n"/>
      <c r="CN356" s="24" t="n"/>
      <c r="CO356" s="24" t="n"/>
      <c r="CP356" s="24" t="n"/>
      <c r="CQ356" s="24" t="n"/>
      <c r="CR356" s="24" t="n"/>
      <c r="CS356" s="24" t="inlineStr">
        <is>
          <t>True</t>
        </is>
      </c>
      <c r="CT356" s="24" t="n"/>
      <c r="CU356" s="24" t="n"/>
      <c r="CV356" s="24" t="n"/>
      <c r="CW356" s="24" t="n"/>
      <c r="CX356" s="24" t="n"/>
      <c r="CY356" s="24" t="n"/>
      <c r="CZ356" s="24" t="n"/>
      <c r="DA356" s="24" t="n"/>
      <c r="DB356" s="24" t="n"/>
      <c r="DC356" s="24" t="n"/>
      <c r="DD356" s="24" t="n"/>
      <c r="DE356" s="24" t="n"/>
      <c r="DF356" s="24" t="n"/>
      <c r="DG356" s="24" t="n"/>
      <c r="DH356" s="24" t="n"/>
      <c r="DI356" s="24" t="n"/>
      <c r="DJ356" s="24" t="inlineStr">
        <is>
          <t>0.528302</t>
        </is>
      </c>
      <c r="DK356" s="24" t="n"/>
      <c r="DL356" s="24" t="n"/>
      <c r="DM356" s="24" t="n"/>
      <c r="DN356" s="24" t="n"/>
      <c r="DO356" s="24" t="n"/>
      <c r="DP356" s="24" t="n"/>
      <c r="DQ356" s="24" t="inlineStr">
        <is>
          <t>{"artifact_hash": "1d168f11d221cd3c", "event_id": "401871047", "event_start_utc": "2026-09-19T22:30Z", "features": {"altitude_fatigue_penalty": 0.0, "away_team": "Marshall Thundering Herd", "efficiency_gap": 0.723, "elo_away": 1390.7, "elo_home": 1337.5, "elo_home_win_prob": 0.517, "event_id": "401871047", "game_start_utc": "2026-09-19T22:30Z", "home_field_advantage_points": 2.8, "home_team": "Missouri State Bears", "is_dome": false, "is_fbs_vs_fcs": false, "is_neutral_site": false, "projected_away_points": 25.8, "projected_home_points": 26.2, "projected_margin_home": 0.5,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22412584052506697143291970859511446645}, "uinteger": 0}, "spread_home_line": 4.0, "total_line": 53.5}, "market_type": "total", "model_version": "cfb-total-v1", "observed_at_utc": "2026-09-19T17:08:25.088129+00:00", "probabilities": {"over": 0.451533, "push": 0.0, "under": 0.548467}, "replay_scope": "Full precision score means, exact engine parameters and original RNG state; upstream feature construction not certified.", "schema": "cfb-joint-replay-v1", "snapshot_hash": "88341907cf82ddaf53a7d6844c5c76b1e878d2b68ccac18bc4f3247785d7dfad", "sport": "NCAAF"}</t>
        </is>
      </c>
    </row>
    <row r="357" ht="36" customHeight="1">
      <c r="A357" s="24" t="inlineStr">
        <is>
          <t>968ce32d2e7b4964</t>
        </is>
      </c>
      <c r="B357" s="24" t="inlineStr">
        <is>
          <t>2026-09-19T22:46:25.988423Z</t>
        </is>
      </c>
      <c r="C357" s="24" t="inlineStr">
        <is>
          <t>2026-09-19T23:00Z</t>
        </is>
      </c>
      <c r="D357" s="24" t="inlineStr">
        <is>
          <t>401856689</t>
        </is>
      </c>
      <c r="E357" s="24" t="inlineStr">
        <is>
          <t>NCAAF</t>
        </is>
      </c>
      <c r="F357" s="24" t="inlineStr">
        <is>
          <t>Troy Trojans</t>
        </is>
      </c>
      <c r="G357" s="24" t="inlineStr">
        <is>
          <t>Missouri Tigers</t>
        </is>
      </c>
      <c r="H357" s="24" t="inlineStr">
        <is>
          <t>moneyline</t>
        </is>
      </c>
      <c r="I357" s="24" t="inlineStr">
        <is>
          <t>home</t>
        </is>
      </c>
      <c r="J357" s="25" t="n"/>
      <c r="K357" s="24" t="inlineStr">
        <is>
          <t>espn_consensus</t>
        </is>
      </c>
      <c r="L357" s="26" t="n">
        <v>-4500</v>
      </c>
      <c r="M357" s="27" t="n">
        <v>1.022222</v>
      </c>
      <c r="N357" s="28" t="n">
        <v>0.978261</v>
      </c>
      <c r="O357" s="28" t="n">
        <v>0.688283</v>
      </c>
      <c r="P357" s="28" t="n">
        <v>0.18</v>
      </c>
      <c r="Q357" s="28" t="n">
        <v>-0.289978</v>
      </c>
      <c r="R357" s="26" t="n">
        <v>0</v>
      </c>
      <c r="S357" s="29" t="n">
        <v>1</v>
      </c>
      <c r="T357" s="24" t="inlineStr">
        <is>
          <t>college-football-v1</t>
        </is>
      </c>
      <c r="U357" s="24" t="inlineStr">
        <is>
          <t>settled</t>
        </is>
      </c>
      <c r="V357" s="24" t="inlineStr">
        <is>
          <t>win</t>
        </is>
      </c>
      <c r="W357" s="26" t="n">
        <v>17</v>
      </c>
      <c r="X357" s="26" t="n">
        <v>27</v>
      </c>
      <c r="Y357" s="25" t="n"/>
      <c r="Z357" s="26" t="n"/>
      <c r="AA357" s="28" t="n"/>
      <c r="AB357" s="28" t="n"/>
      <c r="AC357" s="30" t="n">
        <v>0.0222</v>
      </c>
      <c r="AD357" s="24" t="inlineStr">
        <is>
          <t>2026-09-20T04:31:38.930860Z</t>
        </is>
      </c>
      <c r="AE357" s="31" t="inlineStr">
        <is>
          <t>CFB Joint Model (negative_binomial): proj score Troy Trojans 22.6 @ Missouri Tigers 31.9 (Margin +9.3). Possessions: 12.4, HFA: +2.8 pts.</t>
        </is>
      </c>
      <c r="AF357" s="31" t="inlineStr">
        <is>
          <t>College football model; multi-market (moneyline, spread, total).</t>
        </is>
      </c>
      <c r="AG357" s="24" t="inlineStr">
        <is>
          <t>not_applicable</t>
        </is>
      </c>
      <c r="AH357" s="24" t="n"/>
      <c r="AI357" s="31" t="n"/>
      <c r="AJ357" s="31" t="n"/>
      <c r="AK357" s="24" t="inlineStr">
        <is>
          <t>paper_call</t>
        </is>
      </c>
      <c r="AL357" s="26" t="n">
        <v>4</v>
      </c>
      <c r="AM357" s="24" t="inlineStr">
        <is>
          <t>RESEARCH_OBSERVATION</t>
        </is>
      </c>
      <c r="AN357" s="24" t="inlineStr">
        <is>
          <t>CALL</t>
        </is>
      </c>
      <c r="AO357" s="24" t="inlineStr">
        <is>
          <t>PAPER_CALL_LOW_EDGE</t>
        </is>
      </c>
      <c r="AP357" s="24" t="inlineStr">
        <is>
          <t>Troy Trojans</t>
        </is>
      </c>
      <c r="AQ357" s="24" t="inlineStr">
        <is>
          <t>Troy Trojans</t>
        </is>
      </c>
      <c r="AR357" s="24" t="inlineStr">
        <is>
          <t>Troy Trojans</t>
        </is>
      </c>
      <c r="AS357" s="24" t="inlineStr">
        <is>
          <t>Missouri Tigers</t>
        </is>
      </c>
      <c r="AT357" s="24" t="inlineStr">
        <is>
          <t>Missouri Tigers</t>
        </is>
      </c>
      <c r="AU357" s="24" t="inlineStr">
        <is>
          <t>Missouri Tigers</t>
        </is>
      </c>
      <c r="AV357" s="24" t="n"/>
      <c r="AW357" s="24" t="n"/>
      <c r="AX357" s="24" t="inlineStr">
        <is>
          <t>statistical_model</t>
        </is>
      </c>
      <c r="AY357" s="24" t="n"/>
      <c r="AZ357" s="24" t="inlineStr">
        <is>
          <t>shadow_qualified</t>
        </is>
      </c>
      <c r="BA357" s="24" t="inlineStr">
        <is>
          <t>1d168f11d221cd3c</t>
        </is>
      </c>
      <c r="BB357" s="24" t="inlineStr">
        <is>
          <t>cfb_key_number_engine</t>
        </is>
      </c>
      <c r="BC357" s="24" t="inlineStr">
        <is>
          <t>college-football-v1</t>
        </is>
      </c>
      <c r="BD357" s="24" t="inlineStr">
        <is>
          <t>1d168f11d221cd3c</t>
        </is>
      </c>
      <c r="BE357" s="24" t="inlineStr">
        <is>
          <t>cfb-v1</t>
        </is>
      </c>
      <c r="BF357" s="24" t="inlineStr">
        <is>
          <t>1</t>
        </is>
      </c>
      <c r="BG357" s="24" t="inlineStr">
        <is>
          <t>1d168f11d221cd3c</t>
        </is>
      </c>
      <c r="BH357" s="24" t="inlineStr">
        <is>
          <t>2026-09-19T22:46:25.988423+00:00</t>
        </is>
      </c>
      <c r="BI357" s="24" t="inlineStr">
        <is>
          <t>["same_event","same_team_same_day","same_league_same_day"]</t>
        </is>
      </c>
      <c r="BJ357" s="25" t="n"/>
      <c r="BK357" s="26" t="n">
        <v>-4500</v>
      </c>
      <c r="BL357" s="27" t="n">
        <v>1.022222</v>
      </c>
      <c r="BM357" s="28" t="n">
        <v>0.978261</v>
      </c>
      <c r="BN357" s="28" t="n"/>
      <c r="BO357" s="28" t="n"/>
      <c r="BP357" s="25" t="n"/>
      <c r="BQ357" s="27" t="n"/>
      <c r="BR357" s="28" t="n"/>
      <c r="BS357" s="28" t="n"/>
      <c r="BT357" s="28" t="n"/>
      <c r="BU357" s="25" t="n"/>
      <c r="BV357" s="29" t="n"/>
      <c r="BW357" s="24" t="n"/>
      <c r="BX357" s="30" t="n">
        <v>1</v>
      </c>
      <c r="BY357" s="27" t="n">
        <v>0.022222</v>
      </c>
      <c r="BZ357" s="24" t="inlineStr">
        <is>
          <t>2026-09-20T04:31:38.930860Z</t>
        </is>
      </c>
      <c r="CA357" s="31" t="inlineStr">
        <is>
          <t>fixed one-unit hypothetical scoring; no real exposure or execution</t>
        </is>
      </c>
      <c r="CB357" s="24" t="n"/>
      <c r="CC357" s="24" t="n"/>
      <c r="CD357" s="24" t="n"/>
      <c r="CE357" s="24" t="n"/>
      <c r="CF357" s="24" t="n"/>
      <c r="CG357" s="24" t="n"/>
      <c r="CH357" s="24" t="n"/>
      <c r="CI357" s="24" t="n"/>
      <c r="CJ357" s="24" t="n"/>
      <c r="CK357" s="24" t="n"/>
      <c r="CL357" s="24" t="n"/>
      <c r="CM357" s="24" t="n"/>
      <c r="CN357" s="24" t="n"/>
      <c r="CO357" s="24" t="n"/>
      <c r="CP357" s="24" t="n"/>
      <c r="CQ357" s="24" t="n"/>
      <c r="CR357" s="24" t="n"/>
      <c r="CS357" s="24" t="inlineStr">
        <is>
          <t>False</t>
        </is>
      </c>
      <c r="CT357" s="24" t="n"/>
      <c r="CU357" s="24" t="n"/>
      <c r="CV357" s="24" t="n"/>
      <c r="CW357" s="24" t="n"/>
      <c r="CX357" s="24" t="n"/>
      <c r="CY357" s="24" t="n"/>
      <c r="CZ357" s="24" t="n"/>
      <c r="DA357" s="24" t="n"/>
      <c r="DB357" s="24" t="n"/>
      <c r="DC357" s="24" t="n"/>
      <c r="DD357" s="24" t="n"/>
      <c r="DE357" s="24" t="n"/>
      <c r="DF357" s="24" t="n"/>
      <c r="DG357" s="24" t="n"/>
      <c r="DH357" s="24" t="n"/>
      <c r="DI357" s="24" t="n"/>
      <c r="DJ357" s="24" t="inlineStr">
        <is>
          <t>0.978261</t>
        </is>
      </c>
      <c r="DK357" s="24" t="n"/>
      <c r="DL357" s="24" t="n"/>
      <c r="DM357" s="24" t="n"/>
      <c r="DN357" s="24" t="n"/>
      <c r="DO357" s="24" t="n"/>
      <c r="DP357" s="24" t="n"/>
      <c r="DQ357" s="24" t="inlineStr">
        <is>
          <t>{"artifact_hash": "1d168f11d221cd3c", "event_id": "401856689", "event_start_utc": "2026-09-19T23:00Z", "features": {"altitude_fatigue_penalty": 0.0, "away_team": "Troy Trojans", "efficiency_gap": 1.521, "elo_away": 1397.2, "elo_home": 1560.8, "elo_home_win_prob": 0.7885, "event_id": "401856689", "game_start_utc": "2026-09-19T23:00Z", "home_field_advantage_points": 2.8, "home_team": "Missouri Tigers", "is_dome": false, "is_fbs_vs_fcs": false, "is_neutral_site": false, "projected_away_points": 22.6, "projected_home_points": 31.9, "projected_margin_home": 9.3, "projected_possessions": 12.4, "projected_total": 54.5, "stadium_elevation_ft": 740, "travel_distance_miles": 610.0, "uncertainty": 0.18, "weather_total_adjustment": 0.0}, "historical_source_observation_times_verified": false, "inference_inputs": {"engine_source_sha256": "449ba2f0e86fa9c445730076a0e0bf100fb4914620be53c75c6f3bfe24298f3f", "mu_away": 22.6,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232833516422213838703275897826871496774}, "uinteger": 0}, "spread_home_line": -27.5, "total_line": 49.5}, "market_type": "moneyline", "model_version": "college-football-v1", "observed_at_utc": "2026-09-19T22:46:25.988423+00:00", "probabilities": {"away": 0.311717, "home": 0.688283}, "replay_scope": "Full precision score means, exact engine parameters and original RNG state; upstream feature construction not certified.", "schema": "cfb-joint-replay-v1", "snapshot_hash": "41ef2efe34747645209f5308f1e132c43b8aaa48ed459eefcb1854accb1a8162", "sport": "NCAAF"}</t>
        </is>
      </c>
    </row>
    <row r="358" ht="36" customHeight="1">
      <c r="A358" s="24" t="inlineStr">
        <is>
          <t>08c9676e6ea3439d</t>
        </is>
      </c>
      <c r="B358" s="24" t="inlineStr">
        <is>
          <t>2026-09-19T22:46:25.988423Z</t>
        </is>
      </c>
      <c r="C358" s="24" t="inlineStr">
        <is>
          <t>2026-09-19T23:00Z</t>
        </is>
      </c>
      <c r="D358" s="24" t="inlineStr">
        <is>
          <t>401856689</t>
        </is>
      </c>
      <c r="E358" s="24" t="inlineStr">
        <is>
          <t>NCAAF</t>
        </is>
      </c>
      <c r="F358" s="24" t="inlineStr">
        <is>
          <t>Troy Trojans</t>
        </is>
      </c>
      <c r="G358" s="24" t="inlineStr">
        <is>
          <t>Missouri Tigers</t>
        </is>
      </c>
      <c r="H358" s="24" t="inlineStr">
        <is>
          <t>spread</t>
        </is>
      </c>
      <c r="I358" s="24" t="inlineStr">
        <is>
          <t>away</t>
        </is>
      </c>
      <c r="J358" s="25" t="n">
        <v>27.5</v>
      </c>
      <c r="K358" s="24" t="inlineStr">
        <is>
          <t>espn_consensus</t>
        </is>
      </c>
      <c r="L358" s="26" t="n">
        <v>-115</v>
      </c>
      <c r="M358" s="27" t="n">
        <v>1.869565</v>
      </c>
      <c r="N358" s="28" t="n">
        <v>0.534884</v>
      </c>
      <c r="O358" s="28" t="n">
        <v>0.8196</v>
      </c>
      <c r="P358" s="28" t="n">
        <v>0.18</v>
      </c>
      <c r="Q358" s="28" t="n">
        <v>0.284716</v>
      </c>
      <c r="R358" s="26" t="n">
        <v>84</v>
      </c>
      <c r="S358" s="29" t="n">
        <v>1.75</v>
      </c>
      <c r="T358" s="24" t="inlineStr">
        <is>
          <t>cfb-spread-v1</t>
        </is>
      </c>
      <c r="U358" s="24" t="inlineStr">
        <is>
          <t>settled</t>
        </is>
      </c>
      <c r="V358" s="24" t="inlineStr">
        <is>
          <t>win</t>
        </is>
      </c>
      <c r="W358" s="26" t="n">
        <v>17</v>
      </c>
      <c r="X358" s="26" t="n">
        <v>27</v>
      </c>
      <c r="Y358" s="25" t="n"/>
      <c r="Z358" s="26" t="n"/>
      <c r="AA358" s="28" t="n"/>
      <c r="AB358" s="28" t="n"/>
      <c r="AC358" s="30" t="n">
        <v>1.5217</v>
      </c>
      <c r="AD358" s="24" t="inlineStr">
        <is>
          <t>2026-09-20T04:31:39.369424Z</t>
        </is>
      </c>
      <c r="AE358" s="31" t="inlineStr">
        <is>
          <t>Projected home margin +9.3 pts. Spread: Home -27.5 / Away +27.5 -&gt; P(Away cover)=0.820, P(Home cover)=0.180, P(Push)=0.000.</t>
        </is>
      </c>
      <c r="AF358" s="31" t="inlineStr">
        <is>
          <t>College football model; multi-market (moneyline, spread, total).</t>
        </is>
      </c>
      <c r="AG358" s="24" t="inlineStr">
        <is>
          <t>not_applicable</t>
        </is>
      </c>
      <c r="AH358" s="24" t="n"/>
      <c r="AI358" s="31" t="n"/>
      <c r="AJ358" s="31" t="n"/>
      <c r="AK358" s="24" t="inlineStr">
        <is>
          <t>model_qualified</t>
        </is>
      </c>
      <c r="AL358" s="26" t="n">
        <v>4</v>
      </c>
      <c r="AM358" s="24" t="inlineStr">
        <is>
          <t>QUALIFIED_SHADOW_CALL</t>
        </is>
      </c>
      <c r="AN358" s="24" t="inlineStr">
        <is>
          <t>CALL</t>
        </is>
      </c>
      <c r="AO358" s="24" t="inlineStr">
        <is>
          <t>QUALIFIED</t>
        </is>
      </c>
      <c r="AP358" s="24" t="inlineStr">
        <is>
          <t>Troy Trojans</t>
        </is>
      </c>
      <c r="AQ358" s="24" t="inlineStr">
        <is>
          <t>Troy Trojans</t>
        </is>
      </c>
      <c r="AR358" s="24" t="inlineStr">
        <is>
          <t>Troy Trojans</t>
        </is>
      </c>
      <c r="AS358" s="24" t="inlineStr">
        <is>
          <t>Missouri Tigers</t>
        </is>
      </c>
      <c r="AT358" s="24" t="inlineStr">
        <is>
          <t>Missouri Tigers</t>
        </is>
      </c>
      <c r="AU358" s="24" t="inlineStr">
        <is>
          <t>Missouri Tigers</t>
        </is>
      </c>
      <c r="AV358" s="24" t="n"/>
      <c r="AW358" s="24" t="n"/>
      <c r="AX358" s="24" t="inlineStr">
        <is>
          <t>statistical_model</t>
        </is>
      </c>
      <c r="AY358" s="24" t="n"/>
      <c r="AZ358" s="24" t="inlineStr">
        <is>
          <t>shadow_qualified</t>
        </is>
      </c>
      <c r="BA358" s="24" t="inlineStr">
        <is>
          <t>1d168f11d221cd3c</t>
        </is>
      </c>
      <c r="BB358" s="24" t="inlineStr">
        <is>
          <t>cfb_key_number_engine</t>
        </is>
      </c>
      <c r="BC358" s="24" t="inlineStr">
        <is>
          <t>cfb-spread-v1</t>
        </is>
      </c>
      <c r="BD358" s="24" t="inlineStr">
        <is>
          <t>1d168f11d221cd3c</t>
        </is>
      </c>
      <c r="BE358" s="24" t="inlineStr">
        <is>
          <t>cfb-v1</t>
        </is>
      </c>
      <c r="BF358" s="24" t="inlineStr">
        <is>
          <t>1</t>
        </is>
      </c>
      <c r="BG358" s="24" t="inlineStr">
        <is>
          <t>1d168f11d221cd3c</t>
        </is>
      </c>
      <c r="BH358" s="24" t="inlineStr">
        <is>
          <t>2026-09-19T22:46:25.988423+00:00</t>
        </is>
      </c>
      <c r="BI358" s="24" t="inlineStr">
        <is>
          <t>["same_event","same_team_same_day","same_league_same_day"]</t>
        </is>
      </c>
      <c r="BJ358" s="25" t="n">
        <v>27.5</v>
      </c>
      <c r="BK358" s="26" t="n">
        <v>-115</v>
      </c>
      <c r="BL358" s="27" t="n">
        <v>1.869565</v>
      </c>
      <c r="BM358" s="28" t="n">
        <v>0.534884</v>
      </c>
      <c r="BN358" s="28" t="n"/>
      <c r="BO358" s="28" t="n"/>
      <c r="BP358" s="25" t="n"/>
      <c r="BQ358" s="27" t="n"/>
      <c r="BR358" s="28" t="n"/>
      <c r="BS358" s="28" t="n"/>
      <c r="BT358" s="28" t="n"/>
      <c r="BU358" s="25" t="n"/>
      <c r="BV358" s="29" t="n"/>
      <c r="BW358" s="24" t="n"/>
      <c r="BX358" s="30" t="n"/>
      <c r="BY358" s="27" t="n"/>
      <c r="BZ358" s="24" t="n"/>
      <c r="CA358" s="31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inlineStr">
        <is>
          <t>True</t>
        </is>
      </c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n"/>
      <c r="DE358" s="24" t="n"/>
      <c r="DF358" s="24" t="n"/>
      <c r="DG358" s="24" t="n"/>
      <c r="DH358" s="24" t="n"/>
      <c r="DI358" s="24" t="n"/>
      <c r="DJ358" s="24" t="inlineStr">
        <is>
          <t>0.534884</t>
        </is>
      </c>
      <c r="DK358" s="24" t="n"/>
      <c r="DL358" s="24" t="n"/>
      <c r="DM358" s="24" t="n"/>
      <c r="DN358" s="24" t="n"/>
      <c r="DO358" s="24" t="n"/>
      <c r="DP358" s="24" t="n"/>
      <c r="DQ358" s="24" t="inlineStr">
        <is>
          <t>{"artifact_hash": "1d168f11d221cd3c", "event_id": "401856689", "event_start_utc": "2026-09-19T23:00Z", "features": {"altitude_fatigue_penalty": 0.0, "away_team": "Troy Trojans", "efficiency_gap": 1.521, "elo_away": 1397.2, "elo_home": 1560.8, "elo_home_win_prob": 0.7885, "event_id": "401856689", "game_start_utc": "2026-09-19T23:00Z", "home_field_advantage_points": 2.8, "home_team": "Missouri Tigers", "is_dome": false, "is_fbs_vs_fcs": false, "is_neutral_site": false, "projected_away_points": 22.6, "projected_home_points": 31.9, "projected_margin_home": 9.3, "projected_possessions": 12.4, "projected_total": 54.5, "stadium_elevation_ft": 740, "travel_distance_miles": 610.0, "uncertainty": 0.18, "weather_total_adjustment": 0.0}, "historical_source_observation_times_verified": false, "inference_inputs": {"engine_source_sha256": "449ba2f0e86fa9c445730076a0e0bf100fb4914620be53c75c6f3bfe24298f3f", "mu_away": 22.6,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232833516422213838703275897826871496774}, "uinteger": 0}, "spread_home_line": -27.5, "total_line": 49.5}, "market_type": "spread", "model_version": "cfb-spread-v1", "observed_at_utc": "2026-09-19T22:46:25.988423+00:00", "probabilities": {"away": 0.8196, "home": 0.1804, "push": 0.0}, "replay_scope": "Full precision score means, exact engine parameters and original RNG state; upstream feature construction not certified.", "schema": "cfb-joint-replay-v1", "snapshot_hash": "3c9c07fe8b18c9195efbdf6df3172cef5dc80bbfef7d81370f02125b033c29ee", "sport": "NCAAF"}</t>
        </is>
      </c>
    </row>
    <row r="359" ht="36" customHeight="1">
      <c r="A359" s="24" t="inlineStr">
        <is>
          <t>454340108c2844e3</t>
        </is>
      </c>
      <c r="B359" s="24" t="inlineStr">
        <is>
          <t>2026-09-19T22:46:25.988423Z</t>
        </is>
      </c>
      <c r="C359" s="24" t="inlineStr">
        <is>
          <t>2026-09-19T23:00Z</t>
        </is>
      </c>
      <c r="D359" s="24" t="inlineStr">
        <is>
          <t>401856689</t>
        </is>
      </c>
      <c r="E359" s="24" t="inlineStr">
        <is>
          <t>NCAAF</t>
        </is>
      </c>
      <c r="F359" s="24" t="inlineStr">
        <is>
          <t>Troy Trojans</t>
        </is>
      </c>
      <c r="G359" s="24" t="inlineStr">
        <is>
          <t>Missouri Tigers</t>
        </is>
      </c>
      <c r="H359" s="24" t="inlineStr">
        <is>
          <t>total</t>
        </is>
      </c>
      <c r="I359" s="24" t="inlineStr">
        <is>
          <t>over</t>
        </is>
      </c>
      <c r="J359" s="25" t="n">
        <v>49.5</v>
      </c>
      <c r="K359" s="24" t="inlineStr">
        <is>
          <t>espn_consensus</t>
        </is>
      </c>
      <c r="L359" s="26" t="n">
        <v>-112</v>
      </c>
      <c r="M359" s="27" t="n">
        <v>1.892857</v>
      </c>
      <c r="N359" s="28" t="n">
        <v>0.528302</v>
      </c>
      <c r="O359" s="28" t="n">
        <v>0.543867</v>
      </c>
      <c r="P359" s="28" t="n">
        <v>0.18</v>
      </c>
      <c r="Q359" s="28" t="n">
        <v>0.015565</v>
      </c>
      <c r="R359" s="26" t="n">
        <v>0</v>
      </c>
      <c r="S359" s="29" t="n">
        <v>1</v>
      </c>
      <c r="T359" s="24" t="inlineStr">
        <is>
          <t>cfb-total-v1</t>
        </is>
      </c>
      <c r="U359" s="24" t="inlineStr">
        <is>
          <t>settled</t>
        </is>
      </c>
      <c r="V359" s="24" t="inlineStr">
        <is>
          <t>loss</t>
        </is>
      </c>
      <c r="W359" s="26" t="n">
        <v>17</v>
      </c>
      <c r="X359" s="26" t="n">
        <v>27</v>
      </c>
      <c r="Y359" s="25" t="n"/>
      <c r="Z359" s="26" t="n"/>
      <c r="AA359" s="28" t="n"/>
      <c r="AB359" s="28" t="n"/>
      <c r="AC359" s="30" t="n">
        <v>-1</v>
      </c>
      <c r="AD359" s="24" t="inlineStr">
        <is>
          <t>2026-09-20T04:31:39.866426Z</t>
        </is>
      </c>
      <c r="AE359" s="31" t="inlineStr">
        <is>
          <t>Projected total 54.5 pts (Weather adj: +0.0 pts). Total line 49.5 -&gt; P(Over)=0.544, P(Under)=0.456, P(Push)=0.000.</t>
        </is>
      </c>
      <c r="AF359" s="31" t="inlineStr">
        <is>
          <t>College football model; multi-market (moneyline, spread, total).</t>
        </is>
      </c>
      <c r="AG359" s="24" t="inlineStr">
        <is>
          <t>review_required</t>
        </is>
      </c>
      <c r="AH359" s="24" t="n"/>
      <c r="AI359" s="31" t="n"/>
      <c r="AJ359" s="31" t="n"/>
      <c r="AK359" s="24" t="inlineStr">
        <is>
          <t>paper_call</t>
        </is>
      </c>
      <c r="AL359" s="26" t="n">
        <v>4</v>
      </c>
      <c r="AM359" s="24" t="inlineStr">
        <is>
          <t>RESEARCH_OBSERVATION</t>
        </is>
      </c>
      <c r="AN359" s="24" t="inlineStr">
        <is>
          <t>CALL</t>
        </is>
      </c>
      <c r="AO359" s="24" t="inlineStr">
        <is>
          <t>PAPER_CALL_LOW_EDGE</t>
        </is>
      </c>
      <c r="AP359" s="24" t="inlineStr">
        <is>
          <t>Troy Trojans</t>
        </is>
      </c>
      <c r="AQ359" s="24" t="inlineStr">
        <is>
          <t>Troy Trojans</t>
        </is>
      </c>
      <c r="AR359" s="24" t="inlineStr">
        <is>
          <t>Troy Trojans</t>
        </is>
      </c>
      <c r="AS359" s="24" t="inlineStr">
        <is>
          <t>Missouri Tigers</t>
        </is>
      </c>
      <c r="AT359" s="24" t="inlineStr">
        <is>
          <t>Missouri Tigers</t>
        </is>
      </c>
      <c r="AU359" s="24" t="inlineStr">
        <is>
          <t>Missouri Tigers</t>
        </is>
      </c>
      <c r="AV359" s="24" t="n"/>
      <c r="AW359" s="24" t="n"/>
      <c r="AX359" s="24" t="inlineStr">
        <is>
          <t>statistical_model</t>
        </is>
      </c>
      <c r="AY359" s="24" t="n"/>
      <c r="AZ359" s="24" t="inlineStr">
        <is>
          <t>shadow_qualified</t>
        </is>
      </c>
      <c r="BA359" s="24" t="inlineStr">
        <is>
          <t>1d168f11d221cd3c</t>
        </is>
      </c>
      <c r="BB359" s="24" t="inlineStr">
        <is>
          <t>cfb_key_number_engine</t>
        </is>
      </c>
      <c r="BC359" s="24" t="inlineStr">
        <is>
          <t>cfb-total-v1</t>
        </is>
      </c>
      <c r="BD359" s="24" t="inlineStr">
        <is>
          <t>1d168f11d221cd3c</t>
        </is>
      </c>
      <c r="BE359" s="24" t="inlineStr">
        <is>
          <t>cfb-v1</t>
        </is>
      </c>
      <c r="BF359" s="24" t="inlineStr">
        <is>
          <t>1</t>
        </is>
      </c>
      <c r="BG359" s="24" t="inlineStr">
        <is>
          <t>1d168f11d221cd3c</t>
        </is>
      </c>
      <c r="BH359" s="24" t="inlineStr">
        <is>
          <t>2026-09-19T22:46:25.988423+00:00</t>
        </is>
      </c>
      <c r="BI359" s="24" t="inlineStr">
        <is>
          <t>["same_event","same_team_same_day","same_league_same_day"]</t>
        </is>
      </c>
      <c r="BJ359" s="25" t="n">
        <v>49.5</v>
      </c>
      <c r="BK359" s="26" t="n">
        <v>-112</v>
      </c>
      <c r="BL359" s="27" t="n">
        <v>1.892857</v>
      </c>
      <c r="BM359" s="28" t="n">
        <v>0.528302</v>
      </c>
      <c r="BN359" s="28" t="n"/>
      <c r="BO359" s="28" t="n"/>
      <c r="BP359" s="25" t="n"/>
      <c r="BQ359" s="27" t="n"/>
      <c r="BR359" s="28" t="n"/>
      <c r="BS359" s="28" t="n"/>
      <c r="BT359" s="28" t="n"/>
      <c r="BU359" s="25" t="n"/>
      <c r="BV359" s="29" t="n"/>
      <c r="BW359" s="24" t="n"/>
      <c r="BX359" s="30" t="n">
        <v>1</v>
      </c>
      <c r="BY359" s="27" t="n">
        <v>-1</v>
      </c>
      <c r="BZ359" s="24" t="inlineStr">
        <is>
          <t>2026-09-20T04:31:39.866426Z</t>
        </is>
      </c>
      <c r="CA359" s="31" t="inlineStr">
        <is>
          <t>fixed one-unit hypothetical scoring; no real exposure or execution</t>
        </is>
      </c>
      <c r="CB359" s="24" t="n"/>
      <c r="CC359" s="24" t="n"/>
      <c r="CD359" s="24" t="n"/>
      <c r="CE359" s="24" t="n"/>
      <c r="CF359" s="24" t="n"/>
      <c r="CG359" s="24" t="n"/>
      <c r="CH359" s="24" t="n"/>
      <c r="CI359" s="24" t="n"/>
      <c r="CJ359" s="24" t="n"/>
      <c r="CK359" s="24" t="n"/>
      <c r="CL359" s="24" t="n"/>
      <c r="CM359" s="24" t="n"/>
      <c r="CN359" s="24" t="n"/>
      <c r="CO359" s="24" t="n"/>
      <c r="CP359" s="24" t="n"/>
      <c r="CQ359" s="24" t="n"/>
      <c r="CR359" s="24" t="n"/>
      <c r="CS359" s="24" t="inlineStr">
        <is>
          <t>True</t>
        </is>
      </c>
      <c r="CT359" s="24" t="n"/>
      <c r="CU359" s="24" t="n"/>
      <c r="CV359" s="24" t="n"/>
      <c r="CW359" s="24" t="n"/>
      <c r="CX359" s="24" t="n"/>
      <c r="CY359" s="24" t="n"/>
      <c r="CZ359" s="24" t="n"/>
      <c r="DA359" s="24" t="n"/>
      <c r="DB359" s="24" t="n"/>
      <c r="DC359" s="24" t="n"/>
      <c r="DD359" s="24" t="n"/>
      <c r="DE359" s="24" t="n"/>
      <c r="DF359" s="24" t="n"/>
      <c r="DG359" s="24" t="n"/>
      <c r="DH359" s="24" t="n"/>
      <c r="DI359" s="24" t="n"/>
      <c r="DJ359" s="24" t="inlineStr">
        <is>
          <t>0.528302</t>
        </is>
      </c>
      <c r="DK359" s="24" t="n"/>
      <c r="DL359" s="24" t="n"/>
      <c r="DM359" s="24" t="n"/>
      <c r="DN359" s="24" t="n"/>
      <c r="DO359" s="24" t="n"/>
      <c r="DP359" s="24" t="n"/>
      <c r="DQ359" s="24" t="inlineStr">
        <is>
          <t>{"artifact_hash": "1d168f11d221cd3c", "event_id": "401856689", "event_start_utc": "2026-09-19T23:00Z", "features": {"altitude_fatigue_penalty": 0.0, "away_team": "Troy Trojans", "efficiency_gap": 1.521, "elo_away": 1397.2, "elo_home": 1560.8, "elo_home_win_prob": 0.7885, "event_id": "401856689", "game_start_utc": "2026-09-19T23:00Z", "home_field_advantage_points": 2.8, "home_team": "Missouri Tigers", "is_dome": false, "is_fbs_vs_fcs": false, "is_neutral_site": false, "projected_away_points": 22.6, "projected_home_points": 31.9, "projected_margin_home": 9.3, "projected_possessions": 12.4, "projected_total": 54.5, "stadium_elevation_ft": 740, "travel_distance_miles": 610.0, "uncertainty": 0.18, "weather_total_adjustment": 0.0}, "historical_source_observation_times_verified": false, "inference_inputs": {"engine_source_sha256": "449ba2f0e86fa9c445730076a0e0bf100fb4914620be53c75c6f3bfe24298f3f", "mu_away": 22.6,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232833516422213838703275897826871496774}, "uinteger": 0}, "spread_home_line": -27.5, "total_line": 49.5}, "market_type": "total", "model_version": "cfb-total-v1", "observed_at_utc": "2026-09-19T22:46:25.988423+00:00", "probabilities": {"over": 0.543867, "push": 0.0, "under": 0.456133}, "replay_scope": "Full precision score means, exact engine parameters and original RNG state; upstream feature construction not certified.", "schema": "cfb-joint-replay-v1", "snapshot_hash": "264f211aea04ce25bec2bfd1542dc474c98c4ba381ebfceacca2c7d49c1ea56e", "sport": "NCAAF"}</t>
        </is>
      </c>
    </row>
    <row r="360" ht="36" customHeight="1">
      <c r="A360" s="24" t="inlineStr">
        <is>
          <t>c193ea57c700407d</t>
        </is>
      </c>
      <c r="B360" s="24" t="inlineStr">
        <is>
          <t>2026-09-19T22:46:25.988423Z</t>
        </is>
      </c>
      <c r="C360" s="24" t="inlineStr">
        <is>
          <t>2026-09-19T23:00Z</t>
        </is>
      </c>
      <c r="D360" s="24" t="inlineStr">
        <is>
          <t>401856687</t>
        </is>
      </c>
      <c r="E360" s="24" t="inlineStr">
        <is>
          <t>NCAAF</t>
        </is>
      </c>
      <c r="F360" s="24" t="inlineStr">
        <is>
          <t>Florida Gators</t>
        </is>
      </c>
      <c r="G360" s="24" t="inlineStr">
        <is>
          <t>Auburn Tigers</t>
        </is>
      </c>
      <c r="H360" s="24" t="inlineStr">
        <is>
          <t>moneyline</t>
        </is>
      </c>
      <c r="I360" s="24" t="inlineStr">
        <is>
          <t>away</t>
        </is>
      </c>
      <c r="J360" s="25" t="n"/>
      <c r="K360" s="24" t="inlineStr">
        <is>
          <t>espn_consensus</t>
        </is>
      </c>
      <c r="L360" s="26" t="n">
        <v>-135</v>
      </c>
      <c r="M360" s="27" t="n">
        <v>1.740741</v>
      </c>
      <c r="N360" s="28" t="n">
        <v>0.574468</v>
      </c>
      <c r="O360" s="28" t="n">
        <v>0.560805</v>
      </c>
      <c r="P360" s="28" t="n">
        <v>0.165</v>
      </c>
      <c r="Q360" s="28" t="n">
        <v>-0.013663</v>
      </c>
      <c r="R360" s="26" t="n">
        <v>0</v>
      </c>
      <c r="S360" s="29" t="n">
        <v>1</v>
      </c>
      <c r="T360" s="24" t="inlineStr">
        <is>
          <t>college-football-v1</t>
        </is>
      </c>
      <c r="U360" s="24" t="inlineStr">
        <is>
          <t>settled</t>
        </is>
      </c>
      <c r="V360" s="24" t="inlineStr">
        <is>
          <t>win</t>
        </is>
      </c>
      <c r="W360" s="26" t="n">
        <v>44</v>
      </c>
      <c r="X360" s="26" t="n">
        <v>39</v>
      </c>
      <c r="Y360" s="25" t="n"/>
      <c r="Z360" s="26" t="n"/>
      <c r="AA360" s="28" t="n"/>
      <c r="AB360" s="28" t="n"/>
      <c r="AC360" s="30" t="n">
        <v>0.7407</v>
      </c>
      <c r="AD360" s="24" t="inlineStr">
        <is>
          <t>2026-09-20T04:31:40.446057Z</t>
        </is>
      </c>
      <c r="AE360" s="31" t="inlineStr">
        <is>
          <t>CFB Joint Model (negative_binomial): proj score Florida Gators 29.6 @ Auburn Tigers 26.8 (Margin -2.9). Possessions: 12.4, HFA: +2.8 pts.</t>
        </is>
      </c>
      <c r="AF360" s="31" t="inlineStr">
        <is>
          <t>College football model; multi-market (moneyline, spread, total).</t>
        </is>
      </c>
      <c r="AG360" s="24" t="inlineStr">
        <is>
          <t>not_applicable</t>
        </is>
      </c>
      <c r="AH360" s="24" t="n"/>
      <c r="AI360" s="31" t="n"/>
      <c r="AJ360" s="31" t="n"/>
      <c r="AK360" s="24" t="inlineStr">
        <is>
          <t>paper_call</t>
        </is>
      </c>
      <c r="AL360" s="26" t="n">
        <v>4</v>
      </c>
      <c r="AM360" s="24" t="inlineStr">
        <is>
          <t>RESEARCH_OBSERVATION</t>
        </is>
      </c>
      <c r="AN360" s="24" t="inlineStr">
        <is>
          <t>CALL</t>
        </is>
      </c>
      <c r="AO360" s="24" t="inlineStr">
        <is>
          <t>PAPER_CALL_LOW_EDGE</t>
        </is>
      </c>
      <c r="AP360" s="24" t="inlineStr">
        <is>
          <t>Florida Gators</t>
        </is>
      </c>
      <c r="AQ360" s="24" t="inlineStr">
        <is>
          <t>Florida Gators</t>
        </is>
      </c>
      <c r="AR360" s="24" t="inlineStr">
        <is>
          <t>Florida Gators</t>
        </is>
      </c>
      <c r="AS360" s="24" t="inlineStr">
        <is>
          <t>Auburn Tigers</t>
        </is>
      </c>
      <c r="AT360" s="24" t="inlineStr">
        <is>
          <t>Auburn Tigers</t>
        </is>
      </c>
      <c r="AU360" s="24" t="inlineStr">
        <is>
          <t>Auburn Tigers</t>
        </is>
      </c>
      <c r="AV360" s="24" t="n"/>
      <c r="AW360" s="24" t="n"/>
      <c r="AX360" s="24" t="inlineStr">
        <is>
          <t>statistical_model</t>
        </is>
      </c>
      <c r="AY360" s="24" t="n"/>
      <c r="AZ360" s="24" t="inlineStr">
        <is>
          <t>shadow_qualified</t>
        </is>
      </c>
      <c r="BA360" s="24" t="inlineStr">
        <is>
          <t>1d168f11d221cd3c</t>
        </is>
      </c>
      <c r="BB360" s="24" t="inlineStr">
        <is>
          <t>cfb_key_number_engine</t>
        </is>
      </c>
      <c r="BC360" s="24" t="inlineStr">
        <is>
          <t>college-football-v1</t>
        </is>
      </c>
      <c r="BD360" s="24" t="inlineStr">
        <is>
          <t>1d168f11d221cd3c</t>
        </is>
      </c>
      <c r="BE360" s="24" t="inlineStr">
        <is>
          <t>cfb-v1</t>
        </is>
      </c>
      <c r="BF360" s="24" t="inlineStr">
        <is>
          <t>1</t>
        </is>
      </c>
      <c r="BG360" s="24" t="inlineStr">
        <is>
          <t>1d168f11d221cd3c</t>
        </is>
      </c>
      <c r="BH360" s="24" t="inlineStr">
        <is>
          <t>2026-09-19T22:46:25.988423+00:00</t>
        </is>
      </c>
      <c r="BI360" s="24" t="inlineStr">
        <is>
          <t>["same_event","same_team_same_day","same_league_same_day"]</t>
        </is>
      </c>
      <c r="BJ360" s="25" t="n"/>
      <c r="BK360" s="26" t="n">
        <v>-135</v>
      </c>
      <c r="BL360" s="27" t="n">
        <v>1.740741</v>
      </c>
      <c r="BM360" s="28" t="n">
        <v>0.574468</v>
      </c>
      <c r="BN360" s="28" t="n"/>
      <c r="BO360" s="28" t="n"/>
      <c r="BP360" s="25" t="n"/>
      <c r="BQ360" s="27" t="n"/>
      <c r="BR360" s="28" t="n"/>
      <c r="BS360" s="28" t="n"/>
      <c r="BT360" s="28" t="n"/>
      <c r="BU360" s="25" t="n"/>
      <c r="BV360" s="29" t="n"/>
      <c r="BW360" s="24" t="n"/>
      <c r="BX360" s="30" t="n">
        <v>1</v>
      </c>
      <c r="BY360" s="27" t="n">
        <v>0.740741</v>
      </c>
      <c r="BZ360" s="24" t="inlineStr">
        <is>
          <t>2026-09-20T04:31:40.446057Z</t>
        </is>
      </c>
      <c r="CA360" s="31" t="inlineStr">
        <is>
          <t>fixed one-unit hypothetical scoring; no real exposure or execution</t>
        </is>
      </c>
      <c r="CB360" s="24" t="n"/>
      <c r="CC360" s="24" t="n"/>
      <c r="CD360" s="24" t="n"/>
      <c r="CE360" s="24" t="n"/>
      <c r="CF360" s="24" t="n"/>
      <c r="CG360" s="24" t="n"/>
      <c r="CH360" s="24" t="n"/>
      <c r="CI360" s="24" t="n"/>
      <c r="CJ360" s="24" t="n"/>
      <c r="CK360" s="24" t="n"/>
      <c r="CL360" s="24" t="n"/>
      <c r="CM360" s="24" t="n"/>
      <c r="CN360" s="24" t="n"/>
      <c r="CO360" s="24" t="n"/>
      <c r="CP360" s="24" t="n"/>
      <c r="CQ360" s="24" t="n"/>
      <c r="CR360" s="24" t="n"/>
      <c r="CS360" s="24" t="inlineStr">
        <is>
          <t>False</t>
        </is>
      </c>
      <c r="CT360" s="24" t="n"/>
      <c r="CU360" s="24" t="n"/>
      <c r="CV360" s="24" t="n"/>
      <c r="CW360" s="24" t="n"/>
      <c r="CX360" s="24" t="n"/>
      <c r="CY360" s="24" t="n"/>
      <c r="CZ360" s="24" t="n"/>
      <c r="DA360" s="24" t="n"/>
      <c r="DB360" s="24" t="n"/>
      <c r="DC360" s="24" t="n"/>
      <c r="DD360" s="24" t="n"/>
      <c r="DE360" s="24" t="n"/>
      <c r="DF360" s="24" t="n"/>
      <c r="DG360" s="24" t="n"/>
      <c r="DH360" s="24" t="n"/>
      <c r="DI360" s="24" t="n"/>
      <c r="DJ360" s="24" t="inlineStr">
        <is>
          <t>0.574468</t>
        </is>
      </c>
      <c r="DK360" s="24" t="n"/>
      <c r="DL360" s="24" t="n"/>
      <c r="DM360" s="24" t="n"/>
      <c r="DN360" s="24" t="n"/>
      <c r="DO360" s="24" t="n"/>
      <c r="DP360" s="24" t="n"/>
      <c r="DQ360" s="24" t="inlineStr">
        <is>
          <t>{"artifact_hash": "1d168f11d221cd3c", "event_id": "401856687", "event_start_utc": "2026-09-19T23:00Z", "features": {"altitude_fatigue_penalty": 0.0, "away_team": "Florida Gators", "efficiency_gap": -1.242, "elo_away": 1522.4, "elo_home": 1389.0, "elo_home_win_prob": 0.4028, "event_id": "401856687", "game_start_utc": "2026-09-19T23:00Z", "home_field_advantage_points": 2.8, "home_team": "Auburn Tigers", "is_dome": false, "is_fbs_vs_fcs": false, "is_neutral_site": false, "projected_away_points": 29.6, "projected_home_points": 26.8, "projected_margin_home": -2.9, "projected_possessions": 12.4, "projected_total": 56.4, "stadium_elevation_ft": 700, "travel_distance_miles": 276.0, "uncertainty": 0.165, "weather_total_adjustment": 0.0}, "historical_source_observation_times_verified": false, "inference_inputs": {"engine_source_sha256": "449ba2f0e86fa9c445730076a0e0bf100fb4914620be53c75c6f3bfe24298f3f", "mu_away": 29.6, "mu_home": 26.8,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103677674602239769725375502430140240579}, "uinteger": 0}, "spread_home_line": 2.5, "total_line": 52.5}, "market_type": "moneyline", "model_version": "college-football-v1", "observed_at_utc": "2026-09-19T22:46:25.988423+00:00", "probabilities": {"away": 0.560805, "home": 0.439195}, "replay_scope": "Full precision score means, exact engine parameters and original RNG state; upstream feature construction not certified.", "schema": "cfb-joint-replay-v1", "snapshot_hash": "4e7d3ad7c1e9548281f3e441d3d6f06d4dd4f469a04c172dc66baf4c89342062", "sport": "NCAAF"}</t>
        </is>
      </c>
    </row>
    <row r="361" ht="36" customHeight="1">
      <c r="A361" s="24" t="inlineStr">
        <is>
          <t>dfdfbcb667ae4501</t>
        </is>
      </c>
      <c r="B361" s="24" t="inlineStr">
        <is>
          <t>2026-09-19T22:46:25.988423Z</t>
        </is>
      </c>
      <c r="C361" s="24" t="inlineStr">
        <is>
          <t>2026-09-19T23:00Z</t>
        </is>
      </c>
      <c r="D361" s="24" t="inlineStr">
        <is>
          <t>401856687</t>
        </is>
      </c>
      <c r="E361" s="24" t="inlineStr">
        <is>
          <t>NCAAF</t>
        </is>
      </c>
      <c r="F361" s="24" t="inlineStr">
        <is>
          <t>Florida Gators</t>
        </is>
      </c>
      <c r="G361" s="24" t="inlineStr">
        <is>
          <t>Auburn Tigers</t>
        </is>
      </c>
      <c r="H361" s="24" t="inlineStr">
        <is>
          <t>spread</t>
        </is>
      </c>
      <c r="I361" s="24" t="inlineStr">
        <is>
          <t>away</t>
        </is>
      </c>
      <c r="J361" s="25" t="n">
        <v>-2.5</v>
      </c>
      <c r="K361" s="24" t="inlineStr">
        <is>
          <t>espn_consensus</t>
        </is>
      </c>
      <c r="L361" s="26" t="n">
        <v>-105</v>
      </c>
      <c r="M361" s="27" t="n">
        <v>1.952381</v>
      </c>
      <c r="N361" s="28" t="n">
        <v>0.512195</v>
      </c>
      <c r="O361" s="28" t="n">
        <v>0.5092</v>
      </c>
      <c r="P361" s="28" t="n">
        <v>0.165</v>
      </c>
      <c r="Q361" s="28" t="n">
        <v>-0.002995</v>
      </c>
      <c r="R361" s="26" t="n">
        <v>0</v>
      </c>
      <c r="S361" s="29" t="n">
        <v>1</v>
      </c>
      <c r="T361" s="24" t="inlineStr">
        <is>
          <t>cfb-spread-v1</t>
        </is>
      </c>
      <c r="U361" s="24" t="inlineStr">
        <is>
          <t>settled</t>
        </is>
      </c>
      <c r="V361" s="24" t="inlineStr">
        <is>
          <t>win</t>
        </is>
      </c>
      <c r="W361" s="26" t="n">
        <v>44</v>
      </c>
      <c r="X361" s="26" t="n">
        <v>39</v>
      </c>
      <c r="Y361" s="25" t="n"/>
      <c r="Z361" s="26" t="n"/>
      <c r="AA361" s="28" t="n"/>
      <c r="AB361" s="28" t="n"/>
      <c r="AC361" s="30" t="n">
        <v>0.9524</v>
      </c>
      <c r="AD361" s="24" t="inlineStr">
        <is>
          <t>2026-09-20T04:31:40.873805Z</t>
        </is>
      </c>
      <c r="AE361" s="31" t="inlineStr">
        <is>
          <t>Projected home margin -2.9 pts. Spread: Home +2.5 / Away -2.5 -&gt; P(Away cover)=0.509, P(Home cover)=0.491, P(Push)=0.000.</t>
        </is>
      </c>
      <c r="AF361" s="31" t="inlineStr">
        <is>
          <t>College football model; multi-market (moneyline, spread, total).</t>
        </is>
      </c>
      <c r="AG361" s="24" t="inlineStr">
        <is>
          <t>not_applicable</t>
        </is>
      </c>
      <c r="AH361" s="24" t="n"/>
      <c r="AI361" s="31" t="n"/>
      <c r="AJ361" s="31" t="n"/>
      <c r="AK361" s="24" t="inlineStr">
        <is>
          <t>paper_call</t>
        </is>
      </c>
      <c r="AL361" s="26" t="n">
        <v>4</v>
      </c>
      <c r="AM361" s="24" t="inlineStr">
        <is>
          <t>RESEARCH_OBSERVATION</t>
        </is>
      </c>
      <c r="AN361" s="24" t="inlineStr">
        <is>
          <t>CALL</t>
        </is>
      </c>
      <c r="AO361" s="24" t="inlineStr">
        <is>
          <t>PAPER_CALL_LOW_EDGE</t>
        </is>
      </c>
      <c r="AP361" s="24" t="inlineStr">
        <is>
          <t>Florida Gators</t>
        </is>
      </c>
      <c r="AQ361" s="24" t="inlineStr">
        <is>
          <t>Florida Gators</t>
        </is>
      </c>
      <c r="AR361" s="24" t="inlineStr">
        <is>
          <t>Florida Gators</t>
        </is>
      </c>
      <c r="AS361" s="24" t="inlineStr">
        <is>
          <t>Auburn Tigers</t>
        </is>
      </c>
      <c r="AT361" s="24" t="inlineStr">
        <is>
          <t>Auburn Tigers</t>
        </is>
      </c>
      <c r="AU361" s="24" t="inlineStr">
        <is>
          <t>Auburn Tigers</t>
        </is>
      </c>
      <c r="AV361" s="24" t="n"/>
      <c r="AW361" s="24" t="n"/>
      <c r="AX361" s="24" t="inlineStr">
        <is>
          <t>statistical_model</t>
        </is>
      </c>
      <c r="AY361" s="24" t="n"/>
      <c r="AZ361" s="24" t="inlineStr">
        <is>
          <t>shadow_qualified</t>
        </is>
      </c>
      <c r="BA361" s="24" t="inlineStr">
        <is>
          <t>1d168f11d221cd3c</t>
        </is>
      </c>
      <c r="BB361" s="24" t="inlineStr">
        <is>
          <t>cfb_key_number_engine</t>
        </is>
      </c>
      <c r="BC361" s="24" t="inlineStr">
        <is>
          <t>cfb-spread-v1</t>
        </is>
      </c>
      <c r="BD361" s="24" t="inlineStr">
        <is>
          <t>1d168f11d221cd3c</t>
        </is>
      </c>
      <c r="BE361" s="24" t="inlineStr">
        <is>
          <t>cfb-v1</t>
        </is>
      </c>
      <c r="BF361" s="24" t="inlineStr">
        <is>
          <t>1</t>
        </is>
      </c>
      <c r="BG361" s="24" t="inlineStr">
        <is>
          <t>1d168f11d221cd3c</t>
        </is>
      </c>
      <c r="BH361" s="24" t="inlineStr">
        <is>
          <t>2026-09-19T22:46:25.988423+00:00</t>
        </is>
      </c>
      <c r="BI361" s="24" t="inlineStr">
        <is>
          <t>["same_event","same_team_same_day","same_league_same_day"]</t>
        </is>
      </c>
      <c r="BJ361" s="25" t="n">
        <v>-2.5</v>
      </c>
      <c r="BK361" s="26" t="n">
        <v>-105</v>
      </c>
      <c r="BL361" s="27" t="n">
        <v>1.952381</v>
      </c>
      <c r="BM361" s="28" t="n">
        <v>0.512195</v>
      </c>
      <c r="BN361" s="28" t="n"/>
      <c r="BO361" s="28" t="n"/>
      <c r="BP361" s="25" t="n"/>
      <c r="BQ361" s="27" t="n"/>
      <c r="BR361" s="28" t="n"/>
      <c r="BS361" s="28" t="n"/>
      <c r="BT361" s="28" t="n"/>
      <c r="BU361" s="25" t="n"/>
      <c r="BV361" s="29" t="n"/>
      <c r="BW361" s="24" t="n"/>
      <c r="BX361" s="30" t="n">
        <v>1</v>
      </c>
      <c r="BY361" s="27" t="n">
        <v>0.952381</v>
      </c>
      <c r="BZ361" s="24" t="inlineStr">
        <is>
          <t>2026-09-20T04:31:40.873805Z</t>
        </is>
      </c>
      <c r="CA361" s="31" t="inlineStr">
        <is>
          <t>fixed one-unit hypothetical scoring; no real exposure or execution</t>
        </is>
      </c>
      <c r="CB361" s="24" t="n"/>
      <c r="CC361" s="24" t="n"/>
      <c r="CD361" s="24" t="n"/>
      <c r="CE361" s="24" t="n"/>
      <c r="CF361" s="24" t="n"/>
      <c r="CG361" s="24" t="n"/>
      <c r="CH361" s="24" t="n"/>
      <c r="CI361" s="24" t="n"/>
      <c r="CJ361" s="24" t="n"/>
      <c r="CK361" s="24" t="n"/>
      <c r="CL361" s="24" t="n"/>
      <c r="CM361" s="24" t="n"/>
      <c r="CN361" s="24" t="n"/>
      <c r="CO361" s="24" t="n"/>
      <c r="CP361" s="24" t="n"/>
      <c r="CQ361" s="24" t="n"/>
      <c r="CR361" s="24" t="n"/>
      <c r="CS361" s="24" t="inlineStr">
        <is>
          <t>False</t>
        </is>
      </c>
      <c r="CT361" s="24" t="n"/>
      <c r="CU361" s="24" t="n"/>
      <c r="CV361" s="24" t="n"/>
      <c r="CW361" s="24" t="n"/>
      <c r="CX361" s="24" t="n"/>
      <c r="CY361" s="24" t="n"/>
      <c r="CZ361" s="24" t="n"/>
      <c r="DA361" s="24" t="n"/>
      <c r="DB361" s="24" t="n"/>
      <c r="DC361" s="24" t="n"/>
      <c r="DD361" s="24" t="n"/>
      <c r="DE361" s="24" t="n"/>
      <c r="DF361" s="24" t="n"/>
      <c r="DG361" s="24" t="n"/>
      <c r="DH361" s="24" t="n"/>
      <c r="DI361" s="24" t="n"/>
      <c r="DJ361" s="24" t="inlineStr">
        <is>
          <t>0.512195</t>
        </is>
      </c>
      <c r="DK361" s="24" t="n"/>
      <c r="DL361" s="24" t="n"/>
      <c r="DM361" s="24" t="n"/>
      <c r="DN361" s="24" t="n"/>
      <c r="DO361" s="24" t="n"/>
      <c r="DP361" s="24" t="n"/>
      <c r="DQ361" s="24" t="inlineStr">
        <is>
          <t>{"artifact_hash": "1d168f11d221cd3c", "event_id": "401856687", "event_start_utc": "2026-09-19T23:00Z", "features": {"altitude_fatigue_penalty": 0.0, "away_team": "Florida Gators", "efficiency_gap": -1.242, "elo_away": 1522.4, "elo_home": 1389.0, "elo_home_win_prob": 0.4028, "event_id": "401856687", "game_start_utc": "2026-09-19T23:00Z", "home_field_advantage_points": 2.8, "home_team": "Auburn Tigers", "is_dome": false, "is_fbs_vs_fcs": false, "is_neutral_site": false, "projected_away_points": 29.6, "projected_home_points": 26.8, "projected_margin_home": -2.9, "projected_possessions": 12.4, "projected_total": 56.4, "stadium_elevation_ft": 700, "travel_distance_miles": 276.0, "uncertainty": 0.165, "weather_total_adjustment": 0.0}, "historical_source_observation_times_verified": false, "inference_inputs": {"engine_source_sha256": "449ba2f0e86fa9c445730076a0e0bf100fb4914620be53c75c6f3bfe24298f3f", "mu_away": 29.6, "mu_home": 26.8,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103677674602239769725375502430140240579}, "uinteger": 0}, "spread_home_line": 2.5, "total_line": 52.5}, "market_type": "spread", "model_version": "cfb-spread-v1", "observed_at_utc": "2026-09-19T22:46:25.988423+00:00", "probabilities": {"away": 0.5092, "home": 0.4908, "push": 0.0}, "replay_scope": "Full precision score means, exact engine parameters and original RNG state; upstream feature construction not certified.", "schema": "cfb-joint-replay-v1", "snapshot_hash": "7288a38de349abe2e144cd5503acd435a18b047da1d9e88b7fb306e5c2ec696b", "sport": "NCAAF"}</t>
        </is>
      </c>
    </row>
    <row r="362" ht="36" customHeight="1">
      <c r="A362" s="24" t="inlineStr">
        <is>
          <t>2090a2dc1c0f4b5f</t>
        </is>
      </c>
      <c r="B362" s="24" t="inlineStr">
        <is>
          <t>2026-09-19T22:46:25.988423Z</t>
        </is>
      </c>
      <c r="C362" s="24" t="inlineStr">
        <is>
          <t>2026-09-19T23:00Z</t>
        </is>
      </c>
      <c r="D362" s="24" t="inlineStr">
        <is>
          <t>401856687</t>
        </is>
      </c>
      <c r="E362" s="24" t="inlineStr">
        <is>
          <t>NCAAF</t>
        </is>
      </c>
      <c r="F362" s="24" t="inlineStr">
        <is>
          <t>Florida Gators</t>
        </is>
      </c>
      <c r="G362" s="24" t="inlineStr">
        <is>
          <t>Auburn Tigers</t>
        </is>
      </c>
      <c r="H362" s="24" t="inlineStr">
        <is>
          <t>total</t>
        </is>
      </c>
      <c r="I362" s="24" t="inlineStr">
        <is>
          <t>over</t>
        </is>
      </c>
      <c r="J362" s="25" t="n">
        <v>52.5</v>
      </c>
      <c r="K362" s="24" t="inlineStr">
        <is>
          <t>espn_consensus</t>
        </is>
      </c>
      <c r="L362" s="26" t="n">
        <v>-112</v>
      </c>
      <c r="M362" s="27" t="n">
        <v>1.892857</v>
      </c>
      <c r="N362" s="28" t="n">
        <v>0.528302</v>
      </c>
      <c r="O362" s="28" t="n">
        <v>0.533533</v>
      </c>
      <c r="P362" s="28" t="n">
        <v>0.165</v>
      </c>
      <c r="Q362" s="28" t="n">
        <v>0.005231</v>
      </c>
      <c r="R362" s="26" t="n">
        <v>0</v>
      </c>
      <c r="S362" s="29" t="n">
        <v>1</v>
      </c>
      <c r="T362" s="24" t="inlineStr">
        <is>
          <t>cfb-total-v1</t>
        </is>
      </c>
      <c r="U362" s="24" t="inlineStr">
        <is>
          <t>settled</t>
        </is>
      </c>
      <c r="V362" s="24" t="inlineStr">
        <is>
          <t>win</t>
        </is>
      </c>
      <c r="W362" s="26" t="n">
        <v>44</v>
      </c>
      <c r="X362" s="26" t="n">
        <v>39</v>
      </c>
      <c r="Y362" s="25" t="n"/>
      <c r="Z362" s="26" t="n"/>
      <c r="AA362" s="28" t="n"/>
      <c r="AB362" s="28" t="n"/>
      <c r="AC362" s="30" t="n">
        <v>0.8929</v>
      </c>
      <c r="AD362" s="24" t="inlineStr">
        <is>
          <t>2026-09-20T04:31:41.370292Z</t>
        </is>
      </c>
      <c r="AE362" s="31" t="inlineStr">
        <is>
          <t>Projected total 56.4 pts (Weather adj: +0.0 pts). Total line 52.5 -&gt; P(Over)=0.534, P(Under)=0.466, P(Push)=0.000.</t>
        </is>
      </c>
      <c r="AF362" s="31" t="inlineStr">
        <is>
          <t>College football model; multi-market (moneyline, spread, total).</t>
        </is>
      </c>
      <c r="AG362" s="24" t="inlineStr">
        <is>
          <t>not_applicable</t>
        </is>
      </c>
      <c r="AH362" s="24" t="n"/>
      <c r="AI362" s="31" t="n"/>
      <c r="AJ362" s="31" t="n"/>
      <c r="AK362" s="24" t="inlineStr">
        <is>
          <t>paper_call</t>
        </is>
      </c>
      <c r="AL362" s="26" t="n">
        <v>4</v>
      </c>
      <c r="AM362" s="24" t="inlineStr">
        <is>
          <t>RESEARCH_OBSERVATION</t>
        </is>
      </c>
      <c r="AN362" s="24" t="inlineStr">
        <is>
          <t>CALL</t>
        </is>
      </c>
      <c r="AO362" s="24" t="inlineStr">
        <is>
          <t>PAPER_CALL_LOW_EDGE</t>
        </is>
      </c>
      <c r="AP362" s="24" t="inlineStr">
        <is>
          <t>Florida Gators</t>
        </is>
      </c>
      <c r="AQ362" s="24" t="inlineStr">
        <is>
          <t>Florida Gators</t>
        </is>
      </c>
      <c r="AR362" s="24" t="inlineStr">
        <is>
          <t>Florida Gators</t>
        </is>
      </c>
      <c r="AS362" s="24" t="inlineStr">
        <is>
          <t>Auburn Tigers</t>
        </is>
      </c>
      <c r="AT362" s="24" t="inlineStr">
        <is>
          <t>Auburn Tigers</t>
        </is>
      </c>
      <c r="AU362" s="24" t="inlineStr">
        <is>
          <t>Auburn Tigers</t>
        </is>
      </c>
      <c r="AV362" s="24" t="n"/>
      <c r="AW362" s="24" t="n"/>
      <c r="AX362" s="24" t="inlineStr">
        <is>
          <t>statistical_model</t>
        </is>
      </c>
      <c r="AY362" s="24" t="n"/>
      <c r="AZ362" s="24" t="inlineStr">
        <is>
          <t>shadow_qualified</t>
        </is>
      </c>
      <c r="BA362" s="24" t="inlineStr">
        <is>
          <t>1d168f11d221cd3c</t>
        </is>
      </c>
      <c r="BB362" s="24" t="inlineStr">
        <is>
          <t>cfb_key_number_engine</t>
        </is>
      </c>
      <c r="BC362" s="24" t="inlineStr">
        <is>
          <t>cfb-total-v1</t>
        </is>
      </c>
      <c r="BD362" s="24" t="inlineStr">
        <is>
          <t>1d168f11d221cd3c</t>
        </is>
      </c>
      <c r="BE362" s="24" t="inlineStr">
        <is>
          <t>cfb-v1</t>
        </is>
      </c>
      <c r="BF362" s="24" t="inlineStr">
        <is>
          <t>1</t>
        </is>
      </c>
      <c r="BG362" s="24" t="inlineStr">
        <is>
          <t>1d168f11d221cd3c</t>
        </is>
      </c>
      <c r="BH362" s="24" t="inlineStr">
        <is>
          <t>2026-09-19T22:46:25.988423+00:00</t>
        </is>
      </c>
      <c r="BI362" s="24" t="inlineStr">
        <is>
          <t>["same_event","same_team_same_day","same_league_same_day"]</t>
        </is>
      </c>
      <c r="BJ362" s="25" t="n">
        <v>52.5</v>
      </c>
      <c r="BK362" s="26" t="n">
        <v>-112</v>
      </c>
      <c r="BL362" s="27" t="n">
        <v>1.892857</v>
      </c>
      <c r="BM362" s="28" t="n">
        <v>0.528302</v>
      </c>
      <c r="BN362" s="28" t="n"/>
      <c r="BO362" s="28" t="n"/>
      <c r="BP362" s="25" t="n"/>
      <c r="BQ362" s="27" t="n"/>
      <c r="BR362" s="28" t="n"/>
      <c r="BS362" s="28" t="n"/>
      <c r="BT362" s="28" t="n"/>
      <c r="BU362" s="25" t="n"/>
      <c r="BV362" s="29" t="n"/>
      <c r="BW362" s="24" t="n"/>
      <c r="BX362" s="30" t="n">
        <v>1</v>
      </c>
      <c r="BY362" s="27" t="n">
        <v>0.892857</v>
      </c>
      <c r="BZ362" s="24" t="inlineStr">
        <is>
          <t>2026-09-20T04:31:41.370292Z</t>
        </is>
      </c>
      <c r="CA362" s="31" t="inlineStr">
        <is>
          <t>fixed one-unit hypothetical scoring; no real exposure or execution</t>
        </is>
      </c>
      <c r="CB362" s="24" t="n"/>
      <c r="CC362" s="24" t="n"/>
      <c r="CD362" s="24" t="n"/>
      <c r="CE362" s="24" t="n"/>
      <c r="CF362" s="24" t="n"/>
      <c r="CG362" s="24" t="n"/>
      <c r="CH362" s="24" t="n"/>
      <c r="CI362" s="24" t="n"/>
      <c r="CJ362" s="24" t="n"/>
      <c r="CK362" s="24" t="n"/>
      <c r="CL362" s="24" t="n"/>
      <c r="CM362" s="24" t="n"/>
      <c r="CN362" s="24" t="n"/>
      <c r="CO362" s="24" t="n"/>
      <c r="CP362" s="24" t="n"/>
      <c r="CQ362" s="24" t="n"/>
      <c r="CR362" s="24" t="n"/>
      <c r="CS362" s="24" t="inlineStr">
        <is>
          <t>True</t>
        </is>
      </c>
      <c r="CT362" s="24" t="n"/>
      <c r="CU362" s="24" t="n"/>
      <c r="CV362" s="24" t="n"/>
      <c r="CW362" s="24" t="n"/>
      <c r="CX362" s="24" t="n"/>
      <c r="CY362" s="24" t="n"/>
      <c r="CZ362" s="24" t="n"/>
      <c r="DA362" s="24" t="n"/>
      <c r="DB362" s="24" t="n"/>
      <c r="DC362" s="24" t="n"/>
      <c r="DD362" s="24" t="n"/>
      <c r="DE362" s="24" t="n"/>
      <c r="DF362" s="24" t="n"/>
      <c r="DG362" s="24" t="n"/>
      <c r="DH362" s="24" t="n"/>
      <c r="DI362" s="24" t="n"/>
      <c r="DJ362" s="24" t="inlineStr">
        <is>
          <t>0.528302</t>
        </is>
      </c>
      <c r="DK362" s="24" t="n"/>
      <c r="DL362" s="24" t="n"/>
      <c r="DM362" s="24" t="n"/>
      <c r="DN362" s="24" t="n"/>
      <c r="DO362" s="24" t="n"/>
      <c r="DP362" s="24" t="n"/>
      <c r="DQ362" s="24" t="inlineStr">
        <is>
          <t>{"artifact_hash": "1d168f11d221cd3c", "event_id": "401856687", "event_start_utc": "2026-09-19T23:00Z", "features": {"altitude_fatigue_penalty": 0.0, "away_team": "Florida Gators", "efficiency_gap": -1.242, "elo_away": 1522.4, "elo_home": 1389.0, "elo_home_win_prob": 0.4028, "event_id": "401856687", "game_start_utc": "2026-09-19T23:00Z", "home_field_advantage_points": 2.8, "home_team": "Auburn Tigers", "is_dome": false, "is_fbs_vs_fcs": false, "is_neutral_site": false, "projected_away_points": 29.6, "projected_home_points": 26.8, "projected_margin_home": -2.9, "projected_possessions": 12.4, "projected_total": 56.4, "stadium_elevation_ft": 700, "travel_distance_miles": 276.0, "uncertainty": 0.165, "weather_total_adjustment": 0.0}, "historical_source_observation_times_verified": false, "inference_inputs": {"engine_source_sha256": "449ba2f0e86fa9c445730076a0e0bf100fb4914620be53c75c6f3bfe24298f3f", "mu_away": 29.6, "mu_home": 26.8,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103677674602239769725375502430140240579}, "uinteger": 0}, "spread_home_line": 2.5, "total_line": 52.5}, "market_type": "total", "model_version": "cfb-total-v1", "observed_at_utc": "2026-09-19T22:46:25.988423+00:00", "probabilities": {"over": 0.533533, "push": 0.0, "under": 0.466467}, "replay_scope": "Full precision score means, exact engine parameters and original RNG state; upstream feature construction not certified.", "schema": "cfb-joint-replay-v1", "snapshot_hash": "f83e0dd6d601176f8a0559d32625eeac4cb54a2edc140edd7b45edf227271603", "sport": "NCAAF"}</t>
        </is>
      </c>
    </row>
    <row r="363" ht="36" customHeight="1">
      <c r="A363" s="24" t="inlineStr">
        <is>
          <t>7ca68c625efa46d2</t>
        </is>
      </c>
      <c r="B363" s="24" t="inlineStr">
        <is>
          <t>2026-09-19T22:46:25.988423Z</t>
        </is>
      </c>
      <c r="C363" s="24" t="inlineStr">
        <is>
          <t>2026-09-19T23:00Z</t>
        </is>
      </c>
      <c r="D363" s="24" t="inlineStr">
        <is>
          <t>401856800</t>
        </is>
      </c>
      <c r="E363" s="24" t="inlineStr">
        <is>
          <t>NCAAF</t>
        </is>
      </c>
      <c r="F363" s="24" t="inlineStr">
        <is>
          <t>Georgia State Panthers</t>
        </is>
      </c>
      <c r="G363" s="24" t="inlineStr">
        <is>
          <t>UCF Knights</t>
        </is>
      </c>
      <c r="H363" s="24" t="inlineStr">
        <is>
          <t>moneyline</t>
        </is>
      </c>
      <c r="I363" s="24" t="inlineStr">
        <is>
          <t>home</t>
        </is>
      </c>
      <c r="J363" s="25" t="n"/>
      <c r="K363" s="24" t="inlineStr">
        <is>
          <t>espn_consensus</t>
        </is>
      </c>
      <c r="L363" s="26" t="n">
        <v>-1050</v>
      </c>
      <c r="M363" s="27" t="n">
        <v>1.095238</v>
      </c>
      <c r="N363" s="28" t="n">
        <v>0.913043</v>
      </c>
      <c r="O363" s="28" t="n">
        <v>0.741683</v>
      </c>
      <c r="P363" s="28" t="n">
        <v>0.18</v>
      </c>
      <c r="Q363" s="28" t="n">
        <v>-0.17136</v>
      </c>
      <c r="R363" s="26" t="n">
        <v>0</v>
      </c>
      <c r="S363" s="29" t="n">
        <v>1</v>
      </c>
      <c r="T363" s="24" t="inlineStr">
        <is>
          <t>college-football-v1</t>
        </is>
      </c>
      <c r="U363" s="24" t="inlineStr">
        <is>
          <t>settled</t>
        </is>
      </c>
      <c r="V363" s="24" t="inlineStr">
        <is>
          <t>win</t>
        </is>
      </c>
      <c r="W363" s="26" t="n">
        <v>30</v>
      </c>
      <c r="X363" s="26" t="n">
        <v>44</v>
      </c>
      <c r="Y363" s="25" t="n"/>
      <c r="Z363" s="26" t="n"/>
      <c r="AA363" s="28" t="n"/>
      <c r="AB363" s="28" t="n"/>
      <c r="AC363" s="30" t="n">
        <v>0.09520000000000001</v>
      </c>
      <c r="AD363" s="24" t="inlineStr">
        <is>
          <t>2026-09-20T04:31:41.869723Z</t>
        </is>
      </c>
      <c r="AE363" s="31" t="inlineStr">
        <is>
          <t>CFB Joint Model (negative_binomial): proj score Georgia State Panthers 21.0 @ UCF Knights 32.9 (Margin +11.9). Possessions: 12.4, HFA: +2.8 pts.</t>
        </is>
      </c>
      <c r="AF363" s="31" t="inlineStr">
        <is>
          <t>College football model; multi-market (moneyline, spread, total).</t>
        </is>
      </c>
      <c r="AG363" s="24" t="inlineStr">
        <is>
          <t>not_applicable</t>
        </is>
      </c>
      <c r="AH363" s="24" t="n"/>
      <c r="AI363" s="31" t="n"/>
      <c r="AJ363" s="31" t="n"/>
      <c r="AK363" s="24" t="inlineStr">
        <is>
          <t>paper_call</t>
        </is>
      </c>
      <c r="AL363" s="26" t="n">
        <v>4</v>
      </c>
      <c r="AM363" s="24" t="inlineStr">
        <is>
          <t>RESEARCH_OBSERVATION</t>
        </is>
      </c>
      <c r="AN363" s="24" t="inlineStr">
        <is>
          <t>CALL</t>
        </is>
      </c>
      <c r="AO363" s="24" t="inlineStr">
        <is>
          <t>PAPER_CALL_LOW_EDGE</t>
        </is>
      </c>
      <c r="AP363" s="24" t="inlineStr">
        <is>
          <t>Georgia State Panthers</t>
        </is>
      </c>
      <c r="AQ363" s="24" t="inlineStr">
        <is>
          <t>Georgia State Panthers</t>
        </is>
      </c>
      <c r="AR363" s="24" t="inlineStr">
        <is>
          <t>Georgia State Panthers</t>
        </is>
      </c>
      <c r="AS363" s="24" t="inlineStr">
        <is>
          <t>UCF Knights</t>
        </is>
      </c>
      <c r="AT363" s="24" t="inlineStr">
        <is>
          <t>UCF Knights</t>
        </is>
      </c>
      <c r="AU363" s="24" t="inlineStr">
        <is>
          <t>UCF Knights</t>
        </is>
      </c>
      <c r="AV363" s="24" t="n"/>
      <c r="AW363" s="24" t="n"/>
      <c r="AX363" s="24" t="inlineStr">
        <is>
          <t>statistical_model</t>
        </is>
      </c>
      <c r="AY363" s="24" t="n"/>
      <c r="AZ363" s="24" t="inlineStr">
        <is>
          <t>shadow_qualified</t>
        </is>
      </c>
      <c r="BA363" s="24" t="inlineStr">
        <is>
          <t>1d168f11d221cd3c</t>
        </is>
      </c>
      <c r="BB363" s="24" t="inlineStr">
        <is>
          <t>cfb_key_number_engine</t>
        </is>
      </c>
      <c r="BC363" s="24" t="inlineStr">
        <is>
          <t>college-football-v1</t>
        </is>
      </c>
      <c r="BD363" s="24" t="inlineStr">
        <is>
          <t>1d168f11d221cd3c</t>
        </is>
      </c>
      <c r="BE363" s="24" t="inlineStr">
        <is>
          <t>cfb-v1</t>
        </is>
      </c>
      <c r="BF363" s="24" t="inlineStr">
        <is>
          <t>1</t>
        </is>
      </c>
      <c r="BG363" s="24" t="inlineStr">
        <is>
          <t>1d168f11d221cd3c</t>
        </is>
      </c>
      <c r="BH363" s="24" t="inlineStr">
        <is>
          <t>2026-09-19T22:46:25.988423+00:00</t>
        </is>
      </c>
      <c r="BI363" s="24" t="inlineStr">
        <is>
          <t>["same_event","same_team_same_day","same_league_same_day"]</t>
        </is>
      </c>
      <c r="BJ363" s="25" t="n"/>
      <c r="BK363" s="26" t="n">
        <v>-1050</v>
      </c>
      <c r="BL363" s="27" t="n">
        <v>1.095238</v>
      </c>
      <c r="BM363" s="28" t="n">
        <v>0.913043</v>
      </c>
      <c r="BN363" s="28" t="n"/>
      <c r="BO363" s="28" t="n"/>
      <c r="BP363" s="25" t="n"/>
      <c r="BQ363" s="27" t="n"/>
      <c r="BR363" s="28" t="n"/>
      <c r="BS363" s="28" t="n"/>
      <c r="BT363" s="28" t="n"/>
      <c r="BU363" s="25" t="n"/>
      <c r="BV363" s="29" t="n"/>
      <c r="BW363" s="24" t="n"/>
      <c r="BX363" s="30" t="n">
        <v>1</v>
      </c>
      <c r="BY363" s="27" t="n">
        <v>0.095238</v>
      </c>
      <c r="BZ363" s="24" t="inlineStr">
        <is>
          <t>2026-09-20T04:31:41.869723Z</t>
        </is>
      </c>
      <c r="CA363" s="31" t="inlineStr">
        <is>
          <t>fixed one-unit hypothetical scoring; no real exposure or execution</t>
        </is>
      </c>
      <c r="CB363" s="24" t="n"/>
      <c r="CC363" s="24" t="n"/>
      <c r="CD363" s="24" t="n"/>
      <c r="CE363" s="24" t="n"/>
      <c r="CF363" s="24" t="n"/>
      <c r="CG363" s="24" t="n"/>
      <c r="CH363" s="24" t="n"/>
      <c r="CI363" s="24" t="n"/>
      <c r="CJ363" s="24" t="n"/>
      <c r="CK363" s="24" t="n"/>
      <c r="CL363" s="24" t="n"/>
      <c r="CM363" s="24" t="n"/>
      <c r="CN363" s="24" t="n"/>
      <c r="CO363" s="24" t="n"/>
      <c r="CP363" s="24" t="n"/>
      <c r="CQ363" s="24" t="n"/>
      <c r="CR363" s="24" t="n"/>
      <c r="CS363" s="24" t="inlineStr">
        <is>
          <t>False</t>
        </is>
      </c>
      <c r="CT363" s="24" t="n"/>
      <c r="CU363" s="24" t="n"/>
      <c r="CV363" s="24" t="n"/>
      <c r="CW363" s="24" t="n"/>
      <c r="CX363" s="24" t="n"/>
      <c r="CY363" s="24" t="n"/>
      <c r="CZ363" s="24" t="n"/>
      <c r="DA363" s="24" t="n"/>
      <c r="DB363" s="24" t="n"/>
      <c r="DC363" s="24" t="n"/>
      <c r="DD363" s="24" t="n"/>
      <c r="DE363" s="24" t="n"/>
      <c r="DF363" s="24" t="n"/>
      <c r="DG363" s="24" t="n"/>
      <c r="DH363" s="24" t="n"/>
      <c r="DI363" s="24" t="n"/>
      <c r="DJ363" s="24" t="inlineStr">
        <is>
          <t>0.913043</t>
        </is>
      </c>
      <c r="DK363" s="24" t="n"/>
      <c r="DL363" s="24" t="n"/>
      <c r="DM363" s="24" t="n"/>
      <c r="DN363" s="24" t="n"/>
      <c r="DO363" s="24" t="n"/>
      <c r="DP363" s="24" t="n"/>
      <c r="DQ363" s="24" t="inlineStr">
        <is>
          <t>{"artifact_hash": "1d168f11d221cd3c", "event_id": "401856800", "event_start_utc": "2026-09-19T23:00Z", "features": {"altitude_fatigue_penalty": 0.0, "away_team": "Georgia State Panthers", "efficiency_gap": 0.859, "elo_away": 1083.9, "elo_home": 1310.2, "elo_home_win_prob": 0.8425, "event_id": "401856800", "game_start_utc": "2026-09-19T23:00Z", "home_field_advantage_points": 2.8, "home_team": "UCF Knights", "is_dome": false, "is_fbs_vs_fcs": false, "is_neutral_site": false, "projected_away_points": 21.0, "projected_home_points": 32.9, "projected_margin_home": 11.9, "projected_possessions": 12.4, "projected_total": 54.0, "stadium_elevation_ft": 70, "travel_distance_miles": 401.0, "uncertainty": 0.18, "weather_total_adjustment": 0.0}, "historical_source_observation_times_verified": false, "inference_inputs": {"engine_source_sha256": "449ba2f0e86fa9c445730076a0e0bf100fb4914620be53c75c6f3bfe24298f3f", "mu_away": 21.0, "mu_home": 32.9,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203953518324234796522933196514734198175}, "uinteger": 0}, "spread_home_line": -17.5, "total_line": 50.5}, "market_type": "moneyline", "model_version": "college-football-v1", "observed_at_utc": "2026-09-19T22:46:25.988423+00:00", "probabilities": {"away": 0.258317, "home": 0.741683}, "replay_scope": "Full precision score means, exact engine parameters and original RNG state; upstream feature construction not certified.", "schema": "cfb-joint-replay-v1", "snapshot_hash": "7ecfe747b420755bec52dce82b4b54cde5c2758338e9b5cab1378529dff37e0c", "sport": "NCAAF"}</t>
        </is>
      </c>
    </row>
    <row r="364" ht="36" customHeight="1">
      <c r="A364" s="24" t="inlineStr">
        <is>
          <t>010216e2ce2a4187</t>
        </is>
      </c>
      <c r="B364" s="24" t="inlineStr">
        <is>
          <t>2026-09-19T22:46:25.988423Z</t>
        </is>
      </c>
      <c r="C364" s="24" t="inlineStr">
        <is>
          <t>2026-09-19T23:00Z</t>
        </is>
      </c>
      <c r="D364" s="24" t="inlineStr">
        <is>
          <t>401856800</t>
        </is>
      </c>
      <c r="E364" s="24" t="inlineStr">
        <is>
          <t>NCAAF</t>
        </is>
      </c>
      <c r="F364" s="24" t="inlineStr">
        <is>
          <t>Georgia State Panthers</t>
        </is>
      </c>
      <c r="G364" s="24" t="inlineStr">
        <is>
          <t>UCF Knights</t>
        </is>
      </c>
      <c r="H364" s="24" t="inlineStr">
        <is>
          <t>spread</t>
        </is>
      </c>
      <c r="I364" s="24" t="inlineStr">
        <is>
          <t>away</t>
        </is>
      </c>
      <c r="J364" s="25" t="n">
        <v>17.5</v>
      </c>
      <c r="K364" s="24" t="inlineStr">
        <is>
          <t>espn_consensus</t>
        </is>
      </c>
      <c r="L364" s="26" t="n">
        <v>-118</v>
      </c>
      <c r="M364" s="27" t="n">
        <v>1.847458</v>
      </c>
      <c r="N364" s="28" t="n">
        <v>0.541284</v>
      </c>
      <c r="O364" s="28" t="n">
        <v>0.6079329999999999</v>
      </c>
      <c r="P364" s="28" t="n">
        <v>0.18</v>
      </c>
      <c r="Q364" s="28" t="n">
        <v>0.066649</v>
      </c>
      <c r="R364" s="26" t="n">
        <v>0</v>
      </c>
      <c r="S364" s="29" t="n">
        <v>1</v>
      </c>
      <c r="T364" s="24" t="inlineStr">
        <is>
          <t>cfb-spread-v1</t>
        </is>
      </c>
      <c r="U364" s="24" t="inlineStr">
        <is>
          <t>settled</t>
        </is>
      </c>
      <c r="V364" s="24" t="inlineStr">
        <is>
          <t>win</t>
        </is>
      </c>
      <c r="W364" s="26" t="n">
        <v>30</v>
      </c>
      <c r="X364" s="26" t="n">
        <v>44</v>
      </c>
      <c r="Y364" s="25" t="n"/>
      <c r="Z364" s="26" t="n"/>
      <c r="AA364" s="28" t="n"/>
      <c r="AB364" s="28" t="n"/>
      <c r="AC364" s="30" t="n">
        <v>0.8475</v>
      </c>
      <c r="AD364" s="24" t="inlineStr">
        <is>
          <t>2026-09-20T04:31:42.308680Z</t>
        </is>
      </c>
      <c r="AE364" s="31" t="inlineStr">
        <is>
          <t>Projected home margin +11.9 pts. Spread: Home -17.5 / Away +17.5 -&gt; P(Away cover)=0.608, P(Home cover)=0.392, P(Push)=0.000.</t>
        </is>
      </c>
      <c r="AF364" s="31" t="inlineStr">
        <is>
          <t>College football model; multi-market (moneyline, spread, total).</t>
        </is>
      </c>
      <c r="AG364" s="24" t="inlineStr">
        <is>
          <t>not_applicable</t>
        </is>
      </c>
      <c r="AH364" s="24" t="n"/>
      <c r="AI364" s="31" t="n"/>
      <c r="AJ364" s="31" t="n"/>
      <c r="AK364" s="24" t="inlineStr">
        <is>
          <t>model_qualified</t>
        </is>
      </c>
      <c r="AL364" s="26" t="n">
        <v>4</v>
      </c>
      <c r="AM364" s="24" t="inlineStr">
        <is>
          <t>QUALIFIED_SHADOW_CALL</t>
        </is>
      </c>
      <c r="AN364" s="24" t="inlineStr">
        <is>
          <t>CALL</t>
        </is>
      </c>
      <c r="AO364" s="24" t="inlineStr">
        <is>
          <t>QUALIFIED</t>
        </is>
      </c>
      <c r="AP364" s="24" t="inlineStr">
        <is>
          <t>Georgia State Panthers</t>
        </is>
      </c>
      <c r="AQ364" s="24" t="inlineStr">
        <is>
          <t>Georgia State Panthers</t>
        </is>
      </c>
      <c r="AR364" s="24" t="inlineStr">
        <is>
          <t>Georgia State Panthers</t>
        </is>
      </c>
      <c r="AS364" s="24" t="inlineStr">
        <is>
          <t>UCF Knights</t>
        </is>
      </c>
      <c r="AT364" s="24" t="inlineStr">
        <is>
          <t>UCF Knights</t>
        </is>
      </c>
      <c r="AU364" s="24" t="inlineStr">
        <is>
          <t>UCF Knights</t>
        </is>
      </c>
      <c r="AV364" s="24" t="n"/>
      <c r="AW364" s="24" t="n"/>
      <c r="AX364" s="24" t="inlineStr">
        <is>
          <t>statistical_model</t>
        </is>
      </c>
      <c r="AY364" s="24" t="n"/>
      <c r="AZ364" s="24" t="inlineStr">
        <is>
          <t>shadow_qualified</t>
        </is>
      </c>
      <c r="BA364" s="24" t="inlineStr">
        <is>
          <t>1d168f11d221cd3c</t>
        </is>
      </c>
      <c r="BB364" s="24" t="inlineStr">
        <is>
          <t>cfb_key_number_engine</t>
        </is>
      </c>
      <c r="BC364" s="24" t="inlineStr">
        <is>
          <t>cfb-spread-v1</t>
        </is>
      </c>
      <c r="BD364" s="24" t="inlineStr">
        <is>
          <t>1d168f11d221cd3c</t>
        </is>
      </c>
      <c r="BE364" s="24" t="inlineStr">
        <is>
          <t>cfb-v1</t>
        </is>
      </c>
      <c r="BF364" s="24" t="inlineStr">
        <is>
          <t>1</t>
        </is>
      </c>
      <c r="BG364" s="24" t="inlineStr">
        <is>
          <t>1d168f11d221cd3c</t>
        </is>
      </c>
      <c r="BH364" s="24" t="inlineStr">
        <is>
          <t>2026-09-19T22:46:25.988423+00:00</t>
        </is>
      </c>
      <c r="BI364" s="24" t="inlineStr">
        <is>
          <t>["same_event","same_team_same_day","same_league_same_day"]</t>
        </is>
      </c>
      <c r="BJ364" s="25" t="n">
        <v>17.5</v>
      </c>
      <c r="BK364" s="26" t="n">
        <v>-118</v>
      </c>
      <c r="BL364" s="27" t="n">
        <v>1.847458</v>
      </c>
      <c r="BM364" s="28" t="n">
        <v>0.541284</v>
      </c>
      <c r="BN364" s="28" t="n"/>
      <c r="BO364" s="28" t="n"/>
      <c r="BP364" s="25" t="n"/>
      <c r="BQ364" s="27" t="n"/>
      <c r="BR364" s="28" t="n"/>
      <c r="BS364" s="28" t="n"/>
      <c r="BT364" s="28" t="n"/>
      <c r="BU364" s="25" t="n"/>
      <c r="BV364" s="29" t="n"/>
      <c r="BW364" s="24" t="n"/>
      <c r="BX364" s="30" t="n"/>
      <c r="BY364" s="27" t="n"/>
      <c r="BZ364" s="24" t="n"/>
      <c r="CA364" s="31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inlineStr">
        <is>
          <t>True</t>
        </is>
      </c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n"/>
      <c r="DE364" s="24" t="n"/>
      <c r="DF364" s="24" t="n"/>
      <c r="DG364" s="24" t="n"/>
      <c r="DH364" s="24" t="n"/>
      <c r="DI364" s="24" t="n"/>
      <c r="DJ364" s="24" t="inlineStr">
        <is>
          <t>0.541284</t>
        </is>
      </c>
      <c r="DK364" s="24" t="n"/>
      <c r="DL364" s="24" t="n"/>
      <c r="DM364" s="24" t="n"/>
      <c r="DN364" s="24" t="n"/>
      <c r="DO364" s="24" t="n"/>
      <c r="DP364" s="24" t="n"/>
      <c r="DQ364" s="24" t="inlineStr">
        <is>
          <t>{"artifact_hash": "1d168f11d221cd3c", "event_id": "401856800", "event_start_utc": "2026-09-19T23:00Z", "features": {"altitude_fatigue_penalty": 0.0, "away_team": "Georgia State Panthers", "efficiency_gap": 0.859, "elo_away": 1083.9, "elo_home": 1310.2, "elo_home_win_prob": 0.8425, "event_id": "401856800", "game_start_utc": "2026-09-19T23:00Z", "home_field_advantage_points": 2.8, "home_team": "UCF Knights", "is_dome": false, "is_fbs_vs_fcs": false, "is_neutral_site": false, "projected_away_points": 21.0, "projected_home_points": 32.9, "projected_margin_home": 11.9, "projected_possessions": 12.4, "projected_total": 54.0, "stadium_elevation_ft": 70, "travel_distance_miles": 401.0, "uncertainty": 0.18, "weather_total_adjustment": 0.0}, "historical_source_observation_times_verified": false, "inference_inputs": {"engine_source_sha256": "449ba2f0e86fa9c445730076a0e0bf100fb4914620be53c75c6f3bfe24298f3f", "mu_away": 21.0, "mu_home": 32.9,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203953518324234796522933196514734198175}, "uinteger": 0}, "spread_home_line": -17.5, "total_line": 50.5}, "market_type": "spread", "model_version": "cfb-spread-v1", "observed_at_utc": "2026-09-19T22:46:25.988423+00:00", "probabilities": {"away": 0.607933, "home": 0.392067, "push": 0.0}, "replay_scope": "Full precision score means, exact engine parameters and original RNG state; upstream feature construction not certified.", "schema": "cfb-joint-replay-v1", "snapshot_hash": "d35271aa179723bf30b73e1f639069da2780341d20b62cf61776095b3b6d25e5", "sport": "NCAAF"}</t>
        </is>
      </c>
    </row>
    <row r="365" ht="36" customHeight="1">
      <c r="A365" s="24" t="inlineStr">
        <is>
          <t>939bb9968bdb4ce9</t>
        </is>
      </c>
      <c r="B365" s="24" t="inlineStr">
        <is>
          <t>2026-09-19T22:46:25.988423Z</t>
        </is>
      </c>
      <c r="C365" s="24" t="inlineStr">
        <is>
          <t>2026-09-19T23:00Z</t>
        </is>
      </c>
      <c r="D365" s="24" t="inlineStr">
        <is>
          <t>401856800</t>
        </is>
      </c>
      <c r="E365" s="24" t="inlineStr">
        <is>
          <t>NCAAF</t>
        </is>
      </c>
      <c r="F365" s="24" t="inlineStr">
        <is>
          <t>Georgia State Panthers</t>
        </is>
      </c>
      <c r="G365" s="24" t="inlineStr">
        <is>
          <t>UCF Knights</t>
        </is>
      </c>
      <c r="H365" s="24" t="inlineStr">
        <is>
          <t>total</t>
        </is>
      </c>
      <c r="I365" s="24" t="inlineStr">
        <is>
          <t>over</t>
        </is>
      </c>
      <c r="J365" s="25" t="n">
        <v>50.5</v>
      </c>
      <c r="K365" s="24" t="inlineStr">
        <is>
          <t>espn_consensus</t>
        </is>
      </c>
      <c r="L365" s="26" t="n">
        <v>-105</v>
      </c>
      <c r="M365" s="27" t="n">
        <v>1.952381</v>
      </c>
      <c r="N365" s="28" t="n">
        <v>0.512195</v>
      </c>
      <c r="O365" s="28" t="n">
        <v>0.523733</v>
      </c>
      <c r="P365" s="28" t="n">
        <v>0.18</v>
      </c>
      <c r="Q365" s="28" t="n">
        <v>0.011538</v>
      </c>
      <c r="R365" s="26" t="n">
        <v>0</v>
      </c>
      <c r="S365" s="29" t="n">
        <v>1</v>
      </c>
      <c r="T365" s="24" t="inlineStr">
        <is>
          <t>cfb-total-v1</t>
        </is>
      </c>
      <c r="U365" s="24" t="inlineStr">
        <is>
          <t>settled</t>
        </is>
      </c>
      <c r="V365" s="24" t="inlineStr">
        <is>
          <t>win</t>
        </is>
      </c>
      <c r="W365" s="26" t="n">
        <v>30</v>
      </c>
      <c r="X365" s="26" t="n">
        <v>44</v>
      </c>
      <c r="Y365" s="25" t="n"/>
      <c r="Z365" s="26" t="n"/>
      <c r="AA365" s="28" t="n"/>
      <c r="AB365" s="28" t="n"/>
      <c r="AC365" s="30" t="n">
        <v>0.9524</v>
      </c>
      <c r="AD365" s="24" t="inlineStr">
        <is>
          <t>2026-09-20T04:31:42.866829Z</t>
        </is>
      </c>
      <c r="AE365" s="31" t="inlineStr">
        <is>
          <t>Projected total 54.0 pts (Weather adj: +0.0 pts). Total line 50.5 -&gt; P(Over)=0.524, P(Under)=0.476, P(Push)=0.000.</t>
        </is>
      </c>
      <c r="AF365" s="31" t="inlineStr">
        <is>
          <t>College football model; multi-market (moneyline, spread, total).</t>
        </is>
      </c>
      <c r="AG365" s="24" t="inlineStr">
        <is>
          <t>not_applicable</t>
        </is>
      </c>
      <c r="AH365" s="24" t="n"/>
      <c r="AI365" s="31" t="n"/>
      <c r="AJ365" s="31" t="n"/>
      <c r="AK365" s="24" t="inlineStr">
        <is>
          <t>paper_call</t>
        </is>
      </c>
      <c r="AL365" s="26" t="n">
        <v>4</v>
      </c>
      <c r="AM365" s="24" t="inlineStr">
        <is>
          <t>RESEARCH_OBSERVATION</t>
        </is>
      </c>
      <c r="AN365" s="24" t="inlineStr">
        <is>
          <t>CALL</t>
        </is>
      </c>
      <c r="AO365" s="24" t="inlineStr">
        <is>
          <t>PAPER_CALL_LOW_EDGE</t>
        </is>
      </c>
      <c r="AP365" s="24" t="inlineStr">
        <is>
          <t>Georgia State Panthers</t>
        </is>
      </c>
      <c r="AQ365" s="24" t="inlineStr">
        <is>
          <t>Georgia State Panthers</t>
        </is>
      </c>
      <c r="AR365" s="24" t="inlineStr">
        <is>
          <t>Georgia State Panthers</t>
        </is>
      </c>
      <c r="AS365" s="24" t="inlineStr">
        <is>
          <t>UCF Knights</t>
        </is>
      </c>
      <c r="AT365" s="24" t="inlineStr">
        <is>
          <t>UCF Knights</t>
        </is>
      </c>
      <c r="AU365" s="24" t="inlineStr">
        <is>
          <t>UCF Knights</t>
        </is>
      </c>
      <c r="AV365" s="24" t="n"/>
      <c r="AW365" s="24" t="n"/>
      <c r="AX365" s="24" t="inlineStr">
        <is>
          <t>statistical_model</t>
        </is>
      </c>
      <c r="AY365" s="24" t="n"/>
      <c r="AZ365" s="24" t="inlineStr">
        <is>
          <t>shadow_qualified</t>
        </is>
      </c>
      <c r="BA365" s="24" t="inlineStr">
        <is>
          <t>1d168f11d221cd3c</t>
        </is>
      </c>
      <c r="BB365" s="24" t="inlineStr">
        <is>
          <t>cfb_key_number_engine</t>
        </is>
      </c>
      <c r="BC365" s="24" t="inlineStr">
        <is>
          <t>cfb-total-v1</t>
        </is>
      </c>
      <c r="BD365" s="24" t="inlineStr">
        <is>
          <t>1d168f11d221cd3c</t>
        </is>
      </c>
      <c r="BE365" s="24" t="inlineStr">
        <is>
          <t>cfb-v1</t>
        </is>
      </c>
      <c r="BF365" s="24" t="inlineStr">
        <is>
          <t>1</t>
        </is>
      </c>
      <c r="BG365" s="24" t="inlineStr">
        <is>
          <t>1d168f11d221cd3c</t>
        </is>
      </c>
      <c r="BH365" s="24" t="inlineStr">
        <is>
          <t>2026-09-19T22:46:25.988423+00:00</t>
        </is>
      </c>
      <c r="BI365" s="24" t="inlineStr">
        <is>
          <t>["same_event","same_team_same_day","same_league_same_day"]</t>
        </is>
      </c>
      <c r="BJ365" s="25" t="n">
        <v>50.5</v>
      </c>
      <c r="BK365" s="26" t="n">
        <v>-105</v>
      </c>
      <c r="BL365" s="27" t="n">
        <v>1.952381</v>
      </c>
      <c r="BM365" s="28" t="n">
        <v>0.512195</v>
      </c>
      <c r="BN365" s="28" t="n"/>
      <c r="BO365" s="28" t="n"/>
      <c r="BP365" s="25" t="n"/>
      <c r="BQ365" s="27" t="n"/>
      <c r="BR365" s="28" t="n"/>
      <c r="BS365" s="28" t="n"/>
      <c r="BT365" s="28" t="n"/>
      <c r="BU365" s="25" t="n"/>
      <c r="BV365" s="29" t="n"/>
      <c r="BW365" s="24" t="n"/>
      <c r="BX365" s="30" t="n">
        <v>1</v>
      </c>
      <c r="BY365" s="27" t="n">
        <v>0.952381</v>
      </c>
      <c r="BZ365" s="24" t="inlineStr">
        <is>
          <t>2026-09-20T04:31:42.866829Z</t>
        </is>
      </c>
      <c r="CA365" s="31" t="inlineStr">
        <is>
          <t>fixed one-unit hypothetical scoring; no real exposure or execution</t>
        </is>
      </c>
      <c r="CB365" s="24" t="n"/>
      <c r="CC365" s="24" t="n"/>
      <c r="CD365" s="24" t="n"/>
      <c r="CE365" s="24" t="n"/>
      <c r="CF365" s="24" t="n"/>
      <c r="CG365" s="24" t="n"/>
      <c r="CH365" s="24" t="n"/>
      <c r="CI365" s="24" t="n"/>
      <c r="CJ365" s="24" t="n"/>
      <c r="CK365" s="24" t="n"/>
      <c r="CL365" s="24" t="n"/>
      <c r="CM365" s="24" t="n"/>
      <c r="CN365" s="24" t="n"/>
      <c r="CO365" s="24" t="n"/>
      <c r="CP365" s="24" t="n"/>
      <c r="CQ365" s="24" t="n"/>
      <c r="CR365" s="24" t="n"/>
      <c r="CS365" s="24" t="inlineStr">
        <is>
          <t>True</t>
        </is>
      </c>
      <c r="CT365" s="24" t="n"/>
      <c r="CU365" s="24" t="n"/>
      <c r="CV365" s="24" t="n"/>
      <c r="CW365" s="24" t="n"/>
      <c r="CX365" s="24" t="n"/>
      <c r="CY365" s="24" t="n"/>
      <c r="CZ365" s="24" t="n"/>
      <c r="DA365" s="24" t="n"/>
      <c r="DB365" s="24" t="n"/>
      <c r="DC365" s="24" t="n"/>
      <c r="DD365" s="24" t="n"/>
      <c r="DE365" s="24" t="n"/>
      <c r="DF365" s="24" t="n"/>
      <c r="DG365" s="24" t="n"/>
      <c r="DH365" s="24" t="n"/>
      <c r="DI365" s="24" t="n"/>
      <c r="DJ365" s="24" t="inlineStr">
        <is>
          <t>0.512195</t>
        </is>
      </c>
      <c r="DK365" s="24" t="n"/>
      <c r="DL365" s="24" t="n"/>
      <c r="DM365" s="24" t="n"/>
      <c r="DN365" s="24" t="n"/>
      <c r="DO365" s="24" t="n"/>
      <c r="DP365" s="24" t="n"/>
      <c r="DQ365" s="24" t="inlineStr">
        <is>
          <t>{"artifact_hash": "1d168f11d221cd3c", "event_id": "401856800", "event_start_utc": "2026-09-19T23:00Z", "features": {"altitude_fatigue_penalty": 0.0, "away_team": "Georgia State Panthers", "efficiency_gap": 0.859, "elo_away": 1083.9, "elo_home": 1310.2, "elo_home_win_prob": 0.8425, "event_id": "401856800", "game_start_utc": "2026-09-19T23:00Z", "home_field_advantage_points": 2.8, "home_team": "UCF Knights", "is_dome": false, "is_fbs_vs_fcs": false, "is_neutral_site": false, "projected_away_points": 21.0, "projected_home_points": 32.9, "projected_margin_home": 11.9, "projected_possessions": 12.4, "projected_total": 54.0, "stadium_elevation_ft": 70, "travel_distance_miles": 401.0, "uncertainty": 0.18, "weather_total_adjustment": 0.0}, "historical_source_observation_times_verified": false, "inference_inputs": {"engine_source_sha256": "449ba2f0e86fa9c445730076a0e0bf100fb4914620be53c75c6f3bfe24298f3f", "mu_away": 21.0, "mu_home": 32.9,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203953518324234796522933196514734198175}, "uinteger": 0}, "spread_home_line": -17.5, "total_line": 50.5}, "market_type": "total", "model_version": "cfb-total-v1", "observed_at_utc": "2026-09-19T22:46:25.988423+00:00", "probabilities": {"over": 0.523733, "push": 0.0, "under": 0.476267}, "replay_scope": "Full precision score means, exact engine parameters and original RNG state; upstream feature construction not certified.", "schema": "cfb-joint-replay-v1", "snapshot_hash": "572ff31c74d8ddd024875f6f81fbbaf926f678fd89f376ad69f05d972c0694b2", "sport": "NCAAF"}</t>
        </is>
      </c>
    </row>
    <row r="366" ht="36" customHeight="1">
      <c r="A366" s="24" t="inlineStr">
        <is>
          <t>e07196b2e2b54c79</t>
        </is>
      </c>
      <c r="B366" s="24" t="inlineStr">
        <is>
          <t>2026-09-19T22:46:25.988423Z</t>
        </is>
      </c>
      <c r="C366" s="24" t="inlineStr">
        <is>
          <t>2026-09-19T23:00Z</t>
        </is>
      </c>
      <c r="D366" s="24" t="inlineStr">
        <is>
          <t>401856803</t>
        </is>
      </c>
      <c r="E366" s="24" t="inlineStr">
        <is>
          <t>NCAAF</t>
        </is>
      </c>
      <c r="F366" s="24" t="inlineStr">
        <is>
          <t>Murray State Racers</t>
        </is>
      </c>
      <c r="G366" s="24" t="inlineStr">
        <is>
          <t>Oklahoma State Cowboys</t>
        </is>
      </c>
      <c r="H366" s="24" t="inlineStr">
        <is>
          <t>spread</t>
        </is>
      </c>
      <c r="I366" s="24" t="inlineStr">
        <is>
          <t>away</t>
        </is>
      </c>
      <c r="J366" s="25" t="n">
        <v>56.5</v>
      </c>
      <c r="K366" s="24" t="inlineStr">
        <is>
          <t>espn_consensus</t>
        </is>
      </c>
      <c r="L366" s="26" t="n">
        <v>-115</v>
      </c>
      <c r="M366" s="27" t="n">
        <v>1.869565</v>
      </c>
      <c r="N366" s="28" t="n">
        <v>0.534884</v>
      </c>
      <c r="O366" s="28" t="n">
        <v>0.994533</v>
      </c>
      <c r="P366" s="28" t="n">
        <v>0.18</v>
      </c>
      <c r="Q366" s="28" t="n">
        <v>0.459649</v>
      </c>
      <c r="R366" s="26" t="n">
        <v>100</v>
      </c>
      <c r="S366" s="29" t="n">
        <v>2</v>
      </c>
      <c r="T366" s="24" t="inlineStr">
        <is>
          <t>cfb-spread-v1</t>
        </is>
      </c>
      <c r="U366" s="24" t="inlineStr">
        <is>
          <t>settled</t>
        </is>
      </c>
      <c r="V366" s="24" t="inlineStr">
        <is>
          <t>loss</t>
        </is>
      </c>
      <c r="W366" s="26" t="n">
        <v>0</v>
      </c>
      <c r="X366" s="26" t="n">
        <v>59</v>
      </c>
      <c r="Y366" s="25" t="n"/>
      <c r="Z366" s="26" t="n"/>
      <c r="AA366" s="28" t="n"/>
      <c r="AB366" s="28" t="n"/>
      <c r="AC366" s="30" t="n">
        <v>-2</v>
      </c>
      <c r="AD366" s="24" t="inlineStr">
        <is>
          <t>2026-09-20T04:31:43.360082Z</t>
        </is>
      </c>
      <c r="AE366" s="31" t="inlineStr">
        <is>
          <t>Projected home margin -8.7 pts. Spread: Home -56.5 / Away +56.5 -&gt; P(Away cover)=0.995, P(Home cover)=0.005, P(Push)=0.000.</t>
        </is>
      </c>
      <c r="AF366" s="31" t="inlineStr">
        <is>
          <t>College football model; multi-market (moneyline, spread, total).</t>
        </is>
      </c>
      <c r="AG366" s="24" t="inlineStr">
        <is>
          <t>review_required</t>
        </is>
      </c>
      <c r="AH366" s="24" t="n"/>
      <c r="AI366" s="31" t="n"/>
      <c r="AJ366" s="31" t="n"/>
      <c r="AK366" s="24" t="inlineStr">
        <is>
          <t>model_qualified</t>
        </is>
      </c>
      <c r="AL366" s="26" t="n">
        <v>4</v>
      </c>
      <c r="AM366" s="24" t="inlineStr">
        <is>
          <t>QUALIFIED_SHADOW_CALL</t>
        </is>
      </c>
      <c r="AN366" s="24" t="inlineStr">
        <is>
          <t>CALL</t>
        </is>
      </c>
      <c r="AO366" s="24" t="inlineStr">
        <is>
          <t>QUALIFIED</t>
        </is>
      </c>
      <c r="AP366" s="24" t="inlineStr">
        <is>
          <t>Murray State Racers</t>
        </is>
      </c>
      <c r="AQ366" s="24" t="inlineStr">
        <is>
          <t>Murray State Racers</t>
        </is>
      </c>
      <c r="AR366" s="24" t="inlineStr">
        <is>
          <t>Murray State Racers</t>
        </is>
      </c>
      <c r="AS366" s="24" t="inlineStr">
        <is>
          <t>Oklahoma State Cowboys</t>
        </is>
      </c>
      <c r="AT366" s="24" t="inlineStr">
        <is>
          <t>Oklahoma State Cowboys</t>
        </is>
      </c>
      <c r="AU366" s="24" t="inlineStr">
        <is>
          <t>Oklahoma State Cowboys</t>
        </is>
      </c>
      <c r="AV366" s="24" t="n"/>
      <c r="AW366" s="24" t="n"/>
      <c r="AX366" s="24" t="inlineStr">
        <is>
          <t>statistical_model</t>
        </is>
      </c>
      <c r="AY366" s="24" t="n"/>
      <c r="AZ366" s="24" t="inlineStr">
        <is>
          <t>shadow_qualified</t>
        </is>
      </c>
      <c r="BA366" s="24" t="inlineStr">
        <is>
          <t>1d168f11d221cd3c</t>
        </is>
      </c>
      <c r="BB366" s="24" t="inlineStr">
        <is>
          <t>cfb_key_number_engine</t>
        </is>
      </c>
      <c r="BC366" s="24" t="inlineStr">
        <is>
          <t>cfb-spread-v1</t>
        </is>
      </c>
      <c r="BD366" s="24" t="inlineStr">
        <is>
          <t>1d168f11d221cd3c</t>
        </is>
      </c>
      <c r="BE366" s="24" t="inlineStr">
        <is>
          <t>cfb-v1</t>
        </is>
      </c>
      <c r="BF366" s="24" t="inlineStr">
        <is>
          <t>1</t>
        </is>
      </c>
      <c r="BG366" s="24" t="inlineStr">
        <is>
          <t>1d168f11d221cd3c</t>
        </is>
      </c>
      <c r="BH366" s="24" t="inlineStr">
        <is>
          <t>2026-09-19T22:46:25.988423+00:00</t>
        </is>
      </c>
      <c r="BI366" s="24" t="inlineStr">
        <is>
          <t>["same_event","same_team_same_day","same_league_same_day"]</t>
        </is>
      </c>
      <c r="BJ366" s="25" t="n">
        <v>56.5</v>
      </c>
      <c r="BK366" s="26" t="n">
        <v>-115</v>
      </c>
      <c r="BL366" s="27" t="n">
        <v>1.869565</v>
      </c>
      <c r="BM366" s="28" t="n">
        <v>0.534884</v>
      </c>
      <c r="BN366" s="28" t="n"/>
      <c r="BO366" s="28" t="n"/>
      <c r="BP366" s="25" t="n"/>
      <c r="BQ366" s="27" t="n"/>
      <c r="BR366" s="28" t="n"/>
      <c r="BS366" s="28" t="n"/>
      <c r="BT366" s="28" t="n"/>
      <c r="BU366" s="25" t="n"/>
      <c r="BV366" s="29" t="n"/>
      <c r="BW366" s="24" t="n"/>
      <c r="BX366" s="30" t="n"/>
      <c r="BY366" s="27" t="n"/>
      <c r="BZ366" s="24" t="n"/>
      <c r="CA366" s="31" t="n"/>
      <c r="CB366" s="24" t="n"/>
      <c r="CC366" s="24" t="n"/>
      <c r="CD366" s="24" t="n"/>
      <c r="CE366" s="24" t="n"/>
      <c r="CF366" s="24" t="n"/>
      <c r="CG366" s="24" t="n"/>
      <c r="CH366" s="24" t="n"/>
      <c r="CI366" s="24" t="n"/>
      <c r="CJ366" s="24" t="n"/>
      <c r="CK366" s="24" t="n"/>
      <c r="CL366" s="24" t="n"/>
      <c r="CM366" s="24" t="n"/>
      <c r="CN366" s="24" t="n"/>
      <c r="CO366" s="24" t="n"/>
      <c r="CP366" s="24" t="n"/>
      <c r="CQ366" s="24" t="n"/>
      <c r="CR366" s="24" t="n"/>
      <c r="CS366" s="24" t="inlineStr">
        <is>
          <t>True</t>
        </is>
      </c>
      <c r="CT366" s="24" t="n"/>
      <c r="CU366" s="24" t="n"/>
      <c r="CV366" s="24" t="n"/>
      <c r="CW366" s="24" t="n"/>
      <c r="CX366" s="24" t="n"/>
      <c r="CY366" s="24" t="n"/>
      <c r="CZ366" s="24" t="n"/>
      <c r="DA366" s="24" t="n"/>
      <c r="DB366" s="24" t="n"/>
      <c r="DC366" s="24" t="n"/>
      <c r="DD366" s="24" t="n"/>
      <c r="DE366" s="24" t="n"/>
      <c r="DF366" s="24" t="n"/>
      <c r="DG366" s="24" t="n"/>
      <c r="DH366" s="24" t="n"/>
      <c r="DI366" s="24" t="n"/>
      <c r="DJ366" s="24" t="inlineStr">
        <is>
          <t>0.534884</t>
        </is>
      </c>
      <c r="DK366" s="24" t="n"/>
      <c r="DL366" s="24" t="n"/>
      <c r="DM366" s="24" t="n"/>
      <c r="DN366" s="24" t="n"/>
      <c r="DO366" s="24" t="n"/>
      <c r="DP366" s="24" t="n"/>
      <c r="DQ366" s="24" t="inlineStr">
        <is>
          <t>{"artifact_hash": "1d168f11d221cd3c", "event_id": "401856803", "event_start_utc": "2026-09-19T23:00Z", "features": {"altitude_fatigue_penalty": 0.0, "away_team": "Murray State Racers", "efficiency_gap": 0.828, "elo_away": 1337.5, "elo_home": 1059.2, "elo_home_win_prob": 0.2266, "event_id": "401856803", "game_start_utc": "2026-09-19T23:00Z", "home_field_advantage_points": 2.8, "home_team": "Oklahoma State Cowboys", "is_dome": false, "is_fbs_vs_fcs": false, "is_neutral_site": false, "projected_away_points": 30.8, "projected_home_points": 22.1, "projected_margin_home": -8.7,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30.8, "mu_home": 22.1,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36978222470498442729597358119384491044}, "uinteger": 0}, "spread_home_line": -56.5, "total_line": 70.5}, "market_type": "spread", "model_version": "cfb-spread-v1", "observed_at_utc": "2026-09-19T22:46:25.988423+00:00", "probabilities": {"away": 0.994533, "home": 0.005467, "push": 0.0}, "replay_scope": "Full precision score means, exact engine parameters and original RNG state; upstream feature construction not certified.", "schema": "cfb-joint-replay-v1", "snapshot_hash": "be9b8f970acc579c2af16d58c78f5d586fec93c371f5b30b7ea6436754da5539", "sport": "NCAAF"}</t>
        </is>
      </c>
    </row>
    <row r="367" ht="36" customHeight="1">
      <c r="A367" s="24" t="inlineStr">
        <is>
          <t>83548325864649b8</t>
        </is>
      </c>
      <c r="B367" s="24" t="inlineStr">
        <is>
          <t>2026-09-19T22:46:25.988423Z</t>
        </is>
      </c>
      <c r="C367" s="24" t="inlineStr">
        <is>
          <t>2026-09-19T23:00Z</t>
        </is>
      </c>
      <c r="D367" s="24" t="inlineStr">
        <is>
          <t>401856803</t>
        </is>
      </c>
      <c r="E367" s="24" t="inlineStr">
        <is>
          <t>NCAAF</t>
        </is>
      </c>
      <c r="F367" s="24" t="inlineStr">
        <is>
          <t>Murray State Racers</t>
        </is>
      </c>
      <c r="G367" s="24" t="inlineStr">
        <is>
          <t>Oklahoma State Cowboys</t>
        </is>
      </c>
      <c r="H367" s="24" t="inlineStr">
        <is>
          <t>total</t>
        </is>
      </c>
      <c r="I367" s="24" t="inlineStr">
        <is>
          <t>under</t>
        </is>
      </c>
      <c r="J367" s="25" t="n">
        <v>70.5</v>
      </c>
      <c r="K367" s="24" t="inlineStr">
        <is>
          <t>espn_consensus</t>
        </is>
      </c>
      <c r="L367" s="26" t="n">
        <v>-112</v>
      </c>
      <c r="M367" s="27" t="n">
        <v>1.892857</v>
      </c>
      <c r="N367" s="28" t="n">
        <v>0.528302</v>
      </c>
      <c r="O367" s="28" t="n">
        <v>0.7696</v>
      </c>
      <c r="P367" s="28" t="n">
        <v>0.18</v>
      </c>
      <c r="Q367" s="28" t="n">
        <v>0.241298</v>
      </c>
      <c r="R367" s="26" t="n">
        <v>63</v>
      </c>
      <c r="S367" s="29" t="n">
        <v>1.5</v>
      </c>
      <c r="T367" s="24" t="inlineStr">
        <is>
          <t>cfb-total-v1</t>
        </is>
      </c>
      <c r="U367" s="24" t="inlineStr">
        <is>
          <t>settled</t>
        </is>
      </c>
      <c r="V367" s="24" t="inlineStr">
        <is>
          <t>win</t>
        </is>
      </c>
      <c r="W367" s="26" t="n">
        <v>0</v>
      </c>
      <c r="X367" s="26" t="n">
        <v>59</v>
      </c>
      <c r="Y367" s="25" t="n"/>
      <c r="Z367" s="26" t="n"/>
      <c r="AA367" s="28" t="n"/>
      <c r="AB367" s="28" t="n"/>
      <c r="AC367" s="30" t="n">
        <v>1.3393</v>
      </c>
      <c r="AD367" s="24" t="inlineStr">
        <is>
          <t>2026-09-20T04:31:43.859490Z</t>
        </is>
      </c>
      <c r="AE367" s="31" t="inlineStr">
        <is>
          <t>Projected total 52.9 pts (Weather adj: +0.0 pts). Total line 70.5 -&gt; P(Over)=0.230, P(Under)=0.770, P(Push)=0.000.</t>
        </is>
      </c>
      <c r="AF367" s="31" t="inlineStr">
        <is>
          <t>College football model; multi-market (moneyline, spread, total).</t>
        </is>
      </c>
      <c r="AG367" s="24" t="inlineStr">
        <is>
          <t>not_applicable</t>
        </is>
      </c>
      <c r="AH367" s="24" t="n"/>
      <c r="AI367" s="31" t="n"/>
      <c r="AJ367" s="31" t="n"/>
      <c r="AK367" s="24" t="inlineStr">
        <is>
          <t>model_qualified</t>
        </is>
      </c>
      <c r="AL367" s="26" t="n">
        <v>4</v>
      </c>
      <c r="AM367" s="24" t="inlineStr">
        <is>
          <t>QUALIFIED_SHADOW_CALL</t>
        </is>
      </c>
      <c r="AN367" s="24" t="inlineStr">
        <is>
          <t>CALL</t>
        </is>
      </c>
      <c r="AO367" s="24" t="inlineStr">
        <is>
          <t>QUALIFIED</t>
        </is>
      </c>
      <c r="AP367" s="24" t="inlineStr">
        <is>
          <t>Murray State Racers</t>
        </is>
      </c>
      <c r="AQ367" s="24" t="inlineStr">
        <is>
          <t>Murray State Racers</t>
        </is>
      </c>
      <c r="AR367" s="24" t="inlineStr">
        <is>
          <t>Murray State Racers</t>
        </is>
      </c>
      <c r="AS367" s="24" t="inlineStr">
        <is>
          <t>Oklahoma State Cowboys</t>
        </is>
      </c>
      <c r="AT367" s="24" t="inlineStr">
        <is>
          <t>Oklahoma State Cowboys</t>
        </is>
      </c>
      <c r="AU367" s="24" t="inlineStr">
        <is>
          <t>Oklahoma State Cowboys</t>
        </is>
      </c>
      <c r="AV367" s="24" t="n"/>
      <c r="AW367" s="24" t="n"/>
      <c r="AX367" s="24" t="inlineStr">
        <is>
          <t>statistical_model</t>
        </is>
      </c>
      <c r="AY367" s="24" t="n"/>
      <c r="AZ367" s="24" t="inlineStr">
        <is>
          <t>shadow_qualified</t>
        </is>
      </c>
      <c r="BA367" s="24" t="inlineStr">
        <is>
          <t>1d168f11d221cd3c</t>
        </is>
      </c>
      <c r="BB367" s="24" t="inlineStr">
        <is>
          <t>cfb_key_number_engine</t>
        </is>
      </c>
      <c r="BC367" s="24" t="inlineStr">
        <is>
          <t>cfb-total-v1</t>
        </is>
      </c>
      <c r="BD367" s="24" t="inlineStr">
        <is>
          <t>1d168f11d221cd3c</t>
        </is>
      </c>
      <c r="BE367" s="24" t="inlineStr">
        <is>
          <t>cfb-v1</t>
        </is>
      </c>
      <c r="BF367" s="24" t="inlineStr">
        <is>
          <t>1</t>
        </is>
      </c>
      <c r="BG367" s="24" t="inlineStr">
        <is>
          <t>1d168f11d221cd3c</t>
        </is>
      </c>
      <c r="BH367" s="24" t="inlineStr">
        <is>
          <t>2026-09-19T22:46:25.988423+00:00</t>
        </is>
      </c>
      <c r="BI367" s="24" t="inlineStr">
        <is>
          <t>["same_event","same_team_same_day","same_league_same_day"]</t>
        </is>
      </c>
      <c r="BJ367" s="25" t="n">
        <v>70.5</v>
      </c>
      <c r="BK367" s="26" t="n">
        <v>-112</v>
      </c>
      <c r="BL367" s="27" t="n">
        <v>1.892857</v>
      </c>
      <c r="BM367" s="28" t="n">
        <v>0.528302</v>
      </c>
      <c r="BN367" s="28" t="n"/>
      <c r="BO367" s="28" t="n"/>
      <c r="BP367" s="25" t="n"/>
      <c r="BQ367" s="27" t="n"/>
      <c r="BR367" s="28" t="n"/>
      <c r="BS367" s="28" t="n"/>
      <c r="BT367" s="28" t="n"/>
      <c r="BU367" s="25" t="n"/>
      <c r="BV367" s="29" t="n"/>
      <c r="BW367" s="24" t="n"/>
      <c r="BX367" s="30" t="n"/>
      <c r="BY367" s="27" t="n"/>
      <c r="BZ367" s="24" t="n"/>
      <c r="CA367" s="31" t="n"/>
      <c r="CB367" s="24" t="n"/>
      <c r="CC367" s="24" t="n"/>
      <c r="CD367" s="24" t="n"/>
      <c r="CE367" s="24" t="n"/>
      <c r="CF367" s="24" t="n"/>
      <c r="CG367" s="24" t="n"/>
      <c r="CH367" s="24" t="n"/>
      <c r="CI367" s="24" t="n"/>
      <c r="CJ367" s="24" t="n"/>
      <c r="CK367" s="24" t="n"/>
      <c r="CL367" s="24" t="n"/>
      <c r="CM367" s="24" t="n"/>
      <c r="CN367" s="24" t="n"/>
      <c r="CO367" s="24" t="n"/>
      <c r="CP367" s="24" t="n"/>
      <c r="CQ367" s="24" t="n"/>
      <c r="CR367" s="24" t="n"/>
      <c r="CS367" s="24" t="inlineStr">
        <is>
          <t>True</t>
        </is>
      </c>
      <c r="CT367" s="24" t="n"/>
      <c r="CU367" s="24" t="n"/>
      <c r="CV367" s="24" t="n"/>
      <c r="CW367" s="24" t="n"/>
      <c r="CX367" s="24" t="n"/>
      <c r="CY367" s="24" t="n"/>
      <c r="CZ367" s="24" t="n"/>
      <c r="DA367" s="24" t="n"/>
      <c r="DB367" s="24" t="n"/>
      <c r="DC367" s="24" t="n"/>
      <c r="DD367" s="24" t="n"/>
      <c r="DE367" s="24" t="n"/>
      <c r="DF367" s="24" t="n"/>
      <c r="DG367" s="24" t="n"/>
      <c r="DH367" s="24" t="n"/>
      <c r="DI367" s="24" t="n"/>
      <c r="DJ367" s="24" t="inlineStr">
        <is>
          <t>0.528302</t>
        </is>
      </c>
      <c r="DK367" s="24" t="n"/>
      <c r="DL367" s="24" t="n"/>
      <c r="DM367" s="24" t="n"/>
      <c r="DN367" s="24" t="n"/>
      <c r="DO367" s="24" t="n"/>
      <c r="DP367" s="24" t="n"/>
      <c r="DQ367" s="24" t="inlineStr">
        <is>
          <t>{"artifact_hash": "1d168f11d221cd3c", "event_id": "401856803", "event_start_utc": "2026-09-19T23:00Z", "features": {"altitude_fatigue_penalty": 0.0, "away_team": "Murray State Racers", "efficiency_gap": 0.828, "elo_away": 1337.5, "elo_home": 1059.2, "elo_home_win_prob": 0.2266, "event_id": "401856803", "game_start_utc": "2026-09-19T23:00Z", "home_field_advantage_points": 2.8, "home_team": "Oklahoma State Cowboys", "is_dome": false, "is_fbs_vs_fcs": false, "is_neutral_site": false, "projected_away_points": 30.8, "projected_home_points": 22.1, "projected_margin_home": -8.7,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30.8, "mu_home": 22.1,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36978222470498442729597358119384491044}, "uinteger": 0}, "spread_home_line": -56.5, "total_line": 70.5}, "market_type": "total", "model_version": "cfb-total-v1", "observed_at_utc": "2026-09-19T22:46:25.988423+00:00", "probabilities": {"over": 0.2304, "push": 0.0, "under": 0.7696}, "replay_scope": "Full precision score means, exact engine parameters and original RNG state; upstream feature construction not certified.", "schema": "cfb-joint-replay-v1", "snapshot_hash": "38114f4489cabc3146af1c4949d7696eb04fa5a661ed1b81397ec7f05930b2d8", "sport": "NCAAF"}</t>
        </is>
      </c>
    </row>
    <row r="368" ht="36" customHeight="1">
      <c r="A368" s="24" t="inlineStr">
        <is>
          <t>d135e2a91218406a</t>
        </is>
      </c>
      <c r="B368" s="24" t="inlineStr">
        <is>
          <t>2026-09-19T22:46:25.988423Z</t>
        </is>
      </c>
      <c r="C368" s="24" t="inlineStr">
        <is>
          <t>2026-09-19T23:00Z</t>
        </is>
      </c>
      <c r="D368" s="24" t="inlineStr">
        <is>
          <t>401861963</t>
        </is>
      </c>
      <c r="E368" s="24" t="inlineStr">
        <is>
          <t>NCAAF</t>
        </is>
      </c>
      <c r="F368" s="24" t="inlineStr">
        <is>
          <t>UConn Huskies</t>
        </is>
      </c>
      <c r="G368" s="24" t="inlineStr">
        <is>
          <t>Southern Miss Golden Eagles</t>
        </is>
      </c>
      <c r="H368" s="24" t="inlineStr">
        <is>
          <t>moneyline</t>
        </is>
      </c>
      <c r="I368" s="24" t="inlineStr">
        <is>
          <t>away</t>
        </is>
      </c>
      <c r="J368" s="25" t="n"/>
      <c r="K368" s="24" t="inlineStr">
        <is>
          <t>espn_consensus</t>
        </is>
      </c>
      <c r="L368" s="26" t="n">
        <v>-162</v>
      </c>
      <c r="M368" s="27" t="n">
        <v>1.617284</v>
      </c>
      <c r="N368" s="28" t="n">
        <v>0.618321</v>
      </c>
      <c r="O368" s="28" t="n">
        <v>0.6466190000000001</v>
      </c>
      <c r="P368" s="28" t="n">
        <v>0.18</v>
      </c>
      <c r="Q368" s="28" t="n">
        <v>0.028298</v>
      </c>
      <c r="R368" s="26" t="n">
        <v>0</v>
      </c>
      <c r="S368" s="29" t="n">
        <v>1</v>
      </c>
      <c r="T368" s="24" t="inlineStr">
        <is>
          <t>college-football-v1</t>
        </is>
      </c>
      <c r="U368" s="24" t="inlineStr">
        <is>
          <t>settled</t>
        </is>
      </c>
      <c r="V368" s="24" t="inlineStr">
        <is>
          <t>win</t>
        </is>
      </c>
      <c r="W368" s="26" t="n">
        <v>48</v>
      </c>
      <c r="X368" s="26" t="n">
        <v>20</v>
      </c>
      <c r="Y368" s="25" t="n"/>
      <c r="Z368" s="26" t="n"/>
      <c r="AA368" s="28" t="n"/>
      <c r="AB368" s="28" t="n"/>
      <c r="AC368" s="30" t="n">
        <v>0.6173</v>
      </c>
      <c r="AD368" s="24" t="inlineStr">
        <is>
          <t>2026-09-20T04:31:44.415660Z</t>
        </is>
      </c>
      <c r="AE368" s="31" t="inlineStr">
        <is>
          <t>CFB Joint Model (negative_binomial): proj score UConn Huskies 30.5 @ Southern Miss Golden Eagles 23.3 (Margin -7.2). Possessions: 12.4, HFA: +2.8 pts.</t>
        </is>
      </c>
      <c r="AF368" s="31" t="inlineStr">
        <is>
          <t>College football model; multi-market (moneyline, spread, total).</t>
        </is>
      </c>
      <c r="AG368" s="24" t="inlineStr">
        <is>
          <t>not_applicable</t>
        </is>
      </c>
      <c r="AH368" s="24" t="n"/>
      <c r="AI368" s="31" t="n"/>
      <c r="AJ368" s="31" t="n"/>
      <c r="AK368" s="24" t="inlineStr">
        <is>
          <t>paper_call</t>
        </is>
      </c>
      <c r="AL368" s="26" t="n">
        <v>4</v>
      </c>
      <c r="AM368" s="24" t="inlineStr">
        <is>
          <t>RESEARCH_OBSERVATION</t>
        </is>
      </c>
      <c r="AN368" s="24" t="inlineStr">
        <is>
          <t>CALL</t>
        </is>
      </c>
      <c r="AO368" s="24" t="inlineStr">
        <is>
          <t>PAPER_CALL_LOW_EDGE</t>
        </is>
      </c>
      <c r="AP368" s="24" t="inlineStr">
        <is>
          <t>UConn Huskies</t>
        </is>
      </c>
      <c r="AQ368" s="24" t="inlineStr">
        <is>
          <t>UConn Huskies</t>
        </is>
      </c>
      <c r="AR368" s="24" t="inlineStr">
        <is>
          <t>UConn Huskies</t>
        </is>
      </c>
      <c r="AS368" s="24" t="inlineStr">
        <is>
          <t>Southern Miss Golden Eagles</t>
        </is>
      </c>
      <c r="AT368" s="24" t="inlineStr">
        <is>
          <t>Southern Miss Golden Eagles</t>
        </is>
      </c>
      <c r="AU368" s="24" t="inlineStr">
        <is>
          <t>Southern Miss Golden Eagles</t>
        </is>
      </c>
      <c r="AV368" s="24" t="n"/>
      <c r="AW368" s="24" t="n"/>
      <c r="AX368" s="24" t="inlineStr">
        <is>
          <t>statistical_model</t>
        </is>
      </c>
      <c r="AY368" s="24" t="n"/>
      <c r="AZ368" s="24" t="inlineStr">
        <is>
          <t>shadow_qualified</t>
        </is>
      </c>
      <c r="BA368" s="24" t="inlineStr">
        <is>
          <t>1d168f11d221cd3c</t>
        </is>
      </c>
      <c r="BB368" s="24" t="inlineStr">
        <is>
          <t>cfb_key_number_engine</t>
        </is>
      </c>
      <c r="BC368" s="24" t="inlineStr">
        <is>
          <t>college-football-v1</t>
        </is>
      </c>
      <c r="BD368" s="24" t="inlineStr">
        <is>
          <t>1d168f11d221cd3c</t>
        </is>
      </c>
      <c r="BE368" s="24" t="inlineStr">
        <is>
          <t>cfb-v1</t>
        </is>
      </c>
      <c r="BF368" s="24" t="inlineStr">
        <is>
          <t>1</t>
        </is>
      </c>
      <c r="BG368" s="24" t="inlineStr">
        <is>
          <t>1d168f11d221cd3c</t>
        </is>
      </c>
      <c r="BH368" s="24" t="inlineStr">
        <is>
          <t>2026-09-19T22:46:25.988423+00:00</t>
        </is>
      </c>
      <c r="BI368" s="24" t="inlineStr">
        <is>
          <t>["same_event","same_team_same_day","same_league_same_day"]</t>
        </is>
      </c>
      <c r="BJ368" s="25" t="n"/>
      <c r="BK368" s="26" t="n">
        <v>-162</v>
      </c>
      <c r="BL368" s="27" t="n">
        <v>1.617284</v>
      </c>
      <c r="BM368" s="28" t="n">
        <v>0.618321</v>
      </c>
      <c r="BN368" s="28" t="n"/>
      <c r="BO368" s="28" t="n"/>
      <c r="BP368" s="25" t="n"/>
      <c r="BQ368" s="27" t="n"/>
      <c r="BR368" s="28" t="n"/>
      <c r="BS368" s="28" t="n"/>
      <c r="BT368" s="28" t="n"/>
      <c r="BU368" s="25" t="n"/>
      <c r="BV368" s="29" t="n"/>
      <c r="BW368" s="24" t="n"/>
      <c r="BX368" s="30" t="n">
        <v>1</v>
      </c>
      <c r="BY368" s="27" t="n">
        <v>0.6172840000000001</v>
      </c>
      <c r="BZ368" s="24" t="inlineStr">
        <is>
          <t>2026-09-20T04:31:44.415660Z</t>
        </is>
      </c>
      <c r="CA368" s="31" t="inlineStr">
        <is>
          <t>fixed one-unit hypothetical scoring; no real exposure or execution</t>
        </is>
      </c>
      <c r="CB368" s="24" t="n"/>
      <c r="CC368" s="24" t="n"/>
      <c r="CD368" s="24" t="n"/>
      <c r="CE368" s="24" t="n"/>
      <c r="CF368" s="24" t="n"/>
      <c r="CG368" s="24" t="n"/>
      <c r="CH368" s="24" t="n"/>
      <c r="CI368" s="24" t="n"/>
      <c r="CJ368" s="24" t="n"/>
      <c r="CK368" s="24" t="n"/>
      <c r="CL368" s="24" t="n"/>
      <c r="CM368" s="24" t="n"/>
      <c r="CN368" s="24" t="n"/>
      <c r="CO368" s="24" t="n"/>
      <c r="CP368" s="24" t="n"/>
      <c r="CQ368" s="24" t="n"/>
      <c r="CR368" s="24" t="n"/>
      <c r="CS368" s="24" t="inlineStr">
        <is>
          <t>True</t>
        </is>
      </c>
      <c r="CT368" s="24" t="n"/>
      <c r="CU368" s="24" t="n"/>
      <c r="CV368" s="24" t="n"/>
      <c r="CW368" s="24" t="n"/>
      <c r="CX368" s="24" t="n"/>
      <c r="CY368" s="24" t="n"/>
      <c r="CZ368" s="24" t="n"/>
      <c r="DA368" s="24" t="n"/>
      <c r="DB368" s="24" t="n"/>
      <c r="DC368" s="24" t="n"/>
      <c r="DD368" s="24" t="n"/>
      <c r="DE368" s="24" t="n"/>
      <c r="DF368" s="24" t="n"/>
      <c r="DG368" s="24" t="n"/>
      <c r="DH368" s="24" t="n"/>
      <c r="DI368" s="24" t="n"/>
      <c r="DJ368" s="24" t="inlineStr">
        <is>
          <t>0.618321</t>
        </is>
      </c>
      <c r="DK368" s="24" t="n"/>
      <c r="DL368" s="24" t="n"/>
      <c r="DM368" s="24" t="n"/>
      <c r="DN368" s="24" t="n"/>
      <c r="DO368" s="24" t="n"/>
      <c r="DP368" s="24" t="n"/>
      <c r="DQ368" s="24" t="inlineStr">
        <is>
          <t>{"artifact_hash": "1d168f11d221cd3c", "event_id": "401861963", "event_start_utc": "2026-09-19T23:00Z", "features": {"altitude_fatigue_penalty": 0.0, "away_team": "UConn Huskies", "efficiency_gap": -0.661, "elo_away": 1622.7, "elo_home": 1381.5, "elo_home_win_prob": 0.2662, "event_id": "401861963", "game_start_utc": "2026-09-19T23:00Z", "home_field_advantage_points": 2.8, "home_team": "Southern Miss Golden Eagles", "is_dome": false, "is_fbs_vs_fcs": false, "is_neutral_site": false, "projected_away_points": 30.5, "projected_home_points": 23.3, "projected_margin_home": -7.2, "projected_possessions": 12.4, "projected_total": 53.8, "stadium_elevation_ft": 220, "travel_distance_miles": 1171.0, "uncertainty": 0.18, "weather_total_adjustment": 0.0}, "historical_source_observation_times_verified": false, "inference_inputs": {"engine_source_sha256": "449ba2f0e86fa9c445730076a0e0bf100fb4914620be53c75c6f3bfe24298f3f", "mu_away": 30.5, "mu_home": 23.3,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147077284939031023898773552816255447991}, "uinteger": 0}, "spread_home_line": 3.5, "total_line": 54.5}, "market_type": "moneyline", "model_version": "college-football-v1", "observed_at_utc": "2026-09-19T22:46:25.988423+00:00", "probabilities": {"away": 0.646619, "home": 0.353381}, "replay_scope": "Full precision score means, exact engine parameters and original RNG state; upstream feature construction not certified.", "schema": "cfb-joint-replay-v1", "snapshot_hash": "01e879f63e9405d7c87275244a78e4eee2b9aac81cd6f5cd8cb7ec5e0b1ad846", "sport": "NCAAF"}</t>
        </is>
      </c>
    </row>
    <row r="369" ht="36" customHeight="1">
      <c r="A369" s="24" t="inlineStr">
        <is>
          <t>52b8c11b62dc4589</t>
        </is>
      </c>
      <c r="B369" s="24" t="inlineStr">
        <is>
          <t>2026-09-19T22:46:25.988423Z</t>
        </is>
      </c>
      <c r="C369" s="24" t="inlineStr">
        <is>
          <t>2026-09-19T23:00Z</t>
        </is>
      </c>
      <c r="D369" s="24" t="inlineStr">
        <is>
          <t>401861963</t>
        </is>
      </c>
      <c r="E369" s="24" t="inlineStr">
        <is>
          <t>NCAAF</t>
        </is>
      </c>
      <c r="F369" s="24" t="inlineStr">
        <is>
          <t>UConn Huskies</t>
        </is>
      </c>
      <c r="G369" s="24" t="inlineStr">
        <is>
          <t>Southern Miss Golden Eagles</t>
        </is>
      </c>
      <c r="H369" s="24" t="inlineStr">
        <is>
          <t>spread</t>
        </is>
      </c>
      <c r="I369" s="24" t="inlineStr">
        <is>
          <t>away</t>
        </is>
      </c>
      <c r="J369" s="25" t="n">
        <v>-3.5</v>
      </c>
      <c r="K369" s="24" t="inlineStr">
        <is>
          <t>espn_consensus</t>
        </is>
      </c>
      <c r="L369" s="26" t="n">
        <v>-102</v>
      </c>
      <c r="M369" s="27" t="n">
        <v>1.980392</v>
      </c>
      <c r="N369" s="28" t="n">
        <v>0.50495</v>
      </c>
      <c r="O369" s="28" t="n">
        <v>0.577867</v>
      </c>
      <c r="P369" s="28" t="n">
        <v>0.18</v>
      </c>
      <c r="Q369" s="28" t="n">
        <v>0.072917</v>
      </c>
      <c r="R369" s="26" t="n">
        <v>0</v>
      </c>
      <c r="S369" s="29" t="n">
        <v>1</v>
      </c>
      <c r="T369" s="24" t="inlineStr">
        <is>
          <t>cfb-spread-v1</t>
        </is>
      </c>
      <c r="U369" s="24" t="inlineStr">
        <is>
          <t>settled</t>
        </is>
      </c>
      <c r="V369" s="24" t="inlineStr">
        <is>
          <t>win</t>
        </is>
      </c>
      <c r="W369" s="26" t="n">
        <v>48</v>
      </c>
      <c r="X369" s="26" t="n">
        <v>20</v>
      </c>
      <c r="Y369" s="25" t="n"/>
      <c r="Z369" s="26" t="n"/>
      <c r="AA369" s="28" t="n"/>
      <c r="AB369" s="28" t="n"/>
      <c r="AC369" s="30" t="n">
        <v>0.9804</v>
      </c>
      <c r="AD369" s="24" t="inlineStr">
        <is>
          <t>2026-09-20T04:31:44.848833Z</t>
        </is>
      </c>
      <c r="AE369" s="31" t="inlineStr">
        <is>
          <t>Projected home margin -7.2 pts. Spread: Home +3.5 / Away -3.5 -&gt; P(Away cover)=0.578, P(Home cover)=0.422, P(Push)=0.000.</t>
        </is>
      </c>
      <c r="AF369" s="31" t="inlineStr">
        <is>
          <t>College football model; multi-market (moneyline, spread, total).</t>
        </is>
      </c>
      <c r="AG369" s="24" t="inlineStr">
        <is>
          <t>not_applicable</t>
        </is>
      </c>
      <c r="AH369" s="24" t="n"/>
      <c r="AI369" s="31" t="n"/>
      <c r="AJ369" s="31" t="n"/>
      <c r="AK369" s="24" t="inlineStr">
        <is>
          <t>model_qualified</t>
        </is>
      </c>
      <c r="AL369" s="26" t="n">
        <v>4</v>
      </c>
      <c r="AM369" s="24" t="inlineStr">
        <is>
          <t>QUALIFIED_SHADOW_CALL</t>
        </is>
      </c>
      <c r="AN369" s="24" t="inlineStr">
        <is>
          <t>CALL</t>
        </is>
      </c>
      <c r="AO369" s="24" t="inlineStr">
        <is>
          <t>QUALIFIED</t>
        </is>
      </c>
      <c r="AP369" s="24" t="inlineStr">
        <is>
          <t>UConn Huskies</t>
        </is>
      </c>
      <c r="AQ369" s="24" t="inlineStr">
        <is>
          <t>UConn Huskies</t>
        </is>
      </c>
      <c r="AR369" s="24" t="inlineStr">
        <is>
          <t>UConn Huskies</t>
        </is>
      </c>
      <c r="AS369" s="24" t="inlineStr">
        <is>
          <t>Southern Miss Golden Eagles</t>
        </is>
      </c>
      <c r="AT369" s="24" t="inlineStr">
        <is>
          <t>Southern Miss Golden Eagles</t>
        </is>
      </c>
      <c r="AU369" s="24" t="inlineStr">
        <is>
          <t>Southern Miss Golden Eagles</t>
        </is>
      </c>
      <c r="AV369" s="24" t="n"/>
      <c r="AW369" s="24" t="n"/>
      <c r="AX369" s="24" t="inlineStr">
        <is>
          <t>statistical_model</t>
        </is>
      </c>
      <c r="AY369" s="24" t="n"/>
      <c r="AZ369" s="24" t="inlineStr">
        <is>
          <t>shadow_qualified</t>
        </is>
      </c>
      <c r="BA369" s="24" t="inlineStr">
        <is>
          <t>1d168f11d221cd3c</t>
        </is>
      </c>
      <c r="BB369" s="24" t="inlineStr">
        <is>
          <t>cfb_key_number_engine</t>
        </is>
      </c>
      <c r="BC369" s="24" t="inlineStr">
        <is>
          <t>cfb-spread-v1</t>
        </is>
      </c>
      <c r="BD369" s="24" t="inlineStr">
        <is>
          <t>1d168f11d221cd3c</t>
        </is>
      </c>
      <c r="BE369" s="24" t="inlineStr">
        <is>
          <t>cfb-v1</t>
        </is>
      </c>
      <c r="BF369" s="24" t="inlineStr">
        <is>
          <t>1</t>
        </is>
      </c>
      <c r="BG369" s="24" t="inlineStr">
        <is>
          <t>1d168f11d221cd3c</t>
        </is>
      </c>
      <c r="BH369" s="24" t="inlineStr">
        <is>
          <t>2026-09-19T22:46:25.988423+00:00</t>
        </is>
      </c>
      <c r="BI369" s="24" t="inlineStr">
        <is>
          <t>["same_event","same_team_same_day","same_league_same_day"]</t>
        </is>
      </c>
      <c r="BJ369" s="25" t="n">
        <v>-3.5</v>
      </c>
      <c r="BK369" s="26" t="n">
        <v>-102</v>
      </c>
      <c r="BL369" s="27" t="n">
        <v>1.980392</v>
      </c>
      <c r="BM369" s="28" t="n">
        <v>0.50495</v>
      </c>
      <c r="BN369" s="28" t="n"/>
      <c r="BO369" s="28" t="n"/>
      <c r="BP369" s="25" t="n"/>
      <c r="BQ369" s="27" t="n"/>
      <c r="BR369" s="28" t="n"/>
      <c r="BS369" s="28" t="n"/>
      <c r="BT369" s="28" t="n"/>
      <c r="BU369" s="25" t="n"/>
      <c r="BV369" s="29" t="n"/>
      <c r="BW369" s="24" t="n"/>
      <c r="BX369" s="30" t="n"/>
      <c r="BY369" s="27" t="n"/>
      <c r="BZ369" s="24" t="n"/>
      <c r="CA369" s="31" t="n"/>
      <c r="CB369" s="24" t="n"/>
      <c r="CC369" s="24" t="n"/>
      <c r="CD369" s="24" t="n"/>
      <c r="CE369" s="24" t="n"/>
      <c r="CF369" s="24" t="n"/>
      <c r="CG369" s="24" t="n"/>
      <c r="CH369" s="24" t="n"/>
      <c r="CI369" s="24" t="n"/>
      <c r="CJ369" s="24" t="n"/>
      <c r="CK369" s="24" t="n"/>
      <c r="CL369" s="24" t="n"/>
      <c r="CM369" s="24" t="n"/>
      <c r="CN369" s="24" t="n"/>
      <c r="CO369" s="24" t="n"/>
      <c r="CP369" s="24" t="n"/>
      <c r="CQ369" s="24" t="n"/>
      <c r="CR369" s="24" t="n"/>
      <c r="CS369" s="24" t="inlineStr">
        <is>
          <t>True</t>
        </is>
      </c>
      <c r="CT369" s="24" t="n"/>
      <c r="CU369" s="24" t="n"/>
      <c r="CV369" s="24" t="n"/>
      <c r="CW369" s="24" t="n"/>
      <c r="CX369" s="24" t="n"/>
      <c r="CY369" s="24" t="n"/>
      <c r="CZ369" s="24" t="n"/>
      <c r="DA369" s="24" t="n"/>
      <c r="DB369" s="24" t="n"/>
      <c r="DC369" s="24" t="n"/>
      <c r="DD369" s="24" t="n"/>
      <c r="DE369" s="24" t="n"/>
      <c r="DF369" s="24" t="n"/>
      <c r="DG369" s="24" t="n"/>
      <c r="DH369" s="24" t="n"/>
      <c r="DI369" s="24" t="n"/>
      <c r="DJ369" s="24" t="inlineStr">
        <is>
          <t>0.50495</t>
        </is>
      </c>
      <c r="DK369" s="24" t="n"/>
      <c r="DL369" s="24" t="n"/>
      <c r="DM369" s="24" t="n"/>
      <c r="DN369" s="24" t="n"/>
      <c r="DO369" s="24" t="n"/>
      <c r="DP369" s="24" t="n"/>
      <c r="DQ369" s="24" t="inlineStr">
        <is>
          <t>{"artifact_hash": "1d168f11d221cd3c", "event_id": "401861963", "event_start_utc": "2026-09-19T23:00Z", "features": {"altitude_fatigue_penalty": 0.0, "away_team": "UConn Huskies", "efficiency_gap": -0.661, "elo_away": 1622.7, "elo_home": 1381.5, "elo_home_win_prob": 0.2662, "event_id": "401861963", "game_start_utc": "2026-09-19T23:00Z", "home_field_advantage_points": 2.8, "home_team": "Southern Miss Golden Eagles", "is_dome": false, "is_fbs_vs_fcs": false, "is_neutral_site": false, "projected_away_points": 30.5, "projected_home_points": 23.3, "projected_margin_home": -7.2, "projected_possessions": 12.4, "projected_total": 53.8, "stadium_elevation_ft": 220, "travel_distance_miles": 1171.0, "uncertainty": 0.18, "weather_total_adjustment": 0.0}, "historical_source_observation_times_verified": false, "inference_inputs": {"engine_source_sha256": "449ba2f0e86fa9c445730076a0e0bf100fb4914620be53c75c6f3bfe24298f3f", "mu_away": 30.5, "mu_home": 23.3,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147077284939031023898773552816255447991}, "uinteger": 0}, "spread_home_line": 3.5, "total_line": 54.5}, "market_type": "spread", "model_version": "cfb-spread-v1", "observed_at_utc": "2026-09-19T22:46:25.988423+00:00", "probabilities": {"away": 0.577867, "home": 0.422133, "push": 0.0}, "replay_scope": "Full precision score means, exact engine parameters and original RNG state; upstream feature construction not certified.", "schema": "cfb-joint-replay-v1", "snapshot_hash": "bab288799946fc301a59fb6905f035b4b9c76e675454501d4e20083eb01c1dbe", "sport": "NCAAF"}</t>
        </is>
      </c>
    </row>
    <row r="370" ht="36" customHeight="1">
      <c r="A370" s="24" t="inlineStr">
        <is>
          <t>2337acd825d445a6</t>
        </is>
      </c>
      <c r="B370" s="24" t="inlineStr">
        <is>
          <t>2026-09-19T22:46:25.988423Z</t>
        </is>
      </c>
      <c r="C370" s="24" t="inlineStr">
        <is>
          <t>2026-09-19T23:00Z</t>
        </is>
      </c>
      <c r="D370" s="24" t="inlineStr">
        <is>
          <t>401861963</t>
        </is>
      </c>
      <c r="E370" s="24" t="inlineStr">
        <is>
          <t>NCAAF</t>
        </is>
      </c>
      <c r="F370" s="24" t="inlineStr">
        <is>
          <t>UConn Huskies</t>
        </is>
      </c>
      <c r="G370" s="24" t="inlineStr">
        <is>
          <t>Southern Miss Golden Eagles</t>
        </is>
      </c>
      <c r="H370" s="24" t="inlineStr">
        <is>
          <t>total</t>
        </is>
      </c>
      <c r="I370" s="24" t="inlineStr">
        <is>
          <t>under</t>
        </is>
      </c>
      <c r="J370" s="25" t="n">
        <v>54.5</v>
      </c>
      <c r="K370" s="24" t="inlineStr">
        <is>
          <t>espn_consensus</t>
        </is>
      </c>
      <c r="L370" s="26" t="n">
        <v>-108</v>
      </c>
      <c r="M370" s="27" t="n">
        <v>1.925926</v>
      </c>
      <c r="N370" s="28" t="n">
        <v>0.519231</v>
      </c>
      <c r="O370" s="28" t="n">
        <v>0.545</v>
      </c>
      <c r="P370" s="28" t="n">
        <v>0.18</v>
      </c>
      <c r="Q370" s="28" t="n">
        <v>0.025769</v>
      </c>
      <c r="R370" s="26" t="n">
        <v>0</v>
      </c>
      <c r="S370" s="29" t="n">
        <v>1</v>
      </c>
      <c r="T370" s="24" t="inlineStr">
        <is>
          <t>cfb-total-v1</t>
        </is>
      </c>
      <c r="U370" s="24" t="inlineStr">
        <is>
          <t>settled</t>
        </is>
      </c>
      <c r="V370" s="24" t="inlineStr">
        <is>
          <t>loss</t>
        </is>
      </c>
      <c r="W370" s="26" t="n">
        <v>48</v>
      </c>
      <c r="X370" s="26" t="n">
        <v>20</v>
      </c>
      <c r="Y370" s="25" t="n"/>
      <c r="Z370" s="26" t="n"/>
      <c r="AA370" s="28" t="n"/>
      <c r="AB370" s="28" t="n"/>
      <c r="AC370" s="30" t="n">
        <v>-1</v>
      </c>
      <c r="AD370" s="24" t="inlineStr">
        <is>
          <t>2026-09-20T04:31:45.348554Z</t>
        </is>
      </c>
      <c r="AE370" s="31" t="inlineStr">
        <is>
          <t>Projected total 53.8 pts (Weather adj: +0.0 pts). Total line 54.5 -&gt; P(Over)=0.455, P(Under)=0.545, P(Push)=0.000.</t>
        </is>
      </c>
      <c r="AF370" s="31" t="inlineStr">
        <is>
          <t>College football model; multi-market (moneyline, spread, total).</t>
        </is>
      </c>
      <c r="AG370" s="24" t="inlineStr">
        <is>
          <t>review_required</t>
        </is>
      </c>
      <c r="AH370" s="24" t="n"/>
      <c r="AI370" s="31" t="n"/>
      <c r="AJ370" s="31" t="n"/>
      <c r="AK370" s="24" t="inlineStr">
        <is>
          <t>paper_call</t>
        </is>
      </c>
      <c r="AL370" s="26" t="n">
        <v>4</v>
      </c>
      <c r="AM370" s="24" t="inlineStr">
        <is>
          <t>RESEARCH_OBSERVATION</t>
        </is>
      </c>
      <c r="AN370" s="24" t="inlineStr">
        <is>
          <t>CALL</t>
        </is>
      </c>
      <c r="AO370" s="24" t="inlineStr">
        <is>
          <t>PAPER_CALL_LOW_EDGE</t>
        </is>
      </c>
      <c r="AP370" s="24" t="inlineStr">
        <is>
          <t>UConn Huskies</t>
        </is>
      </c>
      <c r="AQ370" s="24" t="inlineStr">
        <is>
          <t>UConn Huskies</t>
        </is>
      </c>
      <c r="AR370" s="24" t="inlineStr">
        <is>
          <t>UConn Huskies</t>
        </is>
      </c>
      <c r="AS370" s="24" t="inlineStr">
        <is>
          <t>Southern Miss Golden Eagles</t>
        </is>
      </c>
      <c r="AT370" s="24" t="inlineStr">
        <is>
          <t>Southern Miss Golden Eagles</t>
        </is>
      </c>
      <c r="AU370" s="24" t="inlineStr">
        <is>
          <t>Southern Miss Golden Eagles</t>
        </is>
      </c>
      <c r="AV370" s="24" t="n"/>
      <c r="AW370" s="24" t="n"/>
      <c r="AX370" s="24" t="inlineStr">
        <is>
          <t>statistical_model</t>
        </is>
      </c>
      <c r="AY370" s="24" t="n"/>
      <c r="AZ370" s="24" t="inlineStr">
        <is>
          <t>shadow_qualified</t>
        </is>
      </c>
      <c r="BA370" s="24" t="inlineStr">
        <is>
          <t>1d168f11d221cd3c</t>
        </is>
      </c>
      <c r="BB370" s="24" t="inlineStr">
        <is>
          <t>cfb_key_number_engine</t>
        </is>
      </c>
      <c r="BC370" s="24" t="inlineStr">
        <is>
          <t>cfb-total-v1</t>
        </is>
      </c>
      <c r="BD370" s="24" t="inlineStr">
        <is>
          <t>1d168f11d221cd3c</t>
        </is>
      </c>
      <c r="BE370" s="24" t="inlineStr">
        <is>
          <t>cfb-v1</t>
        </is>
      </c>
      <c r="BF370" s="24" t="inlineStr">
        <is>
          <t>1</t>
        </is>
      </c>
      <c r="BG370" s="24" t="inlineStr">
        <is>
          <t>1d168f11d221cd3c</t>
        </is>
      </c>
      <c r="BH370" s="24" t="inlineStr">
        <is>
          <t>2026-09-19T22:46:25.988423+00:00</t>
        </is>
      </c>
      <c r="BI370" s="24" t="inlineStr">
        <is>
          <t>["same_event","same_team_same_day","same_league_same_day"]</t>
        </is>
      </c>
      <c r="BJ370" s="25" t="n">
        <v>54.5</v>
      </c>
      <c r="BK370" s="26" t="n">
        <v>-108</v>
      </c>
      <c r="BL370" s="27" t="n">
        <v>1.925926</v>
      </c>
      <c r="BM370" s="28" t="n">
        <v>0.519231</v>
      </c>
      <c r="BN370" s="28" t="n"/>
      <c r="BO370" s="28" t="n"/>
      <c r="BP370" s="25" t="n"/>
      <c r="BQ370" s="27" t="n"/>
      <c r="BR370" s="28" t="n"/>
      <c r="BS370" s="28" t="n"/>
      <c r="BT370" s="28" t="n"/>
      <c r="BU370" s="25" t="n"/>
      <c r="BV370" s="29" t="n"/>
      <c r="BW370" s="24" t="n"/>
      <c r="BX370" s="30" t="n">
        <v>1</v>
      </c>
      <c r="BY370" s="27" t="n">
        <v>-1</v>
      </c>
      <c r="BZ370" s="24" t="inlineStr">
        <is>
          <t>2026-09-20T04:31:45.348554Z</t>
        </is>
      </c>
      <c r="CA370" s="31" t="inlineStr">
        <is>
          <t>fixed one-unit hypothetical scoring; no real exposure or execution</t>
        </is>
      </c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inlineStr">
        <is>
          <t>True</t>
        </is>
      </c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n"/>
      <c r="DE370" s="24" t="n"/>
      <c r="DF370" s="24" t="n"/>
      <c r="DG370" s="24" t="n"/>
      <c r="DH370" s="24" t="n"/>
      <c r="DI370" s="24" t="n"/>
      <c r="DJ370" s="24" t="inlineStr">
        <is>
          <t>0.519231</t>
        </is>
      </c>
      <c r="DK370" s="24" t="n"/>
      <c r="DL370" s="24" t="n"/>
      <c r="DM370" s="24" t="n"/>
      <c r="DN370" s="24" t="n"/>
      <c r="DO370" s="24" t="n"/>
      <c r="DP370" s="24" t="n"/>
      <c r="DQ370" s="24" t="inlineStr">
        <is>
          <t>{"artifact_hash": "1d168f11d221cd3c", "event_id": "401861963", "event_start_utc": "2026-09-19T23:00Z", "features": {"altitude_fatigue_penalty": 0.0, "away_team": "UConn Huskies", "efficiency_gap": -0.661, "elo_away": 1622.7, "elo_home": 1381.5, "elo_home_win_prob": 0.2662, "event_id": "401861963", "game_start_utc": "2026-09-19T23:00Z", "home_field_advantage_points": 2.8, "home_team": "Southern Miss Golden Eagles", "is_dome": false, "is_fbs_vs_fcs": false, "is_neutral_site": false, "projected_away_points": 30.5, "projected_home_points": 23.3, "projected_margin_home": -7.2, "projected_possessions": 12.4, "projected_total": 53.8, "stadium_elevation_ft": 220, "travel_distance_miles": 1171.0, "uncertainty": 0.18, "weather_total_adjustment": 0.0}, "historical_source_observation_times_verified": false, "inference_inputs": {"engine_source_sha256": "449ba2f0e86fa9c445730076a0e0bf100fb4914620be53c75c6f3bfe24298f3f", "mu_away": 30.5, "mu_home": 23.3,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147077284939031023898773552816255447991}, "uinteger": 0}, "spread_home_line": 3.5, "total_line": 54.5}, "market_type": "total", "model_version": "cfb-total-v1", "observed_at_utc": "2026-09-19T22:46:25.988423+00:00", "probabilities": {"over": 0.455, "push": 0.0, "under": 0.545}, "replay_scope": "Full precision score means, exact engine parameters and original RNG state; upstream feature construction not certified.", "schema": "cfb-joint-replay-v1", "snapshot_hash": "0af547b6751e8bd8e12427a251a407a383c3b6f047e26a01d41f5f02033b14b9", "sport": "NCAAF"}</t>
        </is>
      </c>
    </row>
    <row r="371" ht="36" customHeight="1">
      <c r="A371" s="24" t="inlineStr">
        <is>
          <t>a31e3b1f3bf64d30</t>
        </is>
      </c>
      <c r="B371" s="24" t="inlineStr">
        <is>
          <t>2026-09-19T22:46:25.988423Z</t>
        </is>
      </c>
      <c r="C371" s="24" t="inlineStr">
        <is>
          <t>2026-09-19T23:00Z</t>
        </is>
      </c>
      <c r="D371" s="24" t="inlineStr">
        <is>
          <t>401862772</t>
        </is>
      </c>
      <c r="E371" s="24" t="inlineStr">
        <is>
          <t>NCAAF</t>
        </is>
      </c>
      <c r="F371" s="24" t="inlineStr">
        <is>
          <t>UT Martin Skyhawks</t>
        </is>
      </c>
      <c r="G371" s="24" t="inlineStr">
        <is>
          <t>Memphis Tigers</t>
        </is>
      </c>
      <c r="H371" s="24" t="inlineStr">
        <is>
          <t>moneyline</t>
        </is>
      </c>
      <c r="I371" s="24" t="inlineStr">
        <is>
          <t>home</t>
        </is>
      </c>
      <c r="J371" s="25" t="n"/>
      <c r="K371" s="24" t="inlineStr">
        <is>
          <t>espn_consensus</t>
        </is>
      </c>
      <c r="L371" s="26" t="n">
        <v>-50000</v>
      </c>
      <c r="M371" s="27" t="n">
        <v>1.002</v>
      </c>
      <c r="N371" s="28" t="n">
        <v>0.998004</v>
      </c>
      <c r="O371" s="28" t="n">
        <v>0.759651</v>
      </c>
      <c r="P371" s="28" t="n">
        <v>0.18</v>
      </c>
      <c r="Q371" s="28" t="n">
        <v>-0.238353</v>
      </c>
      <c r="R371" s="26" t="n">
        <v>0</v>
      </c>
      <c r="S371" s="29" t="n">
        <v>1</v>
      </c>
      <c r="T371" s="24" t="inlineStr">
        <is>
          <t>college-football-v1</t>
        </is>
      </c>
      <c r="U371" s="24" t="inlineStr">
        <is>
          <t>settled</t>
        </is>
      </c>
      <c r="V371" s="24" t="inlineStr">
        <is>
          <t>win</t>
        </is>
      </c>
      <c r="W371" s="26" t="n">
        <v>21</v>
      </c>
      <c r="X371" s="26" t="n">
        <v>45</v>
      </c>
      <c r="Y371" s="25" t="n"/>
      <c r="Z371" s="26" t="n"/>
      <c r="AA371" s="28" t="n"/>
      <c r="AB371" s="28" t="n"/>
      <c r="AC371" s="30" t="n">
        <v>0.002</v>
      </c>
      <c r="AD371" s="24" t="inlineStr">
        <is>
          <t>2026-09-20T04:31:45.839944Z</t>
        </is>
      </c>
      <c r="AE371" s="31" t="inlineStr">
        <is>
          <t>CFB Joint Model (negative_binomial): proj score UT Martin Skyhawks 20.0 @ Memphis Tigers 33.5 (Margin +13.5). Possessions: 12.4, HFA: +2.8 pts.</t>
        </is>
      </c>
      <c r="AF371" s="31" t="inlineStr">
        <is>
          <t>College football model; multi-market (moneyline, spread, total).</t>
        </is>
      </c>
      <c r="AG371" s="24" t="inlineStr">
        <is>
          <t>not_applicable</t>
        </is>
      </c>
      <c r="AH371" s="24" t="n"/>
      <c r="AI371" s="31" t="n"/>
      <c r="AJ371" s="31" t="n"/>
      <c r="AK371" s="24" t="inlineStr">
        <is>
          <t>paper_call</t>
        </is>
      </c>
      <c r="AL371" s="26" t="n">
        <v>4</v>
      </c>
      <c r="AM371" s="24" t="inlineStr">
        <is>
          <t>RESEARCH_OBSERVATION</t>
        </is>
      </c>
      <c r="AN371" s="24" t="inlineStr">
        <is>
          <t>CALL</t>
        </is>
      </c>
      <c r="AO371" s="24" t="inlineStr">
        <is>
          <t>PAPER_CALL_LOW_EDGE</t>
        </is>
      </c>
      <c r="AP371" s="24" t="inlineStr">
        <is>
          <t>UT Martin Skyhawks</t>
        </is>
      </c>
      <c r="AQ371" s="24" t="inlineStr">
        <is>
          <t>UT Martin Skyhawks</t>
        </is>
      </c>
      <c r="AR371" s="24" t="inlineStr">
        <is>
          <t>UT Martin Skyhawks</t>
        </is>
      </c>
      <c r="AS371" s="24" t="inlineStr">
        <is>
          <t>Memphis Tigers</t>
        </is>
      </c>
      <c r="AT371" s="24" t="inlineStr">
        <is>
          <t>Memphis Tigers</t>
        </is>
      </c>
      <c r="AU371" s="24" t="inlineStr">
        <is>
          <t>Memphis Tigers</t>
        </is>
      </c>
      <c r="AV371" s="24" t="n"/>
      <c r="AW371" s="24" t="n"/>
      <c r="AX371" s="24" t="inlineStr">
        <is>
          <t>statistical_model</t>
        </is>
      </c>
      <c r="AY371" s="24" t="n"/>
      <c r="AZ371" s="24" t="inlineStr">
        <is>
          <t>shadow_qualified</t>
        </is>
      </c>
      <c r="BA371" s="24" t="inlineStr">
        <is>
          <t>1d168f11d221cd3c</t>
        </is>
      </c>
      <c r="BB371" s="24" t="inlineStr">
        <is>
          <t>cfb_key_number_engine</t>
        </is>
      </c>
      <c r="BC371" s="24" t="inlineStr">
        <is>
          <t>college-football-v1</t>
        </is>
      </c>
      <c r="BD371" s="24" t="inlineStr">
        <is>
          <t>1d168f11d221cd3c</t>
        </is>
      </c>
      <c r="BE371" s="24" t="inlineStr">
        <is>
          <t>cfb-v1</t>
        </is>
      </c>
      <c r="BF371" s="24" t="inlineStr">
        <is>
          <t>1</t>
        </is>
      </c>
      <c r="BG371" s="24" t="inlineStr">
        <is>
          <t>1d168f11d221cd3c</t>
        </is>
      </c>
      <c r="BH371" s="24" t="inlineStr">
        <is>
          <t>2026-09-19T22:46:25.988423+00:00</t>
        </is>
      </c>
      <c r="BI371" s="24" t="inlineStr">
        <is>
          <t>["same_event","same_team_same_day","same_league_same_day"]</t>
        </is>
      </c>
      <c r="BJ371" s="25" t="n"/>
      <c r="BK371" s="26" t="n">
        <v>-50000</v>
      </c>
      <c r="BL371" s="27" t="n">
        <v>1.002</v>
      </c>
      <c r="BM371" s="28" t="n">
        <v>0.998004</v>
      </c>
      <c r="BN371" s="28" t="n"/>
      <c r="BO371" s="28" t="n"/>
      <c r="BP371" s="25" t="n"/>
      <c r="BQ371" s="27" t="n"/>
      <c r="BR371" s="28" t="n"/>
      <c r="BS371" s="28" t="n"/>
      <c r="BT371" s="28" t="n"/>
      <c r="BU371" s="25" t="n"/>
      <c r="BV371" s="29" t="n"/>
      <c r="BW371" s="24" t="n"/>
      <c r="BX371" s="30" t="n">
        <v>1</v>
      </c>
      <c r="BY371" s="27" t="n">
        <v>0.002</v>
      </c>
      <c r="BZ371" s="24" t="inlineStr">
        <is>
          <t>2026-09-20T04:31:45.839944Z</t>
        </is>
      </c>
      <c r="CA371" s="31" t="inlineStr">
        <is>
          <t>fixed one-unit hypothetical scoring; no real exposure or execution</t>
        </is>
      </c>
      <c r="CB371" s="24" t="n"/>
      <c r="CC371" s="24" t="n"/>
      <c r="CD371" s="24" t="n"/>
      <c r="CE371" s="24" t="n"/>
      <c r="CF371" s="24" t="n"/>
      <c r="CG371" s="24" t="n"/>
      <c r="CH371" s="24" t="n"/>
      <c r="CI371" s="24" t="n"/>
      <c r="CJ371" s="24" t="n"/>
      <c r="CK371" s="24" t="n"/>
      <c r="CL371" s="24" t="n"/>
      <c r="CM371" s="24" t="n"/>
      <c r="CN371" s="24" t="n"/>
      <c r="CO371" s="24" t="n"/>
      <c r="CP371" s="24" t="n"/>
      <c r="CQ371" s="24" t="n"/>
      <c r="CR371" s="24" t="n"/>
      <c r="CS371" s="24" t="inlineStr">
        <is>
          <t>False</t>
        </is>
      </c>
      <c r="CT371" s="24" t="n"/>
      <c r="CU371" s="24" t="n"/>
      <c r="CV371" s="24" t="n"/>
      <c r="CW371" s="24" t="n"/>
      <c r="CX371" s="24" t="n"/>
      <c r="CY371" s="24" t="n"/>
      <c r="CZ371" s="24" t="n"/>
      <c r="DA371" s="24" t="n"/>
      <c r="DB371" s="24" t="n"/>
      <c r="DC371" s="24" t="n"/>
      <c r="DD371" s="24" t="n"/>
      <c r="DE371" s="24" t="n"/>
      <c r="DF371" s="24" t="n"/>
      <c r="DG371" s="24" t="n"/>
      <c r="DH371" s="24" t="n"/>
      <c r="DI371" s="24" t="n"/>
      <c r="DJ371" s="24" t="inlineStr">
        <is>
          <t>0.998004</t>
        </is>
      </c>
      <c r="DK371" s="24" t="n"/>
      <c r="DL371" s="24" t="n"/>
      <c r="DM371" s="24" t="n"/>
      <c r="DN371" s="24" t="n"/>
      <c r="DO371" s="24" t="n"/>
      <c r="DP371" s="24" t="n"/>
      <c r="DQ371" s="24" t="inlineStr">
        <is>
          <t>{"artifact_hash": "1d168f11d221cd3c", "event_id": "401862772", "event_start_utc": "2026-09-19T23:00Z", "features": {"altitude_fatigue_penalty": 0.0, "away_team": "UT Martin Skyhawks", "efficiency_gap": 1.094, "elo_away": 1337.5, "elo_home": 1602.6, "elo_home_win_prob": 0.8699, "event_id": "401862772", "game_start_utc": "2026-09-19T23:00Z", "home_field_advantage_points": 2.8, "home_team": "Memphis Tigers", "is_dome": false, "is_fbs_vs_fcs": false, "is_neutral_site": false, "projected_away_points": 20.0, "projected_home_points": 33.5, "projected_margin_home": 13.5, "projected_possessions": 12.4, "projected_total": 53.5,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130500616082688161750472744200814180149}, "uinteger": 0}, "spread_home_line": -33.5, "total_line": 58.5}, "market_type": "moneyline", "model_version": "college-football-v1", "observed_at_utc": "2026-09-19T22:46:25.988423+00:00", "probabilities": {"away": 0.240349, "home": 0.759651}, "replay_scope": "Full precision score means, exact engine parameters and original RNG state; upstream feature construction not certified.", "schema": "cfb-joint-replay-v1", "snapshot_hash": "2b7246665bb4c679c422d1110a91016cf7843c6366f0340c210143d973d92edf", "sport": "NCAAF"}</t>
        </is>
      </c>
    </row>
    <row r="372" ht="36" customHeight="1">
      <c r="A372" s="24" t="inlineStr">
        <is>
          <t>7c39a79fcad7414e</t>
        </is>
      </c>
      <c r="B372" s="24" t="inlineStr">
        <is>
          <t>2026-09-19T22:46:25.988423Z</t>
        </is>
      </c>
      <c r="C372" s="24" t="inlineStr">
        <is>
          <t>2026-09-19T23:00Z</t>
        </is>
      </c>
      <c r="D372" s="24" t="inlineStr">
        <is>
          <t>401862772</t>
        </is>
      </c>
      <c r="E372" s="24" t="inlineStr">
        <is>
          <t>NCAAF</t>
        </is>
      </c>
      <c r="F372" s="24" t="inlineStr">
        <is>
          <t>UT Martin Skyhawks</t>
        </is>
      </c>
      <c r="G372" s="24" t="inlineStr">
        <is>
          <t>Memphis Tigers</t>
        </is>
      </c>
      <c r="H372" s="24" t="inlineStr">
        <is>
          <t>spread</t>
        </is>
      </c>
      <c r="I372" s="24" t="inlineStr">
        <is>
          <t>away</t>
        </is>
      </c>
      <c r="J372" s="25" t="n">
        <v>33.5</v>
      </c>
      <c r="K372" s="24" t="inlineStr">
        <is>
          <t>espn_consensus</t>
        </is>
      </c>
      <c r="L372" s="26" t="n">
        <v>-110</v>
      </c>
      <c r="M372" s="27" t="n">
        <v>1.909091</v>
      </c>
      <c r="N372" s="28" t="n">
        <v>0.52381</v>
      </c>
      <c r="O372" s="28" t="n">
        <v>0.8452</v>
      </c>
      <c r="P372" s="28" t="n">
        <v>0.18</v>
      </c>
      <c r="Q372" s="28" t="n">
        <v>0.32139</v>
      </c>
      <c r="R372" s="26" t="n">
        <v>100</v>
      </c>
      <c r="S372" s="29" t="n">
        <v>2</v>
      </c>
      <c r="T372" s="24" t="inlineStr">
        <is>
          <t>cfb-spread-v1</t>
        </is>
      </c>
      <c r="U372" s="24" t="inlineStr">
        <is>
          <t>settled</t>
        </is>
      </c>
      <c r="V372" s="24" t="inlineStr">
        <is>
          <t>win</t>
        </is>
      </c>
      <c r="W372" s="26" t="n">
        <v>21</v>
      </c>
      <c r="X372" s="26" t="n">
        <v>45</v>
      </c>
      <c r="Y372" s="25" t="n"/>
      <c r="Z372" s="26" t="n"/>
      <c r="AA372" s="28" t="n"/>
      <c r="AB372" s="28" t="n"/>
      <c r="AC372" s="30" t="n">
        <v>1.8182</v>
      </c>
      <c r="AD372" s="24" t="inlineStr">
        <is>
          <t>2026-09-20T04:31:46.337945Z</t>
        </is>
      </c>
      <c r="AE372" s="31" t="inlineStr">
        <is>
          <t>Projected home margin +13.5 pts. Spread: Home -33.5 / Away +33.5 -&gt; P(Away cover)=0.845, P(Home cover)=0.155, P(Push)=0.000.</t>
        </is>
      </c>
      <c r="AF372" s="31" t="inlineStr">
        <is>
          <t>College football model; multi-market (moneyline, spread, total).</t>
        </is>
      </c>
      <c r="AG372" s="24" t="inlineStr">
        <is>
          <t>not_applicable</t>
        </is>
      </c>
      <c r="AH372" s="24" t="n"/>
      <c r="AI372" s="31" t="n"/>
      <c r="AJ372" s="31" t="n"/>
      <c r="AK372" s="24" t="inlineStr">
        <is>
          <t>model_qualified</t>
        </is>
      </c>
      <c r="AL372" s="26" t="n">
        <v>4</v>
      </c>
      <c r="AM372" s="24" t="inlineStr">
        <is>
          <t>QUALIFIED_SHADOW_CALL</t>
        </is>
      </c>
      <c r="AN372" s="24" t="inlineStr">
        <is>
          <t>CALL</t>
        </is>
      </c>
      <c r="AO372" s="24" t="inlineStr">
        <is>
          <t>QUALIFIED</t>
        </is>
      </c>
      <c r="AP372" s="24" t="inlineStr">
        <is>
          <t>UT Martin Skyhawks</t>
        </is>
      </c>
      <c r="AQ372" s="24" t="inlineStr">
        <is>
          <t>UT Martin Skyhawks</t>
        </is>
      </c>
      <c r="AR372" s="24" t="inlineStr">
        <is>
          <t>UT Martin Skyhawks</t>
        </is>
      </c>
      <c r="AS372" s="24" t="inlineStr">
        <is>
          <t>Memphis Tigers</t>
        </is>
      </c>
      <c r="AT372" s="24" t="inlineStr">
        <is>
          <t>Memphis Tigers</t>
        </is>
      </c>
      <c r="AU372" s="24" t="inlineStr">
        <is>
          <t>Memphis Tigers</t>
        </is>
      </c>
      <c r="AV372" s="24" t="n"/>
      <c r="AW372" s="24" t="n"/>
      <c r="AX372" s="24" t="inlineStr">
        <is>
          <t>statistical_model</t>
        </is>
      </c>
      <c r="AY372" s="24" t="n"/>
      <c r="AZ372" s="24" t="inlineStr">
        <is>
          <t>shadow_qualified</t>
        </is>
      </c>
      <c r="BA372" s="24" t="inlineStr">
        <is>
          <t>1d168f11d221cd3c</t>
        </is>
      </c>
      <c r="BB372" s="24" t="inlineStr">
        <is>
          <t>cfb_key_number_engine</t>
        </is>
      </c>
      <c r="BC372" s="24" t="inlineStr">
        <is>
          <t>cfb-spread-v1</t>
        </is>
      </c>
      <c r="BD372" s="24" t="inlineStr">
        <is>
          <t>1d168f11d221cd3c</t>
        </is>
      </c>
      <c r="BE372" s="24" t="inlineStr">
        <is>
          <t>cfb-v1</t>
        </is>
      </c>
      <c r="BF372" s="24" t="inlineStr">
        <is>
          <t>1</t>
        </is>
      </c>
      <c r="BG372" s="24" t="inlineStr">
        <is>
          <t>1d168f11d221cd3c</t>
        </is>
      </c>
      <c r="BH372" s="24" t="inlineStr">
        <is>
          <t>2026-09-19T22:46:25.988423+00:00</t>
        </is>
      </c>
      <c r="BI372" s="24" t="inlineStr">
        <is>
          <t>["same_event","same_team_same_day","same_league_same_day"]</t>
        </is>
      </c>
      <c r="BJ372" s="25" t="n">
        <v>33.5</v>
      </c>
      <c r="BK372" s="26" t="n">
        <v>-110</v>
      </c>
      <c r="BL372" s="27" t="n">
        <v>1.909091</v>
      </c>
      <c r="BM372" s="28" t="n">
        <v>0.52381</v>
      </c>
      <c r="BN372" s="28" t="n"/>
      <c r="BO372" s="28" t="n"/>
      <c r="BP372" s="25" t="n"/>
      <c r="BQ372" s="27" t="n"/>
      <c r="BR372" s="28" t="n"/>
      <c r="BS372" s="28" t="n"/>
      <c r="BT372" s="28" t="n"/>
      <c r="BU372" s="25" t="n"/>
      <c r="BV372" s="29" t="n"/>
      <c r="BW372" s="24" t="n"/>
      <c r="BX372" s="30" t="n"/>
      <c r="BY372" s="27" t="n"/>
      <c r="BZ372" s="24" t="n"/>
      <c r="CA372" s="31" t="n"/>
      <c r="CB372" s="24" t="n"/>
      <c r="CC372" s="24" t="n"/>
      <c r="CD372" s="24" t="n"/>
      <c r="CE372" s="24" t="n"/>
      <c r="CF372" s="24" t="n"/>
      <c r="CG372" s="24" t="n"/>
      <c r="CH372" s="24" t="n"/>
      <c r="CI372" s="24" t="n"/>
      <c r="CJ372" s="24" t="n"/>
      <c r="CK372" s="24" t="n"/>
      <c r="CL372" s="24" t="n"/>
      <c r="CM372" s="24" t="n"/>
      <c r="CN372" s="24" t="n"/>
      <c r="CO372" s="24" t="n"/>
      <c r="CP372" s="24" t="n"/>
      <c r="CQ372" s="24" t="n"/>
      <c r="CR372" s="24" t="n"/>
      <c r="CS372" s="24" t="inlineStr">
        <is>
          <t>True</t>
        </is>
      </c>
      <c r="CT372" s="24" t="n"/>
      <c r="CU372" s="24" t="n"/>
      <c r="CV372" s="24" t="n"/>
      <c r="CW372" s="24" t="n"/>
      <c r="CX372" s="24" t="n"/>
      <c r="CY372" s="24" t="n"/>
      <c r="CZ372" s="24" t="n"/>
      <c r="DA372" s="24" t="n"/>
      <c r="DB372" s="24" t="n"/>
      <c r="DC372" s="24" t="n"/>
      <c r="DD372" s="24" t="n"/>
      <c r="DE372" s="24" t="n"/>
      <c r="DF372" s="24" t="n"/>
      <c r="DG372" s="24" t="n"/>
      <c r="DH372" s="24" t="n"/>
      <c r="DI372" s="24" t="n"/>
      <c r="DJ372" s="24" t="inlineStr">
        <is>
          <t>0.52381</t>
        </is>
      </c>
      <c r="DK372" s="24" t="n"/>
      <c r="DL372" s="24" t="n"/>
      <c r="DM372" s="24" t="n"/>
      <c r="DN372" s="24" t="n"/>
      <c r="DO372" s="24" t="n"/>
      <c r="DP372" s="24" t="n"/>
      <c r="DQ372" s="24" t="inlineStr">
        <is>
          <t>{"artifact_hash": "1d168f11d221cd3c", "event_id": "401862772", "event_start_utc": "2026-09-19T23:00Z", "features": {"altitude_fatigue_penalty": 0.0, "away_team": "UT Martin Skyhawks", "efficiency_gap": 1.094, "elo_away": 1337.5, "elo_home": 1602.6, "elo_home_win_prob": 0.8699, "event_id": "401862772", "game_start_utc": "2026-09-19T23:00Z", "home_field_advantage_points": 2.8, "home_team": "Memphis Tigers", "is_dome": false, "is_fbs_vs_fcs": false, "is_neutral_site": false, "projected_away_points": 20.0, "projected_home_points": 33.5, "projected_margin_home": 13.5, "projected_possessions": 12.4, "projected_total": 53.5,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130500616082688161750472744200814180149}, "uinteger": 0}, "spread_home_line": -33.5, "total_line": 58.5}, "market_type": "spread", "model_version": "cfb-spread-v1", "observed_at_utc": "2026-09-19T22:46:25.988423+00:00", "probabilities": {"away": 0.8452, "home": 0.1548, "push": 0.0}, "replay_scope": "Full precision score means, exact engine parameters and original RNG state; upstream feature construction not certified.", "schema": "cfb-joint-replay-v1", "snapshot_hash": "3f78f4637a641a60776c5f823312341a1a9c8e7d2956e63a40c02a79ca68d476", "sport": "NCAAF"}</t>
        </is>
      </c>
    </row>
    <row r="373" ht="36" customHeight="1">
      <c r="A373" s="24" t="inlineStr">
        <is>
          <t>2e8545dc740e4644</t>
        </is>
      </c>
      <c r="B373" s="24" t="inlineStr">
        <is>
          <t>2026-09-19T22:46:25.988423Z</t>
        </is>
      </c>
      <c r="C373" s="24" t="inlineStr">
        <is>
          <t>2026-09-19T23:00Z</t>
        </is>
      </c>
      <c r="D373" s="24" t="inlineStr">
        <is>
          <t>401862772</t>
        </is>
      </c>
      <c r="E373" s="24" t="inlineStr">
        <is>
          <t>NCAAF</t>
        </is>
      </c>
      <c r="F373" s="24" t="inlineStr">
        <is>
          <t>UT Martin Skyhawks</t>
        </is>
      </c>
      <c r="G373" s="24" t="inlineStr">
        <is>
          <t>Memphis Tigers</t>
        </is>
      </c>
      <c r="H373" s="24" t="inlineStr">
        <is>
          <t>total</t>
        </is>
      </c>
      <c r="I373" s="24" t="inlineStr">
        <is>
          <t>under</t>
        </is>
      </c>
      <c r="J373" s="25" t="n">
        <v>58.5</v>
      </c>
      <c r="K373" s="24" t="inlineStr">
        <is>
          <t>espn_consensus</t>
        </is>
      </c>
      <c r="L373" s="26" t="n">
        <v>-110</v>
      </c>
      <c r="M373" s="27" t="n">
        <v>1.909091</v>
      </c>
      <c r="N373" s="28" t="n">
        <v>0.52381</v>
      </c>
      <c r="O373" s="28" t="n">
        <v>0.617067</v>
      </c>
      <c r="P373" s="28" t="n">
        <v>0.18</v>
      </c>
      <c r="Q373" s="28" t="n">
        <v>0.09325700000000001</v>
      </c>
      <c r="R373" s="26" t="n">
        <v>0</v>
      </c>
      <c r="S373" s="29" t="n">
        <v>1</v>
      </c>
      <c r="T373" s="24" t="inlineStr">
        <is>
          <t>cfb-total-v1</t>
        </is>
      </c>
      <c r="U373" s="24" t="inlineStr">
        <is>
          <t>settled</t>
        </is>
      </c>
      <c r="V373" s="24" t="inlineStr">
        <is>
          <t>loss</t>
        </is>
      </c>
      <c r="W373" s="26" t="n">
        <v>21</v>
      </c>
      <c r="X373" s="26" t="n">
        <v>45</v>
      </c>
      <c r="Y373" s="25" t="n"/>
      <c r="Z373" s="26" t="n"/>
      <c r="AA373" s="28" t="n"/>
      <c r="AB373" s="28" t="n"/>
      <c r="AC373" s="30" t="n">
        <v>-1</v>
      </c>
      <c r="AD373" s="24" t="inlineStr">
        <is>
          <t>2026-09-20T04:31:46.833240Z</t>
        </is>
      </c>
      <c r="AE373" s="31" t="inlineStr">
        <is>
          <t>Projected total 53.5 pts (Weather adj: +0.0 pts). Total line 58.5 -&gt; P(Over)=0.383, P(Under)=0.617, P(Push)=0.000.</t>
        </is>
      </c>
      <c r="AF373" s="31" t="inlineStr">
        <is>
          <t>College football model; multi-market (moneyline, spread, total).</t>
        </is>
      </c>
      <c r="AG373" s="24" t="inlineStr">
        <is>
          <t>review_required</t>
        </is>
      </c>
      <c r="AH373" s="24" t="n"/>
      <c r="AI373" s="31" t="n"/>
      <c r="AJ373" s="31" t="n"/>
      <c r="AK373" s="24" t="inlineStr">
        <is>
          <t>model_qualified</t>
        </is>
      </c>
      <c r="AL373" s="26" t="n">
        <v>4</v>
      </c>
      <c r="AM373" s="24" t="inlineStr">
        <is>
          <t>QUALIFIED_SHADOW_CALL</t>
        </is>
      </c>
      <c r="AN373" s="24" t="inlineStr">
        <is>
          <t>CALL</t>
        </is>
      </c>
      <c r="AO373" s="24" t="inlineStr">
        <is>
          <t>QUALIFIED</t>
        </is>
      </c>
      <c r="AP373" s="24" t="inlineStr">
        <is>
          <t>UT Martin Skyhawks</t>
        </is>
      </c>
      <c r="AQ373" s="24" t="inlineStr">
        <is>
          <t>UT Martin Skyhawks</t>
        </is>
      </c>
      <c r="AR373" s="24" t="inlineStr">
        <is>
          <t>UT Martin Skyhawks</t>
        </is>
      </c>
      <c r="AS373" s="24" t="inlineStr">
        <is>
          <t>Memphis Tigers</t>
        </is>
      </c>
      <c r="AT373" s="24" t="inlineStr">
        <is>
          <t>Memphis Tigers</t>
        </is>
      </c>
      <c r="AU373" s="24" t="inlineStr">
        <is>
          <t>Memphis Tigers</t>
        </is>
      </c>
      <c r="AV373" s="24" t="n"/>
      <c r="AW373" s="24" t="n"/>
      <c r="AX373" s="24" t="inlineStr">
        <is>
          <t>statistical_model</t>
        </is>
      </c>
      <c r="AY373" s="24" t="n"/>
      <c r="AZ373" s="24" t="inlineStr">
        <is>
          <t>shadow_qualified</t>
        </is>
      </c>
      <c r="BA373" s="24" t="inlineStr">
        <is>
          <t>1d168f11d221cd3c</t>
        </is>
      </c>
      <c r="BB373" s="24" t="inlineStr">
        <is>
          <t>cfb_key_number_engine</t>
        </is>
      </c>
      <c r="BC373" s="24" t="inlineStr">
        <is>
          <t>cfb-total-v1</t>
        </is>
      </c>
      <c r="BD373" s="24" t="inlineStr">
        <is>
          <t>1d168f11d221cd3c</t>
        </is>
      </c>
      <c r="BE373" s="24" t="inlineStr">
        <is>
          <t>cfb-v1</t>
        </is>
      </c>
      <c r="BF373" s="24" t="inlineStr">
        <is>
          <t>1</t>
        </is>
      </c>
      <c r="BG373" s="24" t="inlineStr">
        <is>
          <t>1d168f11d221cd3c</t>
        </is>
      </c>
      <c r="BH373" s="24" t="inlineStr">
        <is>
          <t>2026-09-19T22:46:25.988423+00:00</t>
        </is>
      </c>
      <c r="BI373" s="24" t="inlineStr">
        <is>
          <t>["same_event","same_team_same_day","same_league_same_day"]</t>
        </is>
      </c>
      <c r="BJ373" s="25" t="n">
        <v>58.5</v>
      </c>
      <c r="BK373" s="26" t="n">
        <v>-110</v>
      </c>
      <c r="BL373" s="27" t="n">
        <v>1.909091</v>
      </c>
      <c r="BM373" s="28" t="n">
        <v>0.52381</v>
      </c>
      <c r="BN373" s="28" t="n"/>
      <c r="BO373" s="28" t="n"/>
      <c r="BP373" s="25" t="n"/>
      <c r="BQ373" s="27" t="n"/>
      <c r="BR373" s="28" t="n"/>
      <c r="BS373" s="28" t="n"/>
      <c r="BT373" s="28" t="n"/>
      <c r="BU373" s="25" t="n"/>
      <c r="BV373" s="29" t="n"/>
      <c r="BW373" s="24" t="n"/>
      <c r="BX373" s="30" t="n"/>
      <c r="BY373" s="27" t="n"/>
      <c r="BZ373" s="24" t="n"/>
      <c r="CA373" s="31" t="n"/>
      <c r="CB373" s="24" t="n"/>
      <c r="CC373" s="24" t="n"/>
      <c r="CD373" s="24" t="n"/>
      <c r="CE373" s="24" t="n"/>
      <c r="CF373" s="24" t="n"/>
      <c r="CG373" s="24" t="n"/>
      <c r="CH373" s="24" t="n"/>
      <c r="CI373" s="24" t="n"/>
      <c r="CJ373" s="24" t="n"/>
      <c r="CK373" s="24" t="n"/>
      <c r="CL373" s="24" t="n"/>
      <c r="CM373" s="24" t="n"/>
      <c r="CN373" s="24" t="n"/>
      <c r="CO373" s="24" t="n"/>
      <c r="CP373" s="24" t="n"/>
      <c r="CQ373" s="24" t="n"/>
      <c r="CR373" s="24" t="n"/>
      <c r="CS373" s="24" t="inlineStr">
        <is>
          <t>True</t>
        </is>
      </c>
      <c r="CT373" s="24" t="n"/>
      <c r="CU373" s="24" t="n"/>
      <c r="CV373" s="24" t="n"/>
      <c r="CW373" s="24" t="n"/>
      <c r="CX373" s="24" t="n"/>
      <c r="CY373" s="24" t="n"/>
      <c r="CZ373" s="24" t="n"/>
      <c r="DA373" s="24" t="n"/>
      <c r="DB373" s="24" t="n"/>
      <c r="DC373" s="24" t="n"/>
      <c r="DD373" s="24" t="n"/>
      <c r="DE373" s="24" t="n"/>
      <c r="DF373" s="24" t="n"/>
      <c r="DG373" s="24" t="n"/>
      <c r="DH373" s="24" t="n"/>
      <c r="DI373" s="24" t="n"/>
      <c r="DJ373" s="24" t="inlineStr">
        <is>
          <t>0.52381</t>
        </is>
      </c>
      <c r="DK373" s="24" t="n"/>
      <c r="DL373" s="24" t="n"/>
      <c r="DM373" s="24" t="n"/>
      <c r="DN373" s="24" t="n"/>
      <c r="DO373" s="24" t="n"/>
      <c r="DP373" s="24" t="n"/>
      <c r="DQ373" s="24" t="inlineStr">
        <is>
          <t>{"artifact_hash": "1d168f11d221cd3c", "event_id": "401862772", "event_start_utc": "2026-09-19T23:00Z", "features": {"altitude_fatigue_penalty": 0.0, "away_team": "UT Martin Skyhawks", "efficiency_gap": 1.094, "elo_away": 1337.5, "elo_home": 1602.6, "elo_home_win_prob": 0.8699, "event_id": "401862772", "game_start_utc": "2026-09-19T23:00Z", "home_field_advantage_points": 2.8, "home_team": "Memphis Tigers", "is_dome": false, "is_fbs_vs_fcs": false, "is_neutral_site": false, "projected_away_points": 20.0, "projected_home_points": 33.5, "projected_margin_home": 13.5, "projected_possessions": 12.4, "projected_total": 53.5,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130500616082688161750472744200814180149}, "uinteger": 0}, "spread_home_line": -33.5, "total_line": 58.5}, "market_type": "total", "model_version": "cfb-total-v1", "observed_at_utc": "2026-09-19T22:46:25.988423+00:00", "probabilities": {"over": 0.382933, "push": 0.0, "under": 0.617067}, "replay_scope": "Full precision score means, exact engine parameters and original RNG state; upstream feature construction not certified.", "schema": "cfb-joint-replay-v1", "snapshot_hash": "faa09d94fe3b9dcfa5d01066169630cc6e4b2867e25a3423ef8d435b635e0d72", "sport": "NCAAF"}</t>
        </is>
      </c>
    </row>
    <row r="374" ht="36" customHeight="1">
      <c r="A374" s="24" t="inlineStr">
        <is>
          <t>9782172159e94e3b</t>
        </is>
      </c>
      <c r="B374" s="24" t="inlineStr">
        <is>
          <t>2026-09-19T22:46:25.988423Z</t>
        </is>
      </c>
      <c r="C374" s="24" t="inlineStr">
        <is>
          <t>2026-09-19T23:00Z</t>
        </is>
      </c>
      <c r="D374" s="24" t="inlineStr">
        <is>
          <t>401862773</t>
        </is>
      </c>
      <c r="E374" s="24" t="inlineStr">
        <is>
          <t>NCAAF</t>
        </is>
      </c>
      <c r="F374" s="24" t="inlineStr">
        <is>
          <t>Western Michigan Broncos</t>
        </is>
      </c>
      <c r="G374" s="24" t="inlineStr">
        <is>
          <t>Rice Owls</t>
        </is>
      </c>
      <c r="H374" s="24" t="inlineStr">
        <is>
          <t>moneyline</t>
        </is>
      </c>
      <c r="I374" s="24" t="inlineStr">
        <is>
          <t>away</t>
        </is>
      </c>
      <c r="J374" s="25" t="n"/>
      <c r="K374" s="24" t="inlineStr">
        <is>
          <t>espn_consensus</t>
        </is>
      </c>
      <c r="L374" s="26" t="n">
        <v>-360</v>
      </c>
      <c r="M374" s="27" t="n">
        <v>1.277778</v>
      </c>
      <c r="N374" s="28" t="n">
        <v>0.782609</v>
      </c>
      <c r="O374" s="28" t="n">
        <v>0.8063360000000001</v>
      </c>
      <c r="P374" s="28" t="n">
        <v>0.18</v>
      </c>
      <c r="Q374" s="28" t="n">
        <v>0.023727</v>
      </c>
      <c r="R374" s="26" t="n">
        <v>0</v>
      </c>
      <c r="S374" s="29" t="n">
        <v>1</v>
      </c>
      <c r="T374" s="24" t="inlineStr">
        <is>
          <t>college-football-v1</t>
        </is>
      </c>
      <c r="U374" s="24" t="inlineStr">
        <is>
          <t>settled</t>
        </is>
      </c>
      <c r="V374" s="24" t="inlineStr">
        <is>
          <t>win</t>
        </is>
      </c>
      <c r="W374" s="26" t="n">
        <v>28</v>
      </c>
      <c r="X374" s="26" t="n">
        <v>21</v>
      </c>
      <c r="Y374" s="25" t="n"/>
      <c r="Z374" s="26" t="n"/>
      <c r="AA374" s="28" t="n"/>
      <c r="AB374" s="28" t="n"/>
      <c r="AC374" s="30" t="n">
        <v>0.2778</v>
      </c>
      <c r="AD374" s="24" t="inlineStr">
        <is>
          <t>2026-09-20T04:31:47.324576Z</t>
        </is>
      </c>
      <c r="AE374" s="31" t="inlineStr">
        <is>
          <t>CFB Joint Model (negative_binomial): proj score Western Michigan Broncos 34.3 @ Rice Owls 18.4 (Margin -15.9). Possessions: 12.4, HFA: +2.8 pts.</t>
        </is>
      </c>
      <c r="AF374" s="31" t="inlineStr">
        <is>
          <t>College football model; multi-market (moneyline, spread, total).</t>
        </is>
      </c>
      <c r="AG374" s="24" t="inlineStr">
        <is>
          <t>not_applicable</t>
        </is>
      </c>
      <c r="AH374" s="24" t="n"/>
      <c r="AI374" s="31" t="n"/>
      <c r="AJ374" s="31" t="n"/>
      <c r="AK374" s="24" t="inlineStr">
        <is>
          <t>paper_call</t>
        </is>
      </c>
      <c r="AL374" s="26" t="n">
        <v>4</v>
      </c>
      <c r="AM374" s="24" t="inlineStr">
        <is>
          <t>RESEARCH_OBSERVATION</t>
        </is>
      </c>
      <c r="AN374" s="24" t="inlineStr">
        <is>
          <t>CALL</t>
        </is>
      </c>
      <c r="AO374" s="24" t="inlineStr">
        <is>
          <t>PAPER_CALL_LOW_EDGE</t>
        </is>
      </c>
      <c r="AP374" s="24" t="inlineStr">
        <is>
          <t>Western Michigan Broncos</t>
        </is>
      </c>
      <c r="AQ374" s="24" t="inlineStr">
        <is>
          <t>Western Michigan Broncos</t>
        </is>
      </c>
      <c r="AR374" s="24" t="inlineStr">
        <is>
          <t>Western Michigan Broncos</t>
        </is>
      </c>
      <c r="AS374" s="24" t="inlineStr">
        <is>
          <t>Rice Owls</t>
        </is>
      </c>
      <c r="AT374" s="24" t="inlineStr">
        <is>
          <t>Rice Owls</t>
        </is>
      </c>
      <c r="AU374" s="24" t="inlineStr">
        <is>
          <t>Rice Owls</t>
        </is>
      </c>
      <c r="AV374" s="24" t="n"/>
      <c r="AW374" s="24" t="n"/>
      <c r="AX374" s="24" t="inlineStr">
        <is>
          <t>statistical_model</t>
        </is>
      </c>
      <c r="AY374" s="24" t="n"/>
      <c r="AZ374" s="24" t="inlineStr">
        <is>
          <t>shadow_qualified</t>
        </is>
      </c>
      <c r="BA374" s="24" t="inlineStr">
        <is>
          <t>1d168f11d221cd3c</t>
        </is>
      </c>
      <c r="BB374" s="24" t="inlineStr">
        <is>
          <t>cfb_key_number_engine</t>
        </is>
      </c>
      <c r="BC374" s="24" t="inlineStr">
        <is>
          <t>college-football-v1</t>
        </is>
      </c>
      <c r="BD374" s="24" t="inlineStr">
        <is>
          <t>1d168f11d221cd3c</t>
        </is>
      </c>
      <c r="BE374" s="24" t="inlineStr">
        <is>
          <t>cfb-v1</t>
        </is>
      </c>
      <c r="BF374" s="24" t="inlineStr">
        <is>
          <t>1</t>
        </is>
      </c>
      <c r="BG374" s="24" t="inlineStr">
        <is>
          <t>1d168f11d221cd3c</t>
        </is>
      </c>
      <c r="BH374" s="24" t="inlineStr">
        <is>
          <t>2026-09-19T22:46:25.988423+00:00</t>
        </is>
      </c>
      <c r="BI374" s="24" t="inlineStr">
        <is>
          <t>["same_event","same_team_same_day","same_league_same_day"]</t>
        </is>
      </c>
      <c r="BJ374" s="25" t="n"/>
      <c r="BK374" s="26" t="n">
        <v>-360</v>
      </c>
      <c r="BL374" s="27" t="n">
        <v>1.277778</v>
      </c>
      <c r="BM374" s="28" t="n">
        <v>0.782609</v>
      </c>
      <c r="BN374" s="28" t="n"/>
      <c r="BO374" s="28" t="n"/>
      <c r="BP374" s="25" t="n"/>
      <c r="BQ374" s="27" t="n"/>
      <c r="BR374" s="28" t="n"/>
      <c r="BS374" s="28" t="n"/>
      <c r="BT374" s="28" t="n"/>
      <c r="BU374" s="25" t="n"/>
      <c r="BV374" s="29" t="n"/>
      <c r="BW374" s="24" t="n"/>
      <c r="BX374" s="30" t="n">
        <v>1</v>
      </c>
      <c r="BY374" s="27" t="n">
        <v>0.277778</v>
      </c>
      <c r="BZ374" s="24" t="inlineStr">
        <is>
          <t>2026-09-20T04:31:47.324576Z</t>
        </is>
      </c>
      <c r="CA374" s="31" t="inlineStr">
        <is>
          <t>fixed one-unit hypothetical scoring; no real exposure or execution</t>
        </is>
      </c>
      <c r="CB374" s="24" t="n"/>
      <c r="CC374" s="24" t="n"/>
      <c r="CD374" s="24" t="n"/>
      <c r="CE374" s="24" t="n"/>
      <c r="CF374" s="24" t="n"/>
      <c r="CG374" s="24" t="n"/>
      <c r="CH374" s="24" t="n"/>
      <c r="CI374" s="24" t="n"/>
      <c r="CJ374" s="24" t="n"/>
      <c r="CK374" s="24" t="n"/>
      <c r="CL374" s="24" t="n"/>
      <c r="CM374" s="24" t="n"/>
      <c r="CN374" s="24" t="n"/>
      <c r="CO374" s="24" t="n"/>
      <c r="CP374" s="24" t="n"/>
      <c r="CQ374" s="24" t="n"/>
      <c r="CR374" s="24" t="n"/>
      <c r="CS374" s="24" t="inlineStr">
        <is>
          <t>True</t>
        </is>
      </c>
      <c r="CT374" s="24" t="n"/>
      <c r="CU374" s="24" t="n"/>
      <c r="CV374" s="24" t="n"/>
      <c r="CW374" s="24" t="n"/>
      <c r="CX374" s="24" t="n"/>
      <c r="CY374" s="24" t="n"/>
      <c r="CZ374" s="24" t="n"/>
      <c r="DA374" s="24" t="n"/>
      <c r="DB374" s="24" t="n"/>
      <c r="DC374" s="24" t="n"/>
      <c r="DD374" s="24" t="n"/>
      <c r="DE374" s="24" t="n"/>
      <c r="DF374" s="24" t="n"/>
      <c r="DG374" s="24" t="n"/>
      <c r="DH374" s="24" t="n"/>
      <c r="DI374" s="24" t="n"/>
      <c r="DJ374" s="24" t="inlineStr">
        <is>
          <t>0.782609</t>
        </is>
      </c>
      <c r="DK374" s="24" t="n"/>
      <c r="DL374" s="24" t="n"/>
      <c r="DM374" s="24" t="n"/>
      <c r="DN374" s="24" t="n"/>
      <c r="DO374" s="24" t="n"/>
      <c r="DP374" s="24" t="n"/>
      <c r="DQ374" s="24" t="inlineStr">
        <is>
          <t>{"artifact_hash": "1d168f11d221cd3c", "event_id": "401862773", "event_start_utc": "2026-09-19T23:00Z", "features": {"altitude_fatigue_penalty": 0.0, "away_team": "Western Michigan Broncos", "efficiency_gap": 0.572, "elo_away": 1696.6, "elo_home": 1242.5, "elo_home_win_prob": 0.0962, "event_id": "401862773", "game_start_utc": "2026-09-19T23:00Z", "home_field_advantage_points": 2.8, "home_team": "Rice Owls", "is_dome": false, "is_fbs_vs_fcs": false, "is_neutral_site": false, "projected_away_points": 34.3, "projected_home_points": 18.4, "projected_margin_home": -15.9, "projected_possessions": 12.4, "projected_total": 52.7, "stadium_elevation_ft": 50, "travel_distance_miles": 1025.0, "uncertainty": 0.18, "weather_total_adjustment": 0.0}, "historical_source_observation_times_verified": false, "inference_inputs": {"engine_source_sha256": "449ba2f0e86fa9c445730076a0e0bf100fb4914620be53c75c6f3bfe24298f3f", "mu_away": 34.3,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34204591444152110690353861073620387461}, "uinteger": 0}, "spread_home_line": 8.5, "total_line": 43.5}, "market_type": "moneyline", "model_version": "college-football-v1", "observed_at_utc": "2026-09-19T22:46:25.988423+00:00", "probabilities": {"away": 0.806336, "home": 0.193664}, "replay_scope": "Full precision score means, exact engine parameters and original RNG state; upstream feature construction not certified.", "schema": "cfb-joint-replay-v1", "snapshot_hash": "00dac0a8d69e5aa4a93404d3e812b769d4d96c9f9dfcba539cc9518198f113af", "sport": "NCAAF"}</t>
        </is>
      </c>
    </row>
    <row r="375" ht="36" customHeight="1">
      <c r="A375" s="24" t="inlineStr">
        <is>
          <t>99782c6432e64a43</t>
        </is>
      </c>
      <c r="B375" s="24" t="inlineStr">
        <is>
          <t>2026-09-19T22:46:25.988423Z</t>
        </is>
      </c>
      <c r="C375" s="24" t="inlineStr">
        <is>
          <t>2026-09-19T23:00Z</t>
        </is>
      </c>
      <c r="D375" s="24" t="inlineStr">
        <is>
          <t>401862773</t>
        </is>
      </c>
      <c r="E375" s="24" t="inlineStr">
        <is>
          <t>NCAAF</t>
        </is>
      </c>
      <c r="F375" s="24" t="inlineStr">
        <is>
          <t>Western Michigan Broncos</t>
        </is>
      </c>
      <c r="G375" s="24" t="inlineStr">
        <is>
          <t>Rice Owls</t>
        </is>
      </c>
      <c r="H375" s="24" t="inlineStr">
        <is>
          <t>spread</t>
        </is>
      </c>
      <c r="I375" s="24" t="inlineStr">
        <is>
          <t>away</t>
        </is>
      </c>
      <c r="J375" s="25" t="n">
        <v>-8.5</v>
      </c>
      <c r="K375" s="24" t="inlineStr">
        <is>
          <t>espn_consensus</t>
        </is>
      </c>
      <c r="L375" s="26" t="n">
        <v>-112</v>
      </c>
      <c r="M375" s="27" t="n">
        <v>1.892857</v>
      </c>
      <c r="N375" s="28" t="n">
        <v>0.528302</v>
      </c>
      <c r="O375" s="28" t="n">
        <v>0.6553330000000001</v>
      </c>
      <c r="P375" s="28" t="n">
        <v>0.18</v>
      </c>
      <c r="Q375" s="28" t="n">
        <v>0.127031</v>
      </c>
      <c r="R375" s="26" t="n">
        <v>6</v>
      </c>
      <c r="S375" s="29" t="n">
        <v>1</v>
      </c>
      <c r="T375" s="24" t="inlineStr">
        <is>
          <t>cfb-spread-v1</t>
        </is>
      </c>
      <c r="U375" s="24" t="inlineStr">
        <is>
          <t>settled</t>
        </is>
      </c>
      <c r="V375" s="24" t="inlineStr">
        <is>
          <t>loss</t>
        </is>
      </c>
      <c r="W375" s="26" t="n">
        <v>28</v>
      </c>
      <c r="X375" s="26" t="n">
        <v>21</v>
      </c>
      <c r="Y375" s="25" t="n"/>
      <c r="Z375" s="26" t="n"/>
      <c r="AA375" s="28" t="n"/>
      <c r="AB375" s="28" t="n"/>
      <c r="AC375" s="30" t="n">
        <v>-1</v>
      </c>
      <c r="AD375" s="24" t="inlineStr">
        <is>
          <t>2026-09-20T04:31:47.763178Z</t>
        </is>
      </c>
      <c r="AE375" s="31" t="inlineStr">
        <is>
          <t>Projected home margin -15.9 pts. Spread: Home +8.5 / Away -8.5 -&gt; P(Away cover)=0.655, P(Home cover)=0.345, P(Push)=0.000.</t>
        </is>
      </c>
      <c r="AF375" s="31" t="inlineStr">
        <is>
          <t>College football model; multi-market (moneyline, spread, total).</t>
        </is>
      </c>
      <c r="AG375" s="24" t="inlineStr">
        <is>
          <t>review_required</t>
        </is>
      </c>
      <c r="AH375" s="24" t="n"/>
      <c r="AI375" s="31" t="n"/>
      <c r="AJ375" s="31" t="n"/>
      <c r="AK375" s="24" t="inlineStr">
        <is>
          <t>model_qualified</t>
        </is>
      </c>
      <c r="AL375" s="26" t="n">
        <v>4</v>
      </c>
      <c r="AM375" s="24" t="inlineStr">
        <is>
          <t>QUALIFIED_SHADOW_CALL</t>
        </is>
      </c>
      <c r="AN375" s="24" t="inlineStr">
        <is>
          <t>CALL</t>
        </is>
      </c>
      <c r="AO375" s="24" t="inlineStr">
        <is>
          <t>QUALIFIED</t>
        </is>
      </c>
      <c r="AP375" s="24" t="inlineStr">
        <is>
          <t>Western Michigan Broncos</t>
        </is>
      </c>
      <c r="AQ375" s="24" t="inlineStr">
        <is>
          <t>Western Michigan Broncos</t>
        </is>
      </c>
      <c r="AR375" s="24" t="inlineStr">
        <is>
          <t>Western Michigan Broncos</t>
        </is>
      </c>
      <c r="AS375" s="24" t="inlineStr">
        <is>
          <t>Rice Owls</t>
        </is>
      </c>
      <c r="AT375" s="24" t="inlineStr">
        <is>
          <t>Rice Owls</t>
        </is>
      </c>
      <c r="AU375" s="24" t="inlineStr">
        <is>
          <t>Rice Owls</t>
        </is>
      </c>
      <c r="AV375" s="24" t="n"/>
      <c r="AW375" s="24" t="n"/>
      <c r="AX375" s="24" t="inlineStr">
        <is>
          <t>statistical_model</t>
        </is>
      </c>
      <c r="AY375" s="24" t="n"/>
      <c r="AZ375" s="24" t="inlineStr">
        <is>
          <t>shadow_qualified</t>
        </is>
      </c>
      <c r="BA375" s="24" t="inlineStr">
        <is>
          <t>1d168f11d221cd3c</t>
        </is>
      </c>
      <c r="BB375" s="24" t="inlineStr">
        <is>
          <t>cfb_key_number_engine</t>
        </is>
      </c>
      <c r="BC375" s="24" t="inlineStr">
        <is>
          <t>cfb-spread-v1</t>
        </is>
      </c>
      <c r="BD375" s="24" t="inlineStr">
        <is>
          <t>1d168f11d221cd3c</t>
        </is>
      </c>
      <c r="BE375" s="24" t="inlineStr">
        <is>
          <t>cfb-v1</t>
        </is>
      </c>
      <c r="BF375" s="24" t="inlineStr">
        <is>
          <t>1</t>
        </is>
      </c>
      <c r="BG375" s="24" t="inlineStr">
        <is>
          <t>1d168f11d221cd3c</t>
        </is>
      </c>
      <c r="BH375" s="24" t="inlineStr">
        <is>
          <t>2026-09-19T22:46:25.988423+00:00</t>
        </is>
      </c>
      <c r="BI375" s="24" t="inlineStr">
        <is>
          <t>["same_event","same_team_same_day","same_league_same_day"]</t>
        </is>
      </c>
      <c r="BJ375" s="25" t="n">
        <v>-8.5</v>
      </c>
      <c r="BK375" s="26" t="n">
        <v>-112</v>
      </c>
      <c r="BL375" s="27" t="n">
        <v>1.892857</v>
      </c>
      <c r="BM375" s="28" t="n">
        <v>0.528302</v>
      </c>
      <c r="BN375" s="28" t="n"/>
      <c r="BO375" s="28" t="n"/>
      <c r="BP375" s="25" t="n"/>
      <c r="BQ375" s="27" t="n"/>
      <c r="BR375" s="28" t="n"/>
      <c r="BS375" s="28" t="n"/>
      <c r="BT375" s="28" t="n"/>
      <c r="BU375" s="25" t="n"/>
      <c r="BV375" s="29" t="n"/>
      <c r="BW375" s="24" t="n"/>
      <c r="BX375" s="30" t="n"/>
      <c r="BY375" s="27" t="n"/>
      <c r="BZ375" s="24" t="n"/>
      <c r="CA375" s="31" t="n"/>
      <c r="CB375" s="24" t="n"/>
      <c r="CC375" s="24" t="n"/>
      <c r="CD375" s="24" t="n"/>
      <c r="CE375" s="24" t="n"/>
      <c r="CF375" s="24" t="n"/>
      <c r="CG375" s="24" t="n"/>
      <c r="CH375" s="24" t="n"/>
      <c r="CI375" s="24" t="n"/>
      <c r="CJ375" s="24" t="n"/>
      <c r="CK375" s="24" t="n"/>
      <c r="CL375" s="24" t="n"/>
      <c r="CM375" s="24" t="n"/>
      <c r="CN375" s="24" t="n"/>
      <c r="CO375" s="24" t="n"/>
      <c r="CP375" s="24" t="n"/>
      <c r="CQ375" s="24" t="n"/>
      <c r="CR375" s="24" t="n"/>
      <c r="CS375" s="24" t="inlineStr">
        <is>
          <t>True</t>
        </is>
      </c>
      <c r="CT375" s="24" t="n"/>
      <c r="CU375" s="24" t="n"/>
      <c r="CV375" s="24" t="n"/>
      <c r="CW375" s="24" t="n"/>
      <c r="CX375" s="24" t="n"/>
      <c r="CY375" s="24" t="n"/>
      <c r="CZ375" s="24" t="n"/>
      <c r="DA375" s="24" t="n"/>
      <c r="DB375" s="24" t="n"/>
      <c r="DC375" s="24" t="n"/>
      <c r="DD375" s="24" t="n"/>
      <c r="DE375" s="24" t="n"/>
      <c r="DF375" s="24" t="n"/>
      <c r="DG375" s="24" t="n"/>
      <c r="DH375" s="24" t="n"/>
      <c r="DI375" s="24" t="n"/>
      <c r="DJ375" s="24" t="inlineStr">
        <is>
          <t>0.528302</t>
        </is>
      </c>
      <c r="DK375" s="24" t="n"/>
      <c r="DL375" s="24" t="n"/>
      <c r="DM375" s="24" t="n"/>
      <c r="DN375" s="24" t="n"/>
      <c r="DO375" s="24" t="n"/>
      <c r="DP375" s="24" t="n"/>
      <c r="DQ375" s="24" t="inlineStr">
        <is>
          <t>{"artifact_hash": "1d168f11d221cd3c", "event_id": "401862773", "event_start_utc": "2026-09-19T23:00Z", "features": {"altitude_fatigue_penalty": 0.0, "away_team": "Western Michigan Broncos", "efficiency_gap": 0.572, "elo_away": 1696.6, "elo_home": 1242.5, "elo_home_win_prob": 0.0962, "event_id": "401862773", "game_start_utc": "2026-09-19T23:00Z", "home_field_advantage_points": 2.8, "home_team": "Rice Owls", "is_dome": false, "is_fbs_vs_fcs": false, "is_neutral_site": false, "projected_away_points": 34.3, "projected_home_points": 18.4, "projected_margin_home": -15.9, "projected_possessions": 12.4, "projected_total": 52.7, "stadium_elevation_ft": 50, "travel_distance_miles": 1025.0, "uncertainty": 0.18, "weather_total_adjustment": 0.0}, "historical_source_observation_times_verified": false, "inference_inputs": {"engine_source_sha256": "449ba2f0e86fa9c445730076a0e0bf100fb4914620be53c75c6f3bfe24298f3f", "mu_away": 34.3,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34204591444152110690353861073620387461}, "uinteger": 0}, "spread_home_line": 8.5, "total_line": 43.5}, "market_type": "spread", "model_version": "cfb-spread-v1", "observed_at_utc": "2026-09-19T22:46:25.988423+00:00", "probabilities": {"away": 0.655333, "home": 0.344667, "push": 0.0}, "replay_scope": "Full precision score means, exact engine parameters and original RNG state; upstream feature construction not certified.", "schema": "cfb-joint-replay-v1", "snapshot_hash": "52c1731d3a8f779db05ee70eb32897bc801d61e83ca59408f3cc6bfe78494b10", "sport": "NCAAF"}</t>
        </is>
      </c>
    </row>
    <row r="376" ht="36" customHeight="1">
      <c r="A376" s="24" t="inlineStr">
        <is>
          <t>5b2d4cb3c7a34b4a</t>
        </is>
      </c>
      <c r="B376" s="24" t="inlineStr">
        <is>
          <t>2026-09-19T22:46:25.988423Z</t>
        </is>
      </c>
      <c r="C376" s="24" t="inlineStr">
        <is>
          <t>2026-09-19T23:00Z</t>
        </is>
      </c>
      <c r="D376" s="24" t="inlineStr">
        <is>
          <t>401862773</t>
        </is>
      </c>
      <c r="E376" s="24" t="inlineStr">
        <is>
          <t>NCAAF</t>
        </is>
      </c>
      <c r="F376" s="24" t="inlineStr">
        <is>
          <t>Western Michigan Broncos</t>
        </is>
      </c>
      <c r="G376" s="24" t="inlineStr">
        <is>
          <t>Rice Owls</t>
        </is>
      </c>
      <c r="H376" s="24" t="inlineStr">
        <is>
          <t>total</t>
        </is>
      </c>
      <c r="I376" s="24" t="inlineStr">
        <is>
          <t>over</t>
        </is>
      </c>
      <c r="J376" s="25" t="n">
        <v>43.5</v>
      </c>
      <c r="K376" s="24" t="inlineStr">
        <is>
          <t>espn_consensus</t>
        </is>
      </c>
      <c r="L376" s="26" t="n">
        <v>-115</v>
      </c>
      <c r="M376" s="27" t="n">
        <v>1.869565</v>
      </c>
      <c r="N376" s="28" t="n">
        <v>0.534884</v>
      </c>
      <c r="O376" s="28" t="n">
        <v>0.624467</v>
      </c>
      <c r="P376" s="28" t="n">
        <v>0.18</v>
      </c>
      <c r="Q376" s="28" t="n">
        <v>0.089583</v>
      </c>
      <c r="R376" s="26" t="n">
        <v>0</v>
      </c>
      <c r="S376" s="29" t="n">
        <v>1</v>
      </c>
      <c r="T376" s="24" t="inlineStr">
        <is>
          <t>cfb-total-v1</t>
        </is>
      </c>
      <c r="U376" s="24" t="inlineStr">
        <is>
          <t>settled</t>
        </is>
      </c>
      <c r="V376" s="24" t="inlineStr">
        <is>
          <t>win</t>
        </is>
      </c>
      <c r="W376" s="26" t="n">
        <v>28</v>
      </c>
      <c r="X376" s="26" t="n">
        <v>21</v>
      </c>
      <c r="Y376" s="25" t="n"/>
      <c r="Z376" s="26" t="n"/>
      <c r="AA376" s="28" t="n"/>
      <c r="AB376" s="28" t="n"/>
      <c r="AC376" s="30" t="n">
        <v>0.8696</v>
      </c>
      <c r="AD376" s="24" t="inlineStr">
        <is>
          <t>2026-09-20T04:31:48.325379Z</t>
        </is>
      </c>
      <c r="AE376" s="31" t="inlineStr">
        <is>
          <t>Projected total 52.7 pts (Weather adj: +0.0 pts). Total line 43.5 -&gt; P(Over)=0.624, P(Under)=0.376, P(Push)=0.000.</t>
        </is>
      </c>
      <c r="AF376" s="31" t="inlineStr">
        <is>
          <t>College football model; multi-market (moneyline, spread, total).</t>
        </is>
      </c>
      <c r="AG376" s="24" t="inlineStr">
        <is>
          <t>not_applicable</t>
        </is>
      </c>
      <c r="AH376" s="24" t="n"/>
      <c r="AI376" s="31" t="n"/>
      <c r="AJ376" s="31" t="n"/>
      <c r="AK376" s="24" t="inlineStr">
        <is>
          <t>model_qualified</t>
        </is>
      </c>
      <c r="AL376" s="26" t="n">
        <v>4</v>
      </c>
      <c r="AM376" s="24" t="inlineStr">
        <is>
          <t>QUALIFIED_SHADOW_CALL</t>
        </is>
      </c>
      <c r="AN376" s="24" t="inlineStr">
        <is>
          <t>CALL</t>
        </is>
      </c>
      <c r="AO376" s="24" t="inlineStr">
        <is>
          <t>QUALIFIED</t>
        </is>
      </c>
      <c r="AP376" s="24" t="inlineStr">
        <is>
          <t>Western Michigan Broncos</t>
        </is>
      </c>
      <c r="AQ376" s="24" t="inlineStr">
        <is>
          <t>Western Michigan Broncos</t>
        </is>
      </c>
      <c r="AR376" s="24" t="inlineStr">
        <is>
          <t>Western Michigan Broncos</t>
        </is>
      </c>
      <c r="AS376" s="24" t="inlineStr">
        <is>
          <t>Rice Owls</t>
        </is>
      </c>
      <c r="AT376" s="24" t="inlineStr">
        <is>
          <t>Rice Owls</t>
        </is>
      </c>
      <c r="AU376" s="24" t="inlineStr">
        <is>
          <t>Rice Owls</t>
        </is>
      </c>
      <c r="AV376" s="24" t="n"/>
      <c r="AW376" s="24" t="n"/>
      <c r="AX376" s="24" t="inlineStr">
        <is>
          <t>statistical_model</t>
        </is>
      </c>
      <c r="AY376" s="24" t="n"/>
      <c r="AZ376" s="24" t="inlineStr">
        <is>
          <t>shadow_qualified</t>
        </is>
      </c>
      <c r="BA376" s="24" t="inlineStr">
        <is>
          <t>1d168f11d221cd3c</t>
        </is>
      </c>
      <c r="BB376" s="24" t="inlineStr">
        <is>
          <t>cfb_key_number_engine</t>
        </is>
      </c>
      <c r="BC376" s="24" t="inlineStr">
        <is>
          <t>cfb-total-v1</t>
        </is>
      </c>
      <c r="BD376" s="24" t="inlineStr">
        <is>
          <t>1d168f11d221cd3c</t>
        </is>
      </c>
      <c r="BE376" s="24" t="inlineStr">
        <is>
          <t>cfb-v1</t>
        </is>
      </c>
      <c r="BF376" s="24" t="inlineStr">
        <is>
          <t>1</t>
        </is>
      </c>
      <c r="BG376" s="24" t="inlineStr">
        <is>
          <t>1d168f11d221cd3c</t>
        </is>
      </c>
      <c r="BH376" s="24" t="inlineStr">
        <is>
          <t>2026-09-19T22:46:25.988423+00:00</t>
        </is>
      </c>
      <c r="BI376" s="24" t="inlineStr">
        <is>
          <t>["same_event","same_team_same_day","same_league_same_day"]</t>
        </is>
      </c>
      <c r="BJ376" s="25" t="n">
        <v>43.5</v>
      </c>
      <c r="BK376" s="26" t="n">
        <v>-115</v>
      </c>
      <c r="BL376" s="27" t="n">
        <v>1.869565</v>
      </c>
      <c r="BM376" s="28" t="n">
        <v>0.534884</v>
      </c>
      <c r="BN376" s="28" t="n"/>
      <c r="BO376" s="28" t="n"/>
      <c r="BP376" s="25" t="n"/>
      <c r="BQ376" s="27" t="n"/>
      <c r="BR376" s="28" t="n"/>
      <c r="BS376" s="28" t="n"/>
      <c r="BT376" s="28" t="n"/>
      <c r="BU376" s="25" t="n"/>
      <c r="BV376" s="29" t="n"/>
      <c r="BW376" s="24" t="n"/>
      <c r="BX376" s="30" t="n"/>
      <c r="BY376" s="27" t="n"/>
      <c r="BZ376" s="24" t="n"/>
      <c r="CA376" s="31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inlineStr">
        <is>
          <t>True</t>
        </is>
      </c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/>
      <c r="DH376" s="24" t="n"/>
      <c r="DI376" s="24" t="n"/>
      <c r="DJ376" s="24" t="inlineStr">
        <is>
          <t>0.534884</t>
        </is>
      </c>
      <c r="DK376" s="24" t="n"/>
      <c r="DL376" s="24" t="n"/>
      <c r="DM376" s="24" t="n"/>
      <c r="DN376" s="24" t="n"/>
      <c r="DO376" s="24" t="n"/>
      <c r="DP376" s="24" t="n"/>
      <c r="DQ376" s="24" t="inlineStr">
        <is>
          <t>{"artifact_hash": "1d168f11d221cd3c", "event_id": "401862773", "event_start_utc": "2026-09-19T23:00Z", "features": {"altitude_fatigue_penalty": 0.0, "away_team": "Western Michigan Broncos", "efficiency_gap": 0.572, "elo_away": 1696.6, "elo_home": 1242.5, "elo_home_win_prob": 0.0962, "event_id": "401862773", "game_start_utc": "2026-09-19T23:00Z", "home_field_advantage_points": 2.8, "home_team": "Rice Owls", "is_dome": false, "is_fbs_vs_fcs": false, "is_neutral_site": false, "projected_away_points": 34.3, "projected_home_points": 18.4, "projected_margin_home": -15.9, "projected_possessions": 12.4, "projected_total": 52.7, "stadium_elevation_ft": 50, "travel_distance_miles": 1025.0, "uncertainty": 0.18, "weather_total_adjustment": 0.0}, "historical_source_observation_times_verified": false, "inference_inputs": {"engine_source_sha256": "449ba2f0e86fa9c445730076a0e0bf100fb4914620be53c75c6f3bfe24298f3f", "mu_away": 34.3,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34204591444152110690353861073620387461}, "uinteger": 0}, "spread_home_line": 8.5, "total_line": 43.5}, "market_type": "total", "model_version": "cfb-total-v1", "observed_at_utc": "2026-09-19T22:46:25.988423+00:00", "probabilities": {"over": 0.624467, "push": 0.0, "under": 0.375533}, "replay_scope": "Full precision score means, exact engine parameters and original RNG state; upstream feature construction not certified.", "schema": "cfb-joint-replay-v1", "snapshot_hash": "c360693a6f054694a86c2539ebbf1bcd3cb37aade40f17773edc4f0a5ac36cb6", "sport": "NCAAF"}</t>
        </is>
      </c>
    </row>
    <row r="377" ht="36" customHeight="1">
      <c r="A377" s="24" t="inlineStr">
        <is>
          <t>a4917e5b04be485f</t>
        </is>
      </c>
      <c r="B377" s="24" t="inlineStr">
        <is>
          <t>2026-09-19T22:46:25.988423Z</t>
        </is>
      </c>
      <c r="C377" s="24" t="inlineStr">
        <is>
          <t>2026-09-19T23:00Z</t>
        </is>
      </c>
      <c r="D377" s="24" t="inlineStr">
        <is>
          <t>401862777</t>
        </is>
      </c>
      <c r="E377" s="24" t="inlineStr">
        <is>
          <t>NCAAF</t>
        </is>
      </c>
      <c r="F377" s="24" t="inlineStr">
        <is>
          <t>Delaware State Hornets</t>
        </is>
      </c>
      <c r="G377" s="24" t="inlineStr">
        <is>
          <t>South Florida Bulls</t>
        </is>
      </c>
      <c r="H377" s="24" t="inlineStr">
        <is>
          <t>spread</t>
        </is>
      </c>
      <c r="I377" s="24" t="inlineStr">
        <is>
          <t>away</t>
        </is>
      </c>
      <c r="J377" s="25" t="n">
        <v>36.5</v>
      </c>
      <c r="K377" s="24" t="inlineStr">
        <is>
          <t>espn_consensus</t>
        </is>
      </c>
      <c r="L377" s="26" t="n">
        <v>-105</v>
      </c>
      <c r="M377" s="27" t="n">
        <v>1.952381</v>
      </c>
      <c r="N377" s="28" t="n">
        <v>0.512195</v>
      </c>
      <c r="O377" s="28" t="n">
        <v>0.8599329999999999</v>
      </c>
      <c r="P377" s="28" t="n">
        <v>0.18</v>
      </c>
      <c r="Q377" s="28" t="n">
        <v>0.347738</v>
      </c>
      <c r="R377" s="26" t="n">
        <v>100</v>
      </c>
      <c r="S377" s="29" t="n">
        <v>2</v>
      </c>
      <c r="T377" s="24" t="inlineStr">
        <is>
          <t>cfb-spread-v1</t>
        </is>
      </c>
      <c r="U377" s="24" t="inlineStr">
        <is>
          <t>settled</t>
        </is>
      </c>
      <c r="V377" s="24" t="inlineStr">
        <is>
          <t>loss</t>
        </is>
      </c>
      <c r="W377" s="26" t="n">
        <v>17</v>
      </c>
      <c r="X377" s="26" t="n">
        <v>59</v>
      </c>
      <c r="Y377" s="25" t="n"/>
      <c r="Z377" s="26" t="n"/>
      <c r="AA377" s="28" t="n"/>
      <c r="AB377" s="28" t="n"/>
      <c r="AC377" s="30" t="n">
        <v>-2</v>
      </c>
      <c r="AD377" s="24" t="inlineStr">
        <is>
          <t>2026-09-20T04:31:48.822597Z</t>
        </is>
      </c>
      <c r="AE377" s="31" t="inlineStr">
        <is>
          <t>Projected home margin +15.7 pts. Spread: Home -36.5 / Away +36.5 -&gt; P(Away cover)=0.860, P(Home cover)=0.140, P(Push)=0.000.</t>
        </is>
      </c>
      <c r="AF377" s="31" t="inlineStr">
        <is>
          <t>College football model; multi-market (moneyline, spread, total).</t>
        </is>
      </c>
      <c r="AG377" s="24" t="inlineStr">
        <is>
          <t>review_required</t>
        </is>
      </c>
      <c r="AH377" s="24" t="n"/>
      <c r="AI377" s="31" t="n"/>
      <c r="AJ377" s="31" t="n"/>
      <c r="AK377" s="24" t="inlineStr">
        <is>
          <t>model_qualified</t>
        </is>
      </c>
      <c r="AL377" s="26" t="n">
        <v>4</v>
      </c>
      <c r="AM377" s="24" t="inlineStr">
        <is>
          <t>QUALIFIED_SHADOW_CALL</t>
        </is>
      </c>
      <c r="AN377" s="24" t="inlineStr">
        <is>
          <t>CALL</t>
        </is>
      </c>
      <c r="AO377" s="24" t="inlineStr">
        <is>
          <t>QUALIFIED</t>
        </is>
      </c>
      <c r="AP377" s="24" t="inlineStr">
        <is>
          <t>Delaware State Hornets</t>
        </is>
      </c>
      <c r="AQ377" s="24" t="inlineStr">
        <is>
          <t>Delaware State Hornets</t>
        </is>
      </c>
      <c r="AR377" s="24" t="inlineStr">
        <is>
          <t>Delaware State Hornets</t>
        </is>
      </c>
      <c r="AS377" s="24" t="inlineStr">
        <is>
          <t>South Florida Bulls</t>
        </is>
      </c>
      <c r="AT377" s="24" t="inlineStr">
        <is>
          <t>South Florida Bulls</t>
        </is>
      </c>
      <c r="AU377" s="24" t="inlineStr">
        <is>
          <t>South Florida Bulls</t>
        </is>
      </c>
      <c r="AV377" s="24" t="n"/>
      <c r="AW377" s="24" t="n"/>
      <c r="AX377" s="24" t="inlineStr">
        <is>
          <t>statistical_model</t>
        </is>
      </c>
      <c r="AY377" s="24" t="n"/>
      <c r="AZ377" s="24" t="inlineStr">
        <is>
          <t>shadow_qualified</t>
        </is>
      </c>
      <c r="BA377" s="24" t="inlineStr">
        <is>
          <t>1d168f11d221cd3c</t>
        </is>
      </c>
      <c r="BB377" s="24" t="inlineStr">
        <is>
          <t>cfb_key_number_engine</t>
        </is>
      </c>
      <c r="BC377" s="24" t="inlineStr">
        <is>
          <t>cfb-spread-v1</t>
        </is>
      </c>
      <c r="BD377" s="24" t="inlineStr">
        <is>
          <t>1d168f11d221cd3c</t>
        </is>
      </c>
      <c r="BE377" s="24" t="inlineStr">
        <is>
          <t>cfb-v1</t>
        </is>
      </c>
      <c r="BF377" s="24" t="inlineStr">
        <is>
          <t>1</t>
        </is>
      </c>
      <c r="BG377" s="24" t="inlineStr">
        <is>
          <t>1d168f11d221cd3c</t>
        </is>
      </c>
      <c r="BH377" s="24" t="inlineStr">
        <is>
          <t>2026-09-19T22:46:25.988423+00:00</t>
        </is>
      </c>
      <c r="BI377" s="24" t="inlineStr">
        <is>
          <t>["same_event","same_team_same_day","same_league_same_day"]</t>
        </is>
      </c>
      <c r="BJ377" s="25" t="n">
        <v>36.5</v>
      </c>
      <c r="BK377" s="26" t="n">
        <v>-105</v>
      </c>
      <c r="BL377" s="27" t="n">
        <v>1.952381</v>
      </c>
      <c r="BM377" s="28" t="n">
        <v>0.512195</v>
      </c>
      <c r="BN377" s="28" t="n"/>
      <c r="BO377" s="28" t="n"/>
      <c r="BP377" s="25" t="n"/>
      <c r="BQ377" s="27" t="n"/>
      <c r="BR377" s="28" t="n"/>
      <c r="BS377" s="28" t="n"/>
      <c r="BT377" s="28" t="n"/>
      <c r="BU377" s="25" t="n"/>
      <c r="BV377" s="29" t="n"/>
      <c r="BW377" s="24" t="n"/>
      <c r="BX377" s="30" t="n"/>
      <c r="BY377" s="27" t="n"/>
      <c r="BZ377" s="24" t="n"/>
      <c r="CA377" s="31" t="n"/>
      <c r="CB377" s="24" t="n"/>
      <c r="CC377" s="24" t="n"/>
      <c r="CD377" s="24" t="n"/>
      <c r="CE377" s="24" t="n"/>
      <c r="CF377" s="24" t="n"/>
      <c r="CG377" s="24" t="n"/>
      <c r="CH377" s="24" t="n"/>
      <c r="CI377" s="24" t="n"/>
      <c r="CJ377" s="24" t="n"/>
      <c r="CK377" s="24" t="n"/>
      <c r="CL377" s="24" t="n"/>
      <c r="CM377" s="24" t="n"/>
      <c r="CN377" s="24" t="n"/>
      <c r="CO377" s="24" t="n"/>
      <c r="CP377" s="24" t="n"/>
      <c r="CQ377" s="24" t="n"/>
      <c r="CR377" s="24" t="n"/>
      <c r="CS377" s="24" t="inlineStr">
        <is>
          <t>True</t>
        </is>
      </c>
      <c r="CT377" s="24" t="n"/>
      <c r="CU377" s="24" t="n"/>
      <c r="CV377" s="24" t="n"/>
      <c r="CW377" s="24" t="n"/>
      <c r="CX377" s="24" t="n"/>
      <c r="CY377" s="24" t="n"/>
      <c r="CZ377" s="24" t="n"/>
      <c r="DA377" s="24" t="n"/>
      <c r="DB377" s="24" t="n"/>
      <c r="DC377" s="24" t="n"/>
      <c r="DD377" s="24" t="n"/>
      <c r="DE377" s="24" t="n"/>
      <c r="DF377" s="24" t="n"/>
      <c r="DG377" s="24" t="n"/>
      <c r="DH377" s="24" t="n"/>
      <c r="DI377" s="24" t="n"/>
      <c r="DJ377" s="24" t="inlineStr">
        <is>
          <t>0.512195</t>
        </is>
      </c>
      <c r="DK377" s="24" t="n"/>
      <c r="DL377" s="24" t="n"/>
      <c r="DM377" s="24" t="n"/>
      <c r="DN377" s="24" t="n"/>
      <c r="DO377" s="24" t="n"/>
      <c r="DP377" s="24" t="n"/>
      <c r="DQ377" s="24" t="inlineStr">
        <is>
          <t>{"artifact_hash": "1d168f11d221cd3c", "event_id": "401862777", "event_start_utc": "2026-09-19T23:00Z", "features": {"altitude_fatigue_penalty": 0.0, "away_team": "Delaware State Hornets", "efficiency_gap": 0.727, "elo_away": 1337.5, "elo_home": 1657.2, "elo_home_win_prob": 0.9016, "event_id": "401862777", "game_start_utc": "2026-09-19T23:00Z", "home_field_advantage_points": 2.8, "home_team": "South Florida Bulls", "is_dome": false, "is_fbs_vs_fcs": false, "is_neutral_site": false, "projected_away_points": 18.8, "projected_home_points": 34.5, "projected_margin_home": 15.7,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18.8,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259507899233908077574328339526970374987}, "uinteger": 0}, "spread_home_line": -36.5, "total_line": 59.5}, "market_type": "spread", "model_version": "cfb-spread-v1", "observed_at_utc": "2026-09-19T22:46:25.988423+00:00", "probabilities": {"away": 0.859933, "home": 0.140067, "push": 0.0}, "replay_scope": "Full precision score means, exact engine parameters and original RNG state; upstream feature construction not certified.", "schema": "cfb-joint-replay-v1", "snapshot_hash": "883e127514f55fd67b833c3171960cb52e7e2f26903aedacd21a261269b162c7", "sport": "NCAAF"}</t>
        </is>
      </c>
    </row>
    <row r="378" ht="36" customHeight="1">
      <c r="A378" s="24" t="inlineStr">
        <is>
          <t>3e28a3895e8b478c</t>
        </is>
      </c>
      <c r="B378" s="24" t="inlineStr">
        <is>
          <t>2026-09-19T22:46:25.988423Z</t>
        </is>
      </c>
      <c r="C378" s="24" t="inlineStr">
        <is>
          <t>2026-09-19T23:00Z</t>
        </is>
      </c>
      <c r="D378" s="24" t="inlineStr">
        <is>
          <t>401862777</t>
        </is>
      </c>
      <c r="E378" s="24" t="inlineStr">
        <is>
          <t>NCAAF</t>
        </is>
      </c>
      <c r="F378" s="24" t="inlineStr">
        <is>
          <t>Delaware State Hornets</t>
        </is>
      </c>
      <c r="G378" s="24" t="inlineStr">
        <is>
          <t>South Florida Bulls</t>
        </is>
      </c>
      <c r="H378" s="24" t="inlineStr">
        <is>
          <t>total</t>
        </is>
      </c>
      <c r="I378" s="24" t="inlineStr">
        <is>
          <t>under</t>
        </is>
      </c>
      <c r="J378" s="25" t="n">
        <v>59.5</v>
      </c>
      <c r="K378" s="24" t="inlineStr">
        <is>
          <t>espn_consensus</t>
        </is>
      </c>
      <c r="L378" s="26" t="n">
        <v>-108</v>
      </c>
      <c r="M378" s="27" t="n">
        <v>1.925926</v>
      </c>
      <c r="N378" s="28" t="n">
        <v>0.519231</v>
      </c>
      <c r="O378" s="28" t="n">
        <v>0.626867</v>
      </c>
      <c r="P378" s="28" t="n">
        <v>0.18</v>
      </c>
      <c r="Q378" s="28" t="n">
        <v>0.107636</v>
      </c>
      <c r="R378" s="26" t="n">
        <v>0</v>
      </c>
      <c r="S378" s="29" t="n">
        <v>1</v>
      </c>
      <c r="T378" s="24" t="inlineStr">
        <is>
          <t>cfb-total-v1</t>
        </is>
      </c>
      <c r="U378" s="24" t="inlineStr">
        <is>
          <t>settled</t>
        </is>
      </c>
      <c r="V378" s="24" t="inlineStr">
        <is>
          <t>loss</t>
        </is>
      </c>
      <c r="W378" s="26" t="n">
        <v>17</v>
      </c>
      <c r="X378" s="26" t="n">
        <v>59</v>
      </c>
      <c r="Y378" s="25" t="n"/>
      <c r="Z378" s="26" t="n"/>
      <c r="AA378" s="28" t="n"/>
      <c r="AB378" s="28" t="n"/>
      <c r="AC378" s="30" t="n">
        <v>-1</v>
      </c>
      <c r="AD378" s="24" t="inlineStr">
        <is>
          <t>2026-09-20T04:31:49.321979Z</t>
        </is>
      </c>
      <c r="AE378" s="31" t="inlineStr">
        <is>
          <t>Projected total 53.2 pts (Weather adj: +0.0 pts). Total line 59.5 -&gt; P(Over)=0.373, P(Under)=0.627, P(Push)=0.000.</t>
        </is>
      </c>
      <c r="AF378" s="31" t="inlineStr">
        <is>
          <t>College football model; multi-market (moneyline, spread, total).</t>
        </is>
      </c>
      <c r="AG378" s="24" t="inlineStr">
        <is>
          <t>review_required</t>
        </is>
      </c>
      <c r="AH378" s="24" t="n"/>
      <c r="AI378" s="31" t="n"/>
      <c r="AJ378" s="31" t="n"/>
      <c r="AK378" s="24" t="inlineStr">
        <is>
          <t>model_qualified</t>
        </is>
      </c>
      <c r="AL378" s="26" t="n">
        <v>4</v>
      </c>
      <c r="AM378" s="24" t="inlineStr">
        <is>
          <t>QUALIFIED_SHADOW_CALL</t>
        </is>
      </c>
      <c r="AN378" s="24" t="inlineStr">
        <is>
          <t>CALL</t>
        </is>
      </c>
      <c r="AO378" s="24" t="inlineStr">
        <is>
          <t>QUALIFIED</t>
        </is>
      </c>
      <c r="AP378" s="24" t="inlineStr">
        <is>
          <t>Delaware State Hornets</t>
        </is>
      </c>
      <c r="AQ378" s="24" t="inlineStr">
        <is>
          <t>Delaware State Hornets</t>
        </is>
      </c>
      <c r="AR378" s="24" t="inlineStr">
        <is>
          <t>Delaware State Hornets</t>
        </is>
      </c>
      <c r="AS378" s="24" t="inlineStr">
        <is>
          <t>South Florida Bulls</t>
        </is>
      </c>
      <c r="AT378" s="24" t="inlineStr">
        <is>
          <t>South Florida Bulls</t>
        </is>
      </c>
      <c r="AU378" s="24" t="inlineStr">
        <is>
          <t>South Florida Bulls</t>
        </is>
      </c>
      <c r="AV378" s="24" t="n"/>
      <c r="AW378" s="24" t="n"/>
      <c r="AX378" s="24" t="inlineStr">
        <is>
          <t>statistical_model</t>
        </is>
      </c>
      <c r="AY378" s="24" t="n"/>
      <c r="AZ378" s="24" t="inlineStr">
        <is>
          <t>shadow_qualified</t>
        </is>
      </c>
      <c r="BA378" s="24" t="inlineStr">
        <is>
          <t>1d168f11d221cd3c</t>
        </is>
      </c>
      <c r="BB378" s="24" t="inlineStr">
        <is>
          <t>cfb_key_number_engine</t>
        </is>
      </c>
      <c r="BC378" s="24" t="inlineStr">
        <is>
          <t>cfb-total-v1</t>
        </is>
      </c>
      <c r="BD378" s="24" t="inlineStr">
        <is>
          <t>1d168f11d221cd3c</t>
        </is>
      </c>
      <c r="BE378" s="24" t="inlineStr">
        <is>
          <t>cfb-v1</t>
        </is>
      </c>
      <c r="BF378" s="24" t="inlineStr">
        <is>
          <t>1</t>
        </is>
      </c>
      <c r="BG378" s="24" t="inlineStr">
        <is>
          <t>1d168f11d221cd3c</t>
        </is>
      </c>
      <c r="BH378" s="24" t="inlineStr">
        <is>
          <t>2026-09-19T22:46:25.988423+00:00</t>
        </is>
      </c>
      <c r="BI378" s="24" t="inlineStr">
        <is>
          <t>["same_event","same_team_same_day","same_league_same_day"]</t>
        </is>
      </c>
      <c r="BJ378" s="25" t="n">
        <v>59.5</v>
      </c>
      <c r="BK378" s="26" t="n">
        <v>-108</v>
      </c>
      <c r="BL378" s="27" t="n">
        <v>1.925926</v>
      </c>
      <c r="BM378" s="28" t="n">
        <v>0.519231</v>
      </c>
      <c r="BN378" s="28" t="n"/>
      <c r="BO378" s="28" t="n"/>
      <c r="BP378" s="25" t="n"/>
      <c r="BQ378" s="27" t="n"/>
      <c r="BR378" s="28" t="n"/>
      <c r="BS378" s="28" t="n"/>
      <c r="BT378" s="28" t="n"/>
      <c r="BU378" s="25" t="n"/>
      <c r="BV378" s="29" t="n"/>
      <c r="BW378" s="24" t="n"/>
      <c r="BX378" s="30" t="n"/>
      <c r="BY378" s="27" t="n"/>
      <c r="BZ378" s="24" t="n"/>
      <c r="CA378" s="31" t="n"/>
      <c r="CB378" s="24" t="n"/>
      <c r="CC378" s="24" t="n"/>
      <c r="CD378" s="24" t="n"/>
      <c r="CE378" s="24" t="n"/>
      <c r="CF378" s="24" t="n"/>
      <c r="CG378" s="24" t="n"/>
      <c r="CH378" s="24" t="n"/>
      <c r="CI378" s="24" t="n"/>
      <c r="CJ378" s="24" t="n"/>
      <c r="CK378" s="24" t="n"/>
      <c r="CL378" s="24" t="n"/>
      <c r="CM378" s="24" t="n"/>
      <c r="CN378" s="24" t="n"/>
      <c r="CO378" s="24" t="n"/>
      <c r="CP378" s="24" t="n"/>
      <c r="CQ378" s="24" t="n"/>
      <c r="CR378" s="24" t="n"/>
      <c r="CS378" s="24" t="inlineStr">
        <is>
          <t>True</t>
        </is>
      </c>
      <c r="CT378" s="24" t="n"/>
      <c r="CU378" s="24" t="n"/>
      <c r="CV378" s="24" t="n"/>
      <c r="CW378" s="24" t="n"/>
      <c r="CX378" s="24" t="n"/>
      <c r="CY378" s="24" t="n"/>
      <c r="CZ378" s="24" t="n"/>
      <c r="DA378" s="24" t="n"/>
      <c r="DB378" s="24" t="n"/>
      <c r="DC378" s="24" t="n"/>
      <c r="DD378" s="24" t="n"/>
      <c r="DE378" s="24" t="n"/>
      <c r="DF378" s="24" t="n"/>
      <c r="DG378" s="24" t="n"/>
      <c r="DH378" s="24" t="n"/>
      <c r="DI378" s="24" t="n"/>
      <c r="DJ378" s="24" t="inlineStr">
        <is>
          <t>0.519231</t>
        </is>
      </c>
      <c r="DK378" s="24" t="n"/>
      <c r="DL378" s="24" t="n"/>
      <c r="DM378" s="24" t="n"/>
      <c r="DN378" s="24" t="n"/>
      <c r="DO378" s="24" t="n"/>
      <c r="DP378" s="24" t="n"/>
      <c r="DQ378" s="24" t="inlineStr">
        <is>
          <t>{"artifact_hash": "1d168f11d221cd3c", "event_id": "401862777", "event_start_utc": "2026-09-19T23:00Z", "features": {"altitude_fatigue_penalty": 0.0, "away_team": "Delaware State Hornets", "efficiency_gap": 0.727, "elo_away": 1337.5, "elo_home": 1657.2, "elo_home_win_prob": 0.9016, "event_id": "401862777", "game_start_utc": "2026-09-19T23:00Z", "home_field_advantage_points": 2.8, "home_team": "South Florida Bulls", "is_dome": false, "is_fbs_vs_fcs": false, "is_neutral_site": false, "projected_away_points": 18.8, "projected_home_points": 34.5, "projected_margin_home": 15.7, "projected_possessions": 12.4, "projected_total": 53.2,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18.8,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259507899233908077574328339526970374987}, "uinteger": 0}, "spread_home_line": -36.5, "total_line": 59.5}, "market_type": "total", "model_version": "cfb-total-v1", "observed_at_utc": "2026-09-19T22:46:25.988423+00:00", "probabilities": {"over": 0.373133, "push": 0.0, "under": 0.626867}, "replay_scope": "Full precision score means, exact engine parameters and original RNG state; upstream feature construction not certified.", "schema": "cfb-joint-replay-v1", "snapshot_hash": "69849dca865bbb31cc92ed31f591ab447ead11bb07c2bb1e3f99031779d32769", "sport": "NCAAF"}</t>
        </is>
      </c>
    </row>
    <row r="379" ht="36" customHeight="1">
      <c r="A379" s="24" t="inlineStr">
        <is>
          <t>ef22d46b3c7e4f1b</t>
        </is>
      </c>
      <c r="B379" s="24" t="inlineStr">
        <is>
          <t>2026-09-19T22:46:25.988423Z</t>
        </is>
      </c>
      <c r="C379" s="24" t="inlineStr">
        <is>
          <t>2026-09-19T23:00Z</t>
        </is>
      </c>
      <c r="D379" s="24" t="inlineStr">
        <is>
          <t>401864443</t>
        </is>
      </c>
      <c r="E379" s="24" t="inlineStr">
        <is>
          <t>NCAAF</t>
        </is>
      </c>
      <c r="F379" s="24" t="inlineStr">
        <is>
          <t>Nevada Wolf Pack</t>
        </is>
      </c>
      <c r="G379" s="24" t="inlineStr">
        <is>
          <t>Middle Tennessee Blue Raiders</t>
        </is>
      </c>
      <c r="H379" s="24" t="inlineStr">
        <is>
          <t>moneyline</t>
        </is>
      </c>
      <c r="I379" s="24" t="inlineStr">
        <is>
          <t>away</t>
        </is>
      </c>
      <c r="J379" s="25" t="n"/>
      <c r="K379" s="24" t="inlineStr">
        <is>
          <t>espn_consensus</t>
        </is>
      </c>
      <c r="L379" s="26" t="n">
        <v>-180</v>
      </c>
      <c r="M379" s="27" t="n">
        <v>1.555556</v>
      </c>
      <c r="N379" s="28" t="n">
        <v>0.642857</v>
      </c>
      <c r="O379" s="28" t="n">
        <v>0.5123490000000001</v>
      </c>
      <c r="P379" s="28" t="n">
        <v>0.18</v>
      </c>
      <c r="Q379" s="28" t="n">
        <v>-0.130508</v>
      </c>
      <c r="R379" s="26" t="n">
        <v>0</v>
      </c>
      <c r="S379" s="29" t="n">
        <v>1</v>
      </c>
      <c r="T379" s="24" t="inlineStr">
        <is>
          <t>college-football-v1</t>
        </is>
      </c>
      <c r="U379" s="24" t="inlineStr">
        <is>
          <t>settled</t>
        </is>
      </c>
      <c r="V379" s="24" t="inlineStr">
        <is>
          <t>loss</t>
        </is>
      </c>
      <c r="W379" s="26" t="n">
        <v>20</v>
      </c>
      <c r="X379" s="26" t="n">
        <v>27</v>
      </c>
      <c r="Y379" s="25" t="n"/>
      <c r="Z379" s="26" t="n"/>
      <c r="AA379" s="28" t="n"/>
      <c r="AB379" s="28" t="n"/>
      <c r="AC379" s="30" t="n">
        <v>-1</v>
      </c>
      <c r="AD379" s="24" t="inlineStr">
        <is>
          <t>2026-09-20T04:31:49.821345Z</t>
        </is>
      </c>
      <c r="AE379" s="31" t="inlineStr">
        <is>
          <t>CFB Joint Model (negative_binomial): proj score Nevada Wolf Pack 27.3 @ Middle Tennessee Blue Raiders 26.7 (Margin -0.5). Possessions: 12.4, HFA: +2.8 pts.</t>
        </is>
      </c>
      <c r="AF379" s="31" t="inlineStr">
        <is>
          <t>College football model; multi-market (moneyline, spread, total).</t>
        </is>
      </c>
      <c r="AG379" s="24" t="inlineStr">
        <is>
          <t>review_required</t>
        </is>
      </c>
      <c r="AH379" s="24" t="n"/>
      <c r="AI379" s="31" t="n"/>
      <c r="AJ379" s="31" t="n"/>
      <c r="AK379" s="24" t="inlineStr">
        <is>
          <t>paper_call</t>
        </is>
      </c>
      <c r="AL379" s="26" t="n">
        <v>4</v>
      </c>
      <c r="AM379" s="24" t="inlineStr">
        <is>
          <t>RESEARCH_OBSERVATION</t>
        </is>
      </c>
      <c r="AN379" s="24" t="inlineStr">
        <is>
          <t>CALL</t>
        </is>
      </c>
      <c r="AO379" s="24" t="inlineStr">
        <is>
          <t>PAPER_CALL_LOW_EDGE</t>
        </is>
      </c>
      <c r="AP379" s="24" t="inlineStr">
        <is>
          <t>Nevada Wolf Pack</t>
        </is>
      </c>
      <c r="AQ379" s="24" t="inlineStr">
        <is>
          <t>Nevada Wolf Pack</t>
        </is>
      </c>
      <c r="AR379" s="24" t="inlineStr">
        <is>
          <t>Nevada Wolf Pack</t>
        </is>
      </c>
      <c r="AS379" s="24" t="inlineStr">
        <is>
          <t>Middle Tennessee Blue Raiders</t>
        </is>
      </c>
      <c r="AT379" s="24" t="inlineStr">
        <is>
          <t>Middle Tennessee Blue Raiders</t>
        </is>
      </c>
      <c r="AU379" s="24" t="inlineStr">
        <is>
          <t>Middle Tennessee Blue Raiders</t>
        </is>
      </c>
      <c r="AV379" s="24" t="n"/>
      <c r="AW379" s="24" t="n"/>
      <c r="AX379" s="24" t="inlineStr">
        <is>
          <t>statistical_model</t>
        </is>
      </c>
      <c r="AY379" s="24" t="n"/>
      <c r="AZ379" s="24" t="inlineStr">
        <is>
          <t>shadow_qualified</t>
        </is>
      </c>
      <c r="BA379" s="24" t="inlineStr">
        <is>
          <t>1d168f11d221cd3c</t>
        </is>
      </c>
      <c r="BB379" s="24" t="inlineStr">
        <is>
          <t>cfb_key_number_engine</t>
        </is>
      </c>
      <c r="BC379" s="24" t="inlineStr">
        <is>
          <t>college-football-v1</t>
        </is>
      </c>
      <c r="BD379" s="24" t="inlineStr">
        <is>
          <t>1d168f11d221cd3c</t>
        </is>
      </c>
      <c r="BE379" s="24" t="inlineStr">
        <is>
          <t>cfb-v1</t>
        </is>
      </c>
      <c r="BF379" s="24" t="inlineStr">
        <is>
          <t>1</t>
        </is>
      </c>
      <c r="BG379" s="24" t="inlineStr">
        <is>
          <t>1d168f11d221cd3c</t>
        </is>
      </c>
      <c r="BH379" s="24" t="inlineStr">
        <is>
          <t>2026-09-19T22:46:25.988423+00:00</t>
        </is>
      </c>
      <c r="BI379" s="24" t="inlineStr">
        <is>
          <t>["same_event","same_team_same_day","same_league_same_day"]</t>
        </is>
      </c>
      <c r="BJ379" s="25" t="n"/>
      <c r="BK379" s="26" t="n">
        <v>-180</v>
      </c>
      <c r="BL379" s="27" t="n">
        <v>1.555556</v>
      </c>
      <c r="BM379" s="28" t="n">
        <v>0.642857</v>
      </c>
      <c r="BN379" s="28" t="n"/>
      <c r="BO379" s="28" t="n"/>
      <c r="BP379" s="25" t="n"/>
      <c r="BQ379" s="27" t="n"/>
      <c r="BR379" s="28" t="n"/>
      <c r="BS379" s="28" t="n"/>
      <c r="BT379" s="28" t="n"/>
      <c r="BU379" s="25" t="n"/>
      <c r="BV379" s="29" t="n"/>
      <c r="BW379" s="24" t="n"/>
      <c r="BX379" s="30" t="n">
        <v>1</v>
      </c>
      <c r="BY379" s="27" t="n">
        <v>-1</v>
      </c>
      <c r="BZ379" s="24" t="inlineStr">
        <is>
          <t>2026-09-20T04:31:49.821345Z</t>
        </is>
      </c>
      <c r="CA379" s="31" t="inlineStr">
        <is>
          <t>fixed one-unit hypothetical scoring; no real exposure or execution</t>
        </is>
      </c>
      <c r="CB379" s="24" t="n"/>
      <c r="CC379" s="24" t="n"/>
      <c r="CD379" s="24" t="n"/>
      <c r="CE379" s="24" t="n"/>
      <c r="CF379" s="24" t="n"/>
      <c r="CG379" s="24" t="n"/>
      <c r="CH379" s="24" t="n"/>
      <c r="CI379" s="24" t="n"/>
      <c r="CJ379" s="24" t="n"/>
      <c r="CK379" s="24" t="n"/>
      <c r="CL379" s="24" t="n"/>
      <c r="CM379" s="24" t="n"/>
      <c r="CN379" s="24" t="n"/>
      <c r="CO379" s="24" t="n"/>
      <c r="CP379" s="24" t="n"/>
      <c r="CQ379" s="24" t="n"/>
      <c r="CR379" s="24" t="n"/>
      <c r="CS379" s="24" t="inlineStr">
        <is>
          <t>False</t>
        </is>
      </c>
      <c r="CT379" s="24" t="n"/>
      <c r="CU379" s="24" t="n"/>
      <c r="CV379" s="24" t="n"/>
      <c r="CW379" s="24" t="n"/>
      <c r="CX379" s="24" t="n"/>
      <c r="CY379" s="24" t="n"/>
      <c r="CZ379" s="24" t="n"/>
      <c r="DA379" s="24" t="n"/>
      <c r="DB379" s="24" t="n"/>
      <c r="DC379" s="24" t="n"/>
      <c r="DD379" s="24" t="n"/>
      <c r="DE379" s="24" t="n"/>
      <c r="DF379" s="24" t="n"/>
      <c r="DG379" s="24" t="n"/>
      <c r="DH379" s="24" t="n"/>
      <c r="DI379" s="24" t="n"/>
      <c r="DJ379" s="24" t="inlineStr">
        <is>
          <t>0.642857</t>
        </is>
      </c>
      <c r="DK379" s="24" t="n"/>
      <c r="DL379" s="24" t="n"/>
      <c r="DM379" s="24" t="n"/>
      <c r="DN379" s="24" t="n"/>
      <c r="DO379" s="24" t="n"/>
      <c r="DP379" s="24" t="n"/>
      <c r="DQ379" s="24" t="inlineStr">
        <is>
          <t>{"artifact_hash": "1d168f11d221cd3c", "event_id": "401864443", "event_start_utc": "2026-09-19T23:00Z", "features": {"altitude_fatigue_penalty": 0.0, "away_team": "Nevada Wolf Pack", "efficiency_gap": -1.653, "elo_away": 1415.9, "elo_home": 1337.5, "elo_home_win_prob": 0.4807, "event_id": "401864443", "game_start_utc": "2026-09-19T23:00Z", "home_field_advantage_points": 2.8, "home_team": "Middle Tennessee Blue Raiders", "is_dome": false, "is_fbs_vs_fcs": false, "is_neutral_site": false, "projected_away_points": 27.3, "projected_home_points": 26.7, "projected_margin_home": -0.5, "projected_possessions": 12.4, "projected_total": 54.0, "stadium_elevation_ft": 620, "travel_distance_miles": 1836.0, "uncertainty": 0.18, "weather_total_adjustment": 0.0}, "historical_source_observation_times_verified": false, "inference_inputs": {"engine_source_sha256": "449ba2f0e86fa9c445730076a0e0bf100fb4914620be53c75c6f3bfe24298f3f", "mu_away": 27.3, "mu_home": 26.7,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328089510848759114060856503657379249253}, "uinteger": 0}, "spread_home_line": 3.5, "total_line": 50.5}, "market_type": "moneyline", "model_version": "college-football-v1", "observed_at_utc": "2026-09-19T22:46:25.988423+00:00", "probabilities": {"away": 0.512349, "home": 0.487651}, "replay_scope": "Full precision score means, exact engine parameters and original RNG state; upstream feature construction not certified.", "schema": "cfb-joint-replay-v1", "snapshot_hash": "dd986cf607c73a4f55e4971bd46ade86b26728733a126872cb9f31180f077b4c", "sport": "NCAAF"}</t>
        </is>
      </c>
    </row>
    <row r="380" ht="36" customHeight="1">
      <c r="A380" s="24" t="inlineStr">
        <is>
          <t>79b9d5fbf6d04e1e</t>
        </is>
      </c>
      <c r="B380" s="24" t="inlineStr">
        <is>
          <t>2026-09-19T22:46:25.988423Z</t>
        </is>
      </c>
      <c r="C380" s="24" t="inlineStr">
        <is>
          <t>2026-09-19T23:00Z</t>
        </is>
      </c>
      <c r="D380" s="24" t="inlineStr">
        <is>
          <t>401864443</t>
        </is>
      </c>
      <c r="E380" s="24" t="inlineStr">
        <is>
          <t>NCAAF</t>
        </is>
      </c>
      <c r="F380" s="24" t="inlineStr">
        <is>
          <t>Nevada Wolf Pack</t>
        </is>
      </c>
      <c r="G380" s="24" t="inlineStr">
        <is>
          <t>Middle Tennessee Blue Raiders</t>
        </is>
      </c>
      <c r="H380" s="24" t="inlineStr">
        <is>
          <t>spread</t>
        </is>
      </c>
      <c r="I380" s="24" t="inlineStr">
        <is>
          <t>home</t>
        </is>
      </c>
      <c r="J380" s="25" t="n">
        <v>3.5</v>
      </c>
      <c r="K380" s="24" t="inlineStr">
        <is>
          <t>espn_consensus</t>
        </is>
      </c>
      <c r="L380" s="26" t="n">
        <v>-105</v>
      </c>
      <c r="M380" s="27" t="n">
        <v>1.952381</v>
      </c>
      <c r="N380" s="28" t="n">
        <v>0.512195</v>
      </c>
      <c r="O380" s="28" t="n">
        <v>0.5585329999999999</v>
      </c>
      <c r="P380" s="28" t="n">
        <v>0.18</v>
      </c>
      <c r="Q380" s="28" t="n">
        <v>0.046338</v>
      </c>
      <c r="R380" s="26" t="n">
        <v>0</v>
      </c>
      <c r="S380" s="29" t="n">
        <v>1</v>
      </c>
      <c r="T380" s="24" t="inlineStr">
        <is>
          <t>cfb-spread-v1</t>
        </is>
      </c>
      <c r="U380" s="24" t="inlineStr">
        <is>
          <t>settled</t>
        </is>
      </c>
      <c r="V380" s="24" t="inlineStr">
        <is>
          <t>win</t>
        </is>
      </c>
      <c r="W380" s="26" t="n">
        <v>20</v>
      </c>
      <c r="X380" s="26" t="n">
        <v>27</v>
      </c>
      <c r="Y380" s="25" t="n"/>
      <c r="Z380" s="26" t="n"/>
      <c r="AA380" s="28" t="n"/>
      <c r="AB380" s="28" t="n"/>
      <c r="AC380" s="30" t="n">
        <v>0.9524</v>
      </c>
      <c r="AD380" s="24" t="inlineStr">
        <is>
          <t>2026-09-20T04:31:50.313947Z</t>
        </is>
      </c>
      <c r="AE380" s="31" t="inlineStr">
        <is>
          <t>Projected home margin -0.5 pts. Spread: Home +3.5 / Away -3.5 -&gt; P(Away cover)=0.441, P(Home cover)=0.559, P(Push)=0.000.</t>
        </is>
      </c>
      <c r="AF380" s="31" t="inlineStr">
        <is>
          <t>College football model; multi-market (moneyline, spread, total).</t>
        </is>
      </c>
      <c r="AG380" s="24" t="inlineStr">
        <is>
          <t>not_applicable</t>
        </is>
      </c>
      <c r="AH380" s="24" t="n"/>
      <c r="AI380" s="31" t="n"/>
      <c r="AJ380" s="31" t="n"/>
      <c r="AK380" s="24" t="inlineStr">
        <is>
          <t>model_qualified</t>
        </is>
      </c>
      <c r="AL380" s="26" t="n">
        <v>4</v>
      </c>
      <c r="AM380" s="24" t="inlineStr">
        <is>
          <t>QUALIFIED_SHADOW_CALL</t>
        </is>
      </c>
      <c r="AN380" s="24" t="inlineStr">
        <is>
          <t>CALL</t>
        </is>
      </c>
      <c r="AO380" s="24" t="inlineStr">
        <is>
          <t>QUALIFIED</t>
        </is>
      </c>
      <c r="AP380" s="24" t="inlineStr">
        <is>
          <t>Nevada Wolf Pack</t>
        </is>
      </c>
      <c r="AQ380" s="24" t="inlineStr">
        <is>
          <t>Nevada Wolf Pack</t>
        </is>
      </c>
      <c r="AR380" s="24" t="inlineStr">
        <is>
          <t>Nevada Wolf Pack</t>
        </is>
      </c>
      <c r="AS380" s="24" t="inlineStr">
        <is>
          <t>Middle Tennessee Blue Raiders</t>
        </is>
      </c>
      <c r="AT380" s="24" t="inlineStr">
        <is>
          <t>Middle Tennessee Blue Raiders</t>
        </is>
      </c>
      <c r="AU380" s="24" t="inlineStr">
        <is>
          <t>Middle Tennessee Blue Raiders</t>
        </is>
      </c>
      <c r="AV380" s="24" t="n"/>
      <c r="AW380" s="24" t="n"/>
      <c r="AX380" s="24" t="inlineStr">
        <is>
          <t>statistical_model</t>
        </is>
      </c>
      <c r="AY380" s="24" t="n"/>
      <c r="AZ380" s="24" t="inlineStr">
        <is>
          <t>shadow_qualified</t>
        </is>
      </c>
      <c r="BA380" s="24" t="inlineStr">
        <is>
          <t>1d168f11d221cd3c</t>
        </is>
      </c>
      <c r="BB380" s="24" t="inlineStr">
        <is>
          <t>cfb_key_number_engine</t>
        </is>
      </c>
      <c r="BC380" s="24" t="inlineStr">
        <is>
          <t>cfb-spread-v1</t>
        </is>
      </c>
      <c r="BD380" s="24" t="inlineStr">
        <is>
          <t>1d168f11d221cd3c</t>
        </is>
      </c>
      <c r="BE380" s="24" t="inlineStr">
        <is>
          <t>cfb-v1</t>
        </is>
      </c>
      <c r="BF380" s="24" t="inlineStr">
        <is>
          <t>1</t>
        </is>
      </c>
      <c r="BG380" s="24" t="inlineStr">
        <is>
          <t>1d168f11d221cd3c</t>
        </is>
      </c>
      <c r="BH380" s="24" t="inlineStr">
        <is>
          <t>2026-09-19T22:46:25.988423+00:00</t>
        </is>
      </c>
      <c r="BI380" s="24" t="inlineStr">
        <is>
          <t>["same_event","same_team_same_day","same_league_same_day"]</t>
        </is>
      </c>
      <c r="BJ380" s="25" t="n">
        <v>3.5</v>
      </c>
      <c r="BK380" s="26" t="n">
        <v>-105</v>
      </c>
      <c r="BL380" s="27" t="n">
        <v>1.952381</v>
      </c>
      <c r="BM380" s="28" t="n">
        <v>0.512195</v>
      </c>
      <c r="BN380" s="28" t="n"/>
      <c r="BO380" s="28" t="n"/>
      <c r="BP380" s="25" t="n"/>
      <c r="BQ380" s="27" t="n"/>
      <c r="BR380" s="28" t="n"/>
      <c r="BS380" s="28" t="n"/>
      <c r="BT380" s="28" t="n"/>
      <c r="BU380" s="25" t="n"/>
      <c r="BV380" s="29" t="n"/>
      <c r="BW380" s="24" t="n"/>
      <c r="BX380" s="30" t="n"/>
      <c r="BY380" s="27" t="n"/>
      <c r="BZ380" s="24" t="n"/>
      <c r="CA380" s="31" t="n"/>
      <c r="CB380" s="24" t="n"/>
      <c r="CC380" s="24" t="n"/>
      <c r="CD380" s="24" t="n"/>
      <c r="CE380" s="24" t="n"/>
      <c r="CF380" s="24" t="n"/>
      <c r="CG380" s="24" t="n"/>
      <c r="CH380" s="24" t="n"/>
      <c r="CI380" s="24" t="n"/>
      <c r="CJ380" s="24" t="n"/>
      <c r="CK380" s="24" t="n"/>
      <c r="CL380" s="24" t="n"/>
      <c r="CM380" s="24" t="n"/>
      <c r="CN380" s="24" t="n"/>
      <c r="CO380" s="24" t="n"/>
      <c r="CP380" s="24" t="n"/>
      <c r="CQ380" s="24" t="n"/>
      <c r="CR380" s="24" t="n"/>
      <c r="CS380" s="24" t="inlineStr">
        <is>
          <t>True</t>
        </is>
      </c>
      <c r="CT380" s="24" t="n"/>
      <c r="CU380" s="24" t="n"/>
      <c r="CV380" s="24" t="n"/>
      <c r="CW380" s="24" t="n"/>
      <c r="CX380" s="24" t="n"/>
      <c r="CY380" s="24" t="n"/>
      <c r="CZ380" s="24" t="n"/>
      <c r="DA380" s="24" t="n"/>
      <c r="DB380" s="24" t="n"/>
      <c r="DC380" s="24" t="n"/>
      <c r="DD380" s="24" t="n"/>
      <c r="DE380" s="24" t="n"/>
      <c r="DF380" s="24" t="n"/>
      <c r="DG380" s="24" t="n"/>
      <c r="DH380" s="24" t="n"/>
      <c r="DI380" s="24" t="n"/>
      <c r="DJ380" s="24" t="inlineStr">
        <is>
          <t>0.512195</t>
        </is>
      </c>
      <c r="DK380" s="24" t="n"/>
      <c r="DL380" s="24" t="n"/>
      <c r="DM380" s="24" t="n"/>
      <c r="DN380" s="24" t="n"/>
      <c r="DO380" s="24" t="n"/>
      <c r="DP380" s="24" t="n"/>
      <c r="DQ380" s="24" t="inlineStr">
        <is>
          <t>{"artifact_hash": "1d168f11d221cd3c", "event_id": "401864443", "event_start_utc": "2026-09-19T23:00Z", "features": {"altitude_fatigue_penalty": 0.0, "away_team": "Nevada Wolf Pack", "efficiency_gap": -1.653, "elo_away": 1415.9, "elo_home": 1337.5, "elo_home_win_prob": 0.4807, "event_id": "401864443", "game_start_utc": "2026-09-19T23:00Z", "home_field_advantage_points": 2.8, "home_team": "Middle Tennessee Blue Raiders", "is_dome": false, "is_fbs_vs_fcs": false, "is_neutral_site": false, "projected_away_points": 27.3, "projected_home_points": 26.7, "projected_margin_home": -0.5, "projected_possessions": 12.4, "projected_total": 54.0, "stadium_elevation_ft": 620, "travel_distance_miles": 1836.0, "uncertainty": 0.18, "weather_total_adjustment": 0.0}, "historical_source_observation_times_verified": false, "inference_inputs": {"engine_source_sha256": "449ba2f0e86fa9c445730076a0e0bf100fb4914620be53c75c6f3bfe24298f3f", "mu_away": 27.3, "mu_home": 26.7,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328089510848759114060856503657379249253}, "uinteger": 0}, "spread_home_line": 3.5, "total_line": 50.5}, "market_type": "spread", "model_version": "cfb-spread-v1", "observed_at_utc": "2026-09-19T22:46:25.988423+00:00", "probabilities": {"away": 0.441467, "home": 0.558533, "push": 0.0}, "replay_scope": "Full precision score means, exact engine parameters and original RNG state; upstream feature construction not certified.", "schema": "cfb-joint-replay-v1", "snapshot_hash": "41badefe041ac31e930455e754f88c99beb8166418ee3b42a23824e8477f59c3", "sport": "NCAAF"}</t>
        </is>
      </c>
    </row>
    <row r="381" ht="36" customHeight="1">
      <c r="A381" s="24" t="inlineStr">
        <is>
          <t>3d4f48cdbec9435c</t>
        </is>
      </c>
      <c r="B381" s="24" t="inlineStr">
        <is>
          <t>2026-09-19T22:46:25.988423Z</t>
        </is>
      </c>
      <c r="C381" s="24" t="inlineStr">
        <is>
          <t>2026-09-19T23:00Z</t>
        </is>
      </c>
      <c r="D381" s="24" t="inlineStr">
        <is>
          <t>401864443</t>
        </is>
      </c>
      <c r="E381" s="24" t="inlineStr">
        <is>
          <t>NCAAF</t>
        </is>
      </c>
      <c r="F381" s="24" t="inlineStr">
        <is>
          <t>Nevada Wolf Pack</t>
        </is>
      </c>
      <c r="G381" s="24" t="inlineStr">
        <is>
          <t>Middle Tennessee Blue Raiders</t>
        </is>
      </c>
      <c r="H381" s="24" t="inlineStr">
        <is>
          <t>total</t>
        </is>
      </c>
      <c r="I381" s="24" t="inlineStr">
        <is>
          <t>over</t>
        </is>
      </c>
      <c r="J381" s="25" t="n">
        <v>50.5</v>
      </c>
      <c r="K381" s="24" t="inlineStr">
        <is>
          <t>espn_consensus</t>
        </is>
      </c>
      <c r="L381" s="26" t="n">
        <v>-112</v>
      </c>
      <c r="M381" s="27" t="n">
        <v>1.892857</v>
      </c>
      <c r="N381" s="28" t="n">
        <v>0.528302</v>
      </c>
      <c r="O381" s="28" t="n">
        <v>0.5258</v>
      </c>
      <c r="P381" s="28" t="n">
        <v>0.18</v>
      </c>
      <c r="Q381" s="28" t="n">
        <v>-0.002502</v>
      </c>
      <c r="R381" s="26" t="n">
        <v>0</v>
      </c>
      <c r="S381" s="29" t="n">
        <v>1</v>
      </c>
      <c r="T381" s="24" t="inlineStr">
        <is>
          <t>cfb-total-v1</t>
        </is>
      </c>
      <c r="U381" s="24" t="inlineStr">
        <is>
          <t>settled</t>
        </is>
      </c>
      <c r="V381" s="24" t="inlineStr">
        <is>
          <t>loss</t>
        </is>
      </c>
      <c r="W381" s="26" t="n">
        <v>20</v>
      </c>
      <c r="X381" s="26" t="n">
        <v>27</v>
      </c>
      <c r="Y381" s="25" t="n"/>
      <c r="Z381" s="26" t="n"/>
      <c r="AA381" s="28" t="n"/>
      <c r="AB381" s="28" t="n"/>
      <c r="AC381" s="30" t="n">
        <v>-1</v>
      </c>
      <c r="AD381" s="24" t="inlineStr">
        <is>
          <t>2026-09-20T04:31:50.813955Z</t>
        </is>
      </c>
      <c r="AE381" s="31" t="inlineStr">
        <is>
          <t>Projected total 54.0 pts (Weather adj: +0.0 pts). Total line 50.5 -&gt; P(Over)=0.526, P(Under)=0.474, P(Push)=0.000.</t>
        </is>
      </c>
      <c r="AF381" s="31" t="inlineStr">
        <is>
          <t>College football model; multi-market (moneyline, spread, total).</t>
        </is>
      </c>
      <c r="AG381" s="24" t="inlineStr">
        <is>
          <t>review_required</t>
        </is>
      </c>
      <c r="AH381" s="24" t="n"/>
      <c r="AI381" s="31" t="n"/>
      <c r="AJ381" s="31" t="n"/>
      <c r="AK381" s="24" t="inlineStr">
        <is>
          <t>paper_call</t>
        </is>
      </c>
      <c r="AL381" s="26" t="n">
        <v>4</v>
      </c>
      <c r="AM381" s="24" t="inlineStr">
        <is>
          <t>RESEARCH_OBSERVATION</t>
        </is>
      </c>
      <c r="AN381" s="24" t="inlineStr">
        <is>
          <t>CALL</t>
        </is>
      </c>
      <c r="AO381" s="24" t="inlineStr">
        <is>
          <t>PAPER_CALL_LOW_EDGE</t>
        </is>
      </c>
      <c r="AP381" s="24" t="inlineStr">
        <is>
          <t>Nevada Wolf Pack</t>
        </is>
      </c>
      <c r="AQ381" s="24" t="inlineStr">
        <is>
          <t>Nevada Wolf Pack</t>
        </is>
      </c>
      <c r="AR381" s="24" t="inlineStr">
        <is>
          <t>Nevada Wolf Pack</t>
        </is>
      </c>
      <c r="AS381" s="24" t="inlineStr">
        <is>
          <t>Middle Tennessee Blue Raiders</t>
        </is>
      </c>
      <c r="AT381" s="24" t="inlineStr">
        <is>
          <t>Middle Tennessee Blue Raiders</t>
        </is>
      </c>
      <c r="AU381" s="24" t="inlineStr">
        <is>
          <t>Middle Tennessee Blue Raiders</t>
        </is>
      </c>
      <c r="AV381" s="24" t="n"/>
      <c r="AW381" s="24" t="n"/>
      <c r="AX381" s="24" t="inlineStr">
        <is>
          <t>statistical_model</t>
        </is>
      </c>
      <c r="AY381" s="24" t="n"/>
      <c r="AZ381" s="24" t="inlineStr">
        <is>
          <t>shadow_qualified</t>
        </is>
      </c>
      <c r="BA381" s="24" t="inlineStr">
        <is>
          <t>1d168f11d221cd3c</t>
        </is>
      </c>
      <c r="BB381" s="24" t="inlineStr">
        <is>
          <t>cfb_key_number_engine</t>
        </is>
      </c>
      <c r="BC381" s="24" t="inlineStr">
        <is>
          <t>cfb-total-v1</t>
        </is>
      </c>
      <c r="BD381" s="24" t="inlineStr">
        <is>
          <t>1d168f11d221cd3c</t>
        </is>
      </c>
      <c r="BE381" s="24" t="inlineStr">
        <is>
          <t>cfb-v1</t>
        </is>
      </c>
      <c r="BF381" s="24" t="inlineStr">
        <is>
          <t>1</t>
        </is>
      </c>
      <c r="BG381" s="24" t="inlineStr">
        <is>
          <t>1d168f11d221cd3c</t>
        </is>
      </c>
      <c r="BH381" s="24" t="inlineStr">
        <is>
          <t>2026-09-19T22:46:25.988423+00:00</t>
        </is>
      </c>
      <c r="BI381" s="24" t="inlineStr">
        <is>
          <t>["same_event","same_team_same_day","same_league_same_day"]</t>
        </is>
      </c>
      <c r="BJ381" s="25" t="n">
        <v>50.5</v>
      </c>
      <c r="BK381" s="26" t="n">
        <v>-112</v>
      </c>
      <c r="BL381" s="27" t="n">
        <v>1.892857</v>
      </c>
      <c r="BM381" s="28" t="n">
        <v>0.528302</v>
      </c>
      <c r="BN381" s="28" t="n"/>
      <c r="BO381" s="28" t="n"/>
      <c r="BP381" s="25" t="n"/>
      <c r="BQ381" s="27" t="n"/>
      <c r="BR381" s="28" t="n"/>
      <c r="BS381" s="28" t="n"/>
      <c r="BT381" s="28" t="n"/>
      <c r="BU381" s="25" t="n"/>
      <c r="BV381" s="29" t="n"/>
      <c r="BW381" s="24" t="n"/>
      <c r="BX381" s="30" t="n">
        <v>1</v>
      </c>
      <c r="BY381" s="27" t="n">
        <v>-1</v>
      </c>
      <c r="BZ381" s="24" t="inlineStr">
        <is>
          <t>2026-09-20T04:31:50.813955Z</t>
        </is>
      </c>
      <c r="CA381" s="31" t="inlineStr">
        <is>
          <t>fixed one-unit hypothetical scoring; no real exposure or execution</t>
        </is>
      </c>
      <c r="CB381" s="24" t="n"/>
      <c r="CC381" s="24" t="n"/>
      <c r="CD381" s="24" t="n"/>
      <c r="CE381" s="24" t="n"/>
      <c r="CF381" s="24" t="n"/>
      <c r="CG381" s="24" t="n"/>
      <c r="CH381" s="24" t="n"/>
      <c r="CI381" s="24" t="n"/>
      <c r="CJ381" s="24" t="n"/>
      <c r="CK381" s="24" t="n"/>
      <c r="CL381" s="24" t="n"/>
      <c r="CM381" s="24" t="n"/>
      <c r="CN381" s="24" t="n"/>
      <c r="CO381" s="24" t="n"/>
      <c r="CP381" s="24" t="n"/>
      <c r="CQ381" s="24" t="n"/>
      <c r="CR381" s="24" t="n"/>
      <c r="CS381" s="24" t="inlineStr">
        <is>
          <t>False</t>
        </is>
      </c>
      <c r="CT381" s="24" t="n"/>
      <c r="CU381" s="24" t="n"/>
      <c r="CV381" s="24" t="n"/>
      <c r="CW381" s="24" t="n"/>
      <c r="CX381" s="24" t="n"/>
      <c r="CY381" s="24" t="n"/>
      <c r="CZ381" s="24" t="n"/>
      <c r="DA381" s="24" t="n"/>
      <c r="DB381" s="24" t="n"/>
      <c r="DC381" s="24" t="n"/>
      <c r="DD381" s="24" t="n"/>
      <c r="DE381" s="24" t="n"/>
      <c r="DF381" s="24" t="n"/>
      <c r="DG381" s="24" t="n"/>
      <c r="DH381" s="24" t="n"/>
      <c r="DI381" s="24" t="n"/>
      <c r="DJ381" s="24" t="inlineStr">
        <is>
          <t>0.528302</t>
        </is>
      </c>
      <c r="DK381" s="24" t="n"/>
      <c r="DL381" s="24" t="n"/>
      <c r="DM381" s="24" t="n"/>
      <c r="DN381" s="24" t="n"/>
      <c r="DO381" s="24" t="n"/>
      <c r="DP381" s="24" t="n"/>
      <c r="DQ381" s="24" t="inlineStr">
        <is>
          <t>{"artifact_hash": "1d168f11d221cd3c", "event_id": "401864443", "event_start_utc": "2026-09-19T23:00Z", "features": {"altitude_fatigue_penalty": 0.0, "away_team": "Nevada Wolf Pack", "efficiency_gap": -1.653, "elo_away": 1415.9, "elo_home": 1337.5, "elo_home_win_prob": 0.4807, "event_id": "401864443", "game_start_utc": "2026-09-19T23:00Z", "home_field_advantage_points": 2.8, "home_team": "Middle Tennessee Blue Raiders", "is_dome": false, "is_fbs_vs_fcs": false, "is_neutral_site": false, "projected_away_points": 27.3, "projected_home_points": 26.7, "projected_margin_home": -0.5, "projected_possessions": 12.4, "projected_total": 54.0, "stadium_elevation_ft": 620, "travel_distance_miles": 1836.0, "uncertainty": 0.18, "weather_total_adjustment": 0.0}, "historical_source_observation_times_verified": false, "inference_inputs": {"engine_source_sha256": "449ba2f0e86fa9c445730076a0e0bf100fb4914620be53c75c6f3bfe24298f3f", "mu_away": 27.3, "mu_home": 26.7,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328089510848759114060856503657379249253}, "uinteger": 0}, "spread_home_line": 3.5, "total_line": 50.5}, "market_type": "total", "model_version": "cfb-total-v1", "observed_at_utc": "2026-09-19T22:46:25.988423+00:00", "probabilities": {"over": 0.5258, "push": 0.0, "under": 0.4742}, "replay_scope": "Full precision score means, exact engine parameters and original RNG state; upstream feature construction not certified.", "schema": "cfb-joint-replay-v1", "snapshot_hash": "f174301ccebc991ebbc816369927dd64b2edf14bddffbad07d1bd679da020bc2", "sport": "NCAAF"}</t>
        </is>
      </c>
    </row>
    <row r="382" ht="36" customHeight="1">
      <c r="A382" s="24" t="inlineStr">
        <is>
          <t>ceeb8bea74954692</t>
        </is>
      </c>
      <c r="B382" s="24" t="inlineStr">
        <is>
          <t>2026-09-19T22:46:25.988423Z</t>
        </is>
      </c>
      <c r="C382" s="24" t="inlineStr">
        <is>
          <t>2026-09-19T23:00Z</t>
        </is>
      </c>
      <c r="D382" s="24" t="inlineStr">
        <is>
          <t>401866423</t>
        </is>
      </c>
      <c r="E382" s="24" t="inlineStr">
        <is>
          <t>NCAAF</t>
        </is>
      </c>
      <c r="F382" s="24" t="inlineStr">
        <is>
          <t>Ohio Bobcats</t>
        </is>
      </c>
      <c r="G382" s="24" t="inlineStr">
        <is>
          <t>South Alabama Jaguars</t>
        </is>
      </c>
      <c r="H382" s="24" t="inlineStr">
        <is>
          <t>moneyline</t>
        </is>
      </c>
      <c r="I382" s="24" t="inlineStr">
        <is>
          <t>away</t>
        </is>
      </c>
      <c r="J382" s="25" t="n"/>
      <c r="K382" s="24" t="inlineStr">
        <is>
          <t>espn_consensus</t>
        </is>
      </c>
      <c r="L382" s="26" t="n">
        <v>220</v>
      </c>
      <c r="M382" s="27" t="n">
        <v>3.2</v>
      </c>
      <c r="N382" s="28" t="n">
        <v>0.3125</v>
      </c>
      <c r="O382" s="28" t="n">
        <v>0.6245810000000001</v>
      </c>
      <c r="P382" s="28" t="n">
        <v>0.18</v>
      </c>
      <c r="Q382" s="28" t="n">
        <v>0.312081</v>
      </c>
      <c r="R382" s="26" t="n">
        <v>98</v>
      </c>
      <c r="S382" s="29" t="n">
        <v>2</v>
      </c>
      <c r="T382" s="24" t="inlineStr">
        <is>
          <t>college-football-v1</t>
        </is>
      </c>
      <c r="U382" s="24" t="inlineStr">
        <is>
          <t>settled</t>
        </is>
      </c>
      <c r="V382" s="24" t="inlineStr">
        <is>
          <t>loss</t>
        </is>
      </c>
      <c r="W382" s="26" t="n">
        <v>36</v>
      </c>
      <c r="X382" s="26" t="n">
        <v>41</v>
      </c>
      <c r="Y382" s="25" t="n"/>
      <c r="Z382" s="26" t="n"/>
      <c r="AA382" s="28" t="n"/>
      <c r="AB382" s="28" t="n"/>
      <c r="AC382" s="30" t="n">
        <v>-2</v>
      </c>
      <c r="AD382" s="24" t="inlineStr">
        <is>
          <t>2026-09-20T04:31:51.309292Z</t>
        </is>
      </c>
      <c r="AE382" s="31" t="inlineStr">
        <is>
          <t>CFB Joint Model (negative_binomial): proj score Ohio Bobcats 29.4 @ South Alabama Jaguars 23.5 (Margin -5.9). Possessions: 12.4, HFA: +2.8 pts.</t>
        </is>
      </c>
      <c r="AF382" s="31" t="inlineStr">
        <is>
          <t>College football model; multi-market (moneyline, spread, total).</t>
        </is>
      </c>
      <c r="AG382" s="24" t="inlineStr">
        <is>
          <t>review_required</t>
        </is>
      </c>
      <c r="AH382" s="24" t="n"/>
      <c r="AI382" s="31" t="n"/>
      <c r="AJ382" s="31" t="n"/>
      <c r="AK382" s="24" t="inlineStr">
        <is>
          <t>model_qualified</t>
        </is>
      </c>
      <c r="AL382" s="26" t="n">
        <v>4</v>
      </c>
      <c r="AM382" s="24" t="inlineStr">
        <is>
          <t>QUALIFIED_SHADOW_CALL</t>
        </is>
      </c>
      <c r="AN382" s="24" t="inlineStr">
        <is>
          <t>CALL</t>
        </is>
      </c>
      <c r="AO382" s="24" t="inlineStr">
        <is>
          <t>QUALIFIED</t>
        </is>
      </c>
      <c r="AP382" s="24" t="inlineStr">
        <is>
          <t>Ohio Bobcats</t>
        </is>
      </c>
      <c r="AQ382" s="24" t="inlineStr">
        <is>
          <t>Ohio Bobcats</t>
        </is>
      </c>
      <c r="AR382" s="24" t="inlineStr">
        <is>
          <t>Ohio Bobcats</t>
        </is>
      </c>
      <c r="AS382" s="24" t="inlineStr">
        <is>
          <t>South Alabama Jaguars</t>
        </is>
      </c>
      <c r="AT382" s="24" t="inlineStr">
        <is>
          <t>South Alabama Jaguars</t>
        </is>
      </c>
      <c r="AU382" s="24" t="inlineStr">
        <is>
          <t>South Alabama Jaguars</t>
        </is>
      </c>
      <c r="AV382" s="24" t="n"/>
      <c r="AW382" s="24" t="n"/>
      <c r="AX382" s="24" t="inlineStr">
        <is>
          <t>statistical_model</t>
        </is>
      </c>
      <c r="AY382" s="24" t="n"/>
      <c r="AZ382" s="24" t="inlineStr">
        <is>
          <t>shadow_qualified</t>
        </is>
      </c>
      <c r="BA382" s="24" t="inlineStr">
        <is>
          <t>1d168f11d221cd3c</t>
        </is>
      </c>
      <c r="BB382" s="24" t="inlineStr">
        <is>
          <t>cfb_key_number_engine</t>
        </is>
      </c>
      <c r="BC382" s="24" t="inlineStr">
        <is>
          <t>college-football-v1</t>
        </is>
      </c>
      <c r="BD382" s="24" t="inlineStr">
        <is>
          <t>1d168f11d221cd3c</t>
        </is>
      </c>
      <c r="BE382" s="24" t="inlineStr">
        <is>
          <t>cfb-v1</t>
        </is>
      </c>
      <c r="BF382" s="24" t="inlineStr">
        <is>
          <t>1</t>
        </is>
      </c>
      <c r="BG382" s="24" t="inlineStr">
        <is>
          <t>1d168f11d221cd3c</t>
        </is>
      </c>
      <c r="BH382" s="24" t="inlineStr">
        <is>
          <t>2026-09-19T22:46:25.988423+00:00</t>
        </is>
      </c>
      <c r="BI382" s="24" t="inlineStr">
        <is>
          <t>["same_event","same_team_same_day","same_league_same_day"]</t>
        </is>
      </c>
      <c r="BJ382" s="25" t="n"/>
      <c r="BK382" s="26" t="n">
        <v>220</v>
      </c>
      <c r="BL382" s="27" t="n">
        <v>3.2</v>
      </c>
      <c r="BM382" s="28" t="n">
        <v>0.3125</v>
      </c>
      <c r="BN382" s="28" t="n"/>
      <c r="BO382" s="28" t="n"/>
      <c r="BP382" s="25" t="n"/>
      <c r="BQ382" s="27" t="n"/>
      <c r="BR382" s="28" t="n"/>
      <c r="BS382" s="28" t="n"/>
      <c r="BT382" s="28" t="n"/>
      <c r="BU382" s="25" t="n"/>
      <c r="BV382" s="29" t="n"/>
      <c r="BW382" s="24" t="n"/>
      <c r="BX382" s="30" t="n"/>
      <c r="BY382" s="27" t="n"/>
      <c r="BZ382" s="24" t="n"/>
      <c r="CA382" s="31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inlineStr">
        <is>
          <t>True</t>
        </is>
      </c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n"/>
      <c r="DE382" s="24" t="n"/>
      <c r="DF382" s="24" t="n"/>
      <c r="DG382" s="24" t="n"/>
      <c r="DH382" s="24" t="n"/>
      <c r="DI382" s="24" t="n"/>
      <c r="DJ382" s="24" t="inlineStr">
        <is>
          <t>0.3125</t>
        </is>
      </c>
      <c r="DK382" s="24" t="n"/>
      <c r="DL382" s="24" t="n"/>
      <c r="DM382" s="24" t="n"/>
      <c r="DN382" s="24" t="n"/>
      <c r="DO382" s="24" t="n"/>
      <c r="DP382" s="24" t="n"/>
      <c r="DQ382" s="24" t="inlineStr">
        <is>
          <t>{"artifact_hash": "1d168f11d221cd3c", "event_id": "401866423", "event_start_utc": "2026-09-19T23:00Z", "features": {"altitude_fatigue_penalty": 0.0, "away_team": "Ohio Bobcats", "efficiency_gap": 1.07, "elo_away": 1618.6, "elo_home": 1408.7, "elo_home_win_prob": 0.3028, "event_id": "401866423", "game_start_utc": "2026-09-19T23:00Z", "home_field_advantage_points": 2.8, "home_team": "South Alabama Jaguars", "is_dome": false, "is_fbs_vs_fcs": false, "is_neutral_site": false, "projected_away_points": 29.4, "projected_home_points": 23.5, "projected_margin_home": -5.9, "projected_possessions": 12.4, "projected_total": 52.9, "stadium_elevation_ft": 130, "travel_distance_miles": 688.0, "uncertainty": 0.18, "weather_total_adjustment": 0.0}, "historical_source_observation_times_verified": false, "inference_inputs": {"engine_source_sha256": "449ba2f0e86fa9c445730076a0e0bf100fb4914620be53c75c6f3bfe24298f3f", "mu_away": 29.4, "mu_home": 23.5,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29117905079885499752071746535083794583}, "uinteger": 0}, "spread_home_line": -7.0, "total_line": 49.5}, "market_type": "moneyline", "model_version": "college-football-v1", "observed_at_utc": "2026-09-19T22:46:25.988423+00:00", "probabilities": {"away": 0.624581, "home": 0.375419}, "replay_scope": "Full precision score means, exact engine parameters and original RNG state; upstream feature construction not certified.", "schema": "cfb-joint-replay-v1", "snapshot_hash": "d72c820d6b606351d2050de44a54e3da1600a5ac92c9b20fd1d67b4428fb287e", "sport": "NCAAF"}</t>
        </is>
      </c>
    </row>
    <row r="383" ht="36" customHeight="1">
      <c r="A383" s="24" t="inlineStr">
        <is>
          <t>e48cb97902634183</t>
        </is>
      </c>
      <c r="B383" s="24" t="inlineStr">
        <is>
          <t>2026-09-19T22:46:25.988423Z</t>
        </is>
      </c>
      <c r="C383" s="24" t="inlineStr">
        <is>
          <t>2026-09-19T23:00Z</t>
        </is>
      </c>
      <c r="D383" s="24" t="inlineStr">
        <is>
          <t>401866423</t>
        </is>
      </c>
      <c r="E383" s="24" t="inlineStr">
        <is>
          <t>NCAAF</t>
        </is>
      </c>
      <c r="F383" s="24" t="inlineStr">
        <is>
          <t>Ohio Bobcats</t>
        </is>
      </c>
      <c r="G383" s="24" t="inlineStr">
        <is>
          <t>South Alabama Jaguars</t>
        </is>
      </c>
      <c r="H383" s="24" t="inlineStr">
        <is>
          <t>spread</t>
        </is>
      </c>
      <c r="I383" s="24" t="inlineStr">
        <is>
          <t>away</t>
        </is>
      </c>
      <c r="J383" s="25" t="n">
        <v>7</v>
      </c>
      <c r="K383" s="24" t="inlineStr">
        <is>
          <t>espn_consensus</t>
        </is>
      </c>
      <c r="L383" s="26" t="n">
        <v>-115</v>
      </c>
      <c r="M383" s="27" t="n">
        <v>1.869565</v>
      </c>
      <c r="N383" s="28" t="n">
        <v>0.534884</v>
      </c>
      <c r="O383" s="28" t="n">
        <v>0.742333</v>
      </c>
      <c r="P383" s="28" t="n">
        <v>0.18</v>
      </c>
      <c r="Q383" s="28" t="n">
        <v>0.207449</v>
      </c>
      <c r="R383" s="26" t="n">
        <v>46</v>
      </c>
      <c r="S383" s="29" t="n">
        <v>1.25</v>
      </c>
      <c r="T383" s="24" t="inlineStr">
        <is>
          <t>cfb-spread-v1</t>
        </is>
      </c>
      <c r="U383" s="24" t="inlineStr">
        <is>
          <t>settled</t>
        </is>
      </c>
      <c r="V383" s="24" t="inlineStr">
        <is>
          <t>win</t>
        </is>
      </c>
      <c r="W383" s="26" t="n">
        <v>36</v>
      </c>
      <c r="X383" s="26" t="n">
        <v>41</v>
      </c>
      <c r="Y383" s="25" t="n"/>
      <c r="Z383" s="26" t="n"/>
      <c r="AA383" s="28" t="n"/>
      <c r="AB383" s="28" t="n"/>
      <c r="AC383" s="30" t="n">
        <v>1.087</v>
      </c>
      <c r="AD383" s="24" t="inlineStr">
        <is>
          <t>2026-09-20T04:31:51.744193Z</t>
        </is>
      </c>
      <c r="AE383" s="31" t="inlineStr">
        <is>
          <t>Projected home margin -5.9 pts. Spread: Home -7.0 / Away +7.0 -&gt; P(Away cover)=0.742, P(Home cover)=0.245, P(Push)=0.013.</t>
        </is>
      </c>
      <c r="AF383" s="31" t="inlineStr">
        <is>
          <t>College football model; multi-market (moneyline, spread, total).</t>
        </is>
      </c>
      <c r="AG383" s="24" t="inlineStr">
        <is>
          <t>not_applicable</t>
        </is>
      </c>
      <c r="AH383" s="24" t="n"/>
      <c r="AI383" s="31" t="n"/>
      <c r="AJ383" s="31" t="n"/>
      <c r="AK383" s="24" t="inlineStr">
        <is>
          <t>model_qualified</t>
        </is>
      </c>
      <c r="AL383" s="26" t="n">
        <v>4</v>
      </c>
      <c r="AM383" s="24" t="inlineStr">
        <is>
          <t>QUALIFIED_SHADOW_CALL</t>
        </is>
      </c>
      <c r="AN383" s="24" t="inlineStr">
        <is>
          <t>CALL</t>
        </is>
      </c>
      <c r="AO383" s="24" t="inlineStr">
        <is>
          <t>QUALIFIED</t>
        </is>
      </c>
      <c r="AP383" s="24" t="inlineStr">
        <is>
          <t>Ohio Bobcats</t>
        </is>
      </c>
      <c r="AQ383" s="24" t="inlineStr">
        <is>
          <t>Ohio Bobcats</t>
        </is>
      </c>
      <c r="AR383" s="24" t="inlineStr">
        <is>
          <t>Ohio Bobcats</t>
        </is>
      </c>
      <c r="AS383" s="24" t="inlineStr">
        <is>
          <t>South Alabama Jaguars</t>
        </is>
      </c>
      <c r="AT383" s="24" t="inlineStr">
        <is>
          <t>South Alabama Jaguars</t>
        </is>
      </c>
      <c r="AU383" s="24" t="inlineStr">
        <is>
          <t>South Alabama Jaguars</t>
        </is>
      </c>
      <c r="AV383" s="24" t="n"/>
      <c r="AW383" s="24" t="n"/>
      <c r="AX383" s="24" t="inlineStr">
        <is>
          <t>statistical_model</t>
        </is>
      </c>
      <c r="AY383" s="24" t="n"/>
      <c r="AZ383" s="24" t="inlineStr">
        <is>
          <t>shadow_qualified</t>
        </is>
      </c>
      <c r="BA383" s="24" t="inlineStr">
        <is>
          <t>1d168f11d221cd3c</t>
        </is>
      </c>
      <c r="BB383" s="24" t="inlineStr">
        <is>
          <t>cfb_key_number_engine</t>
        </is>
      </c>
      <c r="BC383" s="24" t="inlineStr">
        <is>
          <t>cfb-spread-v1</t>
        </is>
      </c>
      <c r="BD383" s="24" t="inlineStr">
        <is>
          <t>1d168f11d221cd3c</t>
        </is>
      </c>
      <c r="BE383" s="24" t="inlineStr">
        <is>
          <t>cfb-v1</t>
        </is>
      </c>
      <c r="BF383" s="24" t="inlineStr">
        <is>
          <t>1</t>
        </is>
      </c>
      <c r="BG383" s="24" t="inlineStr">
        <is>
          <t>1d168f11d221cd3c</t>
        </is>
      </c>
      <c r="BH383" s="24" t="inlineStr">
        <is>
          <t>2026-09-19T22:46:25.988423+00:00</t>
        </is>
      </c>
      <c r="BI383" s="24" t="inlineStr">
        <is>
          <t>["same_event","same_team_same_day","same_league_same_day"]</t>
        </is>
      </c>
      <c r="BJ383" s="25" t="n">
        <v>7</v>
      </c>
      <c r="BK383" s="26" t="n">
        <v>-115</v>
      </c>
      <c r="BL383" s="27" t="n">
        <v>1.869565</v>
      </c>
      <c r="BM383" s="28" t="n">
        <v>0.534884</v>
      </c>
      <c r="BN383" s="28" t="n"/>
      <c r="BO383" s="28" t="n"/>
      <c r="BP383" s="25" t="n"/>
      <c r="BQ383" s="27" t="n"/>
      <c r="BR383" s="28" t="n"/>
      <c r="BS383" s="28" t="n"/>
      <c r="BT383" s="28" t="n"/>
      <c r="BU383" s="25" t="n"/>
      <c r="BV383" s="29" t="n"/>
      <c r="BW383" s="24" t="n"/>
      <c r="BX383" s="30" t="n"/>
      <c r="BY383" s="27" t="n"/>
      <c r="BZ383" s="24" t="n"/>
      <c r="CA383" s="31" t="n"/>
      <c r="CB383" s="24" t="n"/>
      <c r="CC383" s="24" t="n"/>
      <c r="CD383" s="24" t="n"/>
      <c r="CE383" s="24" t="n"/>
      <c r="CF383" s="24" t="n"/>
      <c r="CG383" s="24" t="n"/>
      <c r="CH383" s="24" t="n"/>
      <c r="CI383" s="24" t="n"/>
      <c r="CJ383" s="24" t="n"/>
      <c r="CK383" s="24" t="n"/>
      <c r="CL383" s="24" t="n"/>
      <c r="CM383" s="24" t="n"/>
      <c r="CN383" s="24" t="n"/>
      <c r="CO383" s="24" t="n"/>
      <c r="CP383" s="24" t="n"/>
      <c r="CQ383" s="24" t="n"/>
      <c r="CR383" s="24" t="n"/>
      <c r="CS383" s="24" t="inlineStr">
        <is>
          <t>True</t>
        </is>
      </c>
      <c r="CT383" s="24" t="n"/>
      <c r="CU383" s="24" t="n"/>
      <c r="CV383" s="24" t="n"/>
      <c r="CW383" s="24" t="n"/>
      <c r="CX383" s="24" t="n"/>
      <c r="CY383" s="24" t="n"/>
      <c r="CZ383" s="24" t="n"/>
      <c r="DA383" s="24" t="n"/>
      <c r="DB383" s="24" t="n"/>
      <c r="DC383" s="24" t="n"/>
      <c r="DD383" s="24" t="n"/>
      <c r="DE383" s="24" t="n"/>
      <c r="DF383" s="24" t="n"/>
      <c r="DG383" s="24" t="n"/>
      <c r="DH383" s="24" t="n"/>
      <c r="DI383" s="24" t="n"/>
      <c r="DJ383" s="24" t="inlineStr">
        <is>
          <t>0.534884</t>
        </is>
      </c>
      <c r="DK383" s="24" t="n"/>
      <c r="DL383" s="24" t="n"/>
      <c r="DM383" s="24" t="n"/>
      <c r="DN383" s="24" t="n"/>
      <c r="DO383" s="24" t="n"/>
      <c r="DP383" s="24" t="n"/>
      <c r="DQ383" s="24" t="inlineStr">
        <is>
          <t>{"artifact_hash": "1d168f11d221cd3c", "event_id": "401866423", "event_start_utc": "2026-09-19T23:00Z", "features": {"altitude_fatigue_penalty": 0.0, "away_team": "Ohio Bobcats", "efficiency_gap": 1.07, "elo_away": 1618.6, "elo_home": 1408.7, "elo_home_win_prob": 0.3028, "event_id": "401866423", "game_start_utc": "2026-09-19T23:00Z", "home_field_advantage_points": 2.8, "home_team": "South Alabama Jaguars", "is_dome": false, "is_fbs_vs_fcs": false, "is_neutral_site": false, "projected_away_points": 29.4, "projected_home_points": 23.5, "projected_margin_home": -5.9, "projected_possessions": 12.4, "projected_total": 52.9, "stadium_elevation_ft": 130, "travel_distance_miles": 688.0, "uncertainty": 0.18, "weather_total_adjustment": 0.0}, "historical_source_observation_times_verified": false, "inference_inputs": {"engine_source_sha256": "449ba2f0e86fa9c445730076a0e0bf100fb4914620be53c75c6f3bfe24298f3f", "mu_away": 29.4, "mu_home": 23.5,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29117905079885499752071746535083794583}, "uinteger": 0}, "spread_home_line": -7.0, "total_line": 49.5}, "market_type": "spread", "model_version": "cfb-spread-v1", "observed_at_utc": "2026-09-19T22:46:25.988423+00:00", "probabilities": {"away": 0.742333, "home": 0.245, "push": 0.012667}, "replay_scope": "Full precision score means, exact engine parameters and original RNG state; upstream feature construction not certified.", "schema": "cfb-joint-replay-v1", "snapshot_hash": "e77b59358eb21f9d09252a29cbe54302f5308faf71897fa77be8ccf3cabb306f", "sport": "NCAAF"}</t>
        </is>
      </c>
    </row>
    <row r="384" ht="36" customHeight="1">
      <c r="A384" s="24" t="inlineStr">
        <is>
          <t>241a348d5eab47d8</t>
        </is>
      </c>
      <c r="B384" s="24" t="inlineStr">
        <is>
          <t>2026-09-19T22:46:25.988423Z</t>
        </is>
      </c>
      <c r="C384" s="24" t="inlineStr">
        <is>
          <t>2026-09-19T23:00Z</t>
        </is>
      </c>
      <c r="D384" s="24" t="inlineStr">
        <is>
          <t>401866423</t>
        </is>
      </c>
      <c r="E384" s="24" t="inlineStr">
        <is>
          <t>NCAAF</t>
        </is>
      </c>
      <c r="F384" s="24" t="inlineStr">
        <is>
          <t>Ohio Bobcats</t>
        </is>
      </c>
      <c r="G384" s="24" t="inlineStr">
        <is>
          <t>South Alabama Jaguars</t>
        </is>
      </c>
      <c r="H384" s="24" t="inlineStr">
        <is>
          <t>total</t>
        </is>
      </c>
      <c r="I384" s="24" t="inlineStr">
        <is>
          <t>over</t>
        </is>
      </c>
      <c r="J384" s="25" t="n">
        <v>49.5</v>
      </c>
      <c r="K384" s="24" t="inlineStr">
        <is>
          <t>espn_consensus</t>
        </is>
      </c>
      <c r="L384" s="26" t="n">
        <v>-112</v>
      </c>
      <c r="M384" s="27" t="n">
        <v>1.892857</v>
      </c>
      <c r="N384" s="28" t="n">
        <v>0.528302</v>
      </c>
      <c r="O384" s="28" t="n">
        <v>0.5296</v>
      </c>
      <c r="P384" s="28" t="n">
        <v>0.18</v>
      </c>
      <c r="Q384" s="28" t="n">
        <v>0.001298</v>
      </c>
      <c r="R384" s="26" t="n">
        <v>0</v>
      </c>
      <c r="S384" s="29" t="n">
        <v>1</v>
      </c>
      <c r="T384" s="24" t="inlineStr">
        <is>
          <t>cfb-total-v1</t>
        </is>
      </c>
      <c r="U384" s="24" t="inlineStr">
        <is>
          <t>settled</t>
        </is>
      </c>
      <c r="V384" s="24" t="inlineStr">
        <is>
          <t>win</t>
        </is>
      </c>
      <c r="W384" s="26" t="n">
        <v>36</v>
      </c>
      <c r="X384" s="26" t="n">
        <v>41</v>
      </c>
      <c r="Y384" s="25" t="n"/>
      <c r="Z384" s="26" t="n"/>
      <c r="AA384" s="28" t="n"/>
      <c r="AB384" s="28" t="n"/>
      <c r="AC384" s="30" t="n">
        <v>0.8929</v>
      </c>
      <c r="AD384" s="24" t="inlineStr">
        <is>
          <t>2026-09-20T04:31:52.304293Z</t>
        </is>
      </c>
      <c r="AE384" s="31" t="inlineStr">
        <is>
          <t>Projected total 52.9 pts (Weather adj: +0.0 pts). Total line 49.5 -&gt; P(Over)=0.530, P(Under)=0.470, P(Push)=0.000.</t>
        </is>
      </c>
      <c r="AF384" s="31" t="inlineStr">
        <is>
          <t>College football model; multi-market (moneyline, spread, total).</t>
        </is>
      </c>
      <c r="AG384" s="24" t="inlineStr">
        <is>
          <t>not_applicable</t>
        </is>
      </c>
      <c r="AH384" s="24" t="n"/>
      <c r="AI384" s="31" t="n"/>
      <c r="AJ384" s="31" t="n"/>
      <c r="AK384" s="24" t="inlineStr">
        <is>
          <t>paper_call</t>
        </is>
      </c>
      <c r="AL384" s="26" t="n">
        <v>4</v>
      </c>
      <c r="AM384" s="24" t="inlineStr">
        <is>
          <t>RESEARCH_OBSERVATION</t>
        </is>
      </c>
      <c r="AN384" s="24" t="inlineStr">
        <is>
          <t>CALL</t>
        </is>
      </c>
      <c r="AO384" s="24" t="inlineStr">
        <is>
          <t>PAPER_CALL_LOW_EDGE</t>
        </is>
      </c>
      <c r="AP384" s="24" t="inlineStr">
        <is>
          <t>Ohio Bobcats</t>
        </is>
      </c>
      <c r="AQ384" s="24" t="inlineStr">
        <is>
          <t>Ohio Bobcats</t>
        </is>
      </c>
      <c r="AR384" s="24" t="inlineStr">
        <is>
          <t>Ohio Bobcats</t>
        </is>
      </c>
      <c r="AS384" s="24" t="inlineStr">
        <is>
          <t>South Alabama Jaguars</t>
        </is>
      </c>
      <c r="AT384" s="24" t="inlineStr">
        <is>
          <t>South Alabama Jaguars</t>
        </is>
      </c>
      <c r="AU384" s="24" t="inlineStr">
        <is>
          <t>South Alabama Jaguars</t>
        </is>
      </c>
      <c r="AV384" s="24" t="n"/>
      <c r="AW384" s="24" t="n"/>
      <c r="AX384" s="24" t="inlineStr">
        <is>
          <t>statistical_model</t>
        </is>
      </c>
      <c r="AY384" s="24" t="n"/>
      <c r="AZ384" s="24" t="inlineStr">
        <is>
          <t>shadow_qualified</t>
        </is>
      </c>
      <c r="BA384" s="24" t="inlineStr">
        <is>
          <t>1d168f11d221cd3c</t>
        </is>
      </c>
      <c r="BB384" s="24" t="inlineStr">
        <is>
          <t>cfb_key_number_engine</t>
        </is>
      </c>
      <c r="BC384" s="24" t="inlineStr">
        <is>
          <t>cfb-total-v1</t>
        </is>
      </c>
      <c r="BD384" s="24" t="inlineStr">
        <is>
          <t>1d168f11d221cd3c</t>
        </is>
      </c>
      <c r="BE384" s="24" t="inlineStr">
        <is>
          <t>cfb-v1</t>
        </is>
      </c>
      <c r="BF384" s="24" t="inlineStr">
        <is>
          <t>1</t>
        </is>
      </c>
      <c r="BG384" s="24" t="inlineStr">
        <is>
          <t>1d168f11d221cd3c</t>
        </is>
      </c>
      <c r="BH384" s="24" t="inlineStr">
        <is>
          <t>2026-09-19T22:46:25.988423+00:00</t>
        </is>
      </c>
      <c r="BI384" s="24" t="inlineStr">
        <is>
          <t>["same_event","same_team_same_day","same_league_same_day"]</t>
        </is>
      </c>
      <c r="BJ384" s="25" t="n">
        <v>49.5</v>
      </c>
      <c r="BK384" s="26" t="n">
        <v>-112</v>
      </c>
      <c r="BL384" s="27" t="n">
        <v>1.892857</v>
      </c>
      <c r="BM384" s="28" t="n">
        <v>0.528302</v>
      </c>
      <c r="BN384" s="28" t="n"/>
      <c r="BO384" s="28" t="n"/>
      <c r="BP384" s="25" t="n"/>
      <c r="BQ384" s="27" t="n"/>
      <c r="BR384" s="28" t="n"/>
      <c r="BS384" s="28" t="n"/>
      <c r="BT384" s="28" t="n"/>
      <c r="BU384" s="25" t="n"/>
      <c r="BV384" s="29" t="n"/>
      <c r="BW384" s="24" t="n"/>
      <c r="BX384" s="30" t="n">
        <v>1</v>
      </c>
      <c r="BY384" s="27" t="n">
        <v>0.892857</v>
      </c>
      <c r="BZ384" s="24" t="inlineStr">
        <is>
          <t>2026-09-20T04:31:52.304293Z</t>
        </is>
      </c>
      <c r="CA384" s="31" t="inlineStr">
        <is>
          <t>fixed one-unit hypothetical scoring; no real exposure or execution</t>
        </is>
      </c>
      <c r="CB384" s="24" t="n"/>
      <c r="CC384" s="24" t="n"/>
      <c r="CD384" s="24" t="n"/>
      <c r="CE384" s="24" t="n"/>
      <c r="CF384" s="24" t="n"/>
      <c r="CG384" s="24" t="n"/>
      <c r="CH384" s="24" t="n"/>
      <c r="CI384" s="24" t="n"/>
      <c r="CJ384" s="24" t="n"/>
      <c r="CK384" s="24" t="n"/>
      <c r="CL384" s="24" t="n"/>
      <c r="CM384" s="24" t="n"/>
      <c r="CN384" s="24" t="n"/>
      <c r="CO384" s="24" t="n"/>
      <c r="CP384" s="24" t="n"/>
      <c r="CQ384" s="24" t="n"/>
      <c r="CR384" s="24" t="n"/>
      <c r="CS384" s="24" t="inlineStr">
        <is>
          <t>True</t>
        </is>
      </c>
      <c r="CT384" s="24" t="n"/>
      <c r="CU384" s="24" t="n"/>
      <c r="CV384" s="24" t="n"/>
      <c r="CW384" s="24" t="n"/>
      <c r="CX384" s="24" t="n"/>
      <c r="CY384" s="24" t="n"/>
      <c r="CZ384" s="24" t="n"/>
      <c r="DA384" s="24" t="n"/>
      <c r="DB384" s="24" t="n"/>
      <c r="DC384" s="24" t="n"/>
      <c r="DD384" s="24" t="n"/>
      <c r="DE384" s="24" t="n"/>
      <c r="DF384" s="24" t="n"/>
      <c r="DG384" s="24" t="n"/>
      <c r="DH384" s="24" t="n"/>
      <c r="DI384" s="24" t="n"/>
      <c r="DJ384" s="24" t="inlineStr">
        <is>
          <t>0.528302</t>
        </is>
      </c>
      <c r="DK384" s="24" t="n"/>
      <c r="DL384" s="24" t="n"/>
      <c r="DM384" s="24" t="n"/>
      <c r="DN384" s="24" t="n"/>
      <c r="DO384" s="24" t="n"/>
      <c r="DP384" s="24" t="n"/>
      <c r="DQ384" s="24" t="inlineStr">
        <is>
          <t>{"artifact_hash": "1d168f11d221cd3c", "event_id": "401866423", "event_start_utc": "2026-09-19T23:00Z", "features": {"altitude_fatigue_penalty": 0.0, "away_team": "Ohio Bobcats", "efficiency_gap": 1.07, "elo_away": 1618.6, "elo_home": 1408.7, "elo_home_win_prob": 0.3028, "event_id": "401866423", "game_start_utc": "2026-09-19T23:00Z", "home_field_advantage_points": 2.8, "home_team": "South Alabama Jaguars", "is_dome": false, "is_fbs_vs_fcs": false, "is_neutral_site": false, "projected_away_points": 29.4, "projected_home_points": 23.5, "projected_margin_home": -5.9, "projected_possessions": 12.4, "projected_total": 52.9, "stadium_elevation_ft": 130, "travel_distance_miles": 688.0, "uncertainty": 0.18, "weather_total_adjustment": 0.0}, "historical_source_observation_times_verified": false, "inference_inputs": {"engine_source_sha256": "449ba2f0e86fa9c445730076a0e0bf100fb4914620be53c75c6f3bfe24298f3f", "mu_away": 29.4, "mu_home": 23.5,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29117905079885499752071746535083794583}, "uinteger": 0}, "spread_home_line": -7.0, "total_line": 49.5}, "market_type": "total", "model_version": "cfb-total-v1", "observed_at_utc": "2026-09-19T22:46:25.988423+00:00", "probabilities": {"over": 0.5296, "push": 0.0, "under": 0.4704}, "replay_scope": "Full precision score means, exact engine parameters and original RNG state; upstream feature construction not certified.", "schema": "cfb-joint-replay-v1", "snapshot_hash": "34d5a69569c29ad571cfd5cb5837f7954d81d618eb3633710150bf72d1c37387", "sport": "NCAAF"}</t>
        </is>
      </c>
    </row>
    <row r="385" ht="36" customHeight="1">
      <c r="A385" s="24" t="inlineStr">
        <is>
          <t>b579b41b45474479</t>
        </is>
      </c>
      <c r="B385" s="24" t="inlineStr">
        <is>
          <t>2026-09-19T22:46:25.988423Z</t>
        </is>
      </c>
      <c r="C385" s="24" t="inlineStr">
        <is>
          <t>2026-09-19T23:00Z</t>
        </is>
      </c>
      <c r="D385" s="24" t="inlineStr">
        <is>
          <t>401869948</t>
        </is>
      </c>
      <c r="E385" s="24" t="inlineStr">
        <is>
          <t>NCAAF</t>
        </is>
      </c>
      <c r="F385" s="24" t="inlineStr">
        <is>
          <t>Georgia Southern Eagles</t>
        </is>
      </c>
      <c r="G385" s="24" t="inlineStr">
        <is>
          <t>Jacksonville State Gamecocks</t>
        </is>
      </c>
      <c r="H385" s="24" t="inlineStr">
        <is>
          <t>moneyline</t>
        </is>
      </c>
      <c r="I385" s="24" t="inlineStr">
        <is>
          <t>home</t>
        </is>
      </c>
      <c r="J385" s="25" t="n"/>
      <c r="K385" s="24" t="inlineStr">
        <is>
          <t>espn_consensus</t>
        </is>
      </c>
      <c r="L385" s="26" t="n">
        <v>-175</v>
      </c>
      <c r="M385" s="27" t="n">
        <v>1.571429</v>
      </c>
      <c r="N385" s="28" t="n">
        <v>0.636364</v>
      </c>
      <c r="O385" s="28" t="n">
        <v>0.551837</v>
      </c>
      <c r="P385" s="28" t="n">
        <v>0.18</v>
      </c>
      <c r="Q385" s="28" t="n">
        <v>-0.084527</v>
      </c>
      <c r="R385" s="26" t="n">
        <v>0</v>
      </c>
      <c r="S385" s="29" t="n">
        <v>1</v>
      </c>
      <c r="T385" s="24" t="inlineStr">
        <is>
          <t>college-football-v1</t>
        </is>
      </c>
      <c r="U385" s="24" t="inlineStr">
        <is>
          <t>settled</t>
        </is>
      </c>
      <c r="V385" s="24" t="inlineStr">
        <is>
          <t>win</t>
        </is>
      </c>
      <c r="W385" s="26" t="n">
        <v>27</v>
      </c>
      <c r="X385" s="26" t="n">
        <v>31</v>
      </c>
      <c r="Y385" s="25" t="n"/>
      <c r="Z385" s="26" t="n"/>
      <c r="AA385" s="28" t="n"/>
      <c r="AB385" s="28" t="n"/>
      <c r="AC385" s="30" t="n">
        <v>0.5714</v>
      </c>
      <c r="AD385" s="24" t="inlineStr">
        <is>
          <t>2026-09-20T04:31:52.799271Z</t>
        </is>
      </c>
      <c r="AE385" s="31" t="inlineStr">
        <is>
          <t>CFB Joint Model (negative_binomial): proj score Georgia Southern Eagles 24.9 @ Jacksonville State Gamecocks 27.4 (Margin +2.5). Possessions: 12.4, HFA: +2.8 pts.</t>
        </is>
      </c>
      <c r="AF385" s="31" t="inlineStr">
        <is>
          <t>College football model; multi-market (moneyline, spread, total).</t>
        </is>
      </c>
      <c r="AG385" s="24" t="inlineStr">
        <is>
          <t>not_applicable</t>
        </is>
      </c>
      <c r="AH385" s="24" t="n"/>
      <c r="AI385" s="31" t="n"/>
      <c r="AJ385" s="31" t="n"/>
      <c r="AK385" s="24" t="inlineStr">
        <is>
          <t>paper_call</t>
        </is>
      </c>
      <c r="AL385" s="26" t="n">
        <v>4</v>
      </c>
      <c r="AM385" s="24" t="inlineStr">
        <is>
          <t>RESEARCH_OBSERVATION</t>
        </is>
      </c>
      <c r="AN385" s="24" t="inlineStr">
        <is>
          <t>CALL</t>
        </is>
      </c>
      <c r="AO385" s="24" t="inlineStr">
        <is>
          <t>PAPER_CALL_LOW_EDGE</t>
        </is>
      </c>
      <c r="AP385" s="24" t="inlineStr">
        <is>
          <t>Georgia Southern Eagles</t>
        </is>
      </c>
      <c r="AQ385" s="24" t="inlineStr">
        <is>
          <t>Georgia Southern Eagles</t>
        </is>
      </c>
      <c r="AR385" s="24" t="inlineStr">
        <is>
          <t>Georgia Southern Eagles</t>
        </is>
      </c>
      <c r="AS385" s="24" t="inlineStr">
        <is>
          <t>Jacksonville State Gamecocks</t>
        </is>
      </c>
      <c r="AT385" s="24" t="inlineStr">
        <is>
          <t>Jacksonville State Gamecocks</t>
        </is>
      </c>
      <c r="AU385" s="24" t="inlineStr">
        <is>
          <t>Jacksonville State Gamecocks</t>
        </is>
      </c>
      <c r="AV385" s="24" t="n"/>
      <c r="AW385" s="24" t="n"/>
      <c r="AX385" s="24" t="inlineStr">
        <is>
          <t>statistical_model</t>
        </is>
      </c>
      <c r="AY385" s="24" t="n"/>
      <c r="AZ385" s="24" t="inlineStr">
        <is>
          <t>shadow_qualified</t>
        </is>
      </c>
      <c r="BA385" s="24" t="inlineStr">
        <is>
          <t>1d168f11d221cd3c</t>
        </is>
      </c>
      <c r="BB385" s="24" t="inlineStr">
        <is>
          <t>cfb_key_number_engine</t>
        </is>
      </c>
      <c r="BC385" s="24" t="inlineStr">
        <is>
          <t>college-football-v1</t>
        </is>
      </c>
      <c r="BD385" s="24" t="inlineStr">
        <is>
          <t>1d168f11d221cd3c</t>
        </is>
      </c>
      <c r="BE385" s="24" t="inlineStr">
        <is>
          <t>cfb-v1</t>
        </is>
      </c>
      <c r="BF385" s="24" t="inlineStr">
        <is>
          <t>1</t>
        </is>
      </c>
      <c r="BG385" s="24" t="inlineStr">
        <is>
          <t>1d168f11d221cd3c</t>
        </is>
      </c>
      <c r="BH385" s="24" t="inlineStr">
        <is>
          <t>2026-09-19T22:46:25.988423+00:00</t>
        </is>
      </c>
      <c r="BI385" s="24" t="inlineStr">
        <is>
          <t>["same_event","same_team_same_day","same_league_same_day"]</t>
        </is>
      </c>
      <c r="BJ385" s="25" t="n"/>
      <c r="BK385" s="26" t="n">
        <v>-175</v>
      </c>
      <c r="BL385" s="27" t="n">
        <v>1.571429</v>
      </c>
      <c r="BM385" s="28" t="n">
        <v>0.636364</v>
      </c>
      <c r="BN385" s="28" t="n"/>
      <c r="BO385" s="28" t="n"/>
      <c r="BP385" s="25" t="n"/>
      <c r="BQ385" s="27" t="n"/>
      <c r="BR385" s="28" t="n"/>
      <c r="BS385" s="28" t="n"/>
      <c r="BT385" s="28" t="n"/>
      <c r="BU385" s="25" t="n"/>
      <c r="BV385" s="29" t="n"/>
      <c r="BW385" s="24" t="n"/>
      <c r="BX385" s="30" t="n">
        <v>1</v>
      </c>
      <c r="BY385" s="27" t="n">
        <v>0.571429</v>
      </c>
      <c r="BZ385" s="24" t="inlineStr">
        <is>
          <t>2026-09-20T04:31:52.799271Z</t>
        </is>
      </c>
      <c r="CA385" s="31" t="inlineStr">
        <is>
          <t>fixed one-unit hypothetical scoring; no real exposure or execution</t>
        </is>
      </c>
      <c r="CB385" s="24" t="n"/>
      <c r="CC385" s="24" t="n"/>
      <c r="CD385" s="24" t="n"/>
      <c r="CE385" s="24" t="n"/>
      <c r="CF385" s="24" t="n"/>
      <c r="CG385" s="24" t="n"/>
      <c r="CH385" s="24" t="n"/>
      <c r="CI385" s="24" t="n"/>
      <c r="CJ385" s="24" t="n"/>
      <c r="CK385" s="24" t="n"/>
      <c r="CL385" s="24" t="n"/>
      <c r="CM385" s="24" t="n"/>
      <c r="CN385" s="24" t="n"/>
      <c r="CO385" s="24" t="n"/>
      <c r="CP385" s="24" t="n"/>
      <c r="CQ385" s="24" t="n"/>
      <c r="CR385" s="24" t="n"/>
      <c r="CS385" s="24" t="inlineStr">
        <is>
          <t>False</t>
        </is>
      </c>
      <c r="CT385" s="24" t="n"/>
      <c r="CU385" s="24" t="n"/>
      <c r="CV385" s="24" t="n"/>
      <c r="CW385" s="24" t="n"/>
      <c r="CX385" s="24" t="n"/>
      <c r="CY385" s="24" t="n"/>
      <c r="CZ385" s="24" t="n"/>
      <c r="DA385" s="24" t="n"/>
      <c r="DB385" s="24" t="n"/>
      <c r="DC385" s="24" t="n"/>
      <c r="DD385" s="24" t="n"/>
      <c r="DE385" s="24" t="n"/>
      <c r="DF385" s="24" t="n"/>
      <c r="DG385" s="24" t="n"/>
      <c r="DH385" s="24" t="n"/>
      <c r="DI385" s="24" t="n"/>
      <c r="DJ385" s="24" t="inlineStr">
        <is>
          <t>0.636364</t>
        </is>
      </c>
      <c r="DK385" s="24" t="n"/>
      <c r="DL385" s="24" t="n"/>
      <c r="DM385" s="24" t="n"/>
      <c r="DN385" s="24" t="n"/>
      <c r="DO385" s="24" t="n"/>
      <c r="DP385" s="24" t="n"/>
      <c r="DQ385" s="24" t="inlineStr">
        <is>
          <t>{"artifact_hash": "1d168f11d221cd3c", "event_id": "401869948", "event_start_utc": "2026-09-19T23:00Z", "features": {"altitude_fatigue_penalty": 0.0, "away_team": "Georgia Southern Eagles", "efficiency_gap": -1.065, "elo_away": 1535.0, "elo_home": 1531.9, "elo_home_win_prob": 0.5882, "event_id": "401869948", "game_start_utc": "2026-09-19T23:00Z", "home_field_advantage_points": 2.8, "home_team": "Jacksonville State Gamecocks", "is_dome": false, "is_fbs_vs_fcs": false, "is_neutral_site": false, "projected_away_points": 24.9, "projected_home_points": 27.4, "projected_margin_home": 2.5, "projected_possessions": 12.4, "projected_total": 52.3, "stadium_elevation_ft": 730, "travel_distance_miles": 250.0, "uncertainty": 0.18, "weather_total_adjustment": 0.0}, "historical_source_observation_times_verified": false, "inference_inputs": {"engine_source_sha256": "449ba2f0e86fa9c445730076a0e0bf100fb4914620be53c75c6f3bfe24298f3f", "mu_away": 24.9,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71553083059970211592972171030018871988}, "uinteger": 0}, "spread_home_line": -3.5, "total_line": 51.5}, "market_type": "moneyline", "model_version": "college-football-v1", "observed_at_utc": "2026-09-19T22:46:25.988423+00:00", "probabilities": {"away": 0.448163, "home": 0.551837}, "replay_scope": "Full precision score means, exact engine parameters and original RNG state; upstream feature construction not certified.", "schema": "cfb-joint-replay-v1", "snapshot_hash": "1c8eca7d2f2ac7ca61e3c9a12adbbd977725bfd49c8de7ecf787dbaf24ececd0", "sport": "NCAAF"}</t>
        </is>
      </c>
    </row>
    <row r="386" ht="36" customHeight="1">
      <c r="A386" s="24" t="inlineStr">
        <is>
          <t>61e120710d9745db</t>
        </is>
      </c>
      <c r="B386" s="24" t="inlineStr">
        <is>
          <t>2026-09-19T22:46:25.988423Z</t>
        </is>
      </c>
      <c r="C386" s="24" t="inlineStr">
        <is>
          <t>2026-09-19T23:00Z</t>
        </is>
      </c>
      <c r="D386" s="24" t="inlineStr">
        <is>
          <t>401869948</t>
        </is>
      </c>
      <c r="E386" s="24" t="inlineStr">
        <is>
          <t>NCAAF</t>
        </is>
      </c>
      <c r="F386" s="24" t="inlineStr">
        <is>
          <t>Georgia Southern Eagles</t>
        </is>
      </c>
      <c r="G386" s="24" t="inlineStr">
        <is>
          <t>Jacksonville State Gamecocks</t>
        </is>
      </c>
      <c r="H386" s="24" t="inlineStr">
        <is>
          <t>spread</t>
        </is>
      </c>
      <c r="I386" s="24" t="inlineStr">
        <is>
          <t>away</t>
        </is>
      </c>
      <c r="J386" s="25" t="n">
        <v>3.5</v>
      </c>
      <c r="K386" s="24" t="inlineStr">
        <is>
          <t>espn_consensus</t>
        </is>
      </c>
      <c r="L386" s="26" t="n">
        <v>-112</v>
      </c>
      <c r="M386" s="27" t="n">
        <v>1.892857</v>
      </c>
      <c r="N386" s="28" t="n">
        <v>0.528302</v>
      </c>
      <c r="O386" s="28" t="n">
        <v>0.520333</v>
      </c>
      <c r="P386" s="28" t="n">
        <v>0.18</v>
      </c>
      <c r="Q386" s="28" t="n">
        <v>-0.007969</v>
      </c>
      <c r="R386" s="26" t="n">
        <v>0</v>
      </c>
      <c r="S386" s="29" t="n">
        <v>1</v>
      </c>
      <c r="T386" s="24" t="inlineStr">
        <is>
          <t>cfb-spread-v1</t>
        </is>
      </c>
      <c r="U386" s="24" t="inlineStr">
        <is>
          <t>settled</t>
        </is>
      </c>
      <c r="V386" s="24" t="inlineStr">
        <is>
          <t>loss</t>
        </is>
      </c>
      <c r="W386" s="26" t="n">
        <v>27</v>
      </c>
      <c r="X386" s="26" t="n">
        <v>31</v>
      </c>
      <c r="Y386" s="25" t="n"/>
      <c r="Z386" s="26" t="n"/>
      <c r="AA386" s="28" t="n"/>
      <c r="AB386" s="28" t="n"/>
      <c r="AC386" s="30" t="n">
        <v>-1</v>
      </c>
      <c r="AD386" s="24" t="inlineStr">
        <is>
          <t>2026-09-20T04:31:53.237757Z</t>
        </is>
      </c>
      <c r="AE386" s="31" t="inlineStr">
        <is>
          <t>Projected home margin +2.5 pts. Spread: Home -3.5 / Away +3.5 -&gt; P(Away cover)=0.520, P(Home cover)=0.480, P(Push)=0.000.</t>
        </is>
      </c>
      <c r="AF386" s="31" t="inlineStr">
        <is>
          <t>College football model; multi-market (moneyline, spread, total).</t>
        </is>
      </c>
      <c r="AG386" s="24" t="inlineStr">
        <is>
          <t>review_required</t>
        </is>
      </c>
      <c r="AH386" s="24" t="n"/>
      <c r="AI386" s="31" t="n"/>
      <c r="AJ386" s="31" t="n"/>
      <c r="AK386" s="24" t="inlineStr">
        <is>
          <t>paper_call</t>
        </is>
      </c>
      <c r="AL386" s="26" t="n">
        <v>4</v>
      </c>
      <c r="AM386" s="24" t="inlineStr">
        <is>
          <t>RESEARCH_OBSERVATION</t>
        </is>
      </c>
      <c r="AN386" s="24" t="inlineStr">
        <is>
          <t>CALL</t>
        </is>
      </c>
      <c r="AO386" s="24" t="inlineStr">
        <is>
          <t>PAPER_CALL_LOW_EDGE</t>
        </is>
      </c>
      <c r="AP386" s="24" t="inlineStr">
        <is>
          <t>Georgia Southern Eagles</t>
        </is>
      </c>
      <c r="AQ386" s="24" t="inlineStr">
        <is>
          <t>Georgia Southern Eagles</t>
        </is>
      </c>
      <c r="AR386" s="24" t="inlineStr">
        <is>
          <t>Georgia Southern Eagles</t>
        </is>
      </c>
      <c r="AS386" s="24" t="inlineStr">
        <is>
          <t>Jacksonville State Gamecocks</t>
        </is>
      </c>
      <c r="AT386" s="24" t="inlineStr">
        <is>
          <t>Jacksonville State Gamecocks</t>
        </is>
      </c>
      <c r="AU386" s="24" t="inlineStr">
        <is>
          <t>Jacksonville State Gamecocks</t>
        </is>
      </c>
      <c r="AV386" s="24" t="n"/>
      <c r="AW386" s="24" t="n"/>
      <c r="AX386" s="24" t="inlineStr">
        <is>
          <t>statistical_model</t>
        </is>
      </c>
      <c r="AY386" s="24" t="n"/>
      <c r="AZ386" s="24" t="inlineStr">
        <is>
          <t>shadow_qualified</t>
        </is>
      </c>
      <c r="BA386" s="24" t="inlineStr">
        <is>
          <t>1d168f11d221cd3c</t>
        </is>
      </c>
      <c r="BB386" s="24" t="inlineStr">
        <is>
          <t>cfb_key_number_engine</t>
        </is>
      </c>
      <c r="BC386" s="24" t="inlineStr">
        <is>
          <t>cfb-spread-v1</t>
        </is>
      </c>
      <c r="BD386" s="24" t="inlineStr">
        <is>
          <t>1d168f11d221cd3c</t>
        </is>
      </c>
      <c r="BE386" s="24" t="inlineStr">
        <is>
          <t>cfb-v1</t>
        </is>
      </c>
      <c r="BF386" s="24" t="inlineStr">
        <is>
          <t>1</t>
        </is>
      </c>
      <c r="BG386" s="24" t="inlineStr">
        <is>
          <t>1d168f11d221cd3c</t>
        </is>
      </c>
      <c r="BH386" s="24" t="inlineStr">
        <is>
          <t>2026-09-19T22:46:25.988423+00:00</t>
        </is>
      </c>
      <c r="BI386" s="24" t="inlineStr">
        <is>
          <t>["same_event","same_team_same_day","same_league_same_day"]</t>
        </is>
      </c>
      <c r="BJ386" s="25" t="n">
        <v>3.5</v>
      </c>
      <c r="BK386" s="26" t="n">
        <v>-112</v>
      </c>
      <c r="BL386" s="27" t="n">
        <v>1.892857</v>
      </c>
      <c r="BM386" s="28" t="n">
        <v>0.528302</v>
      </c>
      <c r="BN386" s="28" t="n"/>
      <c r="BO386" s="28" t="n"/>
      <c r="BP386" s="25" t="n"/>
      <c r="BQ386" s="27" t="n"/>
      <c r="BR386" s="28" t="n"/>
      <c r="BS386" s="28" t="n"/>
      <c r="BT386" s="28" t="n"/>
      <c r="BU386" s="25" t="n"/>
      <c r="BV386" s="29" t="n"/>
      <c r="BW386" s="24" t="n"/>
      <c r="BX386" s="30" t="n">
        <v>1</v>
      </c>
      <c r="BY386" s="27" t="n">
        <v>-1</v>
      </c>
      <c r="BZ386" s="24" t="inlineStr">
        <is>
          <t>2026-09-20T04:31:53.237757Z</t>
        </is>
      </c>
      <c r="CA386" s="31" t="inlineStr">
        <is>
          <t>fixed one-unit hypothetical scoring; no real exposure or execution</t>
        </is>
      </c>
      <c r="CB386" s="24" t="n"/>
      <c r="CC386" s="24" t="n"/>
      <c r="CD386" s="24" t="n"/>
      <c r="CE386" s="24" t="n"/>
      <c r="CF386" s="24" t="n"/>
      <c r="CG386" s="24" t="n"/>
      <c r="CH386" s="24" t="n"/>
      <c r="CI386" s="24" t="n"/>
      <c r="CJ386" s="24" t="n"/>
      <c r="CK386" s="24" t="n"/>
      <c r="CL386" s="24" t="n"/>
      <c r="CM386" s="24" t="n"/>
      <c r="CN386" s="24" t="n"/>
      <c r="CO386" s="24" t="n"/>
      <c r="CP386" s="24" t="n"/>
      <c r="CQ386" s="24" t="n"/>
      <c r="CR386" s="24" t="n"/>
      <c r="CS386" s="24" t="inlineStr">
        <is>
          <t>False</t>
        </is>
      </c>
      <c r="CT386" s="24" t="n"/>
      <c r="CU386" s="24" t="n"/>
      <c r="CV386" s="24" t="n"/>
      <c r="CW386" s="24" t="n"/>
      <c r="CX386" s="24" t="n"/>
      <c r="CY386" s="24" t="n"/>
      <c r="CZ386" s="24" t="n"/>
      <c r="DA386" s="24" t="n"/>
      <c r="DB386" s="24" t="n"/>
      <c r="DC386" s="24" t="n"/>
      <c r="DD386" s="24" t="n"/>
      <c r="DE386" s="24" t="n"/>
      <c r="DF386" s="24" t="n"/>
      <c r="DG386" s="24" t="n"/>
      <c r="DH386" s="24" t="n"/>
      <c r="DI386" s="24" t="n"/>
      <c r="DJ386" s="24" t="inlineStr">
        <is>
          <t>0.528302</t>
        </is>
      </c>
      <c r="DK386" s="24" t="n"/>
      <c r="DL386" s="24" t="n"/>
      <c r="DM386" s="24" t="n"/>
      <c r="DN386" s="24" t="n"/>
      <c r="DO386" s="24" t="n"/>
      <c r="DP386" s="24" t="n"/>
      <c r="DQ386" s="24" t="inlineStr">
        <is>
          <t>{"artifact_hash": "1d168f11d221cd3c", "event_id": "401869948", "event_start_utc": "2026-09-19T23:00Z", "features": {"altitude_fatigue_penalty": 0.0, "away_team": "Georgia Southern Eagles", "efficiency_gap": -1.065, "elo_away": 1535.0, "elo_home": 1531.9, "elo_home_win_prob": 0.5882, "event_id": "401869948", "game_start_utc": "2026-09-19T23:00Z", "home_field_advantage_points": 2.8, "home_team": "Jacksonville State Gamecocks", "is_dome": false, "is_fbs_vs_fcs": false, "is_neutral_site": false, "projected_away_points": 24.9, "projected_home_points": 27.4, "projected_margin_home": 2.5, "projected_possessions": 12.4, "projected_total": 52.3, "stadium_elevation_ft": 730, "travel_distance_miles": 250.0, "uncertainty": 0.18, "weather_total_adjustment": 0.0}, "historical_source_observation_times_verified": false, "inference_inputs": {"engine_source_sha256": "449ba2f0e86fa9c445730076a0e0bf100fb4914620be53c75c6f3bfe24298f3f", "mu_away": 24.9,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71553083059970211592972171030018871988}, "uinteger": 0}, "spread_home_line": -3.5, "total_line": 51.5}, "market_type": "spread", "model_version": "cfb-spread-v1", "observed_at_utc": "2026-09-19T22:46:25.988423+00:00", "probabilities": {"away": 0.520333, "home": 0.479667, "push": 0.0}, "replay_scope": "Full precision score means, exact engine parameters and original RNG state; upstream feature construction not certified.", "schema": "cfb-joint-replay-v1", "snapshot_hash": "2a013e89822408a2616c899dd9148886930cdf9d9bfeba713a01db7fe341c6df", "sport": "NCAAF"}</t>
        </is>
      </c>
    </row>
    <row r="387" ht="36" customHeight="1">
      <c r="A387" s="24" t="inlineStr">
        <is>
          <t>9cd9819ed219417c</t>
        </is>
      </c>
      <c r="B387" s="24" t="inlineStr">
        <is>
          <t>2026-09-19T22:46:25.988423Z</t>
        </is>
      </c>
      <c r="C387" s="24" t="inlineStr">
        <is>
          <t>2026-09-19T23:00Z</t>
        </is>
      </c>
      <c r="D387" s="24" t="inlineStr">
        <is>
          <t>401869948</t>
        </is>
      </c>
      <c r="E387" s="24" t="inlineStr">
        <is>
          <t>NCAAF</t>
        </is>
      </c>
      <c r="F387" s="24" t="inlineStr">
        <is>
          <t>Georgia Southern Eagles</t>
        </is>
      </c>
      <c r="G387" s="24" t="inlineStr">
        <is>
          <t>Jacksonville State Gamecocks</t>
        </is>
      </c>
      <c r="H387" s="24" t="inlineStr">
        <is>
          <t>total</t>
        </is>
      </c>
      <c r="I387" s="24" t="inlineStr">
        <is>
          <t>under</t>
        </is>
      </c>
      <c r="J387" s="25" t="n">
        <v>51.5</v>
      </c>
      <c r="K387" s="24" t="inlineStr">
        <is>
          <t>espn_consensus</t>
        </is>
      </c>
      <c r="L387" s="26" t="n">
        <v>-110</v>
      </c>
      <c r="M387" s="27" t="n">
        <v>1.909091</v>
      </c>
      <c r="N387" s="28" t="n">
        <v>0.52381</v>
      </c>
      <c r="O387" s="28" t="n">
        <v>0.5228</v>
      </c>
      <c r="P387" s="28" t="n">
        <v>0.18</v>
      </c>
      <c r="Q387" s="28" t="n">
        <v>-0.00101</v>
      </c>
      <c r="R387" s="26" t="n">
        <v>0</v>
      </c>
      <c r="S387" s="29" t="n">
        <v>1</v>
      </c>
      <c r="T387" s="24" t="inlineStr">
        <is>
          <t>cfb-total-v1</t>
        </is>
      </c>
      <c r="U387" s="24" t="inlineStr">
        <is>
          <t>settled</t>
        </is>
      </c>
      <c r="V387" s="24" t="inlineStr">
        <is>
          <t>loss</t>
        </is>
      </c>
      <c r="W387" s="26" t="n">
        <v>27</v>
      </c>
      <c r="X387" s="26" t="n">
        <v>31</v>
      </c>
      <c r="Y387" s="25" t="n"/>
      <c r="Z387" s="26" t="n"/>
      <c r="AA387" s="28" t="n"/>
      <c r="AB387" s="28" t="n"/>
      <c r="AC387" s="30" t="n">
        <v>-1</v>
      </c>
      <c r="AD387" s="24" t="inlineStr">
        <is>
          <t>2026-09-20T04:31:53.793622Z</t>
        </is>
      </c>
      <c r="AE387" s="31" t="inlineStr">
        <is>
          <t>Projected total 52.3 pts (Weather adj: +0.0 pts). Total line 51.5 -&gt; P(Over)=0.477, P(Under)=0.523, P(Push)=0.000.</t>
        </is>
      </c>
      <c r="AF387" s="31" t="inlineStr">
        <is>
          <t>College football model; multi-market (moneyline, spread, total).</t>
        </is>
      </c>
      <c r="AG387" s="24" t="inlineStr">
        <is>
          <t>review_required</t>
        </is>
      </c>
      <c r="AH387" s="24" t="n"/>
      <c r="AI387" s="31" t="n"/>
      <c r="AJ387" s="31" t="n"/>
      <c r="AK387" s="24" t="inlineStr">
        <is>
          <t>paper_call</t>
        </is>
      </c>
      <c r="AL387" s="26" t="n">
        <v>4</v>
      </c>
      <c r="AM387" s="24" t="inlineStr">
        <is>
          <t>RESEARCH_OBSERVATION</t>
        </is>
      </c>
      <c r="AN387" s="24" t="inlineStr">
        <is>
          <t>CALL</t>
        </is>
      </c>
      <c r="AO387" s="24" t="inlineStr">
        <is>
          <t>PAPER_CALL_LOW_EDGE</t>
        </is>
      </c>
      <c r="AP387" s="24" t="inlineStr">
        <is>
          <t>Georgia Southern Eagles</t>
        </is>
      </c>
      <c r="AQ387" s="24" t="inlineStr">
        <is>
          <t>Georgia Southern Eagles</t>
        </is>
      </c>
      <c r="AR387" s="24" t="inlineStr">
        <is>
          <t>Georgia Southern Eagles</t>
        </is>
      </c>
      <c r="AS387" s="24" t="inlineStr">
        <is>
          <t>Jacksonville State Gamecocks</t>
        </is>
      </c>
      <c r="AT387" s="24" t="inlineStr">
        <is>
          <t>Jacksonville State Gamecocks</t>
        </is>
      </c>
      <c r="AU387" s="24" t="inlineStr">
        <is>
          <t>Jacksonville State Gamecocks</t>
        </is>
      </c>
      <c r="AV387" s="24" t="n"/>
      <c r="AW387" s="24" t="n"/>
      <c r="AX387" s="24" t="inlineStr">
        <is>
          <t>statistical_model</t>
        </is>
      </c>
      <c r="AY387" s="24" t="n"/>
      <c r="AZ387" s="24" t="inlineStr">
        <is>
          <t>shadow_qualified</t>
        </is>
      </c>
      <c r="BA387" s="24" t="inlineStr">
        <is>
          <t>1d168f11d221cd3c</t>
        </is>
      </c>
      <c r="BB387" s="24" t="inlineStr">
        <is>
          <t>cfb_key_number_engine</t>
        </is>
      </c>
      <c r="BC387" s="24" t="inlineStr">
        <is>
          <t>cfb-total-v1</t>
        </is>
      </c>
      <c r="BD387" s="24" t="inlineStr">
        <is>
          <t>1d168f11d221cd3c</t>
        </is>
      </c>
      <c r="BE387" s="24" t="inlineStr">
        <is>
          <t>cfb-v1</t>
        </is>
      </c>
      <c r="BF387" s="24" t="inlineStr">
        <is>
          <t>1</t>
        </is>
      </c>
      <c r="BG387" s="24" t="inlineStr">
        <is>
          <t>1d168f11d221cd3c</t>
        </is>
      </c>
      <c r="BH387" s="24" t="inlineStr">
        <is>
          <t>2026-09-19T22:46:25.988423+00:00</t>
        </is>
      </c>
      <c r="BI387" s="24" t="inlineStr">
        <is>
          <t>["same_event","same_team_same_day","same_league_same_day"]</t>
        </is>
      </c>
      <c r="BJ387" s="25" t="n">
        <v>51.5</v>
      </c>
      <c r="BK387" s="26" t="n">
        <v>-110</v>
      </c>
      <c r="BL387" s="27" t="n">
        <v>1.909091</v>
      </c>
      <c r="BM387" s="28" t="n">
        <v>0.52381</v>
      </c>
      <c r="BN387" s="28" t="n"/>
      <c r="BO387" s="28" t="n"/>
      <c r="BP387" s="25" t="n"/>
      <c r="BQ387" s="27" t="n"/>
      <c r="BR387" s="28" t="n"/>
      <c r="BS387" s="28" t="n"/>
      <c r="BT387" s="28" t="n"/>
      <c r="BU387" s="25" t="n"/>
      <c r="BV387" s="29" t="n"/>
      <c r="BW387" s="24" t="n"/>
      <c r="BX387" s="30" t="n">
        <v>1</v>
      </c>
      <c r="BY387" s="27" t="n">
        <v>-1</v>
      </c>
      <c r="BZ387" s="24" t="inlineStr">
        <is>
          <t>2026-09-20T04:31:53.793622Z</t>
        </is>
      </c>
      <c r="CA387" s="31" t="inlineStr">
        <is>
          <t>fixed one-unit hypothetical scoring; no real exposure or execution</t>
        </is>
      </c>
      <c r="CB387" s="24" t="n"/>
      <c r="CC387" s="24" t="n"/>
      <c r="CD387" s="24" t="n"/>
      <c r="CE387" s="24" t="n"/>
      <c r="CF387" s="24" t="n"/>
      <c r="CG387" s="24" t="n"/>
      <c r="CH387" s="24" t="n"/>
      <c r="CI387" s="24" t="n"/>
      <c r="CJ387" s="24" t="n"/>
      <c r="CK387" s="24" t="n"/>
      <c r="CL387" s="24" t="n"/>
      <c r="CM387" s="24" t="n"/>
      <c r="CN387" s="24" t="n"/>
      <c r="CO387" s="24" t="n"/>
      <c r="CP387" s="24" t="n"/>
      <c r="CQ387" s="24" t="n"/>
      <c r="CR387" s="24" t="n"/>
      <c r="CS387" s="24" t="inlineStr">
        <is>
          <t>False</t>
        </is>
      </c>
      <c r="CT387" s="24" t="n"/>
      <c r="CU387" s="24" t="n"/>
      <c r="CV387" s="24" t="n"/>
      <c r="CW387" s="24" t="n"/>
      <c r="CX387" s="24" t="n"/>
      <c r="CY387" s="24" t="n"/>
      <c r="CZ387" s="24" t="n"/>
      <c r="DA387" s="24" t="n"/>
      <c r="DB387" s="24" t="n"/>
      <c r="DC387" s="24" t="n"/>
      <c r="DD387" s="24" t="n"/>
      <c r="DE387" s="24" t="n"/>
      <c r="DF387" s="24" t="n"/>
      <c r="DG387" s="24" t="n"/>
      <c r="DH387" s="24" t="n"/>
      <c r="DI387" s="24" t="n"/>
      <c r="DJ387" s="24" t="inlineStr">
        <is>
          <t>0.52381</t>
        </is>
      </c>
      <c r="DK387" s="24" t="n"/>
      <c r="DL387" s="24" t="n"/>
      <c r="DM387" s="24" t="n"/>
      <c r="DN387" s="24" t="n"/>
      <c r="DO387" s="24" t="n"/>
      <c r="DP387" s="24" t="n"/>
      <c r="DQ387" s="24" t="inlineStr">
        <is>
          <t>{"artifact_hash": "1d168f11d221cd3c", "event_id": "401869948", "event_start_utc": "2026-09-19T23:00Z", "features": {"altitude_fatigue_penalty": 0.0, "away_team": "Georgia Southern Eagles", "efficiency_gap": -1.065, "elo_away": 1535.0, "elo_home": 1531.9, "elo_home_win_prob": 0.5882, "event_id": "401869948", "game_start_utc": "2026-09-19T23:00Z", "home_field_advantage_points": 2.8, "home_team": "Jacksonville State Gamecocks", "is_dome": false, "is_fbs_vs_fcs": false, "is_neutral_site": false, "projected_away_points": 24.9, "projected_home_points": 27.4, "projected_margin_home": 2.5, "projected_possessions": 12.4, "projected_total": 52.3, "stadium_elevation_ft": 730, "travel_distance_miles": 250.0, "uncertainty": 0.18, "weather_total_adjustment": 0.0}, "historical_source_observation_times_verified": false, "inference_inputs": {"engine_source_sha256": "449ba2f0e86fa9c445730076a0e0bf100fb4914620be53c75c6f3bfe24298f3f", "mu_away": 24.9,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71553083059970211592972171030018871988}, "uinteger": 0}, "spread_home_line": -3.5, "total_line": 51.5}, "market_type": "total", "model_version": "cfb-total-v1", "observed_at_utc": "2026-09-19T22:46:25.988423+00:00", "probabilities": {"over": 0.4772, "push": 0.0, "under": 0.5228}, "replay_scope": "Full precision score means, exact engine parameters and original RNG state; upstream feature construction not certified.", "schema": "cfb-joint-replay-v1", "snapshot_hash": "4b163d999319afe670efaf32501329f7834ec0d833edbb6fb815bd1bc2c5f352", "sport": "NCAAF"}</t>
        </is>
      </c>
    </row>
    <row r="388" ht="36" customHeight="1">
      <c r="A388" s="24" t="inlineStr">
        <is>
          <t>39ded78e8a4f411b</t>
        </is>
      </c>
      <c r="B388" s="24" t="inlineStr">
        <is>
          <t>2026-09-19T22:46:25.988423Z</t>
        </is>
      </c>
      <c r="C388" s="24" t="inlineStr">
        <is>
          <t>2026-09-19T23:00Z</t>
        </is>
      </c>
      <c r="D388" s="24" t="inlineStr">
        <is>
          <t>401870764</t>
        </is>
      </c>
      <c r="E388" s="24" t="inlineStr">
        <is>
          <t>NCAAF</t>
        </is>
      </c>
      <c r="F388" s="24" t="inlineStr">
        <is>
          <t>Nicholls Colonels</t>
        </is>
      </c>
      <c r="G388" s="24" t="inlineStr">
        <is>
          <t>Sam Houston Bearkats</t>
        </is>
      </c>
      <c r="H388" s="24" t="inlineStr">
        <is>
          <t>spread</t>
        </is>
      </c>
      <c r="I388" s="24" t="inlineStr">
        <is>
          <t>away</t>
        </is>
      </c>
      <c r="J388" s="25" t="n">
        <v>21</v>
      </c>
      <c r="K388" s="24" t="inlineStr">
        <is>
          <t>espn_consensus</t>
        </is>
      </c>
      <c r="L388" s="26" t="n">
        <v>-110</v>
      </c>
      <c r="M388" s="27" t="n">
        <v>1.909091</v>
      </c>
      <c r="N388" s="28" t="n">
        <v>0.52381</v>
      </c>
      <c r="O388" s="28" t="n">
        <v>0.834867</v>
      </c>
      <c r="P388" s="28" t="n">
        <v>0.18</v>
      </c>
      <c r="Q388" s="28" t="n">
        <v>0.311057</v>
      </c>
      <c r="R388" s="26" t="n">
        <v>98</v>
      </c>
      <c r="S388" s="29" t="n">
        <v>1.75</v>
      </c>
      <c r="T388" s="24" t="inlineStr">
        <is>
          <t>cfb-spread-v1</t>
        </is>
      </c>
      <c r="U388" s="24" t="inlineStr">
        <is>
          <t>settled</t>
        </is>
      </c>
      <c r="V388" s="24" t="inlineStr">
        <is>
          <t>loss</t>
        </is>
      </c>
      <c r="W388" s="26" t="n">
        <v>0</v>
      </c>
      <c r="X388" s="26" t="n">
        <v>59</v>
      </c>
      <c r="Y388" s="25" t="n"/>
      <c r="Z388" s="26" t="n"/>
      <c r="AA388" s="28" t="n"/>
      <c r="AB388" s="28" t="n"/>
      <c r="AC388" s="30" t="n">
        <v>-1.75</v>
      </c>
      <c r="AD388" s="24" t="inlineStr">
        <is>
          <t>2026-09-20T04:31:54.291777Z</t>
        </is>
      </c>
      <c r="AE388" s="31" t="inlineStr">
        <is>
          <t>Projected home margin +0.6 pts. Spread: Home -21.0 / Away +21.0 -&gt; P(Away cover)=0.835, P(Home cover)=0.155, P(Push)=0.011.</t>
        </is>
      </c>
      <c r="AF388" s="31" t="inlineStr">
        <is>
          <t>College football model; multi-market (moneyline, spread, total).</t>
        </is>
      </c>
      <c r="AG388" s="24" t="inlineStr">
        <is>
          <t>review_required</t>
        </is>
      </c>
      <c r="AH388" s="24" t="n"/>
      <c r="AI388" s="31" t="n"/>
      <c r="AJ388" s="31" t="n"/>
      <c r="AK388" s="24" t="inlineStr">
        <is>
          <t>model_qualified</t>
        </is>
      </c>
      <c r="AL388" s="26" t="n">
        <v>4</v>
      </c>
      <c r="AM388" s="24" t="inlineStr">
        <is>
          <t>QUALIFIED_SHADOW_CALL</t>
        </is>
      </c>
      <c r="AN388" s="24" t="inlineStr">
        <is>
          <t>CALL</t>
        </is>
      </c>
      <c r="AO388" s="24" t="inlineStr">
        <is>
          <t>QUALIFIED</t>
        </is>
      </c>
      <c r="AP388" s="24" t="inlineStr">
        <is>
          <t>Nicholls Colonels</t>
        </is>
      </c>
      <c r="AQ388" s="24" t="inlineStr">
        <is>
          <t>Nicholls Colonels</t>
        </is>
      </c>
      <c r="AR388" s="24" t="inlineStr">
        <is>
          <t>Nicholls Colonels</t>
        </is>
      </c>
      <c r="AS388" s="24" t="inlineStr">
        <is>
          <t>Sam Houston Bearkats</t>
        </is>
      </c>
      <c r="AT388" s="24" t="inlineStr">
        <is>
          <t>Sam Houston Bearkats</t>
        </is>
      </c>
      <c r="AU388" s="24" t="inlineStr">
        <is>
          <t>Sam Houston Bearkats</t>
        </is>
      </c>
      <c r="AV388" s="24" t="n"/>
      <c r="AW388" s="24" t="n"/>
      <c r="AX388" s="24" t="inlineStr">
        <is>
          <t>statistical_model</t>
        </is>
      </c>
      <c r="AY388" s="24" t="n"/>
      <c r="AZ388" s="24" t="inlineStr">
        <is>
          <t>shadow_qualified</t>
        </is>
      </c>
      <c r="BA388" s="24" t="inlineStr">
        <is>
          <t>1d168f11d221cd3c</t>
        </is>
      </c>
      <c r="BB388" s="24" t="inlineStr">
        <is>
          <t>cfb_key_number_engine</t>
        </is>
      </c>
      <c r="BC388" s="24" t="inlineStr">
        <is>
          <t>cfb-spread-v1</t>
        </is>
      </c>
      <c r="BD388" s="24" t="inlineStr">
        <is>
          <t>1d168f11d221cd3c</t>
        </is>
      </c>
      <c r="BE388" s="24" t="inlineStr">
        <is>
          <t>cfb-v1</t>
        </is>
      </c>
      <c r="BF388" s="24" t="inlineStr">
        <is>
          <t>1</t>
        </is>
      </c>
      <c r="BG388" s="24" t="inlineStr">
        <is>
          <t>1d168f11d221cd3c</t>
        </is>
      </c>
      <c r="BH388" s="24" t="inlineStr">
        <is>
          <t>2026-09-19T22:46:25.988423+00:00</t>
        </is>
      </c>
      <c r="BI388" s="24" t="inlineStr">
        <is>
          <t>["same_event","same_team_same_day","same_league_same_day"]</t>
        </is>
      </c>
      <c r="BJ388" s="25" t="n">
        <v>21</v>
      </c>
      <c r="BK388" s="26" t="n">
        <v>-110</v>
      </c>
      <c r="BL388" s="27" t="n">
        <v>1.909091</v>
      </c>
      <c r="BM388" s="28" t="n">
        <v>0.52381</v>
      </c>
      <c r="BN388" s="28" t="n"/>
      <c r="BO388" s="28" t="n"/>
      <c r="BP388" s="25" t="n"/>
      <c r="BQ388" s="27" t="n"/>
      <c r="BR388" s="28" t="n"/>
      <c r="BS388" s="28" t="n"/>
      <c r="BT388" s="28" t="n"/>
      <c r="BU388" s="25" t="n"/>
      <c r="BV388" s="29" t="n"/>
      <c r="BW388" s="24" t="n"/>
      <c r="BX388" s="30" t="n"/>
      <c r="BY388" s="27" t="n"/>
      <c r="BZ388" s="24" t="n"/>
      <c r="CA388" s="31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inlineStr">
        <is>
          <t>True</t>
        </is>
      </c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n"/>
      <c r="DE388" s="24" t="n"/>
      <c r="DF388" s="24" t="n"/>
      <c r="DG388" s="24" t="n"/>
      <c r="DH388" s="24" t="n"/>
      <c r="DI388" s="24" t="n"/>
      <c r="DJ388" s="24" t="inlineStr">
        <is>
          <t>0.52381</t>
        </is>
      </c>
      <c r="DK388" s="24" t="n"/>
      <c r="DL388" s="24" t="n"/>
      <c r="DM388" s="24" t="n"/>
      <c r="DN388" s="24" t="n"/>
      <c r="DO388" s="24" t="n"/>
      <c r="DP388" s="24" t="n"/>
      <c r="DQ388" s="24" t="inlineStr">
        <is>
          <t>{"artifact_hash": "1d168f11d221cd3c", "event_id": "401870764", "event_start_utc": "2026-09-19T23:00Z", "features": {"altitude_fatigue_penalty": 0.0, "away_team": "Nicholls Colonels", "efficiency_gap": -0.066, "elo_away": 1337.5, "elo_home": 1287.4, "elo_home_win_prob": 0.5214, "event_id": "401870764", "game_start_utc": "2026-09-19T23:00Z", "home_field_advantage_points": 2.8, "home_team": "Sam Houston Bearkats", "is_dome": false, "is_fbs_vs_fcs": false, "is_neutral_site": false, "projected_away_points": 26.0, "projected_home_points": 26.6, "projected_margin_home": 0.6,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26.0, "mu_home": 26.6,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304514255800853961770241439673573418660}, "uinteger": 0}, "spread_home_line": -21.0, "total_line": 50.5}, "market_type": "spread", "model_version": "cfb-spread-v1", "observed_at_utc": "2026-09-19T22:46:25.988423+00:00", "probabilities": {"away": 0.834867, "home": 0.1546, "push": 0.010533}, "replay_scope": "Full precision score means, exact engine parameters and original RNG state; upstream feature construction not certified.", "schema": "cfb-joint-replay-v1", "snapshot_hash": "97d3179753642b228b1b18b857dd62913f3becff99a3d54055254ee7431664a7", "sport": "NCAAF"}</t>
        </is>
      </c>
    </row>
    <row r="389" ht="36" customHeight="1">
      <c r="A389" s="24" t="inlineStr">
        <is>
          <t>5cf6f276199c413e</t>
        </is>
      </c>
      <c r="B389" s="24" t="inlineStr">
        <is>
          <t>2026-09-19T22:46:25.988423Z</t>
        </is>
      </c>
      <c r="C389" s="24" t="inlineStr">
        <is>
          <t>2026-09-19T23:00Z</t>
        </is>
      </c>
      <c r="D389" s="24" t="inlineStr">
        <is>
          <t>401870764</t>
        </is>
      </c>
      <c r="E389" s="24" t="inlineStr">
        <is>
          <t>NCAAF</t>
        </is>
      </c>
      <c r="F389" s="24" t="inlineStr">
        <is>
          <t>Nicholls Colonels</t>
        </is>
      </c>
      <c r="G389" s="24" t="inlineStr">
        <is>
          <t>Sam Houston Bearkats</t>
        </is>
      </c>
      <c r="H389" s="24" t="inlineStr">
        <is>
          <t>total</t>
        </is>
      </c>
      <c r="I389" s="24" t="inlineStr">
        <is>
          <t>over</t>
        </is>
      </c>
      <c r="J389" s="25" t="n">
        <v>50.5</v>
      </c>
      <c r="K389" s="24" t="inlineStr">
        <is>
          <t>espn_consensus</t>
        </is>
      </c>
      <c r="L389" s="26" t="n">
        <v>-110</v>
      </c>
      <c r="M389" s="27" t="n">
        <v>1.909091</v>
      </c>
      <c r="N389" s="28" t="n">
        <v>0.52381</v>
      </c>
      <c r="O389" s="28" t="n">
        <v>0.502067</v>
      </c>
      <c r="P389" s="28" t="n">
        <v>0.18</v>
      </c>
      <c r="Q389" s="28" t="n">
        <v>-0.021743</v>
      </c>
      <c r="R389" s="26" t="n">
        <v>0</v>
      </c>
      <c r="S389" s="29" t="n">
        <v>1</v>
      </c>
      <c r="T389" s="24" t="inlineStr">
        <is>
          <t>cfb-total-v1</t>
        </is>
      </c>
      <c r="U389" s="24" t="inlineStr">
        <is>
          <t>settled</t>
        </is>
      </c>
      <c r="V389" s="24" t="inlineStr">
        <is>
          <t>win</t>
        </is>
      </c>
      <c r="W389" s="26" t="n">
        <v>0</v>
      </c>
      <c r="X389" s="26" t="n">
        <v>59</v>
      </c>
      <c r="Y389" s="25" t="n"/>
      <c r="Z389" s="26" t="n"/>
      <c r="AA389" s="28" t="n"/>
      <c r="AB389" s="28" t="n"/>
      <c r="AC389" s="30" t="n">
        <v>0.9091</v>
      </c>
      <c r="AD389" s="24" t="inlineStr">
        <is>
          <t>2026-09-20T04:31:54.786711Z</t>
        </is>
      </c>
      <c r="AE389" s="31" t="inlineStr">
        <is>
          <t>Projected total 52.6 pts (Weather adj: +0.0 pts). Total line 50.5 -&gt; P(Over)=0.502, P(Under)=0.498, P(Push)=0.000.</t>
        </is>
      </c>
      <c r="AF389" s="31" t="inlineStr">
        <is>
          <t>College football model; multi-market (moneyline, spread, total).</t>
        </is>
      </c>
      <c r="AG389" s="24" t="inlineStr">
        <is>
          <t>not_applicable</t>
        </is>
      </c>
      <c r="AH389" s="24" t="n"/>
      <c r="AI389" s="31" t="n"/>
      <c r="AJ389" s="31" t="n"/>
      <c r="AK389" s="24" t="inlineStr">
        <is>
          <t>paper_call</t>
        </is>
      </c>
      <c r="AL389" s="26" t="n">
        <v>4</v>
      </c>
      <c r="AM389" s="24" t="inlineStr">
        <is>
          <t>RESEARCH_OBSERVATION</t>
        </is>
      </c>
      <c r="AN389" s="24" t="inlineStr">
        <is>
          <t>CALL</t>
        </is>
      </c>
      <c r="AO389" s="24" t="inlineStr">
        <is>
          <t>PAPER_CALL_LOW_EDGE</t>
        </is>
      </c>
      <c r="AP389" s="24" t="inlineStr">
        <is>
          <t>Nicholls Colonels</t>
        </is>
      </c>
      <c r="AQ389" s="24" t="inlineStr">
        <is>
          <t>Nicholls Colonels</t>
        </is>
      </c>
      <c r="AR389" s="24" t="inlineStr">
        <is>
          <t>Nicholls Colonels</t>
        </is>
      </c>
      <c r="AS389" s="24" t="inlineStr">
        <is>
          <t>Sam Houston Bearkats</t>
        </is>
      </c>
      <c r="AT389" s="24" t="inlineStr">
        <is>
          <t>Sam Houston Bearkats</t>
        </is>
      </c>
      <c r="AU389" s="24" t="inlineStr">
        <is>
          <t>Sam Houston Bearkats</t>
        </is>
      </c>
      <c r="AV389" s="24" t="n"/>
      <c r="AW389" s="24" t="n"/>
      <c r="AX389" s="24" t="inlineStr">
        <is>
          <t>statistical_model</t>
        </is>
      </c>
      <c r="AY389" s="24" t="n"/>
      <c r="AZ389" s="24" t="inlineStr">
        <is>
          <t>shadow_qualified</t>
        </is>
      </c>
      <c r="BA389" s="24" t="inlineStr">
        <is>
          <t>1d168f11d221cd3c</t>
        </is>
      </c>
      <c r="BB389" s="24" t="inlineStr">
        <is>
          <t>cfb_key_number_engine</t>
        </is>
      </c>
      <c r="BC389" s="24" t="inlineStr">
        <is>
          <t>cfb-total-v1</t>
        </is>
      </c>
      <c r="BD389" s="24" t="inlineStr">
        <is>
          <t>1d168f11d221cd3c</t>
        </is>
      </c>
      <c r="BE389" s="24" t="inlineStr">
        <is>
          <t>cfb-v1</t>
        </is>
      </c>
      <c r="BF389" s="24" t="inlineStr">
        <is>
          <t>1</t>
        </is>
      </c>
      <c r="BG389" s="24" t="inlineStr">
        <is>
          <t>1d168f11d221cd3c</t>
        </is>
      </c>
      <c r="BH389" s="24" t="inlineStr">
        <is>
          <t>2026-09-19T22:46:25.988423+00:00</t>
        </is>
      </c>
      <c r="BI389" s="24" t="inlineStr">
        <is>
          <t>["same_event","same_team_same_day","same_league_same_day"]</t>
        </is>
      </c>
      <c r="BJ389" s="25" t="n">
        <v>50.5</v>
      </c>
      <c r="BK389" s="26" t="n">
        <v>-110</v>
      </c>
      <c r="BL389" s="27" t="n">
        <v>1.909091</v>
      </c>
      <c r="BM389" s="28" t="n">
        <v>0.52381</v>
      </c>
      <c r="BN389" s="28" t="n"/>
      <c r="BO389" s="28" t="n"/>
      <c r="BP389" s="25" t="n"/>
      <c r="BQ389" s="27" t="n"/>
      <c r="BR389" s="28" t="n"/>
      <c r="BS389" s="28" t="n"/>
      <c r="BT389" s="28" t="n"/>
      <c r="BU389" s="25" t="n"/>
      <c r="BV389" s="29" t="n"/>
      <c r="BW389" s="24" t="n"/>
      <c r="BX389" s="30" t="n">
        <v>1</v>
      </c>
      <c r="BY389" s="27" t="n">
        <v>0.909091</v>
      </c>
      <c r="BZ389" s="24" t="inlineStr">
        <is>
          <t>2026-09-20T04:31:54.786711Z</t>
        </is>
      </c>
      <c r="CA389" s="31" t="inlineStr">
        <is>
          <t>fixed one-unit hypothetical scoring; no real exposure or execution</t>
        </is>
      </c>
      <c r="CB389" s="24" t="n"/>
      <c r="CC389" s="24" t="n"/>
      <c r="CD389" s="24" t="n"/>
      <c r="CE389" s="24" t="n"/>
      <c r="CF389" s="24" t="n"/>
      <c r="CG389" s="24" t="n"/>
      <c r="CH389" s="24" t="n"/>
      <c r="CI389" s="24" t="n"/>
      <c r="CJ389" s="24" t="n"/>
      <c r="CK389" s="24" t="n"/>
      <c r="CL389" s="24" t="n"/>
      <c r="CM389" s="24" t="n"/>
      <c r="CN389" s="24" t="n"/>
      <c r="CO389" s="24" t="n"/>
      <c r="CP389" s="24" t="n"/>
      <c r="CQ389" s="24" t="n"/>
      <c r="CR389" s="24" t="n"/>
      <c r="CS389" s="24" t="inlineStr">
        <is>
          <t>False</t>
        </is>
      </c>
      <c r="CT389" s="24" t="n"/>
      <c r="CU389" s="24" t="n"/>
      <c r="CV389" s="24" t="n"/>
      <c r="CW389" s="24" t="n"/>
      <c r="CX389" s="24" t="n"/>
      <c r="CY389" s="24" t="n"/>
      <c r="CZ389" s="24" t="n"/>
      <c r="DA389" s="24" t="n"/>
      <c r="DB389" s="24" t="n"/>
      <c r="DC389" s="24" t="n"/>
      <c r="DD389" s="24" t="n"/>
      <c r="DE389" s="24" t="n"/>
      <c r="DF389" s="24" t="n"/>
      <c r="DG389" s="24" t="n"/>
      <c r="DH389" s="24" t="n"/>
      <c r="DI389" s="24" t="n"/>
      <c r="DJ389" s="24" t="inlineStr">
        <is>
          <t>0.52381</t>
        </is>
      </c>
      <c r="DK389" s="24" t="n"/>
      <c r="DL389" s="24" t="n"/>
      <c r="DM389" s="24" t="n"/>
      <c r="DN389" s="24" t="n"/>
      <c r="DO389" s="24" t="n"/>
      <c r="DP389" s="24" t="n"/>
      <c r="DQ389" s="24" t="inlineStr">
        <is>
          <t>{"artifact_hash": "1d168f11d221cd3c", "event_id": "401870764", "event_start_utc": "2026-09-19T23:00Z", "features": {"altitude_fatigue_penalty": 0.0, "away_team": "Nicholls Colonels", "efficiency_gap": -0.066, "elo_away": 1337.5, "elo_home": 1287.4, "elo_home_win_prob": 0.5214, "event_id": "401870764", "game_start_utc": "2026-09-19T23:00Z", "home_field_advantage_points": 2.8, "home_team": "Sam Houston Bearkats", "is_dome": false, "is_fbs_vs_fcs": false, "is_neutral_site": false, "projected_away_points": 26.0, "projected_home_points": 26.6, "projected_margin_home": 0.6,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26.0, "mu_home": 26.6,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304514255800853961770241439673573418660}, "uinteger": 0}, "spread_home_line": -21.0, "total_line": 50.5}, "market_type": "total", "model_version": "cfb-total-v1", "observed_at_utc": "2026-09-19T22:46:25.988423+00:00", "probabilities": {"over": 0.502067, "push": 0.0, "under": 0.497933}, "replay_scope": "Full precision score means, exact engine parameters and original RNG state; upstream feature construction not certified.", "schema": "cfb-joint-replay-v1", "snapshot_hash": "5a554bdb5dfaa07b0e17ccf39c4412589b7425b8a86030697d89b8cbbbf9bd66", "sport": "NCAAF"}</t>
        </is>
      </c>
    </row>
    <row r="390" ht="36" customHeight="1">
      <c r="A390" s="24" t="inlineStr">
        <is>
          <t>90d5a72b9ce3485b</t>
        </is>
      </c>
      <c r="B390" s="24" t="inlineStr">
        <is>
          <t>2026-09-19T22:46:25.988423Z</t>
        </is>
      </c>
      <c r="C390" s="24" t="inlineStr">
        <is>
          <t>2026-09-19T23:15Z</t>
        </is>
      </c>
      <c r="D390" s="24" t="inlineStr">
        <is>
          <t>401858452</t>
        </is>
      </c>
      <c r="E390" s="24" t="inlineStr">
        <is>
          <t>NCAAF</t>
        </is>
      </c>
      <c r="F390" s="24" t="inlineStr">
        <is>
          <t>North Dakota Fighting Hawks</t>
        </is>
      </c>
      <c r="G390" s="24" t="inlineStr">
        <is>
          <t>Nebraska Cornhuskers</t>
        </is>
      </c>
      <c r="H390" s="24" t="inlineStr">
        <is>
          <t>moneyline</t>
        </is>
      </c>
      <c r="I390" s="24" t="inlineStr">
        <is>
          <t>home</t>
        </is>
      </c>
      <c r="J390" s="25" t="n"/>
      <c r="K390" s="24" t="inlineStr">
        <is>
          <t>espn_consensus</t>
        </is>
      </c>
      <c r="L390" s="26" t="n">
        <v>-2800</v>
      </c>
      <c r="M390" s="27" t="n">
        <v>1.035714</v>
      </c>
      <c r="N390" s="28" t="n">
        <v>0.965517</v>
      </c>
      <c r="O390" s="28" t="n">
        <v>0.664224</v>
      </c>
      <c r="P390" s="28" t="n">
        <v>0.18</v>
      </c>
      <c r="Q390" s="28" t="n">
        <v>-0.301293</v>
      </c>
      <c r="R390" s="26" t="n">
        <v>0</v>
      </c>
      <c r="S390" s="29" t="n">
        <v>1</v>
      </c>
      <c r="T390" s="24" t="inlineStr">
        <is>
          <t>college-football-v1</t>
        </is>
      </c>
      <c r="U390" s="24" t="inlineStr">
        <is>
          <t>settled</t>
        </is>
      </c>
      <c r="V390" s="24" t="inlineStr">
        <is>
          <t>win</t>
        </is>
      </c>
      <c r="W390" s="26" t="n">
        <v>7</v>
      </c>
      <c r="X390" s="26" t="n">
        <v>34</v>
      </c>
      <c r="Y390" s="25" t="n"/>
      <c r="Z390" s="26" t="n"/>
      <c r="AA390" s="28" t="n"/>
      <c r="AB390" s="28" t="n"/>
      <c r="AC390" s="30" t="n">
        <v>0.0357</v>
      </c>
      <c r="AD390" s="24" t="inlineStr">
        <is>
          <t>2026-09-20T04:31:55.290448Z</t>
        </is>
      </c>
      <c r="AE390" s="31" t="inlineStr">
        <is>
          <t>CFB Joint Model (negative_binomial): proj score North Dakota Fighting Hawks 23.5 @ Nebraska Cornhuskers 31.3 (Margin +7.8). Possessions: 12.4, HFA: +2.8 pts.</t>
        </is>
      </c>
      <c r="AF390" s="31" t="inlineStr">
        <is>
          <t>College football model; multi-market (moneyline, spread, total).</t>
        </is>
      </c>
      <c r="AG390" s="24" t="inlineStr">
        <is>
          <t>not_applicable</t>
        </is>
      </c>
      <c r="AH390" s="24" t="n"/>
      <c r="AI390" s="31" t="n"/>
      <c r="AJ390" s="31" t="n"/>
      <c r="AK390" s="24" t="inlineStr">
        <is>
          <t>paper_call</t>
        </is>
      </c>
      <c r="AL390" s="26" t="n">
        <v>4</v>
      </c>
      <c r="AM390" s="24" t="inlineStr">
        <is>
          <t>RESEARCH_OBSERVATION</t>
        </is>
      </c>
      <c r="AN390" s="24" t="inlineStr">
        <is>
          <t>CALL</t>
        </is>
      </c>
      <c r="AO390" s="24" t="inlineStr">
        <is>
          <t>PAPER_CALL_LOW_EDGE</t>
        </is>
      </c>
      <c r="AP390" s="24" t="inlineStr">
        <is>
          <t>North Dakota Fighting Hawks</t>
        </is>
      </c>
      <c r="AQ390" s="24" t="inlineStr">
        <is>
          <t>North Dakota Fighting Hawks</t>
        </is>
      </c>
      <c r="AR390" s="24" t="inlineStr">
        <is>
          <t>North Dakota Fighting Hawks</t>
        </is>
      </c>
      <c r="AS390" s="24" t="inlineStr">
        <is>
          <t>Nebraska Cornhuskers</t>
        </is>
      </c>
      <c r="AT390" s="24" t="inlineStr">
        <is>
          <t>Nebraska Cornhuskers</t>
        </is>
      </c>
      <c r="AU390" s="24" t="inlineStr">
        <is>
          <t>Nebraska Cornhuskers</t>
        </is>
      </c>
      <c r="AV390" s="24" t="n"/>
      <c r="AW390" s="24" t="n"/>
      <c r="AX390" s="24" t="inlineStr">
        <is>
          <t>statistical_model</t>
        </is>
      </c>
      <c r="AY390" s="24" t="n"/>
      <c r="AZ390" s="24" t="inlineStr">
        <is>
          <t>shadow_qualified</t>
        </is>
      </c>
      <c r="BA390" s="24" t="inlineStr">
        <is>
          <t>1d168f11d221cd3c</t>
        </is>
      </c>
      <c r="BB390" s="24" t="inlineStr">
        <is>
          <t>cfb_key_number_engine</t>
        </is>
      </c>
      <c r="BC390" s="24" t="inlineStr">
        <is>
          <t>college-football-v1</t>
        </is>
      </c>
      <c r="BD390" s="24" t="inlineStr">
        <is>
          <t>1d168f11d221cd3c</t>
        </is>
      </c>
      <c r="BE390" s="24" t="inlineStr">
        <is>
          <t>cfb-v1</t>
        </is>
      </c>
      <c r="BF390" s="24" t="inlineStr">
        <is>
          <t>1</t>
        </is>
      </c>
      <c r="BG390" s="24" t="inlineStr">
        <is>
          <t>1d168f11d221cd3c</t>
        </is>
      </c>
      <c r="BH390" s="24" t="inlineStr">
        <is>
          <t>2026-09-19T22:46:25.988423+00:00</t>
        </is>
      </c>
      <c r="BI390" s="24" t="inlineStr">
        <is>
          <t>["same_event","same_team_same_day","same_league_same_day"]</t>
        </is>
      </c>
      <c r="BJ390" s="25" t="n"/>
      <c r="BK390" s="26" t="n">
        <v>-2800</v>
      </c>
      <c r="BL390" s="27" t="n">
        <v>1.035714</v>
      </c>
      <c r="BM390" s="28" t="n">
        <v>0.965517</v>
      </c>
      <c r="BN390" s="28" t="n"/>
      <c r="BO390" s="28" t="n"/>
      <c r="BP390" s="25" t="n"/>
      <c r="BQ390" s="27" t="n"/>
      <c r="BR390" s="28" t="n"/>
      <c r="BS390" s="28" t="n"/>
      <c r="BT390" s="28" t="n"/>
      <c r="BU390" s="25" t="n"/>
      <c r="BV390" s="29" t="n"/>
      <c r="BW390" s="24" t="n"/>
      <c r="BX390" s="30" t="n">
        <v>1</v>
      </c>
      <c r="BY390" s="27" t="n">
        <v>0.035714</v>
      </c>
      <c r="BZ390" s="24" t="inlineStr">
        <is>
          <t>2026-09-20T04:31:55.290448Z</t>
        </is>
      </c>
      <c r="CA390" s="31" t="inlineStr">
        <is>
          <t>fixed one-unit hypothetical scoring; no real exposure or execution</t>
        </is>
      </c>
      <c r="CB390" s="24" t="n"/>
      <c r="CC390" s="24" t="n"/>
      <c r="CD390" s="24" t="n"/>
      <c r="CE390" s="24" t="n"/>
      <c r="CF390" s="24" t="n"/>
      <c r="CG390" s="24" t="n"/>
      <c r="CH390" s="24" t="n"/>
      <c r="CI390" s="24" t="n"/>
      <c r="CJ390" s="24" t="n"/>
      <c r="CK390" s="24" t="n"/>
      <c r="CL390" s="24" t="n"/>
      <c r="CM390" s="24" t="n"/>
      <c r="CN390" s="24" t="n"/>
      <c r="CO390" s="24" t="n"/>
      <c r="CP390" s="24" t="n"/>
      <c r="CQ390" s="24" t="n"/>
      <c r="CR390" s="24" t="n"/>
      <c r="CS390" s="24" t="inlineStr">
        <is>
          <t>False</t>
        </is>
      </c>
      <c r="CT390" s="24" t="n"/>
      <c r="CU390" s="24" t="n"/>
      <c r="CV390" s="24" t="n"/>
      <c r="CW390" s="24" t="n"/>
      <c r="CX390" s="24" t="n"/>
      <c r="CY390" s="24" t="n"/>
      <c r="CZ390" s="24" t="n"/>
      <c r="DA390" s="24" t="n"/>
      <c r="DB390" s="24" t="n"/>
      <c r="DC390" s="24" t="n"/>
      <c r="DD390" s="24" t="n"/>
      <c r="DE390" s="24" t="n"/>
      <c r="DF390" s="24" t="n"/>
      <c r="DG390" s="24" t="n"/>
      <c r="DH390" s="24" t="n"/>
      <c r="DI390" s="24" t="n"/>
      <c r="DJ390" s="24" t="inlineStr">
        <is>
          <t>0.965517</t>
        </is>
      </c>
      <c r="DK390" s="24" t="n"/>
      <c r="DL390" s="24" t="n"/>
      <c r="DM390" s="24" t="n"/>
      <c r="DN390" s="24" t="n"/>
      <c r="DO390" s="24" t="n"/>
      <c r="DP390" s="24" t="n"/>
      <c r="DQ390" s="24" t="inlineStr">
        <is>
          <t>{"artifact_hash": "1d168f11d221cd3c", "event_id": "401858452", "event_start_utc": "2026-09-19T23:15Z", "features": {"altitude_fatigue_penalty": 0.0, "away_team": "North Dakota Fighting Hawks", "efficiency_gap": 2.43, "elo_away": 1337.5, "elo_home": 1462.4, "elo_home_win_prob": 0.749, "event_id": "401858452", "game_start_utc": "2026-09-19T23:15Z", "home_field_advantage_points": 2.8, "home_team": "Nebraska Cornhuskers", "is_dome": false, "is_fbs_vs_fcs": false, "is_neutral_site": false, "projected_away_points": 23.5, "projected_home_points": 31.3, "projected_margin_home": 7.8, "projected_possessions": 12.4, "projected_total": 54.8,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23.5,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252111156861044082837023384138974614286}, "uinteger": 0}, "spread_home_line": -27.5, "total_line": 56.5}, "market_type": "moneyline", "model_version": "college-football-v1", "observed_at_utc": "2026-09-19T22:46:25.988423+00:00", "probabilities": {"away": 0.335776, "home": 0.664224}, "replay_scope": "Full precision score means, exact engine parameters and original RNG state; upstream feature construction not certified.", "schema": "cfb-joint-replay-v1", "snapshot_hash": "15cd8bc8d19c698d92e7db191313b3f2657844ffc104d9a232df2e01a9bd6a02", "sport": "NCAAF"}</t>
        </is>
      </c>
    </row>
    <row r="391" ht="36" customHeight="1">
      <c r="A391" s="24" t="inlineStr">
        <is>
          <t>85396b5fe17e4361</t>
        </is>
      </c>
      <c r="B391" s="24" t="inlineStr">
        <is>
          <t>2026-09-19T22:46:25.988423Z</t>
        </is>
      </c>
      <c r="C391" s="24" t="inlineStr">
        <is>
          <t>2026-09-19T23:15Z</t>
        </is>
      </c>
      <c r="D391" s="24" t="inlineStr">
        <is>
          <t>401858452</t>
        </is>
      </c>
      <c r="E391" s="24" t="inlineStr">
        <is>
          <t>NCAAF</t>
        </is>
      </c>
      <c r="F391" s="24" t="inlineStr">
        <is>
          <t>North Dakota Fighting Hawks</t>
        </is>
      </c>
      <c r="G391" s="24" t="inlineStr">
        <is>
          <t>Nebraska Cornhuskers</t>
        </is>
      </c>
      <c r="H391" s="24" t="inlineStr">
        <is>
          <t>spread</t>
        </is>
      </c>
      <c r="I391" s="24" t="inlineStr">
        <is>
          <t>away</t>
        </is>
      </c>
      <c r="J391" s="25" t="n">
        <v>27.5</v>
      </c>
      <c r="K391" s="24" t="inlineStr">
        <is>
          <t>espn_consensus</t>
        </is>
      </c>
      <c r="L391" s="26" t="n">
        <v>-108</v>
      </c>
      <c r="M391" s="27" t="n">
        <v>1.925926</v>
      </c>
      <c r="N391" s="28" t="n">
        <v>0.519231</v>
      </c>
      <c r="O391" s="28" t="n">
        <v>0.831533</v>
      </c>
      <c r="P391" s="28" t="n">
        <v>0.18</v>
      </c>
      <c r="Q391" s="28" t="n">
        <v>0.312302</v>
      </c>
      <c r="R391" s="26" t="n">
        <v>98</v>
      </c>
      <c r="S391" s="29" t="n">
        <v>2</v>
      </c>
      <c r="T391" s="24" t="inlineStr">
        <is>
          <t>cfb-spread-v1</t>
        </is>
      </c>
      <c r="U391" s="24" t="inlineStr">
        <is>
          <t>settled</t>
        </is>
      </c>
      <c r="V391" s="24" t="inlineStr">
        <is>
          <t>win</t>
        </is>
      </c>
      <c r="W391" s="26" t="n">
        <v>7</v>
      </c>
      <c r="X391" s="26" t="n">
        <v>34</v>
      </c>
      <c r="Y391" s="25" t="n"/>
      <c r="Z391" s="26" t="n"/>
      <c r="AA391" s="28" t="n"/>
      <c r="AB391" s="28" t="n"/>
      <c r="AC391" s="30" t="n">
        <v>1.8519</v>
      </c>
      <c r="AD391" s="24" t="inlineStr">
        <is>
          <t>2026-09-20T04:31:55.792580Z</t>
        </is>
      </c>
      <c r="AE391" s="31" t="inlineStr">
        <is>
          <t>Projected home margin +7.8 pts. Spread: Home -27.5 / Away +27.5 -&gt; P(Away cover)=0.832, P(Home cover)=0.168, P(Push)=0.000.</t>
        </is>
      </c>
      <c r="AF391" s="31" t="inlineStr">
        <is>
          <t>College football model; multi-market (moneyline, spread, total).</t>
        </is>
      </c>
      <c r="AG391" s="24" t="inlineStr">
        <is>
          <t>not_applicable</t>
        </is>
      </c>
      <c r="AH391" s="24" t="n"/>
      <c r="AI391" s="31" t="n"/>
      <c r="AJ391" s="31" t="n"/>
      <c r="AK391" s="24" t="inlineStr">
        <is>
          <t>model_qualified</t>
        </is>
      </c>
      <c r="AL391" s="26" t="n">
        <v>4</v>
      </c>
      <c r="AM391" s="24" t="inlineStr">
        <is>
          <t>QUALIFIED_SHADOW_CALL</t>
        </is>
      </c>
      <c r="AN391" s="24" t="inlineStr">
        <is>
          <t>CALL</t>
        </is>
      </c>
      <c r="AO391" s="24" t="inlineStr">
        <is>
          <t>QUALIFIED</t>
        </is>
      </c>
      <c r="AP391" s="24" t="inlineStr">
        <is>
          <t>North Dakota Fighting Hawks</t>
        </is>
      </c>
      <c r="AQ391" s="24" t="inlineStr">
        <is>
          <t>North Dakota Fighting Hawks</t>
        </is>
      </c>
      <c r="AR391" s="24" t="inlineStr">
        <is>
          <t>North Dakota Fighting Hawks</t>
        </is>
      </c>
      <c r="AS391" s="24" t="inlineStr">
        <is>
          <t>Nebraska Cornhuskers</t>
        </is>
      </c>
      <c r="AT391" s="24" t="inlineStr">
        <is>
          <t>Nebraska Cornhuskers</t>
        </is>
      </c>
      <c r="AU391" s="24" t="inlineStr">
        <is>
          <t>Nebraska Cornhuskers</t>
        </is>
      </c>
      <c r="AV391" s="24" t="n"/>
      <c r="AW391" s="24" t="n"/>
      <c r="AX391" s="24" t="inlineStr">
        <is>
          <t>statistical_model</t>
        </is>
      </c>
      <c r="AY391" s="24" t="n"/>
      <c r="AZ391" s="24" t="inlineStr">
        <is>
          <t>shadow_qualified</t>
        </is>
      </c>
      <c r="BA391" s="24" t="inlineStr">
        <is>
          <t>1d168f11d221cd3c</t>
        </is>
      </c>
      <c r="BB391" s="24" t="inlineStr">
        <is>
          <t>cfb_key_number_engine</t>
        </is>
      </c>
      <c r="BC391" s="24" t="inlineStr">
        <is>
          <t>cfb-spread-v1</t>
        </is>
      </c>
      <c r="BD391" s="24" t="inlineStr">
        <is>
          <t>1d168f11d221cd3c</t>
        </is>
      </c>
      <c r="BE391" s="24" t="inlineStr">
        <is>
          <t>cfb-v1</t>
        </is>
      </c>
      <c r="BF391" s="24" t="inlineStr">
        <is>
          <t>1</t>
        </is>
      </c>
      <c r="BG391" s="24" t="inlineStr">
        <is>
          <t>1d168f11d221cd3c</t>
        </is>
      </c>
      <c r="BH391" s="24" t="inlineStr">
        <is>
          <t>2026-09-19T22:46:25.988423+00:00</t>
        </is>
      </c>
      <c r="BI391" s="24" t="inlineStr">
        <is>
          <t>["same_event","same_team_same_day","same_league_same_day"]</t>
        </is>
      </c>
      <c r="BJ391" s="25" t="n">
        <v>27.5</v>
      </c>
      <c r="BK391" s="26" t="n">
        <v>-108</v>
      </c>
      <c r="BL391" s="27" t="n">
        <v>1.925926</v>
      </c>
      <c r="BM391" s="28" t="n">
        <v>0.519231</v>
      </c>
      <c r="BN391" s="28" t="n"/>
      <c r="BO391" s="28" t="n"/>
      <c r="BP391" s="25" t="n"/>
      <c r="BQ391" s="27" t="n"/>
      <c r="BR391" s="28" t="n"/>
      <c r="BS391" s="28" t="n"/>
      <c r="BT391" s="28" t="n"/>
      <c r="BU391" s="25" t="n"/>
      <c r="BV391" s="29" t="n"/>
      <c r="BW391" s="24" t="n"/>
      <c r="BX391" s="30" t="n"/>
      <c r="BY391" s="27" t="n"/>
      <c r="BZ391" s="24" t="n"/>
      <c r="CA391" s="31" t="n"/>
      <c r="CB391" s="24" t="n"/>
      <c r="CC391" s="24" t="n"/>
      <c r="CD391" s="24" t="n"/>
      <c r="CE391" s="24" t="n"/>
      <c r="CF391" s="24" t="n"/>
      <c r="CG391" s="24" t="n"/>
      <c r="CH391" s="24" t="n"/>
      <c r="CI391" s="24" t="n"/>
      <c r="CJ391" s="24" t="n"/>
      <c r="CK391" s="24" t="n"/>
      <c r="CL391" s="24" t="n"/>
      <c r="CM391" s="24" t="n"/>
      <c r="CN391" s="24" t="n"/>
      <c r="CO391" s="24" t="n"/>
      <c r="CP391" s="24" t="n"/>
      <c r="CQ391" s="24" t="n"/>
      <c r="CR391" s="24" t="n"/>
      <c r="CS391" s="24" t="inlineStr">
        <is>
          <t>True</t>
        </is>
      </c>
      <c r="CT391" s="24" t="n"/>
      <c r="CU391" s="24" t="n"/>
      <c r="CV391" s="24" t="n"/>
      <c r="CW391" s="24" t="n"/>
      <c r="CX391" s="24" t="n"/>
      <c r="CY391" s="24" t="n"/>
      <c r="CZ391" s="24" t="n"/>
      <c r="DA391" s="24" t="n"/>
      <c r="DB391" s="24" t="n"/>
      <c r="DC391" s="24" t="n"/>
      <c r="DD391" s="24" t="n"/>
      <c r="DE391" s="24" t="n"/>
      <c r="DF391" s="24" t="n"/>
      <c r="DG391" s="24" t="n"/>
      <c r="DH391" s="24" t="n"/>
      <c r="DI391" s="24" t="n"/>
      <c r="DJ391" s="24" t="inlineStr">
        <is>
          <t>0.519231</t>
        </is>
      </c>
      <c r="DK391" s="24" t="n"/>
      <c r="DL391" s="24" t="n"/>
      <c r="DM391" s="24" t="n"/>
      <c r="DN391" s="24" t="n"/>
      <c r="DO391" s="24" t="n"/>
      <c r="DP391" s="24" t="n"/>
      <c r="DQ391" s="24" t="inlineStr">
        <is>
          <t>{"artifact_hash": "1d168f11d221cd3c", "event_id": "401858452", "event_start_utc": "2026-09-19T23:15Z", "features": {"altitude_fatigue_penalty": 0.0, "away_team": "North Dakota Fighting Hawks", "efficiency_gap": 2.43, "elo_away": 1337.5, "elo_home": 1462.4, "elo_home_win_prob": 0.749, "event_id": "401858452", "game_start_utc": "2026-09-19T23:15Z", "home_field_advantage_points": 2.8, "home_team": "Nebraska Cornhuskers", "is_dome": false, "is_fbs_vs_fcs": false, "is_neutral_site": false, "projected_away_points": 23.5, "projected_home_points": 31.3, "projected_margin_home": 7.8, "projected_possessions": 12.4, "projected_total": 54.8,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23.5,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252111156861044082837023384138974614286}, "uinteger": 0}, "spread_home_line": -27.5, "total_line": 56.5}, "market_type": "spread", "model_version": "cfb-spread-v1", "observed_at_utc": "2026-09-19T22:46:25.988423+00:00", "probabilities": {"away": 0.831533, "home": 0.168467, "push": 0.0}, "replay_scope": "Full precision score means, exact engine parameters and original RNG state; upstream feature construction not certified.", "schema": "cfb-joint-replay-v1", "snapshot_hash": "5d55eef1d71b9f5fee54b771381fd7b3ccccb4c2ce0bfbab24432e2b811e8650", "sport": "NCAAF"}</t>
        </is>
      </c>
    </row>
    <row r="392" ht="36" customHeight="1">
      <c r="A392" s="24" t="inlineStr">
        <is>
          <t>9b0d871202b742c8</t>
        </is>
      </c>
      <c r="B392" s="24" t="inlineStr">
        <is>
          <t>2026-09-19T22:46:25.988423Z</t>
        </is>
      </c>
      <c r="C392" s="24" t="inlineStr">
        <is>
          <t>2026-09-19T23:15Z</t>
        </is>
      </c>
      <c r="D392" s="24" t="inlineStr">
        <is>
          <t>401858452</t>
        </is>
      </c>
      <c r="E392" s="24" t="inlineStr">
        <is>
          <t>NCAAF</t>
        </is>
      </c>
      <c r="F392" s="24" t="inlineStr">
        <is>
          <t>North Dakota Fighting Hawks</t>
        </is>
      </c>
      <c r="G392" s="24" t="inlineStr">
        <is>
          <t>Nebraska Cornhuskers</t>
        </is>
      </c>
      <c r="H392" s="24" t="inlineStr">
        <is>
          <t>total</t>
        </is>
      </c>
      <c r="I392" s="24" t="inlineStr">
        <is>
          <t>under</t>
        </is>
      </c>
      <c r="J392" s="25" t="n">
        <v>56.5</v>
      </c>
      <c r="K392" s="24" t="inlineStr">
        <is>
          <t>espn_consensus</t>
        </is>
      </c>
      <c r="L392" s="26" t="n">
        <v>-112</v>
      </c>
      <c r="M392" s="27" t="n">
        <v>1.892857</v>
      </c>
      <c r="N392" s="28" t="n">
        <v>0.528302</v>
      </c>
      <c r="O392" s="28" t="n">
        <v>0.562133</v>
      </c>
      <c r="P392" s="28" t="n">
        <v>0.18</v>
      </c>
      <c r="Q392" s="28" t="n">
        <v>0.033831</v>
      </c>
      <c r="R392" s="26" t="n">
        <v>0</v>
      </c>
      <c r="S392" s="29" t="n">
        <v>1</v>
      </c>
      <c r="T392" s="24" t="inlineStr">
        <is>
          <t>cfb-total-v1</t>
        </is>
      </c>
      <c r="U392" s="24" t="inlineStr">
        <is>
          <t>settled</t>
        </is>
      </c>
      <c r="V392" s="24" t="inlineStr">
        <is>
          <t>win</t>
        </is>
      </c>
      <c r="W392" s="26" t="n">
        <v>7</v>
      </c>
      <c r="X392" s="26" t="n">
        <v>34</v>
      </c>
      <c r="Y392" s="25" t="n"/>
      <c r="Z392" s="26" t="n"/>
      <c r="AA392" s="28" t="n"/>
      <c r="AB392" s="28" t="n"/>
      <c r="AC392" s="30" t="n">
        <v>0.8929</v>
      </c>
      <c r="AD392" s="24" t="inlineStr">
        <is>
          <t>2026-09-20T04:31:56.296719Z</t>
        </is>
      </c>
      <c r="AE392" s="31" t="inlineStr">
        <is>
          <t>Projected total 54.8 pts (Weather adj: +0.0 pts). Total line 56.5 -&gt; P(Over)=0.438, P(Under)=0.562, P(Push)=0.000.</t>
        </is>
      </c>
      <c r="AF392" s="31" t="inlineStr">
        <is>
          <t>College football model; multi-market (moneyline, spread, total).</t>
        </is>
      </c>
      <c r="AG392" s="24" t="inlineStr">
        <is>
          <t>not_applicable</t>
        </is>
      </c>
      <c r="AH392" s="24" t="n"/>
      <c r="AI392" s="31" t="n"/>
      <c r="AJ392" s="31" t="n"/>
      <c r="AK392" s="24" t="inlineStr">
        <is>
          <t>model_qualified</t>
        </is>
      </c>
      <c r="AL392" s="26" t="n">
        <v>4</v>
      </c>
      <c r="AM392" s="24" t="inlineStr">
        <is>
          <t>QUALIFIED_SHADOW_CALL</t>
        </is>
      </c>
      <c r="AN392" s="24" t="inlineStr">
        <is>
          <t>CALL</t>
        </is>
      </c>
      <c r="AO392" s="24" t="inlineStr">
        <is>
          <t>QUALIFIED</t>
        </is>
      </c>
      <c r="AP392" s="24" t="inlineStr">
        <is>
          <t>North Dakota Fighting Hawks</t>
        </is>
      </c>
      <c r="AQ392" s="24" t="inlineStr">
        <is>
          <t>North Dakota Fighting Hawks</t>
        </is>
      </c>
      <c r="AR392" s="24" t="inlineStr">
        <is>
          <t>North Dakota Fighting Hawks</t>
        </is>
      </c>
      <c r="AS392" s="24" t="inlineStr">
        <is>
          <t>Nebraska Cornhuskers</t>
        </is>
      </c>
      <c r="AT392" s="24" t="inlineStr">
        <is>
          <t>Nebraska Cornhuskers</t>
        </is>
      </c>
      <c r="AU392" s="24" t="inlineStr">
        <is>
          <t>Nebraska Cornhuskers</t>
        </is>
      </c>
      <c r="AV392" s="24" t="n"/>
      <c r="AW392" s="24" t="n"/>
      <c r="AX392" s="24" t="inlineStr">
        <is>
          <t>statistical_model</t>
        </is>
      </c>
      <c r="AY392" s="24" t="n"/>
      <c r="AZ392" s="24" t="inlineStr">
        <is>
          <t>shadow_qualified</t>
        </is>
      </c>
      <c r="BA392" s="24" t="inlineStr">
        <is>
          <t>1d168f11d221cd3c</t>
        </is>
      </c>
      <c r="BB392" s="24" t="inlineStr">
        <is>
          <t>cfb_key_number_engine</t>
        </is>
      </c>
      <c r="BC392" s="24" t="inlineStr">
        <is>
          <t>cfb-total-v1</t>
        </is>
      </c>
      <c r="BD392" s="24" t="inlineStr">
        <is>
          <t>1d168f11d221cd3c</t>
        </is>
      </c>
      <c r="BE392" s="24" t="inlineStr">
        <is>
          <t>cfb-v1</t>
        </is>
      </c>
      <c r="BF392" s="24" t="inlineStr">
        <is>
          <t>1</t>
        </is>
      </c>
      <c r="BG392" s="24" t="inlineStr">
        <is>
          <t>1d168f11d221cd3c</t>
        </is>
      </c>
      <c r="BH392" s="24" t="inlineStr">
        <is>
          <t>2026-09-19T22:46:25.988423+00:00</t>
        </is>
      </c>
      <c r="BI392" s="24" t="inlineStr">
        <is>
          <t>["same_event","same_team_same_day","same_league_same_day"]</t>
        </is>
      </c>
      <c r="BJ392" s="25" t="n">
        <v>56.5</v>
      </c>
      <c r="BK392" s="26" t="n">
        <v>-112</v>
      </c>
      <c r="BL392" s="27" t="n">
        <v>1.892857</v>
      </c>
      <c r="BM392" s="28" t="n">
        <v>0.528302</v>
      </c>
      <c r="BN392" s="28" t="n"/>
      <c r="BO392" s="28" t="n"/>
      <c r="BP392" s="25" t="n"/>
      <c r="BQ392" s="27" t="n"/>
      <c r="BR392" s="28" t="n"/>
      <c r="BS392" s="28" t="n"/>
      <c r="BT392" s="28" t="n"/>
      <c r="BU392" s="25" t="n"/>
      <c r="BV392" s="29" t="n"/>
      <c r="BW392" s="24" t="n"/>
      <c r="BX392" s="30" t="n"/>
      <c r="BY392" s="27" t="n"/>
      <c r="BZ392" s="24" t="n"/>
      <c r="CA392" s="31" t="n"/>
      <c r="CB392" s="24" t="n"/>
      <c r="CC392" s="24" t="n"/>
      <c r="CD392" s="24" t="n"/>
      <c r="CE392" s="24" t="n"/>
      <c r="CF392" s="24" t="n"/>
      <c r="CG392" s="24" t="n"/>
      <c r="CH392" s="24" t="n"/>
      <c r="CI392" s="24" t="n"/>
      <c r="CJ392" s="24" t="n"/>
      <c r="CK392" s="24" t="n"/>
      <c r="CL392" s="24" t="n"/>
      <c r="CM392" s="24" t="n"/>
      <c r="CN392" s="24" t="n"/>
      <c r="CO392" s="24" t="n"/>
      <c r="CP392" s="24" t="n"/>
      <c r="CQ392" s="24" t="n"/>
      <c r="CR392" s="24" t="n"/>
      <c r="CS392" s="24" t="inlineStr">
        <is>
          <t>True</t>
        </is>
      </c>
      <c r="CT392" s="24" t="n"/>
      <c r="CU392" s="24" t="n"/>
      <c r="CV392" s="24" t="n"/>
      <c r="CW392" s="24" t="n"/>
      <c r="CX392" s="24" t="n"/>
      <c r="CY392" s="24" t="n"/>
      <c r="CZ392" s="24" t="n"/>
      <c r="DA392" s="24" t="n"/>
      <c r="DB392" s="24" t="n"/>
      <c r="DC392" s="24" t="n"/>
      <c r="DD392" s="24" t="n"/>
      <c r="DE392" s="24" t="n"/>
      <c r="DF392" s="24" t="n"/>
      <c r="DG392" s="24" t="n"/>
      <c r="DH392" s="24" t="n"/>
      <c r="DI392" s="24" t="n"/>
      <c r="DJ392" s="24" t="inlineStr">
        <is>
          <t>0.528302</t>
        </is>
      </c>
      <c r="DK392" s="24" t="n"/>
      <c r="DL392" s="24" t="n"/>
      <c r="DM392" s="24" t="n"/>
      <c r="DN392" s="24" t="n"/>
      <c r="DO392" s="24" t="n"/>
      <c r="DP392" s="24" t="n"/>
      <c r="DQ392" s="24" t="inlineStr">
        <is>
          <t>{"artifact_hash": "1d168f11d221cd3c", "event_id": "401858452", "event_start_utc": "2026-09-19T23:15Z", "features": {"altitude_fatigue_penalty": 0.0, "away_team": "North Dakota Fighting Hawks", "efficiency_gap": 2.43, "elo_away": 1337.5, "elo_home": 1462.4, "elo_home_win_prob": 0.749, "event_id": "401858452", "game_start_utc": "2026-09-19T23:15Z", "home_field_advantage_points": 2.8, "home_team": "Nebraska Cornhuskers", "is_dome": false, "is_fbs_vs_fcs": false, "is_neutral_site": false, "projected_away_points": 23.5, "projected_home_points": 31.3, "projected_margin_home": 7.8, "projected_possessions": 12.4, "projected_total": 54.8,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23.5,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252111156861044082837023384138974614286}, "uinteger": 0}, "spread_home_line": -27.5, "total_line": 56.5}, "market_type": "total", "model_version": "cfb-total-v1", "observed_at_utc": "2026-09-19T22:46:25.988423+00:00", "probabilities": {"over": 0.437867, "push": 0.0, "under": 0.562133}, "replay_scope": "Full precision score means, exact engine parameters and original RNG state; upstream feature construction not certified.", "schema": "cfb-joint-replay-v1", "snapshot_hash": "63d520e80a6bde619235965611a856f632af0d2ce253f19da88872b74c18becc", "sport": "NCAAF"}</t>
        </is>
      </c>
    </row>
    <row r="393" ht="36" customHeight="1">
      <c r="A393" s="24" t="inlineStr">
        <is>
          <t>0746a9155a464668</t>
        </is>
      </c>
      <c r="B393" s="24" t="inlineStr">
        <is>
          <t>2026-09-19T22:46:25.988423Z</t>
        </is>
      </c>
      <c r="C393" s="24" t="inlineStr">
        <is>
          <t>2026-09-19T23:15Z</t>
        </is>
      </c>
      <c r="D393" s="24" t="inlineStr">
        <is>
          <t>401858459</t>
        </is>
      </c>
      <c r="E393" s="24" t="inlineStr">
        <is>
          <t>NCAAF</t>
        </is>
      </c>
      <c r="F393" s="24" t="inlineStr">
        <is>
          <t>Eastern Washington Eagles</t>
        </is>
      </c>
      <c r="G393" s="24" t="inlineStr">
        <is>
          <t>Washington Huskies</t>
        </is>
      </c>
      <c r="H393" s="24" t="inlineStr">
        <is>
          <t>spread</t>
        </is>
      </c>
      <c r="I393" s="24" t="inlineStr">
        <is>
          <t>away</t>
        </is>
      </c>
      <c r="J393" s="25" t="n">
        <v>42.5</v>
      </c>
      <c r="K393" s="24" t="inlineStr">
        <is>
          <t>espn_consensus</t>
        </is>
      </c>
      <c r="L393" s="26" t="n">
        <v>-110</v>
      </c>
      <c r="M393" s="27" t="n">
        <v>1.909091</v>
      </c>
      <c r="N393" s="28" t="n">
        <v>0.52381</v>
      </c>
      <c r="O393" s="28" t="n">
        <v>0.9018</v>
      </c>
      <c r="P393" s="28" t="n">
        <v>0.18</v>
      </c>
      <c r="Q393" s="28" t="n">
        <v>0.37799</v>
      </c>
      <c r="R393" s="26" t="n">
        <v>100</v>
      </c>
      <c r="S393" s="29" t="n">
        <v>2</v>
      </c>
      <c r="T393" s="24" t="inlineStr">
        <is>
          <t>cfb-spread-v1</t>
        </is>
      </c>
      <c r="U393" s="24" t="inlineStr">
        <is>
          <t>settled</t>
        </is>
      </c>
      <c r="V393" s="24" t="inlineStr">
        <is>
          <t>win</t>
        </is>
      </c>
      <c r="W393" s="26" t="n">
        <v>16</v>
      </c>
      <c r="X393" s="26" t="n">
        <v>48</v>
      </c>
      <c r="Y393" s="25" t="n"/>
      <c r="Z393" s="26" t="n"/>
      <c r="AA393" s="28" t="n"/>
      <c r="AB393" s="28" t="n"/>
      <c r="AC393" s="30" t="n">
        <v>1.8182</v>
      </c>
      <c r="AD393" s="24" t="inlineStr">
        <is>
          <t>2026-09-20T04:31:56.796057Z</t>
        </is>
      </c>
      <c r="AE393" s="31" t="inlineStr">
        <is>
          <t>Projected home margin +17.3 pts. Spread: Home -42.5 / Away +42.5 -&gt; P(Away cover)=0.902, P(Home cover)=0.098, P(Push)=0.000.</t>
        </is>
      </c>
      <c r="AF393" s="31" t="inlineStr">
        <is>
          <t>College football model; multi-market (moneyline, spread, total).</t>
        </is>
      </c>
      <c r="AG393" s="24" t="inlineStr">
        <is>
          <t>not_applicable</t>
        </is>
      </c>
      <c r="AH393" s="24" t="n"/>
      <c r="AI393" s="31" t="n"/>
      <c r="AJ393" s="31" t="n"/>
      <c r="AK393" s="24" t="inlineStr">
        <is>
          <t>model_qualified</t>
        </is>
      </c>
      <c r="AL393" s="26" t="n">
        <v>4</v>
      </c>
      <c r="AM393" s="24" t="inlineStr">
        <is>
          <t>QUALIFIED_SHADOW_CALL</t>
        </is>
      </c>
      <c r="AN393" s="24" t="inlineStr">
        <is>
          <t>CALL</t>
        </is>
      </c>
      <c r="AO393" s="24" t="inlineStr">
        <is>
          <t>QUALIFIED</t>
        </is>
      </c>
      <c r="AP393" s="24" t="inlineStr">
        <is>
          <t>Eastern Washington Eagles</t>
        </is>
      </c>
      <c r="AQ393" s="24" t="inlineStr">
        <is>
          <t>Eastern Washington Eagles</t>
        </is>
      </c>
      <c r="AR393" s="24" t="inlineStr">
        <is>
          <t>Eastern Washington Eagles</t>
        </is>
      </c>
      <c r="AS393" s="24" t="inlineStr">
        <is>
          <t>Washington Huskies</t>
        </is>
      </c>
      <c r="AT393" s="24" t="inlineStr">
        <is>
          <t>Washington Huskies</t>
        </is>
      </c>
      <c r="AU393" s="24" t="inlineStr">
        <is>
          <t>Washington Huskies</t>
        </is>
      </c>
      <c r="AV393" s="24" t="n"/>
      <c r="AW393" s="24" t="n"/>
      <c r="AX393" s="24" t="inlineStr">
        <is>
          <t>statistical_model</t>
        </is>
      </c>
      <c r="AY393" s="24" t="n"/>
      <c r="AZ393" s="24" t="inlineStr">
        <is>
          <t>shadow_qualified</t>
        </is>
      </c>
      <c r="BA393" s="24" t="inlineStr">
        <is>
          <t>1d168f11d221cd3c</t>
        </is>
      </c>
      <c r="BB393" s="24" t="inlineStr">
        <is>
          <t>cfb_key_number_engine</t>
        </is>
      </c>
      <c r="BC393" s="24" t="inlineStr">
        <is>
          <t>cfb-spread-v1</t>
        </is>
      </c>
      <c r="BD393" s="24" t="inlineStr">
        <is>
          <t>1d168f11d221cd3c</t>
        </is>
      </c>
      <c r="BE393" s="24" t="inlineStr">
        <is>
          <t>cfb-v1</t>
        </is>
      </c>
      <c r="BF393" s="24" t="inlineStr">
        <is>
          <t>1</t>
        </is>
      </c>
      <c r="BG393" s="24" t="inlineStr">
        <is>
          <t>1d168f11d221cd3c</t>
        </is>
      </c>
      <c r="BH393" s="24" t="inlineStr">
        <is>
          <t>2026-09-19T22:46:25.988423+00:00</t>
        </is>
      </c>
      <c r="BI393" s="24" t="inlineStr">
        <is>
          <t>["same_event","same_team_same_day","same_league_same_day"]</t>
        </is>
      </c>
      <c r="BJ393" s="25" t="n">
        <v>42.5</v>
      </c>
      <c r="BK393" s="26" t="n">
        <v>-110</v>
      </c>
      <c r="BL393" s="27" t="n">
        <v>1.909091</v>
      </c>
      <c r="BM393" s="28" t="n">
        <v>0.52381</v>
      </c>
      <c r="BN393" s="28" t="n"/>
      <c r="BO393" s="28" t="n"/>
      <c r="BP393" s="25" t="n"/>
      <c r="BQ393" s="27" t="n"/>
      <c r="BR393" s="28" t="n"/>
      <c r="BS393" s="28" t="n"/>
      <c r="BT393" s="28" t="n"/>
      <c r="BU393" s="25" t="n"/>
      <c r="BV393" s="29" t="n"/>
      <c r="BW393" s="24" t="n"/>
      <c r="BX393" s="30" t="n"/>
      <c r="BY393" s="27" t="n"/>
      <c r="BZ393" s="24" t="n"/>
      <c r="CA393" s="31" t="n"/>
      <c r="CB393" s="24" t="n"/>
      <c r="CC393" s="24" t="n"/>
      <c r="CD393" s="24" t="n"/>
      <c r="CE393" s="24" t="n"/>
      <c r="CF393" s="24" t="n"/>
      <c r="CG393" s="24" t="n"/>
      <c r="CH393" s="24" t="n"/>
      <c r="CI393" s="24" t="n"/>
      <c r="CJ393" s="24" t="n"/>
      <c r="CK393" s="24" t="n"/>
      <c r="CL393" s="24" t="n"/>
      <c r="CM393" s="24" t="n"/>
      <c r="CN393" s="24" t="n"/>
      <c r="CO393" s="24" t="n"/>
      <c r="CP393" s="24" t="n"/>
      <c r="CQ393" s="24" t="n"/>
      <c r="CR393" s="24" t="n"/>
      <c r="CS393" s="24" t="inlineStr">
        <is>
          <t>True</t>
        </is>
      </c>
      <c r="CT393" s="24" t="n"/>
      <c r="CU393" s="24" t="n"/>
      <c r="CV393" s="24" t="n"/>
      <c r="CW393" s="24" t="n"/>
      <c r="CX393" s="24" t="n"/>
      <c r="CY393" s="24" t="n"/>
      <c r="CZ393" s="24" t="n"/>
      <c r="DA393" s="24" t="n"/>
      <c r="DB393" s="24" t="n"/>
      <c r="DC393" s="24" t="n"/>
      <c r="DD393" s="24" t="n"/>
      <c r="DE393" s="24" t="n"/>
      <c r="DF393" s="24" t="n"/>
      <c r="DG393" s="24" t="n"/>
      <c r="DH393" s="24" t="n"/>
      <c r="DI393" s="24" t="n"/>
      <c r="DJ393" s="24" t="inlineStr">
        <is>
          <t>0.52381</t>
        </is>
      </c>
      <c r="DK393" s="24" t="n"/>
      <c r="DL393" s="24" t="n"/>
      <c r="DM393" s="24" t="n"/>
      <c r="DN393" s="24" t="n"/>
      <c r="DO393" s="24" t="n"/>
      <c r="DP393" s="24" t="n"/>
      <c r="DQ393" s="24" t="inlineStr">
        <is>
          <t>{"artifact_hash": "1d168f11d221cd3c", "event_id": "401858459", "event_start_utc": "2026-09-19T23:15Z", "features": {"altitude_fatigue_penalty": 0.0, "away_team": "Eastern Washington Eagles", "efficiency_gap": 2.035, "elo_away": 1337.5, "elo_home": 1695.9, "elo_home_win_prob": 0.9196, "event_id": "401858459", "game_start_utc": "2026-09-19T23:15Z", "home_field_advantage_points": 2.8, "home_team": "Washington Huskies", "is_dome": false, "is_fbs_vs_fcs": false, "is_neutral_site": false, "projected_away_points": 18.2, "projected_home_points": 35.5, "projected_margin_home": 17.3, "projected_possessions": 12.4, "projected_total": 53.7,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18.2, "mu_home": 35.5,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32317412993777894528393370220637717329}, "uinteger": 0}, "spread_home_line": -42.5, "total_line": 58.5}, "market_type": "spread", "model_version": "cfb-spread-v1", "observed_at_utc": "2026-09-19T22:46:25.988423+00:00", "probabilities": {"away": 0.9018, "home": 0.0982, "push": 0.0}, "replay_scope": "Full precision score means, exact engine parameters and original RNG state; upstream feature construction not certified.", "schema": "cfb-joint-replay-v1", "snapshot_hash": "e6b132e0a58d93e102dbdb940775c9e018fc841b4d351d58df1cd55dc8629911", "sport": "NCAAF"}</t>
        </is>
      </c>
    </row>
    <row r="394" ht="36" customHeight="1">
      <c r="A394" s="24" t="inlineStr">
        <is>
          <t>309c10ef7fa4469e</t>
        </is>
      </c>
      <c r="B394" s="24" t="inlineStr">
        <is>
          <t>2026-09-19T22:46:25.988423Z</t>
        </is>
      </c>
      <c r="C394" s="24" t="inlineStr">
        <is>
          <t>2026-09-19T23:15Z</t>
        </is>
      </c>
      <c r="D394" s="24" t="inlineStr">
        <is>
          <t>401858459</t>
        </is>
      </c>
      <c r="E394" s="24" t="inlineStr">
        <is>
          <t>NCAAF</t>
        </is>
      </c>
      <c r="F394" s="24" t="inlineStr">
        <is>
          <t>Eastern Washington Eagles</t>
        </is>
      </c>
      <c r="G394" s="24" t="inlineStr">
        <is>
          <t>Washington Huskies</t>
        </is>
      </c>
      <c r="H394" s="24" t="inlineStr">
        <is>
          <t>total</t>
        </is>
      </c>
      <c r="I394" s="24" t="inlineStr">
        <is>
          <t>under</t>
        </is>
      </c>
      <c r="J394" s="25" t="n">
        <v>58.5</v>
      </c>
      <c r="K394" s="24" t="inlineStr">
        <is>
          <t>espn_consensus</t>
        </is>
      </c>
      <c r="L394" s="26" t="n">
        <v>-110</v>
      </c>
      <c r="M394" s="27" t="n">
        <v>1.909091</v>
      </c>
      <c r="N394" s="28" t="n">
        <v>0.52381</v>
      </c>
      <c r="O394" s="28" t="n">
        <v>0.604267</v>
      </c>
      <c r="P394" s="28" t="n">
        <v>0.18</v>
      </c>
      <c r="Q394" s="28" t="n">
        <v>0.080457</v>
      </c>
      <c r="R394" s="26" t="n">
        <v>0</v>
      </c>
      <c r="S394" s="29" t="n">
        <v>1</v>
      </c>
      <c r="T394" s="24" t="inlineStr">
        <is>
          <t>cfb-total-v1</t>
        </is>
      </c>
      <c r="U394" s="24" t="inlineStr">
        <is>
          <t>settled</t>
        </is>
      </c>
      <c r="V394" s="24" t="inlineStr">
        <is>
          <t>loss</t>
        </is>
      </c>
      <c r="W394" s="26" t="n">
        <v>16</v>
      </c>
      <c r="X394" s="26" t="n">
        <v>48</v>
      </c>
      <c r="Y394" s="25" t="n"/>
      <c r="Z394" s="26" t="n"/>
      <c r="AA394" s="28" t="n"/>
      <c r="AB394" s="28" t="n"/>
      <c r="AC394" s="30" t="n">
        <v>-1</v>
      </c>
      <c r="AD394" s="24" t="inlineStr">
        <is>
          <t>2026-09-20T04:31:57.294662Z</t>
        </is>
      </c>
      <c r="AE394" s="31" t="inlineStr">
        <is>
          <t>Projected total 53.7 pts (Weather adj: +0.0 pts). Total line 58.5 -&gt; P(Over)=0.396, P(Under)=0.604, P(Push)=0.000.</t>
        </is>
      </c>
      <c r="AF394" s="31" t="inlineStr">
        <is>
          <t>College football model; multi-market (moneyline, spread, total).</t>
        </is>
      </c>
      <c r="AG394" s="24" t="inlineStr">
        <is>
          <t>review_required</t>
        </is>
      </c>
      <c r="AH394" s="24" t="n"/>
      <c r="AI394" s="31" t="n"/>
      <c r="AJ394" s="31" t="n"/>
      <c r="AK394" s="24" t="inlineStr">
        <is>
          <t>model_qualified</t>
        </is>
      </c>
      <c r="AL394" s="26" t="n">
        <v>4</v>
      </c>
      <c r="AM394" s="24" t="inlineStr">
        <is>
          <t>QUALIFIED_SHADOW_CALL</t>
        </is>
      </c>
      <c r="AN394" s="24" t="inlineStr">
        <is>
          <t>CALL</t>
        </is>
      </c>
      <c r="AO394" s="24" t="inlineStr">
        <is>
          <t>QUALIFIED</t>
        </is>
      </c>
      <c r="AP394" s="24" t="inlineStr">
        <is>
          <t>Eastern Washington Eagles</t>
        </is>
      </c>
      <c r="AQ394" s="24" t="inlineStr">
        <is>
          <t>Eastern Washington Eagles</t>
        </is>
      </c>
      <c r="AR394" s="24" t="inlineStr">
        <is>
          <t>Eastern Washington Eagles</t>
        </is>
      </c>
      <c r="AS394" s="24" t="inlineStr">
        <is>
          <t>Washington Huskies</t>
        </is>
      </c>
      <c r="AT394" s="24" t="inlineStr">
        <is>
          <t>Washington Huskies</t>
        </is>
      </c>
      <c r="AU394" s="24" t="inlineStr">
        <is>
          <t>Washington Huskies</t>
        </is>
      </c>
      <c r="AV394" s="24" t="n"/>
      <c r="AW394" s="24" t="n"/>
      <c r="AX394" s="24" t="inlineStr">
        <is>
          <t>statistical_model</t>
        </is>
      </c>
      <c r="AY394" s="24" t="n"/>
      <c r="AZ394" s="24" t="inlineStr">
        <is>
          <t>shadow_qualified</t>
        </is>
      </c>
      <c r="BA394" s="24" t="inlineStr">
        <is>
          <t>1d168f11d221cd3c</t>
        </is>
      </c>
      <c r="BB394" s="24" t="inlineStr">
        <is>
          <t>cfb_key_number_engine</t>
        </is>
      </c>
      <c r="BC394" s="24" t="inlineStr">
        <is>
          <t>cfb-total-v1</t>
        </is>
      </c>
      <c r="BD394" s="24" t="inlineStr">
        <is>
          <t>1d168f11d221cd3c</t>
        </is>
      </c>
      <c r="BE394" s="24" t="inlineStr">
        <is>
          <t>cfb-v1</t>
        </is>
      </c>
      <c r="BF394" s="24" t="inlineStr">
        <is>
          <t>1</t>
        </is>
      </c>
      <c r="BG394" s="24" t="inlineStr">
        <is>
          <t>1d168f11d221cd3c</t>
        </is>
      </c>
      <c r="BH394" s="24" t="inlineStr">
        <is>
          <t>2026-09-19T22:46:25.988423+00:00</t>
        </is>
      </c>
      <c r="BI394" s="24" t="inlineStr">
        <is>
          <t>["same_event","same_team_same_day","same_league_same_day"]</t>
        </is>
      </c>
      <c r="BJ394" s="25" t="n">
        <v>58.5</v>
      </c>
      <c r="BK394" s="26" t="n">
        <v>-110</v>
      </c>
      <c r="BL394" s="27" t="n">
        <v>1.909091</v>
      </c>
      <c r="BM394" s="28" t="n">
        <v>0.52381</v>
      </c>
      <c r="BN394" s="28" t="n"/>
      <c r="BO394" s="28" t="n"/>
      <c r="BP394" s="25" t="n"/>
      <c r="BQ394" s="27" t="n"/>
      <c r="BR394" s="28" t="n"/>
      <c r="BS394" s="28" t="n"/>
      <c r="BT394" s="28" t="n"/>
      <c r="BU394" s="25" t="n"/>
      <c r="BV394" s="29" t="n"/>
      <c r="BW394" s="24" t="n"/>
      <c r="BX394" s="30" t="n"/>
      <c r="BY394" s="27" t="n"/>
      <c r="BZ394" s="24" t="n"/>
      <c r="CA394" s="31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inlineStr">
        <is>
          <t>True</t>
        </is>
      </c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n"/>
      <c r="DE394" s="24" t="n"/>
      <c r="DF394" s="24" t="n"/>
      <c r="DG394" s="24" t="n"/>
      <c r="DH394" s="24" t="n"/>
      <c r="DI394" s="24" t="n"/>
      <c r="DJ394" s="24" t="inlineStr">
        <is>
          <t>0.52381</t>
        </is>
      </c>
      <c r="DK394" s="24" t="n"/>
      <c r="DL394" s="24" t="n"/>
      <c r="DM394" s="24" t="n"/>
      <c r="DN394" s="24" t="n"/>
      <c r="DO394" s="24" t="n"/>
      <c r="DP394" s="24" t="n"/>
      <c r="DQ394" s="24" t="inlineStr">
        <is>
          <t>{"artifact_hash": "1d168f11d221cd3c", "event_id": "401858459", "event_start_utc": "2026-09-19T23:15Z", "features": {"altitude_fatigue_penalty": 0.0, "away_team": "Eastern Washington Eagles", "efficiency_gap": 2.035, "elo_away": 1337.5, "elo_home": 1695.9, "elo_home_win_prob": 0.9196, "event_id": "401858459", "game_start_utc": "2026-09-19T23:15Z", "home_field_advantage_points": 2.8, "home_team": "Washington Huskies", "is_dome": false, "is_fbs_vs_fcs": false, "is_neutral_site": false, "projected_away_points": 18.2, "projected_home_points": 35.5, "projected_margin_home": 17.3, "projected_possessions": 12.4, "projected_total": 53.7,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18.2, "mu_home": 35.5,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32317412993777894528393370220637717329}, "uinteger": 0}, "spread_home_line": -42.5, "total_line": 58.5}, "market_type": "total", "model_version": "cfb-total-v1", "observed_at_utc": "2026-09-19T22:46:25.988423+00:00", "probabilities": {"over": 0.395733, "push": 0.0, "under": 0.604267}, "replay_scope": "Full precision score means, exact engine parameters and original RNG state; upstream feature construction not certified.", "schema": "cfb-joint-replay-v1", "snapshot_hash": "68dbfdaea3804d484d6c037b1c61f96bfc15ed737efe5ddd82eed25ba9852abf", "sport": "NCAAF"}</t>
        </is>
      </c>
    </row>
    <row r="395" ht="36" customHeight="1">
      <c r="A395" s="24" t="inlineStr">
        <is>
          <t>fb52e9ad1f4a41b6</t>
        </is>
      </c>
      <c r="B395" s="24" t="inlineStr">
        <is>
          <t>2026-09-19T22:46:25.988423Z</t>
        </is>
      </c>
      <c r="C395" s="24" t="inlineStr">
        <is>
          <t>2026-09-19T23:30Z</t>
        </is>
      </c>
      <c r="D395" s="24" t="inlineStr">
        <is>
          <t>401858453</t>
        </is>
      </c>
      <c r="E395" s="24" t="inlineStr">
        <is>
          <t>NCAAF</t>
        </is>
      </c>
      <c r="F395" s="24" t="inlineStr">
        <is>
          <t>Michigan State Spartans</t>
        </is>
      </c>
      <c r="G395" s="24" t="inlineStr">
        <is>
          <t>Notre Dame Fighting Irish</t>
        </is>
      </c>
      <c r="H395" s="24" t="inlineStr">
        <is>
          <t>moneyline</t>
        </is>
      </c>
      <c r="I395" s="24" t="inlineStr">
        <is>
          <t>home</t>
        </is>
      </c>
      <c r="J395" s="25" t="n"/>
      <c r="K395" s="24" t="inlineStr">
        <is>
          <t>espn_consensus</t>
        </is>
      </c>
      <c r="L395" s="26" t="n">
        <v>-5000</v>
      </c>
      <c r="M395" s="27" t="n">
        <v>1.02</v>
      </c>
      <c r="N395" s="28" t="n">
        <v>0.980392</v>
      </c>
      <c r="O395" s="28" t="n">
        <v>0.895304</v>
      </c>
      <c r="P395" s="28" t="n">
        <v>0.165</v>
      </c>
      <c r="Q395" s="28" t="n">
        <v>-0.085088</v>
      </c>
      <c r="R395" s="26" t="n">
        <v>0</v>
      </c>
      <c r="S395" s="29" t="n">
        <v>1</v>
      </c>
      <c r="T395" s="24" t="inlineStr">
        <is>
          <t>college-football-v1</t>
        </is>
      </c>
      <c r="U395" s="24" t="inlineStr">
        <is>
          <t>settled</t>
        </is>
      </c>
      <c r="V395" s="24" t="inlineStr">
        <is>
          <t>win</t>
        </is>
      </c>
      <c r="W395" s="26" t="n">
        <v>10</v>
      </c>
      <c r="X395" s="26" t="n">
        <v>27</v>
      </c>
      <c r="Y395" s="25" t="n"/>
      <c r="Z395" s="26" t="n"/>
      <c r="AA395" s="28" t="n"/>
      <c r="AB395" s="28" t="n"/>
      <c r="AC395" s="30" t="n">
        <v>0.02</v>
      </c>
      <c r="AD395" s="24" t="inlineStr">
        <is>
          <t>2026-09-20T04:31:57.864936Z</t>
        </is>
      </c>
      <c r="AE395" s="31" t="inlineStr">
        <is>
          <t>CFB Joint Model (negative_binomial): proj score Michigan State Spartans 16.1 @ Notre Dame Fighting Irish 39.2 (Margin +23.1). Possessions: 12.4, HFA: +2.8 pts.</t>
        </is>
      </c>
      <c r="AF395" s="31" t="inlineStr">
        <is>
          <t>College football model; multi-market (moneyline, spread, total).</t>
        </is>
      </c>
      <c r="AG395" s="24" t="inlineStr">
        <is>
          <t>not_applicable</t>
        </is>
      </c>
      <c r="AH395" s="24" t="n"/>
      <c r="AI395" s="31" t="n"/>
      <c r="AJ395" s="31" t="n"/>
      <c r="AK395" s="24" t="inlineStr">
        <is>
          <t>paper_call</t>
        </is>
      </c>
      <c r="AL395" s="26" t="n">
        <v>4</v>
      </c>
      <c r="AM395" s="24" t="inlineStr">
        <is>
          <t>RESEARCH_OBSERVATION</t>
        </is>
      </c>
      <c r="AN395" s="24" t="inlineStr">
        <is>
          <t>CALL</t>
        </is>
      </c>
      <c r="AO395" s="24" t="inlineStr">
        <is>
          <t>PAPER_CALL_LOW_EDGE</t>
        </is>
      </c>
      <c r="AP395" s="24" t="inlineStr">
        <is>
          <t>Michigan State Spartans</t>
        </is>
      </c>
      <c r="AQ395" s="24" t="inlineStr">
        <is>
          <t>Michigan State Spartans</t>
        </is>
      </c>
      <c r="AR395" s="24" t="inlineStr">
        <is>
          <t>Michigan State Spartans</t>
        </is>
      </c>
      <c r="AS395" s="24" t="inlineStr">
        <is>
          <t>Notre Dame Fighting Irish</t>
        </is>
      </c>
      <c r="AT395" s="24" t="inlineStr">
        <is>
          <t>Notre Dame Fighting Irish</t>
        </is>
      </c>
      <c r="AU395" s="24" t="inlineStr">
        <is>
          <t>Notre Dame Fighting Irish</t>
        </is>
      </c>
      <c r="AV395" s="24" t="n"/>
      <c r="AW395" s="24" t="n"/>
      <c r="AX395" s="24" t="inlineStr">
        <is>
          <t>statistical_model</t>
        </is>
      </c>
      <c r="AY395" s="24" t="n"/>
      <c r="AZ395" s="24" t="inlineStr">
        <is>
          <t>shadow_qualified</t>
        </is>
      </c>
      <c r="BA395" s="24" t="inlineStr">
        <is>
          <t>1d168f11d221cd3c</t>
        </is>
      </c>
      <c r="BB395" s="24" t="inlineStr">
        <is>
          <t>cfb_key_number_engine</t>
        </is>
      </c>
      <c r="BC395" s="24" t="inlineStr">
        <is>
          <t>college-football-v1</t>
        </is>
      </c>
      <c r="BD395" s="24" t="inlineStr">
        <is>
          <t>1d168f11d221cd3c</t>
        </is>
      </c>
      <c r="BE395" s="24" t="inlineStr">
        <is>
          <t>cfb-v1</t>
        </is>
      </c>
      <c r="BF395" s="24" t="inlineStr">
        <is>
          <t>1</t>
        </is>
      </c>
      <c r="BG395" s="24" t="inlineStr">
        <is>
          <t>1d168f11d221cd3c</t>
        </is>
      </c>
      <c r="BH395" s="24" t="inlineStr">
        <is>
          <t>2026-09-19T22:46:25.988423+00:00</t>
        </is>
      </c>
      <c r="BI395" s="24" t="inlineStr">
        <is>
          <t>["same_event","same_team_same_day","same_league_same_day"]</t>
        </is>
      </c>
      <c r="BJ395" s="25" t="n"/>
      <c r="BK395" s="26" t="n">
        <v>-5000</v>
      </c>
      <c r="BL395" s="27" t="n">
        <v>1.02</v>
      </c>
      <c r="BM395" s="28" t="n">
        <v>0.980392</v>
      </c>
      <c r="BN395" s="28" t="n"/>
      <c r="BO395" s="28" t="n"/>
      <c r="BP395" s="25" t="n"/>
      <c r="BQ395" s="27" t="n"/>
      <c r="BR395" s="28" t="n"/>
      <c r="BS395" s="28" t="n"/>
      <c r="BT395" s="28" t="n"/>
      <c r="BU395" s="25" t="n"/>
      <c r="BV395" s="29" t="n"/>
      <c r="BW395" s="24" t="n"/>
      <c r="BX395" s="30" t="n">
        <v>1</v>
      </c>
      <c r="BY395" s="27" t="n">
        <v>0.02</v>
      </c>
      <c r="BZ395" s="24" t="inlineStr">
        <is>
          <t>2026-09-20T04:31:57.864936Z</t>
        </is>
      </c>
      <c r="CA395" s="31" t="inlineStr">
        <is>
          <t>fixed one-unit hypothetical scoring; no real exposure or execution</t>
        </is>
      </c>
      <c r="CB395" s="24" t="n"/>
      <c r="CC395" s="24" t="n"/>
      <c r="CD395" s="24" t="n"/>
      <c r="CE395" s="24" t="n"/>
      <c r="CF395" s="24" t="n"/>
      <c r="CG395" s="24" t="n"/>
      <c r="CH395" s="24" t="n"/>
      <c r="CI395" s="24" t="n"/>
      <c r="CJ395" s="24" t="n"/>
      <c r="CK395" s="24" t="n"/>
      <c r="CL395" s="24" t="n"/>
      <c r="CM395" s="24" t="n"/>
      <c r="CN395" s="24" t="n"/>
      <c r="CO395" s="24" t="n"/>
      <c r="CP395" s="24" t="n"/>
      <c r="CQ395" s="24" t="n"/>
      <c r="CR395" s="24" t="n"/>
      <c r="CS395" s="24" t="inlineStr">
        <is>
          <t>False</t>
        </is>
      </c>
      <c r="CT395" s="24" t="n"/>
      <c r="CU395" s="24" t="n"/>
      <c r="CV395" s="24" t="n"/>
      <c r="CW395" s="24" t="n"/>
      <c r="CX395" s="24" t="n"/>
      <c r="CY395" s="24" t="n"/>
      <c r="CZ395" s="24" t="n"/>
      <c r="DA395" s="24" t="n"/>
      <c r="DB395" s="24" t="n"/>
      <c r="DC395" s="24" t="n"/>
      <c r="DD395" s="24" t="n"/>
      <c r="DE395" s="24" t="n"/>
      <c r="DF395" s="24" t="n"/>
      <c r="DG395" s="24" t="n"/>
      <c r="DH395" s="24" t="n"/>
      <c r="DI395" s="24" t="n"/>
      <c r="DJ395" s="24" t="inlineStr">
        <is>
          <t>0.980392</t>
        </is>
      </c>
      <c r="DK395" s="24" t="n"/>
      <c r="DL395" s="24" t="n"/>
      <c r="DM395" s="24" t="n"/>
      <c r="DN395" s="24" t="n"/>
      <c r="DO395" s="24" t="n"/>
      <c r="DP395" s="24" t="n"/>
      <c r="DQ395" s="24" t="inlineStr">
        <is>
          <t>{"artifact_hash": "1d168f11d221cd3c", "event_id": "401858453", "event_start_utc": "2026-09-19T23:30Z", "features": {"altitude_fatigue_penalty": 0.0, "away_team": "Michigan State Spartans", "efficiency_gap": -0.064, "elo_away": 1375.8, "elo_home": 1898.5, "elo_home_win_prob": 0.9672, "event_id": "401858453", "game_start_utc": "2026-09-19T23:30Z", "home_field_advantage_points": 2.8, "home_team": "Notre Dame Fighting Irish", "is_dome": false, "is_fbs_vs_fcs": false, "is_neutral_site": false, "projected_away_points": 16.1, "projected_home_points": 39.2, "projected_margin_home": 23.1, "projected_possessions": 12.4, "projected_total": 55.3, "stadium_elevation_ft": 730, "travel_distance_miles": 114.0, "uncertainty": 0.165, "weather_total_adjustment": 0.0}, "historical_source_observation_times_verified": false, "inference_inputs": {"engine_source_sha256": "449ba2f0e86fa9c445730076a0e0bf100fb4914620be53c75c6f3bfe24298f3f", "mu_away": 16.1, "mu_home": 39.2,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49707660462841859152935818112230814898}, "uinteger": 0}, "spread_home_line": -28.5, "total_line": 51.5}, "market_type": "moneyline", "model_version": "college-football-v1", "observed_at_utc": "2026-09-19T22:46:25.988423+00:00", "probabilities": {"away": 0.104696, "home": 0.895304}, "replay_scope": "Full precision score means, exact engine parameters and original RNG state; upstream feature construction not certified.", "schema": "cfb-joint-replay-v1", "snapshot_hash": "ff81a07b92f0f3bdc3e82a8f15f44b80ba2d1f7da21bba7c119077f5ba551875", "sport": "NCAAF"}</t>
        </is>
      </c>
    </row>
    <row r="396" ht="36" customHeight="1">
      <c r="A396" s="24" t="inlineStr">
        <is>
          <t>627ee620685e46f7</t>
        </is>
      </c>
      <c r="B396" s="24" t="inlineStr">
        <is>
          <t>2026-09-19T22:46:25.988423Z</t>
        </is>
      </c>
      <c r="C396" s="24" t="inlineStr">
        <is>
          <t>2026-09-19T23:30Z</t>
        </is>
      </c>
      <c r="D396" s="24" t="inlineStr">
        <is>
          <t>401858453</t>
        </is>
      </c>
      <c r="E396" s="24" t="inlineStr">
        <is>
          <t>NCAAF</t>
        </is>
      </c>
      <c r="F396" s="24" t="inlineStr">
        <is>
          <t>Michigan State Spartans</t>
        </is>
      </c>
      <c r="G396" s="24" t="inlineStr">
        <is>
          <t>Notre Dame Fighting Irish</t>
        </is>
      </c>
      <c r="H396" s="24" t="inlineStr">
        <is>
          <t>spread</t>
        </is>
      </c>
      <c r="I396" s="24" t="inlineStr">
        <is>
          <t>away</t>
        </is>
      </c>
      <c r="J396" s="25" t="n">
        <v>28.5</v>
      </c>
      <c r="K396" s="24" t="inlineStr">
        <is>
          <t>espn_consensus</t>
        </is>
      </c>
      <c r="L396" s="26" t="n">
        <v>-108</v>
      </c>
      <c r="M396" s="27" t="n">
        <v>1.925926</v>
      </c>
      <c r="N396" s="28" t="n">
        <v>0.519231</v>
      </c>
      <c r="O396" s="28" t="n">
        <v>0.6281330000000001</v>
      </c>
      <c r="P396" s="28" t="n">
        <v>0.165</v>
      </c>
      <c r="Q396" s="28" t="n">
        <v>0.108902</v>
      </c>
      <c r="R396" s="26" t="n">
        <v>5</v>
      </c>
      <c r="S396" s="29" t="n">
        <v>1</v>
      </c>
      <c r="T396" s="24" t="inlineStr">
        <is>
          <t>cfb-spread-v1</t>
        </is>
      </c>
      <c r="U396" s="24" t="inlineStr">
        <is>
          <t>settled</t>
        </is>
      </c>
      <c r="V396" s="24" t="inlineStr">
        <is>
          <t>win</t>
        </is>
      </c>
      <c r="W396" s="26" t="n">
        <v>10</v>
      </c>
      <c r="X396" s="26" t="n">
        <v>27</v>
      </c>
      <c r="Y396" s="25" t="n"/>
      <c r="Z396" s="26" t="n"/>
      <c r="AA396" s="28" t="n"/>
      <c r="AB396" s="28" t="n"/>
      <c r="AC396" s="30" t="n">
        <v>0.9258999999999999</v>
      </c>
      <c r="AD396" s="24" t="inlineStr">
        <is>
          <t>2026-09-20T04:31:58.295894Z</t>
        </is>
      </c>
      <c r="AE396" s="31" t="inlineStr">
        <is>
          <t>Projected home margin +23.1 pts. Spread: Home -28.5 / Away +28.5 -&gt; P(Away cover)=0.628, P(Home cover)=0.372, P(Push)=0.000.</t>
        </is>
      </c>
      <c r="AF396" s="31" t="inlineStr">
        <is>
          <t>College football model; multi-market (moneyline, spread, total).</t>
        </is>
      </c>
      <c r="AG396" s="24" t="inlineStr">
        <is>
          <t>not_applicable</t>
        </is>
      </c>
      <c r="AH396" s="24" t="n"/>
      <c r="AI396" s="31" t="n"/>
      <c r="AJ396" s="31" t="n"/>
      <c r="AK396" s="24" t="inlineStr">
        <is>
          <t>model_qualified</t>
        </is>
      </c>
      <c r="AL396" s="26" t="n">
        <v>4</v>
      </c>
      <c r="AM396" s="24" t="inlineStr">
        <is>
          <t>QUALIFIED_SHADOW_CALL</t>
        </is>
      </c>
      <c r="AN396" s="24" t="inlineStr">
        <is>
          <t>CALL</t>
        </is>
      </c>
      <c r="AO396" s="24" t="inlineStr">
        <is>
          <t>QUALIFIED</t>
        </is>
      </c>
      <c r="AP396" s="24" t="inlineStr">
        <is>
          <t>Michigan State Spartans</t>
        </is>
      </c>
      <c r="AQ396" s="24" t="inlineStr">
        <is>
          <t>Michigan State Spartans</t>
        </is>
      </c>
      <c r="AR396" s="24" t="inlineStr">
        <is>
          <t>Michigan State Spartans</t>
        </is>
      </c>
      <c r="AS396" s="24" t="inlineStr">
        <is>
          <t>Notre Dame Fighting Irish</t>
        </is>
      </c>
      <c r="AT396" s="24" t="inlineStr">
        <is>
          <t>Notre Dame Fighting Irish</t>
        </is>
      </c>
      <c r="AU396" s="24" t="inlineStr">
        <is>
          <t>Notre Dame Fighting Irish</t>
        </is>
      </c>
      <c r="AV396" s="24" t="n"/>
      <c r="AW396" s="24" t="n"/>
      <c r="AX396" s="24" t="inlineStr">
        <is>
          <t>statistical_model</t>
        </is>
      </c>
      <c r="AY396" s="24" t="n"/>
      <c r="AZ396" s="24" t="inlineStr">
        <is>
          <t>shadow_qualified</t>
        </is>
      </c>
      <c r="BA396" s="24" t="inlineStr">
        <is>
          <t>1d168f11d221cd3c</t>
        </is>
      </c>
      <c r="BB396" s="24" t="inlineStr">
        <is>
          <t>cfb_key_number_engine</t>
        </is>
      </c>
      <c r="BC396" s="24" t="inlineStr">
        <is>
          <t>cfb-spread-v1</t>
        </is>
      </c>
      <c r="BD396" s="24" t="inlineStr">
        <is>
          <t>1d168f11d221cd3c</t>
        </is>
      </c>
      <c r="BE396" s="24" t="inlineStr">
        <is>
          <t>cfb-v1</t>
        </is>
      </c>
      <c r="BF396" s="24" t="inlineStr">
        <is>
          <t>1</t>
        </is>
      </c>
      <c r="BG396" s="24" t="inlineStr">
        <is>
          <t>1d168f11d221cd3c</t>
        </is>
      </c>
      <c r="BH396" s="24" t="inlineStr">
        <is>
          <t>2026-09-19T22:46:25.988423+00:00</t>
        </is>
      </c>
      <c r="BI396" s="24" t="inlineStr">
        <is>
          <t>["same_event","same_team_same_day","same_league_same_day"]</t>
        </is>
      </c>
      <c r="BJ396" s="25" t="n">
        <v>28.5</v>
      </c>
      <c r="BK396" s="26" t="n">
        <v>-108</v>
      </c>
      <c r="BL396" s="27" t="n">
        <v>1.925926</v>
      </c>
      <c r="BM396" s="28" t="n">
        <v>0.519231</v>
      </c>
      <c r="BN396" s="28" t="n"/>
      <c r="BO396" s="28" t="n"/>
      <c r="BP396" s="25" t="n"/>
      <c r="BQ396" s="27" t="n"/>
      <c r="BR396" s="28" t="n"/>
      <c r="BS396" s="28" t="n"/>
      <c r="BT396" s="28" t="n"/>
      <c r="BU396" s="25" t="n"/>
      <c r="BV396" s="29" t="n"/>
      <c r="BW396" s="24" t="n"/>
      <c r="BX396" s="30" t="n"/>
      <c r="BY396" s="27" t="n"/>
      <c r="BZ396" s="24" t="n"/>
      <c r="CA396" s="31" t="n"/>
      <c r="CB396" s="24" t="n"/>
      <c r="CC396" s="24" t="n"/>
      <c r="CD396" s="24" t="n"/>
      <c r="CE396" s="24" t="n"/>
      <c r="CF396" s="24" t="n"/>
      <c r="CG396" s="24" t="n"/>
      <c r="CH396" s="24" t="n"/>
      <c r="CI396" s="24" t="n"/>
      <c r="CJ396" s="24" t="n"/>
      <c r="CK396" s="24" t="n"/>
      <c r="CL396" s="24" t="n"/>
      <c r="CM396" s="24" t="n"/>
      <c r="CN396" s="24" t="n"/>
      <c r="CO396" s="24" t="n"/>
      <c r="CP396" s="24" t="n"/>
      <c r="CQ396" s="24" t="n"/>
      <c r="CR396" s="24" t="n"/>
      <c r="CS396" s="24" t="inlineStr">
        <is>
          <t>True</t>
        </is>
      </c>
      <c r="CT396" s="24" t="n"/>
      <c r="CU396" s="24" t="n"/>
      <c r="CV396" s="24" t="n"/>
      <c r="CW396" s="24" t="n"/>
      <c r="CX396" s="24" t="n"/>
      <c r="CY396" s="24" t="n"/>
      <c r="CZ396" s="24" t="n"/>
      <c r="DA396" s="24" t="n"/>
      <c r="DB396" s="24" t="n"/>
      <c r="DC396" s="24" t="n"/>
      <c r="DD396" s="24" t="n"/>
      <c r="DE396" s="24" t="n"/>
      <c r="DF396" s="24" t="n"/>
      <c r="DG396" s="24" t="n"/>
      <c r="DH396" s="24" t="n"/>
      <c r="DI396" s="24" t="n"/>
      <c r="DJ396" s="24" t="inlineStr">
        <is>
          <t>0.519231</t>
        </is>
      </c>
      <c r="DK396" s="24" t="n"/>
      <c r="DL396" s="24" t="n"/>
      <c r="DM396" s="24" t="n"/>
      <c r="DN396" s="24" t="n"/>
      <c r="DO396" s="24" t="n"/>
      <c r="DP396" s="24" t="n"/>
      <c r="DQ396" s="24" t="inlineStr">
        <is>
          <t>{"artifact_hash": "1d168f11d221cd3c", "event_id": "401858453", "event_start_utc": "2026-09-19T23:30Z", "features": {"altitude_fatigue_penalty": 0.0, "away_team": "Michigan State Spartans", "efficiency_gap": -0.064, "elo_away": 1375.8, "elo_home": 1898.5, "elo_home_win_prob": 0.9672, "event_id": "401858453", "game_start_utc": "2026-09-19T23:30Z", "home_field_advantage_points": 2.8, "home_team": "Notre Dame Fighting Irish", "is_dome": false, "is_fbs_vs_fcs": false, "is_neutral_site": false, "projected_away_points": 16.1, "projected_home_points": 39.2, "projected_margin_home": 23.1, "projected_possessions": 12.4, "projected_total": 55.3, "stadium_elevation_ft": 730, "travel_distance_miles": 114.0, "uncertainty": 0.165, "weather_total_adjustment": 0.0}, "historical_source_observation_times_verified": false, "inference_inputs": {"engine_source_sha256": "449ba2f0e86fa9c445730076a0e0bf100fb4914620be53c75c6f3bfe24298f3f", "mu_away": 16.1, "mu_home": 39.2,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49707660462841859152935818112230814898}, "uinteger": 0}, "spread_home_line": -28.5, "total_line": 51.5}, "market_type": "spread", "model_version": "cfb-spread-v1", "observed_at_utc": "2026-09-19T22:46:25.988423+00:00", "probabilities": {"away": 0.628133, "home": 0.371867, "push": 0.0}, "replay_scope": "Full precision score means, exact engine parameters and original RNG state; upstream feature construction not certified.", "schema": "cfb-joint-replay-v1", "snapshot_hash": "1bf316dfd6b2b5b31c9e02bc523da52d121594ec01985c84487f0b6c325cf639", "sport": "NCAAF"}</t>
        </is>
      </c>
    </row>
    <row r="397" ht="36" customHeight="1">
      <c r="A397" s="24" t="inlineStr">
        <is>
          <t>b6191d94178e44a3</t>
        </is>
      </c>
      <c r="B397" s="24" t="inlineStr">
        <is>
          <t>2026-09-19T22:46:25.988423Z</t>
        </is>
      </c>
      <c r="C397" s="24" t="inlineStr">
        <is>
          <t>2026-09-19T23:30Z</t>
        </is>
      </c>
      <c r="D397" s="24" t="inlineStr">
        <is>
          <t>401858453</t>
        </is>
      </c>
      <c r="E397" s="24" t="inlineStr">
        <is>
          <t>NCAAF</t>
        </is>
      </c>
      <c r="F397" s="24" t="inlineStr">
        <is>
          <t>Michigan State Spartans</t>
        </is>
      </c>
      <c r="G397" s="24" t="inlineStr">
        <is>
          <t>Notre Dame Fighting Irish</t>
        </is>
      </c>
      <c r="H397" s="24" t="inlineStr">
        <is>
          <t>total</t>
        </is>
      </c>
      <c r="I397" s="24" t="inlineStr">
        <is>
          <t>over</t>
        </is>
      </c>
      <c r="J397" s="25" t="n">
        <v>51.5</v>
      </c>
      <c r="K397" s="24" t="inlineStr">
        <is>
          <t>espn_consensus</t>
        </is>
      </c>
      <c r="L397" s="26" t="n">
        <v>-105</v>
      </c>
      <c r="M397" s="27" t="n">
        <v>1.952381</v>
      </c>
      <c r="N397" s="28" t="n">
        <v>0.512195</v>
      </c>
      <c r="O397" s="28" t="n">
        <v>0.5436</v>
      </c>
      <c r="P397" s="28" t="n">
        <v>0.165</v>
      </c>
      <c r="Q397" s="28" t="n">
        <v>0.031405</v>
      </c>
      <c r="R397" s="26" t="n">
        <v>0</v>
      </c>
      <c r="S397" s="29" t="n">
        <v>1</v>
      </c>
      <c r="T397" s="24" t="inlineStr">
        <is>
          <t>cfb-total-v1</t>
        </is>
      </c>
      <c r="U397" s="24" t="inlineStr">
        <is>
          <t>settled</t>
        </is>
      </c>
      <c r="V397" s="24" t="inlineStr">
        <is>
          <t>loss</t>
        </is>
      </c>
      <c r="W397" s="26" t="n">
        <v>10</v>
      </c>
      <c r="X397" s="26" t="n">
        <v>27</v>
      </c>
      <c r="Y397" s="25" t="n"/>
      <c r="Z397" s="26" t="n"/>
      <c r="AA397" s="28" t="n"/>
      <c r="AB397" s="28" t="n"/>
      <c r="AC397" s="30" t="n">
        <v>-1</v>
      </c>
      <c r="AD397" s="24" t="inlineStr">
        <is>
          <t>2026-09-20T04:31:58.792537Z</t>
        </is>
      </c>
      <c r="AE397" s="31" t="inlineStr">
        <is>
          <t>Projected total 55.3 pts (Weather adj: +0.0 pts). Total line 51.5 -&gt; P(Over)=0.544, P(Under)=0.456, P(Push)=0.000.</t>
        </is>
      </c>
      <c r="AF397" s="31" t="inlineStr">
        <is>
          <t>College football model; multi-market (moneyline, spread, total).</t>
        </is>
      </c>
      <c r="AG397" s="24" t="inlineStr">
        <is>
          <t>review_required</t>
        </is>
      </c>
      <c r="AH397" s="24" t="n"/>
      <c r="AI397" s="31" t="n"/>
      <c r="AJ397" s="31" t="n"/>
      <c r="AK397" s="24" t="inlineStr">
        <is>
          <t>model_qualified</t>
        </is>
      </c>
      <c r="AL397" s="26" t="n">
        <v>4</v>
      </c>
      <c r="AM397" s="24" t="inlineStr">
        <is>
          <t>QUALIFIED_SHADOW_CALL</t>
        </is>
      </c>
      <c r="AN397" s="24" t="inlineStr">
        <is>
          <t>CALL</t>
        </is>
      </c>
      <c r="AO397" s="24" t="inlineStr">
        <is>
          <t>QUALIFIED</t>
        </is>
      </c>
      <c r="AP397" s="24" t="inlineStr">
        <is>
          <t>Michigan State Spartans</t>
        </is>
      </c>
      <c r="AQ397" s="24" t="inlineStr">
        <is>
          <t>Michigan State Spartans</t>
        </is>
      </c>
      <c r="AR397" s="24" t="inlineStr">
        <is>
          <t>Michigan State Spartans</t>
        </is>
      </c>
      <c r="AS397" s="24" t="inlineStr">
        <is>
          <t>Notre Dame Fighting Irish</t>
        </is>
      </c>
      <c r="AT397" s="24" t="inlineStr">
        <is>
          <t>Notre Dame Fighting Irish</t>
        </is>
      </c>
      <c r="AU397" s="24" t="inlineStr">
        <is>
          <t>Notre Dame Fighting Irish</t>
        </is>
      </c>
      <c r="AV397" s="24" t="n"/>
      <c r="AW397" s="24" t="n"/>
      <c r="AX397" s="24" t="inlineStr">
        <is>
          <t>statistical_model</t>
        </is>
      </c>
      <c r="AY397" s="24" t="n"/>
      <c r="AZ397" s="24" t="inlineStr">
        <is>
          <t>shadow_qualified</t>
        </is>
      </c>
      <c r="BA397" s="24" t="inlineStr">
        <is>
          <t>1d168f11d221cd3c</t>
        </is>
      </c>
      <c r="BB397" s="24" t="inlineStr">
        <is>
          <t>cfb_key_number_engine</t>
        </is>
      </c>
      <c r="BC397" s="24" t="inlineStr">
        <is>
          <t>cfb-total-v1</t>
        </is>
      </c>
      <c r="BD397" s="24" t="inlineStr">
        <is>
          <t>1d168f11d221cd3c</t>
        </is>
      </c>
      <c r="BE397" s="24" t="inlineStr">
        <is>
          <t>cfb-v1</t>
        </is>
      </c>
      <c r="BF397" s="24" t="inlineStr">
        <is>
          <t>1</t>
        </is>
      </c>
      <c r="BG397" s="24" t="inlineStr">
        <is>
          <t>1d168f11d221cd3c</t>
        </is>
      </c>
      <c r="BH397" s="24" t="inlineStr">
        <is>
          <t>2026-09-19T22:46:25.988423+00:00</t>
        </is>
      </c>
      <c r="BI397" s="24" t="inlineStr">
        <is>
          <t>["same_event","same_team_same_day","same_league_same_day"]</t>
        </is>
      </c>
      <c r="BJ397" s="25" t="n">
        <v>51.5</v>
      </c>
      <c r="BK397" s="26" t="n">
        <v>-105</v>
      </c>
      <c r="BL397" s="27" t="n">
        <v>1.952381</v>
      </c>
      <c r="BM397" s="28" t="n">
        <v>0.512195</v>
      </c>
      <c r="BN397" s="28" t="n"/>
      <c r="BO397" s="28" t="n"/>
      <c r="BP397" s="25" t="n"/>
      <c r="BQ397" s="27" t="n"/>
      <c r="BR397" s="28" t="n"/>
      <c r="BS397" s="28" t="n"/>
      <c r="BT397" s="28" t="n"/>
      <c r="BU397" s="25" t="n"/>
      <c r="BV397" s="29" t="n"/>
      <c r="BW397" s="24" t="n"/>
      <c r="BX397" s="30" t="n"/>
      <c r="BY397" s="27" t="n"/>
      <c r="BZ397" s="24" t="n"/>
      <c r="CA397" s="31" t="n"/>
      <c r="CB397" s="24" t="n"/>
      <c r="CC397" s="24" t="n"/>
      <c r="CD397" s="24" t="n"/>
      <c r="CE397" s="24" t="n"/>
      <c r="CF397" s="24" t="n"/>
      <c r="CG397" s="24" t="n"/>
      <c r="CH397" s="24" t="n"/>
      <c r="CI397" s="24" t="n"/>
      <c r="CJ397" s="24" t="n"/>
      <c r="CK397" s="24" t="n"/>
      <c r="CL397" s="24" t="n"/>
      <c r="CM397" s="24" t="n"/>
      <c r="CN397" s="24" t="n"/>
      <c r="CO397" s="24" t="n"/>
      <c r="CP397" s="24" t="n"/>
      <c r="CQ397" s="24" t="n"/>
      <c r="CR397" s="24" t="n"/>
      <c r="CS397" s="24" t="inlineStr">
        <is>
          <t>True</t>
        </is>
      </c>
      <c r="CT397" s="24" t="n"/>
      <c r="CU397" s="24" t="n"/>
      <c r="CV397" s="24" t="n"/>
      <c r="CW397" s="24" t="n"/>
      <c r="CX397" s="24" t="n"/>
      <c r="CY397" s="24" t="n"/>
      <c r="CZ397" s="24" t="n"/>
      <c r="DA397" s="24" t="n"/>
      <c r="DB397" s="24" t="n"/>
      <c r="DC397" s="24" t="n"/>
      <c r="DD397" s="24" t="n"/>
      <c r="DE397" s="24" t="n"/>
      <c r="DF397" s="24" t="n"/>
      <c r="DG397" s="24" t="n"/>
      <c r="DH397" s="24" t="n"/>
      <c r="DI397" s="24" t="n"/>
      <c r="DJ397" s="24" t="inlineStr">
        <is>
          <t>0.512195</t>
        </is>
      </c>
      <c r="DK397" s="24" t="n"/>
      <c r="DL397" s="24" t="n"/>
      <c r="DM397" s="24" t="n"/>
      <c r="DN397" s="24" t="n"/>
      <c r="DO397" s="24" t="n"/>
      <c r="DP397" s="24" t="n"/>
      <c r="DQ397" s="24" t="inlineStr">
        <is>
          <t>{"artifact_hash": "1d168f11d221cd3c", "event_id": "401858453", "event_start_utc": "2026-09-19T23:30Z", "features": {"altitude_fatigue_penalty": 0.0, "away_team": "Michigan State Spartans", "efficiency_gap": -0.064, "elo_away": 1375.8, "elo_home": 1898.5, "elo_home_win_prob": 0.9672, "event_id": "401858453", "game_start_utc": "2026-09-19T23:30Z", "home_field_advantage_points": 2.8, "home_team": "Notre Dame Fighting Irish", "is_dome": false, "is_fbs_vs_fcs": false, "is_neutral_site": false, "projected_away_points": 16.1, "projected_home_points": 39.2, "projected_margin_home": 23.1, "projected_possessions": 12.4, "projected_total": 55.3, "stadium_elevation_ft": 730, "travel_distance_miles": 114.0, "uncertainty": 0.165, "weather_total_adjustment": 0.0}, "historical_source_observation_times_verified": false, "inference_inputs": {"engine_source_sha256": "449ba2f0e86fa9c445730076a0e0bf100fb4914620be53c75c6f3bfe24298f3f", "mu_away": 16.1, "mu_home": 39.2,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49707660462841859152935818112230814898}, "uinteger": 0}, "spread_home_line": -28.5, "total_line": 51.5}, "market_type": "total", "model_version": "cfb-total-v1", "observed_at_utc": "2026-09-19T22:46:25.988423+00:00", "probabilities": {"over": 0.5436, "push": 0.0, "under": 0.4564}, "replay_scope": "Full precision score means, exact engine parameters and original RNG state; upstream feature construction not certified.", "schema": "cfb-joint-replay-v1", "snapshot_hash": "5d106a026d48cc09eb9fc72b3209be50b9f2f6a4dac790c47fa07acb4ab460df", "sport": "NCAAF"}</t>
        </is>
      </c>
    </row>
    <row r="398" ht="36" customHeight="1">
      <c r="A398" s="24" t="inlineStr">
        <is>
          <t>4c0a1c20e123429e</t>
        </is>
      </c>
      <c r="B398" s="24" t="inlineStr">
        <is>
          <t>2026-09-19T22:46:25.988423Z</t>
        </is>
      </c>
      <c r="C398" s="24" t="inlineStr">
        <is>
          <t>2026-09-19T23:30Z</t>
        </is>
      </c>
      <c r="D398" s="24" t="inlineStr">
        <is>
          <t>401856688</t>
        </is>
      </c>
      <c r="E398" s="24" t="inlineStr">
        <is>
          <t>NCAAF</t>
        </is>
      </c>
      <c r="F398" s="24" t="inlineStr">
        <is>
          <t>LSU Tigers</t>
        </is>
      </c>
      <c r="G398" s="24" t="inlineStr">
        <is>
          <t>Ole Miss Rebels</t>
        </is>
      </c>
      <c r="H398" s="24" t="inlineStr">
        <is>
          <t>moneyline</t>
        </is>
      </c>
      <c r="I398" s="24" t="inlineStr">
        <is>
          <t>home</t>
        </is>
      </c>
      <c r="J398" s="25" t="n"/>
      <c r="K398" s="24" t="inlineStr">
        <is>
          <t>espn_consensus</t>
        </is>
      </c>
      <c r="L398" s="26" t="n">
        <v>124</v>
      </c>
      <c r="M398" s="27" t="n">
        <v>2.24</v>
      </c>
      <c r="N398" s="28" t="n">
        <v>0.446429</v>
      </c>
      <c r="O398" s="28" t="n">
        <v>0.749824</v>
      </c>
      <c r="P398" s="28" t="n">
        <v>0.165</v>
      </c>
      <c r="Q398" s="28" t="n">
        <v>0.303395</v>
      </c>
      <c r="R398" s="26" t="n">
        <v>100</v>
      </c>
      <c r="S398" s="29" t="n">
        <v>2</v>
      </c>
      <c r="T398" s="24" t="inlineStr">
        <is>
          <t>college-football-v1</t>
        </is>
      </c>
      <c r="U398" s="24" t="inlineStr">
        <is>
          <t>settled</t>
        </is>
      </c>
      <c r="V398" s="24" t="inlineStr">
        <is>
          <t>win</t>
        </is>
      </c>
      <c r="W398" s="26" t="n">
        <v>24</v>
      </c>
      <c r="X398" s="26" t="n">
        <v>32</v>
      </c>
      <c r="Y398" s="25" t="n"/>
      <c r="Z398" s="26" t="n"/>
      <c r="AA398" s="28" t="n"/>
      <c r="AB398" s="28" t="n"/>
      <c r="AC398" s="30" t="n">
        <v>2.48</v>
      </c>
      <c r="AD398" s="24" t="inlineStr">
        <is>
          <t>2026-09-20T04:31:59.291068Z</t>
        </is>
      </c>
      <c r="AE398" s="31" t="inlineStr">
        <is>
          <t>CFB Joint Model (negative_binomial): proj score LSU Tigers 21.9 @ Ole Miss Rebels 34.8 (Margin +12.9). Possessions: 12.4, HFA: +2.8 pts.</t>
        </is>
      </c>
      <c r="AF398" s="31" t="inlineStr">
        <is>
          <t>College football model; multi-market (moneyline, spread, total).</t>
        </is>
      </c>
      <c r="AG398" s="24" t="inlineStr">
        <is>
          <t>not_applicable</t>
        </is>
      </c>
      <c r="AH398" s="24" t="n"/>
      <c r="AI398" s="31" t="n"/>
      <c r="AJ398" s="31" t="n"/>
      <c r="AK398" s="24" t="inlineStr">
        <is>
          <t>model_qualified</t>
        </is>
      </c>
      <c r="AL398" s="26" t="n">
        <v>4</v>
      </c>
      <c r="AM398" s="24" t="inlineStr">
        <is>
          <t>QUALIFIED_SHADOW_CALL</t>
        </is>
      </c>
      <c r="AN398" s="24" t="inlineStr">
        <is>
          <t>CALL</t>
        </is>
      </c>
      <c r="AO398" s="24" t="inlineStr">
        <is>
          <t>QUALIFIED</t>
        </is>
      </c>
      <c r="AP398" s="24" t="inlineStr">
        <is>
          <t>LSU Tigers</t>
        </is>
      </c>
      <c r="AQ398" s="24" t="inlineStr">
        <is>
          <t>LSU Tigers</t>
        </is>
      </c>
      <c r="AR398" s="24" t="inlineStr">
        <is>
          <t>LSU Tigers</t>
        </is>
      </c>
      <c r="AS398" s="24" t="inlineStr">
        <is>
          <t>Ole Miss Rebels</t>
        </is>
      </c>
      <c r="AT398" s="24" t="inlineStr">
        <is>
          <t>Ole Miss Rebels</t>
        </is>
      </c>
      <c r="AU398" s="24" t="inlineStr">
        <is>
          <t>Ole Miss Rebels</t>
        </is>
      </c>
      <c r="AV398" s="24" t="n"/>
      <c r="AW398" s="24" t="n"/>
      <c r="AX398" s="24" t="inlineStr">
        <is>
          <t>statistical_model</t>
        </is>
      </c>
      <c r="AY398" s="24" t="n"/>
      <c r="AZ398" s="24" t="inlineStr">
        <is>
          <t>shadow_qualified</t>
        </is>
      </c>
      <c r="BA398" s="24" t="inlineStr">
        <is>
          <t>1d168f11d221cd3c</t>
        </is>
      </c>
      <c r="BB398" s="24" t="inlineStr">
        <is>
          <t>cfb_key_number_engine</t>
        </is>
      </c>
      <c r="BC398" s="24" t="inlineStr">
        <is>
          <t>college-football-v1</t>
        </is>
      </c>
      <c r="BD398" s="24" t="inlineStr">
        <is>
          <t>1d168f11d221cd3c</t>
        </is>
      </c>
      <c r="BE398" s="24" t="inlineStr">
        <is>
          <t>cfb-v1</t>
        </is>
      </c>
      <c r="BF398" s="24" t="inlineStr">
        <is>
          <t>1</t>
        </is>
      </c>
      <c r="BG398" s="24" t="inlineStr">
        <is>
          <t>1d168f11d221cd3c</t>
        </is>
      </c>
      <c r="BH398" s="24" t="inlineStr">
        <is>
          <t>2026-09-19T22:46:25.988423+00:00</t>
        </is>
      </c>
      <c r="BI398" s="24" t="inlineStr">
        <is>
          <t>["same_event","same_team_same_day","same_league_same_day"]</t>
        </is>
      </c>
      <c r="BJ398" s="25" t="n"/>
      <c r="BK398" s="26" t="n">
        <v>124</v>
      </c>
      <c r="BL398" s="27" t="n">
        <v>2.24</v>
      </c>
      <c r="BM398" s="28" t="n">
        <v>0.446429</v>
      </c>
      <c r="BN398" s="28" t="n"/>
      <c r="BO398" s="28" t="n"/>
      <c r="BP398" s="25" t="n"/>
      <c r="BQ398" s="27" t="n"/>
      <c r="BR398" s="28" t="n"/>
      <c r="BS398" s="28" t="n"/>
      <c r="BT398" s="28" t="n"/>
      <c r="BU398" s="25" t="n"/>
      <c r="BV398" s="29" t="n"/>
      <c r="BW398" s="24" t="n"/>
      <c r="BX398" s="30" t="n"/>
      <c r="BY398" s="27" t="n"/>
      <c r="BZ398" s="24" t="n"/>
      <c r="CA398" s="31" t="n"/>
      <c r="CB398" s="24" t="n"/>
      <c r="CC398" s="24" t="n"/>
      <c r="CD398" s="24" t="n"/>
      <c r="CE398" s="24" t="n"/>
      <c r="CF398" s="24" t="n"/>
      <c r="CG398" s="24" t="n"/>
      <c r="CH398" s="24" t="n"/>
      <c r="CI398" s="24" t="n"/>
      <c r="CJ398" s="24" t="n"/>
      <c r="CK398" s="24" t="n"/>
      <c r="CL398" s="24" t="n"/>
      <c r="CM398" s="24" t="n"/>
      <c r="CN398" s="24" t="n"/>
      <c r="CO398" s="24" t="n"/>
      <c r="CP398" s="24" t="n"/>
      <c r="CQ398" s="24" t="n"/>
      <c r="CR398" s="24" t="n"/>
      <c r="CS398" s="24" t="inlineStr">
        <is>
          <t>True</t>
        </is>
      </c>
      <c r="CT398" s="24" t="n"/>
      <c r="CU398" s="24" t="n"/>
      <c r="CV398" s="24" t="n"/>
      <c r="CW398" s="24" t="n"/>
      <c r="CX398" s="24" t="n"/>
      <c r="CY398" s="24" t="n"/>
      <c r="CZ398" s="24" t="n"/>
      <c r="DA398" s="24" t="n"/>
      <c r="DB398" s="24" t="n"/>
      <c r="DC398" s="24" t="n"/>
      <c r="DD398" s="24" t="n"/>
      <c r="DE398" s="24" t="n"/>
      <c r="DF398" s="24" t="n"/>
      <c r="DG398" s="24" t="n"/>
      <c r="DH398" s="24" t="n"/>
      <c r="DI398" s="24" t="n"/>
      <c r="DJ398" s="24" t="inlineStr">
        <is>
          <t>0.446429</t>
        </is>
      </c>
      <c r="DK398" s="24" t="n"/>
      <c r="DL398" s="24" t="n"/>
      <c r="DM398" s="24" t="n"/>
      <c r="DN398" s="24" t="n"/>
      <c r="DO398" s="24" t="n"/>
      <c r="DP398" s="24" t="n"/>
      <c r="DQ398" s="24" t="inlineStr">
        <is>
          <t>{"artifact_hash": "1d168f11d221cd3c", "event_id": "401856688", "event_start_utc": "2026-09-19T23:30Z", "features": {"altitude_fatigue_penalty": 0.0, "away_team": "LSU Tigers", "efficiency_gap": -1.073, "elo_away": 1549.1, "elo_home": 1818.2, "elo_home_win_prob": 0.8725, "event_id": "401856688", "game_start_utc": "2026-09-19T23:30Z", "home_field_advantage_points": 2.8, "home_team": "Ole Miss Rebels", "is_dome": false, "is_fbs_vs_fcs": false, "is_neutral_site": false, "projected_away_points": 21.9, "projected_home_points": 34.8, "projected_margin_home": 12.9, "projected_possessions": 12.4, "projected_total": 56.7, "stadium_elevation_ft": 480, "travel_distance_miles": 289.0, "uncertainty": 0.165, "weather_total_adjustment": 0.0}, "historical_source_observation_times_verified": false, "inference_inputs": {"engine_source_sha256": "449ba2f0e86fa9c445730076a0e0bf100fb4914620be53c75c6f3bfe24298f3f", "mu_away": 21.9, "mu_home": 34.8,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236726499163511841367882664397493834793}, "uinteger": 0}, "spread_home_line": 3.0, "total_line": 58.5}, "market_type": "moneyline", "model_version": "college-football-v1", "observed_at_utc": "2026-09-19T22:46:25.988423+00:00", "probabilities": {"away": 0.250176, "home": 0.749824}, "replay_scope": "Full precision score means, exact engine parameters and original RNG state; upstream feature construction not certified.", "schema": "cfb-joint-replay-v1", "snapshot_hash": "73f609444b71f434bfd8f5e99e255656073421a10dc13295f000bae59c5c0531", "sport": "NCAAF"}</t>
        </is>
      </c>
    </row>
    <row r="399" ht="36" customHeight="1">
      <c r="A399" s="24" t="inlineStr">
        <is>
          <t>65c08aea1f8846eb</t>
        </is>
      </c>
      <c r="B399" s="24" t="inlineStr">
        <is>
          <t>2026-09-19T22:46:25.988423Z</t>
        </is>
      </c>
      <c r="C399" s="24" t="inlineStr">
        <is>
          <t>2026-09-19T23:30Z</t>
        </is>
      </c>
      <c r="D399" s="24" t="inlineStr">
        <is>
          <t>401856688</t>
        </is>
      </c>
      <c r="E399" s="24" t="inlineStr">
        <is>
          <t>NCAAF</t>
        </is>
      </c>
      <c r="F399" s="24" t="inlineStr">
        <is>
          <t>LSU Tigers</t>
        </is>
      </c>
      <c r="G399" s="24" t="inlineStr">
        <is>
          <t>Ole Miss Rebels</t>
        </is>
      </c>
      <c r="H399" s="24" t="inlineStr">
        <is>
          <t>spread</t>
        </is>
      </c>
      <c r="I399" s="24" t="inlineStr">
        <is>
          <t>home</t>
        </is>
      </c>
      <c r="J399" s="25" t="n">
        <v>3</v>
      </c>
      <c r="K399" s="24" t="inlineStr">
        <is>
          <t>espn_consensus</t>
        </is>
      </c>
      <c r="L399" s="26" t="n">
        <v>-112</v>
      </c>
      <c r="M399" s="27" t="n">
        <v>1.892857</v>
      </c>
      <c r="N399" s="28" t="n">
        <v>0.528302</v>
      </c>
      <c r="O399" s="28" t="n">
        <v>0.784733</v>
      </c>
      <c r="P399" s="28" t="n">
        <v>0.165</v>
      </c>
      <c r="Q399" s="28" t="n">
        <v>0.256431</v>
      </c>
      <c r="R399" s="26" t="n">
        <v>79</v>
      </c>
      <c r="S399" s="29" t="n">
        <v>1.5</v>
      </c>
      <c r="T399" s="24" t="inlineStr">
        <is>
          <t>cfb-spread-v1</t>
        </is>
      </c>
      <c r="U399" s="24" t="inlineStr">
        <is>
          <t>settled</t>
        </is>
      </c>
      <c r="V399" s="24" t="inlineStr">
        <is>
          <t>win</t>
        </is>
      </c>
      <c r="W399" s="26" t="n">
        <v>24</v>
      </c>
      <c r="X399" s="26" t="n">
        <v>32</v>
      </c>
      <c r="Y399" s="25" t="n"/>
      <c r="Z399" s="26" t="n"/>
      <c r="AA399" s="28" t="n"/>
      <c r="AB399" s="28" t="n"/>
      <c r="AC399" s="30" t="n">
        <v>1.3393</v>
      </c>
      <c r="AD399" s="24" t="inlineStr">
        <is>
          <t>2026-09-20T04:31:59.799392Z</t>
        </is>
      </c>
      <c r="AE399" s="31" t="inlineStr">
        <is>
          <t>Projected home margin +12.9 pts. Spread: Home +3.0 / Away -3.0 -&gt; P(Away cover)=0.203, P(Home cover)=0.785, P(Push)=0.012.</t>
        </is>
      </c>
      <c r="AF399" s="31" t="inlineStr">
        <is>
          <t>College football model; multi-market (moneyline, spread, total).</t>
        </is>
      </c>
      <c r="AG399" s="24" t="inlineStr">
        <is>
          <t>not_applicable</t>
        </is>
      </c>
      <c r="AH399" s="24" t="n"/>
      <c r="AI399" s="31" t="n"/>
      <c r="AJ399" s="31" t="n"/>
      <c r="AK399" s="24" t="inlineStr">
        <is>
          <t>model_qualified</t>
        </is>
      </c>
      <c r="AL399" s="26" t="n">
        <v>4</v>
      </c>
      <c r="AM399" s="24" t="inlineStr">
        <is>
          <t>QUALIFIED_SHADOW_CALL</t>
        </is>
      </c>
      <c r="AN399" s="24" t="inlineStr">
        <is>
          <t>CALL</t>
        </is>
      </c>
      <c r="AO399" s="24" t="inlineStr">
        <is>
          <t>QUALIFIED</t>
        </is>
      </c>
      <c r="AP399" s="24" t="inlineStr">
        <is>
          <t>LSU Tigers</t>
        </is>
      </c>
      <c r="AQ399" s="24" t="inlineStr">
        <is>
          <t>LSU Tigers</t>
        </is>
      </c>
      <c r="AR399" s="24" t="inlineStr">
        <is>
          <t>LSU Tigers</t>
        </is>
      </c>
      <c r="AS399" s="24" t="inlineStr">
        <is>
          <t>Ole Miss Rebels</t>
        </is>
      </c>
      <c r="AT399" s="24" t="inlineStr">
        <is>
          <t>Ole Miss Rebels</t>
        </is>
      </c>
      <c r="AU399" s="24" t="inlineStr">
        <is>
          <t>Ole Miss Rebels</t>
        </is>
      </c>
      <c r="AV399" s="24" t="n"/>
      <c r="AW399" s="24" t="n"/>
      <c r="AX399" s="24" t="inlineStr">
        <is>
          <t>statistical_model</t>
        </is>
      </c>
      <c r="AY399" s="24" t="n"/>
      <c r="AZ399" s="24" t="inlineStr">
        <is>
          <t>shadow_qualified</t>
        </is>
      </c>
      <c r="BA399" s="24" t="inlineStr">
        <is>
          <t>1d168f11d221cd3c</t>
        </is>
      </c>
      <c r="BB399" s="24" t="inlineStr">
        <is>
          <t>cfb_key_number_engine</t>
        </is>
      </c>
      <c r="BC399" s="24" t="inlineStr">
        <is>
          <t>cfb-spread-v1</t>
        </is>
      </c>
      <c r="BD399" s="24" t="inlineStr">
        <is>
          <t>1d168f11d221cd3c</t>
        </is>
      </c>
      <c r="BE399" s="24" t="inlineStr">
        <is>
          <t>cfb-v1</t>
        </is>
      </c>
      <c r="BF399" s="24" t="inlineStr">
        <is>
          <t>1</t>
        </is>
      </c>
      <c r="BG399" s="24" t="inlineStr">
        <is>
          <t>1d168f11d221cd3c</t>
        </is>
      </c>
      <c r="BH399" s="24" t="inlineStr">
        <is>
          <t>2026-09-19T22:46:25.988423+00:00</t>
        </is>
      </c>
      <c r="BI399" s="24" t="inlineStr">
        <is>
          <t>["same_event","same_team_same_day","same_league_same_day"]</t>
        </is>
      </c>
      <c r="BJ399" s="25" t="n">
        <v>3</v>
      </c>
      <c r="BK399" s="26" t="n">
        <v>-112</v>
      </c>
      <c r="BL399" s="27" t="n">
        <v>1.892857</v>
      </c>
      <c r="BM399" s="28" t="n">
        <v>0.528302</v>
      </c>
      <c r="BN399" s="28" t="n"/>
      <c r="BO399" s="28" t="n"/>
      <c r="BP399" s="25" t="n"/>
      <c r="BQ399" s="27" t="n"/>
      <c r="BR399" s="28" t="n"/>
      <c r="BS399" s="28" t="n"/>
      <c r="BT399" s="28" t="n"/>
      <c r="BU399" s="25" t="n"/>
      <c r="BV399" s="29" t="n"/>
      <c r="BW399" s="24" t="n"/>
      <c r="BX399" s="30" t="n"/>
      <c r="BY399" s="27" t="n"/>
      <c r="BZ399" s="24" t="n"/>
      <c r="CA399" s="31" t="n"/>
      <c r="CB399" s="24" t="n"/>
      <c r="CC399" s="24" t="n"/>
      <c r="CD399" s="24" t="n"/>
      <c r="CE399" s="24" t="n"/>
      <c r="CF399" s="24" t="n"/>
      <c r="CG399" s="24" t="n"/>
      <c r="CH399" s="24" t="n"/>
      <c r="CI399" s="24" t="n"/>
      <c r="CJ399" s="24" t="n"/>
      <c r="CK399" s="24" t="n"/>
      <c r="CL399" s="24" t="n"/>
      <c r="CM399" s="24" t="n"/>
      <c r="CN399" s="24" t="n"/>
      <c r="CO399" s="24" t="n"/>
      <c r="CP399" s="24" t="n"/>
      <c r="CQ399" s="24" t="n"/>
      <c r="CR399" s="24" t="n"/>
      <c r="CS399" s="24" t="inlineStr">
        <is>
          <t>True</t>
        </is>
      </c>
      <c r="CT399" s="24" t="n"/>
      <c r="CU399" s="24" t="n"/>
      <c r="CV399" s="24" t="n"/>
      <c r="CW399" s="24" t="n"/>
      <c r="CX399" s="24" t="n"/>
      <c r="CY399" s="24" t="n"/>
      <c r="CZ399" s="24" t="n"/>
      <c r="DA399" s="24" t="n"/>
      <c r="DB399" s="24" t="n"/>
      <c r="DC399" s="24" t="n"/>
      <c r="DD399" s="24" t="n"/>
      <c r="DE399" s="24" t="n"/>
      <c r="DF399" s="24" t="n"/>
      <c r="DG399" s="24" t="n"/>
      <c r="DH399" s="24" t="n"/>
      <c r="DI399" s="24" t="n"/>
      <c r="DJ399" s="24" t="inlineStr">
        <is>
          <t>0.528302</t>
        </is>
      </c>
      <c r="DK399" s="24" t="n"/>
      <c r="DL399" s="24" t="n"/>
      <c r="DM399" s="24" t="n"/>
      <c r="DN399" s="24" t="n"/>
      <c r="DO399" s="24" t="n"/>
      <c r="DP399" s="24" t="n"/>
      <c r="DQ399" s="24" t="inlineStr">
        <is>
          <t>{"artifact_hash": "1d168f11d221cd3c", "event_id": "401856688", "event_start_utc": "2026-09-19T23:30Z", "features": {"altitude_fatigue_penalty": 0.0, "away_team": "LSU Tigers", "efficiency_gap": -1.073, "elo_away": 1549.1, "elo_home": 1818.2, "elo_home_win_prob": 0.8725, "event_id": "401856688", "game_start_utc": "2026-09-19T23:30Z", "home_field_advantage_points": 2.8, "home_team": "Ole Miss Rebels", "is_dome": false, "is_fbs_vs_fcs": false, "is_neutral_site": false, "projected_away_points": 21.9, "projected_home_points": 34.8, "projected_margin_home": 12.9, "projected_possessions": 12.4, "projected_total": 56.7, "stadium_elevation_ft": 480, "travel_distance_miles": 289.0, "uncertainty": 0.165, "weather_total_adjustment": 0.0}, "historical_source_observation_times_verified": false, "inference_inputs": {"engine_source_sha256": "449ba2f0e86fa9c445730076a0e0bf100fb4914620be53c75c6f3bfe24298f3f", "mu_away": 21.9, "mu_home": 34.8,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236726499163511841367882664397493834793}, "uinteger": 0}, "spread_home_line": 3.0, "total_line": 58.5}, "market_type": "spread", "model_version": "cfb-spread-v1", "observed_at_utc": "2026-09-19T22:46:25.988423+00:00", "probabilities": {"away": 0.202933, "home": 0.784733, "push": 0.012333}, "replay_scope": "Full precision score means, exact engine parameters and original RNG state; upstream feature construction not certified.", "schema": "cfb-joint-replay-v1", "snapshot_hash": "edd7d9b186896c181043b7dae9a5cc79d172bc6de5159609228d5a5b5b7f3bb6", "sport": "NCAAF"}</t>
        </is>
      </c>
    </row>
    <row r="400" ht="36" customHeight="1">
      <c r="A400" s="24" t="inlineStr">
        <is>
          <t>f94c0cbcf1f540b0</t>
        </is>
      </c>
      <c r="B400" s="24" t="inlineStr">
        <is>
          <t>2026-09-19T22:46:25.988423Z</t>
        </is>
      </c>
      <c r="C400" s="24" t="inlineStr">
        <is>
          <t>2026-09-19T23:30Z</t>
        </is>
      </c>
      <c r="D400" s="24" t="inlineStr">
        <is>
          <t>401856688</t>
        </is>
      </c>
      <c r="E400" s="24" t="inlineStr">
        <is>
          <t>NCAAF</t>
        </is>
      </c>
      <c r="F400" s="24" t="inlineStr">
        <is>
          <t>LSU Tigers</t>
        </is>
      </c>
      <c r="G400" s="24" t="inlineStr">
        <is>
          <t>Ole Miss Rebels</t>
        </is>
      </c>
      <c r="H400" s="24" t="inlineStr">
        <is>
          <t>total</t>
        </is>
      </c>
      <c r="I400" s="24" t="inlineStr">
        <is>
          <t>under</t>
        </is>
      </c>
      <c r="J400" s="25" t="n">
        <v>58.5</v>
      </c>
      <c r="K400" s="24" t="inlineStr">
        <is>
          <t>espn_consensus</t>
        </is>
      </c>
      <c r="L400" s="26" t="n">
        <v>-108</v>
      </c>
      <c r="M400" s="27" t="n">
        <v>1.925926</v>
      </c>
      <c r="N400" s="28" t="n">
        <v>0.519231</v>
      </c>
      <c r="O400" s="28" t="n">
        <v>0.5646</v>
      </c>
      <c r="P400" s="28" t="n">
        <v>0.165</v>
      </c>
      <c r="Q400" s="28" t="n">
        <v>0.045369</v>
      </c>
      <c r="R400" s="26" t="n">
        <v>0</v>
      </c>
      <c r="S400" s="29" t="n">
        <v>1</v>
      </c>
      <c r="T400" s="24" t="inlineStr">
        <is>
          <t>cfb-total-v1</t>
        </is>
      </c>
      <c r="U400" s="24" t="inlineStr">
        <is>
          <t>settled</t>
        </is>
      </c>
      <c r="V400" s="24" t="inlineStr">
        <is>
          <t>win</t>
        </is>
      </c>
      <c r="W400" s="26" t="n">
        <v>24</v>
      </c>
      <c r="X400" s="26" t="n">
        <v>32</v>
      </c>
      <c r="Y400" s="25" t="n"/>
      <c r="Z400" s="26" t="n"/>
      <c r="AA400" s="28" t="n"/>
      <c r="AB400" s="28" t="n"/>
      <c r="AC400" s="30" t="n">
        <v>0.9258999999999999</v>
      </c>
      <c r="AD400" s="24" t="inlineStr">
        <is>
          <t>2026-09-20T04:32:00.297621Z</t>
        </is>
      </c>
      <c r="AE400" s="31" t="inlineStr">
        <is>
          <t>Projected total 56.7 pts (Weather adj: +0.0 pts). Total line 58.5 -&gt; P(Over)=0.435, P(Under)=0.565, P(Push)=0.000.</t>
        </is>
      </c>
      <c r="AF400" s="31" t="inlineStr">
        <is>
          <t>College football model; multi-market (moneyline, spread, total).</t>
        </is>
      </c>
      <c r="AG400" s="24" t="inlineStr">
        <is>
          <t>not_applicable</t>
        </is>
      </c>
      <c r="AH400" s="24" t="n"/>
      <c r="AI400" s="31" t="n"/>
      <c r="AJ400" s="31" t="n"/>
      <c r="AK400" s="24" t="inlineStr">
        <is>
          <t>model_qualified</t>
        </is>
      </c>
      <c r="AL400" s="26" t="n">
        <v>4</v>
      </c>
      <c r="AM400" s="24" t="inlineStr">
        <is>
          <t>QUALIFIED_SHADOW_CALL</t>
        </is>
      </c>
      <c r="AN400" s="24" t="inlineStr">
        <is>
          <t>CALL</t>
        </is>
      </c>
      <c r="AO400" s="24" t="inlineStr">
        <is>
          <t>QUALIFIED</t>
        </is>
      </c>
      <c r="AP400" s="24" t="inlineStr">
        <is>
          <t>LSU Tigers</t>
        </is>
      </c>
      <c r="AQ400" s="24" t="inlineStr">
        <is>
          <t>LSU Tigers</t>
        </is>
      </c>
      <c r="AR400" s="24" t="inlineStr">
        <is>
          <t>LSU Tigers</t>
        </is>
      </c>
      <c r="AS400" s="24" t="inlineStr">
        <is>
          <t>Ole Miss Rebels</t>
        </is>
      </c>
      <c r="AT400" s="24" t="inlineStr">
        <is>
          <t>Ole Miss Rebels</t>
        </is>
      </c>
      <c r="AU400" s="24" t="inlineStr">
        <is>
          <t>Ole Miss Rebels</t>
        </is>
      </c>
      <c r="AV400" s="24" t="n"/>
      <c r="AW400" s="24" t="n"/>
      <c r="AX400" s="24" t="inlineStr">
        <is>
          <t>statistical_model</t>
        </is>
      </c>
      <c r="AY400" s="24" t="n"/>
      <c r="AZ400" s="24" t="inlineStr">
        <is>
          <t>shadow_qualified</t>
        </is>
      </c>
      <c r="BA400" s="24" t="inlineStr">
        <is>
          <t>1d168f11d221cd3c</t>
        </is>
      </c>
      <c r="BB400" s="24" t="inlineStr">
        <is>
          <t>cfb_key_number_engine</t>
        </is>
      </c>
      <c r="BC400" s="24" t="inlineStr">
        <is>
          <t>cfb-total-v1</t>
        </is>
      </c>
      <c r="BD400" s="24" t="inlineStr">
        <is>
          <t>1d168f11d221cd3c</t>
        </is>
      </c>
      <c r="BE400" s="24" t="inlineStr">
        <is>
          <t>cfb-v1</t>
        </is>
      </c>
      <c r="BF400" s="24" t="inlineStr">
        <is>
          <t>1</t>
        </is>
      </c>
      <c r="BG400" s="24" t="inlineStr">
        <is>
          <t>1d168f11d221cd3c</t>
        </is>
      </c>
      <c r="BH400" s="24" t="inlineStr">
        <is>
          <t>2026-09-19T22:46:25.988423+00:00</t>
        </is>
      </c>
      <c r="BI400" s="24" t="inlineStr">
        <is>
          <t>["same_event","same_team_same_day","same_league_same_day"]</t>
        </is>
      </c>
      <c r="BJ400" s="25" t="n">
        <v>58.5</v>
      </c>
      <c r="BK400" s="26" t="n">
        <v>-108</v>
      </c>
      <c r="BL400" s="27" t="n">
        <v>1.925926</v>
      </c>
      <c r="BM400" s="28" t="n">
        <v>0.519231</v>
      </c>
      <c r="BN400" s="28" t="n"/>
      <c r="BO400" s="28" t="n"/>
      <c r="BP400" s="25" t="n"/>
      <c r="BQ400" s="27" t="n"/>
      <c r="BR400" s="28" t="n"/>
      <c r="BS400" s="28" t="n"/>
      <c r="BT400" s="28" t="n"/>
      <c r="BU400" s="25" t="n"/>
      <c r="BV400" s="29" t="n"/>
      <c r="BW400" s="24" t="n"/>
      <c r="BX400" s="30" t="n"/>
      <c r="BY400" s="27" t="n"/>
      <c r="BZ400" s="24" t="n"/>
      <c r="CA400" s="31" t="n"/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inlineStr">
        <is>
          <t>True</t>
        </is>
      </c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n"/>
      <c r="DE400" s="24" t="n"/>
      <c r="DF400" s="24" t="n"/>
      <c r="DG400" s="24" t="n"/>
      <c r="DH400" s="24" t="n"/>
      <c r="DI400" s="24" t="n"/>
      <c r="DJ400" s="24" t="inlineStr">
        <is>
          <t>0.519231</t>
        </is>
      </c>
      <c r="DK400" s="24" t="n"/>
      <c r="DL400" s="24" t="n"/>
      <c r="DM400" s="24" t="n"/>
      <c r="DN400" s="24" t="n"/>
      <c r="DO400" s="24" t="n"/>
      <c r="DP400" s="24" t="n"/>
      <c r="DQ400" s="24" t="inlineStr">
        <is>
          <t>{"artifact_hash": "1d168f11d221cd3c", "event_id": "401856688", "event_start_utc": "2026-09-19T23:30Z", "features": {"altitude_fatigue_penalty": 0.0, "away_team": "LSU Tigers", "efficiency_gap": -1.073, "elo_away": 1549.1, "elo_home": 1818.2, "elo_home_win_prob": 0.8725, "event_id": "401856688", "game_start_utc": "2026-09-19T23:30Z", "home_field_advantage_points": 2.8, "home_team": "Ole Miss Rebels", "is_dome": false, "is_fbs_vs_fcs": false, "is_neutral_site": false, "projected_away_points": 21.9, "projected_home_points": 34.8, "projected_margin_home": 12.9, "projected_possessions": 12.4, "projected_total": 56.7, "stadium_elevation_ft": 480, "travel_distance_miles": 289.0, "uncertainty": 0.165, "weather_total_adjustment": 0.0}, "historical_source_observation_times_verified": false, "inference_inputs": {"engine_source_sha256": "449ba2f0e86fa9c445730076a0e0bf100fb4914620be53c75c6f3bfe24298f3f", "mu_away": 21.9, "mu_home": 34.8,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236726499163511841367882664397493834793}, "uinteger": 0}, "spread_home_line": 3.0, "total_line": 58.5}, "market_type": "total", "model_version": "cfb-total-v1", "observed_at_utc": "2026-09-19T22:46:25.988423+00:00", "probabilities": {"over": 0.4354, "push": 0.0, "under": 0.5646}, "replay_scope": "Full precision score means, exact engine parameters and original RNG state; upstream feature construction not certified.", "schema": "cfb-joint-replay-v1", "snapshot_hash": "a1cb22139f9b0b36d1a6dae99dae9664932ed93a9fad1fca049a8a653a65e403", "sport": "NCAAF"}</t>
        </is>
      </c>
    </row>
    <row r="401" ht="36" customHeight="1">
      <c r="A401" s="24" t="inlineStr">
        <is>
          <t>c6566f0b255f4034</t>
        </is>
      </c>
      <c r="B401" s="24" t="inlineStr">
        <is>
          <t>2026-09-19T22:46:25.988423Z</t>
        </is>
      </c>
      <c r="C401" s="24" t="inlineStr">
        <is>
          <t>2026-09-19T23:30Z</t>
        </is>
      </c>
      <c r="D401" s="24" t="inlineStr">
        <is>
          <t>401856795</t>
        </is>
      </c>
      <c r="E401" s="24" t="inlineStr">
        <is>
          <t>NCAAF</t>
        </is>
      </c>
      <c r="F401" s="24" t="inlineStr">
        <is>
          <t>BYU Cougars</t>
        </is>
      </c>
      <c r="G401" s="24" t="inlineStr">
        <is>
          <t>Colorado State Rams</t>
        </is>
      </c>
      <c r="H401" s="24" t="inlineStr">
        <is>
          <t>moneyline</t>
        </is>
      </c>
      <c r="I401" s="24" t="inlineStr">
        <is>
          <t>away</t>
        </is>
      </c>
      <c r="J401" s="25" t="n"/>
      <c r="K401" s="24" t="inlineStr">
        <is>
          <t>espn_consensus</t>
        </is>
      </c>
      <c r="L401" s="26" t="n">
        <v>-950</v>
      </c>
      <c r="M401" s="27" t="n">
        <v>1.105263</v>
      </c>
      <c r="N401" s="28" t="n">
        <v>0.904762</v>
      </c>
      <c r="O401" s="28" t="n">
        <v>0.739496</v>
      </c>
      <c r="P401" s="28" t="n">
        <v>0.18</v>
      </c>
      <c r="Q401" s="28" t="n">
        <v>-0.165266</v>
      </c>
      <c r="R401" s="26" t="n">
        <v>0</v>
      </c>
      <c r="S401" s="29" t="n">
        <v>1</v>
      </c>
      <c r="T401" s="24" t="inlineStr">
        <is>
          <t>college-football-v1</t>
        </is>
      </c>
      <c r="U401" s="24" t="inlineStr">
        <is>
          <t>settled</t>
        </is>
      </c>
      <c r="V401" s="24" t="inlineStr">
        <is>
          <t>win</t>
        </is>
      </c>
      <c r="W401" s="26" t="n">
        <v>41</v>
      </c>
      <c r="X401" s="26" t="n">
        <v>23</v>
      </c>
      <c r="Y401" s="25" t="n"/>
      <c r="Z401" s="26" t="n"/>
      <c r="AA401" s="28" t="n"/>
      <c r="AB401" s="28" t="n"/>
      <c r="AC401" s="30" t="n">
        <v>0.1053</v>
      </c>
      <c r="AD401" s="24" t="inlineStr">
        <is>
          <t>2026-09-20T04:32:00.832600Z</t>
        </is>
      </c>
      <c r="AE401" s="31" t="inlineStr">
        <is>
          <t>CFB Joint Model (negative_binomial): proj score BYU Cougars 33.2 @ Colorado State Rams 21.2 (Margin -12.1). Possessions: 12.4, HFA: +2.8 pts.</t>
        </is>
      </c>
      <c r="AF401" s="31" t="inlineStr">
        <is>
          <t>College football model; multi-market (moneyline, spread, total).</t>
        </is>
      </c>
      <c r="AG401" s="24" t="inlineStr">
        <is>
          <t>not_applicable</t>
        </is>
      </c>
      <c r="AH401" s="24" t="n"/>
      <c r="AI401" s="31" t="n"/>
      <c r="AJ401" s="31" t="n"/>
      <c r="AK401" s="24" t="inlineStr">
        <is>
          <t>paper_call</t>
        </is>
      </c>
      <c r="AL401" s="26" t="n">
        <v>4</v>
      </c>
      <c r="AM401" s="24" t="inlineStr">
        <is>
          <t>RESEARCH_OBSERVATION</t>
        </is>
      </c>
      <c r="AN401" s="24" t="inlineStr">
        <is>
          <t>CALL</t>
        </is>
      </c>
      <c r="AO401" s="24" t="inlineStr">
        <is>
          <t>PAPER_CALL_LOW_EDGE</t>
        </is>
      </c>
      <c r="AP401" s="24" t="inlineStr">
        <is>
          <t>BYU Cougars</t>
        </is>
      </c>
      <c r="AQ401" s="24" t="inlineStr">
        <is>
          <t>BYU Cougars</t>
        </is>
      </c>
      <c r="AR401" s="24" t="inlineStr">
        <is>
          <t>BYU Cougars</t>
        </is>
      </c>
      <c r="AS401" s="24" t="inlineStr">
        <is>
          <t>Colorado State Rams</t>
        </is>
      </c>
      <c r="AT401" s="24" t="inlineStr">
        <is>
          <t>Colorado State Rams</t>
        </is>
      </c>
      <c r="AU401" s="24" t="inlineStr">
        <is>
          <t>Colorado State Rams</t>
        </is>
      </c>
      <c r="AV401" s="24" t="n"/>
      <c r="AW401" s="24" t="n"/>
      <c r="AX401" s="24" t="inlineStr">
        <is>
          <t>statistical_model</t>
        </is>
      </c>
      <c r="AY401" s="24" t="n"/>
      <c r="AZ401" s="24" t="inlineStr">
        <is>
          <t>shadow_qualified</t>
        </is>
      </c>
      <c r="BA401" s="24" t="inlineStr">
        <is>
          <t>1d168f11d221cd3c</t>
        </is>
      </c>
      <c r="BB401" s="24" t="inlineStr">
        <is>
          <t>cfb_key_number_engine</t>
        </is>
      </c>
      <c r="BC401" s="24" t="inlineStr">
        <is>
          <t>college-football-v1</t>
        </is>
      </c>
      <c r="BD401" s="24" t="inlineStr">
        <is>
          <t>1d168f11d221cd3c</t>
        </is>
      </c>
      <c r="BE401" s="24" t="inlineStr">
        <is>
          <t>cfb-v1</t>
        </is>
      </c>
      <c r="BF401" s="24" t="inlineStr">
        <is>
          <t>1</t>
        </is>
      </c>
      <c r="BG401" s="24" t="inlineStr">
        <is>
          <t>1d168f11d221cd3c</t>
        </is>
      </c>
      <c r="BH401" s="24" t="inlineStr">
        <is>
          <t>2026-09-19T22:46:25.988423+00:00</t>
        </is>
      </c>
      <c r="BI401" s="24" t="inlineStr">
        <is>
          <t>["same_event","same_team_same_day","same_league_same_day"]</t>
        </is>
      </c>
      <c r="BJ401" s="25" t="n"/>
      <c r="BK401" s="26" t="n">
        <v>-950</v>
      </c>
      <c r="BL401" s="27" t="n">
        <v>1.105263</v>
      </c>
      <c r="BM401" s="28" t="n">
        <v>0.904762</v>
      </c>
      <c r="BN401" s="28" t="n"/>
      <c r="BO401" s="28" t="n"/>
      <c r="BP401" s="25" t="n"/>
      <c r="BQ401" s="27" t="n"/>
      <c r="BR401" s="28" t="n"/>
      <c r="BS401" s="28" t="n"/>
      <c r="BT401" s="28" t="n"/>
      <c r="BU401" s="25" t="n"/>
      <c r="BV401" s="29" t="n"/>
      <c r="BW401" s="24" t="n"/>
      <c r="BX401" s="30" t="n">
        <v>1</v>
      </c>
      <c r="BY401" s="27" t="n">
        <v>0.105263</v>
      </c>
      <c r="BZ401" s="24" t="inlineStr">
        <is>
          <t>2026-09-20T04:32:00.832600Z</t>
        </is>
      </c>
      <c r="CA401" s="31" t="inlineStr">
        <is>
          <t>fixed one-unit hypothetical scoring; no real exposure or execution</t>
        </is>
      </c>
      <c r="CB401" s="24" t="n"/>
      <c r="CC401" s="24" t="n"/>
      <c r="CD401" s="24" t="n"/>
      <c r="CE401" s="24" t="n"/>
      <c r="CF401" s="24" t="n"/>
      <c r="CG401" s="24" t="n"/>
      <c r="CH401" s="24" t="n"/>
      <c r="CI401" s="24" t="n"/>
      <c r="CJ401" s="24" t="n"/>
      <c r="CK401" s="24" t="n"/>
      <c r="CL401" s="24" t="n"/>
      <c r="CM401" s="24" t="n"/>
      <c r="CN401" s="24" t="n"/>
      <c r="CO401" s="24" t="n"/>
      <c r="CP401" s="24" t="n"/>
      <c r="CQ401" s="24" t="n"/>
      <c r="CR401" s="24" t="n"/>
      <c r="CS401" s="24" t="inlineStr">
        <is>
          <t>False</t>
        </is>
      </c>
      <c r="CT401" s="24" t="n"/>
      <c r="CU401" s="24" t="n"/>
      <c r="CV401" s="24" t="n"/>
      <c r="CW401" s="24" t="n"/>
      <c r="CX401" s="24" t="n"/>
      <c r="CY401" s="24" t="n"/>
      <c r="CZ401" s="24" t="n"/>
      <c r="DA401" s="24" t="n"/>
      <c r="DB401" s="24" t="n"/>
      <c r="DC401" s="24" t="n"/>
      <c r="DD401" s="24" t="n"/>
      <c r="DE401" s="24" t="n"/>
      <c r="DF401" s="24" t="n"/>
      <c r="DG401" s="24" t="n"/>
      <c r="DH401" s="24" t="n"/>
      <c r="DI401" s="24" t="n"/>
      <c r="DJ401" s="24" t="inlineStr">
        <is>
          <t>0.904762</t>
        </is>
      </c>
      <c r="DK401" s="24" t="n"/>
      <c r="DL401" s="24" t="n"/>
      <c r="DM401" s="24" t="n"/>
      <c r="DN401" s="24" t="n"/>
      <c r="DO401" s="24" t="n"/>
      <c r="DP401" s="24" t="n"/>
      <c r="DQ401" s="24" t="inlineStr">
        <is>
          <t>{"artifact_hash": "1d168f11d221cd3c", "event_id": "401856795", "event_start_utc": "2026-09-19T23:30Z", "features": {"altitude_fatigue_penalty": 0.0, "away_team": "BYU Cougars", "efficiency_gap": -0.102, "elo_away": 1688.8, "elo_home": 1327.7, "elo_home_win_prob": 0.1539, "event_id": "401856795", "game_start_utc": "2026-09-19T23:30Z", "home_field_advantage_points": 2.8, "home_team": "Colorado State Rams", "is_dome": false, "is_fbs_vs_fcs": false, "is_neutral_site": false, "projected_away_points": 33.2, "projected_home_points": 21.2, "projected_margin_home": -12.1, "projected_possessions": 12.4, "projected_total": 54.4, "stadium_elevation_ft": 5003, "travel_distance_miles": 346.0, "uncertainty": 0.18, "weather_total_adjustment": 0.0}, "historical_source_observation_times_verified": false, "inference_inputs": {"engine_source_sha256": "449ba2f0e86fa9c445730076a0e0bf100fb4914620be53c75c6f3bfe24298f3f", "mu_away": 33.2, "mu_home": 21.2,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85657983068721497664222539179739642337}, "uinteger": 0}, "spread_home_line": 17.5, "total_line": 54.5}, "market_type": "moneyline", "model_version": "college-football-v1", "observed_at_utc": "2026-09-19T22:46:25.988423+00:00", "probabilities": {"away": 0.739496, "home": 0.260504}, "replay_scope": "Full precision score means, exact engine parameters and original RNG state; upstream feature construction not certified.", "schema": "cfb-joint-replay-v1", "snapshot_hash": "794a413a810b11daecdede0ed182050a4bb8bd1d3519d82863a217e657b41266", "sport": "NCAAF"}</t>
        </is>
      </c>
    </row>
    <row r="402" ht="36" customHeight="1">
      <c r="A402" s="24" t="inlineStr">
        <is>
          <t>6d93548405494c12</t>
        </is>
      </c>
      <c r="B402" s="24" t="inlineStr">
        <is>
          <t>2026-09-19T22:46:25.988423Z</t>
        </is>
      </c>
      <c r="C402" s="24" t="inlineStr">
        <is>
          <t>2026-09-19T23:30Z</t>
        </is>
      </c>
      <c r="D402" s="24" t="inlineStr">
        <is>
          <t>401856795</t>
        </is>
      </c>
      <c r="E402" s="24" t="inlineStr">
        <is>
          <t>NCAAF</t>
        </is>
      </c>
      <c r="F402" s="24" t="inlineStr">
        <is>
          <t>BYU Cougars</t>
        </is>
      </c>
      <c r="G402" s="24" t="inlineStr">
        <is>
          <t>Colorado State Rams</t>
        </is>
      </c>
      <c r="H402" s="24" t="inlineStr">
        <is>
          <t>spread</t>
        </is>
      </c>
      <c r="I402" s="24" t="inlineStr">
        <is>
          <t>home</t>
        </is>
      </c>
      <c r="J402" s="25" t="n">
        <v>17.5</v>
      </c>
      <c r="K402" s="24" t="inlineStr">
        <is>
          <t>espn_consensus</t>
        </is>
      </c>
      <c r="L402" s="26" t="n">
        <v>-115</v>
      </c>
      <c r="M402" s="27" t="n">
        <v>1.869565</v>
      </c>
      <c r="N402" s="28" t="n">
        <v>0.534884</v>
      </c>
      <c r="O402" s="28" t="n">
        <v>0.610333</v>
      </c>
      <c r="P402" s="28" t="n">
        <v>0.18</v>
      </c>
      <c r="Q402" s="28" t="n">
        <v>0.075449</v>
      </c>
      <c r="R402" s="26" t="n">
        <v>0</v>
      </c>
      <c r="S402" s="29" t="n">
        <v>1</v>
      </c>
      <c r="T402" s="24" t="inlineStr">
        <is>
          <t>cfb-spread-v1</t>
        </is>
      </c>
      <c r="U402" s="24" t="inlineStr">
        <is>
          <t>settled</t>
        </is>
      </c>
      <c r="V402" s="24" t="inlineStr">
        <is>
          <t>loss</t>
        </is>
      </c>
      <c r="W402" s="26" t="n">
        <v>41</v>
      </c>
      <c r="X402" s="26" t="n">
        <v>23</v>
      </c>
      <c r="Y402" s="25" t="n"/>
      <c r="Z402" s="26" t="n"/>
      <c r="AA402" s="28" t="n"/>
      <c r="AB402" s="28" t="n"/>
      <c r="AC402" s="30" t="n">
        <v>-1</v>
      </c>
      <c r="AD402" s="24" t="inlineStr">
        <is>
          <t>2026-09-20T04:32:01.264376Z</t>
        </is>
      </c>
      <c r="AE402" s="31" t="inlineStr">
        <is>
          <t>Projected home margin -12.1 pts. Spread: Home +17.5 / Away -17.5 -&gt; P(Away cover)=0.390, P(Home cover)=0.610, P(Push)=0.000.</t>
        </is>
      </c>
      <c r="AF402" s="31" t="inlineStr">
        <is>
          <t>College football model; multi-market (moneyline, spread, total).</t>
        </is>
      </c>
      <c r="AG402" s="24" t="inlineStr">
        <is>
          <t>review_required</t>
        </is>
      </c>
      <c r="AH402" s="24" t="n"/>
      <c r="AI402" s="31" t="n"/>
      <c r="AJ402" s="31" t="n"/>
      <c r="AK402" s="24" t="inlineStr">
        <is>
          <t>model_qualified</t>
        </is>
      </c>
      <c r="AL402" s="26" t="n">
        <v>4</v>
      </c>
      <c r="AM402" s="24" t="inlineStr">
        <is>
          <t>QUALIFIED_SHADOW_CALL</t>
        </is>
      </c>
      <c r="AN402" s="24" t="inlineStr">
        <is>
          <t>CALL</t>
        </is>
      </c>
      <c r="AO402" s="24" t="inlineStr">
        <is>
          <t>QUALIFIED</t>
        </is>
      </c>
      <c r="AP402" s="24" t="inlineStr">
        <is>
          <t>BYU Cougars</t>
        </is>
      </c>
      <c r="AQ402" s="24" t="inlineStr">
        <is>
          <t>BYU Cougars</t>
        </is>
      </c>
      <c r="AR402" s="24" t="inlineStr">
        <is>
          <t>BYU Cougars</t>
        </is>
      </c>
      <c r="AS402" s="24" t="inlineStr">
        <is>
          <t>Colorado State Rams</t>
        </is>
      </c>
      <c r="AT402" s="24" t="inlineStr">
        <is>
          <t>Colorado State Rams</t>
        </is>
      </c>
      <c r="AU402" s="24" t="inlineStr">
        <is>
          <t>Colorado State Rams</t>
        </is>
      </c>
      <c r="AV402" s="24" t="n"/>
      <c r="AW402" s="24" t="n"/>
      <c r="AX402" s="24" t="inlineStr">
        <is>
          <t>statistical_model</t>
        </is>
      </c>
      <c r="AY402" s="24" t="n"/>
      <c r="AZ402" s="24" t="inlineStr">
        <is>
          <t>shadow_qualified</t>
        </is>
      </c>
      <c r="BA402" s="24" t="inlineStr">
        <is>
          <t>1d168f11d221cd3c</t>
        </is>
      </c>
      <c r="BB402" s="24" t="inlineStr">
        <is>
          <t>cfb_key_number_engine</t>
        </is>
      </c>
      <c r="BC402" s="24" t="inlineStr">
        <is>
          <t>cfb-spread-v1</t>
        </is>
      </c>
      <c r="BD402" s="24" t="inlineStr">
        <is>
          <t>1d168f11d221cd3c</t>
        </is>
      </c>
      <c r="BE402" s="24" t="inlineStr">
        <is>
          <t>cfb-v1</t>
        </is>
      </c>
      <c r="BF402" s="24" t="inlineStr">
        <is>
          <t>1</t>
        </is>
      </c>
      <c r="BG402" s="24" t="inlineStr">
        <is>
          <t>1d168f11d221cd3c</t>
        </is>
      </c>
      <c r="BH402" s="24" t="inlineStr">
        <is>
          <t>2026-09-19T22:46:25.988423+00:00</t>
        </is>
      </c>
      <c r="BI402" s="24" t="inlineStr">
        <is>
          <t>["same_event","same_team_same_day","same_league_same_day"]</t>
        </is>
      </c>
      <c r="BJ402" s="25" t="n">
        <v>17.5</v>
      </c>
      <c r="BK402" s="26" t="n">
        <v>-115</v>
      </c>
      <c r="BL402" s="27" t="n">
        <v>1.869565</v>
      </c>
      <c r="BM402" s="28" t="n">
        <v>0.534884</v>
      </c>
      <c r="BN402" s="28" t="n"/>
      <c r="BO402" s="28" t="n"/>
      <c r="BP402" s="25" t="n"/>
      <c r="BQ402" s="27" t="n"/>
      <c r="BR402" s="28" t="n"/>
      <c r="BS402" s="28" t="n"/>
      <c r="BT402" s="28" t="n"/>
      <c r="BU402" s="25" t="n"/>
      <c r="BV402" s="29" t="n"/>
      <c r="BW402" s="24" t="n"/>
      <c r="BX402" s="30" t="n"/>
      <c r="BY402" s="27" t="n"/>
      <c r="BZ402" s="24" t="n"/>
      <c r="CA402" s="31" t="n"/>
      <c r="CB402" s="24" t="n"/>
      <c r="CC402" s="24" t="n"/>
      <c r="CD402" s="24" t="n"/>
      <c r="CE402" s="24" t="n"/>
      <c r="CF402" s="24" t="n"/>
      <c r="CG402" s="24" t="n"/>
      <c r="CH402" s="24" t="n"/>
      <c r="CI402" s="24" t="n"/>
      <c r="CJ402" s="24" t="n"/>
      <c r="CK402" s="24" t="n"/>
      <c r="CL402" s="24" t="n"/>
      <c r="CM402" s="24" t="n"/>
      <c r="CN402" s="24" t="n"/>
      <c r="CO402" s="24" t="n"/>
      <c r="CP402" s="24" t="n"/>
      <c r="CQ402" s="24" t="n"/>
      <c r="CR402" s="24" t="n"/>
      <c r="CS402" s="24" t="inlineStr">
        <is>
          <t>True</t>
        </is>
      </c>
      <c r="CT402" s="24" t="n"/>
      <c r="CU402" s="24" t="n"/>
      <c r="CV402" s="24" t="n"/>
      <c r="CW402" s="24" t="n"/>
      <c r="CX402" s="24" t="n"/>
      <c r="CY402" s="24" t="n"/>
      <c r="CZ402" s="24" t="n"/>
      <c r="DA402" s="24" t="n"/>
      <c r="DB402" s="24" t="n"/>
      <c r="DC402" s="24" t="n"/>
      <c r="DD402" s="24" t="n"/>
      <c r="DE402" s="24" t="n"/>
      <c r="DF402" s="24" t="n"/>
      <c r="DG402" s="24" t="n"/>
      <c r="DH402" s="24" t="n"/>
      <c r="DI402" s="24" t="n"/>
      <c r="DJ402" s="24" t="inlineStr">
        <is>
          <t>0.534884</t>
        </is>
      </c>
      <c r="DK402" s="24" t="n"/>
      <c r="DL402" s="24" t="n"/>
      <c r="DM402" s="24" t="n"/>
      <c r="DN402" s="24" t="n"/>
      <c r="DO402" s="24" t="n"/>
      <c r="DP402" s="24" t="n"/>
      <c r="DQ402" s="24" t="inlineStr">
        <is>
          <t>{"artifact_hash": "1d168f11d221cd3c", "event_id": "401856795", "event_start_utc": "2026-09-19T23:30Z", "features": {"altitude_fatigue_penalty": 0.0, "away_team": "BYU Cougars", "efficiency_gap": -0.102, "elo_away": 1688.8, "elo_home": 1327.7, "elo_home_win_prob": 0.1539, "event_id": "401856795", "game_start_utc": "2026-09-19T23:30Z", "home_field_advantage_points": 2.8, "home_team": "Colorado State Rams", "is_dome": false, "is_fbs_vs_fcs": false, "is_neutral_site": false, "projected_away_points": 33.2, "projected_home_points": 21.2, "projected_margin_home": -12.1, "projected_possessions": 12.4, "projected_total": 54.4, "stadium_elevation_ft": 5003, "travel_distance_miles": 346.0, "uncertainty": 0.18, "weather_total_adjustment": 0.0}, "historical_source_observation_times_verified": false, "inference_inputs": {"engine_source_sha256": "449ba2f0e86fa9c445730076a0e0bf100fb4914620be53c75c6f3bfe24298f3f", "mu_away": 33.2, "mu_home": 21.2,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85657983068721497664222539179739642337}, "uinteger": 0}, "spread_home_line": 17.5, "total_line": 54.5}, "market_type": "spread", "model_version": "cfb-spread-v1", "observed_at_utc": "2026-09-19T22:46:25.988423+00:00", "probabilities": {"away": 0.389667, "home": 0.610333, "push": 0.0}, "replay_scope": "Full precision score means, exact engine parameters and original RNG state; upstream feature construction not certified.", "schema": "cfb-joint-replay-v1", "snapshot_hash": "2292a2c3c8e8fa49013099b12f2bf08a595524814e4fbf1ef06af2b8bf4cf03c", "sport": "NCAAF"}</t>
        </is>
      </c>
    </row>
    <row r="403" ht="36" customHeight="1">
      <c r="A403" s="24" t="inlineStr">
        <is>
          <t>8b4710aea1674b5b</t>
        </is>
      </c>
      <c r="B403" s="24" t="inlineStr">
        <is>
          <t>2026-09-19T22:46:25.988423Z</t>
        </is>
      </c>
      <c r="C403" s="24" t="inlineStr">
        <is>
          <t>2026-09-19T23:30Z</t>
        </is>
      </c>
      <c r="D403" s="24" t="inlineStr">
        <is>
          <t>401856795</t>
        </is>
      </c>
      <c r="E403" s="24" t="inlineStr">
        <is>
          <t>NCAAF</t>
        </is>
      </c>
      <c r="F403" s="24" t="inlineStr">
        <is>
          <t>BYU Cougars</t>
        </is>
      </c>
      <c r="G403" s="24" t="inlineStr">
        <is>
          <t>Colorado State Rams</t>
        </is>
      </c>
      <c r="H403" s="24" t="inlineStr">
        <is>
          <t>total</t>
        </is>
      </c>
      <c r="I403" s="24" t="inlineStr">
        <is>
          <t>under</t>
        </is>
      </c>
      <c r="J403" s="25" t="n">
        <v>54.5</v>
      </c>
      <c r="K403" s="24" t="inlineStr">
        <is>
          <t>espn_consensus</t>
        </is>
      </c>
      <c r="L403" s="26" t="n">
        <v>-115</v>
      </c>
      <c r="M403" s="27" t="n">
        <v>1.869565</v>
      </c>
      <c r="N403" s="28" t="n">
        <v>0.534884</v>
      </c>
      <c r="O403" s="28" t="n">
        <v>0.538333</v>
      </c>
      <c r="P403" s="28" t="n">
        <v>0.18</v>
      </c>
      <c r="Q403" s="28" t="n">
        <v>0.003449</v>
      </c>
      <c r="R403" s="26" t="n">
        <v>0</v>
      </c>
      <c r="S403" s="29" t="n">
        <v>1</v>
      </c>
      <c r="T403" s="24" t="inlineStr">
        <is>
          <t>cfb-total-v1</t>
        </is>
      </c>
      <c r="U403" s="24" t="inlineStr">
        <is>
          <t>settled</t>
        </is>
      </c>
      <c r="V403" s="24" t="inlineStr">
        <is>
          <t>loss</t>
        </is>
      </c>
      <c r="W403" s="26" t="n">
        <v>41</v>
      </c>
      <c r="X403" s="26" t="n">
        <v>23</v>
      </c>
      <c r="Y403" s="25" t="n"/>
      <c r="Z403" s="26" t="n"/>
      <c r="AA403" s="28" t="n"/>
      <c r="AB403" s="28" t="n"/>
      <c r="AC403" s="30" t="n">
        <v>-1</v>
      </c>
      <c r="AD403" s="24" t="inlineStr">
        <is>
          <t>2026-09-20T04:32:01.825153Z</t>
        </is>
      </c>
      <c r="AE403" s="31" t="inlineStr">
        <is>
          <t>Projected total 54.4 pts (Weather adj: +0.0 pts). Total line 54.5 -&gt; P(Over)=0.462, P(Under)=0.538, P(Push)=0.000.</t>
        </is>
      </c>
      <c r="AF403" s="31" t="inlineStr">
        <is>
          <t>College football model; multi-market (moneyline, spread, total).</t>
        </is>
      </c>
      <c r="AG403" s="24" t="inlineStr">
        <is>
          <t>review_required</t>
        </is>
      </c>
      <c r="AH403" s="24" t="n"/>
      <c r="AI403" s="31" t="n"/>
      <c r="AJ403" s="31" t="n"/>
      <c r="AK403" s="24" t="inlineStr">
        <is>
          <t>paper_call</t>
        </is>
      </c>
      <c r="AL403" s="26" t="n">
        <v>4</v>
      </c>
      <c r="AM403" s="24" t="inlineStr">
        <is>
          <t>RESEARCH_OBSERVATION</t>
        </is>
      </c>
      <c r="AN403" s="24" t="inlineStr">
        <is>
          <t>CALL</t>
        </is>
      </c>
      <c r="AO403" s="24" t="inlineStr">
        <is>
          <t>PAPER_CALL_LOW_EDGE</t>
        </is>
      </c>
      <c r="AP403" s="24" t="inlineStr">
        <is>
          <t>BYU Cougars</t>
        </is>
      </c>
      <c r="AQ403" s="24" t="inlineStr">
        <is>
          <t>BYU Cougars</t>
        </is>
      </c>
      <c r="AR403" s="24" t="inlineStr">
        <is>
          <t>BYU Cougars</t>
        </is>
      </c>
      <c r="AS403" s="24" t="inlineStr">
        <is>
          <t>Colorado State Rams</t>
        </is>
      </c>
      <c r="AT403" s="24" t="inlineStr">
        <is>
          <t>Colorado State Rams</t>
        </is>
      </c>
      <c r="AU403" s="24" t="inlineStr">
        <is>
          <t>Colorado State Rams</t>
        </is>
      </c>
      <c r="AV403" s="24" t="n"/>
      <c r="AW403" s="24" t="n"/>
      <c r="AX403" s="24" t="inlineStr">
        <is>
          <t>statistical_model</t>
        </is>
      </c>
      <c r="AY403" s="24" t="n"/>
      <c r="AZ403" s="24" t="inlineStr">
        <is>
          <t>shadow_qualified</t>
        </is>
      </c>
      <c r="BA403" s="24" t="inlineStr">
        <is>
          <t>1d168f11d221cd3c</t>
        </is>
      </c>
      <c r="BB403" s="24" t="inlineStr">
        <is>
          <t>cfb_key_number_engine</t>
        </is>
      </c>
      <c r="BC403" s="24" t="inlineStr">
        <is>
          <t>cfb-total-v1</t>
        </is>
      </c>
      <c r="BD403" s="24" t="inlineStr">
        <is>
          <t>1d168f11d221cd3c</t>
        </is>
      </c>
      <c r="BE403" s="24" t="inlineStr">
        <is>
          <t>cfb-v1</t>
        </is>
      </c>
      <c r="BF403" s="24" t="inlineStr">
        <is>
          <t>1</t>
        </is>
      </c>
      <c r="BG403" s="24" t="inlineStr">
        <is>
          <t>1d168f11d221cd3c</t>
        </is>
      </c>
      <c r="BH403" s="24" t="inlineStr">
        <is>
          <t>2026-09-19T22:46:25.988423+00:00</t>
        </is>
      </c>
      <c r="BI403" s="24" t="inlineStr">
        <is>
          <t>["same_event","same_team_same_day","same_league_same_day"]</t>
        </is>
      </c>
      <c r="BJ403" s="25" t="n">
        <v>54.5</v>
      </c>
      <c r="BK403" s="26" t="n">
        <v>-115</v>
      </c>
      <c r="BL403" s="27" t="n">
        <v>1.869565</v>
      </c>
      <c r="BM403" s="28" t="n">
        <v>0.534884</v>
      </c>
      <c r="BN403" s="28" t="n"/>
      <c r="BO403" s="28" t="n"/>
      <c r="BP403" s="25" t="n"/>
      <c r="BQ403" s="27" t="n"/>
      <c r="BR403" s="28" t="n"/>
      <c r="BS403" s="28" t="n"/>
      <c r="BT403" s="28" t="n"/>
      <c r="BU403" s="25" t="n"/>
      <c r="BV403" s="29" t="n"/>
      <c r="BW403" s="24" t="n"/>
      <c r="BX403" s="30" t="n">
        <v>1</v>
      </c>
      <c r="BY403" s="27" t="n">
        <v>-1</v>
      </c>
      <c r="BZ403" s="24" t="inlineStr">
        <is>
          <t>2026-09-20T04:32:01.825153Z</t>
        </is>
      </c>
      <c r="CA403" s="31" t="inlineStr">
        <is>
          <t>fixed one-unit hypothetical scoring; no real exposure or execution</t>
        </is>
      </c>
      <c r="CB403" s="24" t="n"/>
      <c r="CC403" s="24" t="n"/>
      <c r="CD403" s="24" t="n"/>
      <c r="CE403" s="24" t="n"/>
      <c r="CF403" s="24" t="n"/>
      <c r="CG403" s="24" t="n"/>
      <c r="CH403" s="24" t="n"/>
      <c r="CI403" s="24" t="n"/>
      <c r="CJ403" s="24" t="n"/>
      <c r="CK403" s="24" t="n"/>
      <c r="CL403" s="24" t="n"/>
      <c r="CM403" s="24" t="n"/>
      <c r="CN403" s="24" t="n"/>
      <c r="CO403" s="24" t="n"/>
      <c r="CP403" s="24" t="n"/>
      <c r="CQ403" s="24" t="n"/>
      <c r="CR403" s="24" t="n"/>
      <c r="CS403" s="24" t="inlineStr">
        <is>
          <t>True</t>
        </is>
      </c>
      <c r="CT403" s="24" t="n"/>
      <c r="CU403" s="24" t="n"/>
      <c r="CV403" s="24" t="n"/>
      <c r="CW403" s="24" t="n"/>
      <c r="CX403" s="24" t="n"/>
      <c r="CY403" s="24" t="n"/>
      <c r="CZ403" s="24" t="n"/>
      <c r="DA403" s="24" t="n"/>
      <c r="DB403" s="24" t="n"/>
      <c r="DC403" s="24" t="n"/>
      <c r="DD403" s="24" t="n"/>
      <c r="DE403" s="24" t="n"/>
      <c r="DF403" s="24" t="n"/>
      <c r="DG403" s="24" t="n"/>
      <c r="DH403" s="24" t="n"/>
      <c r="DI403" s="24" t="n"/>
      <c r="DJ403" s="24" t="inlineStr">
        <is>
          <t>0.534884</t>
        </is>
      </c>
      <c r="DK403" s="24" t="n"/>
      <c r="DL403" s="24" t="n"/>
      <c r="DM403" s="24" t="n"/>
      <c r="DN403" s="24" t="n"/>
      <c r="DO403" s="24" t="n"/>
      <c r="DP403" s="24" t="n"/>
      <c r="DQ403" s="24" t="inlineStr">
        <is>
          <t>{"artifact_hash": "1d168f11d221cd3c", "event_id": "401856795", "event_start_utc": "2026-09-19T23:30Z", "features": {"altitude_fatigue_penalty": 0.0, "away_team": "BYU Cougars", "efficiency_gap": -0.102, "elo_away": 1688.8, "elo_home": 1327.7, "elo_home_win_prob": 0.1539, "event_id": "401856795", "game_start_utc": "2026-09-19T23:30Z", "home_field_advantage_points": 2.8, "home_team": "Colorado State Rams", "is_dome": false, "is_fbs_vs_fcs": false, "is_neutral_site": false, "projected_away_points": 33.2, "projected_home_points": 21.2, "projected_margin_home": -12.1, "projected_possessions": 12.4, "projected_total": 54.4, "stadium_elevation_ft": 5003, "travel_distance_miles": 346.0, "uncertainty": 0.18, "weather_total_adjustment": 0.0}, "historical_source_observation_times_verified": false, "inference_inputs": {"engine_source_sha256": "449ba2f0e86fa9c445730076a0e0bf100fb4914620be53c75c6f3bfe24298f3f", "mu_away": 33.2, "mu_home": 21.2,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85657983068721497664222539179739642337}, "uinteger": 0}, "spread_home_line": 17.5, "total_line": 54.5}, "market_type": "total", "model_version": "cfb-total-v1", "observed_at_utc": "2026-09-19T22:46:25.988423+00:00", "probabilities": {"over": 0.461667, "push": 0.0, "under": 0.538333}, "replay_scope": "Full precision score means, exact engine parameters and original RNG state; upstream feature construction not certified.", "schema": "cfb-joint-replay-v1", "snapshot_hash": "51a352cba7a13f087929bfc3556702887397b50b7e69b529187614131ea8d43f", "sport": "NCAAF"}</t>
        </is>
      </c>
    </row>
    <row r="404" ht="36" customHeight="1">
      <c r="A404" s="24" t="inlineStr">
        <is>
          <t>444fab37a52544ac</t>
        </is>
      </c>
      <c r="B404" s="24" t="inlineStr">
        <is>
          <t>2026-09-19T22:46:25.988423Z</t>
        </is>
      </c>
      <c r="C404" s="24" t="inlineStr">
        <is>
          <t>2026-09-19T23:30Z</t>
        </is>
      </c>
      <c r="D404" s="24" t="inlineStr">
        <is>
          <t>401856690</t>
        </is>
      </c>
      <c r="E404" s="24" t="inlineStr">
        <is>
          <t>NCAAF</t>
        </is>
      </c>
      <c r="F404" s="24" t="inlineStr">
        <is>
          <t>New Mexico Lobos</t>
        </is>
      </c>
      <c r="G404" s="24" t="inlineStr">
        <is>
          <t>Oklahoma Sooners</t>
        </is>
      </c>
      <c r="H404" s="24" t="inlineStr">
        <is>
          <t>moneyline</t>
        </is>
      </c>
      <c r="I404" s="24" t="inlineStr">
        <is>
          <t>home</t>
        </is>
      </c>
      <c r="J404" s="25" t="n"/>
      <c r="K404" s="24" t="inlineStr">
        <is>
          <t>espn_consensus</t>
        </is>
      </c>
      <c r="L404" s="26" t="n">
        <v>-2100</v>
      </c>
      <c r="M404" s="27" t="n">
        <v>1.047619</v>
      </c>
      <c r="N404" s="28" t="n">
        <v>0.954545</v>
      </c>
      <c r="O404" s="28" t="n">
        <v>0.550731</v>
      </c>
      <c r="P404" s="28" t="n">
        <v>0.165</v>
      </c>
      <c r="Q404" s="28" t="n">
        <v>-0.403814</v>
      </c>
      <c r="R404" s="26" t="n">
        <v>0</v>
      </c>
      <c r="S404" s="29" t="n">
        <v>1</v>
      </c>
      <c r="T404" s="24" t="inlineStr">
        <is>
          <t>college-football-v1</t>
        </is>
      </c>
      <c r="U404" s="24" t="inlineStr">
        <is>
          <t>settled</t>
        </is>
      </c>
      <c r="V404" s="24" t="inlineStr">
        <is>
          <t>win</t>
        </is>
      </c>
      <c r="W404" s="26" t="n">
        <v>6</v>
      </c>
      <c r="X404" s="26" t="n">
        <v>14</v>
      </c>
      <c r="Y404" s="25" t="n"/>
      <c r="Z404" s="26" t="n"/>
      <c r="AA404" s="28" t="n"/>
      <c r="AB404" s="28" t="n"/>
      <c r="AC404" s="30" t="n">
        <v>0.0476</v>
      </c>
      <c r="AD404" s="24" t="inlineStr">
        <is>
          <t>2026-09-20T04:32:02.321443Z</t>
        </is>
      </c>
      <c r="AE404" s="31" t="inlineStr">
        <is>
          <t>CFB Joint Model (negative_binomial): proj score New Mexico Lobos 26.8 @ Oklahoma Sooners 29.0 (Margin +2.2). Possessions: 12.4, HFA: +2.8 pts.</t>
        </is>
      </c>
      <c r="AF404" s="31" t="inlineStr">
        <is>
          <t>College football model; multi-market (moneyline, spread, total).</t>
        </is>
      </c>
      <c r="AG404" s="24" t="inlineStr">
        <is>
          <t>not_applicable</t>
        </is>
      </c>
      <c r="AH404" s="24" t="n"/>
      <c r="AI404" s="31" t="n"/>
      <c r="AJ404" s="31" t="n"/>
      <c r="AK404" s="24" t="inlineStr">
        <is>
          <t>paper_call</t>
        </is>
      </c>
      <c r="AL404" s="26" t="n">
        <v>4</v>
      </c>
      <c r="AM404" s="24" t="inlineStr">
        <is>
          <t>RESEARCH_OBSERVATION</t>
        </is>
      </c>
      <c r="AN404" s="24" t="inlineStr">
        <is>
          <t>CALL</t>
        </is>
      </c>
      <c r="AO404" s="24" t="inlineStr">
        <is>
          <t>PAPER_CALL_LOW_EDGE</t>
        </is>
      </c>
      <c r="AP404" s="24" t="inlineStr">
        <is>
          <t>New Mexico Lobos</t>
        </is>
      </c>
      <c r="AQ404" s="24" t="inlineStr">
        <is>
          <t>New Mexico Lobos</t>
        </is>
      </c>
      <c r="AR404" s="24" t="inlineStr">
        <is>
          <t>New Mexico Lobos</t>
        </is>
      </c>
      <c r="AS404" s="24" t="inlineStr">
        <is>
          <t>Oklahoma Sooners</t>
        </is>
      </c>
      <c r="AT404" s="24" t="inlineStr">
        <is>
          <t>Oklahoma Sooners</t>
        </is>
      </c>
      <c r="AU404" s="24" t="inlineStr">
        <is>
          <t>Oklahoma Sooners</t>
        </is>
      </c>
      <c r="AV404" s="24" t="n"/>
      <c r="AW404" s="24" t="n"/>
      <c r="AX404" s="24" t="inlineStr">
        <is>
          <t>statistical_model</t>
        </is>
      </c>
      <c r="AY404" s="24" t="n"/>
      <c r="AZ404" s="24" t="inlineStr">
        <is>
          <t>shadow_qualified</t>
        </is>
      </c>
      <c r="BA404" s="24" t="inlineStr">
        <is>
          <t>1d168f11d221cd3c</t>
        </is>
      </c>
      <c r="BB404" s="24" t="inlineStr">
        <is>
          <t>cfb_key_number_engine</t>
        </is>
      </c>
      <c r="BC404" s="24" t="inlineStr">
        <is>
          <t>college-football-v1</t>
        </is>
      </c>
      <c r="BD404" s="24" t="inlineStr">
        <is>
          <t>1d168f11d221cd3c</t>
        </is>
      </c>
      <c r="BE404" s="24" t="inlineStr">
        <is>
          <t>cfb-v1</t>
        </is>
      </c>
      <c r="BF404" s="24" t="inlineStr">
        <is>
          <t>1</t>
        </is>
      </c>
      <c r="BG404" s="24" t="inlineStr">
        <is>
          <t>1d168f11d221cd3c</t>
        </is>
      </c>
      <c r="BH404" s="24" t="inlineStr">
        <is>
          <t>2026-09-19T22:46:25.988423+00:00</t>
        </is>
      </c>
      <c r="BI404" s="24" t="inlineStr">
        <is>
          <t>["same_event","same_team_same_day","same_league_same_day"]</t>
        </is>
      </c>
      <c r="BJ404" s="25" t="n"/>
      <c r="BK404" s="26" t="n">
        <v>-2100</v>
      </c>
      <c r="BL404" s="27" t="n">
        <v>1.047619</v>
      </c>
      <c r="BM404" s="28" t="n">
        <v>0.954545</v>
      </c>
      <c r="BN404" s="28" t="n"/>
      <c r="BO404" s="28" t="n"/>
      <c r="BP404" s="25" t="n"/>
      <c r="BQ404" s="27" t="n"/>
      <c r="BR404" s="28" t="n"/>
      <c r="BS404" s="28" t="n"/>
      <c r="BT404" s="28" t="n"/>
      <c r="BU404" s="25" t="n"/>
      <c r="BV404" s="29" t="n"/>
      <c r="BW404" s="24" t="n"/>
      <c r="BX404" s="30" t="n">
        <v>1</v>
      </c>
      <c r="BY404" s="27" t="n">
        <v>0.047619</v>
      </c>
      <c r="BZ404" s="24" t="inlineStr">
        <is>
          <t>2026-09-20T04:32:02.321443Z</t>
        </is>
      </c>
      <c r="CA404" s="31" t="inlineStr">
        <is>
          <t>fixed one-unit hypothetical scoring; no real exposure or execution</t>
        </is>
      </c>
      <c r="CB404" s="24" t="n"/>
      <c r="CC404" s="24" t="n"/>
      <c r="CD404" s="24" t="n"/>
      <c r="CE404" s="24" t="n"/>
      <c r="CF404" s="24" t="n"/>
      <c r="CG404" s="24" t="n"/>
      <c r="CH404" s="24" t="n"/>
      <c r="CI404" s="24" t="n"/>
      <c r="CJ404" s="24" t="n"/>
      <c r="CK404" s="24" t="n"/>
      <c r="CL404" s="24" t="n"/>
      <c r="CM404" s="24" t="n"/>
      <c r="CN404" s="24" t="n"/>
      <c r="CO404" s="24" t="n"/>
      <c r="CP404" s="24" t="n"/>
      <c r="CQ404" s="24" t="n"/>
      <c r="CR404" s="24" t="n"/>
      <c r="CS404" s="24" t="inlineStr">
        <is>
          <t>False</t>
        </is>
      </c>
      <c r="CT404" s="24" t="n"/>
      <c r="CU404" s="24" t="n"/>
      <c r="CV404" s="24" t="n"/>
      <c r="CW404" s="24" t="n"/>
      <c r="CX404" s="24" t="n"/>
      <c r="CY404" s="24" t="n"/>
      <c r="CZ404" s="24" t="n"/>
      <c r="DA404" s="24" t="n"/>
      <c r="DB404" s="24" t="n"/>
      <c r="DC404" s="24" t="n"/>
      <c r="DD404" s="24" t="n"/>
      <c r="DE404" s="24" t="n"/>
      <c r="DF404" s="24" t="n"/>
      <c r="DG404" s="24" t="n"/>
      <c r="DH404" s="24" t="n"/>
      <c r="DI404" s="24" t="n"/>
      <c r="DJ404" s="24" t="inlineStr">
        <is>
          <t>0.954545</t>
        </is>
      </c>
      <c r="DK404" s="24" t="n"/>
      <c r="DL404" s="24" t="n"/>
      <c r="DM404" s="24" t="n"/>
      <c r="DN404" s="24" t="n"/>
      <c r="DO404" s="24" t="n"/>
      <c r="DP404" s="24" t="n"/>
      <c r="DQ404" s="24" t="inlineStr">
        <is>
          <t>{"artifact_hash": "1d168f11d221cd3c", "event_id": "401856690", "event_start_utc": "2026-09-19T23:30Z", "features": {"altitude_fatigue_penalty": 0.0, "away_team": "New Mexico Lobos", "efficiency_gap": 1.709, "elo_away": 1696.7, "elo_home": 1674.1, "elo_home_win_prob": 0.5607, "event_id": "401856690", "game_start_utc": "2026-09-19T23:30Z", "home_field_advantage_points": 2.8, "home_team": "Oklahoma Sooners", "is_dome": false, "is_fbs_vs_fcs": false, "is_neutral_site": false, "projected_away_points": 26.8, "projected_home_points": 29.0, "projected_margin_home": 2.2, "projected_possessions": 12.4, "projected_total": 55.8, "stadium_elevation_ft": 1170, "travel_distance_miles": 519.0, "uncertainty": 0.165, "weather_total_adjustment": 0.0}, "historical_source_observation_times_verified": false, "inference_inputs": {"engine_source_sha256": "449ba2f0e86fa9c445730076a0e0bf100fb4914620be53c75c6f3bfe24298f3f", "mu_away": 26.8, "mu_home": 29.0,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236571638184244228582564594121690968410}, "uinteger": 0}, "spread_home_line": -21.5, "total_line": 45.5}, "market_type": "moneyline", "model_version": "college-football-v1", "observed_at_utc": "2026-09-19T22:46:25.988423+00:00", "probabilities": {"away": 0.449269, "home": 0.550731}, "replay_scope": "Full precision score means, exact engine parameters and original RNG state; upstream feature construction not certified.", "schema": "cfb-joint-replay-v1", "snapshot_hash": "f80e112531b491c287211543f7a8094409e7bd2b1a2b5dc502a5826739028f61", "sport": "NCAAF"}</t>
        </is>
      </c>
    </row>
    <row r="405" ht="36" customHeight="1">
      <c r="A405" s="24" t="inlineStr">
        <is>
          <t>29927a823a7b485f</t>
        </is>
      </c>
      <c r="B405" s="24" t="inlineStr">
        <is>
          <t>2026-09-19T22:46:25.988423Z</t>
        </is>
      </c>
      <c r="C405" s="24" t="inlineStr">
        <is>
          <t>2026-09-19T23:30Z</t>
        </is>
      </c>
      <c r="D405" s="24" t="inlineStr">
        <is>
          <t>401856690</t>
        </is>
      </c>
      <c r="E405" s="24" t="inlineStr">
        <is>
          <t>NCAAF</t>
        </is>
      </c>
      <c r="F405" s="24" t="inlineStr">
        <is>
          <t>New Mexico Lobos</t>
        </is>
      </c>
      <c r="G405" s="24" t="inlineStr">
        <is>
          <t>Oklahoma Sooners</t>
        </is>
      </c>
      <c r="H405" s="24" t="inlineStr">
        <is>
          <t>spread</t>
        </is>
      </c>
      <c r="I405" s="24" t="inlineStr">
        <is>
          <t>away</t>
        </is>
      </c>
      <c r="J405" s="25" t="n">
        <v>21.5</v>
      </c>
      <c r="K405" s="24" t="inlineStr">
        <is>
          <t>espn_consensus</t>
        </is>
      </c>
      <c r="L405" s="26" t="n">
        <v>-118</v>
      </c>
      <c r="M405" s="27" t="n">
        <v>1.847458</v>
      </c>
      <c r="N405" s="28" t="n">
        <v>0.541284</v>
      </c>
      <c r="O405" s="28" t="n">
        <v>0.838333</v>
      </c>
      <c r="P405" s="28" t="n">
        <v>0.165</v>
      </c>
      <c r="Q405" s="28" t="n">
        <v>0.297049</v>
      </c>
      <c r="R405" s="26" t="n">
        <v>100</v>
      </c>
      <c r="S405" s="29" t="n">
        <v>2</v>
      </c>
      <c r="T405" s="24" t="inlineStr">
        <is>
          <t>cfb-spread-v1</t>
        </is>
      </c>
      <c r="U405" s="24" t="inlineStr">
        <is>
          <t>settled</t>
        </is>
      </c>
      <c r="V405" s="24" t="inlineStr">
        <is>
          <t>win</t>
        </is>
      </c>
      <c r="W405" s="26" t="n">
        <v>6</v>
      </c>
      <c r="X405" s="26" t="n">
        <v>14</v>
      </c>
      <c r="Y405" s="25" t="n"/>
      <c r="Z405" s="26" t="n"/>
      <c r="AA405" s="28" t="n"/>
      <c r="AB405" s="28" t="n"/>
      <c r="AC405" s="30" t="n">
        <v>1.6949</v>
      </c>
      <c r="AD405" s="24" t="inlineStr">
        <is>
          <t>2026-09-20T04:32:02.773726Z</t>
        </is>
      </c>
      <c r="AE405" s="31" t="inlineStr">
        <is>
          <t>Projected home margin +2.2 pts. Spread: Home -21.5 / Away +21.5 -&gt; P(Away cover)=0.838, P(Home cover)=0.162, P(Push)=0.000.</t>
        </is>
      </c>
      <c r="AF405" s="31" t="inlineStr">
        <is>
          <t>College football model; multi-market (moneyline, spread, total).</t>
        </is>
      </c>
      <c r="AG405" s="24" t="inlineStr">
        <is>
          <t>not_applicable</t>
        </is>
      </c>
      <c r="AH405" s="24" t="n"/>
      <c r="AI405" s="31" t="n"/>
      <c r="AJ405" s="31" t="n"/>
      <c r="AK405" s="24" t="inlineStr">
        <is>
          <t>model_qualified</t>
        </is>
      </c>
      <c r="AL405" s="26" t="n">
        <v>4</v>
      </c>
      <c r="AM405" s="24" t="inlineStr">
        <is>
          <t>QUALIFIED_SHADOW_CALL</t>
        </is>
      </c>
      <c r="AN405" s="24" t="inlineStr">
        <is>
          <t>CALL</t>
        </is>
      </c>
      <c r="AO405" s="24" t="inlineStr">
        <is>
          <t>QUALIFIED</t>
        </is>
      </c>
      <c r="AP405" s="24" t="inlineStr">
        <is>
          <t>New Mexico Lobos</t>
        </is>
      </c>
      <c r="AQ405" s="24" t="inlineStr">
        <is>
          <t>New Mexico Lobos</t>
        </is>
      </c>
      <c r="AR405" s="24" t="inlineStr">
        <is>
          <t>New Mexico Lobos</t>
        </is>
      </c>
      <c r="AS405" s="24" t="inlineStr">
        <is>
          <t>Oklahoma Sooners</t>
        </is>
      </c>
      <c r="AT405" s="24" t="inlineStr">
        <is>
          <t>Oklahoma Sooners</t>
        </is>
      </c>
      <c r="AU405" s="24" t="inlineStr">
        <is>
          <t>Oklahoma Sooners</t>
        </is>
      </c>
      <c r="AV405" s="24" t="n"/>
      <c r="AW405" s="24" t="n"/>
      <c r="AX405" s="24" t="inlineStr">
        <is>
          <t>statistical_model</t>
        </is>
      </c>
      <c r="AY405" s="24" t="n"/>
      <c r="AZ405" s="24" t="inlineStr">
        <is>
          <t>shadow_qualified</t>
        </is>
      </c>
      <c r="BA405" s="24" t="inlineStr">
        <is>
          <t>1d168f11d221cd3c</t>
        </is>
      </c>
      <c r="BB405" s="24" t="inlineStr">
        <is>
          <t>cfb_key_number_engine</t>
        </is>
      </c>
      <c r="BC405" s="24" t="inlineStr">
        <is>
          <t>cfb-spread-v1</t>
        </is>
      </c>
      <c r="BD405" s="24" t="inlineStr">
        <is>
          <t>1d168f11d221cd3c</t>
        </is>
      </c>
      <c r="BE405" s="24" t="inlineStr">
        <is>
          <t>cfb-v1</t>
        </is>
      </c>
      <c r="BF405" s="24" t="inlineStr">
        <is>
          <t>1</t>
        </is>
      </c>
      <c r="BG405" s="24" t="inlineStr">
        <is>
          <t>1d168f11d221cd3c</t>
        </is>
      </c>
      <c r="BH405" s="24" t="inlineStr">
        <is>
          <t>2026-09-19T22:46:25.988423+00:00</t>
        </is>
      </c>
      <c r="BI405" s="24" t="inlineStr">
        <is>
          <t>["same_event","same_team_same_day","same_league_same_day"]</t>
        </is>
      </c>
      <c r="BJ405" s="25" t="n">
        <v>21.5</v>
      </c>
      <c r="BK405" s="26" t="n">
        <v>-118</v>
      </c>
      <c r="BL405" s="27" t="n">
        <v>1.847458</v>
      </c>
      <c r="BM405" s="28" t="n">
        <v>0.541284</v>
      </c>
      <c r="BN405" s="28" t="n"/>
      <c r="BO405" s="28" t="n"/>
      <c r="BP405" s="25" t="n"/>
      <c r="BQ405" s="27" t="n"/>
      <c r="BR405" s="28" t="n"/>
      <c r="BS405" s="28" t="n"/>
      <c r="BT405" s="28" t="n"/>
      <c r="BU405" s="25" t="n"/>
      <c r="BV405" s="29" t="n"/>
      <c r="BW405" s="24" t="n"/>
      <c r="BX405" s="30" t="n"/>
      <c r="BY405" s="27" t="n"/>
      <c r="BZ405" s="24" t="n"/>
      <c r="CA405" s="31" t="n"/>
      <c r="CB405" s="24" t="n"/>
      <c r="CC405" s="24" t="n"/>
      <c r="CD405" s="24" t="n"/>
      <c r="CE405" s="24" t="n"/>
      <c r="CF405" s="24" t="n"/>
      <c r="CG405" s="24" t="n"/>
      <c r="CH405" s="24" t="n"/>
      <c r="CI405" s="24" t="n"/>
      <c r="CJ405" s="24" t="n"/>
      <c r="CK405" s="24" t="n"/>
      <c r="CL405" s="24" t="n"/>
      <c r="CM405" s="24" t="n"/>
      <c r="CN405" s="24" t="n"/>
      <c r="CO405" s="24" t="n"/>
      <c r="CP405" s="24" t="n"/>
      <c r="CQ405" s="24" t="n"/>
      <c r="CR405" s="24" t="n"/>
      <c r="CS405" s="24" t="inlineStr">
        <is>
          <t>True</t>
        </is>
      </c>
      <c r="CT405" s="24" t="n"/>
      <c r="CU405" s="24" t="n"/>
      <c r="CV405" s="24" t="n"/>
      <c r="CW405" s="24" t="n"/>
      <c r="CX405" s="24" t="n"/>
      <c r="CY405" s="24" t="n"/>
      <c r="CZ405" s="24" t="n"/>
      <c r="DA405" s="24" t="n"/>
      <c r="DB405" s="24" t="n"/>
      <c r="DC405" s="24" t="n"/>
      <c r="DD405" s="24" t="n"/>
      <c r="DE405" s="24" t="n"/>
      <c r="DF405" s="24" t="n"/>
      <c r="DG405" s="24" t="n"/>
      <c r="DH405" s="24" t="n"/>
      <c r="DI405" s="24" t="n"/>
      <c r="DJ405" s="24" t="inlineStr">
        <is>
          <t>0.541284</t>
        </is>
      </c>
      <c r="DK405" s="24" t="n"/>
      <c r="DL405" s="24" t="n"/>
      <c r="DM405" s="24" t="n"/>
      <c r="DN405" s="24" t="n"/>
      <c r="DO405" s="24" t="n"/>
      <c r="DP405" s="24" t="n"/>
      <c r="DQ405" s="24" t="inlineStr">
        <is>
          <t>{"artifact_hash": "1d168f11d221cd3c", "event_id": "401856690", "event_start_utc": "2026-09-19T23:30Z", "features": {"altitude_fatigue_penalty": 0.0, "away_team": "New Mexico Lobos", "efficiency_gap": 1.709, "elo_away": 1696.7, "elo_home": 1674.1, "elo_home_win_prob": 0.5607, "event_id": "401856690", "game_start_utc": "2026-09-19T23:30Z", "home_field_advantage_points": 2.8, "home_team": "Oklahoma Sooners", "is_dome": false, "is_fbs_vs_fcs": false, "is_neutral_site": false, "projected_away_points": 26.8, "projected_home_points": 29.0, "projected_margin_home": 2.2, "projected_possessions": 12.4, "projected_total": 55.8, "stadium_elevation_ft": 1170, "travel_distance_miles": 519.0, "uncertainty": 0.165, "weather_total_adjustment": 0.0}, "historical_source_observation_times_verified": false, "inference_inputs": {"engine_source_sha256": "449ba2f0e86fa9c445730076a0e0bf100fb4914620be53c75c6f3bfe24298f3f", "mu_away": 26.8, "mu_home": 29.0,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236571638184244228582564594121690968410}, "uinteger": 0}, "spread_home_line": -21.5, "total_line": 45.5}, "market_type": "spread", "model_version": "cfb-spread-v1", "observed_at_utc": "2026-09-19T22:46:25.988423+00:00", "probabilities": {"away": 0.838333, "home": 0.161667, "push": 0.0}, "replay_scope": "Full precision score means, exact engine parameters and original RNG state; upstream feature construction not certified.", "schema": "cfb-joint-replay-v1", "snapshot_hash": "4ec6f1c3cafbd50c6e3048c2fa31c3d90feaa4500101d66391f635418351dfe7", "sport": "NCAAF"}</t>
        </is>
      </c>
    </row>
    <row r="406" ht="36" customHeight="1">
      <c r="A406" s="24" t="inlineStr">
        <is>
          <t>ea9766e140e9499c</t>
        </is>
      </c>
      <c r="B406" s="24" t="inlineStr">
        <is>
          <t>2026-09-19T22:46:25.988423Z</t>
        </is>
      </c>
      <c r="C406" s="24" t="inlineStr">
        <is>
          <t>2026-09-19T23:30Z</t>
        </is>
      </c>
      <c r="D406" s="24" t="inlineStr">
        <is>
          <t>401856690</t>
        </is>
      </c>
      <c r="E406" s="24" t="inlineStr">
        <is>
          <t>NCAAF</t>
        </is>
      </c>
      <c r="F406" s="24" t="inlineStr">
        <is>
          <t>New Mexico Lobos</t>
        </is>
      </c>
      <c r="G406" s="24" t="inlineStr">
        <is>
          <t>Oklahoma Sooners</t>
        </is>
      </c>
      <c r="H406" s="24" t="inlineStr">
        <is>
          <t>total</t>
        </is>
      </c>
      <c r="I406" s="24" t="inlineStr">
        <is>
          <t>over</t>
        </is>
      </c>
      <c r="J406" s="25" t="n">
        <v>45.5</v>
      </c>
      <c r="K406" s="24" t="inlineStr">
        <is>
          <t>espn_consensus</t>
        </is>
      </c>
      <c r="L406" s="26" t="n">
        <v>-112</v>
      </c>
      <c r="M406" s="27" t="n">
        <v>1.892857</v>
      </c>
      <c r="N406" s="28" t="n">
        <v>0.528302</v>
      </c>
      <c r="O406" s="28" t="n">
        <v>0.643667</v>
      </c>
      <c r="P406" s="28" t="n">
        <v>0.165</v>
      </c>
      <c r="Q406" s="28" t="n">
        <v>0.115365</v>
      </c>
      <c r="R406" s="26" t="n">
        <v>9</v>
      </c>
      <c r="S406" s="29" t="n">
        <v>1</v>
      </c>
      <c r="T406" s="24" t="inlineStr">
        <is>
          <t>cfb-total-v1</t>
        </is>
      </c>
      <c r="U406" s="24" t="inlineStr">
        <is>
          <t>settled</t>
        </is>
      </c>
      <c r="V406" s="24" t="inlineStr">
        <is>
          <t>loss</t>
        </is>
      </c>
      <c r="W406" s="26" t="n">
        <v>6</v>
      </c>
      <c r="X406" s="26" t="n">
        <v>14</v>
      </c>
      <c r="Y406" s="25" t="n"/>
      <c r="Z406" s="26" t="n"/>
      <c r="AA406" s="28" t="n"/>
      <c r="AB406" s="28" t="n"/>
      <c r="AC406" s="30" t="n">
        <v>-1</v>
      </c>
      <c r="AD406" s="24" t="inlineStr">
        <is>
          <t>2026-09-20T04:32:03.268601Z</t>
        </is>
      </c>
      <c r="AE406" s="31" t="inlineStr">
        <is>
          <t>Projected total 55.8 pts (Weather adj: +0.0 pts). Total line 45.5 -&gt; P(Over)=0.644, P(Under)=0.356, P(Push)=0.000.</t>
        </is>
      </c>
      <c r="AF406" s="31" t="inlineStr">
        <is>
          <t>College football model; multi-market (moneyline, spread, total).</t>
        </is>
      </c>
      <c r="AG406" s="24" t="inlineStr">
        <is>
          <t>review_required</t>
        </is>
      </c>
      <c r="AH406" s="24" t="n"/>
      <c r="AI406" s="31" t="n"/>
      <c r="AJ406" s="31" t="n"/>
      <c r="AK406" s="24" t="inlineStr">
        <is>
          <t>model_qualified</t>
        </is>
      </c>
      <c r="AL406" s="26" t="n">
        <v>4</v>
      </c>
      <c r="AM406" s="24" t="inlineStr">
        <is>
          <t>QUALIFIED_SHADOW_CALL</t>
        </is>
      </c>
      <c r="AN406" s="24" t="inlineStr">
        <is>
          <t>CALL</t>
        </is>
      </c>
      <c r="AO406" s="24" t="inlineStr">
        <is>
          <t>QUALIFIED</t>
        </is>
      </c>
      <c r="AP406" s="24" t="inlineStr">
        <is>
          <t>New Mexico Lobos</t>
        </is>
      </c>
      <c r="AQ406" s="24" t="inlineStr">
        <is>
          <t>New Mexico Lobos</t>
        </is>
      </c>
      <c r="AR406" s="24" t="inlineStr">
        <is>
          <t>New Mexico Lobos</t>
        </is>
      </c>
      <c r="AS406" s="24" t="inlineStr">
        <is>
          <t>Oklahoma Sooners</t>
        </is>
      </c>
      <c r="AT406" s="24" t="inlineStr">
        <is>
          <t>Oklahoma Sooners</t>
        </is>
      </c>
      <c r="AU406" s="24" t="inlineStr">
        <is>
          <t>Oklahoma Sooners</t>
        </is>
      </c>
      <c r="AV406" s="24" t="n"/>
      <c r="AW406" s="24" t="n"/>
      <c r="AX406" s="24" t="inlineStr">
        <is>
          <t>statistical_model</t>
        </is>
      </c>
      <c r="AY406" s="24" t="n"/>
      <c r="AZ406" s="24" t="inlineStr">
        <is>
          <t>shadow_qualified</t>
        </is>
      </c>
      <c r="BA406" s="24" t="inlineStr">
        <is>
          <t>1d168f11d221cd3c</t>
        </is>
      </c>
      <c r="BB406" s="24" t="inlineStr">
        <is>
          <t>cfb_key_number_engine</t>
        </is>
      </c>
      <c r="BC406" s="24" t="inlineStr">
        <is>
          <t>cfb-total-v1</t>
        </is>
      </c>
      <c r="BD406" s="24" t="inlineStr">
        <is>
          <t>1d168f11d221cd3c</t>
        </is>
      </c>
      <c r="BE406" s="24" t="inlineStr">
        <is>
          <t>cfb-v1</t>
        </is>
      </c>
      <c r="BF406" s="24" t="inlineStr">
        <is>
          <t>1</t>
        </is>
      </c>
      <c r="BG406" s="24" t="inlineStr">
        <is>
          <t>1d168f11d221cd3c</t>
        </is>
      </c>
      <c r="BH406" s="24" t="inlineStr">
        <is>
          <t>2026-09-19T22:46:25.988423+00:00</t>
        </is>
      </c>
      <c r="BI406" s="24" t="inlineStr">
        <is>
          <t>["same_event","same_team_same_day","same_league_same_day"]</t>
        </is>
      </c>
      <c r="BJ406" s="25" t="n">
        <v>45.5</v>
      </c>
      <c r="BK406" s="26" t="n">
        <v>-112</v>
      </c>
      <c r="BL406" s="27" t="n">
        <v>1.892857</v>
      </c>
      <c r="BM406" s="28" t="n">
        <v>0.528302</v>
      </c>
      <c r="BN406" s="28" t="n"/>
      <c r="BO406" s="28" t="n"/>
      <c r="BP406" s="25" t="n"/>
      <c r="BQ406" s="27" t="n"/>
      <c r="BR406" s="28" t="n"/>
      <c r="BS406" s="28" t="n"/>
      <c r="BT406" s="28" t="n"/>
      <c r="BU406" s="25" t="n"/>
      <c r="BV406" s="29" t="n"/>
      <c r="BW406" s="24" t="n"/>
      <c r="BX406" s="30" t="n"/>
      <c r="BY406" s="27" t="n"/>
      <c r="BZ406" s="24" t="n"/>
      <c r="CA406" s="31" t="n"/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inlineStr">
        <is>
          <t>True</t>
        </is>
      </c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/>
      <c r="DH406" s="24" t="n"/>
      <c r="DI406" s="24" t="n"/>
      <c r="DJ406" s="24" t="inlineStr">
        <is>
          <t>0.528302</t>
        </is>
      </c>
      <c r="DK406" s="24" t="n"/>
      <c r="DL406" s="24" t="n"/>
      <c r="DM406" s="24" t="n"/>
      <c r="DN406" s="24" t="n"/>
      <c r="DO406" s="24" t="n"/>
      <c r="DP406" s="24" t="n"/>
      <c r="DQ406" s="24" t="inlineStr">
        <is>
          <t>{"artifact_hash": "1d168f11d221cd3c", "event_id": "401856690", "event_start_utc": "2026-09-19T23:30Z", "features": {"altitude_fatigue_penalty": 0.0, "away_team": "New Mexico Lobos", "efficiency_gap": 1.709, "elo_away": 1696.7, "elo_home": 1674.1, "elo_home_win_prob": 0.5607, "event_id": "401856690", "game_start_utc": "2026-09-19T23:30Z", "home_field_advantage_points": 2.8, "home_team": "Oklahoma Sooners", "is_dome": false, "is_fbs_vs_fcs": false, "is_neutral_site": false, "projected_away_points": 26.8, "projected_home_points": 29.0, "projected_margin_home": 2.2, "projected_possessions": 12.4, "projected_total": 55.8, "stadium_elevation_ft": 1170, "travel_distance_miles": 519.0, "uncertainty": 0.165, "weather_total_adjustment": 0.0}, "historical_source_observation_times_verified": false, "inference_inputs": {"engine_source_sha256": "449ba2f0e86fa9c445730076a0e0bf100fb4914620be53c75c6f3bfe24298f3f", "mu_away": 26.8, "mu_home": 29.0,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236571638184244228582564594121690968410}, "uinteger": 0}, "spread_home_line": -21.5, "total_line": 45.5}, "market_type": "total", "model_version": "cfb-total-v1", "observed_at_utc": "2026-09-19T22:46:25.988423+00:00", "probabilities": {"over": 0.643667, "push": 0.0, "under": 0.356333}, "replay_scope": "Full precision score means, exact engine parameters and original RNG state; upstream feature construction not certified.", "schema": "cfb-joint-replay-v1", "snapshot_hash": "de8da6794b8bd63dba4787fa4878aca49ce05d99a74c73fa6fc92b81982da1f6", "sport": "NCAAF"}</t>
        </is>
      </c>
    </row>
    <row r="407" ht="36" customHeight="1">
      <c r="A407" s="24" t="inlineStr">
        <is>
          <t>dba83c6fffa94495</t>
        </is>
      </c>
      <c r="B407" s="24" t="inlineStr">
        <is>
          <t>2026-09-19T22:46:25.988423Z</t>
        </is>
      </c>
      <c r="C407" s="24" t="inlineStr">
        <is>
          <t>2026-09-19T23:30Z</t>
        </is>
      </c>
      <c r="D407" s="24" t="inlineStr">
        <is>
          <t>401856802</t>
        </is>
      </c>
      <c r="E407" s="24" t="inlineStr">
        <is>
          <t>NCAAF</t>
        </is>
      </c>
      <c r="F407" s="24" t="inlineStr">
        <is>
          <t>West Virginia Mountaineers</t>
        </is>
      </c>
      <c r="G407" s="24" t="inlineStr">
        <is>
          <t>Virginia Cavaliers</t>
        </is>
      </c>
      <c r="H407" s="24" t="inlineStr">
        <is>
          <t>moneyline</t>
        </is>
      </c>
      <c r="I407" s="24" t="inlineStr">
        <is>
          <t>home</t>
        </is>
      </c>
      <c r="J407" s="25" t="n"/>
      <c r="K407" s="24" t="inlineStr">
        <is>
          <t>espn_consensus</t>
        </is>
      </c>
      <c r="L407" s="26" t="n">
        <v>-410</v>
      </c>
      <c r="M407" s="27" t="n">
        <v>1.243902</v>
      </c>
      <c r="N407" s="28" t="n">
        <v>0.803922</v>
      </c>
      <c r="O407" s="28" t="n">
        <v>0.748795</v>
      </c>
      <c r="P407" s="28" t="n">
        <v>0.165</v>
      </c>
      <c r="Q407" s="28" t="n">
        <v>-0.055127</v>
      </c>
      <c r="R407" s="26" t="n">
        <v>0</v>
      </c>
      <c r="S407" s="29" t="n">
        <v>1</v>
      </c>
      <c r="T407" s="24" t="inlineStr">
        <is>
          <t>college-football-v1</t>
        </is>
      </c>
      <c r="U407" s="24" t="inlineStr">
        <is>
          <t>settled</t>
        </is>
      </c>
      <c r="V407" s="24" t="inlineStr">
        <is>
          <t>loss</t>
        </is>
      </c>
      <c r="W407" s="26" t="n">
        <v>38</v>
      </c>
      <c r="X407" s="26" t="n">
        <v>27</v>
      </c>
      <c r="Y407" s="25" t="n"/>
      <c r="Z407" s="26" t="n"/>
      <c r="AA407" s="28" t="n"/>
      <c r="AB407" s="28" t="n"/>
      <c r="AC407" s="30" t="n">
        <v>-1</v>
      </c>
      <c r="AD407" s="24" t="inlineStr">
        <is>
          <t>2026-09-20T04:32:03.840466Z</t>
        </is>
      </c>
      <c r="AE407" s="31" t="inlineStr">
        <is>
          <t>CFB Joint Model (negative_binomial): proj score West Virginia Mountaineers 21.1 @ Virginia Cavaliers 33.8 (Margin +12.7). Possessions: 12.4, HFA: +0.0 pts.</t>
        </is>
      </c>
      <c r="AF407" s="31" t="inlineStr">
        <is>
          <t>College football model; multi-market (moneyline, spread, total).</t>
        </is>
      </c>
      <c r="AG407" s="24" t="inlineStr">
        <is>
          <t>review_required</t>
        </is>
      </c>
      <c r="AH407" s="24" t="n"/>
      <c r="AI407" s="31" t="n"/>
      <c r="AJ407" s="31" t="n"/>
      <c r="AK407" s="24" t="inlineStr">
        <is>
          <t>paper_call</t>
        </is>
      </c>
      <c r="AL407" s="26" t="n">
        <v>4</v>
      </c>
      <c r="AM407" s="24" t="inlineStr">
        <is>
          <t>RESEARCH_OBSERVATION</t>
        </is>
      </c>
      <c r="AN407" s="24" t="inlineStr">
        <is>
          <t>CALL</t>
        </is>
      </c>
      <c r="AO407" s="24" t="inlineStr">
        <is>
          <t>PAPER_CALL_LOW_EDGE</t>
        </is>
      </c>
      <c r="AP407" s="24" t="inlineStr">
        <is>
          <t>West Virginia Mountaineers</t>
        </is>
      </c>
      <c r="AQ407" s="24" t="inlineStr">
        <is>
          <t>West Virginia Mountaineers</t>
        </is>
      </c>
      <c r="AR407" s="24" t="inlineStr">
        <is>
          <t>West Virginia Mountaineers</t>
        </is>
      </c>
      <c r="AS407" s="24" t="inlineStr">
        <is>
          <t>Virginia Cavaliers</t>
        </is>
      </c>
      <c r="AT407" s="24" t="inlineStr">
        <is>
          <t>Virginia Cavaliers</t>
        </is>
      </c>
      <c r="AU407" s="24" t="inlineStr">
        <is>
          <t>Virginia Cavaliers</t>
        </is>
      </c>
      <c r="AV407" s="24" t="n"/>
      <c r="AW407" s="24" t="n"/>
      <c r="AX407" s="24" t="inlineStr">
        <is>
          <t>statistical_model</t>
        </is>
      </c>
      <c r="AY407" s="24" t="n"/>
      <c r="AZ407" s="24" t="inlineStr">
        <is>
          <t>shadow_qualified</t>
        </is>
      </c>
      <c r="BA407" s="24" t="inlineStr">
        <is>
          <t>1d168f11d221cd3c</t>
        </is>
      </c>
      <c r="BB407" s="24" t="inlineStr">
        <is>
          <t>cfb_key_number_engine</t>
        </is>
      </c>
      <c r="BC407" s="24" t="inlineStr">
        <is>
          <t>college-football-v1</t>
        </is>
      </c>
      <c r="BD407" s="24" t="inlineStr">
        <is>
          <t>1d168f11d221cd3c</t>
        </is>
      </c>
      <c r="BE407" s="24" t="inlineStr">
        <is>
          <t>cfb-v1</t>
        </is>
      </c>
      <c r="BF407" s="24" t="inlineStr">
        <is>
          <t>1</t>
        </is>
      </c>
      <c r="BG407" s="24" t="inlineStr">
        <is>
          <t>1d168f11d221cd3c</t>
        </is>
      </c>
      <c r="BH407" s="24" t="inlineStr">
        <is>
          <t>2026-09-19T22:46:25.988423+00:00</t>
        </is>
      </c>
      <c r="BI407" s="24" t="inlineStr">
        <is>
          <t>["same_event","same_team_same_day","same_league_same_day"]</t>
        </is>
      </c>
      <c r="BJ407" s="25" t="n"/>
      <c r="BK407" s="26" t="n">
        <v>-410</v>
      </c>
      <c r="BL407" s="27" t="n">
        <v>1.243902</v>
      </c>
      <c r="BM407" s="28" t="n">
        <v>0.803922</v>
      </c>
      <c r="BN407" s="28" t="n"/>
      <c r="BO407" s="28" t="n"/>
      <c r="BP407" s="25" t="n"/>
      <c r="BQ407" s="27" t="n"/>
      <c r="BR407" s="28" t="n"/>
      <c r="BS407" s="28" t="n"/>
      <c r="BT407" s="28" t="n"/>
      <c r="BU407" s="25" t="n"/>
      <c r="BV407" s="29" t="n"/>
      <c r="BW407" s="24" t="n"/>
      <c r="BX407" s="30" t="n">
        <v>1</v>
      </c>
      <c r="BY407" s="27" t="n">
        <v>-1</v>
      </c>
      <c r="BZ407" s="24" t="inlineStr">
        <is>
          <t>2026-09-20T04:32:03.840466Z</t>
        </is>
      </c>
      <c r="CA407" s="31" t="inlineStr">
        <is>
          <t>fixed one-unit hypothetical scoring; no real exposure or execution</t>
        </is>
      </c>
      <c r="CB407" s="24" t="n"/>
      <c r="CC407" s="24" t="n"/>
      <c r="CD407" s="24" t="n"/>
      <c r="CE407" s="24" t="n"/>
      <c r="CF407" s="24" t="n"/>
      <c r="CG407" s="24" t="n"/>
      <c r="CH407" s="24" t="n"/>
      <c r="CI407" s="24" t="n"/>
      <c r="CJ407" s="24" t="n"/>
      <c r="CK407" s="24" t="n"/>
      <c r="CL407" s="24" t="n"/>
      <c r="CM407" s="24" t="n"/>
      <c r="CN407" s="24" t="n"/>
      <c r="CO407" s="24" t="n"/>
      <c r="CP407" s="24" t="n"/>
      <c r="CQ407" s="24" t="n"/>
      <c r="CR407" s="24" t="n"/>
      <c r="CS407" s="24" t="inlineStr">
        <is>
          <t>False</t>
        </is>
      </c>
      <c r="CT407" s="24" t="n"/>
      <c r="CU407" s="24" t="n"/>
      <c r="CV407" s="24" t="n"/>
      <c r="CW407" s="24" t="n"/>
      <c r="CX407" s="24" t="n"/>
      <c r="CY407" s="24" t="n"/>
      <c r="CZ407" s="24" t="n"/>
      <c r="DA407" s="24" t="n"/>
      <c r="DB407" s="24" t="n"/>
      <c r="DC407" s="24" t="n"/>
      <c r="DD407" s="24" t="n"/>
      <c r="DE407" s="24" t="n"/>
      <c r="DF407" s="24" t="n"/>
      <c r="DG407" s="24" t="n"/>
      <c r="DH407" s="24" t="n"/>
      <c r="DI407" s="24" t="n"/>
      <c r="DJ407" s="24" t="inlineStr">
        <is>
          <t>0.803922</t>
        </is>
      </c>
      <c r="DK407" s="24" t="n"/>
      <c r="DL407" s="24" t="n"/>
      <c r="DM407" s="24" t="n"/>
      <c r="DN407" s="24" t="n"/>
      <c r="DO407" s="24" t="n"/>
      <c r="DP407" s="24" t="n"/>
      <c r="DQ407" s="24" t="inlineStr">
        <is>
          <t>{"artifact_hash": "1d168f11d221cd3c", "event_id": "401856802", "event_start_utc": "2026-09-19T23:30Z", "features": {"altitude_fatigue_penalty": 0.0, "away_team": "West Virginia Mountaineers", "efficiency_gap": 0.484, "elo_away": 1375.6, "elo_home": 1696.3, "elo_home_win_prob": 0.8637, "event_id": "401856802", "game_start_utc": "2026-09-19T23:30Z", "home_field_advantage_points": 0.0, "home_team": "Virginia Cavaliers", "is_dome": false, "is_fbs_vs_fcs": false, "is_neutral_site": true, "projected_away_points": 21.1, "projected_home_points": 33.8, "projected_margin_home": 12.7, "projected_possessions": 12.4, "projected_total": 54.9, "stadium_elevation_ft": 500.0, "travel_distance_miles": 0.0, "uncertainty": 0.165, "weather_total_adjustment": 0.0}, "historical_source_observation_times_verified": false, "inference_inputs": {"engine_source_sha256": "449ba2f0e86fa9c445730076a0e0bf100fb4914620be53c75c6f3bfe24298f3f", "mu_away": 21.1, "mu_home": 33.8,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186340531548899992841386064580064173908}, "uinteger": 0}, "spread_home_line": -10.5, "total_line": 51.5}, "market_type": "moneyline", "model_version": "college-football-v1", "observed_at_utc": "2026-09-19T22:46:25.988423+00:00", "probabilities": {"away": 0.251205, "home": 0.748795}, "replay_scope": "Full precision score means, exact engine parameters and original RNG state; upstream feature construction not certified.", "schema": "cfb-joint-replay-v1", "snapshot_hash": "e0b8c940d34ca6fe62a1002ec9382999273b4ad81b037bf59e4626c772ca5574", "sport": "NCAAF"}</t>
        </is>
      </c>
    </row>
    <row r="408" ht="36" customHeight="1">
      <c r="A408" s="24" t="inlineStr">
        <is>
          <t>daafae7ff2bb4e7e</t>
        </is>
      </c>
      <c r="B408" s="24" t="inlineStr">
        <is>
          <t>2026-09-19T22:46:25.988423Z</t>
        </is>
      </c>
      <c r="C408" s="24" t="inlineStr">
        <is>
          <t>2026-09-19T23:30Z</t>
        </is>
      </c>
      <c r="D408" s="24" t="inlineStr">
        <is>
          <t>401856802</t>
        </is>
      </c>
      <c r="E408" s="24" t="inlineStr">
        <is>
          <t>NCAAF</t>
        </is>
      </c>
      <c r="F408" s="24" t="inlineStr">
        <is>
          <t>West Virginia Mountaineers</t>
        </is>
      </c>
      <c r="G408" s="24" t="inlineStr">
        <is>
          <t>Virginia Cavaliers</t>
        </is>
      </c>
      <c r="H408" s="24" t="inlineStr">
        <is>
          <t>spread</t>
        </is>
      </c>
      <c r="I408" s="24" t="inlineStr">
        <is>
          <t>home</t>
        </is>
      </c>
      <c r="J408" s="25" t="n">
        <v>-10.5</v>
      </c>
      <c r="K408" s="24" t="inlineStr">
        <is>
          <t>espn_consensus</t>
        </is>
      </c>
      <c r="L408" s="26" t="n">
        <v>-112</v>
      </c>
      <c r="M408" s="27" t="n">
        <v>1.892857</v>
      </c>
      <c r="N408" s="28" t="n">
        <v>0.528302</v>
      </c>
      <c r="O408" s="28" t="n">
        <v>0.550733</v>
      </c>
      <c r="P408" s="28" t="n">
        <v>0.165</v>
      </c>
      <c r="Q408" s="28" t="n">
        <v>0.022431</v>
      </c>
      <c r="R408" s="26" t="n">
        <v>0</v>
      </c>
      <c r="S408" s="29" t="n">
        <v>1</v>
      </c>
      <c r="T408" s="24" t="inlineStr">
        <is>
          <t>cfb-spread-v1</t>
        </is>
      </c>
      <c r="U408" s="24" t="inlineStr">
        <is>
          <t>settled</t>
        </is>
      </c>
      <c r="V408" s="24" t="inlineStr">
        <is>
          <t>loss</t>
        </is>
      </c>
      <c r="W408" s="26" t="n">
        <v>38</v>
      </c>
      <c r="X408" s="26" t="n">
        <v>27</v>
      </c>
      <c r="Y408" s="25" t="n"/>
      <c r="Z408" s="26" t="n"/>
      <c r="AA408" s="28" t="n"/>
      <c r="AB408" s="28" t="n"/>
      <c r="AC408" s="30" t="n">
        <v>-1</v>
      </c>
      <c r="AD408" s="24" t="inlineStr">
        <is>
          <t>2026-09-20T04:32:04.290307Z</t>
        </is>
      </c>
      <c r="AE408" s="31" t="inlineStr">
        <is>
          <t>Projected home margin +12.7 pts. Spread: Home -10.5 / Away +10.5 -&gt; P(Away cover)=0.449, P(Home cover)=0.551, P(Push)=0.000.</t>
        </is>
      </c>
      <c r="AF408" s="31" t="inlineStr">
        <is>
          <t>College football model; multi-market (moneyline, spread, total).</t>
        </is>
      </c>
      <c r="AG408" s="24" t="inlineStr">
        <is>
          <t>review_required</t>
        </is>
      </c>
      <c r="AH408" s="24" t="n"/>
      <c r="AI408" s="31" t="n"/>
      <c r="AJ408" s="31" t="n"/>
      <c r="AK408" s="24" t="inlineStr">
        <is>
          <t>paper_call</t>
        </is>
      </c>
      <c r="AL408" s="26" t="n">
        <v>4</v>
      </c>
      <c r="AM408" s="24" t="inlineStr">
        <is>
          <t>RESEARCH_OBSERVATION</t>
        </is>
      </c>
      <c r="AN408" s="24" t="inlineStr">
        <is>
          <t>CALL</t>
        </is>
      </c>
      <c r="AO408" s="24" t="inlineStr">
        <is>
          <t>PAPER_CALL_LOW_EDGE</t>
        </is>
      </c>
      <c r="AP408" s="24" t="inlineStr">
        <is>
          <t>West Virginia Mountaineers</t>
        </is>
      </c>
      <c r="AQ408" s="24" t="inlineStr">
        <is>
          <t>West Virginia Mountaineers</t>
        </is>
      </c>
      <c r="AR408" s="24" t="inlineStr">
        <is>
          <t>West Virginia Mountaineers</t>
        </is>
      </c>
      <c r="AS408" s="24" t="inlineStr">
        <is>
          <t>Virginia Cavaliers</t>
        </is>
      </c>
      <c r="AT408" s="24" t="inlineStr">
        <is>
          <t>Virginia Cavaliers</t>
        </is>
      </c>
      <c r="AU408" s="24" t="inlineStr">
        <is>
          <t>Virginia Cavaliers</t>
        </is>
      </c>
      <c r="AV408" s="24" t="n"/>
      <c r="AW408" s="24" t="n"/>
      <c r="AX408" s="24" t="inlineStr">
        <is>
          <t>statistical_model</t>
        </is>
      </c>
      <c r="AY408" s="24" t="n"/>
      <c r="AZ408" s="24" t="inlineStr">
        <is>
          <t>shadow_qualified</t>
        </is>
      </c>
      <c r="BA408" s="24" t="inlineStr">
        <is>
          <t>1d168f11d221cd3c</t>
        </is>
      </c>
      <c r="BB408" s="24" t="inlineStr">
        <is>
          <t>cfb_key_number_engine</t>
        </is>
      </c>
      <c r="BC408" s="24" t="inlineStr">
        <is>
          <t>cfb-spread-v1</t>
        </is>
      </c>
      <c r="BD408" s="24" t="inlineStr">
        <is>
          <t>1d168f11d221cd3c</t>
        </is>
      </c>
      <c r="BE408" s="24" t="inlineStr">
        <is>
          <t>cfb-v1</t>
        </is>
      </c>
      <c r="BF408" s="24" t="inlineStr">
        <is>
          <t>1</t>
        </is>
      </c>
      <c r="BG408" s="24" t="inlineStr">
        <is>
          <t>1d168f11d221cd3c</t>
        </is>
      </c>
      <c r="BH408" s="24" t="inlineStr">
        <is>
          <t>2026-09-19T22:46:25.988423+00:00</t>
        </is>
      </c>
      <c r="BI408" s="24" t="inlineStr">
        <is>
          <t>["same_event","same_team_same_day","same_league_same_day"]</t>
        </is>
      </c>
      <c r="BJ408" s="25" t="n">
        <v>-10.5</v>
      </c>
      <c r="BK408" s="26" t="n">
        <v>-112</v>
      </c>
      <c r="BL408" s="27" t="n">
        <v>1.892857</v>
      </c>
      <c r="BM408" s="28" t="n">
        <v>0.528302</v>
      </c>
      <c r="BN408" s="28" t="n"/>
      <c r="BO408" s="28" t="n"/>
      <c r="BP408" s="25" t="n"/>
      <c r="BQ408" s="27" t="n"/>
      <c r="BR408" s="28" t="n"/>
      <c r="BS408" s="28" t="n"/>
      <c r="BT408" s="28" t="n"/>
      <c r="BU408" s="25" t="n"/>
      <c r="BV408" s="29" t="n"/>
      <c r="BW408" s="24" t="n"/>
      <c r="BX408" s="30" t="n">
        <v>1</v>
      </c>
      <c r="BY408" s="27" t="n">
        <v>-1</v>
      </c>
      <c r="BZ408" s="24" t="inlineStr">
        <is>
          <t>2026-09-20T04:32:04.290307Z</t>
        </is>
      </c>
      <c r="CA408" s="31" t="inlineStr">
        <is>
          <t>fixed one-unit hypothetical scoring; no real exposure or execution</t>
        </is>
      </c>
      <c r="CB408" s="24" t="n"/>
      <c r="CC408" s="24" t="n"/>
      <c r="CD408" s="24" t="n"/>
      <c r="CE408" s="24" t="n"/>
      <c r="CF408" s="24" t="n"/>
      <c r="CG408" s="24" t="n"/>
      <c r="CH408" s="24" t="n"/>
      <c r="CI408" s="24" t="n"/>
      <c r="CJ408" s="24" t="n"/>
      <c r="CK408" s="24" t="n"/>
      <c r="CL408" s="24" t="n"/>
      <c r="CM408" s="24" t="n"/>
      <c r="CN408" s="24" t="n"/>
      <c r="CO408" s="24" t="n"/>
      <c r="CP408" s="24" t="n"/>
      <c r="CQ408" s="24" t="n"/>
      <c r="CR408" s="24" t="n"/>
      <c r="CS408" s="24" t="inlineStr">
        <is>
          <t>True</t>
        </is>
      </c>
      <c r="CT408" s="24" t="n"/>
      <c r="CU408" s="24" t="n"/>
      <c r="CV408" s="24" t="n"/>
      <c r="CW408" s="24" t="n"/>
      <c r="CX408" s="24" t="n"/>
      <c r="CY408" s="24" t="n"/>
      <c r="CZ408" s="24" t="n"/>
      <c r="DA408" s="24" t="n"/>
      <c r="DB408" s="24" t="n"/>
      <c r="DC408" s="24" t="n"/>
      <c r="DD408" s="24" t="n"/>
      <c r="DE408" s="24" t="n"/>
      <c r="DF408" s="24" t="n"/>
      <c r="DG408" s="24" t="n"/>
      <c r="DH408" s="24" t="n"/>
      <c r="DI408" s="24" t="n"/>
      <c r="DJ408" s="24" t="inlineStr">
        <is>
          <t>0.528302</t>
        </is>
      </c>
      <c r="DK408" s="24" t="n"/>
      <c r="DL408" s="24" t="n"/>
      <c r="DM408" s="24" t="n"/>
      <c r="DN408" s="24" t="n"/>
      <c r="DO408" s="24" t="n"/>
      <c r="DP408" s="24" t="n"/>
      <c r="DQ408" s="24" t="inlineStr">
        <is>
          <t>{"artifact_hash": "1d168f11d221cd3c", "event_id": "401856802", "event_start_utc": "2026-09-19T23:30Z", "features": {"altitude_fatigue_penalty": 0.0, "away_team": "West Virginia Mountaineers", "efficiency_gap": 0.484, "elo_away": 1375.6, "elo_home": 1696.3, "elo_home_win_prob": 0.8637, "event_id": "401856802", "game_start_utc": "2026-09-19T23:30Z", "home_field_advantage_points": 0.0, "home_team": "Virginia Cavaliers", "is_dome": false, "is_fbs_vs_fcs": false, "is_neutral_site": true, "projected_away_points": 21.1, "projected_home_points": 33.8, "projected_margin_home": 12.7, "projected_possessions": 12.4, "projected_total": 54.9, "stadium_elevation_ft": 500.0, "travel_distance_miles": 0.0, "uncertainty": 0.165, "weather_total_adjustment": 0.0}, "historical_source_observation_times_verified": false, "inference_inputs": {"engine_source_sha256": "449ba2f0e86fa9c445730076a0e0bf100fb4914620be53c75c6f3bfe24298f3f", "mu_away": 21.1, "mu_home": 33.8,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186340531548899992841386064580064173908}, "uinteger": 0}, "spread_home_line": -10.5, "total_line": 51.5}, "market_type": "spread", "model_version": "cfb-spread-v1", "observed_at_utc": "2026-09-19T22:46:25.988423+00:00", "probabilities": {"away": 0.449267, "home": 0.550733, "push": 0.0}, "replay_scope": "Full precision score means, exact engine parameters and original RNG state; upstream feature construction not certified.", "schema": "cfb-joint-replay-v1", "snapshot_hash": "9bdebde81dfef5f53023a6ac9931e2c2ce2c4263500319bb7195bea3512208dc", "sport": "NCAAF"}</t>
        </is>
      </c>
    </row>
    <row r="409" ht="36" customHeight="1">
      <c r="A409" s="24" t="inlineStr">
        <is>
          <t>d760f8327afa48d5</t>
        </is>
      </c>
      <c r="B409" s="24" t="inlineStr">
        <is>
          <t>2026-09-19T22:46:25.988423Z</t>
        </is>
      </c>
      <c r="C409" s="24" t="inlineStr">
        <is>
          <t>2026-09-19T23:30Z</t>
        </is>
      </c>
      <c r="D409" s="24" t="inlineStr">
        <is>
          <t>401856802</t>
        </is>
      </c>
      <c r="E409" s="24" t="inlineStr">
        <is>
          <t>NCAAF</t>
        </is>
      </c>
      <c r="F409" s="24" t="inlineStr">
        <is>
          <t>West Virginia Mountaineers</t>
        </is>
      </c>
      <c r="G409" s="24" t="inlineStr">
        <is>
          <t>Virginia Cavaliers</t>
        </is>
      </c>
      <c r="H409" s="24" t="inlineStr">
        <is>
          <t>total</t>
        </is>
      </c>
      <c r="I409" s="24" t="inlineStr">
        <is>
          <t>over</t>
        </is>
      </c>
      <c r="J409" s="25" t="n">
        <v>51.5</v>
      </c>
      <c r="K409" s="24" t="inlineStr">
        <is>
          <t>espn_consensus</t>
        </is>
      </c>
      <c r="L409" s="26" t="n">
        <v>-112</v>
      </c>
      <c r="M409" s="27" t="n">
        <v>1.892857</v>
      </c>
      <c r="N409" s="28" t="n">
        <v>0.528302</v>
      </c>
      <c r="O409" s="28" t="n">
        <v>0.524333</v>
      </c>
      <c r="P409" s="28" t="n">
        <v>0.165</v>
      </c>
      <c r="Q409" s="28" t="n">
        <v>-0.003969</v>
      </c>
      <c r="R409" s="26" t="n">
        <v>0</v>
      </c>
      <c r="S409" s="29" t="n">
        <v>1</v>
      </c>
      <c r="T409" s="24" t="inlineStr">
        <is>
          <t>cfb-total-v1</t>
        </is>
      </c>
      <c r="U409" s="24" t="inlineStr">
        <is>
          <t>settled</t>
        </is>
      </c>
      <c r="V409" s="24" t="inlineStr">
        <is>
          <t>win</t>
        </is>
      </c>
      <c r="W409" s="26" t="n">
        <v>38</v>
      </c>
      <c r="X409" s="26" t="n">
        <v>27</v>
      </c>
      <c r="Y409" s="25" t="n"/>
      <c r="Z409" s="26" t="n"/>
      <c r="AA409" s="28" t="n"/>
      <c r="AB409" s="28" t="n"/>
      <c r="AC409" s="30" t="n">
        <v>0.8929</v>
      </c>
      <c r="AD409" s="24" t="inlineStr">
        <is>
          <t>2026-09-20T04:32:04.790529Z</t>
        </is>
      </c>
      <c r="AE409" s="31" t="inlineStr">
        <is>
          <t>Projected total 54.9 pts (Weather adj: +0.0 pts). Total line 51.5 -&gt; P(Over)=0.524, P(Under)=0.476, P(Push)=0.000.</t>
        </is>
      </c>
      <c r="AF409" s="31" t="inlineStr">
        <is>
          <t>College football model; multi-market (moneyline, spread, total).</t>
        </is>
      </c>
      <c r="AG409" s="24" t="inlineStr">
        <is>
          <t>not_applicable</t>
        </is>
      </c>
      <c r="AH409" s="24" t="n"/>
      <c r="AI409" s="31" t="n"/>
      <c r="AJ409" s="31" t="n"/>
      <c r="AK409" s="24" t="inlineStr">
        <is>
          <t>paper_call</t>
        </is>
      </c>
      <c r="AL409" s="26" t="n">
        <v>4</v>
      </c>
      <c r="AM409" s="24" t="inlineStr">
        <is>
          <t>RESEARCH_OBSERVATION</t>
        </is>
      </c>
      <c r="AN409" s="24" t="inlineStr">
        <is>
          <t>CALL</t>
        </is>
      </c>
      <c r="AO409" s="24" t="inlineStr">
        <is>
          <t>PAPER_CALL_LOW_EDGE</t>
        </is>
      </c>
      <c r="AP409" s="24" t="inlineStr">
        <is>
          <t>West Virginia Mountaineers</t>
        </is>
      </c>
      <c r="AQ409" s="24" t="inlineStr">
        <is>
          <t>West Virginia Mountaineers</t>
        </is>
      </c>
      <c r="AR409" s="24" t="inlineStr">
        <is>
          <t>West Virginia Mountaineers</t>
        </is>
      </c>
      <c r="AS409" s="24" t="inlineStr">
        <is>
          <t>Virginia Cavaliers</t>
        </is>
      </c>
      <c r="AT409" s="24" t="inlineStr">
        <is>
          <t>Virginia Cavaliers</t>
        </is>
      </c>
      <c r="AU409" s="24" t="inlineStr">
        <is>
          <t>Virginia Cavaliers</t>
        </is>
      </c>
      <c r="AV409" s="24" t="n"/>
      <c r="AW409" s="24" t="n"/>
      <c r="AX409" s="24" t="inlineStr">
        <is>
          <t>statistical_model</t>
        </is>
      </c>
      <c r="AY409" s="24" t="n"/>
      <c r="AZ409" s="24" t="inlineStr">
        <is>
          <t>shadow_qualified</t>
        </is>
      </c>
      <c r="BA409" s="24" t="inlineStr">
        <is>
          <t>1d168f11d221cd3c</t>
        </is>
      </c>
      <c r="BB409" s="24" t="inlineStr">
        <is>
          <t>cfb_key_number_engine</t>
        </is>
      </c>
      <c r="BC409" s="24" t="inlineStr">
        <is>
          <t>cfb-total-v1</t>
        </is>
      </c>
      <c r="BD409" s="24" t="inlineStr">
        <is>
          <t>1d168f11d221cd3c</t>
        </is>
      </c>
      <c r="BE409" s="24" t="inlineStr">
        <is>
          <t>cfb-v1</t>
        </is>
      </c>
      <c r="BF409" s="24" t="inlineStr">
        <is>
          <t>1</t>
        </is>
      </c>
      <c r="BG409" s="24" t="inlineStr">
        <is>
          <t>1d168f11d221cd3c</t>
        </is>
      </c>
      <c r="BH409" s="24" t="inlineStr">
        <is>
          <t>2026-09-19T22:46:25.988423+00:00</t>
        </is>
      </c>
      <c r="BI409" s="24" t="inlineStr">
        <is>
          <t>["same_event","same_team_same_day","same_league_same_day"]</t>
        </is>
      </c>
      <c r="BJ409" s="25" t="n">
        <v>51.5</v>
      </c>
      <c r="BK409" s="26" t="n">
        <v>-112</v>
      </c>
      <c r="BL409" s="27" t="n">
        <v>1.892857</v>
      </c>
      <c r="BM409" s="28" t="n">
        <v>0.528302</v>
      </c>
      <c r="BN409" s="28" t="n"/>
      <c r="BO409" s="28" t="n"/>
      <c r="BP409" s="25" t="n"/>
      <c r="BQ409" s="27" t="n"/>
      <c r="BR409" s="28" t="n"/>
      <c r="BS409" s="28" t="n"/>
      <c r="BT409" s="28" t="n"/>
      <c r="BU409" s="25" t="n"/>
      <c r="BV409" s="29" t="n"/>
      <c r="BW409" s="24" t="n"/>
      <c r="BX409" s="30" t="n">
        <v>1</v>
      </c>
      <c r="BY409" s="27" t="n">
        <v>0.892857</v>
      </c>
      <c r="BZ409" s="24" t="inlineStr">
        <is>
          <t>2026-09-20T04:32:04.790529Z</t>
        </is>
      </c>
      <c r="CA409" s="31" t="inlineStr">
        <is>
          <t>fixed one-unit hypothetical scoring; no real exposure or execution</t>
        </is>
      </c>
      <c r="CB409" s="24" t="n"/>
      <c r="CC409" s="24" t="n"/>
      <c r="CD409" s="24" t="n"/>
      <c r="CE409" s="24" t="n"/>
      <c r="CF409" s="24" t="n"/>
      <c r="CG409" s="24" t="n"/>
      <c r="CH409" s="24" t="n"/>
      <c r="CI409" s="24" t="n"/>
      <c r="CJ409" s="24" t="n"/>
      <c r="CK409" s="24" t="n"/>
      <c r="CL409" s="24" t="n"/>
      <c r="CM409" s="24" t="n"/>
      <c r="CN409" s="24" t="n"/>
      <c r="CO409" s="24" t="n"/>
      <c r="CP409" s="24" t="n"/>
      <c r="CQ409" s="24" t="n"/>
      <c r="CR409" s="24" t="n"/>
      <c r="CS409" s="24" t="inlineStr">
        <is>
          <t>False</t>
        </is>
      </c>
      <c r="CT409" s="24" t="n"/>
      <c r="CU409" s="24" t="n"/>
      <c r="CV409" s="24" t="n"/>
      <c r="CW409" s="24" t="n"/>
      <c r="CX409" s="24" t="n"/>
      <c r="CY409" s="24" t="n"/>
      <c r="CZ409" s="24" t="n"/>
      <c r="DA409" s="24" t="n"/>
      <c r="DB409" s="24" t="n"/>
      <c r="DC409" s="24" t="n"/>
      <c r="DD409" s="24" t="n"/>
      <c r="DE409" s="24" t="n"/>
      <c r="DF409" s="24" t="n"/>
      <c r="DG409" s="24" t="n"/>
      <c r="DH409" s="24" t="n"/>
      <c r="DI409" s="24" t="n"/>
      <c r="DJ409" s="24" t="inlineStr">
        <is>
          <t>0.528302</t>
        </is>
      </c>
      <c r="DK409" s="24" t="n"/>
      <c r="DL409" s="24" t="n"/>
      <c r="DM409" s="24" t="n"/>
      <c r="DN409" s="24" t="n"/>
      <c r="DO409" s="24" t="n"/>
      <c r="DP409" s="24" t="n"/>
      <c r="DQ409" s="24" t="inlineStr">
        <is>
          <t>{"artifact_hash": "1d168f11d221cd3c", "event_id": "401856802", "event_start_utc": "2026-09-19T23:30Z", "features": {"altitude_fatigue_penalty": 0.0, "away_team": "West Virginia Mountaineers", "efficiency_gap": 0.484, "elo_away": 1375.6, "elo_home": 1696.3, "elo_home_win_prob": 0.8637, "event_id": "401856802", "game_start_utc": "2026-09-19T23:30Z", "home_field_advantage_points": 0.0, "home_team": "Virginia Cavaliers", "is_dome": false, "is_fbs_vs_fcs": false, "is_neutral_site": true, "projected_away_points": 21.1, "projected_home_points": 33.8, "projected_margin_home": 12.7, "projected_possessions": 12.4, "projected_total": 54.9, "stadium_elevation_ft": 500.0, "travel_distance_miles": 0.0, "uncertainty": 0.165, "weather_total_adjustment": 0.0}, "historical_source_observation_times_verified": false, "inference_inputs": {"engine_source_sha256": "449ba2f0e86fa9c445730076a0e0bf100fb4914620be53c75c6f3bfe24298f3f", "mu_away": 21.1, "mu_home": 33.8,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186340531548899992841386064580064173908}, "uinteger": 0}, "spread_home_line": -10.5, "total_line": 51.5}, "market_type": "total", "model_version": "cfb-total-v1", "observed_at_utc": "2026-09-19T22:46:25.988423+00:00", "probabilities": {"over": 0.524333, "push": 0.0, "under": 0.475667}, "replay_scope": "Full precision score means, exact engine parameters and original RNG state; upstream feature construction not certified.", "schema": "cfb-joint-replay-v1", "snapshot_hash": "4104d7e9614665b1c3c4eda066d2e52c23606ec61451013d5bb671213cbf8887", "sport": "NCAAF"}</t>
        </is>
      </c>
    </row>
    <row r="410" ht="36" customHeight="1">
      <c r="A410" s="24" t="inlineStr">
        <is>
          <t>37b0e5939d324fe0</t>
        </is>
      </c>
      <c r="B410" s="24" t="inlineStr">
        <is>
          <t>2026-09-19T22:46:25.988423Z</t>
        </is>
      </c>
      <c r="C410" s="24" t="inlineStr">
        <is>
          <t>2026-09-19T23:30Z</t>
        </is>
      </c>
      <c r="D410" s="24" t="inlineStr">
        <is>
          <t>401856796</t>
        </is>
      </c>
      <c r="E410" s="24" t="inlineStr">
        <is>
          <t>NCAAF</t>
        </is>
      </c>
      <c r="F410" s="24" t="inlineStr">
        <is>
          <t>Colorado Buffaloes</t>
        </is>
      </c>
      <c r="G410" s="24" t="inlineStr">
        <is>
          <t>Northwestern Wildcats</t>
        </is>
      </c>
      <c r="H410" s="24" t="inlineStr">
        <is>
          <t>moneyline</t>
        </is>
      </c>
      <c r="I410" s="24" t="inlineStr">
        <is>
          <t>home</t>
        </is>
      </c>
      <c r="J410" s="25" t="n"/>
      <c r="K410" s="24" t="inlineStr">
        <is>
          <t>espn_consensus</t>
        </is>
      </c>
      <c r="L410" s="26" t="n">
        <v>-175</v>
      </c>
      <c r="M410" s="27" t="n">
        <v>1.571429</v>
      </c>
      <c r="N410" s="28" t="n">
        <v>0.636364</v>
      </c>
      <c r="O410" s="28" t="n">
        <v>0.78028</v>
      </c>
      <c r="P410" s="28" t="n">
        <v>0.165</v>
      </c>
      <c r="Q410" s="28" t="n">
        <v>0.143916</v>
      </c>
      <c r="R410" s="26" t="n">
        <v>23</v>
      </c>
      <c r="S410" s="29" t="n">
        <v>1</v>
      </c>
      <c r="T410" s="24" t="inlineStr">
        <is>
          <t>college-football-v1</t>
        </is>
      </c>
      <c r="U410" s="24" t="inlineStr">
        <is>
          <t>settled</t>
        </is>
      </c>
      <c r="V410" s="24" t="inlineStr">
        <is>
          <t>win</t>
        </is>
      </c>
      <c r="W410" s="26" t="n">
        <v>7</v>
      </c>
      <c r="X410" s="26" t="n">
        <v>41</v>
      </c>
      <c r="Y410" s="25" t="n"/>
      <c r="Z410" s="26" t="n"/>
      <c r="AA410" s="28" t="n"/>
      <c r="AB410" s="28" t="n"/>
      <c r="AC410" s="30" t="n">
        <v>0.5714</v>
      </c>
      <c r="AD410" s="24" t="inlineStr">
        <is>
          <t>2026-09-20T04:32:05.350296Z</t>
        </is>
      </c>
      <c r="AE410" s="31" t="inlineStr">
        <is>
          <t>CFB Joint Model (negative_binomial): proj score Colorado Buffaloes 20.0 @ Northwestern Wildcats 34.5 (Margin +14.4). Possessions: 12.4, HFA: +2.8 pts.</t>
        </is>
      </c>
      <c r="AF410" s="31" t="inlineStr">
        <is>
          <t>College football model; multi-market (moneyline, spread, total).</t>
        </is>
      </c>
      <c r="AG410" s="24" t="inlineStr">
        <is>
          <t>not_applicable</t>
        </is>
      </c>
      <c r="AH410" s="24" t="n"/>
      <c r="AI410" s="31" t="n"/>
      <c r="AJ410" s="31" t="n"/>
      <c r="AK410" s="24" t="inlineStr">
        <is>
          <t>model_qualified</t>
        </is>
      </c>
      <c r="AL410" s="26" t="n">
        <v>4</v>
      </c>
      <c r="AM410" s="24" t="inlineStr">
        <is>
          <t>QUALIFIED_SHADOW_CALL</t>
        </is>
      </c>
      <c r="AN410" s="24" t="inlineStr">
        <is>
          <t>CALL</t>
        </is>
      </c>
      <c r="AO410" s="24" t="inlineStr">
        <is>
          <t>QUALIFIED</t>
        </is>
      </c>
      <c r="AP410" s="24" t="inlineStr">
        <is>
          <t>Colorado Buffaloes</t>
        </is>
      </c>
      <c r="AQ410" s="24" t="inlineStr">
        <is>
          <t>Colorado Buffaloes</t>
        </is>
      </c>
      <c r="AR410" s="24" t="inlineStr">
        <is>
          <t>Colorado Buffaloes</t>
        </is>
      </c>
      <c r="AS410" s="24" t="inlineStr">
        <is>
          <t>Northwestern Wildcats</t>
        </is>
      </c>
      <c r="AT410" s="24" t="inlineStr">
        <is>
          <t>Northwestern Wildcats</t>
        </is>
      </c>
      <c r="AU410" s="24" t="inlineStr">
        <is>
          <t>Northwestern Wildcats</t>
        </is>
      </c>
      <c r="AV410" s="24" t="n"/>
      <c r="AW410" s="24" t="n"/>
      <c r="AX410" s="24" t="inlineStr">
        <is>
          <t>statistical_model</t>
        </is>
      </c>
      <c r="AY410" s="24" t="n"/>
      <c r="AZ410" s="24" t="inlineStr">
        <is>
          <t>shadow_qualified</t>
        </is>
      </c>
      <c r="BA410" s="24" t="inlineStr">
        <is>
          <t>1d168f11d221cd3c</t>
        </is>
      </c>
      <c r="BB410" s="24" t="inlineStr">
        <is>
          <t>cfb_key_number_engine</t>
        </is>
      </c>
      <c r="BC410" s="24" t="inlineStr">
        <is>
          <t>college-football-v1</t>
        </is>
      </c>
      <c r="BD410" s="24" t="inlineStr">
        <is>
          <t>1d168f11d221cd3c</t>
        </is>
      </c>
      <c r="BE410" s="24" t="inlineStr">
        <is>
          <t>cfb-v1</t>
        </is>
      </c>
      <c r="BF410" s="24" t="inlineStr">
        <is>
          <t>1</t>
        </is>
      </c>
      <c r="BG410" s="24" t="inlineStr">
        <is>
          <t>1d168f11d221cd3c</t>
        </is>
      </c>
      <c r="BH410" s="24" t="inlineStr">
        <is>
          <t>2026-09-19T22:46:25.988423+00:00</t>
        </is>
      </c>
      <c r="BI410" s="24" t="inlineStr">
        <is>
          <t>["same_event","same_team_same_day","same_league_same_day"]</t>
        </is>
      </c>
      <c r="BJ410" s="25" t="n"/>
      <c r="BK410" s="26" t="n">
        <v>-175</v>
      </c>
      <c r="BL410" s="27" t="n">
        <v>1.571429</v>
      </c>
      <c r="BM410" s="28" t="n">
        <v>0.636364</v>
      </c>
      <c r="BN410" s="28" t="n"/>
      <c r="BO410" s="28" t="n"/>
      <c r="BP410" s="25" t="n"/>
      <c r="BQ410" s="27" t="n"/>
      <c r="BR410" s="28" t="n"/>
      <c r="BS410" s="28" t="n"/>
      <c r="BT410" s="28" t="n"/>
      <c r="BU410" s="25" t="n"/>
      <c r="BV410" s="29" t="n"/>
      <c r="BW410" s="24" t="n"/>
      <c r="BX410" s="30" t="n"/>
      <c r="BY410" s="27" t="n"/>
      <c r="BZ410" s="24" t="n"/>
      <c r="CA410" s="31" t="n"/>
      <c r="CB410" s="24" t="n"/>
      <c r="CC410" s="24" t="n"/>
      <c r="CD410" s="24" t="n"/>
      <c r="CE410" s="24" t="n"/>
      <c r="CF410" s="24" t="n"/>
      <c r="CG410" s="24" t="n"/>
      <c r="CH410" s="24" t="n"/>
      <c r="CI410" s="24" t="n"/>
      <c r="CJ410" s="24" t="n"/>
      <c r="CK410" s="24" t="n"/>
      <c r="CL410" s="24" t="n"/>
      <c r="CM410" s="24" t="n"/>
      <c r="CN410" s="24" t="n"/>
      <c r="CO410" s="24" t="n"/>
      <c r="CP410" s="24" t="n"/>
      <c r="CQ410" s="24" t="n"/>
      <c r="CR410" s="24" t="n"/>
      <c r="CS410" s="24" t="inlineStr">
        <is>
          <t>True</t>
        </is>
      </c>
      <c r="CT410" s="24" t="n"/>
      <c r="CU410" s="24" t="n"/>
      <c r="CV410" s="24" t="n"/>
      <c r="CW410" s="24" t="n"/>
      <c r="CX410" s="24" t="n"/>
      <c r="CY410" s="24" t="n"/>
      <c r="CZ410" s="24" t="n"/>
      <c r="DA410" s="24" t="n"/>
      <c r="DB410" s="24" t="n"/>
      <c r="DC410" s="24" t="n"/>
      <c r="DD410" s="24" t="n"/>
      <c r="DE410" s="24" t="n"/>
      <c r="DF410" s="24" t="n"/>
      <c r="DG410" s="24" t="n"/>
      <c r="DH410" s="24" t="n"/>
      <c r="DI410" s="24" t="n"/>
      <c r="DJ410" s="24" t="inlineStr">
        <is>
          <t>0.636364</t>
        </is>
      </c>
      <c r="DK410" s="24" t="n"/>
      <c r="DL410" s="24" t="n"/>
      <c r="DM410" s="24" t="n"/>
      <c r="DN410" s="24" t="n"/>
      <c r="DO410" s="24" t="n"/>
      <c r="DP410" s="24" t="n"/>
      <c r="DQ410" s="24" t="inlineStr">
        <is>
          <t>{"artifact_hash": "1d168f11d221cd3c", "event_id": "401856796", "event_start_utc": "2026-09-19T23:30Z", "features": {"altitude_fatigue_penalty": 0.0, "away_team": "Colorado Buffaloes", "efficiency_gap": 0.839, "elo_away": 1279.5, "elo_home": 1573.4, "elo_home_win_prob": 0.8875, "event_id": "401856796", "game_start_utc": "2026-09-19T23:30Z", "home_field_advantage_points": 2.8, "home_team": "Northwestern Wildcats", "is_dome": false, "is_fbs_vs_fcs": false, "is_neutral_site": false, "projected_away_points": 20.0, "projected_home_points": 34.5, "projected_margin_home": 14.4, "projected_possessions": 12.4, "projected_total": 54.5, "stadium_elevation_ft": 590, "travel_distance_miles": 926.0, "uncertainty": 0.165, "weather_total_adjustment": 0.0}, "historical_source_observation_times_verified": false, "inference_inputs": {"engine_source_sha256": "449ba2f0e86fa9c445730076a0e0bf100fb4914620be53c75c6f3bfe24298f3f", "mu_away": 20.0, "mu_home": 34.5,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109689797425926953625814015545053550792}, "uinteger": 0}, "spread_home_line": -3.5, "total_line": 47.5}, "market_type": "moneyline", "model_version": "college-football-v1", "observed_at_utc": "2026-09-19T22:46:25.988423+00:00", "probabilities": {"away": 0.21972, "home": 0.78028}, "replay_scope": "Full precision score means, exact engine parameters and original RNG state; upstream feature construction not certified.", "schema": "cfb-joint-replay-v1", "snapshot_hash": "59293d22751f9b46e7c632a405a0fbe39ec37d3abf5f5f928aea1db08447c171", "sport": "NCAAF"}</t>
        </is>
      </c>
    </row>
    <row r="411" ht="36" customHeight="1">
      <c r="A411" s="24" t="inlineStr">
        <is>
          <t>161ee1752cb44ebd</t>
        </is>
      </c>
      <c r="B411" s="24" t="inlineStr">
        <is>
          <t>2026-09-19T22:46:25.988423Z</t>
        </is>
      </c>
      <c r="C411" s="24" t="inlineStr">
        <is>
          <t>2026-09-19T23:30Z</t>
        </is>
      </c>
      <c r="D411" s="24" t="inlineStr">
        <is>
          <t>401856796</t>
        </is>
      </c>
      <c r="E411" s="24" t="inlineStr">
        <is>
          <t>NCAAF</t>
        </is>
      </c>
      <c r="F411" s="24" t="inlineStr">
        <is>
          <t>Colorado Buffaloes</t>
        </is>
      </c>
      <c r="G411" s="24" t="inlineStr">
        <is>
          <t>Northwestern Wildcats</t>
        </is>
      </c>
      <c r="H411" s="24" t="inlineStr">
        <is>
          <t>spread</t>
        </is>
      </c>
      <c r="I411" s="24" t="inlineStr">
        <is>
          <t>home</t>
        </is>
      </c>
      <c r="J411" s="25" t="n">
        <v>-3.5</v>
      </c>
      <c r="K411" s="24" t="inlineStr">
        <is>
          <t>espn_consensus</t>
        </is>
      </c>
      <c r="L411" s="26" t="n">
        <v>-105</v>
      </c>
      <c r="M411" s="27" t="n">
        <v>1.952381</v>
      </c>
      <c r="N411" s="28" t="n">
        <v>0.512195</v>
      </c>
      <c r="O411" s="28" t="n">
        <v>0.726533</v>
      </c>
      <c r="P411" s="28" t="n">
        <v>0.165</v>
      </c>
      <c r="Q411" s="28" t="n">
        <v>0.214338</v>
      </c>
      <c r="R411" s="26" t="n">
        <v>58</v>
      </c>
      <c r="S411" s="29" t="n">
        <v>1.25</v>
      </c>
      <c r="T411" s="24" t="inlineStr">
        <is>
          <t>cfb-spread-v1</t>
        </is>
      </c>
      <c r="U411" s="24" t="inlineStr">
        <is>
          <t>settled</t>
        </is>
      </c>
      <c r="V411" s="24" t="inlineStr">
        <is>
          <t>win</t>
        </is>
      </c>
      <c r="W411" s="26" t="n">
        <v>7</v>
      </c>
      <c r="X411" s="26" t="n">
        <v>41</v>
      </c>
      <c r="Y411" s="25" t="n"/>
      <c r="Z411" s="26" t="n"/>
      <c r="AA411" s="28" t="n"/>
      <c r="AB411" s="28" t="n"/>
      <c r="AC411" s="30" t="n">
        <v>1.1905</v>
      </c>
      <c r="AD411" s="24" t="inlineStr">
        <is>
          <t>2026-09-20T04:32:05.790838Z</t>
        </is>
      </c>
      <c r="AE411" s="31" t="inlineStr">
        <is>
          <t>Projected home margin +14.4 pts. Spread: Home -3.5 / Away +3.5 -&gt; P(Away cover)=0.273, P(Home cover)=0.727, P(Push)=0.000.</t>
        </is>
      </c>
      <c r="AF411" s="31" t="inlineStr">
        <is>
          <t>College football model; multi-market (moneyline, spread, total).</t>
        </is>
      </c>
      <c r="AG411" s="24" t="inlineStr">
        <is>
          <t>not_applicable</t>
        </is>
      </c>
      <c r="AH411" s="24" t="n"/>
      <c r="AI411" s="31" t="n"/>
      <c r="AJ411" s="31" t="n"/>
      <c r="AK411" s="24" t="inlineStr">
        <is>
          <t>model_qualified</t>
        </is>
      </c>
      <c r="AL411" s="26" t="n">
        <v>4</v>
      </c>
      <c r="AM411" s="24" t="inlineStr">
        <is>
          <t>QUALIFIED_SHADOW_CALL</t>
        </is>
      </c>
      <c r="AN411" s="24" t="inlineStr">
        <is>
          <t>CALL</t>
        </is>
      </c>
      <c r="AO411" s="24" t="inlineStr">
        <is>
          <t>QUALIFIED</t>
        </is>
      </c>
      <c r="AP411" s="24" t="inlineStr">
        <is>
          <t>Colorado Buffaloes</t>
        </is>
      </c>
      <c r="AQ411" s="24" t="inlineStr">
        <is>
          <t>Colorado Buffaloes</t>
        </is>
      </c>
      <c r="AR411" s="24" t="inlineStr">
        <is>
          <t>Colorado Buffaloes</t>
        </is>
      </c>
      <c r="AS411" s="24" t="inlineStr">
        <is>
          <t>Northwestern Wildcats</t>
        </is>
      </c>
      <c r="AT411" s="24" t="inlineStr">
        <is>
          <t>Northwestern Wildcats</t>
        </is>
      </c>
      <c r="AU411" s="24" t="inlineStr">
        <is>
          <t>Northwestern Wildcats</t>
        </is>
      </c>
      <c r="AV411" s="24" t="n"/>
      <c r="AW411" s="24" t="n"/>
      <c r="AX411" s="24" t="inlineStr">
        <is>
          <t>statistical_model</t>
        </is>
      </c>
      <c r="AY411" s="24" t="n"/>
      <c r="AZ411" s="24" t="inlineStr">
        <is>
          <t>shadow_qualified</t>
        </is>
      </c>
      <c r="BA411" s="24" t="inlineStr">
        <is>
          <t>1d168f11d221cd3c</t>
        </is>
      </c>
      <c r="BB411" s="24" t="inlineStr">
        <is>
          <t>cfb_key_number_engine</t>
        </is>
      </c>
      <c r="BC411" s="24" t="inlineStr">
        <is>
          <t>cfb-spread-v1</t>
        </is>
      </c>
      <c r="BD411" s="24" t="inlineStr">
        <is>
          <t>1d168f11d221cd3c</t>
        </is>
      </c>
      <c r="BE411" s="24" t="inlineStr">
        <is>
          <t>cfb-v1</t>
        </is>
      </c>
      <c r="BF411" s="24" t="inlineStr">
        <is>
          <t>1</t>
        </is>
      </c>
      <c r="BG411" s="24" t="inlineStr">
        <is>
          <t>1d168f11d221cd3c</t>
        </is>
      </c>
      <c r="BH411" s="24" t="inlineStr">
        <is>
          <t>2026-09-19T22:46:25.988423+00:00</t>
        </is>
      </c>
      <c r="BI411" s="24" t="inlineStr">
        <is>
          <t>["same_event","same_team_same_day","same_league_same_day"]</t>
        </is>
      </c>
      <c r="BJ411" s="25" t="n">
        <v>-3.5</v>
      </c>
      <c r="BK411" s="26" t="n">
        <v>-105</v>
      </c>
      <c r="BL411" s="27" t="n">
        <v>1.952381</v>
      </c>
      <c r="BM411" s="28" t="n">
        <v>0.512195</v>
      </c>
      <c r="BN411" s="28" t="n"/>
      <c r="BO411" s="28" t="n"/>
      <c r="BP411" s="25" t="n"/>
      <c r="BQ411" s="27" t="n"/>
      <c r="BR411" s="28" t="n"/>
      <c r="BS411" s="28" t="n"/>
      <c r="BT411" s="28" t="n"/>
      <c r="BU411" s="25" t="n"/>
      <c r="BV411" s="29" t="n"/>
      <c r="BW411" s="24" t="n"/>
      <c r="BX411" s="30" t="n"/>
      <c r="BY411" s="27" t="n"/>
      <c r="BZ411" s="24" t="n"/>
      <c r="CA411" s="31" t="n"/>
      <c r="CB411" s="24" t="n"/>
      <c r="CC411" s="24" t="n"/>
      <c r="CD411" s="24" t="n"/>
      <c r="CE411" s="24" t="n"/>
      <c r="CF411" s="24" t="n"/>
      <c r="CG411" s="24" t="n"/>
      <c r="CH411" s="24" t="n"/>
      <c r="CI411" s="24" t="n"/>
      <c r="CJ411" s="24" t="n"/>
      <c r="CK411" s="24" t="n"/>
      <c r="CL411" s="24" t="n"/>
      <c r="CM411" s="24" t="n"/>
      <c r="CN411" s="24" t="n"/>
      <c r="CO411" s="24" t="n"/>
      <c r="CP411" s="24" t="n"/>
      <c r="CQ411" s="24" t="n"/>
      <c r="CR411" s="24" t="n"/>
      <c r="CS411" s="24" t="inlineStr">
        <is>
          <t>True</t>
        </is>
      </c>
      <c r="CT411" s="24" t="n"/>
      <c r="CU411" s="24" t="n"/>
      <c r="CV411" s="24" t="n"/>
      <c r="CW411" s="24" t="n"/>
      <c r="CX411" s="24" t="n"/>
      <c r="CY411" s="24" t="n"/>
      <c r="CZ411" s="24" t="n"/>
      <c r="DA411" s="24" t="n"/>
      <c r="DB411" s="24" t="n"/>
      <c r="DC411" s="24" t="n"/>
      <c r="DD411" s="24" t="n"/>
      <c r="DE411" s="24" t="n"/>
      <c r="DF411" s="24" t="n"/>
      <c r="DG411" s="24" t="n"/>
      <c r="DH411" s="24" t="n"/>
      <c r="DI411" s="24" t="n"/>
      <c r="DJ411" s="24" t="inlineStr">
        <is>
          <t>0.512195</t>
        </is>
      </c>
      <c r="DK411" s="24" t="n"/>
      <c r="DL411" s="24" t="n"/>
      <c r="DM411" s="24" t="n"/>
      <c r="DN411" s="24" t="n"/>
      <c r="DO411" s="24" t="n"/>
      <c r="DP411" s="24" t="n"/>
      <c r="DQ411" s="24" t="inlineStr">
        <is>
          <t>{"artifact_hash": "1d168f11d221cd3c", "event_id": "401856796", "event_start_utc": "2026-09-19T23:30Z", "features": {"altitude_fatigue_penalty": 0.0, "away_team": "Colorado Buffaloes", "efficiency_gap": 0.839, "elo_away": 1279.5, "elo_home": 1573.4, "elo_home_win_prob": 0.8875, "event_id": "401856796", "game_start_utc": "2026-09-19T23:30Z", "home_field_advantage_points": 2.8, "home_team": "Northwestern Wildcats", "is_dome": false, "is_fbs_vs_fcs": false, "is_neutral_site": false, "projected_away_points": 20.0, "projected_home_points": 34.5, "projected_margin_home": 14.4, "projected_possessions": 12.4, "projected_total": 54.5, "stadium_elevation_ft": 590, "travel_distance_miles": 926.0, "uncertainty": 0.165, "weather_total_adjustment": 0.0}, "historical_source_observation_times_verified": false, "inference_inputs": {"engine_source_sha256": "449ba2f0e86fa9c445730076a0e0bf100fb4914620be53c75c6f3bfe24298f3f", "mu_away": 20.0, "mu_home": 34.5,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109689797425926953625814015545053550792}, "uinteger": 0}, "spread_home_line": -3.5, "total_line": 47.5}, "market_type": "spread", "model_version": "cfb-spread-v1", "observed_at_utc": "2026-09-19T22:46:25.988423+00:00", "probabilities": {"away": 0.273467, "home": 0.726533, "push": 0.0}, "replay_scope": "Full precision score means, exact engine parameters and original RNG state; upstream feature construction not certified.", "schema": "cfb-joint-replay-v1", "snapshot_hash": "e141eb31b00289efd2d960f9f3d054a636cafa55858e14bfa49e464734971d30", "sport": "NCAAF"}</t>
        </is>
      </c>
    </row>
    <row r="412" ht="36" customHeight="1">
      <c r="A412" s="24" t="inlineStr">
        <is>
          <t>325fbcb6c8a44ff8</t>
        </is>
      </c>
      <c r="B412" s="24" t="inlineStr">
        <is>
          <t>2026-09-19T22:46:25.988423Z</t>
        </is>
      </c>
      <c r="C412" s="24" t="inlineStr">
        <is>
          <t>2026-09-19T23:30Z</t>
        </is>
      </c>
      <c r="D412" s="24" t="inlineStr">
        <is>
          <t>401856796</t>
        </is>
      </c>
      <c r="E412" s="24" t="inlineStr">
        <is>
          <t>NCAAF</t>
        </is>
      </c>
      <c r="F412" s="24" t="inlineStr">
        <is>
          <t>Colorado Buffaloes</t>
        </is>
      </c>
      <c r="G412" s="24" t="inlineStr">
        <is>
          <t>Northwestern Wildcats</t>
        </is>
      </c>
      <c r="H412" s="24" t="inlineStr">
        <is>
          <t>total</t>
        </is>
      </c>
      <c r="I412" s="24" t="inlineStr">
        <is>
          <t>over</t>
        </is>
      </c>
      <c r="J412" s="25" t="n">
        <v>47.5</v>
      </c>
      <c r="K412" s="24" t="inlineStr">
        <is>
          <t>espn_consensus</t>
        </is>
      </c>
      <c r="L412" s="26" t="n">
        <v>-112</v>
      </c>
      <c r="M412" s="27" t="n">
        <v>1.892857</v>
      </c>
      <c r="N412" s="28" t="n">
        <v>0.528302</v>
      </c>
      <c r="O412" s="28" t="n">
        <v>0.5911999999999999</v>
      </c>
      <c r="P412" s="28" t="n">
        <v>0.165</v>
      </c>
      <c r="Q412" s="28" t="n">
        <v>0.062898</v>
      </c>
      <c r="R412" s="26" t="n">
        <v>0</v>
      </c>
      <c r="S412" s="29" t="n">
        <v>1</v>
      </c>
      <c r="T412" s="24" t="inlineStr">
        <is>
          <t>cfb-total-v1</t>
        </is>
      </c>
      <c r="U412" s="24" t="inlineStr">
        <is>
          <t>settled</t>
        </is>
      </c>
      <c r="V412" s="24" t="inlineStr">
        <is>
          <t>win</t>
        </is>
      </c>
      <c r="W412" s="26" t="n">
        <v>7</v>
      </c>
      <c r="X412" s="26" t="n">
        <v>41</v>
      </c>
      <c r="Y412" s="25" t="n"/>
      <c r="Z412" s="26" t="n"/>
      <c r="AA412" s="28" t="n"/>
      <c r="AB412" s="28" t="n"/>
      <c r="AC412" s="30" t="n">
        <v>0.8929</v>
      </c>
      <c r="AD412" s="24" t="inlineStr">
        <is>
          <t>2026-09-20T04:32:06.296992Z</t>
        </is>
      </c>
      <c r="AE412" s="31" t="inlineStr">
        <is>
          <t>Projected total 54.5 pts (Weather adj: +0.0 pts). Total line 47.5 -&gt; P(Over)=0.591, P(Under)=0.409, P(Push)=0.000.</t>
        </is>
      </c>
      <c r="AF412" s="31" t="inlineStr">
        <is>
          <t>College football model; multi-market (moneyline, spread, total).</t>
        </is>
      </c>
      <c r="AG412" s="24" t="inlineStr">
        <is>
          <t>not_applicable</t>
        </is>
      </c>
      <c r="AH412" s="24" t="n"/>
      <c r="AI412" s="31" t="n"/>
      <c r="AJ412" s="31" t="n"/>
      <c r="AK412" s="24" t="inlineStr">
        <is>
          <t>model_qualified</t>
        </is>
      </c>
      <c r="AL412" s="26" t="n">
        <v>4</v>
      </c>
      <c r="AM412" s="24" t="inlineStr">
        <is>
          <t>QUALIFIED_SHADOW_CALL</t>
        </is>
      </c>
      <c r="AN412" s="24" t="inlineStr">
        <is>
          <t>CALL</t>
        </is>
      </c>
      <c r="AO412" s="24" t="inlineStr">
        <is>
          <t>QUALIFIED</t>
        </is>
      </c>
      <c r="AP412" s="24" t="inlineStr">
        <is>
          <t>Colorado Buffaloes</t>
        </is>
      </c>
      <c r="AQ412" s="24" t="inlineStr">
        <is>
          <t>Colorado Buffaloes</t>
        </is>
      </c>
      <c r="AR412" s="24" t="inlineStr">
        <is>
          <t>Colorado Buffaloes</t>
        </is>
      </c>
      <c r="AS412" s="24" t="inlineStr">
        <is>
          <t>Northwestern Wildcats</t>
        </is>
      </c>
      <c r="AT412" s="24" t="inlineStr">
        <is>
          <t>Northwestern Wildcats</t>
        </is>
      </c>
      <c r="AU412" s="24" t="inlineStr">
        <is>
          <t>Northwestern Wildcats</t>
        </is>
      </c>
      <c r="AV412" s="24" t="n"/>
      <c r="AW412" s="24" t="n"/>
      <c r="AX412" s="24" t="inlineStr">
        <is>
          <t>statistical_model</t>
        </is>
      </c>
      <c r="AY412" s="24" t="n"/>
      <c r="AZ412" s="24" t="inlineStr">
        <is>
          <t>shadow_qualified</t>
        </is>
      </c>
      <c r="BA412" s="24" t="inlineStr">
        <is>
          <t>1d168f11d221cd3c</t>
        </is>
      </c>
      <c r="BB412" s="24" t="inlineStr">
        <is>
          <t>cfb_key_number_engine</t>
        </is>
      </c>
      <c r="BC412" s="24" t="inlineStr">
        <is>
          <t>cfb-total-v1</t>
        </is>
      </c>
      <c r="BD412" s="24" t="inlineStr">
        <is>
          <t>1d168f11d221cd3c</t>
        </is>
      </c>
      <c r="BE412" s="24" t="inlineStr">
        <is>
          <t>cfb-v1</t>
        </is>
      </c>
      <c r="BF412" s="24" t="inlineStr">
        <is>
          <t>1</t>
        </is>
      </c>
      <c r="BG412" s="24" t="inlineStr">
        <is>
          <t>1d168f11d221cd3c</t>
        </is>
      </c>
      <c r="BH412" s="24" t="inlineStr">
        <is>
          <t>2026-09-19T22:46:25.988423+00:00</t>
        </is>
      </c>
      <c r="BI412" s="24" t="inlineStr">
        <is>
          <t>["same_event","same_team_same_day","same_league_same_day"]</t>
        </is>
      </c>
      <c r="BJ412" s="25" t="n">
        <v>47.5</v>
      </c>
      <c r="BK412" s="26" t="n">
        <v>-112</v>
      </c>
      <c r="BL412" s="27" t="n">
        <v>1.892857</v>
      </c>
      <c r="BM412" s="28" t="n">
        <v>0.528302</v>
      </c>
      <c r="BN412" s="28" t="n"/>
      <c r="BO412" s="28" t="n"/>
      <c r="BP412" s="25" t="n"/>
      <c r="BQ412" s="27" t="n"/>
      <c r="BR412" s="28" t="n"/>
      <c r="BS412" s="28" t="n"/>
      <c r="BT412" s="28" t="n"/>
      <c r="BU412" s="25" t="n"/>
      <c r="BV412" s="29" t="n"/>
      <c r="BW412" s="24" t="n"/>
      <c r="BX412" s="30" t="n"/>
      <c r="BY412" s="27" t="n"/>
      <c r="BZ412" s="24" t="n"/>
      <c r="CA412" s="31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inlineStr">
        <is>
          <t>True</t>
        </is>
      </c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n"/>
      <c r="DE412" s="24" t="n"/>
      <c r="DF412" s="24" t="n"/>
      <c r="DG412" s="24" t="n"/>
      <c r="DH412" s="24" t="n"/>
      <c r="DI412" s="24" t="n"/>
      <c r="DJ412" s="24" t="inlineStr">
        <is>
          <t>0.528302</t>
        </is>
      </c>
      <c r="DK412" s="24" t="n"/>
      <c r="DL412" s="24" t="n"/>
      <c r="DM412" s="24" t="n"/>
      <c r="DN412" s="24" t="n"/>
      <c r="DO412" s="24" t="n"/>
      <c r="DP412" s="24" t="n"/>
      <c r="DQ412" s="24" t="inlineStr">
        <is>
          <t>{"artifact_hash": "1d168f11d221cd3c", "event_id": "401856796", "event_start_utc": "2026-09-19T23:30Z", "features": {"altitude_fatigue_penalty": 0.0, "away_team": "Colorado Buffaloes", "efficiency_gap": 0.839, "elo_away": 1279.5, "elo_home": 1573.4, "elo_home_win_prob": 0.8875, "event_id": "401856796", "game_start_utc": "2026-09-19T23:30Z", "home_field_advantage_points": 2.8, "home_team": "Northwestern Wildcats", "is_dome": false, "is_fbs_vs_fcs": false, "is_neutral_site": false, "projected_away_points": 20.0, "projected_home_points": 34.5, "projected_margin_home": 14.4, "projected_possessions": 12.4, "projected_total": 54.5, "stadium_elevation_ft": 590, "travel_distance_miles": 926.0, "uncertainty": 0.165, "weather_total_adjustment": 0.0}, "historical_source_observation_times_verified": false, "inference_inputs": {"engine_source_sha256": "449ba2f0e86fa9c445730076a0e0bf100fb4914620be53c75c6f3bfe24298f3f", "mu_away": 20.0, "mu_home": 34.5,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109689797425926953625814015545053550792}, "uinteger": 0}, "spread_home_line": -3.5, "total_line": 47.5}, "market_type": "total", "model_version": "cfb-total-v1", "observed_at_utc": "2026-09-19T22:46:25.988423+00:00", "probabilities": {"over": 0.5912, "push": 0.0, "under": 0.4088}, "replay_scope": "Full precision score means, exact engine parameters and original RNG state; upstream feature construction not certified.", "schema": "cfb-joint-replay-v1", "snapshot_hash": "b0e0377e9d1b70c2dd7ceb3ddf3bdb2cd9aa3d5e11e5d552b617343a7d06ee53", "sport": "NCAAF"}</t>
        </is>
      </c>
    </row>
    <row r="413" ht="36" customHeight="1">
      <c r="A413" s="24" t="inlineStr">
        <is>
          <t>5693028023334484</t>
        </is>
      </c>
      <c r="B413" s="24" t="inlineStr">
        <is>
          <t>2026-09-19T22:46:25.988423Z</t>
        </is>
      </c>
      <c r="C413" s="24" t="inlineStr">
        <is>
          <t>2026-09-19T23:30Z</t>
        </is>
      </c>
      <c r="D413" s="24" t="inlineStr">
        <is>
          <t>401858232</t>
        </is>
      </c>
      <c r="E413" s="24" t="inlineStr">
        <is>
          <t>NCAAF</t>
        </is>
      </c>
      <c r="F413" s="24" t="inlineStr">
        <is>
          <t>Virginia Tech Hokies</t>
        </is>
      </c>
      <c r="G413" s="24" t="inlineStr">
        <is>
          <t>Maryland Terrapins</t>
        </is>
      </c>
      <c r="H413" s="24" t="inlineStr">
        <is>
          <t>moneyline</t>
        </is>
      </c>
      <c r="I413" s="24" t="inlineStr">
        <is>
          <t>home</t>
        </is>
      </c>
      <c r="J413" s="25" t="n"/>
      <c r="K413" s="24" t="inlineStr">
        <is>
          <t>espn_consensus</t>
        </is>
      </c>
      <c r="L413" s="26" t="n">
        <v>120</v>
      </c>
      <c r="M413" s="27" t="n">
        <v>2.2</v>
      </c>
      <c r="N413" s="28" t="n">
        <v>0.454545</v>
      </c>
      <c r="O413" s="28" t="n">
        <v>0.5505330000000001</v>
      </c>
      <c r="P413" s="28" t="n">
        <v>0.18</v>
      </c>
      <c r="Q413" s="28" t="n">
        <v>0.095988</v>
      </c>
      <c r="R413" s="26" t="n">
        <v>0</v>
      </c>
      <c r="S413" s="29" t="n">
        <v>1</v>
      </c>
      <c r="T413" s="24" t="inlineStr">
        <is>
          <t>college-football-v1</t>
        </is>
      </c>
      <c r="U413" s="24" t="inlineStr">
        <is>
          <t>settled</t>
        </is>
      </c>
      <c r="V413" s="24" t="inlineStr">
        <is>
          <t>loss</t>
        </is>
      </c>
      <c r="W413" s="26" t="n">
        <v>35</v>
      </c>
      <c r="X413" s="26" t="n">
        <v>26</v>
      </c>
      <c r="Y413" s="25" t="n"/>
      <c r="Z413" s="26" t="n"/>
      <c r="AA413" s="28" t="n"/>
      <c r="AB413" s="28" t="n"/>
      <c r="AC413" s="30" t="n">
        <v>-1</v>
      </c>
      <c r="AD413" s="24" t="inlineStr">
        <is>
          <t>2026-09-20T04:32:06.804162Z</t>
        </is>
      </c>
      <c r="AE413" s="31" t="inlineStr">
        <is>
          <t>CFB Joint Model (negative_binomial): proj score Virginia Tech Hokies 26.3 @ Maryland Terrapins 28.6 (Margin +2.4). Possessions: 12.4, HFA: +2.8 pts.</t>
        </is>
      </c>
      <c r="AF413" s="31" t="inlineStr">
        <is>
          <t>College football model; multi-market (moneyline, spread, total).</t>
        </is>
      </c>
      <c r="AG413" s="24" t="inlineStr">
        <is>
          <t>review_required</t>
        </is>
      </c>
      <c r="AH413" s="24" t="n"/>
      <c r="AI413" s="31" t="n"/>
      <c r="AJ413" s="31" t="n"/>
      <c r="AK413" s="24" t="inlineStr">
        <is>
          <t>model_qualified</t>
        </is>
      </c>
      <c r="AL413" s="26" t="n">
        <v>4</v>
      </c>
      <c r="AM413" s="24" t="inlineStr">
        <is>
          <t>QUALIFIED_SHADOW_CALL</t>
        </is>
      </c>
      <c r="AN413" s="24" t="inlineStr">
        <is>
          <t>CALL</t>
        </is>
      </c>
      <c r="AO413" s="24" t="inlineStr">
        <is>
          <t>QUALIFIED</t>
        </is>
      </c>
      <c r="AP413" s="24" t="inlineStr">
        <is>
          <t>Virginia Tech Hokies</t>
        </is>
      </c>
      <c r="AQ413" s="24" t="inlineStr">
        <is>
          <t>Virginia Tech Hokies</t>
        </is>
      </c>
      <c r="AR413" s="24" t="inlineStr">
        <is>
          <t>Virginia Tech Hokies</t>
        </is>
      </c>
      <c r="AS413" s="24" t="inlineStr">
        <is>
          <t>Maryland Terrapins</t>
        </is>
      </c>
      <c r="AT413" s="24" t="inlineStr">
        <is>
          <t>Maryland Terrapins</t>
        </is>
      </c>
      <c r="AU413" s="24" t="inlineStr">
        <is>
          <t>Maryland Terrapins</t>
        </is>
      </c>
      <c r="AV413" s="24" t="n"/>
      <c r="AW413" s="24" t="n"/>
      <c r="AX413" s="24" t="inlineStr">
        <is>
          <t>statistical_model</t>
        </is>
      </c>
      <c r="AY413" s="24" t="n"/>
      <c r="AZ413" s="24" t="inlineStr">
        <is>
          <t>shadow_qualified</t>
        </is>
      </c>
      <c r="BA413" s="24" t="inlineStr">
        <is>
          <t>1d168f11d221cd3c</t>
        </is>
      </c>
      <c r="BB413" s="24" t="inlineStr">
        <is>
          <t>cfb_key_number_engine</t>
        </is>
      </c>
      <c r="BC413" s="24" t="inlineStr">
        <is>
          <t>college-football-v1</t>
        </is>
      </c>
      <c r="BD413" s="24" t="inlineStr">
        <is>
          <t>1d168f11d221cd3c</t>
        </is>
      </c>
      <c r="BE413" s="24" t="inlineStr">
        <is>
          <t>cfb-v1</t>
        </is>
      </c>
      <c r="BF413" s="24" t="inlineStr">
        <is>
          <t>1</t>
        </is>
      </c>
      <c r="BG413" s="24" t="inlineStr">
        <is>
          <t>1d168f11d221cd3c</t>
        </is>
      </c>
      <c r="BH413" s="24" t="inlineStr">
        <is>
          <t>2026-09-19T22:46:25.988423+00:00</t>
        </is>
      </c>
      <c r="BI413" s="24" t="inlineStr">
        <is>
          <t>["same_event","same_team_same_day","same_league_same_day"]</t>
        </is>
      </c>
      <c r="BJ413" s="25" t="n"/>
      <c r="BK413" s="26" t="n">
        <v>120</v>
      </c>
      <c r="BL413" s="27" t="n">
        <v>2.2</v>
      </c>
      <c r="BM413" s="28" t="n">
        <v>0.454545</v>
      </c>
      <c r="BN413" s="28" t="n"/>
      <c r="BO413" s="28" t="n"/>
      <c r="BP413" s="25" t="n"/>
      <c r="BQ413" s="27" t="n"/>
      <c r="BR413" s="28" t="n"/>
      <c r="BS413" s="28" t="n"/>
      <c r="BT413" s="28" t="n"/>
      <c r="BU413" s="25" t="n"/>
      <c r="BV413" s="29" t="n"/>
      <c r="BW413" s="24" t="n"/>
      <c r="BX413" s="30" t="n"/>
      <c r="BY413" s="27" t="n"/>
      <c r="BZ413" s="24" t="n"/>
      <c r="CA413" s="31" t="n"/>
      <c r="CB413" s="24" t="n"/>
      <c r="CC413" s="24" t="n"/>
      <c r="CD413" s="24" t="n"/>
      <c r="CE413" s="24" t="n"/>
      <c r="CF413" s="24" t="n"/>
      <c r="CG413" s="24" t="n"/>
      <c r="CH413" s="24" t="n"/>
      <c r="CI413" s="24" t="n"/>
      <c r="CJ413" s="24" t="n"/>
      <c r="CK413" s="24" t="n"/>
      <c r="CL413" s="24" t="n"/>
      <c r="CM413" s="24" t="n"/>
      <c r="CN413" s="24" t="n"/>
      <c r="CO413" s="24" t="n"/>
      <c r="CP413" s="24" t="n"/>
      <c r="CQ413" s="24" t="n"/>
      <c r="CR413" s="24" t="n"/>
      <c r="CS413" s="24" t="inlineStr">
        <is>
          <t>True</t>
        </is>
      </c>
      <c r="CT413" s="24" t="n"/>
      <c r="CU413" s="24" t="n"/>
      <c r="CV413" s="24" t="n"/>
      <c r="CW413" s="24" t="n"/>
      <c r="CX413" s="24" t="n"/>
      <c r="CY413" s="24" t="n"/>
      <c r="CZ413" s="24" t="n"/>
      <c r="DA413" s="24" t="n"/>
      <c r="DB413" s="24" t="n"/>
      <c r="DC413" s="24" t="n"/>
      <c r="DD413" s="24" t="n"/>
      <c r="DE413" s="24" t="n"/>
      <c r="DF413" s="24" t="n"/>
      <c r="DG413" s="24" t="n"/>
      <c r="DH413" s="24" t="n"/>
      <c r="DI413" s="24" t="n"/>
      <c r="DJ413" s="24" t="inlineStr">
        <is>
          <t>0.454545</t>
        </is>
      </c>
      <c r="DK413" s="24" t="n"/>
      <c r="DL413" s="24" t="n"/>
      <c r="DM413" s="24" t="n"/>
      <c r="DN413" s="24" t="n"/>
      <c r="DO413" s="24" t="n"/>
      <c r="DP413" s="24" t="n"/>
      <c r="DQ413" s="24" t="inlineStr">
        <is>
          <t>{"artifact_hash": "1d168f11d221cd3c", "event_id": "401858232", "event_start_utc": "2026-09-19T23:30Z", "features": {"altitude_fatigue_penalty": 0.0, "away_team": "Virginia Tech Hokies", "efficiency_gap": 0.595, "elo_away": 1232.1, "elo_home": 1224.9, "elo_home_win_prob": 0.5824, "event_id": "401858232", "game_start_utc": "2026-09-19T23:30Z", "home_field_advantage_points": 2.8, "home_team": "Maryland Terrapins", "is_dome": false, "is_fbs_vs_fcs": false, "is_neutral_site": false, "projected_away_points": 26.3, "projected_home_points": 28.6, "projected_margin_home": 2.4, "projected_possessions": 12.4, "projected_total": 54.9, "stadium_elevation_ft": 140, "travel_distance_miles": 225.0, "uncertainty": 0.18, "weather_total_adjustment": 0.0}, "historical_source_observation_times_verified": false, "inference_inputs": {"engine_source_sha256": "449ba2f0e86fa9c445730076a0e0bf100fb4914620be53c75c6f3bfe24298f3f", "mu_away": 26.3, "mu_home": 28.6,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12509473289762686371851591576995621212}, "uinteger": 0}, "spread_home_line": 2.5, "total_line": 53.5}, "market_type": "moneyline", "model_version": "college-football-v1", "observed_at_utc": "2026-09-19T22:46:25.988423+00:00", "probabilities": {"away": 0.449467, "home": 0.550533}, "replay_scope": "Full precision score means, exact engine parameters and original RNG state; upstream feature construction not certified.", "schema": "cfb-joint-replay-v1", "snapshot_hash": "ce88d4624b4f17dfdae3ef5f89e12de41b6d78a47625bea3c56b52363ce1cf1f", "sport": "NCAAF"}</t>
        </is>
      </c>
    </row>
    <row r="414" ht="36" customHeight="1">
      <c r="A414" s="24" t="inlineStr">
        <is>
          <t>f8fe0b62ba44448d</t>
        </is>
      </c>
      <c r="B414" s="24" t="inlineStr">
        <is>
          <t>2026-09-19T22:46:25.988423Z</t>
        </is>
      </c>
      <c r="C414" s="24" t="inlineStr">
        <is>
          <t>2026-09-19T23:30Z</t>
        </is>
      </c>
      <c r="D414" s="24" t="inlineStr">
        <is>
          <t>401858232</t>
        </is>
      </c>
      <c r="E414" s="24" t="inlineStr">
        <is>
          <t>NCAAF</t>
        </is>
      </c>
      <c r="F414" s="24" t="inlineStr">
        <is>
          <t>Virginia Tech Hokies</t>
        </is>
      </c>
      <c r="G414" s="24" t="inlineStr">
        <is>
          <t>Maryland Terrapins</t>
        </is>
      </c>
      <c r="H414" s="24" t="inlineStr">
        <is>
          <t>spread</t>
        </is>
      </c>
      <c r="I414" s="24" t="inlineStr">
        <is>
          <t>home</t>
        </is>
      </c>
      <c r="J414" s="25" t="n">
        <v>2.5</v>
      </c>
      <c r="K414" s="24" t="inlineStr">
        <is>
          <t>espn_consensus</t>
        </is>
      </c>
      <c r="L414" s="26" t="n">
        <v>-102</v>
      </c>
      <c r="M414" s="27" t="n">
        <v>1.980392</v>
      </c>
      <c r="N414" s="28" t="n">
        <v>0.50495</v>
      </c>
      <c r="O414" s="28" t="n">
        <v>0.6026</v>
      </c>
      <c r="P414" s="28" t="n">
        <v>0.18</v>
      </c>
      <c r="Q414" s="28" t="n">
        <v>0.09765</v>
      </c>
      <c r="R414" s="26" t="n">
        <v>0</v>
      </c>
      <c r="S414" s="29" t="n">
        <v>1</v>
      </c>
      <c r="T414" s="24" t="inlineStr">
        <is>
          <t>cfb-spread-v1</t>
        </is>
      </c>
      <c r="U414" s="24" t="inlineStr">
        <is>
          <t>settled</t>
        </is>
      </c>
      <c r="V414" s="24" t="inlineStr">
        <is>
          <t>loss</t>
        </is>
      </c>
      <c r="W414" s="26" t="n">
        <v>35</v>
      </c>
      <c r="X414" s="26" t="n">
        <v>26</v>
      </c>
      <c r="Y414" s="25" t="n"/>
      <c r="Z414" s="26" t="n"/>
      <c r="AA414" s="28" t="n"/>
      <c r="AB414" s="28" t="n"/>
      <c r="AC414" s="30" t="n">
        <v>-1</v>
      </c>
      <c r="AD414" s="24" t="inlineStr">
        <is>
          <t>2026-09-20T04:32:07.308778Z</t>
        </is>
      </c>
      <c r="AE414" s="31" t="inlineStr">
        <is>
          <t>Projected home margin +2.4 pts. Spread: Home +2.5 / Away -2.5 -&gt; P(Away cover)=0.397, P(Home cover)=0.603, P(Push)=0.000.</t>
        </is>
      </c>
      <c r="AF414" s="31" t="inlineStr">
        <is>
          <t>College football model; multi-market (moneyline, spread, total).</t>
        </is>
      </c>
      <c r="AG414" s="24" t="inlineStr">
        <is>
          <t>review_required</t>
        </is>
      </c>
      <c r="AH414" s="24" t="n"/>
      <c r="AI414" s="31" t="n"/>
      <c r="AJ414" s="31" t="n"/>
      <c r="AK414" s="24" t="inlineStr">
        <is>
          <t>model_qualified</t>
        </is>
      </c>
      <c r="AL414" s="26" t="n">
        <v>4</v>
      </c>
      <c r="AM414" s="24" t="inlineStr">
        <is>
          <t>QUALIFIED_SHADOW_CALL</t>
        </is>
      </c>
      <c r="AN414" s="24" t="inlineStr">
        <is>
          <t>CALL</t>
        </is>
      </c>
      <c r="AO414" s="24" t="inlineStr">
        <is>
          <t>QUALIFIED</t>
        </is>
      </c>
      <c r="AP414" s="24" t="inlineStr">
        <is>
          <t>Virginia Tech Hokies</t>
        </is>
      </c>
      <c r="AQ414" s="24" t="inlineStr">
        <is>
          <t>Virginia Tech Hokies</t>
        </is>
      </c>
      <c r="AR414" s="24" t="inlineStr">
        <is>
          <t>Virginia Tech Hokies</t>
        </is>
      </c>
      <c r="AS414" s="24" t="inlineStr">
        <is>
          <t>Maryland Terrapins</t>
        </is>
      </c>
      <c r="AT414" s="24" t="inlineStr">
        <is>
          <t>Maryland Terrapins</t>
        </is>
      </c>
      <c r="AU414" s="24" t="inlineStr">
        <is>
          <t>Maryland Terrapins</t>
        </is>
      </c>
      <c r="AV414" s="24" t="n"/>
      <c r="AW414" s="24" t="n"/>
      <c r="AX414" s="24" t="inlineStr">
        <is>
          <t>statistical_model</t>
        </is>
      </c>
      <c r="AY414" s="24" t="n"/>
      <c r="AZ414" s="24" t="inlineStr">
        <is>
          <t>shadow_qualified</t>
        </is>
      </c>
      <c r="BA414" s="24" t="inlineStr">
        <is>
          <t>1d168f11d221cd3c</t>
        </is>
      </c>
      <c r="BB414" s="24" t="inlineStr">
        <is>
          <t>cfb_key_number_engine</t>
        </is>
      </c>
      <c r="BC414" s="24" t="inlineStr">
        <is>
          <t>cfb-spread-v1</t>
        </is>
      </c>
      <c r="BD414" s="24" t="inlineStr">
        <is>
          <t>1d168f11d221cd3c</t>
        </is>
      </c>
      <c r="BE414" s="24" t="inlineStr">
        <is>
          <t>cfb-v1</t>
        </is>
      </c>
      <c r="BF414" s="24" t="inlineStr">
        <is>
          <t>1</t>
        </is>
      </c>
      <c r="BG414" s="24" t="inlineStr">
        <is>
          <t>1d168f11d221cd3c</t>
        </is>
      </c>
      <c r="BH414" s="24" t="inlineStr">
        <is>
          <t>2026-09-19T22:46:25.988423+00:00</t>
        </is>
      </c>
      <c r="BI414" s="24" t="inlineStr">
        <is>
          <t>["same_event","same_team_same_day","same_league_same_day"]</t>
        </is>
      </c>
      <c r="BJ414" s="25" t="n">
        <v>2.5</v>
      </c>
      <c r="BK414" s="26" t="n">
        <v>-102</v>
      </c>
      <c r="BL414" s="27" t="n">
        <v>1.980392</v>
      </c>
      <c r="BM414" s="28" t="n">
        <v>0.50495</v>
      </c>
      <c r="BN414" s="28" t="n"/>
      <c r="BO414" s="28" t="n"/>
      <c r="BP414" s="25" t="n"/>
      <c r="BQ414" s="27" t="n"/>
      <c r="BR414" s="28" t="n"/>
      <c r="BS414" s="28" t="n"/>
      <c r="BT414" s="28" t="n"/>
      <c r="BU414" s="25" t="n"/>
      <c r="BV414" s="29" t="n"/>
      <c r="BW414" s="24" t="n"/>
      <c r="BX414" s="30" t="n"/>
      <c r="BY414" s="27" t="n"/>
      <c r="BZ414" s="24" t="n"/>
      <c r="CA414" s="31" t="n"/>
      <c r="CB414" s="24" t="n"/>
      <c r="CC414" s="24" t="n"/>
      <c r="CD414" s="24" t="n"/>
      <c r="CE414" s="24" t="n"/>
      <c r="CF414" s="24" t="n"/>
      <c r="CG414" s="24" t="n"/>
      <c r="CH414" s="24" t="n"/>
      <c r="CI414" s="24" t="n"/>
      <c r="CJ414" s="24" t="n"/>
      <c r="CK414" s="24" t="n"/>
      <c r="CL414" s="24" t="n"/>
      <c r="CM414" s="24" t="n"/>
      <c r="CN414" s="24" t="n"/>
      <c r="CO414" s="24" t="n"/>
      <c r="CP414" s="24" t="n"/>
      <c r="CQ414" s="24" t="n"/>
      <c r="CR414" s="24" t="n"/>
      <c r="CS414" s="24" t="inlineStr">
        <is>
          <t>True</t>
        </is>
      </c>
      <c r="CT414" s="24" t="n"/>
      <c r="CU414" s="24" t="n"/>
      <c r="CV414" s="24" t="n"/>
      <c r="CW414" s="24" t="n"/>
      <c r="CX414" s="24" t="n"/>
      <c r="CY414" s="24" t="n"/>
      <c r="CZ414" s="24" t="n"/>
      <c r="DA414" s="24" t="n"/>
      <c r="DB414" s="24" t="n"/>
      <c r="DC414" s="24" t="n"/>
      <c r="DD414" s="24" t="n"/>
      <c r="DE414" s="24" t="n"/>
      <c r="DF414" s="24" t="n"/>
      <c r="DG414" s="24" t="n"/>
      <c r="DH414" s="24" t="n"/>
      <c r="DI414" s="24" t="n"/>
      <c r="DJ414" s="24" t="inlineStr">
        <is>
          <t>0.50495</t>
        </is>
      </c>
      <c r="DK414" s="24" t="n"/>
      <c r="DL414" s="24" t="n"/>
      <c r="DM414" s="24" t="n"/>
      <c r="DN414" s="24" t="n"/>
      <c r="DO414" s="24" t="n"/>
      <c r="DP414" s="24" t="n"/>
      <c r="DQ414" s="24" t="inlineStr">
        <is>
          <t>{"artifact_hash": "1d168f11d221cd3c", "event_id": "401858232", "event_start_utc": "2026-09-19T23:30Z", "features": {"altitude_fatigue_penalty": 0.0, "away_team": "Virginia Tech Hokies", "efficiency_gap": 0.595, "elo_away": 1232.1, "elo_home": 1224.9, "elo_home_win_prob": 0.5824, "event_id": "401858232", "game_start_utc": "2026-09-19T23:30Z", "home_field_advantage_points": 2.8, "home_team": "Maryland Terrapins", "is_dome": false, "is_fbs_vs_fcs": false, "is_neutral_site": false, "projected_away_points": 26.3, "projected_home_points": 28.6, "projected_margin_home": 2.4, "projected_possessions": 12.4, "projected_total": 54.9, "stadium_elevation_ft": 140, "travel_distance_miles": 225.0, "uncertainty": 0.18, "weather_total_adjustment": 0.0}, "historical_source_observation_times_verified": false, "inference_inputs": {"engine_source_sha256": "449ba2f0e86fa9c445730076a0e0bf100fb4914620be53c75c6f3bfe24298f3f", "mu_away": 26.3, "mu_home": 28.6,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12509473289762686371851591576995621212}, "uinteger": 0}, "spread_home_line": 2.5, "total_line": 53.5}, "market_type": "spread", "model_version": "cfb-spread-v1", "observed_at_utc": "2026-09-19T22:46:25.988423+00:00", "probabilities": {"away": 0.3974, "home": 0.6026, "push": 0.0}, "replay_scope": "Full precision score means, exact engine parameters and original RNG state; upstream feature construction not certified.", "schema": "cfb-joint-replay-v1", "snapshot_hash": "0bdb7736ff93d4e4d0ec69e48f847b88d59445b2b0c5de4b634caf633f8e5966", "sport": "NCAAF"}</t>
        </is>
      </c>
    </row>
    <row r="415" ht="36" customHeight="1">
      <c r="A415" s="24" t="inlineStr">
        <is>
          <t>39f71ed4d7744523</t>
        </is>
      </c>
      <c r="B415" s="24" t="inlineStr">
        <is>
          <t>2026-09-19T22:46:25.988423Z</t>
        </is>
      </c>
      <c r="C415" s="24" t="inlineStr">
        <is>
          <t>2026-09-19T23:30Z</t>
        </is>
      </c>
      <c r="D415" s="24" t="inlineStr">
        <is>
          <t>401858232</t>
        </is>
      </c>
      <c r="E415" s="24" t="inlineStr">
        <is>
          <t>NCAAF</t>
        </is>
      </c>
      <c r="F415" s="24" t="inlineStr">
        <is>
          <t>Virginia Tech Hokies</t>
        </is>
      </c>
      <c r="G415" s="24" t="inlineStr">
        <is>
          <t>Maryland Terrapins</t>
        </is>
      </c>
      <c r="H415" s="24" t="inlineStr">
        <is>
          <t>total</t>
        </is>
      </c>
      <c r="I415" s="24" t="inlineStr">
        <is>
          <t>under</t>
        </is>
      </c>
      <c r="J415" s="25" t="n">
        <v>53.5</v>
      </c>
      <c r="K415" s="24" t="inlineStr">
        <is>
          <t>espn_consensus</t>
        </is>
      </c>
      <c r="L415" s="26" t="n">
        <v>-110</v>
      </c>
      <c r="M415" s="27" t="n">
        <v>1.909091</v>
      </c>
      <c r="N415" s="28" t="n">
        <v>0.52381</v>
      </c>
      <c r="O415" s="28" t="n">
        <v>0.5104</v>
      </c>
      <c r="P415" s="28" t="n">
        <v>0.18</v>
      </c>
      <c r="Q415" s="28" t="n">
        <v>-0.01341</v>
      </c>
      <c r="R415" s="26" t="n">
        <v>0</v>
      </c>
      <c r="S415" s="29" t="n">
        <v>1</v>
      </c>
      <c r="T415" s="24" t="inlineStr">
        <is>
          <t>cfb-total-v1</t>
        </is>
      </c>
      <c r="U415" s="24" t="inlineStr">
        <is>
          <t>settled</t>
        </is>
      </c>
      <c r="V415" s="24" t="inlineStr">
        <is>
          <t>loss</t>
        </is>
      </c>
      <c r="W415" s="26" t="n">
        <v>35</v>
      </c>
      <c r="X415" s="26" t="n">
        <v>26</v>
      </c>
      <c r="Y415" s="25" t="n"/>
      <c r="Z415" s="26" t="n"/>
      <c r="AA415" s="28" t="n"/>
      <c r="AB415" s="28" t="n"/>
      <c r="AC415" s="30" t="n">
        <v>-1</v>
      </c>
      <c r="AD415" s="24" t="inlineStr">
        <is>
          <t>2026-09-20T04:32:07.810151Z</t>
        </is>
      </c>
      <c r="AE415" s="31" t="inlineStr">
        <is>
          <t>Projected total 54.9 pts (Weather adj: +0.0 pts). Total line 53.5 -&gt; P(Over)=0.490, P(Under)=0.510, P(Push)=0.000.</t>
        </is>
      </c>
      <c r="AF415" s="31" t="inlineStr">
        <is>
          <t>College football model; multi-market (moneyline, spread, total).</t>
        </is>
      </c>
      <c r="AG415" s="24" t="inlineStr">
        <is>
          <t>review_required</t>
        </is>
      </c>
      <c r="AH415" s="24" t="n"/>
      <c r="AI415" s="31" t="n"/>
      <c r="AJ415" s="31" t="n"/>
      <c r="AK415" s="24" t="inlineStr">
        <is>
          <t>paper_call</t>
        </is>
      </c>
      <c r="AL415" s="26" t="n">
        <v>4</v>
      </c>
      <c r="AM415" s="24" t="inlineStr">
        <is>
          <t>RESEARCH_OBSERVATION</t>
        </is>
      </c>
      <c r="AN415" s="24" t="inlineStr">
        <is>
          <t>CALL</t>
        </is>
      </c>
      <c r="AO415" s="24" t="inlineStr">
        <is>
          <t>PAPER_CALL_LOW_EDGE</t>
        </is>
      </c>
      <c r="AP415" s="24" t="inlineStr">
        <is>
          <t>Virginia Tech Hokies</t>
        </is>
      </c>
      <c r="AQ415" s="24" t="inlineStr">
        <is>
          <t>Virginia Tech Hokies</t>
        </is>
      </c>
      <c r="AR415" s="24" t="inlineStr">
        <is>
          <t>Virginia Tech Hokies</t>
        </is>
      </c>
      <c r="AS415" s="24" t="inlineStr">
        <is>
          <t>Maryland Terrapins</t>
        </is>
      </c>
      <c r="AT415" s="24" t="inlineStr">
        <is>
          <t>Maryland Terrapins</t>
        </is>
      </c>
      <c r="AU415" s="24" t="inlineStr">
        <is>
          <t>Maryland Terrapins</t>
        </is>
      </c>
      <c r="AV415" s="24" t="n"/>
      <c r="AW415" s="24" t="n"/>
      <c r="AX415" s="24" t="inlineStr">
        <is>
          <t>statistical_model</t>
        </is>
      </c>
      <c r="AY415" s="24" t="n"/>
      <c r="AZ415" s="24" t="inlineStr">
        <is>
          <t>shadow_qualified</t>
        </is>
      </c>
      <c r="BA415" s="24" t="inlineStr">
        <is>
          <t>1d168f11d221cd3c</t>
        </is>
      </c>
      <c r="BB415" s="24" t="inlineStr">
        <is>
          <t>cfb_key_number_engine</t>
        </is>
      </c>
      <c r="BC415" s="24" t="inlineStr">
        <is>
          <t>cfb-total-v1</t>
        </is>
      </c>
      <c r="BD415" s="24" t="inlineStr">
        <is>
          <t>1d168f11d221cd3c</t>
        </is>
      </c>
      <c r="BE415" s="24" t="inlineStr">
        <is>
          <t>cfb-v1</t>
        </is>
      </c>
      <c r="BF415" s="24" t="inlineStr">
        <is>
          <t>1</t>
        </is>
      </c>
      <c r="BG415" s="24" t="inlineStr">
        <is>
          <t>1d168f11d221cd3c</t>
        </is>
      </c>
      <c r="BH415" s="24" t="inlineStr">
        <is>
          <t>2026-09-19T22:46:25.988423+00:00</t>
        </is>
      </c>
      <c r="BI415" s="24" t="inlineStr">
        <is>
          <t>["same_event","same_team_same_day","same_league_same_day"]</t>
        </is>
      </c>
      <c r="BJ415" s="25" t="n">
        <v>53.5</v>
      </c>
      <c r="BK415" s="26" t="n">
        <v>-110</v>
      </c>
      <c r="BL415" s="27" t="n">
        <v>1.909091</v>
      </c>
      <c r="BM415" s="28" t="n">
        <v>0.52381</v>
      </c>
      <c r="BN415" s="28" t="n"/>
      <c r="BO415" s="28" t="n"/>
      <c r="BP415" s="25" t="n"/>
      <c r="BQ415" s="27" t="n"/>
      <c r="BR415" s="28" t="n"/>
      <c r="BS415" s="28" t="n"/>
      <c r="BT415" s="28" t="n"/>
      <c r="BU415" s="25" t="n"/>
      <c r="BV415" s="29" t="n"/>
      <c r="BW415" s="24" t="n"/>
      <c r="BX415" s="30" t="n">
        <v>1</v>
      </c>
      <c r="BY415" s="27" t="n">
        <v>-1</v>
      </c>
      <c r="BZ415" s="24" t="inlineStr">
        <is>
          <t>2026-09-20T04:32:07.810151Z</t>
        </is>
      </c>
      <c r="CA415" s="31" t="inlineStr">
        <is>
          <t>fixed one-unit hypothetical scoring; no real exposure or execution</t>
        </is>
      </c>
      <c r="CB415" s="24" t="n"/>
      <c r="CC415" s="24" t="n"/>
      <c r="CD415" s="24" t="n"/>
      <c r="CE415" s="24" t="n"/>
      <c r="CF415" s="24" t="n"/>
      <c r="CG415" s="24" t="n"/>
      <c r="CH415" s="24" t="n"/>
      <c r="CI415" s="24" t="n"/>
      <c r="CJ415" s="24" t="n"/>
      <c r="CK415" s="24" t="n"/>
      <c r="CL415" s="24" t="n"/>
      <c r="CM415" s="24" t="n"/>
      <c r="CN415" s="24" t="n"/>
      <c r="CO415" s="24" t="n"/>
      <c r="CP415" s="24" t="n"/>
      <c r="CQ415" s="24" t="n"/>
      <c r="CR415" s="24" t="n"/>
      <c r="CS415" s="24" t="inlineStr">
        <is>
          <t>False</t>
        </is>
      </c>
      <c r="CT415" s="24" t="n"/>
      <c r="CU415" s="24" t="n"/>
      <c r="CV415" s="24" t="n"/>
      <c r="CW415" s="24" t="n"/>
      <c r="CX415" s="24" t="n"/>
      <c r="CY415" s="24" t="n"/>
      <c r="CZ415" s="24" t="n"/>
      <c r="DA415" s="24" t="n"/>
      <c r="DB415" s="24" t="n"/>
      <c r="DC415" s="24" t="n"/>
      <c r="DD415" s="24" t="n"/>
      <c r="DE415" s="24" t="n"/>
      <c r="DF415" s="24" t="n"/>
      <c r="DG415" s="24" t="n"/>
      <c r="DH415" s="24" t="n"/>
      <c r="DI415" s="24" t="n"/>
      <c r="DJ415" s="24" t="inlineStr">
        <is>
          <t>0.52381</t>
        </is>
      </c>
      <c r="DK415" s="24" t="n"/>
      <c r="DL415" s="24" t="n"/>
      <c r="DM415" s="24" t="n"/>
      <c r="DN415" s="24" t="n"/>
      <c r="DO415" s="24" t="n"/>
      <c r="DP415" s="24" t="n"/>
      <c r="DQ415" s="24" t="inlineStr">
        <is>
          <t>{"artifact_hash": "1d168f11d221cd3c", "event_id": "401858232", "event_start_utc": "2026-09-19T23:30Z", "features": {"altitude_fatigue_penalty": 0.0, "away_team": "Virginia Tech Hokies", "efficiency_gap": 0.595, "elo_away": 1232.1, "elo_home": 1224.9, "elo_home_win_prob": 0.5824, "event_id": "401858232", "game_start_utc": "2026-09-19T23:30Z", "home_field_advantage_points": 2.8, "home_team": "Maryland Terrapins", "is_dome": false, "is_fbs_vs_fcs": false, "is_neutral_site": false, "projected_away_points": 26.3, "projected_home_points": 28.6, "projected_margin_home": 2.4, "projected_possessions": 12.4, "projected_total": 54.9, "stadium_elevation_ft": 140, "travel_distance_miles": 225.0, "uncertainty": 0.18, "weather_total_adjustment": 0.0}, "historical_source_observation_times_verified": false, "inference_inputs": {"engine_source_sha256": "449ba2f0e86fa9c445730076a0e0bf100fb4914620be53c75c6f3bfe24298f3f", "mu_away": 26.3, "mu_home": 28.6,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12509473289762686371851591576995621212}, "uinteger": 0}, "spread_home_line": 2.5, "total_line": 53.5}, "market_type": "total", "model_version": "cfb-total-v1", "observed_at_utc": "2026-09-19T22:46:25.988423+00:00", "probabilities": {"over": 0.4896, "push": 0.0, "under": 0.5104}, "replay_scope": "Full precision score means, exact engine parameters and original RNG state; upstream feature construction not certified.", "schema": "cfb-joint-replay-v1", "snapshot_hash": "8fdc30a8954de81e3b2e6e606c03f5c13b3a4d8bdb2333d62dec02b8af716ff6", "sport": "NCAAF"}</t>
        </is>
      </c>
    </row>
    <row r="416" ht="36" customHeight="1">
      <c r="A416" s="24" t="inlineStr">
        <is>
          <t>51327c98d51343f3</t>
        </is>
      </c>
      <c r="B416" s="24" t="inlineStr">
        <is>
          <t>2026-09-19T22:46:25.988423Z</t>
        </is>
      </c>
      <c r="C416" s="24" t="inlineStr">
        <is>
          <t>2026-09-19T23:45Z</t>
        </is>
      </c>
      <c r="D416" s="24" t="inlineStr">
        <is>
          <t>401856692</t>
        </is>
      </c>
      <c r="E416" s="24" t="inlineStr">
        <is>
          <t>NCAAF</t>
        </is>
      </c>
      <c r="F416" s="24" t="inlineStr">
        <is>
          <t>Kennesaw State Owls</t>
        </is>
      </c>
      <c r="G416" s="24" t="inlineStr">
        <is>
          <t>Tennessee Volunteers</t>
        </is>
      </c>
      <c r="H416" s="24" t="inlineStr">
        <is>
          <t>moneyline</t>
        </is>
      </c>
      <c r="I416" s="24" t="inlineStr">
        <is>
          <t>home</t>
        </is>
      </c>
      <c r="J416" s="25" t="n"/>
      <c r="K416" s="24" t="inlineStr">
        <is>
          <t>espn_consensus</t>
        </is>
      </c>
      <c r="L416" s="26" t="n">
        <v>-8000</v>
      </c>
      <c r="M416" s="27" t="n">
        <v>1.0125</v>
      </c>
      <c r="N416" s="28" t="n">
        <v>0.987654</v>
      </c>
      <c r="O416" s="28" t="n">
        <v>0.708072</v>
      </c>
      <c r="P416" s="28" t="n">
        <v>0.18</v>
      </c>
      <c r="Q416" s="28" t="n">
        <v>-0.279582</v>
      </c>
      <c r="R416" s="26" t="n">
        <v>0</v>
      </c>
      <c r="S416" s="29" t="n">
        <v>1</v>
      </c>
      <c r="T416" s="24" t="inlineStr">
        <is>
          <t>college-football-v1</t>
        </is>
      </c>
      <c r="U416" s="24" t="inlineStr">
        <is>
          <t>settled</t>
        </is>
      </c>
      <c r="V416" s="24" t="inlineStr">
        <is>
          <t>win</t>
        </is>
      </c>
      <c r="W416" s="26" t="n">
        <v>9</v>
      </c>
      <c r="X416" s="26" t="n">
        <v>42</v>
      </c>
      <c r="Y416" s="25" t="n"/>
      <c r="Z416" s="26" t="n"/>
      <c r="AA416" s="28" t="n"/>
      <c r="AB416" s="28" t="n"/>
      <c r="AC416" s="30" t="n">
        <v>0.0125</v>
      </c>
      <c r="AD416" s="24" t="inlineStr">
        <is>
          <t>2026-09-20T04:32:08.305188Z</t>
        </is>
      </c>
      <c r="AE416" s="31" t="inlineStr">
        <is>
          <t>CFB Joint Model (negative_binomial): proj score Kennesaw State Owls 22.4 @ Tennessee Volunteers 32.6 (Margin +10.2). Possessions: 12.4, HFA: +2.8 pts.</t>
        </is>
      </c>
      <c r="AF416" s="31" t="inlineStr">
        <is>
          <t>College football model; multi-market (moneyline, spread, total).</t>
        </is>
      </c>
      <c r="AG416" s="24" t="inlineStr">
        <is>
          <t>not_applicable</t>
        </is>
      </c>
      <c r="AH416" s="24" t="n"/>
      <c r="AI416" s="31" t="n"/>
      <c r="AJ416" s="31" t="n"/>
      <c r="AK416" s="24" t="inlineStr">
        <is>
          <t>paper_call</t>
        </is>
      </c>
      <c r="AL416" s="26" t="n">
        <v>4</v>
      </c>
      <c r="AM416" s="24" t="inlineStr">
        <is>
          <t>RESEARCH_OBSERVATION</t>
        </is>
      </c>
      <c r="AN416" s="24" t="inlineStr">
        <is>
          <t>CALL</t>
        </is>
      </c>
      <c r="AO416" s="24" t="inlineStr">
        <is>
          <t>PAPER_CALL_LOW_EDGE</t>
        </is>
      </c>
      <c r="AP416" s="24" t="inlineStr">
        <is>
          <t>Kennesaw State Owls</t>
        </is>
      </c>
      <c r="AQ416" s="24" t="inlineStr">
        <is>
          <t>Kennesaw State Owls</t>
        </is>
      </c>
      <c r="AR416" s="24" t="inlineStr">
        <is>
          <t>Kennesaw State Owls</t>
        </is>
      </c>
      <c r="AS416" s="24" t="inlineStr">
        <is>
          <t>Tennessee Volunteers</t>
        </is>
      </c>
      <c r="AT416" s="24" t="inlineStr">
        <is>
          <t>Tennessee Volunteers</t>
        </is>
      </c>
      <c r="AU416" s="24" t="inlineStr">
        <is>
          <t>Tennessee Volunteers</t>
        </is>
      </c>
      <c r="AV416" s="24" t="n"/>
      <c r="AW416" s="24" t="n"/>
      <c r="AX416" s="24" t="inlineStr">
        <is>
          <t>statistical_model</t>
        </is>
      </c>
      <c r="AY416" s="24" t="n"/>
      <c r="AZ416" s="24" t="inlineStr">
        <is>
          <t>shadow_qualified</t>
        </is>
      </c>
      <c r="BA416" s="24" t="inlineStr">
        <is>
          <t>1d168f11d221cd3c</t>
        </is>
      </c>
      <c r="BB416" s="24" t="inlineStr">
        <is>
          <t>cfb_key_number_engine</t>
        </is>
      </c>
      <c r="BC416" s="24" t="inlineStr">
        <is>
          <t>college-football-v1</t>
        </is>
      </c>
      <c r="BD416" s="24" t="inlineStr">
        <is>
          <t>1d168f11d221cd3c</t>
        </is>
      </c>
      <c r="BE416" s="24" t="inlineStr">
        <is>
          <t>cfb-v1</t>
        </is>
      </c>
      <c r="BF416" s="24" t="inlineStr">
        <is>
          <t>1</t>
        </is>
      </c>
      <c r="BG416" s="24" t="inlineStr">
        <is>
          <t>1d168f11d221cd3c</t>
        </is>
      </c>
      <c r="BH416" s="24" t="inlineStr">
        <is>
          <t>2026-09-19T22:46:25.988423+00:00</t>
        </is>
      </c>
      <c r="BI416" s="24" t="inlineStr">
        <is>
          <t>["same_event","same_team_same_day","same_league_same_day"]</t>
        </is>
      </c>
      <c r="BJ416" s="25" t="n"/>
      <c r="BK416" s="26" t="n">
        <v>-8000</v>
      </c>
      <c r="BL416" s="27" t="n">
        <v>1.0125</v>
      </c>
      <c r="BM416" s="28" t="n">
        <v>0.987654</v>
      </c>
      <c r="BN416" s="28" t="n"/>
      <c r="BO416" s="28" t="n"/>
      <c r="BP416" s="25" t="n"/>
      <c r="BQ416" s="27" t="n"/>
      <c r="BR416" s="28" t="n"/>
      <c r="BS416" s="28" t="n"/>
      <c r="BT416" s="28" t="n"/>
      <c r="BU416" s="25" t="n"/>
      <c r="BV416" s="29" t="n"/>
      <c r="BW416" s="24" t="n"/>
      <c r="BX416" s="30" t="n">
        <v>1</v>
      </c>
      <c r="BY416" s="27" t="n">
        <v>0.0125</v>
      </c>
      <c r="BZ416" s="24" t="inlineStr">
        <is>
          <t>2026-09-20T04:32:08.305188Z</t>
        </is>
      </c>
      <c r="CA416" s="31" t="inlineStr">
        <is>
          <t>fixed one-unit hypothetical scoring; no real exposure or execution</t>
        </is>
      </c>
      <c r="CB416" s="24" t="n"/>
      <c r="CC416" s="24" t="n"/>
      <c r="CD416" s="24" t="n"/>
      <c r="CE416" s="24" t="n"/>
      <c r="CF416" s="24" t="n"/>
      <c r="CG416" s="24" t="n"/>
      <c r="CH416" s="24" t="n"/>
      <c r="CI416" s="24" t="n"/>
      <c r="CJ416" s="24" t="n"/>
      <c r="CK416" s="24" t="n"/>
      <c r="CL416" s="24" t="n"/>
      <c r="CM416" s="24" t="n"/>
      <c r="CN416" s="24" t="n"/>
      <c r="CO416" s="24" t="n"/>
      <c r="CP416" s="24" t="n"/>
      <c r="CQ416" s="24" t="n"/>
      <c r="CR416" s="24" t="n"/>
      <c r="CS416" s="24" t="inlineStr">
        <is>
          <t>False</t>
        </is>
      </c>
      <c r="CT416" s="24" t="n"/>
      <c r="CU416" s="24" t="n"/>
      <c r="CV416" s="24" t="n"/>
      <c r="CW416" s="24" t="n"/>
      <c r="CX416" s="24" t="n"/>
      <c r="CY416" s="24" t="n"/>
      <c r="CZ416" s="24" t="n"/>
      <c r="DA416" s="24" t="n"/>
      <c r="DB416" s="24" t="n"/>
      <c r="DC416" s="24" t="n"/>
      <c r="DD416" s="24" t="n"/>
      <c r="DE416" s="24" t="n"/>
      <c r="DF416" s="24" t="n"/>
      <c r="DG416" s="24" t="n"/>
      <c r="DH416" s="24" t="n"/>
      <c r="DI416" s="24" t="n"/>
      <c r="DJ416" s="24" t="inlineStr">
        <is>
          <t>0.987654</t>
        </is>
      </c>
      <c r="DK416" s="24" t="n"/>
      <c r="DL416" s="24" t="n"/>
      <c r="DM416" s="24" t="n"/>
      <c r="DN416" s="24" t="n"/>
      <c r="DO416" s="24" t="n"/>
      <c r="DP416" s="24" t="n"/>
      <c r="DQ416" s="24" t="inlineStr">
        <is>
          <t>{"artifact_hash": "1d168f11d221cd3c", "event_id": "401856692", "event_start_utc": "2026-09-19T23:45Z", "features": {"altitude_fatigue_penalty": 0.0, "away_team": "Kennesaw State Owls", "efficiency_gap": 3.136, "elo_away": 1459.0, "elo_home": 1644.1, "elo_home_win_prob": 0.8084, "event_id": "401856692", "game_start_utc": "2026-09-19T23:45Z", "home_field_advantage_points": 2.8, "home_team": "Tennessee Volunteers", "is_dome": false, "is_fbs_vs_fcs": false, "is_neutral_site": false, "projected_away_points": 22.4, "projected_home_points": 32.6, "projected_margin_home": 10.2, "projected_possessions": 12.4, "projected_total": 55.1, "stadium_elevation_ft": 890, "travel_distance_miles": 138.0, "uncertainty": 0.18, "weather_total_adjustment": 0.0}, "historical_source_observation_times_verified": false, "inference_inputs": {"engine_source_sha256": "449ba2f0e86fa9c445730076a0e0bf100fb4914620be53c75c6f3bfe24298f3f", "mu_away": 22.4, "mu_home": 32.6,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329840176580082657577400031058822608078}, "uinteger": 0}, "spread_home_line": -35.5, "total_line": 60.5}, "market_type": "moneyline", "model_version": "college-football-v1", "observed_at_utc": "2026-09-19T22:46:25.988423+00:00", "probabilities": {"away": 0.291928, "home": 0.708072}, "replay_scope": "Full precision score means, exact engine parameters and original RNG state; upstream feature construction not certified.", "schema": "cfb-joint-replay-v1", "snapshot_hash": "7a8ad837330b1df5ac704f37ba9dfdb8968ebfdc5f8c2c1bf6cad319a8fa40cf", "sport": "NCAAF"}</t>
        </is>
      </c>
    </row>
    <row r="417" ht="36" customHeight="1">
      <c r="A417" s="24" t="inlineStr">
        <is>
          <t>9c3ba406457142b9</t>
        </is>
      </c>
      <c r="B417" s="24" t="inlineStr">
        <is>
          <t>2026-09-19T22:46:25.988423Z</t>
        </is>
      </c>
      <c r="C417" s="24" t="inlineStr">
        <is>
          <t>2026-09-19T23:45Z</t>
        </is>
      </c>
      <c r="D417" s="24" t="inlineStr">
        <is>
          <t>401856692</t>
        </is>
      </c>
      <c r="E417" s="24" t="inlineStr">
        <is>
          <t>NCAAF</t>
        </is>
      </c>
      <c r="F417" s="24" t="inlineStr">
        <is>
          <t>Kennesaw State Owls</t>
        </is>
      </c>
      <c r="G417" s="24" t="inlineStr">
        <is>
          <t>Tennessee Volunteers</t>
        </is>
      </c>
      <c r="H417" s="24" t="inlineStr">
        <is>
          <t>spread</t>
        </is>
      </c>
      <c r="I417" s="24" t="inlineStr">
        <is>
          <t>away</t>
        </is>
      </c>
      <c r="J417" s="25" t="n">
        <v>35.5</v>
      </c>
      <c r="K417" s="24" t="inlineStr">
        <is>
          <t>espn_consensus</t>
        </is>
      </c>
      <c r="L417" s="26" t="n">
        <v>-112</v>
      </c>
      <c r="M417" s="27" t="n">
        <v>1.892857</v>
      </c>
      <c r="N417" s="28" t="n">
        <v>0.528302</v>
      </c>
      <c r="O417" s="28" t="n">
        <v>0.8944</v>
      </c>
      <c r="P417" s="28" t="n">
        <v>0.18</v>
      </c>
      <c r="Q417" s="28" t="n">
        <v>0.366098</v>
      </c>
      <c r="R417" s="26" t="n">
        <v>100</v>
      </c>
      <c r="S417" s="29" t="n">
        <v>2</v>
      </c>
      <c r="T417" s="24" t="inlineStr">
        <is>
          <t>cfb-spread-v1</t>
        </is>
      </c>
      <c r="U417" s="24" t="inlineStr">
        <is>
          <t>settled</t>
        </is>
      </c>
      <c r="V417" s="24" t="inlineStr">
        <is>
          <t>win</t>
        </is>
      </c>
      <c r="W417" s="26" t="n">
        <v>9</v>
      </c>
      <c r="X417" s="26" t="n">
        <v>42</v>
      </c>
      <c r="Y417" s="25" t="n"/>
      <c r="Z417" s="26" t="n"/>
      <c r="AA417" s="28" t="n"/>
      <c r="AB417" s="28" t="n"/>
      <c r="AC417" s="30" t="n">
        <v>1.7857</v>
      </c>
      <c r="AD417" s="24" t="inlineStr">
        <is>
          <t>2026-09-20T04:32:08.751165Z</t>
        </is>
      </c>
      <c r="AE417" s="31" t="inlineStr">
        <is>
          <t>Projected home margin +10.2 pts. Spread: Home -35.5 / Away +35.5 -&gt; P(Away cover)=0.894, P(Home cover)=0.106, P(Push)=0.000.</t>
        </is>
      </c>
      <c r="AF417" s="31" t="inlineStr">
        <is>
          <t>College football model; multi-market (moneyline, spread, total).</t>
        </is>
      </c>
      <c r="AG417" s="24" t="inlineStr">
        <is>
          <t>not_applicable</t>
        </is>
      </c>
      <c r="AH417" s="24" t="n"/>
      <c r="AI417" s="31" t="n"/>
      <c r="AJ417" s="31" t="n"/>
      <c r="AK417" s="24" t="inlineStr">
        <is>
          <t>model_qualified</t>
        </is>
      </c>
      <c r="AL417" s="26" t="n">
        <v>4</v>
      </c>
      <c r="AM417" s="24" t="inlineStr">
        <is>
          <t>QUALIFIED_SHADOW_CALL</t>
        </is>
      </c>
      <c r="AN417" s="24" t="inlineStr">
        <is>
          <t>CALL</t>
        </is>
      </c>
      <c r="AO417" s="24" t="inlineStr">
        <is>
          <t>QUALIFIED</t>
        </is>
      </c>
      <c r="AP417" s="24" t="inlineStr">
        <is>
          <t>Kennesaw State Owls</t>
        </is>
      </c>
      <c r="AQ417" s="24" t="inlineStr">
        <is>
          <t>Kennesaw State Owls</t>
        </is>
      </c>
      <c r="AR417" s="24" t="inlineStr">
        <is>
          <t>Kennesaw State Owls</t>
        </is>
      </c>
      <c r="AS417" s="24" t="inlineStr">
        <is>
          <t>Tennessee Volunteers</t>
        </is>
      </c>
      <c r="AT417" s="24" t="inlineStr">
        <is>
          <t>Tennessee Volunteers</t>
        </is>
      </c>
      <c r="AU417" s="24" t="inlineStr">
        <is>
          <t>Tennessee Volunteers</t>
        </is>
      </c>
      <c r="AV417" s="24" t="n"/>
      <c r="AW417" s="24" t="n"/>
      <c r="AX417" s="24" t="inlineStr">
        <is>
          <t>statistical_model</t>
        </is>
      </c>
      <c r="AY417" s="24" t="n"/>
      <c r="AZ417" s="24" t="inlineStr">
        <is>
          <t>shadow_qualified</t>
        </is>
      </c>
      <c r="BA417" s="24" t="inlineStr">
        <is>
          <t>1d168f11d221cd3c</t>
        </is>
      </c>
      <c r="BB417" s="24" t="inlineStr">
        <is>
          <t>cfb_key_number_engine</t>
        </is>
      </c>
      <c r="BC417" s="24" t="inlineStr">
        <is>
          <t>cfb-spread-v1</t>
        </is>
      </c>
      <c r="BD417" s="24" t="inlineStr">
        <is>
          <t>1d168f11d221cd3c</t>
        </is>
      </c>
      <c r="BE417" s="24" t="inlineStr">
        <is>
          <t>cfb-v1</t>
        </is>
      </c>
      <c r="BF417" s="24" t="inlineStr">
        <is>
          <t>1</t>
        </is>
      </c>
      <c r="BG417" s="24" t="inlineStr">
        <is>
          <t>1d168f11d221cd3c</t>
        </is>
      </c>
      <c r="BH417" s="24" t="inlineStr">
        <is>
          <t>2026-09-19T22:46:25.988423+00:00</t>
        </is>
      </c>
      <c r="BI417" s="24" t="inlineStr">
        <is>
          <t>["same_event","same_team_same_day","same_league_same_day"]</t>
        </is>
      </c>
      <c r="BJ417" s="25" t="n">
        <v>35.5</v>
      </c>
      <c r="BK417" s="26" t="n">
        <v>-112</v>
      </c>
      <c r="BL417" s="27" t="n">
        <v>1.892857</v>
      </c>
      <c r="BM417" s="28" t="n">
        <v>0.528302</v>
      </c>
      <c r="BN417" s="28" t="n"/>
      <c r="BO417" s="28" t="n"/>
      <c r="BP417" s="25" t="n"/>
      <c r="BQ417" s="27" t="n"/>
      <c r="BR417" s="28" t="n"/>
      <c r="BS417" s="28" t="n"/>
      <c r="BT417" s="28" t="n"/>
      <c r="BU417" s="25" t="n"/>
      <c r="BV417" s="29" t="n"/>
      <c r="BW417" s="24" t="n"/>
      <c r="BX417" s="30" t="n"/>
      <c r="BY417" s="27" t="n"/>
      <c r="BZ417" s="24" t="n"/>
      <c r="CA417" s="31" t="n"/>
      <c r="CB417" s="24" t="n"/>
      <c r="CC417" s="24" t="n"/>
      <c r="CD417" s="24" t="n"/>
      <c r="CE417" s="24" t="n"/>
      <c r="CF417" s="24" t="n"/>
      <c r="CG417" s="24" t="n"/>
      <c r="CH417" s="24" t="n"/>
      <c r="CI417" s="24" t="n"/>
      <c r="CJ417" s="24" t="n"/>
      <c r="CK417" s="24" t="n"/>
      <c r="CL417" s="24" t="n"/>
      <c r="CM417" s="24" t="n"/>
      <c r="CN417" s="24" t="n"/>
      <c r="CO417" s="24" t="n"/>
      <c r="CP417" s="24" t="n"/>
      <c r="CQ417" s="24" t="n"/>
      <c r="CR417" s="24" t="n"/>
      <c r="CS417" s="24" t="inlineStr">
        <is>
          <t>True</t>
        </is>
      </c>
      <c r="CT417" s="24" t="n"/>
      <c r="CU417" s="24" t="n"/>
      <c r="CV417" s="24" t="n"/>
      <c r="CW417" s="24" t="n"/>
      <c r="CX417" s="24" t="n"/>
      <c r="CY417" s="24" t="n"/>
      <c r="CZ417" s="24" t="n"/>
      <c r="DA417" s="24" t="n"/>
      <c r="DB417" s="24" t="n"/>
      <c r="DC417" s="24" t="n"/>
      <c r="DD417" s="24" t="n"/>
      <c r="DE417" s="24" t="n"/>
      <c r="DF417" s="24" t="n"/>
      <c r="DG417" s="24" t="n"/>
      <c r="DH417" s="24" t="n"/>
      <c r="DI417" s="24" t="n"/>
      <c r="DJ417" s="24" t="inlineStr">
        <is>
          <t>0.528302</t>
        </is>
      </c>
      <c r="DK417" s="24" t="n"/>
      <c r="DL417" s="24" t="n"/>
      <c r="DM417" s="24" t="n"/>
      <c r="DN417" s="24" t="n"/>
      <c r="DO417" s="24" t="n"/>
      <c r="DP417" s="24" t="n"/>
      <c r="DQ417" s="24" t="inlineStr">
        <is>
          <t>{"artifact_hash": "1d168f11d221cd3c", "event_id": "401856692", "event_start_utc": "2026-09-19T23:45Z", "features": {"altitude_fatigue_penalty": 0.0, "away_team": "Kennesaw State Owls", "efficiency_gap": 3.136, "elo_away": 1459.0, "elo_home": 1644.1, "elo_home_win_prob": 0.8084, "event_id": "401856692", "game_start_utc": "2026-09-19T23:45Z", "home_field_advantage_points": 2.8, "home_team": "Tennessee Volunteers", "is_dome": false, "is_fbs_vs_fcs": false, "is_neutral_site": false, "projected_away_points": 22.4, "projected_home_points": 32.6, "projected_margin_home": 10.2, "projected_possessions": 12.4, "projected_total": 55.1, "stadium_elevation_ft": 890, "travel_distance_miles": 138.0, "uncertainty": 0.18, "weather_total_adjustment": 0.0}, "historical_source_observation_times_verified": false, "inference_inputs": {"engine_source_sha256": "449ba2f0e86fa9c445730076a0e0bf100fb4914620be53c75c6f3bfe24298f3f", "mu_away": 22.4, "mu_home": 32.6,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329840176580082657577400031058822608078}, "uinteger": 0}, "spread_home_line": -35.5, "total_line": 60.5}, "market_type": "spread", "model_version": "cfb-spread-v1", "observed_at_utc": "2026-09-19T22:46:25.988423+00:00", "probabilities": {"away": 0.8944, "home": 0.1056, "push": 0.0}, "replay_scope": "Full precision score means, exact engine parameters and original RNG state; upstream feature construction not certified.", "schema": "cfb-joint-replay-v1", "snapshot_hash": "ccaa3823898d40db4c55ada1cd15038ac049c81d06b25ad0f85a30f4bbd8e640", "sport": "NCAAF"}</t>
        </is>
      </c>
    </row>
    <row r="418" ht="36" customHeight="1">
      <c r="A418" s="24" t="inlineStr">
        <is>
          <t>439cc921435047ce</t>
        </is>
      </c>
      <c r="B418" s="24" t="inlineStr">
        <is>
          <t>2026-09-19T22:46:25.988423Z</t>
        </is>
      </c>
      <c r="C418" s="24" t="inlineStr">
        <is>
          <t>2026-09-19T23:45Z</t>
        </is>
      </c>
      <c r="D418" s="24" t="inlineStr">
        <is>
          <t>401856692</t>
        </is>
      </c>
      <c r="E418" s="24" t="inlineStr">
        <is>
          <t>NCAAF</t>
        </is>
      </c>
      <c r="F418" s="24" t="inlineStr">
        <is>
          <t>Kennesaw State Owls</t>
        </is>
      </c>
      <c r="G418" s="24" t="inlineStr">
        <is>
          <t>Tennessee Volunteers</t>
        </is>
      </c>
      <c r="H418" s="24" t="inlineStr">
        <is>
          <t>total</t>
        </is>
      </c>
      <c r="I418" s="24" t="inlineStr">
        <is>
          <t>under</t>
        </is>
      </c>
      <c r="J418" s="25" t="n">
        <v>60.5</v>
      </c>
      <c r="K418" s="24" t="inlineStr">
        <is>
          <t>espn_consensus</t>
        </is>
      </c>
      <c r="L418" s="26" t="n">
        <v>-105</v>
      </c>
      <c r="M418" s="27" t="n">
        <v>1.952381</v>
      </c>
      <c r="N418" s="28" t="n">
        <v>0.512195</v>
      </c>
      <c r="O418" s="28" t="n">
        <v>0.617133</v>
      </c>
      <c r="P418" s="28" t="n">
        <v>0.18</v>
      </c>
      <c r="Q418" s="28" t="n">
        <v>0.104938</v>
      </c>
      <c r="R418" s="26" t="n">
        <v>0</v>
      </c>
      <c r="S418" s="29" t="n">
        <v>1</v>
      </c>
      <c r="T418" s="24" t="inlineStr">
        <is>
          <t>cfb-total-v1</t>
        </is>
      </c>
      <c r="U418" s="24" t="inlineStr">
        <is>
          <t>settled</t>
        </is>
      </c>
      <c r="V418" s="24" t="inlineStr">
        <is>
          <t>win</t>
        </is>
      </c>
      <c r="W418" s="26" t="n">
        <v>9</v>
      </c>
      <c r="X418" s="26" t="n">
        <v>42</v>
      </c>
      <c r="Y418" s="25" t="n"/>
      <c r="Z418" s="26" t="n"/>
      <c r="AA418" s="28" t="n"/>
      <c r="AB418" s="28" t="n"/>
      <c r="AC418" s="30" t="n">
        <v>0.9524</v>
      </c>
      <c r="AD418" s="24" t="inlineStr">
        <is>
          <t>2026-09-20T04:32:09.302644Z</t>
        </is>
      </c>
      <c r="AE418" s="31" t="inlineStr">
        <is>
          <t>Projected total 55.1 pts (Weather adj: +0.0 pts). Total line 60.5 -&gt; P(Over)=0.383, P(Under)=0.617, P(Push)=0.000.</t>
        </is>
      </c>
      <c r="AF418" s="31" t="inlineStr">
        <is>
          <t>College football model; multi-market (moneyline, spread, total).</t>
        </is>
      </c>
      <c r="AG418" s="24" t="inlineStr">
        <is>
          <t>not_applicable</t>
        </is>
      </c>
      <c r="AH418" s="24" t="n"/>
      <c r="AI418" s="31" t="n"/>
      <c r="AJ418" s="31" t="n"/>
      <c r="AK418" s="24" t="inlineStr">
        <is>
          <t>model_qualified</t>
        </is>
      </c>
      <c r="AL418" s="26" t="n">
        <v>4</v>
      </c>
      <c r="AM418" s="24" t="inlineStr">
        <is>
          <t>QUALIFIED_SHADOW_CALL</t>
        </is>
      </c>
      <c r="AN418" s="24" t="inlineStr">
        <is>
          <t>CALL</t>
        </is>
      </c>
      <c r="AO418" s="24" t="inlineStr">
        <is>
          <t>QUALIFIED</t>
        </is>
      </c>
      <c r="AP418" s="24" t="inlineStr">
        <is>
          <t>Kennesaw State Owls</t>
        </is>
      </c>
      <c r="AQ418" s="24" t="inlineStr">
        <is>
          <t>Kennesaw State Owls</t>
        </is>
      </c>
      <c r="AR418" s="24" t="inlineStr">
        <is>
          <t>Kennesaw State Owls</t>
        </is>
      </c>
      <c r="AS418" s="24" t="inlineStr">
        <is>
          <t>Tennessee Volunteers</t>
        </is>
      </c>
      <c r="AT418" s="24" t="inlineStr">
        <is>
          <t>Tennessee Volunteers</t>
        </is>
      </c>
      <c r="AU418" s="24" t="inlineStr">
        <is>
          <t>Tennessee Volunteers</t>
        </is>
      </c>
      <c r="AV418" s="24" t="n"/>
      <c r="AW418" s="24" t="n"/>
      <c r="AX418" s="24" t="inlineStr">
        <is>
          <t>statistical_model</t>
        </is>
      </c>
      <c r="AY418" s="24" t="n"/>
      <c r="AZ418" s="24" t="inlineStr">
        <is>
          <t>shadow_qualified</t>
        </is>
      </c>
      <c r="BA418" s="24" t="inlineStr">
        <is>
          <t>1d168f11d221cd3c</t>
        </is>
      </c>
      <c r="BB418" s="24" t="inlineStr">
        <is>
          <t>cfb_key_number_engine</t>
        </is>
      </c>
      <c r="BC418" s="24" t="inlineStr">
        <is>
          <t>cfb-total-v1</t>
        </is>
      </c>
      <c r="BD418" s="24" t="inlineStr">
        <is>
          <t>1d168f11d221cd3c</t>
        </is>
      </c>
      <c r="BE418" s="24" t="inlineStr">
        <is>
          <t>cfb-v1</t>
        </is>
      </c>
      <c r="BF418" s="24" t="inlineStr">
        <is>
          <t>1</t>
        </is>
      </c>
      <c r="BG418" s="24" t="inlineStr">
        <is>
          <t>1d168f11d221cd3c</t>
        </is>
      </c>
      <c r="BH418" s="24" t="inlineStr">
        <is>
          <t>2026-09-19T22:46:25.988423+00:00</t>
        </is>
      </c>
      <c r="BI418" s="24" t="inlineStr">
        <is>
          <t>["same_event","same_team_same_day","same_league_same_day"]</t>
        </is>
      </c>
      <c r="BJ418" s="25" t="n">
        <v>60.5</v>
      </c>
      <c r="BK418" s="26" t="n">
        <v>-105</v>
      </c>
      <c r="BL418" s="27" t="n">
        <v>1.952381</v>
      </c>
      <c r="BM418" s="28" t="n">
        <v>0.512195</v>
      </c>
      <c r="BN418" s="28" t="n"/>
      <c r="BO418" s="28" t="n"/>
      <c r="BP418" s="25" t="n"/>
      <c r="BQ418" s="27" t="n"/>
      <c r="BR418" s="28" t="n"/>
      <c r="BS418" s="28" t="n"/>
      <c r="BT418" s="28" t="n"/>
      <c r="BU418" s="25" t="n"/>
      <c r="BV418" s="29" t="n"/>
      <c r="BW418" s="24" t="n"/>
      <c r="BX418" s="30" t="n"/>
      <c r="BY418" s="27" t="n"/>
      <c r="BZ418" s="24" t="n"/>
      <c r="CA418" s="31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inlineStr">
        <is>
          <t>True</t>
        </is>
      </c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/>
      <c r="DH418" s="24" t="n"/>
      <c r="DI418" s="24" t="n"/>
      <c r="DJ418" s="24" t="inlineStr">
        <is>
          <t>0.512195</t>
        </is>
      </c>
      <c r="DK418" s="24" t="n"/>
      <c r="DL418" s="24" t="n"/>
      <c r="DM418" s="24" t="n"/>
      <c r="DN418" s="24" t="n"/>
      <c r="DO418" s="24" t="n"/>
      <c r="DP418" s="24" t="n"/>
      <c r="DQ418" s="24" t="inlineStr">
        <is>
          <t>{"artifact_hash": "1d168f11d221cd3c", "event_id": "401856692", "event_start_utc": "2026-09-19T23:45Z", "features": {"altitude_fatigue_penalty": 0.0, "away_team": "Kennesaw State Owls", "efficiency_gap": 3.136, "elo_away": 1459.0, "elo_home": 1644.1, "elo_home_win_prob": 0.8084, "event_id": "401856692", "game_start_utc": "2026-09-19T23:45Z", "home_field_advantage_points": 2.8, "home_team": "Tennessee Volunteers", "is_dome": false, "is_fbs_vs_fcs": false, "is_neutral_site": false, "projected_away_points": 22.4, "projected_home_points": 32.6, "projected_margin_home": 10.2, "projected_possessions": 12.4, "projected_total": 55.1, "stadium_elevation_ft": 890, "travel_distance_miles": 138.0, "uncertainty": 0.18, "weather_total_adjustment": 0.0}, "historical_source_observation_times_verified": false, "inference_inputs": {"engine_source_sha256": "449ba2f0e86fa9c445730076a0e0bf100fb4914620be53c75c6f3bfe24298f3f", "mu_away": 22.4, "mu_home": 32.6,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329840176580082657577400031058822608078}, "uinteger": 0}, "spread_home_line": -35.5, "total_line": 60.5}, "market_type": "total", "model_version": "cfb-total-v1", "observed_at_utc": "2026-09-19T22:46:25.988423+00:00", "probabilities": {"over": 0.382867, "push": 0.0, "under": 0.617133}, "replay_scope": "Full precision score means, exact engine parameters and original RNG state; upstream feature construction not certified.", "schema": "cfb-joint-replay-v1", "snapshot_hash": "3b9b4b0cbea82a9563e3087c5af858f1b024dca1a481ef0b997c87660ff3f136", "sport": "NCAAF"}</t>
        </is>
      </c>
    </row>
    <row r="419" ht="36" customHeight="1">
      <c r="A419" s="24" t="inlineStr">
        <is>
          <t>0512987c5d76425f</t>
        </is>
      </c>
      <c r="B419" s="24" t="inlineStr">
        <is>
          <t>2026-09-19T22:46:25.988423Z</t>
        </is>
      </c>
      <c r="C419" s="24" t="inlineStr">
        <is>
          <t>2026-09-20T00:00Z</t>
        </is>
      </c>
      <c r="D419" s="24" t="inlineStr">
        <is>
          <t>401856693</t>
        </is>
      </c>
      <c r="E419" s="24" t="inlineStr">
        <is>
          <t>NCAAF</t>
        </is>
      </c>
      <c r="F419" s="24" t="inlineStr">
        <is>
          <t>UTSA Roadrunners</t>
        </is>
      </c>
      <c r="G419" s="24" t="inlineStr">
        <is>
          <t>Texas Longhorns</t>
        </is>
      </c>
      <c r="H419" s="24" t="inlineStr">
        <is>
          <t>moneyline</t>
        </is>
      </c>
      <c r="I419" s="24" t="inlineStr">
        <is>
          <t>home</t>
        </is>
      </c>
      <c r="J419" s="25" t="n"/>
      <c r="K419" s="24" t="inlineStr">
        <is>
          <t>espn_consensus</t>
        </is>
      </c>
      <c r="L419" s="26" t="n">
        <v>-5000</v>
      </c>
      <c r="M419" s="27" t="n">
        <v>1.02</v>
      </c>
      <c r="N419" s="28" t="n">
        <v>0.980392</v>
      </c>
      <c r="O419" s="28" t="n">
        <v>0.742824</v>
      </c>
      <c r="P419" s="28" t="n">
        <v>0.18</v>
      </c>
      <c r="Q419" s="28" t="n">
        <v>-0.237568</v>
      </c>
      <c r="R419" s="26" t="n">
        <v>0</v>
      </c>
      <c r="S419" s="29" t="n">
        <v>1</v>
      </c>
      <c r="T419" s="24" t="inlineStr">
        <is>
          <t>college-football-v1</t>
        </is>
      </c>
      <c r="U419" s="24" t="inlineStr">
        <is>
          <t>settled</t>
        </is>
      </c>
      <c r="V419" s="24" t="inlineStr">
        <is>
          <t>win</t>
        </is>
      </c>
      <c r="W419" s="26" t="n">
        <v>6</v>
      </c>
      <c r="X419" s="26" t="n">
        <v>30</v>
      </c>
      <c r="Y419" s="25" t="n"/>
      <c r="Z419" s="26" t="n"/>
      <c r="AA419" s="28" t="n"/>
      <c r="AB419" s="28" t="n"/>
      <c r="AC419" s="30" t="n">
        <v>0.02</v>
      </c>
      <c r="AD419" s="24" t="inlineStr">
        <is>
          <t>2026-09-20T04:32:09.803982Z</t>
        </is>
      </c>
      <c r="AE419" s="31" t="inlineStr">
        <is>
          <t>CFB Joint Model (negative_binomial): proj score UTSA Roadrunners 21.7 @ Texas Longhorns 34.1 (Margin +12.4). Possessions: 12.4, HFA: +2.8 pts.</t>
        </is>
      </c>
      <c r="AF419" s="31" t="inlineStr">
        <is>
          <t>College football model; multi-market (moneyline, spread, total).</t>
        </is>
      </c>
      <c r="AG419" s="24" t="inlineStr">
        <is>
          <t>not_applicable</t>
        </is>
      </c>
      <c r="AH419" s="24" t="n"/>
      <c r="AI419" s="31" t="n"/>
      <c r="AJ419" s="31" t="n"/>
      <c r="AK419" s="24" t="inlineStr">
        <is>
          <t>paper_call</t>
        </is>
      </c>
      <c r="AL419" s="26" t="n">
        <v>4</v>
      </c>
      <c r="AM419" s="24" t="inlineStr">
        <is>
          <t>RESEARCH_OBSERVATION</t>
        </is>
      </c>
      <c r="AN419" s="24" t="inlineStr">
        <is>
          <t>CALL</t>
        </is>
      </c>
      <c r="AO419" s="24" t="inlineStr">
        <is>
          <t>PAPER_CALL_LOW_EDGE</t>
        </is>
      </c>
      <c r="AP419" s="24" t="inlineStr">
        <is>
          <t>UTSA Roadrunners</t>
        </is>
      </c>
      <c r="AQ419" s="24" t="inlineStr">
        <is>
          <t>UTSA Roadrunners</t>
        </is>
      </c>
      <c r="AR419" s="24" t="inlineStr">
        <is>
          <t>UTSA Roadrunners</t>
        </is>
      </c>
      <c r="AS419" s="24" t="inlineStr">
        <is>
          <t>Texas Longhorns</t>
        </is>
      </c>
      <c r="AT419" s="24" t="inlineStr">
        <is>
          <t>Texas Longhorns</t>
        </is>
      </c>
      <c r="AU419" s="24" t="inlineStr">
        <is>
          <t>Texas Longhorns</t>
        </is>
      </c>
      <c r="AV419" s="24" t="n"/>
      <c r="AW419" s="24" t="n"/>
      <c r="AX419" s="24" t="inlineStr">
        <is>
          <t>statistical_model</t>
        </is>
      </c>
      <c r="AY419" s="24" t="n"/>
      <c r="AZ419" s="24" t="inlineStr">
        <is>
          <t>shadow_qualified</t>
        </is>
      </c>
      <c r="BA419" s="24" t="inlineStr">
        <is>
          <t>1d168f11d221cd3c</t>
        </is>
      </c>
      <c r="BB419" s="24" t="inlineStr">
        <is>
          <t>cfb_key_number_engine</t>
        </is>
      </c>
      <c r="BC419" s="24" t="inlineStr">
        <is>
          <t>college-football-v1</t>
        </is>
      </c>
      <c r="BD419" s="24" t="inlineStr">
        <is>
          <t>1d168f11d221cd3c</t>
        </is>
      </c>
      <c r="BE419" s="24" t="inlineStr">
        <is>
          <t>cfb-v1</t>
        </is>
      </c>
      <c r="BF419" s="24" t="inlineStr">
        <is>
          <t>1</t>
        </is>
      </c>
      <c r="BG419" s="24" t="inlineStr">
        <is>
          <t>1d168f11d221cd3c</t>
        </is>
      </c>
      <c r="BH419" s="24" t="inlineStr">
        <is>
          <t>2026-09-19T22:46:25.988423+00:00</t>
        </is>
      </c>
      <c r="BI419" s="24" t="inlineStr">
        <is>
          <t>["same_event","same_team_same_day","same_league_same_day"]</t>
        </is>
      </c>
      <c r="BJ419" s="25" t="n"/>
      <c r="BK419" s="26" t="n">
        <v>-5000</v>
      </c>
      <c r="BL419" s="27" t="n">
        <v>1.02</v>
      </c>
      <c r="BM419" s="28" t="n">
        <v>0.980392</v>
      </c>
      <c r="BN419" s="28" t="n"/>
      <c r="BO419" s="28" t="n"/>
      <c r="BP419" s="25" t="n"/>
      <c r="BQ419" s="27" t="n"/>
      <c r="BR419" s="28" t="n"/>
      <c r="BS419" s="28" t="n"/>
      <c r="BT419" s="28" t="n"/>
      <c r="BU419" s="25" t="n"/>
      <c r="BV419" s="29" t="n"/>
      <c r="BW419" s="24" t="n"/>
      <c r="BX419" s="30" t="n">
        <v>1</v>
      </c>
      <c r="BY419" s="27" t="n">
        <v>0.02</v>
      </c>
      <c r="BZ419" s="24" t="inlineStr">
        <is>
          <t>2026-09-20T04:32:09.803982Z</t>
        </is>
      </c>
      <c r="CA419" s="31" t="inlineStr">
        <is>
          <t>fixed one-unit hypothetical scoring; no real exposure or execution</t>
        </is>
      </c>
      <c r="CB419" s="24" t="n"/>
      <c r="CC419" s="24" t="n"/>
      <c r="CD419" s="24" t="n"/>
      <c r="CE419" s="24" t="n"/>
      <c r="CF419" s="24" t="n"/>
      <c r="CG419" s="24" t="n"/>
      <c r="CH419" s="24" t="n"/>
      <c r="CI419" s="24" t="n"/>
      <c r="CJ419" s="24" t="n"/>
      <c r="CK419" s="24" t="n"/>
      <c r="CL419" s="24" t="n"/>
      <c r="CM419" s="24" t="n"/>
      <c r="CN419" s="24" t="n"/>
      <c r="CO419" s="24" t="n"/>
      <c r="CP419" s="24" t="n"/>
      <c r="CQ419" s="24" t="n"/>
      <c r="CR419" s="24" t="n"/>
      <c r="CS419" s="24" t="inlineStr">
        <is>
          <t>False</t>
        </is>
      </c>
      <c r="CT419" s="24" t="n"/>
      <c r="CU419" s="24" t="n"/>
      <c r="CV419" s="24" t="n"/>
      <c r="CW419" s="24" t="n"/>
      <c r="CX419" s="24" t="n"/>
      <c r="CY419" s="24" t="n"/>
      <c r="CZ419" s="24" t="n"/>
      <c r="DA419" s="24" t="n"/>
      <c r="DB419" s="24" t="n"/>
      <c r="DC419" s="24" t="n"/>
      <c r="DD419" s="24" t="n"/>
      <c r="DE419" s="24" t="n"/>
      <c r="DF419" s="24" t="n"/>
      <c r="DG419" s="24" t="n"/>
      <c r="DH419" s="24" t="n"/>
      <c r="DI419" s="24" t="n"/>
      <c r="DJ419" s="24" t="inlineStr">
        <is>
          <t>0.980392</t>
        </is>
      </c>
      <c r="DK419" s="24" t="n"/>
      <c r="DL419" s="24" t="n"/>
      <c r="DM419" s="24" t="n"/>
      <c r="DN419" s="24" t="n"/>
      <c r="DO419" s="24" t="n"/>
      <c r="DP419" s="24" t="n"/>
      <c r="DQ419" s="24" t="inlineStr">
        <is>
          <t>{"artifact_hash": "1d168f11d221cd3c", "event_id": "401856693", "event_start_utc": "2026-09-20T00:00Z", "features": {"altitude_fatigue_penalty": 0.0, "away_team": "UTSA Roadrunners", "efficiency_gap": 2.484, "elo_away": 1534.1, "elo_home": 1771.9, "elo_home_win_prob": 0.8511, "event_id": "401856693", "game_start_utc": "2026-09-20T00:00Z", "home_field_advantage_points": 2.8, "home_team": "Texas Longhorns", "is_dome": false, "is_fbs_vs_fcs": false, "is_neutral_site": false, "projected_away_points": 21.7, "projected_home_points": 34.1, "projected_margin_home": 12.4, "projected_possessions": 12.4, "projected_total": 55.8, "stadium_elevation_ft": 500, "travel_distance_miles": 75.0, "uncertainty": 0.18, "weather_total_adjustment": 0.0}, "historical_source_observation_times_verified": false, "inference_inputs": {"engine_source_sha256": "449ba2f0e86fa9c445730076a0e0bf100fb4914620be53c75c6f3bfe24298f3f", "mu_away": 21.7, "mu_home": 34.1,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137014774530006442482105764754081355604}, "uinteger": 0}, "spread_home_line": -29.5, "total_line": 58.5}, "market_type": "moneyline", "model_version": "college-football-v1", "observed_at_utc": "2026-09-19T22:46:25.988423+00:00", "probabilities": {"away": 0.257176, "home": 0.742824}, "replay_scope": "Full precision score means, exact engine parameters and original RNG state; upstream feature construction not certified.", "schema": "cfb-joint-replay-v1", "snapshot_hash": "06a1e2cc769a82493910dbc13bb5439c662e17beb60909380d9b8d29962e4c75", "sport": "NCAAF"}</t>
        </is>
      </c>
    </row>
    <row r="420" ht="36" customHeight="1">
      <c r="A420" s="24" t="inlineStr">
        <is>
          <t>0358c924a7d6491b</t>
        </is>
      </c>
      <c r="B420" s="24" t="inlineStr">
        <is>
          <t>2026-09-19T22:46:25.988423Z</t>
        </is>
      </c>
      <c r="C420" s="24" t="inlineStr">
        <is>
          <t>2026-09-20T00:00Z</t>
        </is>
      </c>
      <c r="D420" s="24" t="inlineStr">
        <is>
          <t>401856693</t>
        </is>
      </c>
      <c r="E420" s="24" t="inlineStr">
        <is>
          <t>NCAAF</t>
        </is>
      </c>
      <c r="F420" s="24" t="inlineStr">
        <is>
          <t>UTSA Roadrunners</t>
        </is>
      </c>
      <c r="G420" s="24" t="inlineStr">
        <is>
          <t>Texas Longhorns</t>
        </is>
      </c>
      <c r="H420" s="24" t="inlineStr">
        <is>
          <t>spread</t>
        </is>
      </c>
      <c r="I420" s="24" t="inlineStr">
        <is>
          <t>away</t>
        </is>
      </c>
      <c r="J420" s="25" t="n">
        <v>29.5</v>
      </c>
      <c r="K420" s="24" t="inlineStr">
        <is>
          <t>espn_consensus</t>
        </is>
      </c>
      <c r="L420" s="26" t="n">
        <v>-108</v>
      </c>
      <c r="M420" s="27" t="n">
        <v>1.925926</v>
      </c>
      <c r="N420" s="28" t="n">
        <v>0.519231</v>
      </c>
      <c r="O420" s="28" t="n">
        <v>0.8014</v>
      </c>
      <c r="P420" s="28" t="n">
        <v>0.18</v>
      </c>
      <c r="Q420" s="28" t="n">
        <v>0.282169</v>
      </c>
      <c r="R420" s="26" t="n">
        <v>83</v>
      </c>
      <c r="S420" s="29" t="n">
        <v>1.75</v>
      </c>
      <c r="T420" s="24" t="inlineStr">
        <is>
          <t>cfb-spread-v1</t>
        </is>
      </c>
      <c r="U420" s="24" t="inlineStr">
        <is>
          <t>settled</t>
        </is>
      </c>
      <c r="V420" s="24" t="inlineStr">
        <is>
          <t>win</t>
        </is>
      </c>
      <c r="W420" s="26" t="n">
        <v>6</v>
      </c>
      <c r="X420" s="26" t="n">
        <v>30</v>
      </c>
      <c r="Y420" s="25" t="n"/>
      <c r="Z420" s="26" t="n"/>
      <c r="AA420" s="28" t="n"/>
      <c r="AB420" s="28" t="n"/>
      <c r="AC420" s="30" t="n">
        <v>1.6204</v>
      </c>
      <c r="AD420" s="24" t="inlineStr">
        <is>
          <t>2026-09-20T04:32:10.239968Z</t>
        </is>
      </c>
      <c r="AE420" s="31" t="inlineStr">
        <is>
          <t>Projected home margin +12.4 pts. Spread: Home -29.5 / Away +29.5 -&gt; P(Away cover)=0.801, P(Home cover)=0.199, P(Push)=0.000.</t>
        </is>
      </c>
      <c r="AF420" s="31" t="inlineStr">
        <is>
          <t>College football model; multi-market (moneyline, spread, total).</t>
        </is>
      </c>
      <c r="AG420" s="24" t="inlineStr">
        <is>
          <t>not_applicable</t>
        </is>
      </c>
      <c r="AH420" s="24" t="n"/>
      <c r="AI420" s="31" t="n"/>
      <c r="AJ420" s="31" t="n"/>
      <c r="AK420" s="24" t="inlineStr">
        <is>
          <t>model_qualified</t>
        </is>
      </c>
      <c r="AL420" s="26" t="n">
        <v>4</v>
      </c>
      <c r="AM420" s="24" t="inlineStr">
        <is>
          <t>QUALIFIED_SHADOW_CALL</t>
        </is>
      </c>
      <c r="AN420" s="24" t="inlineStr">
        <is>
          <t>CALL</t>
        </is>
      </c>
      <c r="AO420" s="24" t="inlineStr">
        <is>
          <t>QUALIFIED</t>
        </is>
      </c>
      <c r="AP420" s="24" t="inlineStr">
        <is>
          <t>UTSA Roadrunners</t>
        </is>
      </c>
      <c r="AQ420" s="24" t="inlineStr">
        <is>
          <t>UTSA Roadrunners</t>
        </is>
      </c>
      <c r="AR420" s="24" t="inlineStr">
        <is>
          <t>UTSA Roadrunners</t>
        </is>
      </c>
      <c r="AS420" s="24" t="inlineStr">
        <is>
          <t>Texas Longhorns</t>
        </is>
      </c>
      <c r="AT420" s="24" t="inlineStr">
        <is>
          <t>Texas Longhorns</t>
        </is>
      </c>
      <c r="AU420" s="24" t="inlineStr">
        <is>
          <t>Texas Longhorns</t>
        </is>
      </c>
      <c r="AV420" s="24" t="n"/>
      <c r="AW420" s="24" t="n"/>
      <c r="AX420" s="24" t="inlineStr">
        <is>
          <t>statistical_model</t>
        </is>
      </c>
      <c r="AY420" s="24" t="n"/>
      <c r="AZ420" s="24" t="inlineStr">
        <is>
          <t>shadow_qualified</t>
        </is>
      </c>
      <c r="BA420" s="24" t="inlineStr">
        <is>
          <t>1d168f11d221cd3c</t>
        </is>
      </c>
      <c r="BB420" s="24" t="inlineStr">
        <is>
          <t>cfb_key_number_engine</t>
        </is>
      </c>
      <c r="BC420" s="24" t="inlineStr">
        <is>
          <t>cfb-spread-v1</t>
        </is>
      </c>
      <c r="BD420" s="24" t="inlineStr">
        <is>
          <t>1d168f11d221cd3c</t>
        </is>
      </c>
      <c r="BE420" s="24" t="inlineStr">
        <is>
          <t>cfb-v1</t>
        </is>
      </c>
      <c r="BF420" s="24" t="inlineStr">
        <is>
          <t>1</t>
        </is>
      </c>
      <c r="BG420" s="24" t="inlineStr">
        <is>
          <t>1d168f11d221cd3c</t>
        </is>
      </c>
      <c r="BH420" s="24" t="inlineStr">
        <is>
          <t>2026-09-19T22:46:25.988423+00:00</t>
        </is>
      </c>
      <c r="BI420" s="24" t="inlineStr">
        <is>
          <t>["same_event","same_team_same_day","same_league_same_day"]</t>
        </is>
      </c>
      <c r="BJ420" s="25" t="n">
        <v>29.5</v>
      </c>
      <c r="BK420" s="26" t="n">
        <v>-108</v>
      </c>
      <c r="BL420" s="27" t="n">
        <v>1.925926</v>
      </c>
      <c r="BM420" s="28" t="n">
        <v>0.519231</v>
      </c>
      <c r="BN420" s="28" t="n"/>
      <c r="BO420" s="28" t="n"/>
      <c r="BP420" s="25" t="n"/>
      <c r="BQ420" s="27" t="n"/>
      <c r="BR420" s="28" t="n"/>
      <c r="BS420" s="28" t="n"/>
      <c r="BT420" s="28" t="n"/>
      <c r="BU420" s="25" t="n"/>
      <c r="BV420" s="29" t="n"/>
      <c r="BW420" s="24" t="n"/>
      <c r="BX420" s="30" t="n"/>
      <c r="BY420" s="27" t="n"/>
      <c r="BZ420" s="24" t="n"/>
      <c r="CA420" s="31" t="n"/>
      <c r="CB420" s="24" t="n"/>
      <c r="CC420" s="24" t="n"/>
      <c r="CD420" s="24" t="n"/>
      <c r="CE420" s="24" t="n"/>
      <c r="CF420" s="24" t="n"/>
      <c r="CG420" s="24" t="n"/>
      <c r="CH420" s="24" t="n"/>
      <c r="CI420" s="24" t="n"/>
      <c r="CJ420" s="24" t="n"/>
      <c r="CK420" s="24" t="n"/>
      <c r="CL420" s="24" t="n"/>
      <c r="CM420" s="24" t="n"/>
      <c r="CN420" s="24" t="n"/>
      <c r="CO420" s="24" t="n"/>
      <c r="CP420" s="24" t="n"/>
      <c r="CQ420" s="24" t="n"/>
      <c r="CR420" s="24" t="n"/>
      <c r="CS420" s="24" t="inlineStr">
        <is>
          <t>True</t>
        </is>
      </c>
      <c r="CT420" s="24" t="n"/>
      <c r="CU420" s="24" t="n"/>
      <c r="CV420" s="24" t="n"/>
      <c r="CW420" s="24" t="n"/>
      <c r="CX420" s="24" t="n"/>
      <c r="CY420" s="24" t="n"/>
      <c r="CZ420" s="24" t="n"/>
      <c r="DA420" s="24" t="n"/>
      <c r="DB420" s="24" t="n"/>
      <c r="DC420" s="24" t="n"/>
      <c r="DD420" s="24" t="n"/>
      <c r="DE420" s="24" t="n"/>
      <c r="DF420" s="24" t="n"/>
      <c r="DG420" s="24" t="n"/>
      <c r="DH420" s="24" t="n"/>
      <c r="DI420" s="24" t="n"/>
      <c r="DJ420" s="24" t="inlineStr">
        <is>
          <t>0.519231</t>
        </is>
      </c>
      <c r="DK420" s="24" t="n"/>
      <c r="DL420" s="24" t="n"/>
      <c r="DM420" s="24" t="n"/>
      <c r="DN420" s="24" t="n"/>
      <c r="DO420" s="24" t="n"/>
      <c r="DP420" s="24" t="n"/>
      <c r="DQ420" s="24" t="inlineStr">
        <is>
          <t>{"artifact_hash": "1d168f11d221cd3c", "event_id": "401856693", "event_start_utc": "2026-09-20T00:00Z", "features": {"altitude_fatigue_penalty": 0.0, "away_team": "UTSA Roadrunners", "efficiency_gap": 2.484, "elo_away": 1534.1, "elo_home": 1771.9, "elo_home_win_prob": 0.8511, "event_id": "401856693", "game_start_utc": "2026-09-20T00:00Z", "home_field_advantage_points": 2.8, "home_team": "Texas Longhorns", "is_dome": false, "is_fbs_vs_fcs": false, "is_neutral_site": false, "projected_away_points": 21.7, "projected_home_points": 34.1, "projected_margin_home": 12.4, "projected_possessions": 12.4, "projected_total": 55.8, "stadium_elevation_ft": 500, "travel_distance_miles": 75.0, "uncertainty": 0.18, "weather_total_adjustment": 0.0}, "historical_source_observation_times_verified": false, "inference_inputs": {"engine_source_sha256": "449ba2f0e86fa9c445730076a0e0bf100fb4914620be53c75c6f3bfe24298f3f", "mu_away": 21.7, "mu_home": 34.1,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137014774530006442482105764754081355604}, "uinteger": 0}, "spread_home_line": -29.5, "total_line": 58.5}, "market_type": "spread", "model_version": "cfb-spread-v1", "observed_at_utc": "2026-09-19T22:46:25.988423+00:00", "probabilities": {"away": 0.8014, "home": 0.1986, "push": 0.0}, "replay_scope": "Full precision score means, exact engine parameters and original RNG state; upstream feature construction not certified.", "schema": "cfb-joint-replay-v1", "snapshot_hash": "5e000882e993fe753d962ddddd5b19ab1602f8120f10213a81eb1c16f97795d3", "sport": "NCAAF"}</t>
        </is>
      </c>
    </row>
    <row r="421" ht="36" customHeight="1">
      <c r="A421" s="24" t="inlineStr">
        <is>
          <t>3a839fe6362a4c2d</t>
        </is>
      </c>
      <c r="B421" s="24" t="inlineStr">
        <is>
          <t>2026-09-19T22:46:25.988423Z</t>
        </is>
      </c>
      <c r="C421" s="24" t="inlineStr">
        <is>
          <t>2026-09-20T00:00Z</t>
        </is>
      </c>
      <c r="D421" s="24" t="inlineStr">
        <is>
          <t>401856693</t>
        </is>
      </c>
      <c r="E421" s="24" t="inlineStr">
        <is>
          <t>NCAAF</t>
        </is>
      </c>
      <c r="F421" s="24" t="inlineStr">
        <is>
          <t>UTSA Roadrunners</t>
        </is>
      </c>
      <c r="G421" s="24" t="inlineStr">
        <is>
          <t>Texas Longhorns</t>
        </is>
      </c>
      <c r="H421" s="24" t="inlineStr">
        <is>
          <t>total</t>
        </is>
      </c>
      <c r="I421" s="24" t="inlineStr">
        <is>
          <t>under</t>
        </is>
      </c>
      <c r="J421" s="25" t="n">
        <v>58.5</v>
      </c>
      <c r="K421" s="24" t="inlineStr">
        <is>
          <t>espn_consensus</t>
        </is>
      </c>
      <c r="L421" s="26" t="n">
        <v>-110</v>
      </c>
      <c r="M421" s="27" t="n">
        <v>1.909091</v>
      </c>
      <c r="N421" s="28" t="n">
        <v>0.52381</v>
      </c>
      <c r="O421" s="28" t="n">
        <v>0.574533</v>
      </c>
      <c r="P421" s="28" t="n">
        <v>0.18</v>
      </c>
      <c r="Q421" s="28" t="n">
        <v>0.050723</v>
      </c>
      <c r="R421" s="26" t="n">
        <v>0</v>
      </c>
      <c r="S421" s="29" t="n">
        <v>1</v>
      </c>
      <c r="T421" s="24" t="inlineStr">
        <is>
          <t>cfb-total-v1</t>
        </is>
      </c>
      <c r="U421" s="24" t="inlineStr">
        <is>
          <t>settled</t>
        </is>
      </c>
      <c r="V421" s="24" t="inlineStr">
        <is>
          <t>win</t>
        </is>
      </c>
      <c r="W421" s="26" t="n">
        <v>6</v>
      </c>
      <c r="X421" s="26" t="n">
        <v>30</v>
      </c>
      <c r="Y421" s="25" t="n"/>
      <c r="Z421" s="26" t="n"/>
      <c r="AA421" s="28" t="n"/>
      <c r="AB421" s="28" t="n"/>
      <c r="AC421" s="30" t="n">
        <v>0.9091</v>
      </c>
      <c r="AD421" s="24" t="inlineStr">
        <is>
          <t>2026-09-20T04:32:10.741959Z</t>
        </is>
      </c>
      <c r="AE421" s="31" t="inlineStr">
        <is>
          <t>Projected total 55.8 pts (Weather adj: +0.0 pts). Total line 58.5 -&gt; P(Over)=0.425, P(Under)=0.575, P(Push)=0.000.</t>
        </is>
      </c>
      <c r="AF421" s="31" t="inlineStr">
        <is>
          <t>College football model; multi-market (moneyline, spread, total).</t>
        </is>
      </c>
      <c r="AG421" s="24" t="inlineStr">
        <is>
          <t>not_applicable</t>
        </is>
      </c>
      <c r="AH421" s="24" t="n"/>
      <c r="AI421" s="31" t="n"/>
      <c r="AJ421" s="31" t="n"/>
      <c r="AK421" s="24" t="inlineStr">
        <is>
          <t>model_qualified</t>
        </is>
      </c>
      <c r="AL421" s="26" t="n">
        <v>4</v>
      </c>
      <c r="AM421" s="24" t="inlineStr">
        <is>
          <t>QUALIFIED_SHADOW_CALL</t>
        </is>
      </c>
      <c r="AN421" s="24" t="inlineStr">
        <is>
          <t>CALL</t>
        </is>
      </c>
      <c r="AO421" s="24" t="inlineStr">
        <is>
          <t>QUALIFIED</t>
        </is>
      </c>
      <c r="AP421" s="24" t="inlineStr">
        <is>
          <t>UTSA Roadrunners</t>
        </is>
      </c>
      <c r="AQ421" s="24" t="inlineStr">
        <is>
          <t>UTSA Roadrunners</t>
        </is>
      </c>
      <c r="AR421" s="24" t="inlineStr">
        <is>
          <t>UTSA Roadrunners</t>
        </is>
      </c>
      <c r="AS421" s="24" t="inlineStr">
        <is>
          <t>Texas Longhorns</t>
        </is>
      </c>
      <c r="AT421" s="24" t="inlineStr">
        <is>
          <t>Texas Longhorns</t>
        </is>
      </c>
      <c r="AU421" s="24" t="inlineStr">
        <is>
          <t>Texas Longhorns</t>
        </is>
      </c>
      <c r="AV421" s="24" t="n"/>
      <c r="AW421" s="24" t="n"/>
      <c r="AX421" s="24" t="inlineStr">
        <is>
          <t>statistical_model</t>
        </is>
      </c>
      <c r="AY421" s="24" t="n"/>
      <c r="AZ421" s="24" t="inlineStr">
        <is>
          <t>shadow_qualified</t>
        </is>
      </c>
      <c r="BA421" s="24" t="inlineStr">
        <is>
          <t>1d168f11d221cd3c</t>
        </is>
      </c>
      <c r="BB421" s="24" t="inlineStr">
        <is>
          <t>cfb_key_number_engine</t>
        </is>
      </c>
      <c r="BC421" s="24" t="inlineStr">
        <is>
          <t>cfb-total-v1</t>
        </is>
      </c>
      <c r="BD421" s="24" t="inlineStr">
        <is>
          <t>1d168f11d221cd3c</t>
        </is>
      </c>
      <c r="BE421" s="24" t="inlineStr">
        <is>
          <t>cfb-v1</t>
        </is>
      </c>
      <c r="BF421" s="24" t="inlineStr">
        <is>
          <t>1</t>
        </is>
      </c>
      <c r="BG421" s="24" t="inlineStr">
        <is>
          <t>1d168f11d221cd3c</t>
        </is>
      </c>
      <c r="BH421" s="24" t="inlineStr">
        <is>
          <t>2026-09-19T22:46:25.988423+00:00</t>
        </is>
      </c>
      <c r="BI421" s="24" t="inlineStr">
        <is>
          <t>["same_event","same_team_same_day","same_league_same_day"]</t>
        </is>
      </c>
      <c r="BJ421" s="25" t="n">
        <v>58.5</v>
      </c>
      <c r="BK421" s="26" t="n">
        <v>-110</v>
      </c>
      <c r="BL421" s="27" t="n">
        <v>1.909091</v>
      </c>
      <c r="BM421" s="28" t="n">
        <v>0.52381</v>
      </c>
      <c r="BN421" s="28" t="n"/>
      <c r="BO421" s="28" t="n"/>
      <c r="BP421" s="25" t="n"/>
      <c r="BQ421" s="27" t="n"/>
      <c r="BR421" s="28" t="n"/>
      <c r="BS421" s="28" t="n"/>
      <c r="BT421" s="28" t="n"/>
      <c r="BU421" s="25" t="n"/>
      <c r="BV421" s="29" t="n"/>
      <c r="BW421" s="24" t="n"/>
      <c r="BX421" s="30" t="n"/>
      <c r="BY421" s="27" t="n"/>
      <c r="BZ421" s="24" t="n"/>
      <c r="CA421" s="31" t="n"/>
      <c r="CB421" s="24" t="n"/>
      <c r="CC421" s="24" t="n"/>
      <c r="CD421" s="24" t="n"/>
      <c r="CE421" s="24" t="n"/>
      <c r="CF421" s="24" t="n"/>
      <c r="CG421" s="24" t="n"/>
      <c r="CH421" s="24" t="n"/>
      <c r="CI421" s="24" t="n"/>
      <c r="CJ421" s="24" t="n"/>
      <c r="CK421" s="24" t="n"/>
      <c r="CL421" s="24" t="n"/>
      <c r="CM421" s="24" t="n"/>
      <c r="CN421" s="24" t="n"/>
      <c r="CO421" s="24" t="n"/>
      <c r="CP421" s="24" t="n"/>
      <c r="CQ421" s="24" t="n"/>
      <c r="CR421" s="24" t="n"/>
      <c r="CS421" s="24" t="inlineStr">
        <is>
          <t>True</t>
        </is>
      </c>
      <c r="CT421" s="24" t="n"/>
      <c r="CU421" s="24" t="n"/>
      <c r="CV421" s="24" t="n"/>
      <c r="CW421" s="24" t="n"/>
      <c r="CX421" s="24" t="n"/>
      <c r="CY421" s="24" t="n"/>
      <c r="CZ421" s="24" t="n"/>
      <c r="DA421" s="24" t="n"/>
      <c r="DB421" s="24" t="n"/>
      <c r="DC421" s="24" t="n"/>
      <c r="DD421" s="24" t="n"/>
      <c r="DE421" s="24" t="n"/>
      <c r="DF421" s="24" t="n"/>
      <c r="DG421" s="24" t="n"/>
      <c r="DH421" s="24" t="n"/>
      <c r="DI421" s="24" t="n"/>
      <c r="DJ421" s="24" t="inlineStr">
        <is>
          <t>0.52381</t>
        </is>
      </c>
      <c r="DK421" s="24" t="n"/>
      <c r="DL421" s="24" t="n"/>
      <c r="DM421" s="24" t="n"/>
      <c r="DN421" s="24" t="n"/>
      <c r="DO421" s="24" t="n"/>
      <c r="DP421" s="24" t="n"/>
      <c r="DQ421" s="24" t="inlineStr">
        <is>
          <t>{"artifact_hash": "1d168f11d221cd3c", "event_id": "401856693", "event_start_utc": "2026-09-20T00:00Z", "features": {"altitude_fatigue_penalty": 0.0, "away_team": "UTSA Roadrunners", "efficiency_gap": 2.484, "elo_away": 1534.1, "elo_home": 1771.9, "elo_home_win_prob": 0.8511, "event_id": "401856693", "game_start_utc": "2026-09-20T00:00Z", "home_field_advantage_points": 2.8, "home_team": "Texas Longhorns", "is_dome": false, "is_fbs_vs_fcs": false, "is_neutral_site": false, "projected_away_points": 21.7, "projected_home_points": 34.1, "projected_margin_home": 12.4, "projected_possessions": 12.4, "projected_total": 55.8, "stadium_elevation_ft": 500, "travel_distance_miles": 75.0, "uncertainty": 0.18, "weather_total_adjustment": 0.0}, "historical_source_observation_times_verified": false, "inference_inputs": {"engine_source_sha256": "449ba2f0e86fa9c445730076a0e0bf100fb4914620be53c75c6f3bfe24298f3f", "mu_away": 21.7, "mu_home": 34.1,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137014774530006442482105764754081355604}, "uinteger": 0}, "spread_home_line": -29.5, "total_line": 58.5}, "market_type": "total", "model_version": "cfb-total-v1", "observed_at_utc": "2026-09-19T22:46:25.988423+00:00", "probabilities": {"over": 0.425467, "push": 0.0, "under": 0.574533}, "replay_scope": "Full precision score means, exact engine parameters and original RNG state; upstream feature construction not certified.", "schema": "cfb-joint-replay-v1", "snapshot_hash": "aa22c7a2cf7519f5cd1afd582c27b00ce83d6f45df57de16b65458d091a40116", "sport": "NCAAF"}</t>
        </is>
      </c>
    </row>
    <row r="422" ht="36" customHeight="1">
      <c r="A422" s="24" t="inlineStr">
        <is>
          <t>3f1718f774e74c19</t>
        </is>
      </c>
      <c r="B422" s="24" t="inlineStr">
        <is>
          <t>2026-09-19T22:46:25.988423Z</t>
        </is>
      </c>
      <c r="C422" s="24" t="inlineStr">
        <is>
          <t>2026-09-20T00:00Z</t>
        </is>
      </c>
      <c r="D422" s="24" t="inlineStr">
        <is>
          <t>401856799</t>
        </is>
      </c>
      <c r="E422" s="24" t="inlineStr">
        <is>
          <t>NCAAF</t>
        </is>
      </c>
      <c r="F422" s="24" t="inlineStr">
        <is>
          <t>Arkansas State Red Wolves</t>
        </is>
      </c>
      <c r="G422" s="24" t="inlineStr">
        <is>
          <t>TCU Horned Frogs</t>
        </is>
      </c>
      <c r="H422" s="24" t="inlineStr">
        <is>
          <t>moneyline</t>
        </is>
      </c>
      <c r="I422" s="24" t="inlineStr">
        <is>
          <t>home</t>
        </is>
      </c>
      <c r="J422" s="25" t="n"/>
      <c r="K422" s="24" t="inlineStr">
        <is>
          <t>espn_consensus</t>
        </is>
      </c>
      <c r="L422" s="26" t="n">
        <v>-1350</v>
      </c>
      <c r="M422" s="27" t="n">
        <v>1.074074</v>
      </c>
      <c r="N422" s="28" t="n">
        <v>0.931034</v>
      </c>
      <c r="O422" s="28" t="n">
        <v>0.724512</v>
      </c>
      <c r="P422" s="28" t="n">
        <v>0.165</v>
      </c>
      <c r="Q422" s="28" t="n">
        <v>-0.206522</v>
      </c>
      <c r="R422" s="26" t="n">
        <v>0</v>
      </c>
      <c r="S422" s="29" t="n">
        <v>1</v>
      </c>
      <c r="T422" s="24" t="inlineStr">
        <is>
          <t>college-football-v1</t>
        </is>
      </c>
      <c r="U422" s="24" t="inlineStr">
        <is>
          <t>settled</t>
        </is>
      </c>
      <c r="V422" s="24" t="inlineStr">
        <is>
          <t>win</t>
        </is>
      </c>
      <c r="W422" s="26" t="n">
        <v>7</v>
      </c>
      <c r="X422" s="26" t="n">
        <v>31</v>
      </c>
      <c r="Y422" s="25" t="n"/>
      <c r="Z422" s="26" t="n"/>
      <c r="AA422" s="28" t="n"/>
      <c r="AB422" s="28" t="n"/>
      <c r="AC422" s="30" t="n">
        <v>0.0741</v>
      </c>
      <c r="AD422" s="24" t="inlineStr">
        <is>
          <t>2026-09-20T04:32:11.300395Z</t>
        </is>
      </c>
      <c r="AE422" s="31" t="inlineStr">
        <is>
          <t>CFB Joint Model (negative_binomial): proj score Arkansas State Red Wolves 20.9 @ TCU Horned Frogs 32.3 (Margin +11.4). Possessions: 12.4, HFA: +2.8 pts.</t>
        </is>
      </c>
      <c r="AF422" s="31" t="inlineStr">
        <is>
          <t>College football model; multi-market (moneyline, spread, total).</t>
        </is>
      </c>
      <c r="AG422" s="24" t="inlineStr">
        <is>
          <t>not_applicable</t>
        </is>
      </c>
      <c r="AH422" s="24" t="n"/>
      <c r="AI422" s="31" t="n"/>
      <c r="AJ422" s="31" t="n"/>
      <c r="AK422" s="24" t="inlineStr">
        <is>
          <t>paper_call</t>
        </is>
      </c>
      <c r="AL422" s="26" t="n">
        <v>4</v>
      </c>
      <c r="AM422" s="24" t="inlineStr">
        <is>
          <t>RESEARCH_OBSERVATION</t>
        </is>
      </c>
      <c r="AN422" s="24" t="inlineStr">
        <is>
          <t>CALL</t>
        </is>
      </c>
      <c r="AO422" s="24" t="inlineStr">
        <is>
          <t>PAPER_CALL_LOW_EDGE</t>
        </is>
      </c>
      <c r="AP422" s="24" t="inlineStr">
        <is>
          <t>Arkansas State Red Wolves</t>
        </is>
      </c>
      <c r="AQ422" s="24" t="inlineStr">
        <is>
          <t>Arkansas State Red Wolves</t>
        </is>
      </c>
      <c r="AR422" s="24" t="inlineStr">
        <is>
          <t>Arkansas State Red Wolves</t>
        </is>
      </c>
      <c r="AS422" s="24" t="inlineStr">
        <is>
          <t>TCU Horned Frogs</t>
        </is>
      </c>
      <c r="AT422" s="24" t="inlineStr">
        <is>
          <t>TCU Horned Frogs</t>
        </is>
      </c>
      <c r="AU422" s="24" t="inlineStr">
        <is>
          <t>TCU Horned Frogs</t>
        </is>
      </c>
      <c r="AV422" s="24" t="n"/>
      <c r="AW422" s="24" t="n"/>
      <c r="AX422" s="24" t="inlineStr">
        <is>
          <t>statistical_model</t>
        </is>
      </c>
      <c r="AY422" s="24" t="n"/>
      <c r="AZ422" s="24" t="inlineStr">
        <is>
          <t>shadow_qualified</t>
        </is>
      </c>
      <c r="BA422" s="24" t="inlineStr">
        <is>
          <t>1d168f11d221cd3c</t>
        </is>
      </c>
      <c r="BB422" s="24" t="inlineStr">
        <is>
          <t>cfb_key_number_engine</t>
        </is>
      </c>
      <c r="BC422" s="24" t="inlineStr">
        <is>
          <t>college-football-v1</t>
        </is>
      </c>
      <c r="BD422" s="24" t="inlineStr">
        <is>
          <t>1d168f11d221cd3c</t>
        </is>
      </c>
      <c r="BE422" s="24" t="inlineStr">
        <is>
          <t>cfb-v1</t>
        </is>
      </c>
      <c r="BF422" s="24" t="inlineStr">
        <is>
          <t>1</t>
        </is>
      </c>
      <c r="BG422" s="24" t="inlineStr">
        <is>
          <t>1d168f11d221cd3c</t>
        </is>
      </c>
      <c r="BH422" s="24" t="inlineStr">
        <is>
          <t>2026-09-19T22:46:25.988423+00:00</t>
        </is>
      </c>
      <c r="BI422" s="24" t="inlineStr">
        <is>
          <t>["same_event","same_team_same_day","same_league_same_day"]</t>
        </is>
      </c>
      <c r="BJ422" s="25" t="n"/>
      <c r="BK422" s="26" t="n">
        <v>-1350</v>
      </c>
      <c r="BL422" s="27" t="n">
        <v>1.074074</v>
      </c>
      <c r="BM422" s="28" t="n">
        <v>0.931034</v>
      </c>
      <c r="BN422" s="28" t="n"/>
      <c r="BO422" s="28" t="n"/>
      <c r="BP422" s="25" t="n"/>
      <c r="BQ422" s="27" t="n"/>
      <c r="BR422" s="28" t="n"/>
      <c r="BS422" s="28" t="n"/>
      <c r="BT422" s="28" t="n"/>
      <c r="BU422" s="25" t="n"/>
      <c r="BV422" s="29" t="n"/>
      <c r="BW422" s="24" t="n"/>
      <c r="BX422" s="30" t="n">
        <v>1</v>
      </c>
      <c r="BY422" s="27" t="n">
        <v>0.074074</v>
      </c>
      <c r="BZ422" s="24" t="inlineStr">
        <is>
          <t>2026-09-20T04:32:11.300395Z</t>
        </is>
      </c>
      <c r="CA422" s="31" t="inlineStr">
        <is>
          <t>fixed one-unit hypothetical scoring; no real exposure or execution</t>
        </is>
      </c>
      <c r="CB422" s="24" t="n"/>
      <c r="CC422" s="24" t="n"/>
      <c r="CD422" s="24" t="n"/>
      <c r="CE422" s="24" t="n"/>
      <c r="CF422" s="24" t="n"/>
      <c r="CG422" s="24" t="n"/>
      <c r="CH422" s="24" t="n"/>
      <c r="CI422" s="24" t="n"/>
      <c r="CJ422" s="24" t="n"/>
      <c r="CK422" s="24" t="n"/>
      <c r="CL422" s="24" t="n"/>
      <c r="CM422" s="24" t="n"/>
      <c r="CN422" s="24" t="n"/>
      <c r="CO422" s="24" t="n"/>
      <c r="CP422" s="24" t="n"/>
      <c r="CQ422" s="24" t="n"/>
      <c r="CR422" s="24" t="n"/>
      <c r="CS422" s="24" t="inlineStr">
        <is>
          <t>False</t>
        </is>
      </c>
      <c r="CT422" s="24" t="n"/>
      <c r="CU422" s="24" t="n"/>
      <c r="CV422" s="24" t="n"/>
      <c r="CW422" s="24" t="n"/>
      <c r="CX422" s="24" t="n"/>
      <c r="CY422" s="24" t="n"/>
      <c r="CZ422" s="24" t="n"/>
      <c r="DA422" s="24" t="n"/>
      <c r="DB422" s="24" t="n"/>
      <c r="DC422" s="24" t="n"/>
      <c r="DD422" s="24" t="n"/>
      <c r="DE422" s="24" t="n"/>
      <c r="DF422" s="24" t="n"/>
      <c r="DG422" s="24" t="n"/>
      <c r="DH422" s="24" t="n"/>
      <c r="DI422" s="24" t="n"/>
      <c r="DJ422" s="24" t="inlineStr">
        <is>
          <t>0.931034</t>
        </is>
      </c>
      <c r="DK422" s="24" t="n"/>
      <c r="DL422" s="24" t="n"/>
      <c r="DM422" s="24" t="n"/>
      <c r="DN422" s="24" t="n"/>
      <c r="DO422" s="24" t="n"/>
      <c r="DP422" s="24" t="n"/>
      <c r="DQ422" s="24" t="inlineStr">
        <is>
          <t>{"artifact_hash": "1d168f11d221cd3c", "event_id": "401856799", "event_start_utc": "2026-09-20T00:00Z", "features": {"altitude_fatigue_penalty": 0.0, "away_team": "Arkansas State Red Wolves", "efficiency_gap": 1.043, "elo_away": 1378.9, "elo_home": 1596.1, "elo_home_win_prob": 0.8354, "event_id": "401856799", "game_start_utc": "2026-09-20T00:00Z", "home_field_advantage_points": 2.8, "home_team": "TCU Horned Frogs", "is_dome": false, "is_fbs_vs_fcs": false, "is_neutral_site": false, "projected_away_points": 20.9, "projected_home_points": 32.3, "projected_margin_home": 11.4, "projected_possessions": 12.4, "projected_total": 53.2, "stadium_elevation_ft": 620, "travel_distance_miles": 440.0, "uncertainty": 0.165, "weather_total_adjustment": 0.0}, "historical_source_observation_times_verified": false, "inference_inputs": {"engine_source_sha256": "449ba2f0e86fa9c445730076a0e0bf100fb4914620be53c75c6f3bfe24298f3f", "mu_away": 20.9, "mu_home": 32.3,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330276502550426322961040668144115832417}, "uinteger": 0}, "spread_home_line": -18.5, "total_line": 56.5}, "market_type": "moneyline", "model_version": "college-football-v1", "observed_at_utc": "2026-09-19T22:46:25.988423+00:00", "probabilities": {"away": 0.275488, "home": 0.724512}, "replay_scope": "Full precision score means, exact engine parameters and original RNG state; upstream feature construction not certified.", "schema": "cfb-joint-replay-v1", "snapshot_hash": "aef7460c8caa1c8940014e6fa812e51548860a0395a0d025ff0ffb9c3b0bb126", "sport": "NCAAF"}</t>
        </is>
      </c>
    </row>
    <row r="423" ht="36" customHeight="1">
      <c r="A423" s="24" t="inlineStr">
        <is>
          <t>1d004a57d7b748f6</t>
        </is>
      </c>
      <c r="B423" s="24" t="inlineStr">
        <is>
          <t>2026-09-19T22:46:25.988423Z</t>
        </is>
      </c>
      <c r="C423" s="24" t="inlineStr">
        <is>
          <t>2026-09-20T00:00Z</t>
        </is>
      </c>
      <c r="D423" s="24" t="inlineStr">
        <is>
          <t>401856799</t>
        </is>
      </c>
      <c r="E423" s="24" t="inlineStr">
        <is>
          <t>NCAAF</t>
        </is>
      </c>
      <c r="F423" s="24" t="inlineStr">
        <is>
          <t>Arkansas State Red Wolves</t>
        </is>
      </c>
      <c r="G423" s="24" t="inlineStr">
        <is>
          <t>TCU Horned Frogs</t>
        </is>
      </c>
      <c r="H423" s="24" t="inlineStr">
        <is>
          <t>spread</t>
        </is>
      </c>
      <c r="I423" s="24" t="inlineStr">
        <is>
          <t>away</t>
        </is>
      </c>
      <c r="J423" s="25" t="n">
        <v>18.5</v>
      </c>
      <c r="K423" s="24" t="inlineStr">
        <is>
          <t>espn_consensus</t>
        </is>
      </c>
      <c r="L423" s="26" t="n">
        <v>-105</v>
      </c>
      <c r="M423" s="27" t="n">
        <v>1.952381</v>
      </c>
      <c r="N423" s="28" t="n">
        <v>0.512195</v>
      </c>
      <c r="O423" s="28" t="n">
        <v>0.6496</v>
      </c>
      <c r="P423" s="28" t="n">
        <v>0.165</v>
      </c>
      <c r="Q423" s="28" t="n">
        <v>0.137405</v>
      </c>
      <c r="R423" s="26" t="n">
        <v>20</v>
      </c>
      <c r="S423" s="29" t="n">
        <v>1</v>
      </c>
      <c r="T423" s="24" t="inlineStr">
        <is>
          <t>cfb-spread-v1</t>
        </is>
      </c>
      <c r="U423" s="24" t="inlineStr">
        <is>
          <t>settled</t>
        </is>
      </c>
      <c r="V423" s="24" t="inlineStr">
        <is>
          <t>loss</t>
        </is>
      </c>
      <c r="W423" s="26" t="n">
        <v>7</v>
      </c>
      <c r="X423" s="26" t="n">
        <v>31</v>
      </c>
      <c r="Y423" s="25" t="n"/>
      <c r="Z423" s="26" t="n"/>
      <c r="AA423" s="28" t="n"/>
      <c r="AB423" s="28" t="n"/>
      <c r="AC423" s="30" t="n">
        <v>-1</v>
      </c>
      <c r="AD423" s="24" t="inlineStr">
        <is>
          <t>2026-09-20T04:32:11.740625Z</t>
        </is>
      </c>
      <c r="AE423" s="31" t="inlineStr">
        <is>
          <t>Projected home margin +11.4 pts. Spread: Home -18.5 / Away +18.5 -&gt; P(Away cover)=0.650, P(Home cover)=0.350, P(Push)=0.000.</t>
        </is>
      </c>
      <c r="AF423" s="31" t="inlineStr">
        <is>
          <t>College football model; multi-market (moneyline, spread, total).</t>
        </is>
      </c>
      <c r="AG423" s="24" t="inlineStr">
        <is>
          <t>review_required</t>
        </is>
      </c>
      <c r="AH423" s="24" t="n"/>
      <c r="AI423" s="31" t="n"/>
      <c r="AJ423" s="31" t="n"/>
      <c r="AK423" s="24" t="inlineStr">
        <is>
          <t>model_qualified</t>
        </is>
      </c>
      <c r="AL423" s="26" t="n">
        <v>4</v>
      </c>
      <c r="AM423" s="24" t="inlineStr">
        <is>
          <t>QUALIFIED_SHADOW_CALL</t>
        </is>
      </c>
      <c r="AN423" s="24" t="inlineStr">
        <is>
          <t>CALL</t>
        </is>
      </c>
      <c r="AO423" s="24" t="inlineStr">
        <is>
          <t>QUALIFIED</t>
        </is>
      </c>
      <c r="AP423" s="24" t="inlineStr">
        <is>
          <t>Arkansas State Red Wolves</t>
        </is>
      </c>
      <c r="AQ423" s="24" t="inlineStr">
        <is>
          <t>Arkansas State Red Wolves</t>
        </is>
      </c>
      <c r="AR423" s="24" t="inlineStr">
        <is>
          <t>Arkansas State Red Wolves</t>
        </is>
      </c>
      <c r="AS423" s="24" t="inlineStr">
        <is>
          <t>TCU Horned Frogs</t>
        </is>
      </c>
      <c r="AT423" s="24" t="inlineStr">
        <is>
          <t>TCU Horned Frogs</t>
        </is>
      </c>
      <c r="AU423" s="24" t="inlineStr">
        <is>
          <t>TCU Horned Frogs</t>
        </is>
      </c>
      <c r="AV423" s="24" t="n"/>
      <c r="AW423" s="24" t="n"/>
      <c r="AX423" s="24" t="inlineStr">
        <is>
          <t>statistical_model</t>
        </is>
      </c>
      <c r="AY423" s="24" t="n"/>
      <c r="AZ423" s="24" t="inlineStr">
        <is>
          <t>shadow_qualified</t>
        </is>
      </c>
      <c r="BA423" s="24" t="inlineStr">
        <is>
          <t>1d168f11d221cd3c</t>
        </is>
      </c>
      <c r="BB423" s="24" t="inlineStr">
        <is>
          <t>cfb_key_number_engine</t>
        </is>
      </c>
      <c r="BC423" s="24" t="inlineStr">
        <is>
          <t>cfb-spread-v1</t>
        </is>
      </c>
      <c r="BD423" s="24" t="inlineStr">
        <is>
          <t>1d168f11d221cd3c</t>
        </is>
      </c>
      <c r="BE423" s="24" t="inlineStr">
        <is>
          <t>cfb-v1</t>
        </is>
      </c>
      <c r="BF423" s="24" t="inlineStr">
        <is>
          <t>1</t>
        </is>
      </c>
      <c r="BG423" s="24" t="inlineStr">
        <is>
          <t>1d168f11d221cd3c</t>
        </is>
      </c>
      <c r="BH423" s="24" t="inlineStr">
        <is>
          <t>2026-09-19T22:46:25.988423+00:00</t>
        </is>
      </c>
      <c r="BI423" s="24" t="inlineStr">
        <is>
          <t>["same_event","same_team_same_day","same_league_same_day"]</t>
        </is>
      </c>
      <c r="BJ423" s="25" t="n">
        <v>18.5</v>
      </c>
      <c r="BK423" s="26" t="n">
        <v>-105</v>
      </c>
      <c r="BL423" s="27" t="n">
        <v>1.952381</v>
      </c>
      <c r="BM423" s="28" t="n">
        <v>0.512195</v>
      </c>
      <c r="BN423" s="28" t="n"/>
      <c r="BO423" s="28" t="n"/>
      <c r="BP423" s="25" t="n"/>
      <c r="BQ423" s="27" t="n"/>
      <c r="BR423" s="28" t="n"/>
      <c r="BS423" s="28" t="n"/>
      <c r="BT423" s="28" t="n"/>
      <c r="BU423" s="25" t="n"/>
      <c r="BV423" s="29" t="n"/>
      <c r="BW423" s="24" t="n"/>
      <c r="BX423" s="30" t="n"/>
      <c r="BY423" s="27" t="n"/>
      <c r="BZ423" s="24" t="n"/>
      <c r="CA423" s="31" t="n"/>
      <c r="CB423" s="24" t="n"/>
      <c r="CC423" s="24" t="n"/>
      <c r="CD423" s="24" t="n"/>
      <c r="CE423" s="24" t="n"/>
      <c r="CF423" s="24" t="n"/>
      <c r="CG423" s="24" t="n"/>
      <c r="CH423" s="24" t="n"/>
      <c r="CI423" s="24" t="n"/>
      <c r="CJ423" s="24" t="n"/>
      <c r="CK423" s="24" t="n"/>
      <c r="CL423" s="24" t="n"/>
      <c r="CM423" s="24" t="n"/>
      <c r="CN423" s="24" t="n"/>
      <c r="CO423" s="24" t="n"/>
      <c r="CP423" s="24" t="n"/>
      <c r="CQ423" s="24" t="n"/>
      <c r="CR423" s="24" t="n"/>
      <c r="CS423" s="24" t="inlineStr">
        <is>
          <t>True</t>
        </is>
      </c>
      <c r="CT423" s="24" t="n"/>
      <c r="CU423" s="24" t="n"/>
      <c r="CV423" s="24" t="n"/>
      <c r="CW423" s="24" t="n"/>
      <c r="CX423" s="24" t="n"/>
      <c r="CY423" s="24" t="n"/>
      <c r="CZ423" s="24" t="n"/>
      <c r="DA423" s="24" t="n"/>
      <c r="DB423" s="24" t="n"/>
      <c r="DC423" s="24" t="n"/>
      <c r="DD423" s="24" t="n"/>
      <c r="DE423" s="24" t="n"/>
      <c r="DF423" s="24" t="n"/>
      <c r="DG423" s="24" t="n"/>
      <c r="DH423" s="24" t="n"/>
      <c r="DI423" s="24" t="n"/>
      <c r="DJ423" s="24" t="inlineStr">
        <is>
          <t>0.512195</t>
        </is>
      </c>
      <c r="DK423" s="24" t="n"/>
      <c r="DL423" s="24" t="n"/>
      <c r="DM423" s="24" t="n"/>
      <c r="DN423" s="24" t="n"/>
      <c r="DO423" s="24" t="n"/>
      <c r="DP423" s="24" t="n"/>
      <c r="DQ423" s="24" t="inlineStr">
        <is>
          <t>{"artifact_hash": "1d168f11d221cd3c", "event_id": "401856799", "event_start_utc": "2026-09-20T00:00Z", "features": {"altitude_fatigue_penalty": 0.0, "away_team": "Arkansas State Red Wolves", "efficiency_gap": 1.043, "elo_away": 1378.9, "elo_home": 1596.1, "elo_home_win_prob": 0.8354, "event_id": "401856799", "game_start_utc": "2026-09-20T00:00Z", "home_field_advantage_points": 2.8, "home_team": "TCU Horned Frogs", "is_dome": false, "is_fbs_vs_fcs": false, "is_neutral_site": false, "projected_away_points": 20.9, "projected_home_points": 32.3, "projected_margin_home": 11.4, "projected_possessions": 12.4, "projected_total": 53.2, "stadium_elevation_ft": 620, "travel_distance_miles": 440.0, "uncertainty": 0.165, "weather_total_adjustment": 0.0}, "historical_source_observation_times_verified": false, "inference_inputs": {"engine_source_sha256": "449ba2f0e86fa9c445730076a0e0bf100fb4914620be53c75c6f3bfe24298f3f", "mu_away": 20.9, "mu_home": 32.3,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330276502550426322961040668144115832417}, "uinteger": 0}, "spread_home_line": -18.5, "total_line": 56.5}, "market_type": "spread", "model_version": "cfb-spread-v1", "observed_at_utc": "2026-09-19T22:46:25.988423+00:00", "probabilities": {"away": 0.6496, "home": 0.3504, "push": 0.0}, "replay_scope": "Full precision score means, exact engine parameters and original RNG state; upstream feature construction not certified.", "schema": "cfb-joint-replay-v1", "snapshot_hash": "b284c49ce8665c950feb04980ff13c2cbdc4e8e6f36fb99f5925fe5ed9c0c904", "sport": "NCAAF"}</t>
        </is>
      </c>
    </row>
    <row r="424" ht="36" customHeight="1">
      <c r="A424" s="24" t="inlineStr">
        <is>
          <t>7567158b71394daf</t>
        </is>
      </c>
      <c r="B424" s="24" t="inlineStr">
        <is>
          <t>2026-09-19T22:46:25.988423Z</t>
        </is>
      </c>
      <c r="C424" s="24" t="inlineStr">
        <is>
          <t>2026-09-20T00:00Z</t>
        </is>
      </c>
      <c r="D424" s="24" t="inlineStr">
        <is>
          <t>401856799</t>
        </is>
      </c>
      <c r="E424" s="24" t="inlineStr">
        <is>
          <t>NCAAF</t>
        </is>
      </c>
      <c r="F424" s="24" t="inlineStr">
        <is>
          <t>Arkansas State Red Wolves</t>
        </is>
      </c>
      <c r="G424" s="24" t="inlineStr">
        <is>
          <t>TCU Horned Frogs</t>
        </is>
      </c>
      <c r="H424" s="24" t="inlineStr">
        <is>
          <t>total</t>
        </is>
      </c>
      <c r="I424" s="24" t="inlineStr">
        <is>
          <t>under</t>
        </is>
      </c>
      <c r="J424" s="25" t="n">
        <v>56.5</v>
      </c>
      <c r="K424" s="24" t="inlineStr">
        <is>
          <t>espn_consensus</t>
        </is>
      </c>
      <c r="L424" s="26" t="n">
        <v>-115</v>
      </c>
      <c r="M424" s="27" t="n">
        <v>1.869565</v>
      </c>
      <c r="N424" s="28" t="n">
        <v>0.534884</v>
      </c>
      <c r="O424" s="28" t="n">
        <v>0.577467</v>
      </c>
      <c r="P424" s="28" t="n">
        <v>0.165</v>
      </c>
      <c r="Q424" s="28" t="n">
        <v>0.042583</v>
      </c>
      <c r="R424" s="26" t="n">
        <v>0</v>
      </c>
      <c r="S424" s="29" t="n">
        <v>1</v>
      </c>
      <c r="T424" s="24" t="inlineStr">
        <is>
          <t>cfb-total-v1</t>
        </is>
      </c>
      <c r="U424" s="24" t="inlineStr">
        <is>
          <t>settled</t>
        </is>
      </c>
      <c r="V424" s="24" t="inlineStr">
        <is>
          <t>win</t>
        </is>
      </c>
      <c r="W424" s="26" t="n">
        <v>7</v>
      </c>
      <c r="X424" s="26" t="n">
        <v>31</v>
      </c>
      <c r="Y424" s="25" t="n"/>
      <c r="Z424" s="26" t="n"/>
      <c r="AA424" s="28" t="n"/>
      <c r="AB424" s="28" t="n"/>
      <c r="AC424" s="30" t="n">
        <v>0.8696</v>
      </c>
      <c r="AD424" s="24" t="inlineStr">
        <is>
          <t>2026-09-20T04:32:12.280701Z</t>
        </is>
      </c>
      <c r="AE424" s="31" t="inlineStr">
        <is>
          <t>Projected total 53.2 pts (Weather adj: +0.0 pts). Total line 56.5 -&gt; P(Over)=0.423, P(Under)=0.577, P(Push)=0.000.</t>
        </is>
      </c>
      <c r="AF424" s="31" t="inlineStr">
        <is>
          <t>College football model; multi-market (moneyline, spread, total).</t>
        </is>
      </c>
      <c r="AG424" s="24" t="inlineStr">
        <is>
          <t>not_applicable</t>
        </is>
      </c>
      <c r="AH424" s="24" t="n"/>
      <c r="AI424" s="31" t="n"/>
      <c r="AJ424" s="31" t="n"/>
      <c r="AK424" s="24" t="inlineStr">
        <is>
          <t>model_qualified</t>
        </is>
      </c>
      <c r="AL424" s="26" t="n">
        <v>4</v>
      </c>
      <c r="AM424" s="24" t="inlineStr">
        <is>
          <t>QUALIFIED_SHADOW_CALL</t>
        </is>
      </c>
      <c r="AN424" s="24" t="inlineStr">
        <is>
          <t>CALL</t>
        </is>
      </c>
      <c r="AO424" s="24" t="inlineStr">
        <is>
          <t>QUALIFIED</t>
        </is>
      </c>
      <c r="AP424" s="24" t="inlineStr">
        <is>
          <t>Arkansas State Red Wolves</t>
        </is>
      </c>
      <c r="AQ424" s="24" t="inlineStr">
        <is>
          <t>Arkansas State Red Wolves</t>
        </is>
      </c>
      <c r="AR424" s="24" t="inlineStr">
        <is>
          <t>Arkansas State Red Wolves</t>
        </is>
      </c>
      <c r="AS424" s="24" t="inlineStr">
        <is>
          <t>TCU Horned Frogs</t>
        </is>
      </c>
      <c r="AT424" s="24" t="inlineStr">
        <is>
          <t>TCU Horned Frogs</t>
        </is>
      </c>
      <c r="AU424" s="24" t="inlineStr">
        <is>
          <t>TCU Horned Frogs</t>
        </is>
      </c>
      <c r="AV424" s="24" t="n"/>
      <c r="AW424" s="24" t="n"/>
      <c r="AX424" s="24" t="inlineStr">
        <is>
          <t>statistical_model</t>
        </is>
      </c>
      <c r="AY424" s="24" t="n"/>
      <c r="AZ424" s="24" t="inlineStr">
        <is>
          <t>shadow_qualified</t>
        </is>
      </c>
      <c r="BA424" s="24" t="inlineStr">
        <is>
          <t>1d168f11d221cd3c</t>
        </is>
      </c>
      <c r="BB424" s="24" t="inlineStr">
        <is>
          <t>cfb_key_number_engine</t>
        </is>
      </c>
      <c r="BC424" s="24" t="inlineStr">
        <is>
          <t>cfb-total-v1</t>
        </is>
      </c>
      <c r="BD424" s="24" t="inlineStr">
        <is>
          <t>1d168f11d221cd3c</t>
        </is>
      </c>
      <c r="BE424" s="24" t="inlineStr">
        <is>
          <t>cfb-v1</t>
        </is>
      </c>
      <c r="BF424" s="24" t="inlineStr">
        <is>
          <t>1</t>
        </is>
      </c>
      <c r="BG424" s="24" t="inlineStr">
        <is>
          <t>1d168f11d221cd3c</t>
        </is>
      </c>
      <c r="BH424" s="24" t="inlineStr">
        <is>
          <t>2026-09-19T22:46:25.988423+00:00</t>
        </is>
      </c>
      <c r="BI424" s="24" t="inlineStr">
        <is>
          <t>["same_event","same_team_same_day","same_league_same_day"]</t>
        </is>
      </c>
      <c r="BJ424" s="25" t="n">
        <v>56.5</v>
      </c>
      <c r="BK424" s="26" t="n">
        <v>-115</v>
      </c>
      <c r="BL424" s="27" t="n">
        <v>1.869565</v>
      </c>
      <c r="BM424" s="28" t="n">
        <v>0.534884</v>
      </c>
      <c r="BN424" s="28" t="n"/>
      <c r="BO424" s="28" t="n"/>
      <c r="BP424" s="25" t="n"/>
      <c r="BQ424" s="27" t="n"/>
      <c r="BR424" s="28" t="n"/>
      <c r="BS424" s="28" t="n"/>
      <c r="BT424" s="28" t="n"/>
      <c r="BU424" s="25" t="n"/>
      <c r="BV424" s="29" t="n"/>
      <c r="BW424" s="24" t="n"/>
      <c r="BX424" s="30" t="n"/>
      <c r="BY424" s="27" t="n"/>
      <c r="BZ424" s="24" t="n"/>
      <c r="CA424" s="31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inlineStr">
        <is>
          <t>True</t>
        </is>
      </c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n"/>
      <c r="DE424" s="24" t="n"/>
      <c r="DF424" s="24" t="n"/>
      <c r="DG424" s="24" t="n"/>
      <c r="DH424" s="24" t="n"/>
      <c r="DI424" s="24" t="n"/>
      <c r="DJ424" s="24" t="inlineStr">
        <is>
          <t>0.534884</t>
        </is>
      </c>
      <c r="DK424" s="24" t="n"/>
      <c r="DL424" s="24" t="n"/>
      <c r="DM424" s="24" t="n"/>
      <c r="DN424" s="24" t="n"/>
      <c r="DO424" s="24" t="n"/>
      <c r="DP424" s="24" t="n"/>
      <c r="DQ424" s="24" t="inlineStr">
        <is>
          <t>{"artifact_hash": "1d168f11d221cd3c", "event_id": "401856799", "event_start_utc": "2026-09-20T00:00Z", "features": {"altitude_fatigue_penalty": 0.0, "away_team": "Arkansas State Red Wolves", "efficiency_gap": 1.043, "elo_away": 1378.9, "elo_home": 1596.1, "elo_home_win_prob": 0.8354, "event_id": "401856799", "game_start_utc": "2026-09-20T00:00Z", "home_field_advantage_points": 2.8, "home_team": "TCU Horned Frogs", "is_dome": false, "is_fbs_vs_fcs": false, "is_neutral_site": false, "projected_away_points": 20.9, "projected_home_points": 32.3, "projected_margin_home": 11.4, "projected_possessions": 12.4, "projected_total": 53.2, "stadium_elevation_ft": 620, "travel_distance_miles": 440.0, "uncertainty": 0.165, "weather_total_adjustment": 0.0}, "historical_source_observation_times_verified": false, "inference_inputs": {"engine_source_sha256": "449ba2f0e86fa9c445730076a0e0bf100fb4914620be53c75c6f3bfe24298f3f", "mu_away": 20.9, "mu_home": 32.3,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330276502550426322961040668144115832417}, "uinteger": 0}, "spread_home_line": -18.5, "total_line": 56.5}, "market_type": "total", "model_version": "cfb-total-v1", "observed_at_utc": "2026-09-19T22:46:25.988423+00:00", "probabilities": {"over": 0.422533, "push": 0.0, "under": 0.577467}, "replay_scope": "Full precision score means, exact engine parameters and original RNG state; upstream feature construction not certified.", "schema": "cfb-joint-replay-v1", "snapshot_hash": "61f12aa1714815a957085a10c015a07b77c1b361ed40dd7217c4fefa0aedbf18", "sport": "NCAAF"}</t>
        </is>
      </c>
    </row>
    <row r="425" ht="36" customHeight="1">
      <c r="A425" s="24" t="inlineStr">
        <is>
          <t>b73ae79255d44e84</t>
        </is>
      </c>
      <c r="B425" s="24" t="inlineStr">
        <is>
          <t>2026-09-19T22:46:25.988423Z</t>
        </is>
      </c>
      <c r="C425" s="24" t="inlineStr">
        <is>
          <t>2026-09-20T00:00Z</t>
        </is>
      </c>
      <c r="D425" s="24" t="inlineStr">
        <is>
          <t>401862775</t>
        </is>
      </c>
      <c r="E425" s="24" t="inlineStr">
        <is>
          <t>NCAAF</t>
        </is>
      </c>
      <c r="F425" s="24" t="inlineStr">
        <is>
          <t>East Texas A&amp;M Lions</t>
        </is>
      </c>
      <c r="G425" s="24" t="inlineStr">
        <is>
          <t>Tulsa Golden Hurricane</t>
        </is>
      </c>
      <c r="H425" s="24" t="inlineStr">
        <is>
          <t>spread</t>
        </is>
      </c>
      <c r="I425" s="24" t="inlineStr">
        <is>
          <t>away</t>
        </is>
      </c>
      <c r="J425" s="25" t="n">
        <v>41.5</v>
      </c>
      <c r="K425" s="24" t="inlineStr">
        <is>
          <t>espn_consensus</t>
        </is>
      </c>
      <c r="L425" s="26" t="n">
        <v>-105</v>
      </c>
      <c r="M425" s="27" t="n">
        <v>1.952381</v>
      </c>
      <c r="N425" s="28" t="n">
        <v>0.512195</v>
      </c>
      <c r="O425" s="28" t="n">
        <v>0.961933</v>
      </c>
      <c r="P425" s="28" t="n">
        <v>0.18</v>
      </c>
      <c r="Q425" s="28" t="n">
        <v>0.449738</v>
      </c>
      <c r="R425" s="26" t="n">
        <v>100</v>
      </c>
      <c r="S425" s="29" t="n">
        <v>2</v>
      </c>
      <c r="T425" s="24" t="inlineStr">
        <is>
          <t>cfb-spread-v1</t>
        </is>
      </c>
      <c r="U425" s="24" t="inlineStr">
        <is>
          <t>settled</t>
        </is>
      </c>
      <c r="V425" s="24" t="inlineStr">
        <is>
          <t>loss</t>
        </is>
      </c>
      <c r="W425" s="26" t="n">
        <v>0</v>
      </c>
      <c r="X425" s="26" t="n">
        <v>42</v>
      </c>
      <c r="Y425" s="25" t="n"/>
      <c r="Z425" s="26" t="n"/>
      <c r="AA425" s="28" t="n"/>
      <c r="AB425" s="28" t="n"/>
      <c r="AC425" s="30" t="n">
        <v>-2</v>
      </c>
      <c r="AD425" s="24" t="inlineStr">
        <is>
          <t>2026-09-20T04:32:12.782336Z</t>
        </is>
      </c>
      <c r="AE425" s="31" t="inlineStr">
        <is>
          <t>Projected home margin +3.5 pts. Spread: Home -41.5 / Away +41.5 -&gt; P(Away cover)=0.962, P(Home cover)=0.038, P(Push)=0.000.</t>
        </is>
      </c>
      <c r="AF425" s="31" t="inlineStr">
        <is>
          <t>College football model; multi-market (moneyline, spread, total).</t>
        </is>
      </c>
      <c r="AG425" s="24" t="inlineStr">
        <is>
          <t>review_required</t>
        </is>
      </c>
      <c r="AH425" s="24" t="n"/>
      <c r="AI425" s="31" t="n"/>
      <c r="AJ425" s="31" t="n"/>
      <c r="AK425" s="24" t="inlineStr">
        <is>
          <t>model_qualified</t>
        </is>
      </c>
      <c r="AL425" s="26" t="n">
        <v>4</v>
      </c>
      <c r="AM425" s="24" t="inlineStr">
        <is>
          <t>QUALIFIED_SHADOW_CALL</t>
        </is>
      </c>
      <c r="AN425" s="24" t="inlineStr">
        <is>
          <t>CALL</t>
        </is>
      </c>
      <c r="AO425" s="24" t="inlineStr">
        <is>
          <t>QUALIFIED</t>
        </is>
      </c>
      <c r="AP425" s="24" t="inlineStr">
        <is>
          <t>East Texas A&amp;M Lions</t>
        </is>
      </c>
      <c r="AQ425" s="24" t="inlineStr">
        <is>
          <t>East Texas A&amp;M Lions</t>
        </is>
      </c>
      <c r="AR425" s="24" t="inlineStr">
        <is>
          <t>East Texas A&amp;M Lions</t>
        </is>
      </c>
      <c r="AS425" s="24" t="inlineStr">
        <is>
          <t>Tulsa Golden Hurricane</t>
        </is>
      </c>
      <c r="AT425" s="24" t="inlineStr">
        <is>
          <t>Tulsa Golden Hurricane</t>
        </is>
      </c>
      <c r="AU425" s="24" t="inlineStr">
        <is>
          <t>Tulsa Golden Hurricane</t>
        </is>
      </c>
      <c r="AV425" s="24" t="n"/>
      <c r="AW425" s="24" t="n"/>
      <c r="AX425" s="24" t="inlineStr">
        <is>
          <t>statistical_model</t>
        </is>
      </c>
      <c r="AY425" s="24" t="n"/>
      <c r="AZ425" s="24" t="inlineStr">
        <is>
          <t>shadow_qualified</t>
        </is>
      </c>
      <c r="BA425" s="24" t="inlineStr">
        <is>
          <t>1d168f11d221cd3c</t>
        </is>
      </c>
      <c r="BB425" s="24" t="inlineStr">
        <is>
          <t>cfb_key_number_engine</t>
        </is>
      </c>
      <c r="BC425" s="24" t="inlineStr">
        <is>
          <t>cfb-spread-v1</t>
        </is>
      </c>
      <c r="BD425" s="24" t="inlineStr">
        <is>
          <t>1d168f11d221cd3c</t>
        </is>
      </c>
      <c r="BE425" s="24" t="inlineStr">
        <is>
          <t>cfb-v1</t>
        </is>
      </c>
      <c r="BF425" s="24" t="inlineStr">
        <is>
          <t>1</t>
        </is>
      </c>
      <c r="BG425" s="24" t="inlineStr">
        <is>
          <t>1d168f11d221cd3c</t>
        </is>
      </c>
      <c r="BH425" s="24" t="inlineStr">
        <is>
          <t>2026-09-19T22:46:25.988423+00:00</t>
        </is>
      </c>
      <c r="BI425" s="24" t="inlineStr">
        <is>
          <t>["same_event","same_team_same_day","same_league_same_day"]</t>
        </is>
      </c>
      <c r="BJ425" s="25" t="n">
        <v>41.5</v>
      </c>
      <c r="BK425" s="26" t="n">
        <v>-105</v>
      </c>
      <c r="BL425" s="27" t="n">
        <v>1.952381</v>
      </c>
      <c r="BM425" s="28" t="n">
        <v>0.512195</v>
      </c>
      <c r="BN425" s="28" t="n"/>
      <c r="BO425" s="28" t="n"/>
      <c r="BP425" s="25" t="n"/>
      <c r="BQ425" s="27" t="n"/>
      <c r="BR425" s="28" t="n"/>
      <c r="BS425" s="28" t="n"/>
      <c r="BT425" s="28" t="n"/>
      <c r="BU425" s="25" t="n"/>
      <c r="BV425" s="29" t="n"/>
      <c r="BW425" s="24" t="n"/>
      <c r="BX425" s="30" t="n"/>
      <c r="BY425" s="27" t="n"/>
      <c r="BZ425" s="24" t="n"/>
      <c r="CA425" s="31" t="n"/>
      <c r="CB425" s="24" t="n"/>
      <c r="CC425" s="24" t="n"/>
      <c r="CD425" s="24" t="n"/>
      <c r="CE425" s="24" t="n"/>
      <c r="CF425" s="24" t="n"/>
      <c r="CG425" s="24" t="n"/>
      <c r="CH425" s="24" t="n"/>
      <c r="CI425" s="24" t="n"/>
      <c r="CJ425" s="24" t="n"/>
      <c r="CK425" s="24" t="n"/>
      <c r="CL425" s="24" t="n"/>
      <c r="CM425" s="24" t="n"/>
      <c r="CN425" s="24" t="n"/>
      <c r="CO425" s="24" t="n"/>
      <c r="CP425" s="24" t="n"/>
      <c r="CQ425" s="24" t="n"/>
      <c r="CR425" s="24" t="n"/>
      <c r="CS425" s="24" t="inlineStr">
        <is>
          <t>True</t>
        </is>
      </c>
      <c r="CT425" s="24" t="n"/>
      <c r="CU425" s="24" t="n"/>
      <c r="CV425" s="24" t="n"/>
      <c r="CW425" s="24" t="n"/>
      <c r="CX425" s="24" t="n"/>
      <c r="CY425" s="24" t="n"/>
      <c r="CZ425" s="24" t="n"/>
      <c r="DA425" s="24" t="n"/>
      <c r="DB425" s="24" t="n"/>
      <c r="DC425" s="24" t="n"/>
      <c r="DD425" s="24" t="n"/>
      <c r="DE425" s="24" t="n"/>
      <c r="DF425" s="24" t="n"/>
      <c r="DG425" s="24" t="n"/>
      <c r="DH425" s="24" t="n"/>
      <c r="DI425" s="24" t="n"/>
      <c r="DJ425" s="24" t="inlineStr">
        <is>
          <t>0.512195</t>
        </is>
      </c>
      <c r="DK425" s="24" t="n"/>
      <c r="DL425" s="24" t="n"/>
      <c r="DM425" s="24" t="n"/>
      <c r="DN425" s="24" t="n"/>
      <c r="DO425" s="24" t="n"/>
      <c r="DP425" s="24" t="n"/>
      <c r="DQ425" s="24" t="inlineStr">
        <is>
          <t>{"artifact_hash": "1d168f11d221cd3c", "event_id": "401862775", "event_start_utc": "2026-09-20T00:00Z", "features": {"altitude_fatigue_penalty": 0.0, "away_team": "East Texas A&amp;M Lions", "efficiency_gap": 1.151, "elo_away": 1337.5, "elo_home": 1358.1, "elo_home_win_prob": 0.6208, "event_id": "401862775", "game_start_utc": "2026-09-20T00:00Z", "home_field_advantage_points": 2.8, "home_team": "Tulsa Golden Hurricane", "is_dome": false, "is_fbs_vs_fcs": false, "is_neutral_site": false, "projected_away_points": 24.8, "projected_home_points": 28.3, "projected_margin_home": 3.5,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24.8,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5635706654386625124936100089641183064}, "uinteger": 0}, "spread_home_line": -41.5, "total_line": 56.5}, "market_type": "spread", "model_version": "cfb-spread-v1", "observed_at_utc": "2026-09-19T22:46:25.988423+00:00", "probabilities": {"away": 0.961933, "home": 0.038067, "push": 0.0}, "replay_scope": "Full precision score means, exact engine parameters and original RNG state; upstream feature construction not certified.", "schema": "cfb-joint-replay-v1", "snapshot_hash": "8a1041307ba2bb0320e6c597afaccae7c1bc07fa10d1c7eac83cecf921e8fd4d", "sport": "NCAAF"}</t>
        </is>
      </c>
    </row>
    <row r="426" ht="36" customHeight="1">
      <c r="A426" s="24" t="inlineStr">
        <is>
          <t>19b08f3ca5084612</t>
        </is>
      </c>
      <c r="B426" s="24" t="inlineStr">
        <is>
          <t>2026-09-19T22:46:25.988423Z</t>
        </is>
      </c>
      <c r="C426" s="24" t="inlineStr">
        <is>
          <t>2026-09-20T00:00Z</t>
        </is>
      </c>
      <c r="D426" s="24" t="inlineStr">
        <is>
          <t>401862775</t>
        </is>
      </c>
      <c r="E426" s="24" t="inlineStr">
        <is>
          <t>NCAAF</t>
        </is>
      </c>
      <c r="F426" s="24" t="inlineStr">
        <is>
          <t>East Texas A&amp;M Lions</t>
        </is>
      </c>
      <c r="G426" s="24" t="inlineStr">
        <is>
          <t>Tulsa Golden Hurricane</t>
        </is>
      </c>
      <c r="H426" s="24" t="inlineStr">
        <is>
          <t>total</t>
        </is>
      </c>
      <c r="I426" s="24" t="inlineStr">
        <is>
          <t>under</t>
        </is>
      </c>
      <c r="J426" s="25" t="n">
        <v>56.5</v>
      </c>
      <c r="K426" s="24" t="inlineStr">
        <is>
          <t>espn_consensus</t>
        </is>
      </c>
      <c r="L426" s="26" t="n">
        <v>-112</v>
      </c>
      <c r="M426" s="27" t="n">
        <v>1.892857</v>
      </c>
      <c r="N426" s="28" t="n">
        <v>0.528302</v>
      </c>
      <c r="O426" s="28" t="n">
        <v>0.591733</v>
      </c>
      <c r="P426" s="28" t="n">
        <v>0.18</v>
      </c>
      <c r="Q426" s="28" t="n">
        <v>0.063431</v>
      </c>
      <c r="R426" s="26" t="n">
        <v>0</v>
      </c>
      <c r="S426" s="29" t="n">
        <v>1</v>
      </c>
      <c r="T426" s="24" t="inlineStr">
        <is>
          <t>cfb-total-v1</t>
        </is>
      </c>
      <c r="U426" s="24" t="inlineStr">
        <is>
          <t>settled</t>
        </is>
      </c>
      <c r="V426" s="24" t="inlineStr">
        <is>
          <t>win</t>
        </is>
      </c>
      <c r="W426" s="26" t="n">
        <v>0</v>
      </c>
      <c r="X426" s="26" t="n">
        <v>42</v>
      </c>
      <c r="Y426" s="25" t="n"/>
      <c r="Z426" s="26" t="n"/>
      <c r="AA426" s="28" t="n"/>
      <c r="AB426" s="28" t="n"/>
      <c r="AC426" s="30" t="n">
        <v>0.8929</v>
      </c>
      <c r="AD426" s="24" t="inlineStr">
        <is>
          <t>2026-09-20T04:32:13.348449Z</t>
        </is>
      </c>
      <c r="AE426" s="31" t="inlineStr">
        <is>
          <t>Projected total 53.1 pts (Weather adj: +0.0 pts). Total line 56.5 -&gt; P(Over)=0.408, P(Under)=0.592, P(Push)=0.000.</t>
        </is>
      </c>
      <c r="AF426" s="31" t="inlineStr">
        <is>
          <t>College football model; multi-market (moneyline, spread, total).</t>
        </is>
      </c>
      <c r="AG426" s="24" t="inlineStr">
        <is>
          <t>not_applicable</t>
        </is>
      </c>
      <c r="AH426" s="24" t="n"/>
      <c r="AI426" s="31" t="n"/>
      <c r="AJ426" s="31" t="n"/>
      <c r="AK426" s="24" t="inlineStr">
        <is>
          <t>model_qualified</t>
        </is>
      </c>
      <c r="AL426" s="26" t="n">
        <v>4</v>
      </c>
      <c r="AM426" s="24" t="inlineStr">
        <is>
          <t>QUALIFIED_SHADOW_CALL</t>
        </is>
      </c>
      <c r="AN426" s="24" t="inlineStr">
        <is>
          <t>CALL</t>
        </is>
      </c>
      <c r="AO426" s="24" t="inlineStr">
        <is>
          <t>QUALIFIED</t>
        </is>
      </c>
      <c r="AP426" s="24" t="inlineStr">
        <is>
          <t>East Texas A&amp;M Lions</t>
        </is>
      </c>
      <c r="AQ426" s="24" t="inlineStr">
        <is>
          <t>East Texas A&amp;M Lions</t>
        </is>
      </c>
      <c r="AR426" s="24" t="inlineStr">
        <is>
          <t>East Texas A&amp;M Lions</t>
        </is>
      </c>
      <c r="AS426" s="24" t="inlineStr">
        <is>
          <t>Tulsa Golden Hurricane</t>
        </is>
      </c>
      <c r="AT426" s="24" t="inlineStr">
        <is>
          <t>Tulsa Golden Hurricane</t>
        </is>
      </c>
      <c r="AU426" s="24" t="inlineStr">
        <is>
          <t>Tulsa Golden Hurricane</t>
        </is>
      </c>
      <c r="AV426" s="24" t="n"/>
      <c r="AW426" s="24" t="n"/>
      <c r="AX426" s="24" t="inlineStr">
        <is>
          <t>statistical_model</t>
        </is>
      </c>
      <c r="AY426" s="24" t="n"/>
      <c r="AZ426" s="24" t="inlineStr">
        <is>
          <t>shadow_qualified</t>
        </is>
      </c>
      <c r="BA426" s="24" t="inlineStr">
        <is>
          <t>1d168f11d221cd3c</t>
        </is>
      </c>
      <c r="BB426" s="24" t="inlineStr">
        <is>
          <t>cfb_key_number_engine</t>
        </is>
      </c>
      <c r="BC426" s="24" t="inlineStr">
        <is>
          <t>cfb-total-v1</t>
        </is>
      </c>
      <c r="BD426" s="24" t="inlineStr">
        <is>
          <t>1d168f11d221cd3c</t>
        </is>
      </c>
      <c r="BE426" s="24" t="inlineStr">
        <is>
          <t>cfb-v1</t>
        </is>
      </c>
      <c r="BF426" s="24" t="inlineStr">
        <is>
          <t>1</t>
        </is>
      </c>
      <c r="BG426" s="24" t="inlineStr">
        <is>
          <t>1d168f11d221cd3c</t>
        </is>
      </c>
      <c r="BH426" s="24" t="inlineStr">
        <is>
          <t>2026-09-19T22:46:25.988423+00:00</t>
        </is>
      </c>
      <c r="BI426" s="24" t="inlineStr">
        <is>
          <t>["same_event","same_team_same_day","same_league_same_day"]</t>
        </is>
      </c>
      <c r="BJ426" s="25" t="n">
        <v>56.5</v>
      </c>
      <c r="BK426" s="26" t="n">
        <v>-112</v>
      </c>
      <c r="BL426" s="27" t="n">
        <v>1.892857</v>
      </c>
      <c r="BM426" s="28" t="n">
        <v>0.528302</v>
      </c>
      <c r="BN426" s="28" t="n"/>
      <c r="BO426" s="28" t="n"/>
      <c r="BP426" s="25" t="n"/>
      <c r="BQ426" s="27" t="n"/>
      <c r="BR426" s="28" t="n"/>
      <c r="BS426" s="28" t="n"/>
      <c r="BT426" s="28" t="n"/>
      <c r="BU426" s="25" t="n"/>
      <c r="BV426" s="29" t="n"/>
      <c r="BW426" s="24" t="n"/>
      <c r="BX426" s="30" t="n"/>
      <c r="BY426" s="27" t="n"/>
      <c r="BZ426" s="24" t="n"/>
      <c r="CA426" s="31" t="n"/>
      <c r="CB426" s="24" t="n"/>
      <c r="CC426" s="24" t="n"/>
      <c r="CD426" s="24" t="n"/>
      <c r="CE426" s="24" t="n"/>
      <c r="CF426" s="24" t="n"/>
      <c r="CG426" s="24" t="n"/>
      <c r="CH426" s="24" t="n"/>
      <c r="CI426" s="24" t="n"/>
      <c r="CJ426" s="24" t="n"/>
      <c r="CK426" s="24" t="n"/>
      <c r="CL426" s="24" t="n"/>
      <c r="CM426" s="24" t="n"/>
      <c r="CN426" s="24" t="n"/>
      <c r="CO426" s="24" t="n"/>
      <c r="CP426" s="24" t="n"/>
      <c r="CQ426" s="24" t="n"/>
      <c r="CR426" s="24" t="n"/>
      <c r="CS426" s="24" t="inlineStr">
        <is>
          <t>True</t>
        </is>
      </c>
      <c r="CT426" s="24" t="n"/>
      <c r="CU426" s="24" t="n"/>
      <c r="CV426" s="24" t="n"/>
      <c r="CW426" s="24" t="n"/>
      <c r="CX426" s="24" t="n"/>
      <c r="CY426" s="24" t="n"/>
      <c r="CZ426" s="24" t="n"/>
      <c r="DA426" s="24" t="n"/>
      <c r="DB426" s="24" t="n"/>
      <c r="DC426" s="24" t="n"/>
      <c r="DD426" s="24" t="n"/>
      <c r="DE426" s="24" t="n"/>
      <c r="DF426" s="24" t="n"/>
      <c r="DG426" s="24" t="n"/>
      <c r="DH426" s="24" t="n"/>
      <c r="DI426" s="24" t="n"/>
      <c r="DJ426" s="24" t="inlineStr">
        <is>
          <t>0.528302</t>
        </is>
      </c>
      <c r="DK426" s="24" t="n"/>
      <c r="DL426" s="24" t="n"/>
      <c r="DM426" s="24" t="n"/>
      <c r="DN426" s="24" t="n"/>
      <c r="DO426" s="24" t="n"/>
      <c r="DP426" s="24" t="n"/>
      <c r="DQ426" s="24" t="inlineStr">
        <is>
          <t>{"artifact_hash": "1d168f11d221cd3c", "event_id": "401862775", "event_start_utc": "2026-09-20T00:00Z", "features": {"altitude_fatigue_penalty": 0.0, "away_team": "East Texas A&amp;M Lions", "efficiency_gap": 1.151, "elo_away": 1337.5, "elo_home": 1358.1, "elo_home_win_prob": 0.6208, "event_id": "401862775", "game_start_utc": "2026-09-20T00:00Z", "home_field_advantage_points": 2.8, "home_team": "Tulsa Golden Hurricane", "is_dome": false, "is_fbs_vs_fcs": false, "is_neutral_site": false, "projected_away_points": 24.8, "projected_home_points": 28.3, "projected_margin_home": 3.5,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24.8,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5635706654386625124936100089641183064}, "uinteger": 0}, "spread_home_line": -41.5, "total_line": 56.5}, "market_type": "total", "model_version": "cfb-total-v1", "observed_at_utc": "2026-09-19T22:46:25.988423+00:00", "probabilities": {"over": 0.408267, "push": 0.0, "under": 0.591733}, "replay_scope": "Full precision score means, exact engine parameters and original RNG state; upstream feature construction not certified.", "schema": "cfb-joint-replay-v1", "snapshot_hash": "ad7ae6faaa700c7976424711d78e17e8448474f873c7ec836635badfaf05d650", "sport": "NCAAF"}</t>
        </is>
      </c>
    </row>
    <row r="427" ht="36" customHeight="1">
      <c r="A427" s="24" t="inlineStr">
        <is>
          <t>61e16189d2154d35</t>
        </is>
      </c>
      <c r="B427" s="24" t="inlineStr">
        <is>
          <t>2026-09-19T22:46:25.988423Z</t>
        </is>
      </c>
      <c r="C427" s="24" t="inlineStr">
        <is>
          <t>2026-09-20T00:00Z</t>
        </is>
      </c>
      <c r="D427" s="24" t="inlineStr">
        <is>
          <t>401862776</t>
        </is>
      </c>
      <c r="E427" s="24" t="inlineStr">
        <is>
          <t>NCAAF</t>
        </is>
      </c>
      <c r="F427" s="24" t="inlineStr">
        <is>
          <t>UAB Blazers</t>
        </is>
      </c>
      <c r="G427" s="24" t="inlineStr">
        <is>
          <t>Louisiana Ragin' Cajuns</t>
        </is>
      </c>
      <c r="H427" s="24" t="inlineStr">
        <is>
          <t>moneyline</t>
        </is>
      </c>
      <c r="I427" s="24" t="inlineStr">
        <is>
          <t>home</t>
        </is>
      </c>
      <c r="J427" s="25" t="n"/>
      <c r="K427" s="24" t="inlineStr">
        <is>
          <t>espn_consensus</t>
        </is>
      </c>
      <c r="L427" s="26" t="n">
        <v>-278</v>
      </c>
      <c r="M427" s="27" t="n">
        <v>1.359712</v>
      </c>
      <c r="N427" s="28" t="n">
        <v>0.73545</v>
      </c>
      <c r="O427" s="28" t="n">
        <v>0.702531</v>
      </c>
      <c r="P427" s="28" t="n">
        <v>0.18</v>
      </c>
      <c r="Q427" s="28" t="n">
        <v>-0.032919</v>
      </c>
      <c r="R427" s="26" t="n">
        <v>0</v>
      </c>
      <c r="S427" s="29" t="n">
        <v>1</v>
      </c>
      <c r="T427" s="24" t="inlineStr">
        <is>
          <t>college-football-v1</t>
        </is>
      </c>
      <c r="U427" s="24" t="inlineStr">
        <is>
          <t>settled</t>
        </is>
      </c>
      <c r="V427" s="24" t="inlineStr">
        <is>
          <t>win</t>
        </is>
      </c>
      <c r="W427" s="26" t="n">
        <v>14</v>
      </c>
      <c r="X427" s="26" t="n">
        <v>21</v>
      </c>
      <c r="Y427" s="25" t="n"/>
      <c r="Z427" s="26" t="n"/>
      <c r="AA427" s="28" t="n"/>
      <c r="AB427" s="28" t="n"/>
      <c r="AC427" s="30" t="n">
        <v>0.3597</v>
      </c>
      <c r="AD427" s="24" t="inlineStr">
        <is>
          <t>2026-09-20T04:32:13.848052Z</t>
        </is>
      </c>
      <c r="AE427" s="31" t="inlineStr">
        <is>
          <t>CFB Joint Model (negative_binomial): proj score UAB Blazers 21.6 @ Louisiana Ragin' Cajuns 31.8 (Margin +10.1). Possessions: 12.4, HFA: +2.8 pts.</t>
        </is>
      </c>
      <c r="AF427" s="31" t="inlineStr">
        <is>
          <t>College football model; multi-market (moneyline, spread, total).</t>
        </is>
      </c>
      <c r="AG427" s="24" t="inlineStr">
        <is>
          <t>not_applicable</t>
        </is>
      </c>
      <c r="AH427" s="24" t="n"/>
      <c r="AI427" s="31" t="n"/>
      <c r="AJ427" s="31" t="n"/>
      <c r="AK427" s="24" t="inlineStr">
        <is>
          <t>paper_call</t>
        </is>
      </c>
      <c r="AL427" s="26" t="n">
        <v>4</v>
      </c>
      <c r="AM427" s="24" t="inlineStr">
        <is>
          <t>RESEARCH_OBSERVATION</t>
        </is>
      </c>
      <c r="AN427" s="24" t="inlineStr">
        <is>
          <t>CALL</t>
        </is>
      </c>
      <c r="AO427" s="24" t="inlineStr">
        <is>
          <t>PAPER_CALL_LOW_EDGE</t>
        </is>
      </c>
      <c r="AP427" s="24" t="inlineStr">
        <is>
          <t>UAB Blazers</t>
        </is>
      </c>
      <c r="AQ427" s="24" t="inlineStr">
        <is>
          <t>UAB Blazers</t>
        </is>
      </c>
      <c r="AR427" s="24" t="inlineStr">
        <is>
          <t>UAB Blazers</t>
        </is>
      </c>
      <c r="AS427" s="24" t="inlineStr">
        <is>
          <t>Louisiana Ragin' Cajuns</t>
        </is>
      </c>
      <c r="AT427" s="24" t="inlineStr">
        <is>
          <t>Louisiana Ragin' Cajuns</t>
        </is>
      </c>
      <c r="AU427" s="24" t="inlineStr">
        <is>
          <t>Louisiana Ragin' Cajuns</t>
        </is>
      </c>
      <c r="AV427" s="24" t="n"/>
      <c r="AW427" s="24" t="n"/>
      <c r="AX427" s="24" t="inlineStr">
        <is>
          <t>statistical_model</t>
        </is>
      </c>
      <c r="AY427" s="24" t="n"/>
      <c r="AZ427" s="24" t="inlineStr">
        <is>
          <t>shadow_qualified</t>
        </is>
      </c>
      <c r="BA427" s="24" t="inlineStr">
        <is>
          <t>1d168f11d221cd3c</t>
        </is>
      </c>
      <c r="BB427" s="24" t="inlineStr">
        <is>
          <t>cfb_key_number_engine</t>
        </is>
      </c>
      <c r="BC427" s="24" t="inlineStr">
        <is>
          <t>college-football-v1</t>
        </is>
      </c>
      <c r="BD427" s="24" t="inlineStr">
        <is>
          <t>1d168f11d221cd3c</t>
        </is>
      </c>
      <c r="BE427" s="24" t="inlineStr">
        <is>
          <t>cfb-v1</t>
        </is>
      </c>
      <c r="BF427" s="24" t="inlineStr">
        <is>
          <t>1</t>
        </is>
      </c>
      <c r="BG427" s="24" t="inlineStr">
        <is>
          <t>1d168f11d221cd3c</t>
        </is>
      </c>
      <c r="BH427" s="24" t="inlineStr">
        <is>
          <t>2026-09-19T22:46:25.988423+00:00</t>
        </is>
      </c>
      <c r="BI427" s="24" t="inlineStr">
        <is>
          <t>["same_event","same_team_same_day","same_league_same_day"]</t>
        </is>
      </c>
      <c r="BJ427" s="25" t="n"/>
      <c r="BK427" s="26" t="n">
        <v>-278</v>
      </c>
      <c r="BL427" s="27" t="n">
        <v>1.359712</v>
      </c>
      <c r="BM427" s="28" t="n">
        <v>0.73545</v>
      </c>
      <c r="BN427" s="28" t="n"/>
      <c r="BO427" s="28" t="n"/>
      <c r="BP427" s="25" t="n"/>
      <c r="BQ427" s="27" t="n"/>
      <c r="BR427" s="28" t="n"/>
      <c r="BS427" s="28" t="n"/>
      <c r="BT427" s="28" t="n"/>
      <c r="BU427" s="25" t="n"/>
      <c r="BV427" s="29" t="n"/>
      <c r="BW427" s="24" t="n"/>
      <c r="BX427" s="30" t="n">
        <v>1</v>
      </c>
      <c r="BY427" s="27" t="n">
        <v>0.359712</v>
      </c>
      <c r="BZ427" s="24" t="inlineStr">
        <is>
          <t>2026-09-20T04:32:13.848052Z</t>
        </is>
      </c>
      <c r="CA427" s="31" t="inlineStr">
        <is>
          <t>fixed one-unit hypothetical scoring; no real exposure or execution</t>
        </is>
      </c>
      <c r="CB427" s="24" t="n"/>
      <c r="CC427" s="24" t="n"/>
      <c r="CD427" s="24" t="n"/>
      <c r="CE427" s="24" t="n"/>
      <c r="CF427" s="24" t="n"/>
      <c r="CG427" s="24" t="n"/>
      <c r="CH427" s="24" t="n"/>
      <c r="CI427" s="24" t="n"/>
      <c r="CJ427" s="24" t="n"/>
      <c r="CK427" s="24" t="n"/>
      <c r="CL427" s="24" t="n"/>
      <c r="CM427" s="24" t="n"/>
      <c r="CN427" s="24" t="n"/>
      <c r="CO427" s="24" t="n"/>
      <c r="CP427" s="24" t="n"/>
      <c r="CQ427" s="24" t="n"/>
      <c r="CR427" s="24" t="n"/>
      <c r="CS427" s="24" t="inlineStr">
        <is>
          <t>False</t>
        </is>
      </c>
      <c r="CT427" s="24" t="n"/>
      <c r="CU427" s="24" t="n"/>
      <c r="CV427" s="24" t="n"/>
      <c r="CW427" s="24" t="n"/>
      <c r="CX427" s="24" t="n"/>
      <c r="CY427" s="24" t="n"/>
      <c r="CZ427" s="24" t="n"/>
      <c r="DA427" s="24" t="n"/>
      <c r="DB427" s="24" t="n"/>
      <c r="DC427" s="24" t="n"/>
      <c r="DD427" s="24" t="n"/>
      <c r="DE427" s="24" t="n"/>
      <c r="DF427" s="24" t="n"/>
      <c r="DG427" s="24" t="n"/>
      <c r="DH427" s="24" t="n"/>
      <c r="DI427" s="24" t="n"/>
      <c r="DJ427" s="24" t="inlineStr">
        <is>
          <t>0.73545</t>
        </is>
      </c>
      <c r="DK427" s="24" t="n"/>
      <c r="DL427" s="24" t="n"/>
      <c r="DM427" s="24" t="n"/>
      <c r="DN427" s="24" t="n"/>
      <c r="DO427" s="24" t="n"/>
      <c r="DP427" s="24" t="n"/>
      <c r="DQ427" s="24" t="inlineStr">
        <is>
          <t>{"artifact_hash": "1d168f11d221cd3c", "event_id": "401862776", "event_start_utc": "2026-09-20T00:00Z", "features": {"altitude_fatigue_penalty": 0.0, "away_team": "UAB Blazers", "efficiency_gap": 0.244, "elo_away": 1258.9, "elo_home": 1442.3, "elo_home_win_prob": 0.8068, "event_id": "401862776", "game_start_utc": "2026-09-20T00:00Z", "home_field_advantage_points": 2.8, "home_team": "Louisiana Ragin' Cajuns", "is_dome": false, "is_fbs_vs_fcs": false, "is_neutral_site": false, "projected_away_points": 21.6, "projected_home_points": 31.8, "projected_margin_home": 10.1, "projected_possessions": 12.4, "projected_total": 53.4, "stadium_elevation_ft": 35, "travel_distance_miles": 383.0, "uncertainty": 0.18, "weather_total_adjustment": 0.0}, "historical_source_observation_times_verified": false, "inference_inputs": {"engine_source_sha256": "449ba2f0e86fa9c445730076a0e0bf100fb4914620be53c75c6f3bfe24298f3f", "mu_away": 21.6, "mu_home": 31.8,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175491420379909200820832059853719214528}, "uinteger": 0}, "spread_home_line": -7.0, "total_line": 55.5}, "market_type": "moneyline", "model_version": "college-football-v1", "observed_at_utc": "2026-09-19T22:46:25.988423+00:00", "probabilities": {"away": 0.297469, "home": 0.702531}, "replay_scope": "Full precision score means, exact engine parameters and original RNG state; upstream feature construction not certified.", "schema": "cfb-joint-replay-v1", "snapshot_hash": "4304571a6d70d3edd087d70ea87766685a6d56b88e5944da83a693ac3a23886a", "sport": "NCAAF"}</t>
        </is>
      </c>
    </row>
    <row r="428" ht="36" customHeight="1">
      <c r="A428" s="24" t="inlineStr">
        <is>
          <t>9592028148784917</t>
        </is>
      </c>
      <c r="B428" s="24" t="inlineStr">
        <is>
          <t>2026-09-19T22:46:25.988423Z</t>
        </is>
      </c>
      <c r="C428" s="24" t="inlineStr">
        <is>
          <t>2026-09-20T00:00Z</t>
        </is>
      </c>
      <c r="D428" s="24" t="inlineStr">
        <is>
          <t>401862776</t>
        </is>
      </c>
      <c r="E428" s="24" t="inlineStr">
        <is>
          <t>NCAAF</t>
        </is>
      </c>
      <c r="F428" s="24" t="inlineStr">
        <is>
          <t>UAB Blazers</t>
        </is>
      </c>
      <c r="G428" s="24" t="inlineStr">
        <is>
          <t>Louisiana Ragin' Cajuns</t>
        </is>
      </c>
      <c r="H428" s="24" t="inlineStr">
        <is>
          <t>spread</t>
        </is>
      </c>
      <c r="I428" s="24" t="inlineStr">
        <is>
          <t>home</t>
        </is>
      </c>
      <c r="J428" s="25" t="n">
        <v>-7</v>
      </c>
      <c r="K428" s="24" t="inlineStr">
        <is>
          <t>espn_consensus</t>
        </is>
      </c>
      <c r="L428" s="26" t="n">
        <v>-105</v>
      </c>
      <c r="M428" s="27" t="n">
        <v>1.952381</v>
      </c>
      <c r="N428" s="28" t="n">
        <v>0.512195</v>
      </c>
      <c r="O428" s="28" t="n">
        <v>0.556067</v>
      </c>
      <c r="P428" s="28" t="n">
        <v>0.18</v>
      </c>
      <c r="Q428" s="28" t="n">
        <v>0.043872</v>
      </c>
      <c r="R428" s="26" t="n">
        <v>0</v>
      </c>
      <c r="S428" s="29" t="n">
        <v>1</v>
      </c>
      <c r="T428" s="24" t="inlineStr">
        <is>
          <t>cfb-spread-v1</t>
        </is>
      </c>
      <c r="U428" s="24" t="inlineStr">
        <is>
          <t>settled</t>
        </is>
      </c>
      <c r="V428" s="24" t="inlineStr">
        <is>
          <t>push</t>
        </is>
      </c>
      <c r="W428" s="26" t="n">
        <v>14</v>
      </c>
      <c r="X428" s="26" t="n">
        <v>21</v>
      </c>
      <c r="Y428" s="25" t="n"/>
      <c r="Z428" s="26" t="n"/>
      <c r="AA428" s="28" t="n"/>
      <c r="AB428" s="28" t="n"/>
      <c r="AC428" s="30" t="n">
        <v>0</v>
      </c>
      <c r="AD428" s="24" t="inlineStr">
        <is>
          <t>2026-09-20T04:32:14.282819Z</t>
        </is>
      </c>
      <c r="AE428" s="31" t="inlineStr">
        <is>
          <t>Projected home margin +10.1 pts. Spread: Home -7.0 / Away +7.0 -&gt; P(Away cover)=0.421, P(Home cover)=0.556, P(Push)=0.023.</t>
        </is>
      </c>
      <c r="AF428" s="31" t="inlineStr">
        <is>
          <t>College football model; multi-market (moneyline, spread, total).</t>
        </is>
      </c>
      <c r="AG428" s="24" t="inlineStr">
        <is>
          <t>not_applicable</t>
        </is>
      </c>
      <c r="AH428" s="24" t="n"/>
      <c r="AI428" s="31" t="n"/>
      <c r="AJ428" s="31" t="n"/>
      <c r="AK428" s="24" t="inlineStr">
        <is>
          <t>model_qualified</t>
        </is>
      </c>
      <c r="AL428" s="26" t="n">
        <v>4</v>
      </c>
      <c r="AM428" s="24" t="inlineStr">
        <is>
          <t>QUALIFIED_SHADOW_CALL</t>
        </is>
      </c>
      <c r="AN428" s="24" t="inlineStr">
        <is>
          <t>CALL</t>
        </is>
      </c>
      <c r="AO428" s="24" t="inlineStr">
        <is>
          <t>QUALIFIED</t>
        </is>
      </c>
      <c r="AP428" s="24" t="inlineStr">
        <is>
          <t>UAB Blazers</t>
        </is>
      </c>
      <c r="AQ428" s="24" t="inlineStr">
        <is>
          <t>UAB Blazers</t>
        </is>
      </c>
      <c r="AR428" s="24" t="inlineStr">
        <is>
          <t>UAB Blazers</t>
        </is>
      </c>
      <c r="AS428" s="24" t="inlineStr">
        <is>
          <t>Louisiana Ragin' Cajuns</t>
        </is>
      </c>
      <c r="AT428" s="24" t="inlineStr">
        <is>
          <t>Louisiana Ragin' Cajuns</t>
        </is>
      </c>
      <c r="AU428" s="24" t="inlineStr">
        <is>
          <t>Louisiana Ragin' Cajuns</t>
        </is>
      </c>
      <c r="AV428" s="24" t="n"/>
      <c r="AW428" s="24" t="n"/>
      <c r="AX428" s="24" t="inlineStr">
        <is>
          <t>statistical_model</t>
        </is>
      </c>
      <c r="AY428" s="24" t="n"/>
      <c r="AZ428" s="24" t="inlineStr">
        <is>
          <t>shadow_qualified</t>
        </is>
      </c>
      <c r="BA428" s="24" t="inlineStr">
        <is>
          <t>1d168f11d221cd3c</t>
        </is>
      </c>
      <c r="BB428" s="24" t="inlineStr">
        <is>
          <t>cfb_key_number_engine</t>
        </is>
      </c>
      <c r="BC428" s="24" t="inlineStr">
        <is>
          <t>cfb-spread-v1</t>
        </is>
      </c>
      <c r="BD428" s="24" t="inlineStr">
        <is>
          <t>1d168f11d221cd3c</t>
        </is>
      </c>
      <c r="BE428" s="24" t="inlineStr">
        <is>
          <t>cfb-v1</t>
        </is>
      </c>
      <c r="BF428" s="24" t="inlineStr">
        <is>
          <t>1</t>
        </is>
      </c>
      <c r="BG428" s="24" t="inlineStr">
        <is>
          <t>1d168f11d221cd3c</t>
        </is>
      </c>
      <c r="BH428" s="24" t="inlineStr">
        <is>
          <t>2026-09-19T22:46:25.988423+00:00</t>
        </is>
      </c>
      <c r="BI428" s="24" t="inlineStr">
        <is>
          <t>["same_event","same_team_same_day","same_league_same_day"]</t>
        </is>
      </c>
      <c r="BJ428" s="25" t="n">
        <v>-7</v>
      </c>
      <c r="BK428" s="26" t="n">
        <v>-105</v>
      </c>
      <c r="BL428" s="27" t="n">
        <v>1.952381</v>
      </c>
      <c r="BM428" s="28" t="n">
        <v>0.512195</v>
      </c>
      <c r="BN428" s="28" t="n"/>
      <c r="BO428" s="28" t="n"/>
      <c r="BP428" s="25" t="n"/>
      <c r="BQ428" s="27" t="n"/>
      <c r="BR428" s="28" t="n"/>
      <c r="BS428" s="28" t="n"/>
      <c r="BT428" s="28" t="n"/>
      <c r="BU428" s="25" t="n"/>
      <c r="BV428" s="29" t="n"/>
      <c r="BW428" s="24" t="n"/>
      <c r="BX428" s="30" t="n"/>
      <c r="BY428" s="27" t="n"/>
      <c r="BZ428" s="24" t="n"/>
      <c r="CA428" s="31" t="n"/>
      <c r="CB428" s="24" t="n"/>
      <c r="CC428" s="24" t="n"/>
      <c r="CD428" s="24" t="n"/>
      <c r="CE428" s="24" t="n"/>
      <c r="CF428" s="24" t="n"/>
      <c r="CG428" s="24" t="n"/>
      <c r="CH428" s="24" t="n"/>
      <c r="CI428" s="24" t="n"/>
      <c r="CJ428" s="24" t="n"/>
      <c r="CK428" s="24" t="n"/>
      <c r="CL428" s="24" t="n"/>
      <c r="CM428" s="24" t="n"/>
      <c r="CN428" s="24" t="n"/>
      <c r="CO428" s="24" t="n"/>
      <c r="CP428" s="24" t="n"/>
      <c r="CQ428" s="24" t="n"/>
      <c r="CR428" s="24" t="n"/>
      <c r="CS428" s="24" t="inlineStr">
        <is>
          <t>True</t>
        </is>
      </c>
      <c r="CT428" s="24" t="n"/>
      <c r="CU428" s="24" t="n"/>
      <c r="CV428" s="24" t="n"/>
      <c r="CW428" s="24" t="n"/>
      <c r="CX428" s="24" t="n"/>
      <c r="CY428" s="24" t="n"/>
      <c r="CZ428" s="24" t="n"/>
      <c r="DA428" s="24" t="n"/>
      <c r="DB428" s="24" t="n"/>
      <c r="DC428" s="24" t="n"/>
      <c r="DD428" s="24" t="n"/>
      <c r="DE428" s="24" t="n"/>
      <c r="DF428" s="24" t="n"/>
      <c r="DG428" s="24" t="n"/>
      <c r="DH428" s="24" t="n"/>
      <c r="DI428" s="24" t="n"/>
      <c r="DJ428" s="24" t="inlineStr">
        <is>
          <t>0.512195</t>
        </is>
      </c>
      <c r="DK428" s="24" t="n"/>
      <c r="DL428" s="24" t="n"/>
      <c r="DM428" s="24" t="n"/>
      <c r="DN428" s="24" t="n"/>
      <c r="DO428" s="24" t="n"/>
      <c r="DP428" s="24" t="n"/>
      <c r="DQ428" s="24" t="inlineStr">
        <is>
          <t>{"artifact_hash": "1d168f11d221cd3c", "event_id": "401862776", "event_start_utc": "2026-09-20T00:00Z", "features": {"altitude_fatigue_penalty": 0.0, "away_team": "UAB Blazers", "efficiency_gap": 0.244, "elo_away": 1258.9, "elo_home": 1442.3, "elo_home_win_prob": 0.8068, "event_id": "401862776", "game_start_utc": "2026-09-20T00:00Z", "home_field_advantage_points": 2.8, "home_team": "Louisiana Ragin' Cajuns", "is_dome": false, "is_fbs_vs_fcs": false, "is_neutral_site": false, "projected_away_points": 21.6, "projected_home_points": 31.8, "projected_margin_home": 10.1, "projected_possessions": 12.4, "projected_total": 53.4, "stadium_elevation_ft": 35, "travel_distance_miles": 383.0, "uncertainty": 0.18, "weather_total_adjustment": 0.0}, "historical_source_observation_times_verified": false, "inference_inputs": {"engine_source_sha256": "449ba2f0e86fa9c445730076a0e0bf100fb4914620be53c75c6f3bfe24298f3f", "mu_away": 21.6, "mu_home": 31.8,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175491420379909200820832059853719214528}, "uinteger": 0}, "spread_home_line": -7.0, "total_line": 55.5}, "market_type": "spread", "model_version": "cfb-spread-v1", "observed_at_utc": "2026-09-19T22:46:25.988423+00:00", "probabilities": {"away": 0.421133, "home": 0.556067, "push": 0.0228}, "replay_scope": "Full precision score means, exact engine parameters and original RNG state; upstream feature construction not certified.", "schema": "cfb-joint-replay-v1", "snapshot_hash": "6f150832e2c9b195e26253105affdaeafa7739a3250da9ef3e564c3be2955a65", "sport": "NCAAF"}</t>
        </is>
      </c>
    </row>
    <row r="429" ht="36" customHeight="1">
      <c r="A429" s="24" t="inlineStr">
        <is>
          <t>97ee2aa13b94479a</t>
        </is>
      </c>
      <c r="B429" s="24" t="inlineStr">
        <is>
          <t>2026-09-19T22:46:25.988423Z</t>
        </is>
      </c>
      <c r="C429" s="24" t="inlineStr">
        <is>
          <t>2026-09-20T00:00Z</t>
        </is>
      </c>
      <c r="D429" s="24" t="inlineStr">
        <is>
          <t>401862776</t>
        </is>
      </c>
      <c r="E429" s="24" t="inlineStr">
        <is>
          <t>NCAAF</t>
        </is>
      </c>
      <c r="F429" s="24" t="inlineStr">
        <is>
          <t>UAB Blazers</t>
        </is>
      </c>
      <c r="G429" s="24" t="inlineStr">
        <is>
          <t>Louisiana Ragin' Cajuns</t>
        </is>
      </c>
      <c r="H429" s="24" t="inlineStr">
        <is>
          <t>total</t>
        </is>
      </c>
      <c r="I429" s="24" t="inlineStr">
        <is>
          <t>under</t>
        </is>
      </c>
      <c r="J429" s="25" t="n">
        <v>55.5</v>
      </c>
      <c r="K429" s="24" t="inlineStr">
        <is>
          <t>espn_consensus</t>
        </is>
      </c>
      <c r="L429" s="26" t="n">
        <v>-118</v>
      </c>
      <c r="M429" s="27" t="n">
        <v>1.847458</v>
      </c>
      <c r="N429" s="28" t="n">
        <v>0.541284</v>
      </c>
      <c r="O429" s="28" t="n">
        <v>0.5616</v>
      </c>
      <c r="P429" s="28" t="n">
        <v>0.18</v>
      </c>
      <c r="Q429" s="28" t="n">
        <v>0.020316</v>
      </c>
      <c r="R429" s="26" t="n">
        <v>0</v>
      </c>
      <c r="S429" s="29" t="n">
        <v>1</v>
      </c>
      <c r="T429" s="24" t="inlineStr">
        <is>
          <t>cfb-total-v1</t>
        </is>
      </c>
      <c r="U429" s="24" t="inlineStr">
        <is>
          <t>settled</t>
        </is>
      </c>
      <c r="V429" s="24" t="inlineStr">
        <is>
          <t>win</t>
        </is>
      </c>
      <c r="W429" s="26" t="n">
        <v>14</v>
      </c>
      <c r="X429" s="26" t="n">
        <v>21</v>
      </c>
      <c r="Y429" s="25" t="n"/>
      <c r="Z429" s="26" t="n"/>
      <c r="AA429" s="28" t="n"/>
      <c r="AB429" s="28" t="n"/>
      <c r="AC429" s="30" t="n">
        <v>0.8475</v>
      </c>
      <c r="AD429" s="24" t="inlineStr">
        <is>
          <t>2026-09-20T04:32:14.784960Z</t>
        </is>
      </c>
      <c r="AE429" s="31" t="inlineStr">
        <is>
          <t>Projected total 53.4 pts (Weather adj: +0.0 pts). Total line 55.5 -&gt; P(Over)=0.438, P(Under)=0.562, P(Push)=0.000.</t>
        </is>
      </c>
      <c r="AF429" s="31" t="inlineStr">
        <is>
          <t>College football model; multi-market (moneyline, spread, total).</t>
        </is>
      </c>
      <c r="AG429" s="24" t="inlineStr">
        <is>
          <t>not_applicable</t>
        </is>
      </c>
      <c r="AH429" s="24" t="n"/>
      <c r="AI429" s="31" t="n"/>
      <c r="AJ429" s="31" t="n"/>
      <c r="AK429" s="24" t="inlineStr">
        <is>
          <t>paper_call</t>
        </is>
      </c>
      <c r="AL429" s="26" t="n">
        <v>4</v>
      </c>
      <c r="AM429" s="24" t="inlineStr">
        <is>
          <t>RESEARCH_OBSERVATION</t>
        </is>
      </c>
      <c r="AN429" s="24" t="inlineStr">
        <is>
          <t>CALL</t>
        </is>
      </c>
      <c r="AO429" s="24" t="inlineStr">
        <is>
          <t>PAPER_CALL_LOW_EDGE</t>
        </is>
      </c>
      <c r="AP429" s="24" t="inlineStr">
        <is>
          <t>UAB Blazers</t>
        </is>
      </c>
      <c r="AQ429" s="24" t="inlineStr">
        <is>
          <t>UAB Blazers</t>
        </is>
      </c>
      <c r="AR429" s="24" t="inlineStr">
        <is>
          <t>UAB Blazers</t>
        </is>
      </c>
      <c r="AS429" s="24" t="inlineStr">
        <is>
          <t>Louisiana Ragin' Cajuns</t>
        </is>
      </c>
      <c r="AT429" s="24" t="inlineStr">
        <is>
          <t>Louisiana Ragin' Cajuns</t>
        </is>
      </c>
      <c r="AU429" s="24" t="inlineStr">
        <is>
          <t>Louisiana Ragin' Cajuns</t>
        </is>
      </c>
      <c r="AV429" s="24" t="n"/>
      <c r="AW429" s="24" t="n"/>
      <c r="AX429" s="24" t="inlineStr">
        <is>
          <t>statistical_model</t>
        </is>
      </c>
      <c r="AY429" s="24" t="n"/>
      <c r="AZ429" s="24" t="inlineStr">
        <is>
          <t>shadow_qualified</t>
        </is>
      </c>
      <c r="BA429" s="24" t="inlineStr">
        <is>
          <t>1d168f11d221cd3c</t>
        </is>
      </c>
      <c r="BB429" s="24" t="inlineStr">
        <is>
          <t>cfb_key_number_engine</t>
        </is>
      </c>
      <c r="BC429" s="24" t="inlineStr">
        <is>
          <t>cfb-total-v1</t>
        </is>
      </c>
      <c r="BD429" s="24" t="inlineStr">
        <is>
          <t>1d168f11d221cd3c</t>
        </is>
      </c>
      <c r="BE429" s="24" t="inlineStr">
        <is>
          <t>cfb-v1</t>
        </is>
      </c>
      <c r="BF429" s="24" t="inlineStr">
        <is>
          <t>1</t>
        </is>
      </c>
      <c r="BG429" s="24" t="inlineStr">
        <is>
          <t>1d168f11d221cd3c</t>
        </is>
      </c>
      <c r="BH429" s="24" t="inlineStr">
        <is>
          <t>2026-09-19T22:46:25.988423+00:00</t>
        </is>
      </c>
      <c r="BI429" s="24" t="inlineStr">
        <is>
          <t>["same_event","same_team_same_day","same_league_same_day"]</t>
        </is>
      </c>
      <c r="BJ429" s="25" t="n">
        <v>55.5</v>
      </c>
      <c r="BK429" s="26" t="n">
        <v>-118</v>
      </c>
      <c r="BL429" s="27" t="n">
        <v>1.847458</v>
      </c>
      <c r="BM429" s="28" t="n">
        <v>0.541284</v>
      </c>
      <c r="BN429" s="28" t="n"/>
      <c r="BO429" s="28" t="n"/>
      <c r="BP429" s="25" t="n"/>
      <c r="BQ429" s="27" t="n"/>
      <c r="BR429" s="28" t="n"/>
      <c r="BS429" s="28" t="n"/>
      <c r="BT429" s="28" t="n"/>
      <c r="BU429" s="25" t="n"/>
      <c r="BV429" s="29" t="n"/>
      <c r="BW429" s="24" t="n"/>
      <c r="BX429" s="30" t="n">
        <v>1</v>
      </c>
      <c r="BY429" s="27" t="n">
        <v>0.847458</v>
      </c>
      <c r="BZ429" s="24" t="inlineStr">
        <is>
          <t>2026-09-20T04:32:14.784960Z</t>
        </is>
      </c>
      <c r="CA429" s="31" t="inlineStr">
        <is>
          <t>fixed one-unit hypothetical scoring; no real exposure or execution</t>
        </is>
      </c>
      <c r="CB429" s="24" t="n"/>
      <c r="CC429" s="24" t="n"/>
      <c r="CD429" s="24" t="n"/>
      <c r="CE429" s="24" t="n"/>
      <c r="CF429" s="24" t="n"/>
      <c r="CG429" s="24" t="n"/>
      <c r="CH429" s="24" t="n"/>
      <c r="CI429" s="24" t="n"/>
      <c r="CJ429" s="24" t="n"/>
      <c r="CK429" s="24" t="n"/>
      <c r="CL429" s="24" t="n"/>
      <c r="CM429" s="24" t="n"/>
      <c r="CN429" s="24" t="n"/>
      <c r="CO429" s="24" t="n"/>
      <c r="CP429" s="24" t="n"/>
      <c r="CQ429" s="24" t="n"/>
      <c r="CR429" s="24" t="n"/>
      <c r="CS429" s="24" t="inlineStr">
        <is>
          <t>True</t>
        </is>
      </c>
      <c r="CT429" s="24" t="n"/>
      <c r="CU429" s="24" t="n"/>
      <c r="CV429" s="24" t="n"/>
      <c r="CW429" s="24" t="n"/>
      <c r="CX429" s="24" t="n"/>
      <c r="CY429" s="24" t="n"/>
      <c r="CZ429" s="24" t="n"/>
      <c r="DA429" s="24" t="n"/>
      <c r="DB429" s="24" t="n"/>
      <c r="DC429" s="24" t="n"/>
      <c r="DD429" s="24" t="n"/>
      <c r="DE429" s="24" t="n"/>
      <c r="DF429" s="24" t="n"/>
      <c r="DG429" s="24" t="n"/>
      <c r="DH429" s="24" t="n"/>
      <c r="DI429" s="24" t="n"/>
      <c r="DJ429" s="24" t="inlineStr">
        <is>
          <t>0.541284</t>
        </is>
      </c>
      <c r="DK429" s="24" t="n"/>
      <c r="DL429" s="24" t="n"/>
      <c r="DM429" s="24" t="n"/>
      <c r="DN429" s="24" t="n"/>
      <c r="DO429" s="24" t="n"/>
      <c r="DP429" s="24" t="n"/>
      <c r="DQ429" s="24" t="inlineStr">
        <is>
          <t>{"artifact_hash": "1d168f11d221cd3c", "event_id": "401862776", "event_start_utc": "2026-09-20T00:00Z", "features": {"altitude_fatigue_penalty": 0.0, "away_team": "UAB Blazers", "efficiency_gap": 0.244, "elo_away": 1258.9, "elo_home": 1442.3, "elo_home_win_prob": 0.8068, "event_id": "401862776", "game_start_utc": "2026-09-20T00:00Z", "home_field_advantage_points": 2.8, "home_team": "Louisiana Ragin' Cajuns", "is_dome": false, "is_fbs_vs_fcs": false, "is_neutral_site": false, "projected_away_points": 21.6, "projected_home_points": 31.8, "projected_margin_home": 10.1, "projected_possessions": 12.4, "projected_total": 53.4, "stadium_elevation_ft": 35, "travel_distance_miles": 383.0, "uncertainty": 0.18, "weather_total_adjustment": 0.0}, "historical_source_observation_times_verified": false, "inference_inputs": {"engine_source_sha256": "449ba2f0e86fa9c445730076a0e0bf100fb4914620be53c75c6f3bfe24298f3f", "mu_away": 21.6, "mu_home": 31.8,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175491420379909200820832059853719214528}, "uinteger": 0}, "spread_home_line": -7.0, "total_line": 55.5}, "market_type": "total", "model_version": "cfb-total-v1", "observed_at_utc": "2026-09-19T22:46:25.988423+00:00", "probabilities": {"over": 0.4384, "push": 0.0, "under": 0.5616}, "replay_scope": "Full precision score means, exact engine parameters and original RNG state; upstream feature construction not certified.", "schema": "cfb-joint-replay-v1", "snapshot_hash": "2c22a135d7c94e429d47a94e01d723b6e12cc1f1ee718ab545250ca2bd0ac3d7", "sport": "NCAAF"}</t>
        </is>
      </c>
    </row>
    <row r="430" ht="36" customHeight="1">
      <c r="A430" s="24" t="inlineStr">
        <is>
          <t>b82111e5fbdf4a5a</t>
        </is>
      </c>
      <c r="B430" s="24" t="inlineStr">
        <is>
          <t>2026-09-19T22:46:25.988423Z</t>
        </is>
      </c>
      <c r="C430" s="24" t="inlineStr">
        <is>
          <t>2026-09-20T02:00Z</t>
        </is>
      </c>
      <c r="D430" s="24" t="inlineStr">
        <is>
          <t>401860885</t>
        </is>
      </c>
      <c r="E430" s="24" t="inlineStr">
        <is>
          <t>NCAAF</t>
        </is>
      </c>
      <c r="F430" s="24" t="inlineStr">
        <is>
          <t>South Dakota Coyotes</t>
        </is>
      </c>
      <c r="G430" s="24" t="inlineStr">
        <is>
          <t>Boise State Broncos</t>
        </is>
      </c>
      <c r="H430" s="24" t="inlineStr">
        <is>
          <t>moneyline</t>
        </is>
      </c>
      <c r="I430" s="24" t="inlineStr">
        <is>
          <t>home</t>
        </is>
      </c>
      <c r="J430" s="25" t="n"/>
      <c r="K430" s="24" t="inlineStr">
        <is>
          <t>espn_consensus</t>
        </is>
      </c>
      <c r="L430" s="26" t="n">
        <v>-2800</v>
      </c>
      <c r="M430" s="27" t="n">
        <v>1.035714</v>
      </c>
      <c r="N430" s="28" t="n">
        <v>0.965517</v>
      </c>
      <c r="O430" s="28" t="n">
        <v>0.673984</v>
      </c>
      <c r="P430" s="28" t="n">
        <v>0.18</v>
      </c>
      <c r="Q430" s="28" t="n">
        <v>-0.291533</v>
      </c>
      <c r="R430" s="26" t="n">
        <v>0</v>
      </c>
      <c r="S430" s="29" t="n">
        <v>1</v>
      </c>
      <c r="T430" s="24" t="inlineStr">
        <is>
          <t>college-football-v1</t>
        </is>
      </c>
      <c r="U430" s="24" t="inlineStr">
        <is>
          <t>settled</t>
        </is>
      </c>
      <c r="V430" s="24" t="inlineStr">
        <is>
          <t>win</t>
        </is>
      </c>
      <c r="W430" s="26" t="n">
        <v>24</v>
      </c>
      <c r="X430" s="26" t="n">
        <v>38</v>
      </c>
      <c r="Y430" s="25" t="n"/>
      <c r="Z430" s="26" t="n"/>
      <c r="AA430" s="28" t="n"/>
      <c r="AB430" s="28" t="n"/>
      <c r="AC430" s="30" t="n">
        <v>0.0357</v>
      </c>
      <c r="AD430" s="24" t="inlineStr">
        <is>
          <t>2026-09-20T10:00:20.583707Z</t>
        </is>
      </c>
      <c r="AE430" s="31" t="inlineStr">
        <is>
          <t>CFB Joint Model (negative_binomial): proj score South Dakota Coyotes 22.2 @ Boise State Broncos 30.9 (Margin +8.8). Possessions: 12.4, HFA: +2.8 pts.</t>
        </is>
      </c>
      <c r="AF430" s="31" t="inlineStr">
        <is>
          <t>College football model; multi-market (moneyline, spread, total).</t>
        </is>
      </c>
      <c r="AG430" s="24" t="inlineStr">
        <is>
          <t>not_applicable</t>
        </is>
      </c>
      <c r="AH430" s="24" t="n"/>
      <c r="AI430" s="31" t="n"/>
      <c r="AJ430" s="31" t="n"/>
      <c r="AK430" s="24" t="inlineStr">
        <is>
          <t>paper_call</t>
        </is>
      </c>
      <c r="AL430" s="26" t="n">
        <v>4</v>
      </c>
      <c r="AM430" s="24" t="inlineStr">
        <is>
          <t>RESEARCH_OBSERVATION</t>
        </is>
      </c>
      <c r="AN430" s="24" t="inlineStr">
        <is>
          <t>CALL</t>
        </is>
      </c>
      <c r="AO430" s="24" t="inlineStr">
        <is>
          <t>PAPER_CALL_LOW_EDGE</t>
        </is>
      </c>
      <c r="AP430" s="24" t="inlineStr">
        <is>
          <t>South Dakota Coyotes</t>
        </is>
      </c>
      <c r="AQ430" s="24" t="inlineStr">
        <is>
          <t>South Dakota Coyotes</t>
        </is>
      </c>
      <c r="AR430" s="24" t="inlineStr">
        <is>
          <t>South Dakota Coyotes</t>
        </is>
      </c>
      <c r="AS430" s="24" t="inlineStr">
        <is>
          <t>Boise State Broncos</t>
        </is>
      </c>
      <c r="AT430" s="24" t="inlineStr">
        <is>
          <t>Boise State Broncos</t>
        </is>
      </c>
      <c r="AU430" s="24" t="inlineStr">
        <is>
          <t>Boise State Broncos</t>
        </is>
      </c>
      <c r="AV430" s="24" t="n"/>
      <c r="AW430" s="24" t="n"/>
      <c r="AX430" s="24" t="inlineStr">
        <is>
          <t>statistical_model</t>
        </is>
      </c>
      <c r="AY430" s="24" t="n"/>
      <c r="AZ430" s="24" t="inlineStr">
        <is>
          <t>shadow_qualified</t>
        </is>
      </c>
      <c r="BA430" s="24" t="inlineStr">
        <is>
          <t>1d168f11d221cd3c</t>
        </is>
      </c>
      <c r="BB430" s="24" t="inlineStr">
        <is>
          <t>cfb_key_number_engine</t>
        </is>
      </c>
      <c r="BC430" s="24" t="inlineStr">
        <is>
          <t>college-football-v1</t>
        </is>
      </c>
      <c r="BD430" s="24" t="inlineStr">
        <is>
          <t>1d168f11d221cd3c</t>
        </is>
      </c>
      <c r="BE430" s="24" t="inlineStr">
        <is>
          <t>cfb-v1</t>
        </is>
      </c>
      <c r="BF430" s="24" t="inlineStr">
        <is>
          <t>1</t>
        </is>
      </c>
      <c r="BG430" s="24" t="inlineStr">
        <is>
          <t>1d168f11d221cd3c</t>
        </is>
      </c>
      <c r="BH430" s="24" t="inlineStr">
        <is>
          <t>2026-09-19T22:46:25.988423+00:00</t>
        </is>
      </c>
      <c r="BI430" s="24" t="inlineStr">
        <is>
          <t>["same_event","same_team_same_day","same_league_same_day"]</t>
        </is>
      </c>
      <c r="BJ430" s="25" t="n"/>
      <c r="BK430" s="26" t="n">
        <v>-2800</v>
      </c>
      <c r="BL430" s="27" t="n">
        <v>1.035714</v>
      </c>
      <c r="BM430" s="28" t="n">
        <v>0.965517</v>
      </c>
      <c r="BN430" s="28" t="n"/>
      <c r="BO430" s="28" t="n"/>
      <c r="BP430" s="25" t="n"/>
      <c r="BQ430" s="27" t="n"/>
      <c r="BR430" s="28" t="n"/>
      <c r="BS430" s="28" t="n"/>
      <c r="BT430" s="28" t="n"/>
      <c r="BU430" s="25" t="n"/>
      <c r="BV430" s="29" t="n"/>
      <c r="BW430" s="24" t="n"/>
      <c r="BX430" s="30" t="n">
        <v>1</v>
      </c>
      <c r="BY430" s="27" t="n">
        <v>0.035714</v>
      </c>
      <c r="BZ430" s="24" t="inlineStr">
        <is>
          <t>2026-09-20T10:00:20.583707Z</t>
        </is>
      </c>
      <c r="CA430" s="31" t="inlineStr">
        <is>
          <t>fixed one-unit hypothetical scoring; no real exposure or execution</t>
        </is>
      </c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inlineStr">
        <is>
          <t>False</t>
        </is>
      </c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n"/>
      <c r="DE430" s="24" t="n"/>
      <c r="DF430" s="24" t="n"/>
      <c r="DG430" s="24" t="n"/>
      <c r="DH430" s="24" t="n"/>
      <c r="DI430" s="24" t="n"/>
      <c r="DJ430" s="24" t="inlineStr">
        <is>
          <t>0.965517</t>
        </is>
      </c>
      <c r="DK430" s="24" t="n"/>
      <c r="DL430" s="24" t="n"/>
      <c r="DM430" s="24" t="n"/>
      <c r="DN430" s="24" t="n"/>
      <c r="DO430" s="24" t="n"/>
      <c r="DP430" s="24" t="n"/>
      <c r="DQ430" s="24" t="inlineStr">
        <is>
          <t>{"artifact_hash": "1d168f11d221cd3c", "event_id": "401860885", "event_start_utc": "2026-09-20T02:00Z", "features": {"altitude_fatigue_penalty": 0.0, "away_team": "South Dakota Coyotes", "efficiency_gap": 0.402, "elo_away": 1337.5, "elo_home": 1486.9, "elo_home_win_prob": 0.7745, "event_id": "401860885", "game_start_utc": "2026-09-20T02:00Z", "home_field_advantage_points": 2.8, "home_team": "Boise State Broncos", "is_dome": false, "is_fbs_vs_fcs": false, "is_neutral_site": false, "projected_away_points": 22.2, "projected_home_points": 30.9, "projected_margin_home": 8.8,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22.2, "mu_home": 30.9,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236622994020667088483629040179838171040}, "uinteger": 0}, "spread_home_line": -27.5, "total_line": 60.5}, "market_type": "moneyline", "model_version": "college-football-v1", "observed_at_utc": "2026-09-19T22:46:25.988423+00:00", "probabilities": {"away": 0.326016, "home": 0.673984}, "replay_scope": "Full precision score means, exact engine parameters and original RNG state; upstream feature construction not certified.", "schema": "cfb-joint-replay-v1", "snapshot_hash": "6f8a2b809beb67224c0a2e118aa3936d6236e0aa5045ad1b87dfc20be069e03c", "sport": "NCAAF"}</t>
        </is>
      </c>
    </row>
    <row r="431" ht="36" customHeight="1">
      <c r="A431" s="24" t="inlineStr">
        <is>
          <t>23a2937d35f5465e</t>
        </is>
      </c>
      <c r="B431" s="24" t="inlineStr">
        <is>
          <t>2026-09-19T22:46:25.988423Z</t>
        </is>
      </c>
      <c r="C431" s="24" t="inlineStr">
        <is>
          <t>2026-09-20T02:00Z</t>
        </is>
      </c>
      <c r="D431" s="24" t="inlineStr">
        <is>
          <t>401860885</t>
        </is>
      </c>
      <c r="E431" s="24" t="inlineStr">
        <is>
          <t>NCAAF</t>
        </is>
      </c>
      <c r="F431" s="24" t="inlineStr">
        <is>
          <t>South Dakota Coyotes</t>
        </is>
      </c>
      <c r="G431" s="24" t="inlineStr">
        <is>
          <t>Boise State Broncos</t>
        </is>
      </c>
      <c r="H431" s="24" t="inlineStr">
        <is>
          <t>spread</t>
        </is>
      </c>
      <c r="I431" s="24" t="inlineStr">
        <is>
          <t>away</t>
        </is>
      </c>
      <c r="J431" s="25" t="n">
        <v>27.5</v>
      </c>
      <c r="K431" s="24" t="inlineStr">
        <is>
          <t>espn_consensus</t>
        </is>
      </c>
      <c r="L431" s="26" t="n">
        <v>-102</v>
      </c>
      <c r="M431" s="27" t="n">
        <v>1.980392</v>
      </c>
      <c r="N431" s="28" t="n">
        <v>0.50495</v>
      </c>
      <c r="O431" s="28" t="n">
        <v>0.828267</v>
      </c>
      <c r="P431" s="28" t="n">
        <v>0.18</v>
      </c>
      <c r="Q431" s="28" t="n">
        <v>0.323317</v>
      </c>
      <c r="R431" s="26" t="n">
        <v>100</v>
      </c>
      <c r="S431" s="29" t="n">
        <v>2</v>
      </c>
      <c r="T431" s="24" t="inlineStr">
        <is>
          <t>cfb-spread-v1</t>
        </is>
      </c>
      <c r="U431" s="24" t="inlineStr">
        <is>
          <t>settled</t>
        </is>
      </c>
      <c r="V431" s="24" t="inlineStr">
        <is>
          <t>win</t>
        </is>
      </c>
      <c r="W431" s="26" t="n">
        <v>24</v>
      </c>
      <c r="X431" s="26" t="n">
        <v>38</v>
      </c>
      <c r="Y431" s="25" t="n"/>
      <c r="Z431" s="26" t="n"/>
      <c r="AA431" s="28" t="n"/>
      <c r="AB431" s="28" t="n"/>
      <c r="AC431" s="30" t="n">
        <v>1.9608</v>
      </c>
      <c r="AD431" s="24" t="inlineStr">
        <is>
          <t>2026-09-20T10:00:21.004696Z</t>
        </is>
      </c>
      <c r="AE431" s="31" t="inlineStr">
        <is>
          <t>Projected home margin +8.8 pts. Spread: Home -27.5 / Away +27.5 -&gt; P(Away cover)=0.828, P(Home cover)=0.172, P(Push)=0.000.</t>
        </is>
      </c>
      <c r="AF431" s="31" t="inlineStr">
        <is>
          <t>College football model; multi-market (moneyline, spread, total).</t>
        </is>
      </c>
      <c r="AG431" s="24" t="inlineStr">
        <is>
          <t>not_applicable</t>
        </is>
      </c>
      <c r="AH431" s="24" t="n"/>
      <c r="AI431" s="31" t="n"/>
      <c r="AJ431" s="31" t="n"/>
      <c r="AK431" s="24" t="inlineStr">
        <is>
          <t>model_qualified</t>
        </is>
      </c>
      <c r="AL431" s="26" t="n">
        <v>4</v>
      </c>
      <c r="AM431" s="24" t="inlineStr">
        <is>
          <t>QUALIFIED_SHADOW_CALL</t>
        </is>
      </c>
      <c r="AN431" s="24" t="inlineStr">
        <is>
          <t>CALL</t>
        </is>
      </c>
      <c r="AO431" s="24" t="inlineStr">
        <is>
          <t>QUALIFIED</t>
        </is>
      </c>
      <c r="AP431" s="24" t="inlineStr">
        <is>
          <t>South Dakota Coyotes</t>
        </is>
      </c>
      <c r="AQ431" s="24" t="inlineStr">
        <is>
          <t>South Dakota Coyotes</t>
        </is>
      </c>
      <c r="AR431" s="24" t="inlineStr">
        <is>
          <t>South Dakota Coyotes</t>
        </is>
      </c>
      <c r="AS431" s="24" t="inlineStr">
        <is>
          <t>Boise State Broncos</t>
        </is>
      </c>
      <c r="AT431" s="24" t="inlineStr">
        <is>
          <t>Boise State Broncos</t>
        </is>
      </c>
      <c r="AU431" s="24" t="inlineStr">
        <is>
          <t>Boise State Broncos</t>
        </is>
      </c>
      <c r="AV431" s="24" t="n"/>
      <c r="AW431" s="24" t="n"/>
      <c r="AX431" s="24" t="inlineStr">
        <is>
          <t>statistical_model</t>
        </is>
      </c>
      <c r="AY431" s="24" t="n"/>
      <c r="AZ431" s="24" t="inlineStr">
        <is>
          <t>shadow_qualified</t>
        </is>
      </c>
      <c r="BA431" s="24" t="inlineStr">
        <is>
          <t>1d168f11d221cd3c</t>
        </is>
      </c>
      <c r="BB431" s="24" t="inlineStr">
        <is>
          <t>cfb_key_number_engine</t>
        </is>
      </c>
      <c r="BC431" s="24" t="inlineStr">
        <is>
          <t>cfb-spread-v1</t>
        </is>
      </c>
      <c r="BD431" s="24" t="inlineStr">
        <is>
          <t>1d168f11d221cd3c</t>
        </is>
      </c>
      <c r="BE431" s="24" t="inlineStr">
        <is>
          <t>cfb-v1</t>
        </is>
      </c>
      <c r="BF431" s="24" t="inlineStr">
        <is>
          <t>1</t>
        </is>
      </c>
      <c r="BG431" s="24" t="inlineStr">
        <is>
          <t>1d168f11d221cd3c</t>
        </is>
      </c>
      <c r="BH431" s="24" t="inlineStr">
        <is>
          <t>2026-09-19T22:46:25.988423+00:00</t>
        </is>
      </c>
      <c r="BI431" s="24" t="inlineStr">
        <is>
          <t>["same_event","same_team_same_day","same_league_same_day"]</t>
        </is>
      </c>
      <c r="BJ431" s="25" t="n">
        <v>27.5</v>
      </c>
      <c r="BK431" s="26" t="n">
        <v>-102</v>
      </c>
      <c r="BL431" s="27" t="n">
        <v>1.980392</v>
      </c>
      <c r="BM431" s="28" t="n">
        <v>0.50495</v>
      </c>
      <c r="BN431" s="28" t="n"/>
      <c r="BO431" s="28" t="n"/>
      <c r="BP431" s="25" t="n"/>
      <c r="BQ431" s="27" t="n"/>
      <c r="BR431" s="28" t="n"/>
      <c r="BS431" s="28" t="n"/>
      <c r="BT431" s="28" t="n"/>
      <c r="BU431" s="25" t="n"/>
      <c r="BV431" s="29" t="n"/>
      <c r="BW431" s="24" t="n"/>
      <c r="BX431" s="30" t="n"/>
      <c r="BY431" s="27" t="n"/>
      <c r="BZ431" s="24" t="n"/>
      <c r="CA431" s="31" t="n"/>
      <c r="CB431" s="24" t="n"/>
      <c r="CC431" s="24" t="n"/>
      <c r="CD431" s="24" t="n"/>
      <c r="CE431" s="24" t="n"/>
      <c r="CF431" s="24" t="n"/>
      <c r="CG431" s="24" t="n"/>
      <c r="CH431" s="24" t="n"/>
      <c r="CI431" s="24" t="n"/>
      <c r="CJ431" s="24" t="n"/>
      <c r="CK431" s="24" t="n"/>
      <c r="CL431" s="24" t="n"/>
      <c r="CM431" s="24" t="n"/>
      <c r="CN431" s="24" t="n"/>
      <c r="CO431" s="24" t="n"/>
      <c r="CP431" s="24" t="n"/>
      <c r="CQ431" s="24" t="n"/>
      <c r="CR431" s="24" t="n"/>
      <c r="CS431" s="24" t="inlineStr">
        <is>
          <t>True</t>
        </is>
      </c>
      <c r="CT431" s="24" t="n"/>
      <c r="CU431" s="24" t="n"/>
      <c r="CV431" s="24" t="n"/>
      <c r="CW431" s="24" t="n"/>
      <c r="CX431" s="24" t="n"/>
      <c r="CY431" s="24" t="n"/>
      <c r="CZ431" s="24" t="n"/>
      <c r="DA431" s="24" t="n"/>
      <c r="DB431" s="24" t="n"/>
      <c r="DC431" s="24" t="n"/>
      <c r="DD431" s="24" t="n"/>
      <c r="DE431" s="24" t="n"/>
      <c r="DF431" s="24" t="n"/>
      <c r="DG431" s="24" t="n"/>
      <c r="DH431" s="24" t="n"/>
      <c r="DI431" s="24" t="n"/>
      <c r="DJ431" s="24" t="inlineStr">
        <is>
          <t>0.50495</t>
        </is>
      </c>
      <c r="DK431" s="24" t="n"/>
      <c r="DL431" s="24" t="n"/>
      <c r="DM431" s="24" t="n"/>
      <c r="DN431" s="24" t="n"/>
      <c r="DO431" s="24" t="n"/>
      <c r="DP431" s="24" t="n"/>
      <c r="DQ431" s="24" t="inlineStr">
        <is>
          <t>{"artifact_hash": "1d168f11d221cd3c", "event_id": "401860885", "event_start_utc": "2026-09-20T02:00Z", "features": {"altitude_fatigue_penalty": 0.0, "away_team": "South Dakota Coyotes", "efficiency_gap": 0.402, "elo_away": 1337.5, "elo_home": 1486.9, "elo_home_win_prob": 0.7745, "event_id": "401860885", "game_start_utc": "2026-09-20T02:00Z", "home_field_advantage_points": 2.8, "home_team": "Boise State Broncos", "is_dome": false, "is_fbs_vs_fcs": false, "is_neutral_site": false, "projected_away_points": 22.2, "projected_home_points": 30.9, "projected_margin_home": 8.8,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22.2, "mu_home": 30.9,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236622994020667088483629040179838171040}, "uinteger": 0}, "spread_home_line": -27.5, "total_line": 60.5}, "market_type": "spread", "model_version": "cfb-spread-v1", "observed_at_utc": "2026-09-19T22:46:25.988423+00:00", "probabilities": {"away": 0.828267, "home": 0.171733, "push": 0.0}, "replay_scope": "Full precision score means, exact engine parameters and original RNG state; upstream feature construction not certified.", "schema": "cfb-joint-replay-v1", "snapshot_hash": "1012094edb4494b9bd71c922ad9a38d9a22a8817e85f471adba29d3685df9021", "sport": "NCAAF"}</t>
        </is>
      </c>
    </row>
    <row r="432" ht="36" customHeight="1">
      <c r="A432" s="24" t="inlineStr">
        <is>
          <t>3447b3c129404a9e</t>
        </is>
      </c>
      <c r="B432" s="24" t="inlineStr">
        <is>
          <t>2026-09-19T22:46:25.988423Z</t>
        </is>
      </c>
      <c r="C432" s="24" t="inlineStr">
        <is>
          <t>2026-09-20T02:00Z</t>
        </is>
      </c>
      <c r="D432" s="24" t="inlineStr">
        <is>
          <t>401860885</t>
        </is>
      </c>
      <c r="E432" s="24" t="inlineStr">
        <is>
          <t>NCAAF</t>
        </is>
      </c>
      <c r="F432" s="24" t="inlineStr">
        <is>
          <t>South Dakota Coyotes</t>
        </is>
      </c>
      <c r="G432" s="24" t="inlineStr">
        <is>
          <t>Boise State Broncos</t>
        </is>
      </c>
      <c r="H432" s="24" t="inlineStr">
        <is>
          <t>total</t>
        </is>
      </c>
      <c r="I432" s="24" t="inlineStr">
        <is>
          <t>under</t>
        </is>
      </c>
      <c r="J432" s="25" t="n">
        <v>60.5</v>
      </c>
      <c r="K432" s="24" t="inlineStr">
        <is>
          <t>espn_consensus</t>
        </is>
      </c>
      <c r="L432" s="26" t="n">
        <v>-108</v>
      </c>
      <c r="M432" s="27" t="n">
        <v>1.925926</v>
      </c>
      <c r="N432" s="28" t="n">
        <v>0.519231</v>
      </c>
      <c r="O432" s="28" t="n">
        <v>0.6424</v>
      </c>
      <c r="P432" s="28" t="n">
        <v>0.18</v>
      </c>
      <c r="Q432" s="28" t="n">
        <v>0.123169</v>
      </c>
      <c r="R432" s="26" t="n">
        <v>4</v>
      </c>
      <c r="S432" s="29" t="n">
        <v>1</v>
      </c>
      <c r="T432" s="24" t="inlineStr">
        <is>
          <t>cfb-total-v1</t>
        </is>
      </c>
      <c r="U432" s="24" t="inlineStr">
        <is>
          <t>settled</t>
        </is>
      </c>
      <c r="V432" s="24" t="inlineStr">
        <is>
          <t>loss</t>
        </is>
      </c>
      <c r="W432" s="26" t="n">
        <v>24</v>
      </c>
      <c r="X432" s="26" t="n">
        <v>38</v>
      </c>
      <c r="Y432" s="25" t="n"/>
      <c r="Z432" s="26" t="n"/>
      <c r="AA432" s="28" t="n"/>
      <c r="AB432" s="28" t="n"/>
      <c r="AC432" s="30" t="n">
        <v>-1</v>
      </c>
      <c r="AD432" s="24" t="inlineStr">
        <is>
          <t>2026-09-20T10:00:21.469737Z</t>
        </is>
      </c>
      <c r="AE432" s="31" t="inlineStr">
        <is>
          <t>Projected total 53.1 pts (Weather adj: +0.0 pts). Total line 60.5 -&gt; P(Over)=0.358, P(Under)=0.642, P(Push)=0.000.</t>
        </is>
      </c>
      <c r="AF432" s="31" t="inlineStr">
        <is>
          <t>College football model; multi-market (moneyline, spread, total).</t>
        </is>
      </c>
      <c r="AG432" s="24" t="inlineStr">
        <is>
          <t>review_required</t>
        </is>
      </c>
      <c r="AH432" s="24" t="n"/>
      <c r="AI432" s="31" t="n"/>
      <c r="AJ432" s="31" t="n"/>
      <c r="AK432" s="24" t="inlineStr">
        <is>
          <t>model_qualified</t>
        </is>
      </c>
      <c r="AL432" s="26" t="n">
        <v>4</v>
      </c>
      <c r="AM432" s="24" t="inlineStr">
        <is>
          <t>QUALIFIED_SHADOW_CALL</t>
        </is>
      </c>
      <c r="AN432" s="24" t="inlineStr">
        <is>
          <t>CALL</t>
        </is>
      </c>
      <c r="AO432" s="24" t="inlineStr">
        <is>
          <t>QUALIFIED</t>
        </is>
      </c>
      <c r="AP432" s="24" t="inlineStr">
        <is>
          <t>South Dakota Coyotes</t>
        </is>
      </c>
      <c r="AQ432" s="24" t="inlineStr">
        <is>
          <t>South Dakota Coyotes</t>
        </is>
      </c>
      <c r="AR432" s="24" t="inlineStr">
        <is>
          <t>South Dakota Coyotes</t>
        </is>
      </c>
      <c r="AS432" s="24" t="inlineStr">
        <is>
          <t>Boise State Broncos</t>
        </is>
      </c>
      <c r="AT432" s="24" t="inlineStr">
        <is>
          <t>Boise State Broncos</t>
        </is>
      </c>
      <c r="AU432" s="24" t="inlineStr">
        <is>
          <t>Boise State Broncos</t>
        </is>
      </c>
      <c r="AV432" s="24" t="n"/>
      <c r="AW432" s="24" t="n"/>
      <c r="AX432" s="24" t="inlineStr">
        <is>
          <t>statistical_model</t>
        </is>
      </c>
      <c r="AY432" s="24" t="n"/>
      <c r="AZ432" s="24" t="inlineStr">
        <is>
          <t>shadow_qualified</t>
        </is>
      </c>
      <c r="BA432" s="24" t="inlineStr">
        <is>
          <t>1d168f11d221cd3c</t>
        </is>
      </c>
      <c r="BB432" s="24" t="inlineStr">
        <is>
          <t>cfb_key_number_engine</t>
        </is>
      </c>
      <c r="BC432" s="24" t="inlineStr">
        <is>
          <t>cfb-total-v1</t>
        </is>
      </c>
      <c r="BD432" s="24" t="inlineStr">
        <is>
          <t>1d168f11d221cd3c</t>
        </is>
      </c>
      <c r="BE432" s="24" t="inlineStr">
        <is>
          <t>cfb-v1</t>
        </is>
      </c>
      <c r="BF432" s="24" t="inlineStr">
        <is>
          <t>1</t>
        </is>
      </c>
      <c r="BG432" s="24" t="inlineStr">
        <is>
          <t>1d168f11d221cd3c</t>
        </is>
      </c>
      <c r="BH432" s="24" t="inlineStr">
        <is>
          <t>2026-09-19T22:46:25.988423+00:00</t>
        </is>
      </c>
      <c r="BI432" s="24" t="inlineStr">
        <is>
          <t>["same_event","same_team_same_day","same_league_same_day"]</t>
        </is>
      </c>
      <c r="BJ432" s="25" t="n">
        <v>60.5</v>
      </c>
      <c r="BK432" s="26" t="n">
        <v>-108</v>
      </c>
      <c r="BL432" s="27" t="n">
        <v>1.925926</v>
      </c>
      <c r="BM432" s="28" t="n">
        <v>0.519231</v>
      </c>
      <c r="BN432" s="28" t="n"/>
      <c r="BO432" s="28" t="n"/>
      <c r="BP432" s="25" t="n"/>
      <c r="BQ432" s="27" t="n"/>
      <c r="BR432" s="28" t="n"/>
      <c r="BS432" s="28" t="n"/>
      <c r="BT432" s="28" t="n"/>
      <c r="BU432" s="25" t="n"/>
      <c r="BV432" s="29" t="n"/>
      <c r="BW432" s="24" t="n"/>
      <c r="BX432" s="30" t="n"/>
      <c r="BY432" s="27" t="n"/>
      <c r="BZ432" s="24" t="n"/>
      <c r="CA432" s="31" t="n"/>
      <c r="CB432" s="24" t="n"/>
      <c r="CC432" s="24" t="n"/>
      <c r="CD432" s="24" t="n"/>
      <c r="CE432" s="24" t="n"/>
      <c r="CF432" s="24" t="n"/>
      <c r="CG432" s="24" t="n"/>
      <c r="CH432" s="24" t="n"/>
      <c r="CI432" s="24" t="n"/>
      <c r="CJ432" s="24" t="n"/>
      <c r="CK432" s="24" t="n"/>
      <c r="CL432" s="24" t="n"/>
      <c r="CM432" s="24" t="n"/>
      <c r="CN432" s="24" t="n"/>
      <c r="CO432" s="24" t="n"/>
      <c r="CP432" s="24" t="n"/>
      <c r="CQ432" s="24" t="n"/>
      <c r="CR432" s="24" t="n"/>
      <c r="CS432" s="24" t="inlineStr">
        <is>
          <t>True</t>
        </is>
      </c>
      <c r="CT432" s="24" t="n"/>
      <c r="CU432" s="24" t="n"/>
      <c r="CV432" s="24" t="n"/>
      <c r="CW432" s="24" t="n"/>
      <c r="CX432" s="24" t="n"/>
      <c r="CY432" s="24" t="n"/>
      <c r="CZ432" s="24" t="n"/>
      <c r="DA432" s="24" t="n"/>
      <c r="DB432" s="24" t="n"/>
      <c r="DC432" s="24" t="n"/>
      <c r="DD432" s="24" t="n"/>
      <c r="DE432" s="24" t="n"/>
      <c r="DF432" s="24" t="n"/>
      <c r="DG432" s="24" t="n"/>
      <c r="DH432" s="24" t="n"/>
      <c r="DI432" s="24" t="n"/>
      <c r="DJ432" s="24" t="inlineStr">
        <is>
          <t>0.519231</t>
        </is>
      </c>
      <c r="DK432" s="24" t="n"/>
      <c r="DL432" s="24" t="n"/>
      <c r="DM432" s="24" t="n"/>
      <c r="DN432" s="24" t="n"/>
      <c r="DO432" s="24" t="n"/>
      <c r="DP432" s="24" t="n"/>
      <c r="DQ432" s="24" t="inlineStr">
        <is>
          <t>{"artifact_hash": "1d168f11d221cd3c", "event_id": "401860885", "event_start_utc": "2026-09-20T02:00Z", "features": {"altitude_fatigue_penalty": 0.0, "away_team": "South Dakota Coyotes", "efficiency_gap": 0.402, "elo_away": 1337.5, "elo_home": 1486.9, "elo_home_win_prob": 0.7745, "event_id": "401860885", "game_start_utc": "2026-09-20T02:00Z", "home_field_advantage_points": 2.8, "home_team": "Boise State Broncos", "is_dome": false, "is_fbs_vs_fcs": false, "is_neutral_site": false, "projected_away_points": 22.2, "projected_home_points": 30.9, "projected_margin_home": 8.8, "projected_possessions": 12.4, "projected_total": 53.1,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22.2, "mu_home": 30.9,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236622994020667088483629040179838171040}, "uinteger": 0}, "spread_home_line": -27.5, "total_line": 60.5}, "market_type": "total", "model_version": "cfb-total-v1", "observed_at_utc": "2026-09-19T22:46:25.988423+00:00", "probabilities": {"over": 0.3576, "push": 0.0, "under": 0.6424}, "replay_scope": "Full precision score means, exact engine parameters and original RNG state; upstream feature construction not certified.", "schema": "cfb-joint-replay-v1", "snapshot_hash": "1dec6104551e3b304e5a581753e6602ed28d2eeb9ef5849318a51edf01a19032", "sport": "NCAAF"}</t>
        </is>
      </c>
    </row>
    <row r="433" ht="36" customHeight="1">
      <c r="A433" s="24" t="inlineStr">
        <is>
          <t>c1dbeb5de8c14ac0</t>
        </is>
      </c>
      <c r="B433" s="24" t="inlineStr">
        <is>
          <t>2026-09-19T22:46:25.988423Z</t>
        </is>
      </c>
      <c r="C433" s="24" t="inlineStr">
        <is>
          <t>2026-09-20T02:00Z</t>
        </is>
      </c>
      <c r="D433" s="24" t="inlineStr">
        <is>
          <t>401860887</t>
        </is>
      </c>
      <c r="E433" s="24" t="inlineStr">
        <is>
          <t>NCAAF</t>
        </is>
      </c>
      <c r="F433" s="24" t="inlineStr">
        <is>
          <t>James Madison Dukes</t>
        </is>
      </c>
      <c r="G433" s="24" t="inlineStr">
        <is>
          <t>San Diego State Aztecs</t>
        </is>
      </c>
      <c r="H433" s="24" t="inlineStr">
        <is>
          <t>moneyline</t>
        </is>
      </c>
      <c r="I433" s="24" t="inlineStr">
        <is>
          <t>away</t>
        </is>
      </c>
      <c r="J433" s="25" t="n"/>
      <c r="K433" s="24" t="inlineStr">
        <is>
          <t>espn_consensus</t>
        </is>
      </c>
      <c r="L433" s="26" t="n">
        <v>110</v>
      </c>
      <c r="M433" s="27" t="n">
        <v>2.1</v>
      </c>
      <c r="N433" s="28" t="n">
        <v>0.47619</v>
      </c>
      <c r="O433" s="28" t="n">
        <v>0.6207549999999999</v>
      </c>
      <c r="P433" s="28" t="n">
        <v>0.18</v>
      </c>
      <c r="Q433" s="28" t="n">
        <v>0.144565</v>
      </c>
      <c r="R433" s="26" t="n">
        <v>14</v>
      </c>
      <c r="S433" s="29" t="n">
        <v>1</v>
      </c>
      <c r="T433" s="24" t="inlineStr">
        <is>
          <t>college-football-v1</t>
        </is>
      </c>
      <c r="U433" s="24" t="inlineStr">
        <is>
          <t>settled</t>
        </is>
      </c>
      <c r="V433" s="24" t="inlineStr">
        <is>
          <t>win</t>
        </is>
      </c>
      <c r="W433" s="26" t="n">
        <v>26</v>
      </c>
      <c r="X433" s="26" t="n">
        <v>13</v>
      </c>
      <c r="Y433" s="25" t="n"/>
      <c r="Z433" s="26" t="n"/>
      <c r="AA433" s="28" t="n"/>
      <c r="AB433" s="28" t="n"/>
      <c r="AC433" s="30" t="n">
        <v>1.1</v>
      </c>
      <c r="AD433" s="24" t="inlineStr">
        <is>
          <t>2026-09-20T10:00:21.947492Z</t>
        </is>
      </c>
      <c r="AE433" s="31" t="inlineStr">
        <is>
          <t>CFB Joint Model (negative_binomial): proj score James Madison Dukes 29.4 @ San Diego State Aztecs 23.8 (Margin -5.7). Possessions: 12.4, HFA: +2.8 pts.</t>
        </is>
      </c>
      <c r="AF433" s="31" t="inlineStr">
        <is>
          <t>College football model; multi-market (moneyline, spread, total).</t>
        </is>
      </c>
      <c r="AG433" s="24" t="inlineStr">
        <is>
          <t>not_applicable</t>
        </is>
      </c>
      <c r="AH433" s="24" t="n"/>
      <c r="AI433" s="31" t="n"/>
      <c r="AJ433" s="31" t="n"/>
      <c r="AK433" s="24" t="inlineStr">
        <is>
          <t>model_qualified</t>
        </is>
      </c>
      <c r="AL433" s="26" t="n">
        <v>4</v>
      </c>
      <c r="AM433" s="24" t="inlineStr">
        <is>
          <t>QUALIFIED_SHADOW_CALL</t>
        </is>
      </c>
      <c r="AN433" s="24" t="inlineStr">
        <is>
          <t>CALL</t>
        </is>
      </c>
      <c r="AO433" s="24" t="inlineStr">
        <is>
          <t>QUALIFIED</t>
        </is>
      </c>
      <c r="AP433" s="24" t="inlineStr">
        <is>
          <t>James Madison Dukes</t>
        </is>
      </c>
      <c r="AQ433" s="24" t="inlineStr">
        <is>
          <t>James Madison Dukes</t>
        </is>
      </c>
      <c r="AR433" s="24" t="inlineStr">
        <is>
          <t>James Madison Dukes</t>
        </is>
      </c>
      <c r="AS433" s="24" t="inlineStr">
        <is>
          <t>San Diego State Aztecs</t>
        </is>
      </c>
      <c r="AT433" s="24" t="inlineStr">
        <is>
          <t>San Diego State Aztecs</t>
        </is>
      </c>
      <c r="AU433" s="24" t="inlineStr">
        <is>
          <t>San Diego State Aztecs</t>
        </is>
      </c>
      <c r="AV433" s="24" t="n"/>
      <c r="AW433" s="24" t="n"/>
      <c r="AX433" s="24" t="inlineStr">
        <is>
          <t>statistical_model</t>
        </is>
      </c>
      <c r="AY433" s="24" t="n"/>
      <c r="AZ433" s="24" t="inlineStr">
        <is>
          <t>shadow_qualified</t>
        </is>
      </c>
      <c r="BA433" s="24" t="inlineStr">
        <is>
          <t>1d168f11d221cd3c</t>
        </is>
      </c>
      <c r="BB433" s="24" t="inlineStr">
        <is>
          <t>cfb_key_number_engine</t>
        </is>
      </c>
      <c r="BC433" s="24" t="inlineStr">
        <is>
          <t>college-football-v1</t>
        </is>
      </c>
      <c r="BD433" s="24" t="inlineStr">
        <is>
          <t>1d168f11d221cd3c</t>
        </is>
      </c>
      <c r="BE433" s="24" t="inlineStr">
        <is>
          <t>cfb-v1</t>
        </is>
      </c>
      <c r="BF433" s="24" t="inlineStr">
        <is>
          <t>1</t>
        </is>
      </c>
      <c r="BG433" s="24" t="inlineStr">
        <is>
          <t>1d168f11d221cd3c</t>
        </is>
      </c>
      <c r="BH433" s="24" t="inlineStr">
        <is>
          <t>2026-09-19T22:46:25.988423+00:00</t>
        </is>
      </c>
      <c r="BI433" s="24" t="inlineStr">
        <is>
          <t>["same_event","same_team_same_day","same_league_same_day"]</t>
        </is>
      </c>
      <c r="BJ433" s="25" t="n"/>
      <c r="BK433" s="26" t="n">
        <v>110</v>
      </c>
      <c r="BL433" s="27" t="n">
        <v>2.1</v>
      </c>
      <c r="BM433" s="28" t="n">
        <v>0.47619</v>
      </c>
      <c r="BN433" s="28" t="n"/>
      <c r="BO433" s="28" t="n"/>
      <c r="BP433" s="25" t="n"/>
      <c r="BQ433" s="27" t="n"/>
      <c r="BR433" s="28" t="n"/>
      <c r="BS433" s="28" t="n"/>
      <c r="BT433" s="28" t="n"/>
      <c r="BU433" s="25" t="n"/>
      <c r="BV433" s="29" t="n"/>
      <c r="BW433" s="24" t="n"/>
      <c r="BX433" s="30" t="n"/>
      <c r="BY433" s="27" t="n"/>
      <c r="BZ433" s="24" t="n"/>
      <c r="CA433" s="31" t="n"/>
      <c r="CB433" s="24" t="n"/>
      <c r="CC433" s="24" t="n"/>
      <c r="CD433" s="24" t="n"/>
      <c r="CE433" s="24" t="n"/>
      <c r="CF433" s="24" t="n"/>
      <c r="CG433" s="24" t="n"/>
      <c r="CH433" s="24" t="n"/>
      <c r="CI433" s="24" t="n"/>
      <c r="CJ433" s="24" t="n"/>
      <c r="CK433" s="24" t="n"/>
      <c r="CL433" s="24" t="n"/>
      <c r="CM433" s="24" t="n"/>
      <c r="CN433" s="24" t="n"/>
      <c r="CO433" s="24" t="n"/>
      <c r="CP433" s="24" t="n"/>
      <c r="CQ433" s="24" t="n"/>
      <c r="CR433" s="24" t="n"/>
      <c r="CS433" s="24" t="inlineStr">
        <is>
          <t>True</t>
        </is>
      </c>
      <c r="CT433" s="24" t="n"/>
      <c r="CU433" s="24" t="n"/>
      <c r="CV433" s="24" t="n"/>
      <c r="CW433" s="24" t="n"/>
      <c r="CX433" s="24" t="n"/>
      <c r="CY433" s="24" t="n"/>
      <c r="CZ433" s="24" t="n"/>
      <c r="DA433" s="24" t="n"/>
      <c r="DB433" s="24" t="n"/>
      <c r="DC433" s="24" t="n"/>
      <c r="DD433" s="24" t="n"/>
      <c r="DE433" s="24" t="n"/>
      <c r="DF433" s="24" t="n"/>
      <c r="DG433" s="24" t="n"/>
      <c r="DH433" s="24" t="n"/>
      <c r="DI433" s="24" t="n"/>
      <c r="DJ433" s="24" t="inlineStr">
        <is>
          <t>0.47619</t>
        </is>
      </c>
      <c r="DK433" s="24" t="n"/>
      <c r="DL433" s="24" t="n"/>
      <c r="DM433" s="24" t="n"/>
      <c r="DN433" s="24" t="n"/>
      <c r="DO433" s="24" t="n"/>
      <c r="DP433" s="24" t="n"/>
      <c r="DQ433" s="24" t="inlineStr">
        <is>
          <t>{"artifact_hash": "1d168f11d221cd3c", "event_id": "401860887", "event_start_utc": "2026-09-20T02:00Z", "features": {"altitude_fatigue_penalty": 0.0, "away_team": "James Madison Dukes", "efficiency_gap": -0.216, "elo_away": 1774.4, "elo_home": 1570.9, "elo_home_win_prob": 0.3106, "event_id": "401860887", "game_start_utc": "2026-09-20T02:00Z", "home_field_advantage_points": 2.8, "home_team": "San Diego State Aztecs", "is_dome": false, "is_fbs_vs_fcs": false, "is_neutral_site": false, "projected_away_points": 29.4, "projected_home_points": 23.8, "projected_margin_home": -5.7, "projected_possessions": 12.4, "projected_total": 53.2, "stadium_elevation_ft": 50, "travel_distance_miles": 2168.0, "uncertainty": 0.18, "weather_total_adjustment": 0.0}, "historical_source_observation_times_verified": false, "inference_inputs": {"engine_source_sha256": "449ba2f0e86fa9c445730076a0e0bf100fb4914620be53c75c6f3bfe24298f3f", "mu_away": 29.4, "mu_home": 23.8,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233579119972443634471783870229922164300}, "uinteger": 0}, "spread_home_line": -2.5, "total_line": 46.5}, "market_type": "moneyline", "model_version": "college-football-v1", "observed_at_utc": "2026-09-19T22:46:25.988423+00:00", "probabilities": {"away": 0.620755, "home": 0.379245}, "replay_scope": "Full precision score means, exact engine parameters and original RNG state; upstream feature construction not certified.", "schema": "cfb-joint-replay-v1", "snapshot_hash": "a970c08dd32ae06eb5e90e20817ec3f50b68a19d963a5a0f639d3b62ab712fdb", "sport": "NCAAF"}</t>
        </is>
      </c>
    </row>
    <row r="434" ht="36" customHeight="1">
      <c r="A434" s="24" t="inlineStr">
        <is>
          <t>f78e5862af494787</t>
        </is>
      </c>
      <c r="B434" s="24" t="inlineStr">
        <is>
          <t>2026-09-19T22:46:25.988423Z</t>
        </is>
      </c>
      <c r="C434" s="24" t="inlineStr">
        <is>
          <t>2026-09-20T02:00Z</t>
        </is>
      </c>
      <c r="D434" s="24" t="inlineStr">
        <is>
          <t>401860887</t>
        </is>
      </c>
      <c r="E434" s="24" t="inlineStr">
        <is>
          <t>NCAAF</t>
        </is>
      </c>
      <c r="F434" s="24" t="inlineStr">
        <is>
          <t>James Madison Dukes</t>
        </is>
      </c>
      <c r="G434" s="24" t="inlineStr">
        <is>
          <t>San Diego State Aztecs</t>
        </is>
      </c>
      <c r="H434" s="24" t="inlineStr">
        <is>
          <t>spread</t>
        </is>
      </c>
      <c r="I434" s="24" t="inlineStr">
        <is>
          <t>away</t>
        </is>
      </c>
      <c r="J434" s="25" t="n">
        <v>2.5</v>
      </c>
      <c r="K434" s="24" t="inlineStr">
        <is>
          <t>espn_consensus</t>
        </is>
      </c>
      <c r="L434" s="26" t="n">
        <v>-115</v>
      </c>
      <c r="M434" s="27" t="n">
        <v>1.869565</v>
      </c>
      <c r="N434" s="28" t="n">
        <v>0.534884</v>
      </c>
      <c r="O434" s="28" t="n">
        <v>0.666667</v>
      </c>
      <c r="P434" s="28" t="n">
        <v>0.18</v>
      </c>
      <c r="Q434" s="28" t="n">
        <v>0.131783</v>
      </c>
      <c r="R434" s="26" t="n">
        <v>8</v>
      </c>
      <c r="S434" s="29" t="n">
        <v>1</v>
      </c>
      <c r="T434" s="24" t="inlineStr">
        <is>
          <t>cfb-spread-v1</t>
        </is>
      </c>
      <c r="U434" s="24" t="inlineStr">
        <is>
          <t>settled</t>
        </is>
      </c>
      <c r="V434" s="24" t="inlineStr">
        <is>
          <t>win</t>
        </is>
      </c>
      <c r="W434" s="26" t="n">
        <v>26</v>
      </c>
      <c r="X434" s="26" t="n">
        <v>13</v>
      </c>
      <c r="Y434" s="25" t="n"/>
      <c r="Z434" s="26" t="n"/>
      <c r="AA434" s="28" t="n"/>
      <c r="AB434" s="28" t="n"/>
      <c r="AC434" s="30" t="n">
        <v>0.8696</v>
      </c>
      <c r="AD434" s="24" t="inlineStr">
        <is>
          <t>2026-09-20T10:00:22.448536Z</t>
        </is>
      </c>
      <c r="AE434" s="31" t="inlineStr">
        <is>
          <t>Projected home margin -5.7 pts. Spread: Home -2.5 / Away +2.5 -&gt; P(Away cover)=0.667, P(Home cover)=0.333, P(Push)=0.000.</t>
        </is>
      </c>
      <c r="AF434" s="31" t="inlineStr">
        <is>
          <t>College football model; multi-market (moneyline, spread, total).</t>
        </is>
      </c>
      <c r="AG434" s="24" t="inlineStr">
        <is>
          <t>not_applicable</t>
        </is>
      </c>
      <c r="AH434" s="24" t="n"/>
      <c r="AI434" s="31" t="n"/>
      <c r="AJ434" s="31" t="n"/>
      <c r="AK434" s="24" t="inlineStr">
        <is>
          <t>model_qualified</t>
        </is>
      </c>
      <c r="AL434" s="26" t="n">
        <v>4</v>
      </c>
      <c r="AM434" s="24" t="inlineStr">
        <is>
          <t>QUALIFIED_SHADOW_CALL</t>
        </is>
      </c>
      <c r="AN434" s="24" t="inlineStr">
        <is>
          <t>CALL</t>
        </is>
      </c>
      <c r="AO434" s="24" t="inlineStr">
        <is>
          <t>QUALIFIED</t>
        </is>
      </c>
      <c r="AP434" s="24" t="inlineStr">
        <is>
          <t>James Madison Dukes</t>
        </is>
      </c>
      <c r="AQ434" s="24" t="inlineStr">
        <is>
          <t>James Madison Dukes</t>
        </is>
      </c>
      <c r="AR434" s="24" t="inlineStr">
        <is>
          <t>James Madison Dukes</t>
        </is>
      </c>
      <c r="AS434" s="24" t="inlineStr">
        <is>
          <t>San Diego State Aztecs</t>
        </is>
      </c>
      <c r="AT434" s="24" t="inlineStr">
        <is>
          <t>San Diego State Aztecs</t>
        </is>
      </c>
      <c r="AU434" s="24" t="inlineStr">
        <is>
          <t>San Diego State Aztecs</t>
        </is>
      </c>
      <c r="AV434" s="24" t="n"/>
      <c r="AW434" s="24" t="n"/>
      <c r="AX434" s="24" t="inlineStr">
        <is>
          <t>statistical_model</t>
        </is>
      </c>
      <c r="AY434" s="24" t="n"/>
      <c r="AZ434" s="24" t="inlineStr">
        <is>
          <t>shadow_qualified</t>
        </is>
      </c>
      <c r="BA434" s="24" t="inlineStr">
        <is>
          <t>1d168f11d221cd3c</t>
        </is>
      </c>
      <c r="BB434" s="24" t="inlineStr">
        <is>
          <t>cfb_key_number_engine</t>
        </is>
      </c>
      <c r="BC434" s="24" t="inlineStr">
        <is>
          <t>cfb-spread-v1</t>
        </is>
      </c>
      <c r="BD434" s="24" t="inlineStr">
        <is>
          <t>1d168f11d221cd3c</t>
        </is>
      </c>
      <c r="BE434" s="24" t="inlineStr">
        <is>
          <t>cfb-v1</t>
        </is>
      </c>
      <c r="BF434" s="24" t="inlineStr">
        <is>
          <t>1</t>
        </is>
      </c>
      <c r="BG434" s="24" t="inlineStr">
        <is>
          <t>1d168f11d221cd3c</t>
        </is>
      </c>
      <c r="BH434" s="24" t="inlineStr">
        <is>
          <t>2026-09-19T22:46:25.988423+00:00</t>
        </is>
      </c>
      <c r="BI434" s="24" t="inlineStr">
        <is>
          <t>["same_event","same_team_same_day","same_league_same_day"]</t>
        </is>
      </c>
      <c r="BJ434" s="25" t="n">
        <v>2.5</v>
      </c>
      <c r="BK434" s="26" t="n">
        <v>-115</v>
      </c>
      <c r="BL434" s="27" t="n">
        <v>1.869565</v>
      </c>
      <c r="BM434" s="28" t="n">
        <v>0.534884</v>
      </c>
      <c r="BN434" s="28" t="n"/>
      <c r="BO434" s="28" t="n"/>
      <c r="BP434" s="25" t="n"/>
      <c r="BQ434" s="27" t="n"/>
      <c r="BR434" s="28" t="n"/>
      <c r="BS434" s="28" t="n"/>
      <c r="BT434" s="28" t="n"/>
      <c r="BU434" s="25" t="n"/>
      <c r="BV434" s="29" t="n"/>
      <c r="BW434" s="24" t="n"/>
      <c r="BX434" s="30" t="n"/>
      <c r="BY434" s="27" t="n"/>
      <c r="BZ434" s="24" t="n"/>
      <c r="CA434" s="31" t="n"/>
      <c r="CB434" s="24" t="n"/>
      <c r="CC434" s="24" t="n"/>
      <c r="CD434" s="24" t="n"/>
      <c r="CE434" s="24" t="n"/>
      <c r="CF434" s="24" t="n"/>
      <c r="CG434" s="24" t="n"/>
      <c r="CH434" s="24" t="n"/>
      <c r="CI434" s="24" t="n"/>
      <c r="CJ434" s="24" t="n"/>
      <c r="CK434" s="24" t="n"/>
      <c r="CL434" s="24" t="n"/>
      <c r="CM434" s="24" t="n"/>
      <c r="CN434" s="24" t="n"/>
      <c r="CO434" s="24" t="n"/>
      <c r="CP434" s="24" t="n"/>
      <c r="CQ434" s="24" t="n"/>
      <c r="CR434" s="24" t="n"/>
      <c r="CS434" s="24" t="inlineStr">
        <is>
          <t>True</t>
        </is>
      </c>
      <c r="CT434" s="24" t="n"/>
      <c r="CU434" s="24" t="n"/>
      <c r="CV434" s="24" t="n"/>
      <c r="CW434" s="24" t="n"/>
      <c r="CX434" s="24" t="n"/>
      <c r="CY434" s="24" t="n"/>
      <c r="CZ434" s="24" t="n"/>
      <c r="DA434" s="24" t="n"/>
      <c r="DB434" s="24" t="n"/>
      <c r="DC434" s="24" t="n"/>
      <c r="DD434" s="24" t="n"/>
      <c r="DE434" s="24" t="n"/>
      <c r="DF434" s="24" t="n"/>
      <c r="DG434" s="24" t="n"/>
      <c r="DH434" s="24" t="n"/>
      <c r="DI434" s="24" t="n"/>
      <c r="DJ434" s="24" t="inlineStr">
        <is>
          <t>0.534884</t>
        </is>
      </c>
      <c r="DK434" s="24" t="n"/>
      <c r="DL434" s="24" t="n"/>
      <c r="DM434" s="24" t="n"/>
      <c r="DN434" s="24" t="n"/>
      <c r="DO434" s="24" t="n"/>
      <c r="DP434" s="24" t="n"/>
      <c r="DQ434" s="24" t="inlineStr">
        <is>
          <t>{"artifact_hash": "1d168f11d221cd3c", "event_id": "401860887", "event_start_utc": "2026-09-20T02:00Z", "features": {"altitude_fatigue_penalty": 0.0, "away_team": "James Madison Dukes", "efficiency_gap": -0.216, "elo_away": 1774.4, "elo_home": 1570.9, "elo_home_win_prob": 0.3106, "event_id": "401860887", "game_start_utc": "2026-09-20T02:00Z", "home_field_advantage_points": 2.8, "home_team": "San Diego State Aztecs", "is_dome": false, "is_fbs_vs_fcs": false, "is_neutral_site": false, "projected_away_points": 29.4, "projected_home_points": 23.8, "projected_margin_home": -5.7, "projected_possessions": 12.4, "projected_total": 53.2, "stadium_elevation_ft": 50, "travel_distance_miles": 2168.0, "uncertainty": 0.18, "weather_total_adjustment": 0.0}, "historical_source_observation_times_verified": false, "inference_inputs": {"engine_source_sha256": "449ba2f0e86fa9c445730076a0e0bf100fb4914620be53c75c6f3bfe24298f3f", "mu_away": 29.4, "mu_home": 23.8,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233579119972443634471783870229922164300}, "uinteger": 0}, "spread_home_line": -2.5, "total_line": 46.5}, "market_type": "spread", "model_version": "cfb-spread-v1", "observed_at_utc": "2026-09-19T22:46:25.988423+00:00", "probabilities": {"away": 0.666667, "home": 0.333333, "push": 0.0}, "replay_scope": "Full precision score means, exact engine parameters and original RNG state; upstream feature construction not certified.", "schema": "cfb-joint-replay-v1", "snapshot_hash": "549b44aad0ebe00268f614441babd5cc4a0a923bf074b54cbe378e4d1affaf8b", "sport": "NCAAF"}</t>
        </is>
      </c>
    </row>
    <row r="435" ht="36" customHeight="1">
      <c r="A435" s="24" t="inlineStr">
        <is>
          <t>f1f90424aff349b0</t>
        </is>
      </c>
      <c r="B435" s="24" t="inlineStr">
        <is>
          <t>2026-09-19T22:46:25.988423Z</t>
        </is>
      </c>
      <c r="C435" s="24" t="inlineStr">
        <is>
          <t>2026-09-20T02:00Z</t>
        </is>
      </c>
      <c r="D435" s="24" t="inlineStr">
        <is>
          <t>401860887</t>
        </is>
      </c>
      <c r="E435" s="24" t="inlineStr">
        <is>
          <t>NCAAF</t>
        </is>
      </c>
      <c r="F435" s="24" t="inlineStr">
        <is>
          <t>James Madison Dukes</t>
        </is>
      </c>
      <c r="G435" s="24" t="inlineStr">
        <is>
          <t>San Diego State Aztecs</t>
        </is>
      </c>
      <c r="H435" s="24" t="inlineStr">
        <is>
          <t>total</t>
        </is>
      </c>
      <c r="I435" s="24" t="inlineStr">
        <is>
          <t>over</t>
        </is>
      </c>
      <c r="J435" s="25" t="n">
        <v>46.5</v>
      </c>
      <c r="K435" s="24" t="inlineStr">
        <is>
          <t>espn_consensus</t>
        </is>
      </c>
      <c r="L435" s="26" t="n">
        <v>-110</v>
      </c>
      <c r="M435" s="27" t="n">
        <v>1.909091</v>
      </c>
      <c r="N435" s="28" t="n">
        <v>0.52381</v>
      </c>
      <c r="O435" s="28" t="n">
        <v>0.5726</v>
      </c>
      <c r="P435" s="28" t="n">
        <v>0.18</v>
      </c>
      <c r="Q435" s="28" t="n">
        <v>0.04879</v>
      </c>
      <c r="R435" s="26" t="n">
        <v>0</v>
      </c>
      <c r="S435" s="29" t="n">
        <v>1</v>
      </c>
      <c r="T435" s="24" t="inlineStr">
        <is>
          <t>cfb-total-v1</t>
        </is>
      </c>
      <c r="U435" s="24" t="inlineStr">
        <is>
          <t>settled</t>
        </is>
      </c>
      <c r="V435" s="24" t="inlineStr">
        <is>
          <t>loss</t>
        </is>
      </c>
      <c r="W435" s="26" t="n">
        <v>26</v>
      </c>
      <c r="X435" s="26" t="n">
        <v>13</v>
      </c>
      <c r="Y435" s="25" t="n"/>
      <c r="Z435" s="26" t="n"/>
      <c r="AA435" s="28" t="n"/>
      <c r="AB435" s="28" t="n"/>
      <c r="AC435" s="30" t="n">
        <v>-1</v>
      </c>
      <c r="AD435" s="24" t="inlineStr">
        <is>
          <t>2026-09-20T10:00:22.915423Z</t>
        </is>
      </c>
      <c r="AE435" s="31" t="inlineStr">
        <is>
          <t>Projected total 53.2 pts (Weather adj: +0.0 pts). Total line 46.5 -&gt; P(Over)=0.573, P(Under)=0.427, P(Push)=0.000.</t>
        </is>
      </c>
      <c r="AF435" s="31" t="inlineStr">
        <is>
          <t>College football model; multi-market (moneyline, spread, total).</t>
        </is>
      </c>
      <c r="AG435" s="24" t="inlineStr">
        <is>
          <t>review_required</t>
        </is>
      </c>
      <c r="AH435" s="24" t="n"/>
      <c r="AI435" s="31" t="n"/>
      <c r="AJ435" s="31" t="n"/>
      <c r="AK435" s="24" t="inlineStr">
        <is>
          <t>model_qualified</t>
        </is>
      </c>
      <c r="AL435" s="26" t="n">
        <v>4</v>
      </c>
      <c r="AM435" s="24" t="inlineStr">
        <is>
          <t>QUALIFIED_SHADOW_CALL</t>
        </is>
      </c>
      <c r="AN435" s="24" t="inlineStr">
        <is>
          <t>CALL</t>
        </is>
      </c>
      <c r="AO435" s="24" t="inlineStr">
        <is>
          <t>QUALIFIED</t>
        </is>
      </c>
      <c r="AP435" s="24" t="inlineStr">
        <is>
          <t>James Madison Dukes</t>
        </is>
      </c>
      <c r="AQ435" s="24" t="inlineStr">
        <is>
          <t>James Madison Dukes</t>
        </is>
      </c>
      <c r="AR435" s="24" t="inlineStr">
        <is>
          <t>James Madison Dukes</t>
        </is>
      </c>
      <c r="AS435" s="24" t="inlineStr">
        <is>
          <t>San Diego State Aztecs</t>
        </is>
      </c>
      <c r="AT435" s="24" t="inlineStr">
        <is>
          <t>San Diego State Aztecs</t>
        </is>
      </c>
      <c r="AU435" s="24" t="inlineStr">
        <is>
          <t>San Diego State Aztecs</t>
        </is>
      </c>
      <c r="AV435" s="24" t="n"/>
      <c r="AW435" s="24" t="n"/>
      <c r="AX435" s="24" t="inlineStr">
        <is>
          <t>statistical_model</t>
        </is>
      </c>
      <c r="AY435" s="24" t="n"/>
      <c r="AZ435" s="24" t="inlineStr">
        <is>
          <t>shadow_qualified</t>
        </is>
      </c>
      <c r="BA435" s="24" t="inlineStr">
        <is>
          <t>1d168f11d221cd3c</t>
        </is>
      </c>
      <c r="BB435" s="24" t="inlineStr">
        <is>
          <t>cfb_key_number_engine</t>
        </is>
      </c>
      <c r="BC435" s="24" t="inlineStr">
        <is>
          <t>cfb-total-v1</t>
        </is>
      </c>
      <c r="BD435" s="24" t="inlineStr">
        <is>
          <t>1d168f11d221cd3c</t>
        </is>
      </c>
      <c r="BE435" s="24" t="inlineStr">
        <is>
          <t>cfb-v1</t>
        </is>
      </c>
      <c r="BF435" s="24" t="inlineStr">
        <is>
          <t>1</t>
        </is>
      </c>
      <c r="BG435" s="24" t="inlineStr">
        <is>
          <t>1d168f11d221cd3c</t>
        </is>
      </c>
      <c r="BH435" s="24" t="inlineStr">
        <is>
          <t>2026-09-19T22:46:25.988423+00:00</t>
        </is>
      </c>
      <c r="BI435" s="24" t="inlineStr">
        <is>
          <t>["same_event","same_team_same_day","same_league_same_day"]</t>
        </is>
      </c>
      <c r="BJ435" s="25" t="n">
        <v>46.5</v>
      </c>
      <c r="BK435" s="26" t="n">
        <v>-110</v>
      </c>
      <c r="BL435" s="27" t="n">
        <v>1.909091</v>
      </c>
      <c r="BM435" s="28" t="n">
        <v>0.52381</v>
      </c>
      <c r="BN435" s="28" t="n"/>
      <c r="BO435" s="28" t="n"/>
      <c r="BP435" s="25" t="n"/>
      <c r="BQ435" s="27" t="n"/>
      <c r="BR435" s="28" t="n"/>
      <c r="BS435" s="28" t="n"/>
      <c r="BT435" s="28" t="n"/>
      <c r="BU435" s="25" t="n"/>
      <c r="BV435" s="29" t="n"/>
      <c r="BW435" s="24" t="n"/>
      <c r="BX435" s="30" t="n"/>
      <c r="BY435" s="27" t="n"/>
      <c r="BZ435" s="24" t="n"/>
      <c r="CA435" s="31" t="n"/>
      <c r="CB435" s="24" t="n"/>
      <c r="CC435" s="24" t="n"/>
      <c r="CD435" s="24" t="n"/>
      <c r="CE435" s="24" t="n"/>
      <c r="CF435" s="24" t="n"/>
      <c r="CG435" s="24" t="n"/>
      <c r="CH435" s="24" t="n"/>
      <c r="CI435" s="24" t="n"/>
      <c r="CJ435" s="24" t="n"/>
      <c r="CK435" s="24" t="n"/>
      <c r="CL435" s="24" t="n"/>
      <c r="CM435" s="24" t="n"/>
      <c r="CN435" s="24" t="n"/>
      <c r="CO435" s="24" t="n"/>
      <c r="CP435" s="24" t="n"/>
      <c r="CQ435" s="24" t="n"/>
      <c r="CR435" s="24" t="n"/>
      <c r="CS435" s="24" t="inlineStr">
        <is>
          <t>True</t>
        </is>
      </c>
      <c r="CT435" s="24" t="n"/>
      <c r="CU435" s="24" t="n"/>
      <c r="CV435" s="24" t="n"/>
      <c r="CW435" s="24" t="n"/>
      <c r="CX435" s="24" t="n"/>
      <c r="CY435" s="24" t="n"/>
      <c r="CZ435" s="24" t="n"/>
      <c r="DA435" s="24" t="n"/>
      <c r="DB435" s="24" t="n"/>
      <c r="DC435" s="24" t="n"/>
      <c r="DD435" s="24" t="n"/>
      <c r="DE435" s="24" t="n"/>
      <c r="DF435" s="24" t="n"/>
      <c r="DG435" s="24" t="n"/>
      <c r="DH435" s="24" t="n"/>
      <c r="DI435" s="24" t="n"/>
      <c r="DJ435" s="24" t="inlineStr">
        <is>
          <t>0.52381</t>
        </is>
      </c>
      <c r="DK435" s="24" t="n"/>
      <c r="DL435" s="24" t="n"/>
      <c r="DM435" s="24" t="n"/>
      <c r="DN435" s="24" t="n"/>
      <c r="DO435" s="24" t="n"/>
      <c r="DP435" s="24" t="n"/>
      <c r="DQ435" s="24" t="inlineStr">
        <is>
          <t>{"artifact_hash": "1d168f11d221cd3c", "event_id": "401860887", "event_start_utc": "2026-09-20T02:00Z", "features": {"altitude_fatigue_penalty": 0.0, "away_team": "James Madison Dukes", "efficiency_gap": -0.216, "elo_away": 1774.4, "elo_home": 1570.9, "elo_home_win_prob": 0.3106, "event_id": "401860887", "game_start_utc": "2026-09-20T02:00Z", "home_field_advantage_points": 2.8, "home_team": "San Diego State Aztecs", "is_dome": false, "is_fbs_vs_fcs": false, "is_neutral_site": false, "projected_away_points": 29.4, "projected_home_points": 23.8, "projected_margin_home": -5.7, "projected_possessions": 12.4, "projected_total": 53.2, "stadium_elevation_ft": 50, "travel_distance_miles": 2168.0, "uncertainty": 0.18, "weather_total_adjustment": 0.0}, "historical_source_observation_times_verified": false, "inference_inputs": {"engine_source_sha256": "449ba2f0e86fa9c445730076a0e0bf100fb4914620be53c75c6f3bfe24298f3f", "mu_away": 29.4, "mu_home": 23.8,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233579119972443634471783870229922164300}, "uinteger": 0}, "spread_home_line": -2.5, "total_line": 46.5}, "market_type": "total", "model_version": "cfb-total-v1", "observed_at_utc": "2026-09-19T22:46:25.988423+00:00", "probabilities": {"over": 0.5726, "push": 0.0, "under": 0.4274}, "replay_scope": "Full precision score means, exact engine parameters and original RNG state; upstream feature construction not certified.", "schema": "cfb-joint-replay-v1", "snapshot_hash": "235340799c265e5594e0234a16f515b513b83268ba3ed2456a06b5daebaf0469", "sport": "NCAAF"}</t>
        </is>
      </c>
    </row>
    <row r="436" ht="36" customHeight="1">
      <c r="A436" s="24" t="inlineStr">
        <is>
          <t>d29eca67d8cf46d7</t>
        </is>
      </c>
      <c r="B436" s="24" t="inlineStr">
        <is>
          <t>2026-09-19T22:46:25.988423Z</t>
        </is>
      </c>
      <c r="C436" s="24" t="inlineStr">
        <is>
          <t>2026-09-20T02:30Z</t>
        </is>
      </c>
      <c r="D436" s="24" t="inlineStr">
        <is>
          <t>401856793</t>
        </is>
      </c>
      <c r="E436" s="24" t="inlineStr">
        <is>
          <t>NCAAF</t>
        </is>
      </c>
      <c r="F436" s="24" t="inlineStr">
        <is>
          <t>Northern Illinois Huskies</t>
        </is>
      </c>
      <c r="G436" s="24" t="inlineStr">
        <is>
          <t>Arizona Wildcats</t>
        </is>
      </c>
      <c r="H436" s="24" t="inlineStr">
        <is>
          <t>moneyline</t>
        </is>
      </c>
      <c r="I436" s="24" t="inlineStr">
        <is>
          <t>home</t>
        </is>
      </c>
      <c r="J436" s="25" t="n"/>
      <c r="K436" s="24" t="inlineStr">
        <is>
          <t>espn_consensus</t>
        </is>
      </c>
      <c r="L436" s="26" t="n">
        <v>-6500</v>
      </c>
      <c r="M436" s="27" t="n">
        <v>1.015385</v>
      </c>
      <c r="N436" s="28" t="n">
        <v>0.9848479999999999</v>
      </c>
      <c r="O436" s="28" t="n">
        <v>0.806837</v>
      </c>
      <c r="P436" s="28" t="n">
        <v>0.18</v>
      </c>
      <c r="Q436" s="28" t="n">
        <v>-0.178011</v>
      </c>
      <c r="R436" s="26" t="n">
        <v>0</v>
      </c>
      <c r="S436" s="29" t="n">
        <v>1</v>
      </c>
      <c r="T436" s="24" t="inlineStr">
        <is>
          <t>college-football-v1</t>
        </is>
      </c>
      <c r="U436" s="24" t="inlineStr">
        <is>
          <t>settled</t>
        </is>
      </c>
      <c r="V436" s="24" t="inlineStr">
        <is>
          <t>win</t>
        </is>
      </c>
      <c r="W436" s="26" t="n">
        <v>17</v>
      </c>
      <c r="X436" s="26" t="n">
        <v>42</v>
      </c>
      <c r="Y436" s="25" t="n"/>
      <c r="Z436" s="26" t="n"/>
      <c r="AA436" s="28" t="n"/>
      <c r="AB436" s="28" t="n"/>
      <c r="AC436" s="30" t="n">
        <v>0.0154</v>
      </c>
      <c r="AD436" s="24" t="inlineStr">
        <is>
          <t>2026-09-20T10:00:23.397489Z</t>
        </is>
      </c>
      <c r="AE436" s="31" t="inlineStr">
        <is>
          <t>CFB Joint Model (negative_binomial): proj score Northern Illinois Huskies 18.1 @ Arizona Wildcats 34.6 (Margin +16.5). Possessions: 12.4, HFA: +2.8 pts.</t>
        </is>
      </c>
      <c r="AF436" s="31" t="inlineStr">
        <is>
          <t>College football model; multi-market (moneyline, spread, total).</t>
        </is>
      </c>
      <c r="AG436" s="24" t="inlineStr">
        <is>
          <t>not_applicable</t>
        </is>
      </c>
      <c r="AH436" s="24" t="n"/>
      <c r="AI436" s="31" t="n"/>
      <c r="AJ436" s="31" t="n"/>
      <c r="AK436" s="24" t="inlineStr">
        <is>
          <t>paper_call</t>
        </is>
      </c>
      <c r="AL436" s="26" t="n">
        <v>4</v>
      </c>
      <c r="AM436" s="24" t="inlineStr">
        <is>
          <t>RESEARCH_OBSERVATION</t>
        </is>
      </c>
      <c r="AN436" s="24" t="inlineStr">
        <is>
          <t>CALL</t>
        </is>
      </c>
      <c r="AO436" s="24" t="inlineStr">
        <is>
          <t>PAPER_CALL_LOW_EDGE</t>
        </is>
      </c>
      <c r="AP436" s="24" t="inlineStr">
        <is>
          <t>Northern Illinois Huskies</t>
        </is>
      </c>
      <c r="AQ436" s="24" t="inlineStr">
        <is>
          <t>Northern Illinois Huskies</t>
        </is>
      </c>
      <c r="AR436" s="24" t="inlineStr">
        <is>
          <t>Northern Illinois Huskies</t>
        </is>
      </c>
      <c r="AS436" s="24" t="inlineStr">
        <is>
          <t>Arizona Wildcats</t>
        </is>
      </c>
      <c r="AT436" s="24" t="inlineStr">
        <is>
          <t>Arizona Wildcats</t>
        </is>
      </c>
      <c r="AU436" s="24" t="inlineStr">
        <is>
          <t>Arizona Wildcats</t>
        </is>
      </c>
      <c r="AV436" s="24" t="n"/>
      <c r="AW436" s="24" t="n"/>
      <c r="AX436" s="24" t="inlineStr">
        <is>
          <t>statistical_model</t>
        </is>
      </c>
      <c r="AY436" s="24" t="n"/>
      <c r="AZ436" s="24" t="inlineStr">
        <is>
          <t>shadow_qualified</t>
        </is>
      </c>
      <c r="BA436" s="24" t="inlineStr">
        <is>
          <t>1d168f11d221cd3c</t>
        </is>
      </c>
      <c r="BB436" s="24" t="inlineStr">
        <is>
          <t>cfb_key_number_engine</t>
        </is>
      </c>
      <c r="BC436" s="24" t="inlineStr">
        <is>
          <t>college-football-v1</t>
        </is>
      </c>
      <c r="BD436" s="24" t="inlineStr">
        <is>
          <t>1d168f11d221cd3c</t>
        </is>
      </c>
      <c r="BE436" s="24" t="inlineStr">
        <is>
          <t>cfb-v1</t>
        </is>
      </c>
      <c r="BF436" s="24" t="inlineStr">
        <is>
          <t>1</t>
        </is>
      </c>
      <c r="BG436" s="24" t="inlineStr">
        <is>
          <t>1d168f11d221cd3c</t>
        </is>
      </c>
      <c r="BH436" s="24" t="inlineStr">
        <is>
          <t>2026-09-19T22:46:25.988423+00:00</t>
        </is>
      </c>
      <c r="BI436" s="24" t="inlineStr">
        <is>
          <t>["same_event","same_team_same_day","same_league_same_day"]</t>
        </is>
      </c>
      <c r="BJ436" s="25" t="n"/>
      <c r="BK436" s="26" t="n">
        <v>-6500</v>
      </c>
      <c r="BL436" s="27" t="n">
        <v>1.015385</v>
      </c>
      <c r="BM436" s="28" t="n">
        <v>0.9848479999999999</v>
      </c>
      <c r="BN436" s="28" t="n"/>
      <c r="BO436" s="28" t="n"/>
      <c r="BP436" s="25" t="n"/>
      <c r="BQ436" s="27" t="n"/>
      <c r="BR436" s="28" t="n"/>
      <c r="BS436" s="28" t="n"/>
      <c r="BT436" s="28" t="n"/>
      <c r="BU436" s="25" t="n"/>
      <c r="BV436" s="29" t="n"/>
      <c r="BW436" s="24" t="n"/>
      <c r="BX436" s="30" t="n">
        <v>1</v>
      </c>
      <c r="BY436" s="27" t="n">
        <v>0.015385</v>
      </c>
      <c r="BZ436" s="24" t="inlineStr">
        <is>
          <t>2026-09-20T10:00:23.397489Z</t>
        </is>
      </c>
      <c r="CA436" s="31" t="inlineStr">
        <is>
          <t>fixed one-unit hypothetical scoring; no real exposure or execution</t>
        </is>
      </c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inlineStr">
        <is>
          <t>False</t>
        </is>
      </c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n"/>
      <c r="DE436" s="24" t="n"/>
      <c r="DF436" s="24" t="n"/>
      <c r="DG436" s="24" t="n"/>
      <c r="DH436" s="24" t="n"/>
      <c r="DI436" s="24" t="n"/>
      <c r="DJ436" s="24" t="inlineStr">
        <is>
          <t>0.984848</t>
        </is>
      </c>
      <c r="DK436" s="24" t="n"/>
      <c r="DL436" s="24" t="n"/>
      <c r="DM436" s="24" t="n"/>
      <c r="DN436" s="24" t="n"/>
      <c r="DO436" s="24" t="n"/>
      <c r="DP436" s="24" t="n"/>
      <c r="DQ436" s="24" t="inlineStr">
        <is>
          <t>{"artifact_hash": "1d168f11d221cd3c", "event_id": "401856793", "event_start_utc": "2026-09-20T02:30Z", "features": {"altitude_fatigue_penalty": 0.0, "away_team": "Northern Illinois Huskies", "efficiency_gap": 2.268, "elo_away": 1300.6, "elo_home": 1640.2, "elo_home_win_prob": 0.9112, "event_id": "401856793", "game_start_utc": "2026-09-20T02:30Z", "home_field_advantage_points": 2.8, "home_team": "Arizona Wildcats", "is_dome": false, "is_fbs_vs_fcs": false, "is_neutral_site": false, "projected_away_points": 18.1, "projected_home_points": 34.6, "projected_margin_home": 16.5, "projected_possessions": 12.4, "projected_total": 52.7, "stadium_elevation_ft": 2430, "travel_distance_miles": 1388.0, "uncertainty": 0.18, "weather_total_adjustment": 0.0}, "historical_source_observation_times_verified": false, "inference_inputs": {"engine_source_sha256": "449ba2f0e86fa9c445730076a0e0bf100fb4914620be53c75c6f3bfe24298f3f", "mu_away": 18.1, "mu_home": 34.6,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247427188702607999345030039442371870645}, "uinteger": 0}, "spread_home_line": -33.5, "total_line": 50.5}, "market_type": "moneyline", "model_version": "college-football-v1", "observed_at_utc": "2026-09-19T22:46:25.988423+00:00", "probabilities": {"away": 0.193163, "home": 0.806837}, "replay_scope": "Full precision score means, exact engine parameters and original RNG state; upstream feature construction not certified.", "schema": "cfb-joint-replay-v1", "snapshot_hash": "4358e4bdd5822b3b3ac3a72442c94876675fdc679f250b0077999011bad80e88", "sport": "NCAAF"}</t>
        </is>
      </c>
    </row>
    <row r="437" ht="36" customHeight="1">
      <c r="A437" s="24" t="inlineStr">
        <is>
          <t>359f81212ced4706</t>
        </is>
      </c>
      <c r="B437" s="24" t="inlineStr">
        <is>
          <t>2026-09-19T22:46:25.988423Z</t>
        </is>
      </c>
      <c r="C437" s="24" t="inlineStr">
        <is>
          <t>2026-09-20T02:30Z</t>
        </is>
      </c>
      <c r="D437" s="24" t="inlineStr">
        <is>
          <t>401856793</t>
        </is>
      </c>
      <c r="E437" s="24" t="inlineStr">
        <is>
          <t>NCAAF</t>
        </is>
      </c>
      <c r="F437" s="24" t="inlineStr">
        <is>
          <t>Northern Illinois Huskies</t>
        </is>
      </c>
      <c r="G437" s="24" t="inlineStr">
        <is>
          <t>Arizona Wildcats</t>
        </is>
      </c>
      <c r="H437" s="24" t="inlineStr">
        <is>
          <t>spread</t>
        </is>
      </c>
      <c r="I437" s="24" t="inlineStr">
        <is>
          <t>away</t>
        </is>
      </c>
      <c r="J437" s="25" t="n">
        <v>33.5</v>
      </c>
      <c r="K437" s="24" t="inlineStr">
        <is>
          <t>espn_consensus</t>
        </is>
      </c>
      <c r="L437" s="26" t="n">
        <v>-102</v>
      </c>
      <c r="M437" s="27" t="n">
        <v>1.980392</v>
      </c>
      <c r="N437" s="28" t="n">
        <v>0.50495</v>
      </c>
      <c r="O437" s="28" t="n">
        <v>0.819067</v>
      </c>
      <c r="P437" s="28" t="n">
        <v>0.18</v>
      </c>
      <c r="Q437" s="28" t="n">
        <v>0.314117</v>
      </c>
      <c r="R437" s="26" t="n">
        <v>99</v>
      </c>
      <c r="S437" s="29" t="n">
        <v>2</v>
      </c>
      <c r="T437" s="24" t="inlineStr">
        <is>
          <t>cfb-spread-v1</t>
        </is>
      </c>
      <c r="U437" s="24" t="inlineStr">
        <is>
          <t>settled</t>
        </is>
      </c>
      <c r="V437" s="24" t="inlineStr">
        <is>
          <t>win</t>
        </is>
      </c>
      <c r="W437" s="26" t="n">
        <v>17</v>
      </c>
      <c r="X437" s="26" t="n">
        <v>42</v>
      </c>
      <c r="Y437" s="25" t="n"/>
      <c r="Z437" s="26" t="n"/>
      <c r="AA437" s="28" t="n"/>
      <c r="AB437" s="28" t="n"/>
      <c r="AC437" s="30" t="n">
        <v>1.9608</v>
      </c>
      <c r="AD437" s="24" t="inlineStr">
        <is>
          <t>2026-09-20T10:00:23.818678Z</t>
        </is>
      </c>
      <c r="AE437" s="31" t="inlineStr">
        <is>
          <t>Projected home margin +16.5 pts. Spread: Home -33.5 / Away +33.5 -&gt; P(Away cover)=0.819, P(Home cover)=0.181, P(Push)=0.000.</t>
        </is>
      </c>
      <c r="AF437" s="31" t="inlineStr">
        <is>
          <t>College football model; multi-market (moneyline, spread, total).</t>
        </is>
      </c>
      <c r="AG437" s="24" t="inlineStr">
        <is>
          <t>not_applicable</t>
        </is>
      </c>
      <c r="AH437" s="24" t="n"/>
      <c r="AI437" s="31" t="n"/>
      <c r="AJ437" s="31" t="n"/>
      <c r="AK437" s="24" t="inlineStr">
        <is>
          <t>model_qualified</t>
        </is>
      </c>
      <c r="AL437" s="26" t="n">
        <v>4</v>
      </c>
      <c r="AM437" s="24" t="inlineStr">
        <is>
          <t>QUALIFIED_SHADOW_CALL</t>
        </is>
      </c>
      <c r="AN437" s="24" t="inlineStr">
        <is>
          <t>CALL</t>
        </is>
      </c>
      <c r="AO437" s="24" t="inlineStr">
        <is>
          <t>QUALIFIED</t>
        </is>
      </c>
      <c r="AP437" s="24" t="inlineStr">
        <is>
          <t>Northern Illinois Huskies</t>
        </is>
      </c>
      <c r="AQ437" s="24" t="inlineStr">
        <is>
          <t>Northern Illinois Huskies</t>
        </is>
      </c>
      <c r="AR437" s="24" t="inlineStr">
        <is>
          <t>Northern Illinois Huskies</t>
        </is>
      </c>
      <c r="AS437" s="24" t="inlineStr">
        <is>
          <t>Arizona Wildcats</t>
        </is>
      </c>
      <c r="AT437" s="24" t="inlineStr">
        <is>
          <t>Arizona Wildcats</t>
        </is>
      </c>
      <c r="AU437" s="24" t="inlineStr">
        <is>
          <t>Arizona Wildcats</t>
        </is>
      </c>
      <c r="AV437" s="24" t="n"/>
      <c r="AW437" s="24" t="n"/>
      <c r="AX437" s="24" t="inlineStr">
        <is>
          <t>statistical_model</t>
        </is>
      </c>
      <c r="AY437" s="24" t="n"/>
      <c r="AZ437" s="24" t="inlineStr">
        <is>
          <t>shadow_qualified</t>
        </is>
      </c>
      <c r="BA437" s="24" t="inlineStr">
        <is>
          <t>1d168f11d221cd3c</t>
        </is>
      </c>
      <c r="BB437" s="24" t="inlineStr">
        <is>
          <t>cfb_key_number_engine</t>
        </is>
      </c>
      <c r="BC437" s="24" t="inlineStr">
        <is>
          <t>cfb-spread-v1</t>
        </is>
      </c>
      <c r="BD437" s="24" t="inlineStr">
        <is>
          <t>1d168f11d221cd3c</t>
        </is>
      </c>
      <c r="BE437" s="24" t="inlineStr">
        <is>
          <t>cfb-v1</t>
        </is>
      </c>
      <c r="BF437" s="24" t="inlineStr">
        <is>
          <t>1</t>
        </is>
      </c>
      <c r="BG437" s="24" t="inlineStr">
        <is>
          <t>1d168f11d221cd3c</t>
        </is>
      </c>
      <c r="BH437" s="24" t="inlineStr">
        <is>
          <t>2026-09-19T22:46:25.988423+00:00</t>
        </is>
      </c>
      <c r="BI437" s="24" t="inlineStr">
        <is>
          <t>["same_event","same_team_same_day","same_league_same_day"]</t>
        </is>
      </c>
      <c r="BJ437" s="25" t="n">
        <v>33.5</v>
      </c>
      <c r="BK437" s="26" t="n">
        <v>-102</v>
      </c>
      <c r="BL437" s="27" t="n">
        <v>1.980392</v>
      </c>
      <c r="BM437" s="28" t="n">
        <v>0.50495</v>
      </c>
      <c r="BN437" s="28" t="n"/>
      <c r="BO437" s="28" t="n"/>
      <c r="BP437" s="25" t="n"/>
      <c r="BQ437" s="27" t="n"/>
      <c r="BR437" s="28" t="n"/>
      <c r="BS437" s="28" t="n"/>
      <c r="BT437" s="28" t="n"/>
      <c r="BU437" s="25" t="n"/>
      <c r="BV437" s="29" t="n"/>
      <c r="BW437" s="24" t="n"/>
      <c r="BX437" s="30" t="n"/>
      <c r="BY437" s="27" t="n"/>
      <c r="BZ437" s="24" t="n"/>
      <c r="CA437" s="31" t="n"/>
      <c r="CB437" s="24" t="n"/>
      <c r="CC437" s="24" t="n"/>
      <c r="CD437" s="24" t="n"/>
      <c r="CE437" s="24" t="n"/>
      <c r="CF437" s="24" t="n"/>
      <c r="CG437" s="24" t="n"/>
      <c r="CH437" s="24" t="n"/>
      <c r="CI437" s="24" t="n"/>
      <c r="CJ437" s="24" t="n"/>
      <c r="CK437" s="24" t="n"/>
      <c r="CL437" s="24" t="n"/>
      <c r="CM437" s="24" t="n"/>
      <c r="CN437" s="24" t="n"/>
      <c r="CO437" s="24" t="n"/>
      <c r="CP437" s="24" t="n"/>
      <c r="CQ437" s="24" t="n"/>
      <c r="CR437" s="24" t="n"/>
      <c r="CS437" s="24" t="inlineStr">
        <is>
          <t>True</t>
        </is>
      </c>
      <c r="CT437" s="24" t="n"/>
      <c r="CU437" s="24" t="n"/>
      <c r="CV437" s="24" t="n"/>
      <c r="CW437" s="24" t="n"/>
      <c r="CX437" s="24" t="n"/>
      <c r="CY437" s="24" t="n"/>
      <c r="CZ437" s="24" t="n"/>
      <c r="DA437" s="24" t="n"/>
      <c r="DB437" s="24" t="n"/>
      <c r="DC437" s="24" t="n"/>
      <c r="DD437" s="24" t="n"/>
      <c r="DE437" s="24" t="n"/>
      <c r="DF437" s="24" t="n"/>
      <c r="DG437" s="24" t="n"/>
      <c r="DH437" s="24" t="n"/>
      <c r="DI437" s="24" t="n"/>
      <c r="DJ437" s="24" t="inlineStr">
        <is>
          <t>0.50495</t>
        </is>
      </c>
      <c r="DK437" s="24" t="n"/>
      <c r="DL437" s="24" t="n"/>
      <c r="DM437" s="24" t="n"/>
      <c r="DN437" s="24" t="n"/>
      <c r="DO437" s="24" t="n"/>
      <c r="DP437" s="24" t="n"/>
      <c r="DQ437" s="24" t="inlineStr">
        <is>
          <t>{"artifact_hash": "1d168f11d221cd3c", "event_id": "401856793", "event_start_utc": "2026-09-20T02:30Z", "features": {"altitude_fatigue_penalty": 0.0, "away_team": "Northern Illinois Huskies", "efficiency_gap": 2.268, "elo_away": 1300.6, "elo_home": 1640.2, "elo_home_win_prob": 0.9112, "event_id": "401856793", "game_start_utc": "2026-09-20T02:30Z", "home_field_advantage_points": 2.8, "home_team": "Arizona Wildcats", "is_dome": false, "is_fbs_vs_fcs": false, "is_neutral_site": false, "projected_away_points": 18.1, "projected_home_points": 34.6, "projected_margin_home": 16.5, "projected_possessions": 12.4, "projected_total": 52.7, "stadium_elevation_ft": 2430, "travel_distance_miles": 1388.0, "uncertainty": 0.18, "weather_total_adjustment": 0.0}, "historical_source_observation_times_verified": false, "inference_inputs": {"engine_source_sha256": "449ba2f0e86fa9c445730076a0e0bf100fb4914620be53c75c6f3bfe24298f3f", "mu_away": 18.1, "mu_home": 34.6,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247427188702607999345030039442371870645}, "uinteger": 0}, "spread_home_line": -33.5, "total_line": 50.5}, "market_type": "spread", "model_version": "cfb-spread-v1", "observed_at_utc": "2026-09-19T22:46:25.988423+00:00", "probabilities": {"away": 0.819067, "home": 0.180933, "push": 0.0}, "replay_scope": "Full precision score means, exact engine parameters and original RNG state; upstream feature construction not certified.", "schema": "cfb-joint-replay-v1", "snapshot_hash": "7e0948a5443da2654ceccd7728e9164666dab3b39e3127b8eec1b89317494337", "sport": "NCAAF"}</t>
        </is>
      </c>
    </row>
    <row r="438" ht="36" customHeight="1">
      <c r="A438" s="24" t="inlineStr">
        <is>
          <t>6da285016bb846ae</t>
        </is>
      </c>
      <c r="B438" s="24" t="inlineStr">
        <is>
          <t>2026-09-19T22:46:25.988423Z</t>
        </is>
      </c>
      <c r="C438" s="24" t="inlineStr">
        <is>
          <t>2026-09-20T02:30Z</t>
        </is>
      </c>
      <c r="D438" s="24" t="inlineStr">
        <is>
          <t>401856793</t>
        </is>
      </c>
      <c r="E438" s="24" t="inlineStr">
        <is>
          <t>NCAAF</t>
        </is>
      </c>
      <c r="F438" s="24" t="inlineStr">
        <is>
          <t>Northern Illinois Huskies</t>
        </is>
      </c>
      <c r="G438" s="24" t="inlineStr">
        <is>
          <t>Arizona Wildcats</t>
        </is>
      </c>
      <c r="H438" s="24" t="inlineStr">
        <is>
          <t>total</t>
        </is>
      </c>
      <c r="I438" s="24" t="inlineStr">
        <is>
          <t>over</t>
        </is>
      </c>
      <c r="J438" s="25" t="n">
        <v>50.5</v>
      </c>
      <c r="K438" s="24" t="inlineStr">
        <is>
          <t>espn_consensus</t>
        </is>
      </c>
      <c r="L438" s="26" t="n">
        <v>-112</v>
      </c>
      <c r="M438" s="27" t="n">
        <v>1.892857</v>
      </c>
      <c r="N438" s="28" t="n">
        <v>0.528302</v>
      </c>
      <c r="O438" s="28" t="n">
        <v>0.5102</v>
      </c>
      <c r="P438" s="28" t="n">
        <v>0.18</v>
      </c>
      <c r="Q438" s="28" t="n">
        <v>-0.018102</v>
      </c>
      <c r="R438" s="26" t="n">
        <v>0</v>
      </c>
      <c r="S438" s="29" t="n">
        <v>1</v>
      </c>
      <c r="T438" s="24" t="inlineStr">
        <is>
          <t>cfb-total-v1</t>
        </is>
      </c>
      <c r="U438" s="24" t="inlineStr">
        <is>
          <t>settled</t>
        </is>
      </c>
      <c r="V438" s="24" t="inlineStr">
        <is>
          <t>win</t>
        </is>
      </c>
      <c r="W438" s="26" t="n">
        <v>17</v>
      </c>
      <c r="X438" s="26" t="n">
        <v>42</v>
      </c>
      <c r="Y438" s="25" t="n"/>
      <c r="Z438" s="26" t="n"/>
      <c r="AA438" s="28" t="n"/>
      <c r="AB438" s="28" t="n"/>
      <c r="AC438" s="30" t="n">
        <v>0.8929</v>
      </c>
      <c r="AD438" s="24" t="inlineStr">
        <is>
          <t>2026-09-20T10:00:24.347636Z</t>
        </is>
      </c>
      <c r="AE438" s="31" t="inlineStr">
        <is>
          <t>Projected total 52.7 pts (Weather adj: +0.0 pts). Total line 50.5 -&gt; P(Over)=0.510, P(Under)=0.490, P(Push)=0.000.</t>
        </is>
      </c>
      <c r="AF438" s="31" t="inlineStr">
        <is>
          <t>College football model; multi-market (moneyline, spread, total).</t>
        </is>
      </c>
      <c r="AG438" s="24" t="inlineStr">
        <is>
          <t>not_applicable</t>
        </is>
      </c>
      <c r="AH438" s="24" t="n"/>
      <c r="AI438" s="31" t="n"/>
      <c r="AJ438" s="31" t="n"/>
      <c r="AK438" s="24" t="inlineStr">
        <is>
          <t>paper_call</t>
        </is>
      </c>
      <c r="AL438" s="26" t="n">
        <v>4</v>
      </c>
      <c r="AM438" s="24" t="inlineStr">
        <is>
          <t>RESEARCH_OBSERVATION</t>
        </is>
      </c>
      <c r="AN438" s="24" t="inlineStr">
        <is>
          <t>CALL</t>
        </is>
      </c>
      <c r="AO438" s="24" t="inlineStr">
        <is>
          <t>PAPER_CALL_LOW_EDGE</t>
        </is>
      </c>
      <c r="AP438" s="24" t="inlineStr">
        <is>
          <t>Northern Illinois Huskies</t>
        </is>
      </c>
      <c r="AQ438" s="24" t="inlineStr">
        <is>
          <t>Northern Illinois Huskies</t>
        </is>
      </c>
      <c r="AR438" s="24" t="inlineStr">
        <is>
          <t>Northern Illinois Huskies</t>
        </is>
      </c>
      <c r="AS438" s="24" t="inlineStr">
        <is>
          <t>Arizona Wildcats</t>
        </is>
      </c>
      <c r="AT438" s="24" t="inlineStr">
        <is>
          <t>Arizona Wildcats</t>
        </is>
      </c>
      <c r="AU438" s="24" t="inlineStr">
        <is>
          <t>Arizona Wildcats</t>
        </is>
      </c>
      <c r="AV438" s="24" t="n"/>
      <c r="AW438" s="24" t="n"/>
      <c r="AX438" s="24" t="inlineStr">
        <is>
          <t>statistical_model</t>
        </is>
      </c>
      <c r="AY438" s="24" t="n"/>
      <c r="AZ438" s="24" t="inlineStr">
        <is>
          <t>shadow_qualified</t>
        </is>
      </c>
      <c r="BA438" s="24" t="inlineStr">
        <is>
          <t>1d168f11d221cd3c</t>
        </is>
      </c>
      <c r="BB438" s="24" t="inlineStr">
        <is>
          <t>cfb_key_number_engine</t>
        </is>
      </c>
      <c r="BC438" s="24" t="inlineStr">
        <is>
          <t>cfb-total-v1</t>
        </is>
      </c>
      <c r="BD438" s="24" t="inlineStr">
        <is>
          <t>1d168f11d221cd3c</t>
        </is>
      </c>
      <c r="BE438" s="24" t="inlineStr">
        <is>
          <t>cfb-v1</t>
        </is>
      </c>
      <c r="BF438" s="24" t="inlineStr">
        <is>
          <t>1</t>
        </is>
      </c>
      <c r="BG438" s="24" t="inlineStr">
        <is>
          <t>1d168f11d221cd3c</t>
        </is>
      </c>
      <c r="BH438" s="24" t="inlineStr">
        <is>
          <t>2026-09-19T22:46:25.988423+00:00</t>
        </is>
      </c>
      <c r="BI438" s="24" t="inlineStr">
        <is>
          <t>["same_event","same_team_same_day","same_league_same_day"]</t>
        </is>
      </c>
      <c r="BJ438" s="25" t="n">
        <v>50.5</v>
      </c>
      <c r="BK438" s="26" t="n">
        <v>-112</v>
      </c>
      <c r="BL438" s="27" t="n">
        <v>1.892857</v>
      </c>
      <c r="BM438" s="28" t="n">
        <v>0.528302</v>
      </c>
      <c r="BN438" s="28" t="n"/>
      <c r="BO438" s="28" t="n"/>
      <c r="BP438" s="25" t="n"/>
      <c r="BQ438" s="27" t="n"/>
      <c r="BR438" s="28" t="n"/>
      <c r="BS438" s="28" t="n"/>
      <c r="BT438" s="28" t="n"/>
      <c r="BU438" s="25" t="n"/>
      <c r="BV438" s="29" t="n"/>
      <c r="BW438" s="24" t="n"/>
      <c r="BX438" s="30" t="n">
        <v>1</v>
      </c>
      <c r="BY438" s="27" t="n">
        <v>0.892857</v>
      </c>
      <c r="BZ438" s="24" t="inlineStr">
        <is>
          <t>2026-09-20T10:00:24.347636Z</t>
        </is>
      </c>
      <c r="CA438" s="31" t="inlineStr">
        <is>
          <t>fixed one-unit hypothetical scoring; no real exposure or execution</t>
        </is>
      </c>
      <c r="CB438" s="24" t="n"/>
      <c r="CC438" s="24" t="n"/>
      <c r="CD438" s="24" t="n"/>
      <c r="CE438" s="24" t="n"/>
      <c r="CF438" s="24" t="n"/>
      <c r="CG438" s="24" t="n"/>
      <c r="CH438" s="24" t="n"/>
      <c r="CI438" s="24" t="n"/>
      <c r="CJ438" s="24" t="n"/>
      <c r="CK438" s="24" t="n"/>
      <c r="CL438" s="24" t="n"/>
      <c r="CM438" s="24" t="n"/>
      <c r="CN438" s="24" t="n"/>
      <c r="CO438" s="24" t="n"/>
      <c r="CP438" s="24" t="n"/>
      <c r="CQ438" s="24" t="n"/>
      <c r="CR438" s="24" t="n"/>
      <c r="CS438" s="24" t="inlineStr">
        <is>
          <t>False</t>
        </is>
      </c>
      <c r="CT438" s="24" t="n"/>
      <c r="CU438" s="24" t="n"/>
      <c r="CV438" s="24" t="n"/>
      <c r="CW438" s="24" t="n"/>
      <c r="CX438" s="24" t="n"/>
      <c r="CY438" s="24" t="n"/>
      <c r="CZ438" s="24" t="n"/>
      <c r="DA438" s="24" t="n"/>
      <c r="DB438" s="24" t="n"/>
      <c r="DC438" s="24" t="n"/>
      <c r="DD438" s="24" t="n"/>
      <c r="DE438" s="24" t="n"/>
      <c r="DF438" s="24" t="n"/>
      <c r="DG438" s="24" t="n"/>
      <c r="DH438" s="24" t="n"/>
      <c r="DI438" s="24" t="n"/>
      <c r="DJ438" s="24" t="inlineStr">
        <is>
          <t>0.528302</t>
        </is>
      </c>
      <c r="DK438" s="24" t="n"/>
      <c r="DL438" s="24" t="n"/>
      <c r="DM438" s="24" t="n"/>
      <c r="DN438" s="24" t="n"/>
      <c r="DO438" s="24" t="n"/>
      <c r="DP438" s="24" t="n"/>
      <c r="DQ438" s="24" t="inlineStr">
        <is>
          <t>{"artifact_hash": "1d168f11d221cd3c", "event_id": "401856793", "event_start_utc": "2026-09-20T02:30Z", "features": {"altitude_fatigue_penalty": 0.0, "away_team": "Northern Illinois Huskies", "efficiency_gap": 2.268, "elo_away": 1300.6, "elo_home": 1640.2, "elo_home_win_prob": 0.9112, "event_id": "401856793", "game_start_utc": "2026-09-20T02:30Z", "home_field_advantage_points": 2.8, "home_team": "Arizona Wildcats", "is_dome": false, "is_fbs_vs_fcs": false, "is_neutral_site": false, "projected_away_points": 18.1, "projected_home_points": 34.6, "projected_margin_home": 16.5, "projected_possessions": 12.4, "projected_total": 52.7, "stadium_elevation_ft": 2430, "travel_distance_miles": 1388.0, "uncertainty": 0.18, "weather_total_adjustment": 0.0}, "historical_source_observation_times_verified": false, "inference_inputs": {"engine_source_sha256": "449ba2f0e86fa9c445730076a0e0bf100fb4914620be53c75c6f3bfe24298f3f", "mu_away": 18.1, "mu_home": 34.6,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247427188702607999345030039442371870645}, "uinteger": 0}, "spread_home_line": -33.5, "total_line": 50.5}, "market_type": "total", "model_version": "cfb-total-v1", "observed_at_utc": "2026-09-19T22:46:25.988423+00:00", "probabilities": {"over": 0.5102, "push": 0.0, "under": 0.4898}, "replay_scope": "Full precision score means, exact engine parameters and original RNG state; upstream feature construction not certified.", "schema": "cfb-joint-replay-v1", "snapshot_hash": "567a5655038d7b452af93c59cd8fc542eb214583a947dadafbe19a614214ef98", "sport": "NCAAF"}</t>
        </is>
      </c>
    </row>
    <row r="439" ht="36" customHeight="1">
      <c r="A439" s="24" t="inlineStr">
        <is>
          <t>21057e60db4a4eac</t>
        </is>
      </c>
      <c r="B439" s="24" t="inlineStr">
        <is>
          <t>2026-09-19T22:46:25.988423Z</t>
        </is>
      </c>
      <c r="C439" s="24" t="inlineStr">
        <is>
          <t>2026-09-20T02:30Z</t>
        </is>
      </c>
      <c r="D439" s="24" t="inlineStr">
        <is>
          <t>401864507</t>
        </is>
      </c>
      <c r="E439" s="24" t="inlineStr">
        <is>
          <t>NCAAF</t>
        </is>
      </c>
      <c r="F439" s="24" t="inlineStr">
        <is>
          <t>North Dakota State Bison</t>
        </is>
      </c>
      <c r="G439" s="24" t="inlineStr">
        <is>
          <t>Sacramento State Hornets</t>
        </is>
      </c>
      <c r="H439" s="24" t="inlineStr">
        <is>
          <t>moneyline</t>
        </is>
      </c>
      <c r="I439" s="24" t="inlineStr">
        <is>
          <t>away</t>
        </is>
      </c>
      <c r="J439" s="25" t="n"/>
      <c r="K439" s="24" t="inlineStr">
        <is>
          <t>espn_consensus</t>
        </is>
      </c>
      <c r="L439" s="26" t="n">
        <v>-5000</v>
      </c>
      <c r="M439" s="27" t="n">
        <v>1.02</v>
      </c>
      <c r="N439" s="28" t="n">
        <v>0.980392</v>
      </c>
      <c r="O439" s="28" t="n">
        <v>0.706144</v>
      </c>
      <c r="P439" s="28" t="n">
        <v>0.25</v>
      </c>
      <c r="Q439" s="28" t="n">
        <v>-0.274248</v>
      </c>
      <c r="R439" s="26" t="n">
        <v>0</v>
      </c>
      <c r="S439" s="29" t="n">
        <v>1</v>
      </c>
      <c r="T439" s="24" t="inlineStr">
        <is>
          <t>college-football-v1</t>
        </is>
      </c>
      <c r="U439" s="24" t="inlineStr">
        <is>
          <t>settled</t>
        </is>
      </c>
      <c r="V439" s="24" t="inlineStr">
        <is>
          <t>win</t>
        </is>
      </c>
      <c r="W439" s="26" t="n">
        <v>31</v>
      </c>
      <c r="X439" s="26" t="n">
        <v>10</v>
      </c>
      <c r="Y439" s="25" t="n"/>
      <c r="Z439" s="26" t="n"/>
      <c r="AA439" s="28" t="n"/>
      <c r="AB439" s="28" t="n"/>
      <c r="AC439" s="30" t="n">
        <v>0.02</v>
      </c>
      <c r="AD439" s="24" t="inlineStr">
        <is>
          <t>2026-09-20T10:00:24.834313Z</t>
        </is>
      </c>
      <c r="AE439" s="31" t="inlineStr">
        <is>
          <t>CFB Joint Model (negative_binomial): proj score North Dakota State Bison 31.6 @ Sacramento State Hornets 20.8 (Margin -10.8). Possessions: 12.4, HFA: +2.8 pts.</t>
        </is>
      </c>
      <c r="AF439" s="31" t="inlineStr">
        <is>
          <t>College football model; multi-market (moneyline, spread, total).</t>
        </is>
      </c>
      <c r="AG439" s="24" t="inlineStr">
        <is>
          <t>not_applicable</t>
        </is>
      </c>
      <c r="AH439" s="24" t="n"/>
      <c r="AI439" s="31" t="n"/>
      <c r="AJ439" s="31" t="n"/>
      <c r="AK439" s="24" t="inlineStr">
        <is>
          <t>paper_call</t>
        </is>
      </c>
      <c r="AL439" s="26" t="n">
        <v>4</v>
      </c>
      <c r="AM439" s="24" t="inlineStr">
        <is>
          <t>RESEARCH_OBSERVATION</t>
        </is>
      </c>
      <c r="AN439" s="24" t="inlineStr">
        <is>
          <t>CALL</t>
        </is>
      </c>
      <c r="AO439" s="24" t="inlineStr">
        <is>
          <t>PAPER_CALL_LOW_EDGE</t>
        </is>
      </c>
      <c r="AP439" s="24" t="inlineStr">
        <is>
          <t>North Dakota State Bison</t>
        </is>
      </c>
      <c r="AQ439" s="24" t="inlineStr">
        <is>
          <t>North Dakota State Bison</t>
        </is>
      </c>
      <c r="AR439" s="24" t="inlineStr">
        <is>
          <t>North Dakota State Bison</t>
        </is>
      </c>
      <c r="AS439" s="24" t="inlineStr">
        <is>
          <t>Sacramento State Hornets</t>
        </is>
      </c>
      <c r="AT439" s="24" t="inlineStr">
        <is>
          <t>Sacramento State Hornets</t>
        </is>
      </c>
      <c r="AU439" s="24" t="inlineStr">
        <is>
          <t>Sacramento State Hornets</t>
        </is>
      </c>
      <c r="AV439" s="24" t="n"/>
      <c r="AW439" s="24" t="n"/>
      <c r="AX439" s="24" t="inlineStr">
        <is>
          <t>statistical_model</t>
        </is>
      </c>
      <c r="AY439" s="24" t="n"/>
      <c r="AZ439" s="24" t="inlineStr">
        <is>
          <t>shadow_qualified</t>
        </is>
      </c>
      <c r="BA439" s="24" t="inlineStr">
        <is>
          <t>1d168f11d221cd3c</t>
        </is>
      </c>
      <c r="BB439" s="24" t="inlineStr">
        <is>
          <t>cfb_key_number_engine</t>
        </is>
      </c>
      <c r="BC439" s="24" t="inlineStr">
        <is>
          <t>college-football-v1</t>
        </is>
      </c>
      <c r="BD439" s="24" t="inlineStr">
        <is>
          <t>1d168f11d221cd3c</t>
        </is>
      </c>
      <c r="BE439" s="24" t="inlineStr">
        <is>
          <t>cfb-v1</t>
        </is>
      </c>
      <c r="BF439" s="24" t="inlineStr">
        <is>
          <t>1</t>
        </is>
      </c>
      <c r="BG439" s="24" t="inlineStr">
        <is>
          <t>1d168f11d221cd3c</t>
        </is>
      </c>
      <c r="BH439" s="24" t="inlineStr">
        <is>
          <t>2026-09-19T22:46:25.988423+00:00</t>
        </is>
      </c>
      <c r="BI439" s="24" t="inlineStr">
        <is>
          <t>["same_event","same_team_same_day","same_league_same_day"]</t>
        </is>
      </c>
      <c r="BJ439" s="25" t="n"/>
      <c r="BK439" s="26" t="n">
        <v>-5000</v>
      </c>
      <c r="BL439" s="27" t="n">
        <v>1.02</v>
      </c>
      <c r="BM439" s="28" t="n">
        <v>0.980392</v>
      </c>
      <c r="BN439" s="28" t="n"/>
      <c r="BO439" s="28" t="n"/>
      <c r="BP439" s="25" t="n"/>
      <c r="BQ439" s="27" t="n"/>
      <c r="BR439" s="28" t="n"/>
      <c r="BS439" s="28" t="n"/>
      <c r="BT439" s="28" t="n"/>
      <c r="BU439" s="25" t="n"/>
      <c r="BV439" s="29" t="n"/>
      <c r="BW439" s="24" t="n"/>
      <c r="BX439" s="30" t="n">
        <v>1</v>
      </c>
      <c r="BY439" s="27" t="n">
        <v>0.02</v>
      </c>
      <c r="BZ439" s="24" t="inlineStr">
        <is>
          <t>2026-09-20T10:00:24.834313Z</t>
        </is>
      </c>
      <c r="CA439" s="31" t="inlineStr">
        <is>
          <t>fixed one-unit hypothetical scoring; no real exposure or execution</t>
        </is>
      </c>
      <c r="CB439" s="24" t="n"/>
      <c r="CC439" s="24" t="n"/>
      <c r="CD439" s="24" t="n"/>
      <c r="CE439" s="24" t="n"/>
      <c r="CF439" s="24" t="n"/>
      <c r="CG439" s="24" t="n"/>
      <c r="CH439" s="24" t="n"/>
      <c r="CI439" s="24" t="n"/>
      <c r="CJ439" s="24" t="n"/>
      <c r="CK439" s="24" t="n"/>
      <c r="CL439" s="24" t="n"/>
      <c r="CM439" s="24" t="n"/>
      <c r="CN439" s="24" t="n"/>
      <c r="CO439" s="24" t="n"/>
      <c r="CP439" s="24" t="n"/>
      <c r="CQ439" s="24" t="n"/>
      <c r="CR439" s="24" t="n"/>
      <c r="CS439" s="24" t="inlineStr">
        <is>
          <t>False</t>
        </is>
      </c>
      <c r="CT439" s="24" t="n"/>
      <c r="CU439" s="24" t="n"/>
      <c r="CV439" s="24" t="n"/>
      <c r="CW439" s="24" t="n"/>
      <c r="CX439" s="24" t="n"/>
      <c r="CY439" s="24" t="n"/>
      <c r="CZ439" s="24" t="n"/>
      <c r="DA439" s="24" t="n"/>
      <c r="DB439" s="24" t="n"/>
      <c r="DC439" s="24" t="n"/>
      <c r="DD439" s="24" t="n"/>
      <c r="DE439" s="24" t="n"/>
      <c r="DF439" s="24" t="n"/>
      <c r="DG439" s="24" t="n"/>
      <c r="DH439" s="24" t="n"/>
      <c r="DI439" s="24" t="n"/>
      <c r="DJ439" s="24" t="inlineStr">
        <is>
          <t>0.980392</t>
        </is>
      </c>
      <c r="DK439" s="24" t="n"/>
      <c r="DL439" s="24" t="n"/>
      <c r="DM439" s="24" t="n"/>
      <c r="DN439" s="24" t="n"/>
      <c r="DO439" s="24" t="n"/>
      <c r="DP439" s="24" t="n"/>
      <c r="DQ439" s="24" t="inlineStr">
        <is>
          <t>{"artifact_hash": "1d168f11d221cd3c", "event_id": "401864507", "event_start_utc": "2026-09-20T02:30Z", "features": {"altitude_fatigue_penalty": 0.0, "away_team": "North Dakota State Bison", "efficiency_gap": 0.155, "elo_away": 1667.7, "elo_home": 1337.5, "elo_home_win_prob": 0.1785, "event_id": "401864507", "game_start_utc": "2026-09-20T02:30Z", "home_field_advantage_points": 2.8, "home_team": "Sacramento State Hornets", "is_dome": false, "is_fbs_vs_fcs": true, "is_neutral_site": false, "projected_away_points": 31.6, "projected_home_points": 20.8, "projected_margin_home": -10.8, "projected_possessions": 12.4, "projected_total": 52.4, "stadium_elevation_ft": 500.0, "travel_distance_miles": 0.0, "uncertainty": 0.25, "weather_total_adjustment": 0.0}, "historical_source_observation_times_verified": false, "inference_inputs": {"engine_source_sha256": "449ba2f0e86fa9c445730076a0e0bf100fb4914620be53c75c6f3bfe24298f3f", "mu_away": 31.6, "mu_home": 20.8, "parameters": {"distribution_type": "negative_binomial", "margin_sd": 22.009999999999998, "n_simulations": 15000, "nb_dispersion": 12.0, "score_correlation": 0.18, "total_sd": 14.8}, "rng_state_before": {"bit_generator": "PCG64", "has_uint32": 0, "state": {"inc": 332724090758049132448979897138935081983, "state": 23244721565607121607157297978709815425}, "uinteger": 0}, "spread_home_line": 26.5, "total_line": 50.5}, "market_type": "moneyline", "model_version": "college-football-v1", "observed_at_utc": "2026-09-19T22:46:25.988423+00:00", "probabilities": {"away": 0.706144, "home": 0.293856}, "replay_scope": "Full precision score means, exact engine parameters and original RNG state; upstream feature construction not certified.", "schema": "cfb-joint-replay-v1", "snapshot_hash": "5b28b5a9d58a0c9b5592f679d9ecd1a29e3ac7d74e835fcfb20a8c9590829147", "sport": "NCAAF"}</t>
        </is>
      </c>
    </row>
    <row r="440" ht="36" customHeight="1">
      <c r="A440" s="24" t="inlineStr">
        <is>
          <t>054ffc3eefba42c4</t>
        </is>
      </c>
      <c r="B440" s="24" t="inlineStr">
        <is>
          <t>2026-09-19T22:46:25.988423Z</t>
        </is>
      </c>
      <c r="C440" s="24" t="inlineStr">
        <is>
          <t>2026-09-20T02:30Z</t>
        </is>
      </c>
      <c r="D440" s="24" t="inlineStr">
        <is>
          <t>401864507</t>
        </is>
      </c>
      <c r="E440" s="24" t="inlineStr">
        <is>
          <t>NCAAF</t>
        </is>
      </c>
      <c r="F440" s="24" t="inlineStr">
        <is>
          <t>North Dakota State Bison</t>
        </is>
      </c>
      <c r="G440" s="24" t="inlineStr">
        <is>
          <t>Sacramento State Hornets</t>
        </is>
      </c>
      <c r="H440" s="24" t="inlineStr">
        <is>
          <t>spread</t>
        </is>
      </c>
      <c r="I440" s="24" t="inlineStr">
        <is>
          <t>home</t>
        </is>
      </c>
      <c r="J440" s="25" t="n">
        <v>26.5</v>
      </c>
      <c r="K440" s="24" t="inlineStr">
        <is>
          <t>espn_consensus</t>
        </is>
      </c>
      <c r="L440" s="26" t="n">
        <v>-105</v>
      </c>
      <c r="M440" s="27" t="n">
        <v>1.952381</v>
      </c>
      <c r="N440" s="28" t="n">
        <v>0.512195</v>
      </c>
      <c r="O440" s="28" t="n">
        <v>0.7752</v>
      </c>
      <c r="P440" s="28" t="n">
        <v>0.25</v>
      </c>
      <c r="Q440" s="28" t="n">
        <v>0.263005</v>
      </c>
      <c r="R440" s="26" t="n">
        <v>32</v>
      </c>
      <c r="S440" s="29" t="n">
        <v>1</v>
      </c>
      <c r="T440" s="24" t="inlineStr">
        <is>
          <t>cfb-spread-v1</t>
        </is>
      </c>
      <c r="U440" s="24" t="inlineStr">
        <is>
          <t>settled</t>
        </is>
      </c>
      <c r="V440" s="24" t="inlineStr">
        <is>
          <t>win</t>
        </is>
      </c>
      <c r="W440" s="26" t="n">
        <v>31</v>
      </c>
      <c r="X440" s="26" t="n">
        <v>10</v>
      </c>
      <c r="Y440" s="25" t="n"/>
      <c r="Z440" s="26" t="n"/>
      <c r="AA440" s="28" t="n"/>
      <c r="AB440" s="28" t="n"/>
      <c r="AC440" s="30" t="n">
        <v>0.9524</v>
      </c>
      <c r="AD440" s="24" t="inlineStr">
        <is>
          <t>2026-09-20T10:00:25.251383Z</t>
        </is>
      </c>
      <c r="AE440" s="31" t="inlineStr">
        <is>
          <t>Projected home margin -10.8 pts. Spread: Home +26.5 / Away -26.5 -&gt; P(Away cover)=0.225, P(Home cover)=0.775, P(Push)=0.000.</t>
        </is>
      </c>
      <c r="AF440" s="31" t="inlineStr">
        <is>
          <t>College football model; multi-market (moneyline, spread, total).</t>
        </is>
      </c>
      <c r="AG440" s="24" t="inlineStr">
        <is>
          <t>not_applicable</t>
        </is>
      </c>
      <c r="AH440" s="24" t="n"/>
      <c r="AI440" s="31" t="n"/>
      <c r="AJ440" s="31" t="n"/>
      <c r="AK440" s="24" t="inlineStr">
        <is>
          <t>model_qualified</t>
        </is>
      </c>
      <c r="AL440" s="26" t="n">
        <v>4</v>
      </c>
      <c r="AM440" s="24" t="inlineStr">
        <is>
          <t>QUALIFIED_SHADOW_CALL</t>
        </is>
      </c>
      <c r="AN440" s="24" t="inlineStr">
        <is>
          <t>CALL</t>
        </is>
      </c>
      <c r="AO440" s="24" t="inlineStr">
        <is>
          <t>QUALIFIED</t>
        </is>
      </c>
      <c r="AP440" s="24" t="inlineStr">
        <is>
          <t>North Dakota State Bison</t>
        </is>
      </c>
      <c r="AQ440" s="24" t="inlineStr">
        <is>
          <t>North Dakota State Bison</t>
        </is>
      </c>
      <c r="AR440" s="24" t="inlineStr">
        <is>
          <t>North Dakota State Bison</t>
        </is>
      </c>
      <c r="AS440" s="24" t="inlineStr">
        <is>
          <t>Sacramento State Hornets</t>
        </is>
      </c>
      <c r="AT440" s="24" t="inlineStr">
        <is>
          <t>Sacramento State Hornets</t>
        </is>
      </c>
      <c r="AU440" s="24" t="inlineStr">
        <is>
          <t>Sacramento State Hornets</t>
        </is>
      </c>
      <c r="AV440" s="24" t="n"/>
      <c r="AW440" s="24" t="n"/>
      <c r="AX440" s="24" t="inlineStr">
        <is>
          <t>statistical_model</t>
        </is>
      </c>
      <c r="AY440" s="24" t="n"/>
      <c r="AZ440" s="24" t="inlineStr">
        <is>
          <t>shadow_qualified</t>
        </is>
      </c>
      <c r="BA440" s="24" t="inlineStr">
        <is>
          <t>1d168f11d221cd3c</t>
        </is>
      </c>
      <c r="BB440" s="24" t="inlineStr">
        <is>
          <t>cfb_key_number_engine</t>
        </is>
      </c>
      <c r="BC440" s="24" t="inlineStr">
        <is>
          <t>cfb-spread-v1</t>
        </is>
      </c>
      <c r="BD440" s="24" t="inlineStr">
        <is>
          <t>1d168f11d221cd3c</t>
        </is>
      </c>
      <c r="BE440" s="24" t="inlineStr">
        <is>
          <t>cfb-v1</t>
        </is>
      </c>
      <c r="BF440" s="24" t="inlineStr">
        <is>
          <t>1</t>
        </is>
      </c>
      <c r="BG440" s="24" t="inlineStr">
        <is>
          <t>1d168f11d221cd3c</t>
        </is>
      </c>
      <c r="BH440" s="24" t="inlineStr">
        <is>
          <t>2026-09-19T22:46:25.988423+00:00</t>
        </is>
      </c>
      <c r="BI440" s="24" t="inlineStr">
        <is>
          <t>["same_event","same_team_same_day","same_league_same_day"]</t>
        </is>
      </c>
      <c r="BJ440" s="25" t="n">
        <v>26.5</v>
      </c>
      <c r="BK440" s="26" t="n">
        <v>-105</v>
      </c>
      <c r="BL440" s="27" t="n">
        <v>1.952381</v>
      </c>
      <c r="BM440" s="28" t="n">
        <v>0.512195</v>
      </c>
      <c r="BN440" s="28" t="n"/>
      <c r="BO440" s="28" t="n"/>
      <c r="BP440" s="25" t="n"/>
      <c r="BQ440" s="27" t="n"/>
      <c r="BR440" s="28" t="n"/>
      <c r="BS440" s="28" t="n"/>
      <c r="BT440" s="28" t="n"/>
      <c r="BU440" s="25" t="n"/>
      <c r="BV440" s="29" t="n"/>
      <c r="BW440" s="24" t="n"/>
      <c r="BX440" s="30" t="n"/>
      <c r="BY440" s="27" t="n"/>
      <c r="BZ440" s="24" t="n"/>
      <c r="CA440" s="31" t="n"/>
      <c r="CB440" s="24" t="n"/>
      <c r="CC440" s="24" t="n"/>
      <c r="CD440" s="24" t="n"/>
      <c r="CE440" s="24" t="n"/>
      <c r="CF440" s="24" t="n"/>
      <c r="CG440" s="24" t="n"/>
      <c r="CH440" s="24" t="n"/>
      <c r="CI440" s="24" t="n"/>
      <c r="CJ440" s="24" t="n"/>
      <c r="CK440" s="24" t="n"/>
      <c r="CL440" s="24" t="n"/>
      <c r="CM440" s="24" t="n"/>
      <c r="CN440" s="24" t="n"/>
      <c r="CO440" s="24" t="n"/>
      <c r="CP440" s="24" t="n"/>
      <c r="CQ440" s="24" t="n"/>
      <c r="CR440" s="24" t="n"/>
      <c r="CS440" s="24" t="inlineStr">
        <is>
          <t>True</t>
        </is>
      </c>
      <c r="CT440" s="24" t="n"/>
      <c r="CU440" s="24" t="n"/>
      <c r="CV440" s="24" t="n"/>
      <c r="CW440" s="24" t="n"/>
      <c r="CX440" s="24" t="n"/>
      <c r="CY440" s="24" t="n"/>
      <c r="CZ440" s="24" t="n"/>
      <c r="DA440" s="24" t="n"/>
      <c r="DB440" s="24" t="n"/>
      <c r="DC440" s="24" t="n"/>
      <c r="DD440" s="24" t="n"/>
      <c r="DE440" s="24" t="n"/>
      <c r="DF440" s="24" t="n"/>
      <c r="DG440" s="24" t="n"/>
      <c r="DH440" s="24" t="n"/>
      <c r="DI440" s="24" t="n"/>
      <c r="DJ440" s="24" t="inlineStr">
        <is>
          <t>0.512195</t>
        </is>
      </c>
      <c r="DK440" s="24" t="n"/>
      <c r="DL440" s="24" t="n"/>
      <c r="DM440" s="24" t="n"/>
      <c r="DN440" s="24" t="n"/>
      <c r="DO440" s="24" t="n"/>
      <c r="DP440" s="24" t="n"/>
      <c r="DQ440" s="24" t="inlineStr">
        <is>
          <t>{"artifact_hash": "1d168f11d221cd3c", "event_id": "401864507", "event_start_utc": "2026-09-20T02:30Z", "features": {"altitude_fatigue_penalty": 0.0, "away_team": "North Dakota State Bison", "efficiency_gap": 0.155, "elo_away": 1667.7, "elo_home": 1337.5, "elo_home_win_prob": 0.1785, "event_id": "401864507", "game_start_utc": "2026-09-20T02:30Z", "home_field_advantage_points": 2.8, "home_team": "Sacramento State Hornets", "is_dome": false, "is_fbs_vs_fcs": true, "is_neutral_site": false, "projected_away_points": 31.6, "projected_home_points": 20.8, "projected_margin_home": -10.8, "projected_possessions": 12.4, "projected_total": 52.4, "stadium_elevation_ft": 500.0, "travel_distance_miles": 0.0, "uncertainty": 0.25, "weather_total_adjustment": 0.0}, "historical_source_observation_times_verified": false, "inference_inputs": {"engine_source_sha256": "449ba2f0e86fa9c445730076a0e0bf100fb4914620be53c75c6f3bfe24298f3f", "mu_away": 31.6, "mu_home": 20.8, "parameters": {"distribution_type": "negative_binomial", "margin_sd": 22.009999999999998, "n_simulations": 15000, "nb_dispersion": 12.0, "score_correlation": 0.18, "total_sd": 14.8}, "rng_state_before": {"bit_generator": "PCG64", "has_uint32": 0, "state": {"inc": 332724090758049132448979897138935081983, "state": 23244721565607121607157297978709815425}, "uinteger": 0}, "spread_home_line": 26.5, "total_line": 50.5}, "market_type": "spread", "model_version": "cfb-spread-v1", "observed_at_utc": "2026-09-19T22:46:25.988423+00:00", "probabilities": {"away": 0.2248, "home": 0.7752, "push": 0.0}, "replay_scope": "Full precision score means, exact engine parameters and original RNG state; upstream feature construction not certified.", "schema": "cfb-joint-replay-v1", "snapshot_hash": "9fd3a9f1f677a74ee69885efa60af71da820f6ab1986592104487f624f53eeba", "sport": "NCAAF"}</t>
        </is>
      </c>
    </row>
    <row r="441" ht="36" customHeight="1">
      <c r="A441" s="24" t="inlineStr">
        <is>
          <t>291f034a3a244ecb</t>
        </is>
      </c>
      <c r="B441" s="24" t="inlineStr">
        <is>
          <t>2026-09-19T22:46:25.988423Z</t>
        </is>
      </c>
      <c r="C441" s="24" t="inlineStr">
        <is>
          <t>2026-09-20T02:30Z</t>
        </is>
      </c>
      <c r="D441" s="24" t="inlineStr">
        <is>
          <t>401864507</t>
        </is>
      </c>
      <c r="E441" s="24" t="inlineStr">
        <is>
          <t>NCAAF</t>
        </is>
      </c>
      <c r="F441" s="24" t="inlineStr">
        <is>
          <t>North Dakota State Bison</t>
        </is>
      </c>
      <c r="G441" s="24" t="inlineStr">
        <is>
          <t>Sacramento State Hornets</t>
        </is>
      </c>
      <c r="H441" s="24" t="inlineStr">
        <is>
          <t>total</t>
        </is>
      </c>
      <c r="I441" s="24" t="inlineStr">
        <is>
          <t>under</t>
        </is>
      </c>
      <c r="J441" s="25" t="n">
        <v>50.5</v>
      </c>
      <c r="K441" s="24" t="inlineStr">
        <is>
          <t>espn_consensus</t>
        </is>
      </c>
      <c r="L441" s="26" t="n">
        <v>-102</v>
      </c>
      <c r="M441" s="27" t="n">
        <v>1.980392</v>
      </c>
      <c r="N441" s="28" t="n">
        <v>0.50495</v>
      </c>
      <c r="O441" s="28" t="n">
        <v>0.502533</v>
      </c>
      <c r="P441" s="28" t="n">
        <v>0.25</v>
      </c>
      <c r="Q441" s="28" t="n">
        <v>-0.002417</v>
      </c>
      <c r="R441" s="26" t="n">
        <v>0</v>
      </c>
      <c r="S441" s="29" t="n">
        <v>1</v>
      </c>
      <c r="T441" s="24" t="inlineStr">
        <is>
          <t>cfb-total-v1</t>
        </is>
      </c>
      <c r="U441" s="24" t="inlineStr">
        <is>
          <t>settled</t>
        </is>
      </c>
      <c r="V441" s="24" t="inlineStr">
        <is>
          <t>win</t>
        </is>
      </c>
      <c r="W441" s="26" t="n">
        <v>31</v>
      </c>
      <c r="X441" s="26" t="n">
        <v>10</v>
      </c>
      <c r="Y441" s="25" t="n"/>
      <c r="Z441" s="26" t="n"/>
      <c r="AA441" s="28" t="n"/>
      <c r="AB441" s="28" t="n"/>
      <c r="AC441" s="30" t="n">
        <v>0.9804</v>
      </c>
      <c r="AD441" s="24" t="inlineStr">
        <is>
          <t>2026-09-20T10:00:25.720422Z</t>
        </is>
      </c>
      <c r="AE441" s="31" t="inlineStr">
        <is>
          <t>Projected total 52.4 pts (Weather adj: +0.0 pts). Total line 50.5 -&gt; P(Over)=0.497, P(Under)=0.503, P(Push)=0.000.</t>
        </is>
      </c>
      <c r="AF441" s="31" t="inlineStr">
        <is>
          <t>College football model; multi-market (moneyline, spread, total).</t>
        </is>
      </c>
      <c r="AG441" s="24" t="inlineStr">
        <is>
          <t>not_applicable</t>
        </is>
      </c>
      <c r="AH441" s="24" t="n"/>
      <c r="AI441" s="31" t="n"/>
      <c r="AJ441" s="31" t="n"/>
      <c r="AK441" s="24" t="inlineStr">
        <is>
          <t>paper_call</t>
        </is>
      </c>
      <c r="AL441" s="26" t="n">
        <v>4</v>
      </c>
      <c r="AM441" s="24" t="inlineStr">
        <is>
          <t>RESEARCH_OBSERVATION</t>
        </is>
      </c>
      <c r="AN441" s="24" t="inlineStr">
        <is>
          <t>CALL</t>
        </is>
      </c>
      <c r="AO441" s="24" t="inlineStr">
        <is>
          <t>PAPER_CALL_LOW_EDGE</t>
        </is>
      </c>
      <c r="AP441" s="24" t="inlineStr">
        <is>
          <t>North Dakota State Bison</t>
        </is>
      </c>
      <c r="AQ441" s="24" t="inlineStr">
        <is>
          <t>North Dakota State Bison</t>
        </is>
      </c>
      <c r="AR441" s="24" t="inlineStr">
        <is>
          <t>North Dakota State Bison</t>
        </is>
      </c>
      <c r="AS441" s="24" t="inlineStr">
        <is>
          <t>Sacramento State Hornets</t>
        </is>
      </c>
      <c r="AT441" s="24" t="inlineStr">
        <is>
          <t>Sacramento State Hornets</t>
        </is>
      </c>
      <c r="AU441" s="24" t="inlineStr">
        <is>
          <t>Sacramento State Hornets</t>
        </is>
      </c>
      <c r="AV441" s="24" t="n"/>
      <c r="AW441" s="24" t="n"/>
      <c r="AX441" s="24" t="inlineStr">
        <is>
          <t>statistical_model</t>
        </is>
      </c>
      <c r="AY441" s="24" t="n"/>
      <c r="AZ441" s="24" t="inlineStr">
        <is>
          <t>shadow_qualified</t>
        </is>
      </c>
      <c r="BA441" s="24" t="inlineStr">
        <is>
          <t>1d168f11d221cd3c</t>
        </is>
      </c>
      <c r="BB441" s="24" t="inlineStr">
        <is>
          <t>cfb_key_number_engine</t>
        </is>
      </c>
      <c r="BC441" s="24" t="inlineStr">
        <is>
          <t>cfb-total-v1</t>
        </is>
      </c>
      <c r="BD441" s="24" t="inlineStr">
        <is>
          <t>1d168f11d221cd3c</t>
        </is>
      </c>
      <c r="BE441" s="24" t="inlineStr">
        <is>
          <t>cfb-v1</t>
        </is>
      </c>
      <c r="BF441" s="24" t="inlineStr">
        <is>
          <t>1</t>
        </is>
      </c>
      <c r="BG441" s="24" t="inlineStr">
        <is>
          <t>1d168f11d221cd3c</t>
        </is>
      </c>
      <c r="BH441" s="24" t="inlineStr">
        <is>
          <t>2026-09-19T22:46:25.988423+00:00</t>
        </is>
      </c>
      <c r="BI441" s="24" t="inlineStr">
        <is>
          <t>["same_event","same_team_same_day","same_league_same_day"]</t>
        </is>
      </c>
      <c r="BJ441" s="25" t="n">
        <v>50.5</v>
      </c>
      <c r="BK441" s="26" t="n">
        <v>-102</v>
      </c>
      <c r="BL441" s="27" t="n">
        <v>1.980392</v>
      </c>
      <c r="BM441" s="28" t="n">
        <v>0.50495</v>
      </c>
      <c r="BN441" s="28" t="n"/>
      <c r="BO441" s="28" t="n"/>
      <c r="BP441" s="25" t="n"/>
      <c r="BQ441" s="27" t="n"/>
      <c r="BR441" s="28" t="n"/>
      <c r="BS441" s="28" t="n"/>
      <c r="BT441" s="28" t="n"/>
      <c r="BU441" s="25" t="n"/>
      <c r="BV441" s="29" t="n"/>
      <c r="BW441" s="24" t="n"/>
      <c r="BX441" s="30" t="n">
        <v>1</v>
      </c>
      <c r="BY441" s="27" t="n">
        <v>0.980392</v>
      </c>
      <c r="BZ441" s="24" t="inlineStr">
        <is>
          <t>2026-09-20T10:00:25.720422Z</t>
        </is>
      </c>
      <c r="CA441" s="31" t="inlineStr">
        <is>
          <t>fixed one-unit hypothetical scoring; no real exposure or execution</t>
        </is>
      </c>
      <c r="CB441" s="24" t="n"/>
      <c r="CC441" s="24" t="n"/>
      <c r="CD441" s="24" t="n"/>
      <c r="CE441" s="24" t="n"/>
      <c r="CF441" s="24" t="n"/>
      <c r="CG441" s="24" t="n"/>
      <c r="CH441" s="24" t="n"/>
      <c r="CI441" s="24" t="n"/>
      <c r="CJ441" s="24" t="n"/>
      <c r="CK441" s="24" t="n"/>
      <c r="CL441" s="24" t="n"/>
      <c r="CM441" s="24" t="n"/>
      <c r="CN441" s="24" t="n"/>
      <c r="CO441" s="24" t="n"/>
      <c r="CP441" s="24" t="n"/>
      <c r="CQ441" s="24" t="n"/>
      <c r="CR441" s="24" t="n"/>
      <c r="CS441" s="24" t="inlineStr">
        <is>
          <t>False</t>
        </is>
      </c>
      <c r="CT441" s="24" t="n"/>
      <c r="CU441" s="24" t="n"/>
      <c r="CV441" s="24" t="n"/>
      <c r="CW441" s="24" t="n"/>
      <c r="CX441" s="24" t="n"/>
      <c r="CY441" s="24" t="n"/>
      <c r="CZ441" s="24" t="n"/>
      <c r="DA441" s="24" t="n"/>
      <c r="DB441" s="24" t="n"/>
      <c r="DC441" s="24" t="n"/>
      <c r="DD441" s="24" t="n"/>
      <c r="DE441" s="24" t="n"/>
      <c r="DF441" s="24" t="n"/>
      <c r="DG441" s="24" t="n"/>
      <c r="DH441" s="24" t="n"/>
      <c r="DI441" s="24" t="n"/>
      <c r="DJ441" s="24" t="inlineStr">
        <is>
          <t>0.50495</t>
        </is>
      </c>
      <c r="DK441" s="24" t="n"/>
      <c r="DL441" s="24" t="n"/>
      <c r="DM441" s="24" t="n"/>
      <c r="DN441" s="24" t="n"/>
      <c r="DO441" s="24" t="n"/>
      <c r="DP441" s="24" t="n"/>
      <c r="DQ441" s="24" t="inlineStr">
        <is>
          <t>{"artifact_hash": "1d168f11d221cd3c", "event_id": "401864507", "event_start_utc": "2026-09-20T02:30Z", "features": {"altitude_fatigue_penalty": 0.0, "away_team": "North Dakota State Bison", "efficiency_gap": 0.155, "elo_away": 1667.7, "elo_home": 1337.5, "elo_home_win_prob": 0.1785, "event_id": "401864507", "game_start_utc": "2026-09-20T02:30Z", "home_field_advantage_points": 2.8, "home_team": "Sacramento State Hornets", "is_dome": false, "is_fbs_vs_fcs": true, "is_neutral_site": false, "projected_away_points": 31.6, "projected_home_points": 20.8, "projected_margin_home": -10.8, "projected_possessions": 12.4, "projected_total": 52.4, "stadium_elevation_ft": 500.0, "travel_distance_miles": 0.0, "uncertainty": 0.25, "weather_total_adjustment": 0.0}, "historical_source_observation_times_verified": false, "inference_inputs": {"engine_source_sha256": "449ba2f0e86fa9c445730076a0e0bf100fb4914620be53c75c6f3bfe24298f3f", "mu_away": 31.6, "mu_home": 20.8, "parameters": {"distribution_type": "negative_binomial", "margin_sd": 22.009999999999998, "n_simulations": 15000, "nb_dispersion": 12.0, "score_correlation": 0.18, "total_sd": 14.8}, "rng_state_before": {"bit_generator": "PCG64", "has_uint32": 0, "state": {"inc": 332724090758049132448979897138935081983, "state": 23244721565607121607157297978709815425}, "uinteger": 0}, "spread_home_line": 26.5, "total_line": 50.5}, "market_type": "total", "model_version": "cfb-total-v1", "observed_at_utc": "2026-09-19T22:46:25.988423+00:00", "probabilities": {"over": 0.497467, "push": 0.0, "under": 0.502533}, "replay_scope": "Full precision score means, exact engine parameters and original RNG state; upstream feature construction not certified.", "schema": "cfb-joint-replay-v1", "snapshot_hash": "eb7f6115a9be1176e63cadce74b3b064d1dc3beb812fa09d98c1fe678dda9326", "sport": "NCAAF"}</t>
        </is>
      </c>
    </row>
    <row r="442" ht="36" customHeight="1">
      <c r="A442" s="24" t="inlineStr">
        <is>
          <t>2a0164ac405c4deb</t>
        </is>
      </c>
      <c r="B442" s="24" t="inlineStr">
        <is>
          <t>2026-09-19T22:46:25.988423Z</t>
        </is>
      </c>
      <c r="C442" s="24" t="inlineStr">
        <is>
          <t>2026-09-20T03:00Z</t>
        </is>
      </c>
      <c r="D442" s="24" t="inlineStr">
        <is>
          <t>401858458</t>
        </is>
      </c>
      <c r="E442" s="24" t="inlineStr">
        <is>
          <t>NCAAF</t>
        </is>
      </c>
      <c r="F442" s="24" t="inlineStr">
        <is>
          <t>Purdue Boilermakers</t>
        </is>
      </c>
      <c r="G442" s="24" t="inlineStr">
        <is>
          <t>UCLA Bruins</t>
        </is>
      </c>
      <c r="H442" s="24" t="inlineStr">
        <is>
          <t>moneyline</t>
        </is>
      </c>
      <c r="I442" s="24" t="inlineStr">
        <is>
          <t>home</t>
        </is>
      </c>
      <c r="J442" s="25" t="n"/>
      <c r="K442" s="24" t="inlineStr">
        <is>
          <t>espn_consensus</t>
        </is>
      </c>
      <c r="L442" s="26" t="n">
        <v>-650</v>
      </c>
      <c r="M442" s="27" t="n">
        <v>1.153846</v>
      </c>
      <c r="N442" s="28" t="n">
        <v>0.866667</v>
      </c>
      <c r="O442" s="28" t="n">
        <v>0.733493</v>
      </c>
      <c r="P442" s="28" t="n">
        <v>0.18</v>
      </c>
      <c r="Q442" s="28" t="n">
        <v>-0.133174</v>
      </c>
      <c r="R442" s="26" t="n">
        <v>0</v>
      </c>
      <c r="S442" s="29" t="n">
        <v>1</v>
      </c>
      <c r="T442" s="24" t="inlineStr">
        <is>
          <t>college-football-v1</t>
        </is>
      </c>
      <c r="U442" s="24" t="inlineStr">
        <is>
          <t>settled</t>
        </is>
      </c>
      <c r="V442" s="24" t="inlineStr">
        <is>
          <t>win</t>
        </is>
      </c>
      <c r="W442" s="26" t="n">
        <v>38</v>
      </c>
      <c r="X442" s="26" t="n">
        <v>52</v>
      </c>
      <c r="Y442" s="25" t="n"/>
      <c r="Z442" s="26" t="n"/>
      <c r="AA442" s="28" t="n"/>
      <c r="AB442" s="28" t="n"/>
      <c r="AC442" s="30" t="n">
        <v>0.1538</v>
      </c>
      <c r="AD442" s="24" t="inlineStr">
        <is>
          <t>2026-09-20T10:00:26.262574Z</t>
        </is>
      </c>
      <c r="AE442" s="31" t="inlineStr">
        <is>
          <t>CFB Joint Model (negative_binomial): proj score Purdue Boilermakers 21.8 @ UCLA Bruins 34.2 (Margin +12.4). Possessions: 12.4, HFA: +2.8 pts.</t>
        </is>
      </c>
      <c r="AF442" s="31" t="inlineStr">
        <is>
          <t>College football model; multi-market (moneyline, spread, total).</t>
        </is>
      </c>
      <c r="AG442" s="24" t="inlineStr">
        <is>
          <t>not_applicable</t>
        </is>
      </c>
      <c r="AH442" s="24" t="n"/>
      <c r="AI442" s="31" t="n"/>
      <c r="AJ442" s="31" t="n"/>
      <c r="AK442" s="24" t="inlineStr">
        <is>
          <t>paper_call</t>
        </is>
      </c>
      <c r="AL442" s="26" t="n">
        <v>4</v>
      </c>
      <c r="AM442" s="24" t="inlineStr">
        <is>
          <t>RESEARCH_OBSERVATION</t>
        </is>
      </c>
      <c r="AN442" s="24" t="inlineStr">
        <is>
          <t>CALL</t>
        </is>
      </c>
      <c r="AO442" s="24" t="inlineStr">
        <is>
          <t>PAPER_CALL_LOW_EDGE</t>
        </is>
      </c>
      <c r="AP442" s="24" t="inlineStr">
        <is>
          <t>Purdue Boilermakers</t>
        </is>
      </c>
      <c r="AQ442" s="24" t="inlineStr">
        <is>
          <t>Purdue Boilermakers</t>
        </is>
      </c>
      <c r="AR442" s="24" t="inlineStr">
        <is>
          <t>Purdue Boilermakers</t>
        </is>
      </c>
      <c r="AS442" s="24" t="inlineStr">
        <is>
          <t>UCLA Bruins</t>
        </is>
      </c>
      <c r="AT442" s="24" t="inlineStr">
        <is>
          <t>UCLA Bruins</t>
        </is>
      </c>
      <c r="AU442" s="24" t="inlineStr">
        <is>
          <t>UCLA Bruins</t>
        </is>
      </c>
      <c r="AV442" s="24" t="n"/>
      <c r="AW442" s="24" t="n"/>
      <c r="AX442" s="24" t="inlineStr">
        <is>
          <t>statistical_model</t>
        </is>
      </c>
      <c r="AY442" s="24" t="n"/>
      <c r="AZ442" s="24" t="inlineStr">
        <is>
          <t>shadow_qualified</t>
        </is>
      </c>
      <c r="BA442" s="24" t="inlineStr">
        <is>
          <t>1d168f11d221cd3c</t>
        </is>
      </c>
      <c r="BB442" s="24" t="inlineStr">
        <is>
          <t>cfb_key_number_engine</t>
        </is>
      </c>
      <c r="BC442" s="24" t="inlineStr">
        <is>
          <t>college-football-v1</t>
        </is>
      </c>
      <c r="BD442" s="24" t="inlineStr">
        <is>
          <t>1d168f11d221cd3c</t>
        </is>
      </c>
      <c r="BE442" s="24" t="inlineStr">
        <is>
          <t>cfb-v1</t>
        </is>
      </c>
      <c r="BF442" s="24" t="inlineStr">
        <is>
          <t>1</t>
        </is>
      </c>
      <c r="BG442" s="24" t="inlineStr">
        <is>
          <t>1d168f11d221cd3c</t>
        </is>
      </c>
      <c r="BH442" s="24" t="inlineStr">
        <is>
          <t>2026-09-19T22:46:25.988423+00:00</t>
        </is>
      </c>
      <c r="BI442" s="24" t="inlineStr">
        <is>
          <t>["same_event","same_team_same_day","same_league_same_day"]</t>
        </is>
      </c>
      <c r="BJ442" s="25" t="n"/>
      <c r="BK442" s="26" t="n">
        <v>-650</v>
      </c>
      <c r="BL442" s="27" t="n">
        <v>1.153846</v>
      </c>
      <c r="BM442" s="28" t="n">
        <v>0.866667</v>
      </c>
      <c r="BN442" s="28" t="n"/>
      <c r="BO442" s="28" t="n"/>
      <c r="BP442" s="25" t="n"/>
      <c r="BQ442" s="27" t="n"/>
      <c r="BR442" s="28" t="n"/>
      <c r="BS442" s="28" t="n"/>
      <c r="BT442" s="28" t="n"/>
      <c r="BU442" s="25" t="n"/>
      <c r="BV442" s="29" t="n"/>
      <c r="BW442" s="24" t="n"/>
      <c r="BX442" s="30" t="n">
        <v>1</v>
      </c>
      <c r="BY442" s="27" t="n">
        <v>0.153846</v>
      </c>
      <c r="BZ442" s="24" t="inlineStr">
        <is>
          <t>2026-09-20T10:00:26.262574Z</t>
        </is>
      </c>
      <c r="CA442" s="31" t="inlineStr">
        <is>
          <t>fixed one-unit hypothetical scoring; no real exposure or execution</t>
        </is>
      </c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n"/>
      <c r="CR442" s="24" t="n"/>
      <c r="CS442" s="24" t="inlineStr">
        <is>
          <t>False</t>
        </is>
      </c>
      <c r="CT442" s="24" t="n"/>
      <c r="CU442" s="24" t="n"/>
      <c r="CV442" s="24" t="n"/>
      <c r="CW442" s="24" t="n"/>
      <c r="CX442" s="24" t="n"/>
      <c r="CY442" s="24" t="n"/>
      <c r="CZ442" s="24" t="n"/>
      <c r="DA442" s="24" t="n"/>
      <c r="DB442" s="24" t="n"/>
      <c r="DC442" s="24" t="n"/>
      <c r="DD442" s="24" t="n"/>
      <c r="DE442" s="24" t="n"/>
      <c r="DF442" s="24" t="n"/>
      <c r="DG442" s="24" t="n"/>
      <c r="DH442" s="24" t="n"/>
      <c r="DI442" s="24" t="n"/>
      <c r="DJ442" s="24" t="inlineStr">
        <is>
          <t>0.866667</t>
        </is>
      </c>
      <c r="DK442" s="24" t="n"/>
      <c r="DL442" s="24" t="n"/>
      <c r="DM442" s="24" t="n"/>
      <c r="DN442" s="24" t="n"/>
      <c r="DO442" s="24" t="n"/>
      <c r="DP442" s="24" t="n"/>
      <c r="DQ442" s="24" t="inlineStr">
        <is>
          <t>{"artifact_hash": "1d168f11d221cd3c", "event_id": "401858458", "event_start_utc": "2026-09-20T03:00Z", "features": {"altitude_fatigue_penalty": 0.0, "away_team": "Purdue Boilermakers", "efficiency_gap": 0.381, "elo_away": 1120.8, "elo_home": 1359.5, "elo_home_win_prob": 0.8517, "event_id": "401858458", "game_start_utc": "2026-09-20T03:00Z", "home_field_advantage_points": 2.8, "home_team": "UCLA Bruins", "is_dome": false, "is_fbs_vs_fcs": false, "is_neutral_site": false, "projected_away_points": 21.8, "projected_home_points": 34.2, "projected_margin_home": 12.4, "projected_possessions": 12.4, "projected_total": 55.9, "stadium_elevation_ft": 820, "travel_distance_miles": 1761.0, "uncertainty": 0.18, "weather_total_adjustment": 0.0}, "historical_source_observation_times_verified": false, "inference_inputs": {"engine_source_sha256": "449ba2f0e86fa9c445730076a0e0bf100fb4914620be53c75c6f3bfe24298f3f", "mu_away": 21.8, "mu_home": 34.2,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205341224324690760712818097830711250995}, "uinteger": 0}, "spread_home_line": -14.0, "total_line": 52.5}, "market_type": "moneyline", "model_version": "college-football-v1", "observed_at_utc": "2026-09-19T22:46:25.988423+00:00", "probabilities": {"away": 0.266507, "home": 0.733493}, "replay_scope": "Full precision score means, exact engine parameters and original RNG state; upstream feature construction not certified.", "schema": "cfb-joint-replay-v1", "snapshot_hash": "9bfc35e1bf88b7a06798534e75e83aa50cc15731fc8d76fa84871326246d5db3", "sport": "NCAAF"}</t>
        </is>
      </c>
    </row>
    <row r="443" ht="36" customHeight="1">
      <c r="A443" s="24" t="inlineStr">
        <is>
          <t>a06d13790f9c4773</t>
        </is>
      </c>
      <c r="B443" s="24" t="inlineStr">
        <is>
          <t>2026-09-19T22:46:25.988423Z</t>
        </is>
      </c>
      <c r="C443" s="24" t="inlineStr">
        <is>
          <t>2026-09-20T03:00Z</t>
        </is>
      </c>
      <c r="D443" s="24" t="inlineStr">
        <is>
          <t>401858458</t>
        </is>
      </c>
      <c r="E443" s="24" t="inlineStr">
        <is>
          <t>NCAAF</t>
        </is>
      </c>
      <c r="F443" s="24" t="inlineStr">
        <is>
          <t>Purdue Boilermakers</t>
        </is>
      </c>
      <c r="G443" s="24" t="inlineStr">
        <is>
          <t>UCLA Bruins</t>
        </is>
      </c>
      <c r="H443" s="24" t="inlineStr">
        <is>
          <t>spread</t>
        </is>
      </c>
      <c r="I443" s="24" t="inlineStr">
        <is>
          <t>away</t>
        </is>
      </c>
      <c r="J443" s="25" t="n">
        <v>14</v>
      </c>
      <c r="K443" s="24" t="inlineStr">
        <is>
          <t>espn_consensus</t>
        </is>
      </c>
      <c r="L443" s="26" t="n">
        <v>-112</v>
      </c>
      <c r="M443" s="27" t="n">
        <v>1.892857</v>
      </c>
      <c r="N443" s="28" t="n">
        <v>0.528302</v>
      </c>
      <c r="O443" s="28" t="n">
        <v>0.527533</v>
      </c>
      <c r="P443" s="28" t="n">
        <v>0.18</v>
      </c>
      <c r="Q443" s="28" t="n">
        <v>-0.000769</v>
      </c>
      <c r="R443" s="26" t="n">
        <v>0</v>
      </c>
      <c r="S443" s="29" t="n">
        <v>1</v>
      </c>
      <c r="T443" s="24" t="inlineStr">
        <is>
          <t>cfb-spread-v1</t>
        </is>
      </c>
      <c r="U443" s="24" t="inlineStr">
        <is>
          <t>settled</t>
        </is>
      </c>
      <c r="V443" s="24" t="inlineStr">
        <is>
          <t>push</t>
        </is>
      </c>
      <c r="W443" s="26" t="n">
        <v>38</v>
      </c>
      <c r="X443" s="26" t="n">
        <v>52</v>
      </c>
      <c r="Y443" s="25" t="n"/>
      <c r="Z443" s="26" t="n"/>
      <c r="AA443" s="28" t="n"/>
      <c r="AB443" s="28" t="n"/>
      <c r="AC443" s="30" t="n">
        <v>0</v>
      </c>
      <c r="AD443" s="24" t="inlineStr">
        <is>
          <t>2026-09-20T10:00:26.678803Z</t>
        </is>
      </c>
      <c r="AE443" s="31" t="inlineStr">
        <is>
          <t>Projected home margin +12.4 pts. Spread: Home -14.0 / Away +14.0 -&gt; P(Away cover)=0.528, P(Home cover)=0.452, P(Push)=0.020.</t>
        </is>
      </c>
      <c r="AF443" s="31" t="inlineStr">
        <is>
          <t>College football model; multi-market (moneyline, spread, total).</t>
        </is>
      </c>
      <c r="AG443" s="24" t="inlineStr">
        <is>
          <t>not_applicable</t>
        </is>
      </c>
      <c r="AH443" s="24" t="n"/>
      <c r="AI443" s="31" t="n"/>
      <c r="AJ443" s="31" t="n"/>
      <c r="AK443" s="24" t="inlineStr">
        <is>
          <t>paper_call</t>
        </is>
      </c>
      <c r="AL443" s="26" t="n">
        <v>4</v>
      </c>
      <c r="AM443" s="24" t="inlineStr">
        <is>
          <t>RESEARCH_OBSERVATION</t>
        </is>
      </c>
      <c r="AN443" s="24" t="inlineStr">
        <is>
          <t>CALL</t>
        </is>
      </c>
      <c r="AO443" s="24" t="inlineStr">
        <is>
          <t>PAPER_CALL_LOW_EDGE</t>
        </is>
      </c>
      <c r="AP443" s="24" t="inlineStr">
        <is>
          <t>Purdue Boilermakers</t>
        </is>
      </c>
      <c r="AQ443" s="24" t="inlineStr">
        <is>
          <t>Purdue Boilermakers</t>
        </is>
      </c>
      <c r="AR443" s="24" t="inlineStr">
        <is>
          <t>Purdue Boilermakers</t>
        </is>
      </c>
      <c r="AS443" s="24" t="inlineStr">
        <is>
          <t>UCLA Bruins</t>
        </is>
      </c>
      <c r="AT443" s="24" t="inlineStr">
        <is>
          <t>UCLA Bruins</t>
        </is>
      </c>
      <c r="AU443" s="24" t="inlineStr">
        <is>
          <t>UCLA Bruins</t>
        </is>
      </c>
      <c r="AV443" s="24" t="n"/>
      <c r="AW443" s="24" t="n"/>
      <c r="AX443" s="24" t="inlineStr">
        <is>
          <t>statistical_model</t>
        </is>
      </c>
      <c r="AY443" s="24" t="n"/>
      <c r="AZ443" s="24" t="inlineStr">
        <is>
          <t>shadow_qualified</t>
        </is>
      </c>
      <c r="BA443" s="24" t="inlineStr">
        <is>
          <t>1d168f11d221cd3c</t>
        </is>
      </c>
      <c r="BB443" s="24" t="inlineStr">
        <is>
          <t>cfb_key_number_engine</t>
        </is>
      </c>
      <c r="BC443" s="24" t="inlineStr">
        <is>
          <t>cfb-spread-v1</t>
        </is>
      </c>
      <c r="BD443" s="24" t="inlineStr">
        <is>
          <t>1d168f11d221cd3c</t>
        </is>
      </c>
      <c r="BE443" s="24" t="inlineStr">
        <is>
          <t>cfb-v1</t>
        </is>
      </c>
      <c r="BF443" s="24" t="inlineStr">
        <is>
          <t>1</t>
        </is>
      </c>
      <c r="BG443" s="24" t="inlineStr">
        <is>
          <t>1d168f11d221cd3c</t>
        </is>
      </c>
      <c r="BH443" s="24" t="inlineStr">
        <is>
          <t>2026-09-19T22:46:25.988423+00:00</t>
        </is>
      </c>
      <c r="BI443" s="24" t="inlineStr">
        <is>
          <t>["same_event","same_team_same_day","same_league_same_day"]</t>
        </is>
      </c>
      <c r="BJ443" s="25" t="n">
        <v>14</v>
      </c>
      <c r="BK443" s="26" t="n">
        <v>-112</v>
      </c>
      <c r="BL443" s="27" t="n">
        <v>1.892857</v>
      </c>
      <c r="BM443" s="28" t="n">
        <v>0.528302</v>
      </c>
      <c r="BN443" s="28" t="n"/>
      <c r="BO443" s="28" t="n"/>
      <c r="BP443" s="25" t="n"/>
      <c r="BQ443" s="27" t="n"/>
      <c r="BR443" s="28" t="n"/>
      <c r="BS443" s="28" t="n"/>
      <c r="BT443" s="28" t="n"/>
      <c r="BU443" s="25" t="n"/>
      <c r="BV443" s="29" t="n"/>
      <c r="BW443" s="24" t="n"/>
      <c r="BX443" s="30" t="n">
        <v>1</v>
      </c>
      <c r="BY443" s="27" t="n">
        <v>0</v>
      </c>
      <c r="BZ443" s="24" t="inlineStr">
        <is>
          <t>2026-09-20T10:00:26.678803Z</t>
        </is>
      </c>
      <c r="CA443" s="31" t="inlineStr">
        <is>
          <t>fixed one-unit hypothetical scoring; no real exposure or execution</t>
        </is>
      </c>
      <c r="CB443" s="24" t="n"/>
      <c r="CC443" s="24" t="n"/>
      <c r="CD443" s="24" t="n"/>
      <c r="CE443" s="24" t="n"/>
      <c r="CF443" s="24" t="n"/>
      <c r="CG443" s="24" t="n"/>
      <c r="CH443" s="24" t="n"/>
      <c r="CI443" s="24" t="n"/>
      <c r="CJ443" s="24" t="n"/>
      <c r="CK443" s="24" t="n"/>
      <c r="CL443" s="24" t="n"/>
      <c r="CM443" s="24" t="n"/>
      <c r="CN443" s="24" t="n"/>
      <c r="CO443" s="24" t="n"/>
      <c r="CP443" s="24" t="n"/>
      <c r="CQ443" s="24" t="n"/>
      <c r="CR443" s="24" t="n"/>
      <c r="CS443" s="24" t="inlineStr">
        <is>
          <t>False</t>
        </is>
      </c>
      <c r="CT443" s="24" t="n"/>
      <c r="CU443" s="24" t="n"/>
      <c r="CV443" s="24" t="n"/>
      <c r="CW443" s="24" t="n"/>
      <c r="CX443" s="24" t="n"/>
      <c r="CY443" s="24" t="n"/>
      <c r="CZ443" s="24" t="n"/>
      <c r="DA443" s="24" t="n"/>
      <c r="DB443" s="24" t="n"/>
      <c r="DC443" s="24" t="n"/>
      <c r="DD443" s="24" t="n"/>
      <c r="DE443" s="24" t="n"/>
      <c r="DF443" s="24" t="n"/>
      <c r="DG443" s="24" t="n"/>
      <c r="DH443" s="24" t="n"/>
      <c r="DI443" s="24" t="n"/>
      <c r="DJ443" s="24" t="inlineStr">
        <is>
          <t>0.528302</t>
        </is>
      </c>
      <c r="DK443" s="24" t="n"/>
      <c r="DL443" s="24" t="n"/>
      <c r="DM443" s="24" t="n"/>
      <c r="DN443" s="24" t="n"/>
      <c r="DO443" s="24" t="n"/>
      <c r="DP443" s="24" t="n"/>
      <c r="DQ443" s="24" t="inlineStr">
        <is>
          <t>{"artifact_hash": "1d168f11d221cd3c", "event_id": "401858458", "event_start_utc": "2026-09-20T03:00Z", "features": {"altitude_fatigue_penalty": 0.0, "away_team": "Purdue Boilermakers", "efficiency_gap": 0.381, "elo_away": 1120.8, "elo_home": 1359.5, "elo_home_win_prob": 0.8517, "event_id": "401858458", "game_start_utc": "2026-09-20T03:00Z", "home_field_advantage_points": 2.8, "home_team": "UCLA Bruins", "is_dome": false, "is_fbs_vs_fcs": false, "is_neutral_site": false, "projected_away_points": 21.8, "projected_home_points": 34.2, "projected_margin_home": 12.4, "projected_possessions": 12.4, "projected_total": 55.9, "stadium_elevation_ft": 820, "travel_distance_miles": 1761.0, "uncertainty": 0.18, "weather_total_adjustment": 0.0}, "historical_source_observation_times_verified": false, "inference_inputs": {"engine_source_sha256": "449ba2f0e86fa9c445730076a0e0bf100fb4914620be53c75c6f3bfe24298f3f", "mu_away": 21.8, "mu_home": 34.2,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205341224324690760712818097830711250995}, "uinteger": 0}, "spread_home_line": -14.0, "total_line": 52.5}, "market_type": "spread", "model_version": "cfb-spread-v1", "observed_at_utc": "2026-09-19T22:46:25.988423+00:00", "probabilities": {"away": 0.527533, "home": 0.452067, "push": 0.0204}, "replay_scope": "Full precision score means, exact engine parameters and original RNG state; upstream feature construction not certified.", "schema": "cfb-joint-replay-v1", "snapshot_hash": "aacf48384c7c5c7e9e8921d4b1f48e161cd37228b9f220d43f39e8fa31da9cba", "sport": "NCAAF"}</t>
        </is>
      </c>
    </row>
    <row r="444" ht="36" customHeight="1">
      <c r="A444" s="24" t="inlineStr">
        <is>
          <t>ffb905b1cada41d8</t>
        </is>
      </c>
      <c r="B444" s="24" t="inlineStr">
        <is>
          <t>2026-09-19T22:46:25.988423Z</t>
        </is>
      </c>
      <c r="C444" s="24" t="inlineStr">
        <is>
          <t>2026-09-20T03:00Z</t>
        </is>
      </c>
      <c r="D444" s="24" t="inlineStr">
        <is>
          <t>401858458</t>
        </is>
      </c>
      <c r="E444" s="24" t="inlineStr">
        <is>
          <t>NCAAF</t>
        </is>
      </c>
      <c r="F444" s="24" t="inlineStr">
        <is>
          <t>Purdue Boilermakers</t>
        </is>
      </c>
      <c r="G444" s="24" t="inlineStr">
        <is>
          <t>UCLA Bruins</t>
        </is>
      </c>
      <c r="H444" s="24" t="inlineStr">
        <is>
          <t>total</t>
        </is>
      </c>
      <c r="I444" s="24" t="inlineStr">
        <is>
          <t>over</t>
        </is>
      </c>
      <c r="J444" s="25" t="n">
        <v>52.5</v>
      </c>
      <c r="K444" s="24" t="inlineStr">
        <is>
          <t>espn_consensus</t>
        </is>
      </c>
      <c r="L444" s="26" t="n">
        <v>-112</v>
      </c>
      <c r="M444" s="27" t="n">
        <v>1.892857</v>
      </c>
      <c r="N444" s="28" t="n">
        <v>0.528302</v>
      </c>
      <c r="O444" s="28" t="n">
        <v>0.525667</v>
      </c>
      <c r="P444" s="28" t="n">
        <v>0.18</v>
      </c>
      <c r="Q444" s="28" t="n">
        <v>-0.002635</v>
      </c>
      <c r="R444" s="26" t="n">
        <v>0</v>
      </c>
      <c r="S444" s="29" t="n">
        <v>1</v>
      </c>
      <c r="T444" s="24" t="inlineStr">
        <is>
          <t>cfb-total-v1</t>
        </is>
      </c>
      <c r="U444" s="24" t="inlineStr">
        <is>
          <t>settled</t>
        </is>
      </c>
      <c r="V444" s="24" t="inlineStr">
        <is>
          <t>win</t>
        </is>
      </c>
      <c r="W444" s="26" t="n">
        <v>38</v>
      </c>
      <c r="X444" s="26" t="n">
        <v>52</v>
      </c>
      <c r="Y444" s="25" t="n"/>
      <c r="Z444" s="26" t="n"/>
      <c r="AA444" s="28" t="n"/>
      <c r="AB444" s="28" t="n"/>
      <c r="AC444" s="30" t="n">
        <v>0.8929</v>
      </c>
      <c r="AD444" s="24" t="inlineStr">
        <is>
          <t>2026-09-20T10:00:27.152510Z</t>
        </is>
      </c>
      <c r="AE444" s="31" t="inlineStr">
        <is>
          <t>Projected total 55.9 pts (Weather adj: +0.0 pts). Total line 52.5 -&gt; P(Over)=0.526, P(Under)=0.474, P(Push)=0.000.</t>
        </is>
      </c>
      <c r="AF444" s="31" t="inlineStr">
        <is>
          <t>College football model; multi-market (moneyline, spread, total).</t>
        </is>
      </c>
      <c r="AG444" s="24" t="inlineStr">
        <is>
          <t>not_applicable</t>
        </is>
      </c>
      <c r="AH444" s="24" t="n"/>
      <c r="AI444" s="31" t="n"/>
      <c r="AJ444" s="31" t="n"/>
      <c r="AK444" s="24" t="inlineStr">
        <is>
          <t>paper_call</t>
        </is>
      </c>
      <c r="AL444" s="26" t="n">
        <v>4</v>
      </c>
      <c r="AM444" s="24" t="inlineStr">
        <is>
          <t>RESEARCH_OBSERVATION</t>
        </is>
      </c>
      <c r="AN444" s="24" t="inlineStr">
        <is>
          <t>CALL</t>
        </is>
      </c>
      <c r="AO444" s="24" t="inlineStr">
        <is>
          <t>PAPER_CALL_LOW_EDGE</t>
        </is>
      </c>
      <c r="AP444" s="24" t="inlineStr">
        <is>
          <t>Purdue Boilermakers</t>
        </is>
      </c>
      <c r="AQ444" s="24" t="inlineStr">
        <is>
          <t>Purdue Boilermakers</t>
        </is>
      </c>
      <c r="AR444" s="24" t="inlineStr">
        <is>
          <t>Purdue Boilermakers</t>
        </is>
      </c>
      <c r="AS444" s="24" t="inlineStr">
        <is>
          <t>UCLA Bruins</t>
        </is>
      </c>
      <c r="AT444" s="24" t="inlineStr">
        <is>
          <t>UCLA Bruins</t>
        </is>
      </c>
      <c r="AU444" s="24" t="inlineStr">
        <is>
          <t>UCLA Bruins</t>
        </is>
      </c>
      <c r="AV444" s="24" t="n"/>
      <c r="AW444" s="24" t="n"/>
      <c r="AX444" s="24" t="inlineStr">
        <is>
          <t>statistical_model</t>
        </is>
      </c>
      <c r="AY444" s="24" t="n"/>
      <c r="AZ444" s="24" t="inlineStr">
        <is>
          <t>shadow_qualified</t>
        </is>
      </c>
      <c r="BA444" s="24" t="inlineStr">
        <is>
          <t>1d168f11d221cd3c</t>
        </is>
      </c>
      <c r="BB444" s="24" t="inlineStr">
        <is>
          <t>cfb_key_number_engine</t>
        </is>
      </c>
      <c r="BC444" s="24" t="inlineStr">
        <is>
          <t>cfb-total-v1</t>
        </is>
      </c>
      <c r="BD444" s="24" t="inlineStr">
        <is>
          <t>1d168f11d221cd3c</t>
        </is>
      </c>
      <c r="BE444" s="24" t="inlineStr">
        <is>
          <t>cfb-v1</t>
        </is>
      </c>
      <c r="BF444" s="24" t="inlineStr">
        <is>
          <t>1</t>
        </is>
      </c>
      <c r="BG444" s="24" t="inlineStr">
        <is>
          <t>1d168f11d221cd3c</t>
        </is>
      </c>
      <c r="BH444" s="24" t="inlineStr">
        <is>
          <t>2026-09-19T22:46:25.988423+00:00</t>
        </is>
      </c>
      <c r="BI444" s="24" t="inlineStr">
        <is>
          <t>["same_event","same_team_same_day","same_league_same_day"]</t>
        </is>
      </c>
      <c r="BJ444" s="25" t="n">
        <v>52.5</v>
      </c>
      <c r="BK444" s="26" t="n">
        <v>-112</v>
      </c>
      <c r="BL444" s="27" t="n">
        <v>1.892857</v>
      </c>
      <c r="BM444" s="28" t="n">
        <v>0.528302</v>
      </c>
      <c r="BN444" s="28" t="n"/>
      <c r="BO444" s="28" t="n"/>
      <c r="BP444" s="25" t="n"/>
      <c r="BQ444" s="27" t="n"/>
      <c r="BR444" s="28" t="n"/>
      <c r="BS444" s="28" t="n"/>
      <c r="BT444" s="28" t="n"/>
      <c r="BU444" s="25" t="n"/>
      <c r="BV444" s="29" t="n"/>
      <c r="BW444" s="24" t="n"/>
      <c r="BX444" s="30" t="n">
        <v>1</v>
      </c>
      <c r="BY444" s="27" t="n">
        <v>0.892857</v>
      </c>
      <c r="BZ444" s="24" t="inlineStr">
        <is>
          <t>2026-09-20T10:00:27.152510Z</t>
        </is>
      </c>
      <c r="CA444" s="31" t="inlineStr">
        <is>
          <t>fixed one-unit hypothetical scoring; no real exposure or execution</t>
        </is>
      </c>
      <c r="CB444" s="24" t="n"/>
      <c r="CC444" s="24" t="n"/>
      <c r="CD444" s="24" t="n"/>
      <c r="CE444" s="24" t="n"/>
      <c r="CF444" s="24" t="n"/>
      <c r="CG444" s="24" t="n"/>
      <c r="CH444" s="24" t="n"/>
      <c r="CI444" s="24" t="n"/>
      <c r="CJ444" s="24" t="n"/>
      <c r="CK444" s="24" t="n"/>
      <c r="CL444" s="24" t="n"/>
      <c r="CM444" s="24" t="n"/>
      <c r="CN444" s="24" t="n"/>
      <c r="CO444" s="24" t="n"/>
      <c r="CP444" s="24" t="n"/>
      <c r="CQ444" s="24" t="n"/>
      <c r="CR444" s="24" t="n"/>
      <c r="CS444" s="24" t="inlineStr">
        <is>
          <t>False</t>
        </is>
      </c>
      <c r="CT444" s="24" t="n"/>
      <c r="CU444" s="24" t="n"/>
      <c r="CV444" s="24" t="n"/>
      <c r="CW444" s="24" t="n"/>
      <c r="CX444" s="24" t="n"/>
      <c r="CY444" s="24" t="n"/>
      <c r="CZ444" s="24" t="n"/>
      <c r="DA444" s="24" t="n"/>
      <c r="DB444" s="24" t="n"/>
      <c r="DC444" s="24" t="n"/>
      <c r="DD444" s="24" t="n"/>
      <c r="DE444" s="24" t="n"/>
      <c r="DF444" s="24" t="n"/>
      <c r="DG444" s="24" t="n"/>
      <c r="DH444" s="24" t="n"/>
      <c r="DI444" s="24" t="n"/>
      <c r="DJ444" s="24" t="inlineStr">
        <is>
          <t>0.528302</t>
        </is>
      </c>
      <c r="DK444" s="24" t="n"/>
      <c r="DL444" s="24" t="n"/>
      <c r="DM444" s="24" t="n"/>
      <c r="DN444" s="24" t="n"/>
      <c r="DO444" s="24" t="n"/>
      <c r="DP444" s="24" t="n"/>
      <c r="DQ444" s="24" t="inlineStr">
        <is>
          <t>{"artifact_hash": "1d168f11d221cd3c", "event_id": "401858458", "event_start_utc": "2026-09-20T03:00Z", "features": {"altitude_fatigue_penalty": 0.0, "away_team": "Purdue Boilermakers", "efficiency_gap": 0.381, "elo_away": 1120.8, "elo_home": 1359.5, "elo_home_win_prob": 0.8517, "event_id": "401858458", "game_start_utc": "2026-09-20T03:00Z", "home_field_advantage_points": 2.8, "home_team": "UCLA Bruins", "is_dome": false, "is_fbs_vs_fcs": false, "is_neutral_site": false, "projected_away_points": 21.8, "projected_home_points": 34.2, "projected_margin_home": 12.4, "projected_possessions": 12.4, "projected_total": 55.9, "stadium_elevation_ft": 820, "travel_distance_miles": 1761.0, "uncertainty": 0.18, "weather_total_adjustment": 0.0}, "historical_source_observation_times_verified": false, "inference_inputs": {"engine_source_sha256": "449ba2f0e86fa9c445730076a0e0bf100fb4914620be53c75c6f3bfe24298f3f", "mu_away": 21.8, "mu_home": 34.2,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205341224324690760712818097830711250995}, "uinteger": 0}, "spread_home_line": -14.0, "total_line": 52.5}, "market_type": "total", "model_version": "cfb-total-v1", "observed_at_utc": "2026-09-19T22:46:25.988423+00:00", "probabilities": {"over": 0.525667, "push": 0.0, "under": 0.474333}, "replay_scope": "Full precision score means, exact engine parameters and original RNG state; upstream feature construction not certified.", "schema": "cfb-joint-replay-v1", "snapshot_hash": "82bb75b46d843c5c183f3de6924383e226498a134a9adf9bb3c7f4c88950b436", "sport": "NCAAF"}</t>
        </is>
      </c>
    </row>
    <row r="445" ht="36" customHeight="1">
      <c r="A445" s="24" t="inlineStr">
        <is>
          <t>d0bb1a35c3484d2f</t>
        </is>
      </c>
      <c r="B445" s="24" t="inlineStr">
        <is>
          <t>2026-09-19T22:46:25.988423Z</t>
        </is>
      </c>
      <c r="C445" s="24" t="inlineStr">
        <is>
          <t>2026-09-20T03:00Z</t>
        </is>
      </c>
      <c r="D445" s="24" t="inlineStr">
        <is>
          <t>401860886</t>
        </is>
      </c>
      <c r="E445" s="24" t="inlineStr">
        <is>
          <t>NCAAF</t>
        </is>
      </c>
      <c r="F445" s="24" t="inlineStr">
        <is>
          <t>Montana Grizzlies</t>
        </is>
      </c>
      <c r="G445" s="24" t="inlineStr">
        <is>
          <t>Oregon State Beavers</t>
        </is>
      </c>
      <c r="H445" s="24" t="inlineStr">
        <is>
          <t>moneyline</t>
        </is>
      </c>
      <c r="I445" s="24" t="inlineStr">
        <is>
          <t>away</t>
        </is>
      </c>
      <c r="J445" s="25" t="n"/>
      <c r="K445" s="24" t="inlineStr">
        <is>
          <t>espn_consensus</t>
        </is>
      </c>
      <c r="L445" s="26" t="n">
        <v>575</v>
      </c>
      <c r="M445" s="27" t="n">
        <v>6.75</v>
      </c>
      <c r="N445" s="28" t="n">
        <v>0.148148</v>
      </c>
      <c r="O445" s="28" t="n">
        <v>0.649344</v>
      </c>
      <c r="P445" s="28" t="n">
        <v>0.25</v>
      </c>
      <c r="Q445" s="28" t="n">
        <v>0.501196</v>
      </c>
      <c r="R445" s="26" t="n">
        <v>100</v>
      </c>
      <c r="S445" s="29" t="n">
        <v>2</v>
      </c>
      <c r="T445" s="24" t="inlineStr">
        <is>
          <t>college-football-v1</t>
        </is>
      </c>
      <c r="U445" s="24" t="inlineStr">
        <is>
          <t>settled</t>
        </is>
      </c>
      <c r="V445" s="24" t="inlineStr">
        <is>
          <t>loss</t>
        </is>
      </c>
      <c r="W445" s="26" t="n">
        <v>17</v>
      </c>
      <c r="X445" s="26" t="n">
        <v>52</v>
      </c>
      <c r="Y445" s="25" t="n"/>
      <c r="Z445" s="26" t="n"/>
      <c r="AA445" s="28" t="n"/>
      <c r="AB445" s="28" t="n"/>
      <c r="AC445" s="30" t="n">
        <v>-2</v>
      </c>
      <c r="AD445" s="24" t="inlineStr">
        <is>
          <t>2026-09-20T10:00:27.636922Z</t>
        </is>
      </c>
      <c r="AE445" s="31" t="inlineStr">
        <is>
          <t>CFB Joint Model (negative_binomial): proj score Montana Grizzlies 30.1 @ Oregon State Beavers 22.1 (Margin -8.0). Possessions: 12.4, HFA: +2.8 pts.</t>
        </is>
      </c>
      <c r="AF445" s="31" t="inlineStr">
        <is>
          <t>College football model; multi-market (moneyline, spread, total).</t>
        </is>
      </c>
      <c r="AG445" s="24" t="inlineStr">
        <is>
          <t>review_required</t>
        </is>
      </c>
      <c r="AH445" s="24" t="n"/>
      <c r="AI445" s="31" t="n"/>
      <c r="AJ445" s="31" t="n"/>
      <c r="AK445" s="24" t="inlineStr">
        <is>
          <t>model_qualified</t>
        </is>
      </c>
      <c r="AL445" s="26" t="n">
        <v>4</v>
      </c>
      <c r="AM445" s="24" t="inlineStr">
        <is>
          <t>QUALIFIED_SHADOW_CALL</t>
        </is>
      </c>
      <c r="AN445" s="24" t="inlineStr">
        <is>
          <t>CALL</t>
        </is>
      </c>
      <c r="AO445" s="24" t="inlineStr">
        <is>
          <t>QUALIFIED</t>
        </is>
      </c>
      <c r="AP445" s="24" t="inlineStr">
        <is>
          <t>Montana Grizzlies</t>
        </is>
      </c>
      <c r="AQ445" s="24" t="inlineStr">
        <is>
          <t>Montana Grizzlies</t>
        </is>
      </c>
      <c r="AR445" s="24" t="inlineStr">
        <is>
          <t>Montana Grizzlies</t>
        </is>
      </c>
      <c r="AS445" s="24" t="inlineStr">
        <is>
          <t>Oregon State Beavers</t>
        </is>
      </c>
      <c r="AT445" s="24" t="inlineStr">
        <is>
          <t>Oregon State Beavers</t>
        </is>
      </c>
      <c r="AU445" s="24" t="inlineStr">
        <is>
          <t>Oregon State Beavers</t>
        </is>
      </c>
      <c r="AV445" s="24" t="n"/>
      <c r="AW445" s="24" t="n"/>
      <c r="AX445" s="24" t="inlineStr">
        <is>
          <t>statistical_model</t>
        </is>
      </c>
      <c r="AY445" s="24" t="n"/>
      <c r="AZ445" s="24" t="inlineStr">
        <is>
          <t>shadow_qualified</t>
        </is>
      </c>
      <c r="BA445" s="24" t="inlineStr">
        <is>
          <t>1d168f11d221cd3c</t>
        </is>
      </c>
      <c r="BB445" s="24" t="inlineStr">
        <is>
          <t>cfb_key_number_engine</t>
        </is>
      </c>
      <c r="BC445" s="24" t="inlineStr">
        <is>
          <t>college-football-v1</t>
        </is>
      </c>
      <c r="BD445" s="24" t="inlineStr">
        <is>
          <t>1d168f11d221cd3c</t>
        </is>
      </c>
      <c r="BE445" s="24" t="inlineStr">
        <is>
          <t>cfb-v1</t>
        </is>
      </c>
      <c r="BF445" s="24" t="inlineStr">
        <is>
          <t>1</t>
        </is>
      </c>
      <c r="BG445" s="24" t="inlineStr">
        <is>
          <t>1d168f11d221cd3c</t>
        </is>
      </c>
      <c r="BH445" s="24" t="inlineStr">
        <is>
          <t>2026-09-19T22:46:25.988423+00:00</t>
        </is>
      </c>
      <c r="BI445" s="24" t="inlineStr">
        <is>
          <t>["same_event","same_team_same_day","same_league_same_day"]</t>
        </is>
      </c>
      <c r="BJ445" s="25" t="n"/>
      <c r="BK445" s="26" t="n">
        <v>575</v>
      </c>
      <c r="BL445" s="27" t="n">
        <v>6.75</v>
      </c>
      <c r="BM445" s="28" t="n">
        <v>0.148148</v>
      </c>
      <c r="BN445" s="28" t="n"/>
      <c r="BO445" s="28" t="n"/>
      <c r="BP445" s="25" t="n"/>
      <c r="BQ445" s="27" t="n"/>
      <c r="BR445" s="28" t="n"/>
      <c r="BS445" s="28" t="n"/>
      <c r="BT445" s="28" t="n"/>
      <c r="BU445" s="25" t="n"/>
      <c r="BV445" s="29" t="n"/>
      <c r="BW445" s="24" t="n"/>
      <c r="BX445" s="30" t="n"/>
      <c r="BY445" s="27" t="n"/>
      <c r="BZ445" s="24" t="n"/>
      <c r="CA445" s="31" t="n"/>
      <c r="CB445" s="24" t="n"/>
      <c r="CC445" s="24" t="n"/>
      <c r="CD445" s="24" t="n"/>
      <c r="CE445" s="24" t="n"/>
      <c r="CF445" s="24" t="n"/>
      <c r="CG445" s="24" t="n"/>
      <c r="CH445" s="24" t="n"/>
      <c r="CI445" s="24" t="n"/>
      <c r="CJ445" s="24" t="n"/>
      <c r="CK445" s="24" t="n"/>
      <c r="CL445" s="24" t="n"/>
      <c r="CM445" s="24" t="n"/>
      <c r="CN445" s="24" t="n"/>
      <c r="CO445" s="24" t="n"/>
      <c r="CP445" s="24" t="n"/>
      <c r="CQ445" s="24" t="n"/>
      <c r="CR445" s="24" t="n"/>
      <c r="CS445" s="24" t="inlineStr">
        <is>
          <t>True</t>
        </is>
      </c>
      <c r="CT445" s="24" t="n"/>
      <c r="CU445" s="24" t="n"/>
      <c r="CV445" s="24" t="n"/>
      <c r="CW445" s="24" t="n"/>
      <c r="CX445" s="24" t="n"/>
      <c r="CY445" s="24" t="n"/>
      <c r="CZ445" s="24" t="n"/>
      <c r="DA445" s="24" t="n"/>
      <c r="DB445" s="24" t="n"/>
      <c r="DC445" s="24" t="n"/>
      <c r="DD445" s="24" t="n"/>
      <c r="DE445" s="24" t="n"/>
      <c r="DF445" s="24" t="n"/>
      <c r="DG445" s="24" t="n"/>
      <c r="DH445" s="24" t="n"/>
      <c r="DI445" s="24" t="n"/>
      <c r="DJ445" s="24" t="inlineStr">
        <is>
          <t>0.148148</t>
        </is>
      </c>
      <c r="DK445" s="24" t="n"/>
      <c r="DL445" s="24" t="n"/>
      <c r="DM445" s="24" t="n"/>
      <c r="DN445" s="24" t="n"/>
      <c r="DO445" s="24" t="n"/>
      <c r="DP445" s="24" t="n"/>
      <c r="DQ445" s="24" t="inlineStr">
        <is>
          <t>{"artifact_hash": "1d168f11d221cd3c", "event_id": "401860886", "event_start_utc": "2026-09-20T03:00Z", "features": {"altitude_fatigue_penalty": 0.0, "away_team": "Montana Grizzlies", "efficiency_gap": 2.098, "elo_away": 1409.7, "elo_home": 1148.0, "elo_home_win_prob": 0.2438, "event_id": "401860886", "game_start_utc": "2026-09-20T03:00Z", "home_field_advantage_points": 2.8, "home_team": "Oregon State Beavers", "is_dome": false, "is_fbs_vs_fcs": true, "is_neutral_site": false, "projected_away_points": 30.1, "projected_home_points": 22.1, "projected_margin_home": -8.0, "projected_possessions": 12.4, "projected_total": 52.3, "stadium_elevation_ft": 230, "travel_distance_miles": 476.0, "uncertainty": 0.25, "weather_total_adjustment": 0.0}, "historical_source_observation_times_verified": false, "inference_inputs": {"engine_source_sha256": "449ba2f0e86fa9c445730076a0e0bf100fb4914620be53c75c6f3bfe24298f3f", "mu_away": 30.1, "mu_home": 22.1, "parameters": {"distribution_type": "negative_binomial", "margin_sd": 22.009999999999998, "n_simulations": 15000, "nb_dispersion": 12.0, "score_correlation": 0.18, "total_sd": 14.8}, "rng_state_before": {"bit_generator": "PCG64", "has_uint32": 0, "state": {"inc": 332724090758049132448979897138935081983, "state": 184106564982715127077091965974297039457}, "uinteger": 0}, "spread_home_line": -17.5, "total_line": 55.5}, "market_type": "moneyline", "model_version": "college-football-v1", "observed_at_utc": "2026-09-19T22:46:25.988423+00:00", "probabilities": {"away": 0.649344, "home": 0.350656}, "replay_scope": "Full precision score means, exact engine parameters and original RNG state; upstream feature construction not certified.", "schema": "cfb-joint-replay-v1", "snapshot_hash": "098448c372183639713dc930139fdda39f0c1c67150d0da6efc5631f87802643", "sport": "NCAAF"}</t>
        </is>
      </c>
    </row>
    <row r="446" ht="36" customHeight="1">
      <c r="A446" s="24" t="inlineStr">
        <is>
          <t>bd485a6b13c84f9d</t>
        </is>
      </c>
      <c r="B446" s="24" t="inlineStr">
        <is>
          <t>2026-09-19T22:46:25.988423Z</t>
        </is>
      </c>
      <c r="C446" s="24" t="inlineStr">
        <is>
          <t>2026-09-20T03:00Z</t>
        </is>
      </c>
      <c r="D446" s="24" t="inlineStr">
        <is>
          <t>401860886</t>
        </is>
      </c>
      <c r="E446" s="24" t="inlineStr">
        <is>
          <t>NCAAF</t>
        </is>
      </c>
      <c r="F446" s="24" t="inlineStr">
        <is>
          <t>Montana Grizzlies</t>
        </is>
      </c>
      <c r="G446" s="24" t="inlineStr">
        <is>
          <t>Oregon State Beavers</t>
        </is>
      </c>
      <c r="H446" s="24" t="inlineStr">
        <is>
          <t>spread</t>
        </is>
      </c>
      <c r="I446" s="24" t="inlineStr">
        <is>
          <t>away</t>
        </is>
      </c>
      <c r="J446" s="25" t="n">
        <v>17.5</v>
      </c>
      <c r="K446" s="24" t="inlineStr">
        <is>
          <t>espn_consensus</t>
        </is>
      </c>
      <c r="L446" s="26" t="n">
        <v>-115</v>
      </c>
      <c r="M446" s="27" t="n">
        <v>1.869565</v>
      </c>
      <c r="N446" s="28" t="n">
        <v>0.534884</v>
      </c>
      <c r="O446" s="28" t="n">
        <v>0.881267</v>
      </c>
      <c r="P446" s="28" t="n">
        <v>0.25</v>
      </c>
      <c r="Q446" s="28" t="n">
        <v>0.346383</v>
      </c>
      <c r="R446" s="26" t="n">
        <v>73</v>
      </c>
      <c r="S446" s="29" t="n">
        <v>1.75</v>
      </c>
      <c r="T446" s="24" t="inlineStr">
        <is>
          <t>cfb-spread-v1</t>
        </is>
      </c>
      <c r="U446" s="24" t="inlineStr">
        <is>
          <t>settled</t>
        </is>
      </c>
      <c r="V446" s="24" t="inlineStr">
        <is>
          <t>loss</t>
        </is>
      </c>
      <c r="W446" s="26" t="n">
        <v>17</v>
      </c>
      <c r="X446" s="26" t="n">
        <v>52</v>
      </c>
      <c r="Y446" s="25" t="n"/>
      <c r="Z446" s="26" t="n"/>
      <c r="AA446" s="28" t="n"/>
      <c r="AB446" s="28" t="n"/>
      <c r="AC446" s="30" t="n">
        <v>-1.75</v>
      </c>
      <c r="AD446" s="24" t="inlineStr">
        <is>
          <t>2026-09-20T10:00:28.115495Z</t>
        </is>
      </c>
      <c r="AE446" s="31" t="inlineStr">
        <is>
          <t>Projected home margin -8.0 pts. Spread: Home -17.5 / Away +17.5 -&gt; P(Away cover)=0.881, P(Home cover)=0.119, P(Push)=0.000.</t>
        </is>
      </c>
      <c r="AF446" s="31" t="inlineStr">
        <is>
          <t>College football model; multi-market (moneyline, spread, total).</t>
        </is>
      </c>
      <c r="AG446" s="24" t="inlineStr">
        <is>
          <t>review_required</t>
        </is>
      </c>
      <c r="AH446" s="24" t="n"/>
      <c r="AI446" s="31" t="n"/>
      <c r="AJ446" s="31" t="n"/>
      <c r="AK446" s="24" t="inlineStr">
        <is>
          <t>model_qualified</t>
        </is>
      </c>
      <c r="AL446" s="26" t="n">
        <v>4</v>
      </c>
      <c r="AM446" s="24" t="inlineStr">
        <is>
          <t>QUALIFIED_SHADOW_CALL</t>
        </is>
      </c>
      <c r="AN446" s="24" t="inlineStr">
        <is>
          <t>CALL</t>
        </is>
      </c>
      <c r="AO446" s="24" t="inlineStr">
        <is>
          <t>QUALIFIED</t>
        </is>
      </c>
      <c r="AP446" s="24" t="inlineStr">
        <is>
          <t>Montana Grizzlies</t>
        </is>
      </c>
      <c r="AQ446" s="24" t="inlineStr">
        <is>
          <t>Montana Grizzlies</t>
        </is>
      </c>
      <c r="AR446" s="24" t="inlineStr">
        <is>
          <t>Montana Grizzlies</t>
        </is>
      </c>
      <c r="AS446" s="24" t="inlineStr">
        <is>
          <t>Oregon State Beavers</t>
        </is>
      </c>
      <c r="AT446" s="24" t="inlineStr">
        <is>
          <t>Oregon State Beavers</t>
        </is>
      </c>
      <c r="AU446" s="24" t="inlineStr">
        <is>
          <t>Oregon State Beavers</t>
        </is>
      </c>
      <c r="AV446" s="24" t="n"/>
      <c r="AW446" s="24" t="n"/>
      <c r="AX446" s="24" t="inlineStr">
        <is>
          <t>statistical_model</t>
        </is>
      </c>
      <c r="AY446" s="24" t="n"/>
      <c r="AZ446" s="24" t="inlineStr">
        <is>
          <t>shadow_qualified</t>
        </is>
      </c>
      <c r="BA446" s="24" t="inlineStr">
        <is>
          <t>1d168f11d221cd3c</t>
        </is>
      </c>
      <c r="BB446" s="24" t="inlineStr">
        <is>
          <t>cfb_key_number_engine</t>
        </is>
      </c>
      <c r="BC446" s="24" t="inlineStr">
        <is>
          <t>cfb-spread-v1</t>
        </is>
      </c>
      <c r="BD446" s="24" t="inlineStr">
        <is>
          <t>1d168f11d221cd3c</t>
        </is>
      </c>
      <c r="BE446" s="24" t="inlineStr">
        <is>
          <t>cfb-v1</t>
        </is>
      </c>
      <c r="BF446" s="24" t="inlineStr">
        <is>
          <t>1</t>
        </is>
      </c>
      <c r="BG446" s="24" t="inlineStr">
        <is>
          <t>1d168f11d221cd3c</t>
        </is>
      </c>
      <c r="BH446" s="24" t="inlineStr">
        <is>
          <t>2026-09-19T22:46:25.988423+00:00</t>
        </is>
      </c>
      <c r="BI446" s="24" t="inlineStr">
        <is>
          <t>["same_event","same_team_same_day","same_league_same_day"]</t>
        </is>
      </c>
      <c r="BJ446" s="25" t="n">
        <v>17.5</v>
      </c>
      <c r="BK446" s="26" t="n">
        <v>-115</v>
      </c>
      <c r="BL446" s="27" t="n">
        <v>1.869565</v>
      </c>
      <c r="BM446" s="28" t="n">
        <v>0.534884</v>
      </c>
      <c r="BN446" s="28" t="n"/>
      <c r="BO446" s="28" t="n"/>
      <c r="BP446" s="25" t="n"/>
      <c r="BQ446" s="27" t="n"/>
      <c r="BR446" s="28" t="n"/>
      <c r="BS446" s="28" t="n"/>
      <c r="BT446" s="28" t="n"/>
      <c r="BU446" s="25" t="n"/>
      <c r="BV446" s="29" t="n"/>
      <c r="BW446" s="24" t="n"/>
      <c r="BX446" s="30" t="n"/>
      <c r="BY446" s="27" t="n"/>
      <c r="BZ446" s="24" t="n"/>
      <c r="CA446" s="31" t="n"/>
      <c r="CB446" s="24" t="n"/>
      <c r="CC446" s="24" t="n"/>
      <c r="CD446" s="24" t="n"/>
      <c r="CE446" s="24" t="n"/>
      <c r="CF446" s="24" t="n"/>
      <c r="CG446" s="24" t="n"/>
      <c r="CH446" s="24" t="n"/>
      <c r="CI446" s="24" t="n"/>
      <c r="CJ446" s="24" t="n"/>
      <c r="CK446" s="24" t="n"/>
      <c r="CL446" s="24" t="n"/>
      <c r="CM446" s="24" t="n"/>
      <c r="CN446" s="24" t="n"/>
      <c r="CO446" s="24" t="n"/>
      <c r="CP446" s="24" t="n"/>
      <c r="CQ446" s="24" t="n"/>
      <c r="CR446" s="24" t="n"/>
      <c r="CS446" s="24" t="inlineStr">
        <is>
          <t>True</t>
        </is>
      </c>
      <c r="CT446" s="24" t="n"/>
      <c r="CU446" s="24" t="n"/>
      <c r="CV446" s="24" t="n"/>
      <c r="CW446" s="24" t="n"/>
      <c r="CX446" s="24" t="n"/>
      <c r="CY446" s="24" t="n"/>
      <c r="CZ446" s="24" t="n"/>
      <c r="DA446" s="24" t="n"/>
      <c r="DB446" s="24" t="n"/>
      <c r="DC446" s="24" t="n"/>
      <c r="DD446" s="24" t="n"/>
      <c r="DE446" s="24" t="n"/>
      <c r="DF446" s="24" t="n"/>
      <c r="DG446" s="24" t="n"/>
      <c r="DH446" s="24" t="n"/>
      <c r="DI446" s="24" t="n"/>
      <c r="DJ446" s="24" t="inlineStr">
        <is>
          <t>0.534884</t>
        </is>
      </c>
      <c r="DK446" s="24" t="n"/>
      <c r="DL446" s="24" t="n"/>
      <c r="DM446" s="24" t="n"/>
      <c r="DN446" s="24" t="n"/>
      <c r="DO446" s="24" t="n"/>
      <c r="DP446" s="24" t="n"/>
      <c r="DQ446" s="24" t="inlineStr">
        <is>
          <t>{"artifact_hash": "1d168f11d221cd3c", "event_id": "401860886", "event_start_utc": "2026-09-20T03:00Z", "features": {"altitude_fatigue_penalty": 0.0, "away_team": "Montana Grizzlies", "efficiency_gap": 2.098, "elo_away": 1409.7, "elo_home": 1148.0, "elo_home_win_prob": 0.2438, "event_id": "401860886", "game_start_utc": "2026-09-20T03:00Z", "home_field_advantage_points": 2.8, "home_team": "Oregon State Beavers", "is_dome": false, "is_fbs_vs_fcs": true, "is_neutral_site": false, "projected_away_points": 30.1, "projected_home_points": 22.1, "projected_margin_home": -8.0, "projected_possessions": 12.4, "projected_total": 52.3, "stadium_elevation_ft": 230, "travel_distance_miles": 476.0, "uncertainty": 0.25, "weather_total_adjustment": 0.0}, "historical_source_observation_times_verified": false, "inference_inputs": {"engine_source_sha256": "449ba2f0e86fa9c445730076a0e0bf100fb4914620be53c75c6f3bfe24298f3f", "mu_away": 30.1, "mu_home": 22.1, "parameters": {"distribution_type": "negative_binomial", "margin_sd": 22.009999999999998, "n_simulations": 15000, "nb_dispersion": 12.0, "score_correlation": 0.18, "total_sd": 14.8}, "rng_state_before": {"bit_generator": "PCG64", "has_uint32": 0, "state": {"inc": 332724090758049132448979897138935081983, "state": 184106564982715127077091965974297039457}, "uinteger": 0}, "spread_home_line": -17.5, "total_line": 55.5}, "market_type": "spread", "model_version": "cfb-spread-v1", "observed_at_utc": "2026-09-19T22:46:25.988423+00:00", "probabilities": {"away": 0.881267, "home": 0.118733, "push": 0.0}, "replay_scope": "Full precision score means, exact engine parameters and original RNG state; upstream feature construction not certified.", "schema": "cfb-joint-replay-v1", "snapshot_hash": "cf36cfb900f4902651a418e1bf8c8077821d5ba30d48b6145b47913b9eca9ef3", "sport": "NCAAF"}</t>
        </is>
      </c>
    </row>
    <row r="447" ht="36" customHeight="1">
      <c r="A447" s="24" t="inlineStr">
        <is>
          <t>70da674bbc0c4b34</t>
        </is>
      </c>
      <c r="B447" s="24" t="inlineStr">
        <is>
          <t>2026-09-19T22:46:25.988423Z</t>
        </is>
      </c>
      <c r="C447" s="24" t="inlineStr">
        <is>
          <t>2026-09-20T03:00Z</t>
        </is>
      </c>
      <c r="D447" s="24" t="inlineStr">
        <is>
          <t>401860886</t>
        </is>
      </c>
      <c r="E447" s="24" t="inlineStr">
        <is>
          <t>NCAAF</t>
        </is>
      </c>
      <c r="F447" s="24" t="inlineStr">
        <is>
          <t>Montana Grizzlies</t>
        </is>
      </c>
      <c r="G447" s="24" t="inlineStr">
        <is>
          <t>Oregon State Beavers</t>
        </is>
      </c>
      <c r="H447" s="24" t="inlineStr">
        <is>
          <t>total</t>
        </is>
      </c>
      <c r="I447" s="24" t="inlineStr">
        <is>
          <t>under</t>
        </is>
      </c>
      <c r="J447" s="25" t="n">
        <v>55.5</v>
      </c>
      <c r="K447" s="24" t="inlineStr">
        <is>
          <t>espn_consensus</t>
        </is>
      </c>
      <c r="L447" s="26" t="n">
        <v>-115</v>
      </c>
      <c r="M447" s="27" t="n">
        <v>1.869565</v>
      </c>
      <c r="N447" s="28" t="n">
        <v>0.534884</v>
      </c>
      <c r="O447" s="28" t="n">
        <v>0.586467</v>
      </c>
      <c r="P447" s="28" t="n">
        <v>0.25</v>
      </c>
      <c r="Q447" s="28" t="n">
        <v>0.051583</v>
      </c>
      <c r="R447" s="26" t="n">
        <v>0</v>
      </c>
      <c r="S447" s="29" t="n">
        <v>1</v>
      </c>
      <c r="T447" s="24" t="inlineStr">
        <is>
          <t>cfb-total-v1</t>
        </is>
      </c>
      <c r="U447" s="24" t="inlineStr">
        <is>
          <t>settled</t>
        </is>
      </c>
      <c r="V447" s="24" t="inlineStr">
        <is>
          <t>loss</t>
        </is>
      </c>
      <c r="W447" s="26" t="n">
        <v>17</v>
      </c>
      <c r="X447" s="26" t="n">
        <v>52</v>
      </c>
      <c r="Y447" s="25" t="n"/>
      <c r="Z447" s="26" t="n"/>
      <c r="AA447" s="28" t="n"/>
      <c r="AB447" s="28" t="n"/>
      <c r="AC447" s="30" t="n">
        <v>-1</v>
      </c>
      <c r="AD447" s="24" t="inlineStr">
        <is>
          <t>2026-09-20T10:00:28.585588Z</t>
        </is>
      </c>
      <c r="AE447" s="31" t="inlineStr">
        <is>
          <t>Projected total 52.3 pts (Weather adj: +0.0 pts). Total line 55.5 -&gt; P(Over)=0.414, P(Under)=0.586, P(Push)=0.000.</t>
        </is>
      </c>
      <c r="AF447" s="31" t="inlineStr">
        <is>
          <t>College football model; multi-market (moneyline, spread, total).</t>
        </is>
      </c>
      <c r="AG447" s="24" t="inlineStr">
        <is>
          <t>review_required</t>
        </is>
      </c>
      <c r="AH447" s="24" t="n"/>
      <c r="AI447" s="31" t="n"/>
      <c r="AJ447" s="31" t="n"/>
      <c r="AK447" s="24" t="inlineStr">
        <is>
          <t>model_qualified</t>
        </is>
      </c>
      <c r="AL447" s="26" t="n">
        <v>4</v>
      </c>
      <c r="AM447" s="24" t="inlineStr">
        <is>
          <t>QUALIFIED_SHADOW_CALL</t>
        </is>
      </c>
      <c r="AN447" s="24" t="inlineStr">
        <is>
          <t>CALL</t>
        </is>
      </c>
      <c r="AO447" s="24" t="inlineStr">
        <is>
          <t>QUALIFIED</t>
        </is>
      </c>
      <c r="AP447" s="24" t="inlineStr">
        <is>
          <t>Montana Grizzlies</t>
        </is>
      </c>
      <c r="AQ447" s="24" t="inlineStr">
        <is>
          <t>Montana Grizzlies</t>
        </is>
      </c>
      <c r="AR447" s="24" t="inlineStr">
        <is>
          <t>Montana Grizzlies</t>
        </is>
      </c>
      <c r="AS447" s="24" t="inlineStr">
        <is>
          <t>Oregon State Beavers</t>
        </is>
      </c>
      <c r="AT447" s="24" t="inlineStr">
        <is>
          <t>Oregon State Beavers</t>
        </is>
      </c>
      <c r="AU447" s="24" t="inlineStr">
        <is>
          <t>Oregon State Beavers</t>
        </is>
      </c>
      <c r="AV447" s="24" t="n"/>
      <c r="AW447" s="24" t="n"/>
      <c r="AX447" s="24" t="inlineStr">
        <is>
          <t>statistical_model</t>
        </is>
      </c>
      <c r="AY447" s="24" t="n"/>
      <c r="AZ447" s="24" t="inlineStr">
        <is>
          <t>shadow_qualified</t>
        </is>
      </c>
      <c r="BA447" s="24" t="inlineStr">
        <is>
          <t>1d168f11d221cd3c</t>
        </is>
      </c>
      <c r="BB447" s="24" t="inlineStr">
        <is>
          <t>cfb_key_number_engine</t>
        </is>
      </c>
      <c r="BC447" s="24" t="inlineStr">
        <is>
          <t>cfb-total-v1</t>
        </is>
      </c>
      <c r="BD447" s="24" t="inlineStr">
        <is>
          <t>1d168f11d221cd3c</t>
        </is>
      </c>
      <c r="BE447" s="24" t="inlineStr">
        <is>
          <t>cfb-v1</t>
        </is>
      </c>
      <c r="BF447" s="24" t="inlineStr">
        <is>
          <t>1</t>
        </is>
      </c>
      <c r="BG447" s="24" t="inlineStr">
        <is>
          <t>1d168f11d221cd3c</t>
        </is>
      </c>
      <c r="BH447" s="24" t="inlineStr">
        <is>
          <t>2026-09-19T22:46:25.988423+00:00</t>
        </is>
      </c>
      <c r="BI447" s="24" t="inlineStr">
        <is>
          <t>["same_event","same_team_same_day","same_league_same_day"]</t>
        </is>
      </c>
      <c r="BJ447" s="25" t="n">
        <v>55.5</v>
      </c>
      <c r="BK447" s="26" t="n">
        <v>-115</v>
      </c>
      <c r="BL447" s="27" t="n">
        <v>1.869565</v>
      </c>
      <c r="BM447" s="28" t="n">
        <v>0.534884</v>
      </c>
      <c r="BN447" s="28" t="n"/>
      <c r="BO447" s="28" t="n"/>
      <c r="BP447" s="25" t="n"/>
      <c r="BQ447" s="27" t="n"/>
      <c r="BR447" s="28" t="n"/>
      <c r="BS447" s="28" t="n"/>
      <c r="BT447" s="28" t="n"/>
      <c r="BU447" s="25" t="n"/>
      <c r="BV447" s="29" t="n"/>
      <c r="BW447" s="24" t="n"/>
      <c r="BX447" s="30" t="n"/>
      <c r="BY447" s="27" t="n"/>
      <c r="BZ447" s="24" t="n"/>
      <c r="CA447" s="31" t="n"/>
      <c r="CB447" s="24" t="n"/>
      <c r="CC447" s="24" t="n"/>
      <c r="CD447" s="24" t="n"/>
      <c r="CE447" s="24" t="n"/>
      <c r="CF447" s="24" t="n"/>
      <c r="CG447" s="24" t="n"/>
      <c r="CH447" s="24" t="n"/>
      <c r="CI447" s="24" t="n"/>
      <c r="CJ447" s="24" t="n"/>
      <c r="CK447" s="24" t="n"/>
      <c r="CL447" s="24" t="n"/>
      <c r="CM447" s="24" t="n"/>
      <c r="CN447" s="24" t="n"/>
      <c r="CO447" s="24" t="n"/>
      <c r="CP447" s="24" t="n"/>
      <c r="CQ447" s="24" t="n"/>
      <c r="CR447" s="24" t="n"/>
      <c r="CS447" s="24" t="inlineStr">
        <is>
          <t>True</t>
        </is>
      </c>
      <c r="CT447" s="24" t="n"/>
      <c r="CU447" s="24" t="n"/>
      <c r="CV447" s="24" t="n"/>
      <c r="CW447" s="24" t="n"/>
      <c r="CX447" s="24" t="n"/>
      <c r="CY447" s="24" t="n"/>
      <c r="CZ447" s="24" t="n"/>
      <c r="DA447" s="24" t="n"/>
      <c r="DB447" s="24" t="n"/>
      <c r="DC447" s="24" t="n"/>
      <c r="DD447" s="24" t="n"/>
      <c r="DE447" s="24" t="n"/>
      <c r="DF447" s="24" t="n"/>
      <c r="DG447" s="24" t="n"/>
      <c r="DH447" s="24" t="n"/>
      <c r="DI447" s="24" t="n"/>
      <c r="DJ447" s="24" t="inlineStr">
        <is>
          <t>0.534884</t>
        </is>
      </c>
      <c r="DK447" s="24" t="n"/>
      <c r="DL447" s="24" t="n"/>
      <c r="DM447" s="24" t="n"/>
      <c r="DN447" s="24" t="n"/>
      <c r="DO447" s="24" t="n"/>
      <c r="DP447" s="24" t="n"/>
      <c r="DQ447" s="24" t="inlineStr">
        <is>
          <t>{"artifact_hash": "1d168f11d221cd3c", "event_id": "401860886", "event_start_utc": "2026-09-20T03:00Z", "features": {"altitude_fatigue_penalty": 0.0, "away_team": "Montana Grizzlies", "efficiency_gap": 2.098, "elo_away": 1409.7, "elo_home": 1148.0, "elo_home_win_prob": 0.2438, "event_id": "401860886", "game_start_utc": "2026-09-20T03:00Z", "home_field_advantage_points": 2.8, "home_team": "Oregon State Beavers", "is_dome": false, "is_fbs_vs_fcs": true, "is_neutral_site": false, "projected_away_points": 30.1, "projected_home_points": 22.1, "projected_margin_home": -8.0, "projected_possessions": 12.4, "projected_total": 52.3, "stadium_elevation_ft": 230, "travel_distance_miles": 476.0, "uncertainty": 0.25, "weather_total_adjustment": 0.0}, "historical_source_observation_times_verified": false, "inference_inputs": {"engine_source_sha256": "449ba2f0e86fa9c445730076a0e0bf100fb4914620be53c75c6f3bfe24298f3f", "mu_away": 30.1, "mu_home": 22.1, "parameters": {"distribution_type": "negative_binomial", "margin_sd": 22.009999999999998, "n_simulations": 15000, "nb_dispersion": 12.0, "score_correlation": 0.18, "total_sd": 14.8}, "rng_state_before": {"bit_generator": "PCG64", "has_uint32": 0, "state": {"inc": 332724090758049132448979897138935081983, "state": 184106564982715127077091965974297039457}, "uinteger": 0}, "spread_home_line": -17.5, "total_line": 55.5}, "market_type": "total", "model_version": "cfb-total-v1", "observed_at_utc": "2026-09-19T22:46:25.988423+00:00", "probabilities": {"over": 0.413533, "push": 0.0, "under": 0.586467}, "replay_scope": "Full precision score means, exact engine parameters and original RNG state; upstream feature construction not certified.", "schema": "cfb-joint-replay-v1", "snapshot_hash": "6a9918eaf45ed5cd383278de29dc6676fcae707317b8baafb44ff91121f6a5f6", "sport": "NCAAF"}</t>
        </is>
      </c>
    </row>
    <row r="448" ht="36" customHeight="1">
      <c r="A448" s="24" t="inlineStr">
        <is>
          <t>9ac5296cc2744976</t>
        </is>
      </c>
      <c r="B448" s="24" t="inlineStr">
        <is>
          <t>2026-09-19T22:46:25.988423Z</t>
        </is>
      </c>
      <c r="C448" s="24" t="inlineStr">
        <is>
          <t>2026-09-20T03:00Z</t>
        </is>
      </c>
      <c r="D448" s="24" t="inlineStr">
        <is>
          <t>401860888</t>
        </is>
      </c>
      <c r="E448" s="24" t="inlineStr">
        <is>
          <t>NCAAF</t>
        </is>
      </c>
      <c r="F448" s="24" t="inlineStr">
        <is>
          <t>Fresno State Bulldogs</t>
        </is>
      </c>
      <c r="G448" s="24" t="inlineStr">
        <is>
          <t>San José State Spartans</t>
        </is>
      </c>
      <c r="H448" s="24" t="inlineStr">
        <is>
          <t>moneyline</t>
        </is>
      </c>
      <c r="I448" s="24" t="inlineStr">
        <is>
          <t>away</t>
        </is>
      </c>
      <c r="J448" s="25" t="n"/>
      <c r="K448" s="24" t="inlineStr">
        <is>
          <t>espn_consensus</t>
        </is>
      </c>
      <c r="L448" s="26" t="n">
        <v>-198</v>
      </c>
      <c r="M448" s="27" t="n">
        <v>1.505051</v>
      </c>
      <c r="N448" s="28" t="n">
        <v>0.66443</v>
      </c>
      <c r="O448" s="28" t="n">
        <v>0.512875</v>
      </c>
      <c r="P448" s="28" t="n">
        <v>0.18</v>
      </c>
      <c r="Q448" s="28" t="n">
        <v>-0.151555</v>
      </c>
      <c r="R448" s="26" t="n">
        <v>0</v>
      </c>
      <c r="S448" s="29" t="n">
        <v>1</v>
      </c>
      <c r="T448" s="24" t="inlineStr">
        <is>
          <t>college-football-v1</t>
        </is>
      </c>
      <c r="U448" s="24" t="inlineStr">
        <is>
          <t>settled</t>
        </is>
      </c>
      <c r="V448" s="24" t="inlineStr">
        <is>
          <t>win</t>
        </is>
      </c>
      <c r="W448" s="26" t="n">
        <v>26</v>
      </c>
      <c r="X448" s="26" t="n">
        <v>10</v>
      </c>
      <c r="Y448" s="25" t="n"/>
      <c r="Z448" s="26" t="n"/>
      <c r="AA448" s="28" t="n"/>
      <c r="AB448" s="28" t="n"/>
      <c r="AC448" s="30" t="n">
        <v>0.5051</v>
      </c>
      <c r="AD448" s="24" t="inlineStr">
        <is>
          <t>2026-09-20T10:00:29.070173Z</t>
        </is>
      </c>
      <c r="AE448" s="31" t="inlineStr">
        <is>
          <t>CFB Joint Model (negative_binomial): proj score Fresno State Bulldogs 26.6 @ San José State Spartans 25.8 (Margin -0.9). Possessions: 12.4, HFA: +2.8 pts.</t>
        </is>
      </c>
      <c r="AF448" s="31" t="inlineStr">
        <is>
          <t>College football model; multi-market (moneyline, spread, total).</t>
        </is>
      </c>
      <c r="AG448" s="24" t="inlineStr">
        <is>
          <t>not_applicable</t>
        </is>
      </c>
      <c r="AH448" s="24" t="n"/>
      <c r="AI448" s="31" t="n"/>
      <c r="AJ448" s="31" t="n"/>
      <c r="AK448" s="24" t="inlineStr">
        <is>
          <t>paper_call</t>
        </is>
      </c>
      <c r="AL448" s="26" t="n">
        <v>4</v>
      </c>
      <c r="AM448" s="24" t="inlineStr">
        <is>
          <t>RESEARCH_OBSERVATION</t>
        </is>
      </c>
      <c r="AN448" s="24" t="inlineStr">
        <is>
          <t>CALL</t>
        </is>
      </c>
      <c r="AO448" s="24" t="inlineStr">
        <is>
          <t>PAPER_CALL_LOW_EDGE</t>
        </is>
      </c>
      <c r="AP448" s="24" t="inlineStr">
        <is>
          <t>Fresno State Bulldogs</t>
        </is>
      </c>
      <c r="AQ448" s="24" t="inlineStr">
        <is>
          <t>Fresno State Bulldogs</t>
        </is>
      </c>
      <c r="AR448" s="24" t="inlineStr">
        <is>
          <t>Fresno State Bulldogs</t>
        </is>
      </c>
      <c r="AS448" s="24" t="inlineStr">
        <is>
          <t>San José State Spartans</t>
        </is>
      </c>
      <c r="AT448" s="24" t="inlineStr">
        <is>
          <t>San José State Spartans</t>
        </is>
      </c>
      <c r="AU448" s="24" t="inlineStr">
        <is>
          <t>San José State Spartans</t>
        </is>
      </c>
      <c r="AV448" s="24" t="n"/>
      <c r="AW448" s="24" t="n"/>
      <c r="AX448" s="24" t="inlineStr">
        <is>
          <t>statistical_model</t>
        </is>
      </c>
      <c r="AY448" s="24" t="n"/>
      <c r="AZ448" s="24" t="inlineStr">
        <is>
          <t>shadow_qualified</t>
        </is>
      </c>
      <c r="BA448" s="24" t="inlineStr">
        <is>
          <t>1d168f11d221cd3c</t>
        </is>
      </c>
      <c r="BB448" s="24" t="inlineStr">
        <is>
          <t>cfb_key_number_engine</t>
        </is>
      </c>
      <c r="BC448" s="24" t="inlineStr">
        <is>
          <t>college-football-v1</t>
        </is>
      </c>
      <c r="BD448" s="24" t="inlineStr">
        <is>
          <t>1d168f11d221cd3c</t>
        </is>
      </c>
      <c r="BE448" s="24" t="inlineStr">
        <is>
          <t>cfb-v1</t>
        </is>
      </c>
      <c r="BF448" s="24" t="inlineStr">
        <is>
          <t>1</t>
        </is>
      </c>
      <c r="BG448" s="24" t="inlineStr">
        <is>
          <t>1d168f11d221cd3c</t>
        </is>
      </c>
      <c r="BH448" s="24" t="inlineStr">
        <is>
          <t>2026-09-19T22:46:25.988423+00:00</t>
        </is>
      </c>
      <c r="BI448" s="24" t="inlineStr">
        <is>
          <t>["same_event","same_team_same_day","same_league_same_day"]</t>
        </is>
      </c>
      <c r="BJ448" s="25" t="n"/>
      <c r="BK448" s="26" t="n">
        <v>-198</v>
      </c>
      <c r="BL448" s="27" t="n">
        <v>1.505051</v>
      </c>
      <c r="BM448" s="28" t="n">
        <v>0.66443</v>
      </c>
      <c r="BN448" s="28" t="n"/>
      <c r="BO448" s="28" t="n"/>
      <c r="BP448" s="25" t="n"/>
      <c r="BQ448" s="27" t="n"/>
      <c r="BR448" s="28" t="n"/>
      <c r="BS448" s="28" t="n"/>
      <c r="BT448" s="28" t="n"/>
      <c r="BU448" s="25" t="n"/>
      <c r="BV448" s="29" t="n"/>
      <c r="BW448" s="24" t="n"/>
      <c r="BX448" s="30" t="n">
        <v>1</v>
      </c>
      <c r="BY448" s="27" t="n">
        <v>0.505051</v>
      </c>
      <c r="BZ448" s="24" t="inlineStr">
        <is>
          <t>2026-09-20T10:00:29.070173Z</t>
        </is>
      </c>
      <c r="CA448" s="31" t="inlineStr">
        <is>
          <t>fixed one-unit hypothetical scoring; no real exposure or execution</t>
        </is>
      </c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n"/>
      <c r="CR448" s="24" t="n"/>
      <c r="CS448" s="24" t="inlineStr">
        <is>
          <t>False</t>
        </is>
      </c>
      <c r="CT448" s="24" t="n"/>
      <c r="CU448" s="24" t="n"/>
      <c r="CV448" s="24" t="n"/>
      <c r="CW448" s="24" t="n"/>
      <c r="CX448" s="24" t="n"/>
      <c r="CY448" s="24" t="n"/>
      <c r="CZ448" s="24" t="n"/>
      <c r="DA448" s="24" t="n"/>
      <c r="DB448" s="24" t="n"/>
      <c r="DC448" s="24" t="n"/>
      <c r="DD448" s="24" t="n"/>
      <c r="DE448" s="24" t="n"/>
      <c r="DF448" s="24" t="n"/>
      <c r="DG448" s="24" t="n"/>
      <c r="DH448" s="24" t="n"/>
      <c r="DI448" s="24" t="n"/>
      <c r="DJ448" s="24" t="inlineStr">
        <is>
          <t>0.66443</t>
        </is>
      </c>
      <c r="DK448" s="24" t="n"/>
      <c r="DL448" s="24" t="n"/>
      <c r="DM448" s="24" t="n"/>
      <c r="DN448" s="24" t="n"/>
      <c r="DO448" s="24" t="n"/>
      <c r="DP448" s="24" t="n"/>
      <c r="DQ448" s="24" t="inlineStr">
        <is>
          <t>{"artifact_hash": "1d168f11d221cd3c", "event_id": "401860888", "event_start_utc": "2026-09-20T03:00Z", "features": {"altitude_fatigue_penalty": 0.0, "away_team": "Fresno State Bulldogs", "efficiency_gap": 1.03, "elo_away": 1524.4, "elo_home": 1437.5, "elo_home_win_prob": 0.4686, "event_id": "401860888", "game_start_utc": "2026-09-20T03:00Z", "home_field_advantage_points": 2.8, "home_team": "San Jos\u00e9 State Spartans", "is_dome": false, "is_fbs_vs_fcs": false, "is_neutral_site": false, "projected_away_points": 26.6, "projected_home_points": 25.8, "projected_margin_home": -0.9, "projected_possessions": 12.4, "projected_total": 52.4, "stadium_elevation_ft": 90, "travel_distance_miles": 122.0, "uncertainty": 0.18, "weather_total_adjustment": 0.0}, "historical_source_observation_times_verified": false, "inference_inputs": {"engine_source_sha256": "449ba2f0e86fa9c445730076a0e0bf100fb4914620be53c75c6f3bfe24298f3f", "mu_away": 26.6, "mu_home": 25.8,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198613584074888279857734219649153466738}, "uinteger": 0}, "spread_home_line": 4.5, "total_line": 48.5}, "market_type": "moneyline", "model_version": "college-football-v1", "observed_at_utc": "2026-09-19T22:46:25.988423+00:00", "probabilities": {"away": 0.512875, "home": 0.487125}, "replay_scope": "Full precision score means, exact engine parameters and original RNG state; upstream feature construction not certified.", "schema": "cfb-joint-replay-v1", "snapshot_hash": "bb70ce844ed958dc7f45b0d70a03fcf7248d52118cfae8c6b2acc20e49fa10fb", "sport": "NCAAF"}</t>
        </is>
      </c>
    </row>
    <row r="449" ht="36" customHeight="1">
      <c r="A449" s="24" t="inlineStr">
        <is>
          <t>5647e28176564c80</t>
        </is>
      </c>
      <c r="B449" s="24" t="inlineStr">
        <is>
          <t>2026-09-19T22:46:25.988423Z</t>
        </is>
      </c>
      <c r="C449" s="24" t="inlineStr">
        <is>
          <t>2026-09-20T03:00Z</t>
        </is>
      </c>
      <c r="D449" s="24" t="inlineStr">
        <is>
          <t>401860888</t>
        </is>
      </c>
      <c r="E449" s="24" t="inlineStr">
        <is>
          <t>NCAAF</t>
        </is>
      </c>
      <c r="F449" s="24" t="inlineStr">
        <is>
          <t>Fresno State Bulldogs</t>
        </is>
      </c>
      <c r="G449" s="24" t="inlineStr">
        <is>
          <t>San José State Spartans</t>
        </is>
      </c>
      <c r="H449" s="24" t="inlineStr">
        <is>
          <t>spread</t>
        </is>
      </c>
      <c r="I449" s="24" t="inlineStr">
        <is>
          <t>home</t>
        </is>
      </c>
      <c r="J449" s="25" t="n">
        <v>4.5</v>
      </c>
      <c r="K449" s="24" t="inlineStr">
        <is>
          <t>espn_consensus</t>
        </is>
      </c>
      <c r="L449" s="26" t="n">
        <v>-105</v>
      </c>
      <c r="M449" s="27" t="n">
        <v>1.952381</v>
      </c>
      <c r="N449" s="28" t="n">
        <v>0.512195</v>
      </c>
      <c r="O449" s="28" t="n">
        <v>0.5814</v>
      </c>
      <c r="P449" s="28" t="n">
        <v>0.18</v>
      </c>
      <c r="Q449" s="28" t="n">
        <v>0.069205</v>
      </c>
      <c r="R449" s="26" t="n">
        <v>0</v>
      </c>
      <c r="S449" s="29" t="n">
        <v>1</v>
      </c>
      <c r="T449" s="24" t="inlineStr">
        <is>
          <t>cfb-spread-v1</t>
        </is>
      </c>
      <c r="U449" s="24" t="inlineStr">
        <is>
          <t>settled</t>
        </is>
      </c>
      <c r="V449" s="24" t="inlineStr">
        <is>
          <t>loss</t>
        </is>
      </c>
      <c r="W449" s="26" t="n">
        <v>26</v>
      </c>
      <c r="X449" s="26" t="n">
        <v>10</v>
      </c>
      <c r="Y449" s="25" t="n"/>
      <c r="Z449" s="26" t="n"/>
      <c r="AA449" s="28" t="n"/>
      <c r="AB449" s="28" t="n"/>
      <c r="AC449" s="30" t="n">
        <v>-1</v>
      </c>
      <c r="AD449" s="24" t="inlineStr">
        <is>
          <t>2026-09-20T10:00:29.485984Z</t>
        </is>
      </c>
      <c r="AE449" s="31" t="inlineStr">
        <is>
          <t>Projected home margin -0.9 pts. Spread: Home +4.5 / Away -4.5 -&gt; P(Away cover)=0.419, P(Home cover)=0.581, P(Push)=0.000.</t>
        </is>
      </c>
      <c r="AF449" s="31" t="inlineStr">
        <is>
          <t>College football model; multi-market (moneyline, spread, total).</t>
        </is>
      </c>
      <c r="AG449" s="24" t="inlineStr">
        <is>
          <t>review_required</t>
        </is>
      </c>
      <c r="AH449" s="24" t="n"/>
      <c r="AI449" s="31" t="n"/>
      <c r="AJ449" s="31" t="n"/>
      <c r="AK449" s="24" t="inlineStr">
        <is>
          <t>model_qualified</t>
        </is>
      </c>
      <c r="AL449" s="26" t="n">
        <v>4</v>
      </c>
      <c r="AM449" s="24" t="inlineStr">
        <is>
          <t>QUALIFIED_SHADOW_CALL</t>
        </is>
      </c>
      <c r="AN449" s="24" t="inlineStr">
        <is>
          <t>CALL</t>
        </is>
      </c>
      <c r="AO449" s="24" t="inlineStr">
        <is>
          <t>QUALIFIED</t>
        </is>
      </c>
      <c r="AP449" s="24" t="inlineStr">
        <is>
          <t>Fresno State Bulldogs</t>
        </is>
      </c>
      <c r="AQ449" s="24" t="inlineStr">
        <is>
          <t>Fresno State Bulldogs</t>
        </is>
      </c>
      <c r="AR449" s="24" t="inlineStr">
        <is>
          <t>Fresno State Bulldogs</t>
        </is>
      </c>
      <c r="AS449" s="24" t="inlineStr">
        <is>
          <t>San José State Spartans</t>
        </is>
      </c>
      <c r="AT449" s="24" t="inlineStr">
        <is>
          <t>San José State Spartans</t>
        </is>
      </c>
      <c r="AU449" s="24" t="inlineStr">
        <is>
          <t>San José State Spartans</t>
        </is>
      </c>
      <c r="AV449" s="24" t="n"/>
      <c r="AW449" s="24" t="n"/>
      <c r="AX449" s="24" t="inlineStr">
        <is>
          <t>statistical_model</t>
        </is>
      </c>
      <c r="AY449" s="24" t="n"/>
      <c r="AZ449" s="24" t="inlineStr">
        <is>
          <t>shadow_qualified</t>
        </is>
      </c>
      <c r="BA449" s="24" t="inlineStr">
        <is>
          <t>1d168f11d221cd3c</t>
        </is>
      </c>
      <c r="BB449" s="24" t="inlineStr">
        <is>
          <t>cfb_key_number_engine</t>
        </is>
      </c>
      <c r="BC449" s="24" t="inlineStr">
        <is>
          <t>cfb-spread-v1</t>
        </is>
      </c>
      <c r="BD449" s="24" t="inlineStr">
        <is>
          <t>1d168f11d221cd3c</t>
        </is>
      </c>
      <c r="BE449" s="24" t="inlineStr">
        <is>
          <t>cfb-v1</t>
        </is>
      </c>
      <c r="BF449" s="24" t="inlineStr">
        <is>
          <t>1</t>
        </is>
      </c>
      <c r="BG449" s="24" t="inlineStr">
        <is>
          <t>1d168f11d221cd3c</t>
        </is>
      </c>
      <c r="BH449" s="24" t="inlineStr">
        <is>
          <t>2026-09-19T22:46:25.988423+00:00</t>
        </is>
      </c>
      <c r="BI449" s="24" t="inlineStr">
        <is>
          <t>["same_event","same_team_same_day","same_league_same_day"]</t>
        </is>
      </c>
      <c r="BJ449" s="25" t="n">
        <v>4.5</v>
      </c>
      <c r="BK449" s="26" t="n">
        <v>-105</v>
      </c>
      <c r="BL449" s="27" t="n">
        <v>1.952381</v>
      </c>
      <c r="BM449" s="28" t="n">
        <v>0.512195</v>
      </c>
      <c r="BN449" s="28" t="n"/>
      <c r="BO449" s="28" t="n"/>
      <c r="BP449" s="25" t="n"/>
      <c r="BQ449" s="27" t="n"/>
      <c r="BR449" s="28" t="n"/>
      <c r="BS449" s="28" t="n"/>
      <c r="BT449" s="28" t="n"/>
      <c r="BU449" s="25" t="n"/>
      <c r="BV449" s="29" t="n"/>
      <c r="BW449" s="24" t="n"/>
      <c r="BX449" s="30" t="n"/>
      <c r="BY449" s="27" t="n"/>
      <c r="BZ449" s="24" t="n"/>
      <c r="CA449" s="31" t="n"/>
      <c r="CB449" s="24" t="n"/>
      <c r="CC449" s="24" t="n"/>
      <c r="CD449" s="24" t="n"/>
      <c r="CE449" s="24" t="n"/>
      <c r="CF449" s="24" t="n"/>
      <c r="CG449" s="24" t="n"/>
      <c r="CH449" s="24" t="n"/>
      <c r="CI449" s="24" t="n"/>
      <c r="CJ449" s="24" t="n"/>
      <c r="CK449" s="24" t="n"/>
      <c r="CL449" s="24" t="n"/>
      <c r="CM449" s="24" t="n"/>
      <c r="CN449" s="24" t="n"/>
      <c r="CO449" s="24" t="n"/>
      <c r="CP449" s="24" t="n"/>
      <c r="CQ449" s="24" t="n"/>
      <c r="CR449" s="24" t="n"/>
      <c r="CS449" s="24" t="inlineStr">
        <is>
          <t>True</t>
        </is>
      </c>
      <c r="CT449" s="24" t="n"/>
      <c r="CU449" s="24" t="n"/>
      <c r="CV449" s="24" t="n"/>
      <c r="CW449" s="24" t="n"/>
      <c r="CX449" s="24" t="n"/>
      <c r="CY449" s="24" t="n"/>
      <c r="CZ449" s="24" t="n"/>
      <c r="DA449" s="24" t="n"/>
      <c r="DB449" s="24" t="n"/>
      <c r="DC449" s="24" t="n"/>
      <c r="DD449" s="24" t="n"/>
      <c r="DE449" s="24" t="n"/>
      <c r="DF449" s="24" t="n"/>
      <c r="DG449" s="24" t="n"/>
      <c r="DH449" s="24" t="n"/>
      <c r="DI449" s="24" t="n"/>
      <c r="DJ449" s="24" t="inlineStr">
        <is>
          <t>0.512195</t>
        </is>
      </c>
      <c r="DK449" s="24" t="n"/>
      <c r="DL449" s="24" t="n"/>
      <c r="DM449" s="24" t="n"/>
      <c r="DN449" s="24" t="n"/>
      <c r="DO449" s="24" t="n"/>
      <c r="DP449" s="24" t="n"/>
      <c r="DQ449" s="24" t="inlineStr">
        <is>
          <t>{"artifact_hash": "1d168f11d221cd3c", "event_id": "401860888", "event_start_utc": "2026-09-20T03:00Z", "features": {"altitude_fatigue_penalty": 0.0, "away_team": "Fresno State Bulldogs", "efficiency_gap": 1.03, "elo_away": 1524.4, "elo_home": 1437.5, "elo_home_win_prob": 0.4686, "event_id": "401860888", "game_start_utc": "2026-09-20T03:00Z", "home_field_advantage_points": 2.8, "home_team": "San Jos\u00e9 State Spartans", "is_dome": false, "is_fbs_vs_fcs": false, "is_neutral_site": false, "projected_away_points": 26.6, "projected_home_points": 25.8, "projected_margin_home": -0.9, "projected_possessions": 12.4, "projected_total": 52.4, "stadium_elevation_ft": 90, "travel_distance_miles": 122.0, "uncertainty": 0.18, "weather_total_adjustment": 0.0}, "historical_source_observation_times_verified": false, "inference_inputs": {"engine_source_sha256": "449ba2f0e86fa9c445730076a0e0bf100fb4914620be53c75c6f3bfe24298f3f", "mu_away": 26.6, "mu_home": 25.8,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198613584074888279857734219649153466738}, "uinteger": 0}, "spread_home_line": 4.5, "total_line": 48.5}, "market_type": "spread", "model_version": "cfb-spread-v1", "observed_at_utc": "2026-09-19T22:46:25.988423+00:00", "probabilities": {"away": 0.4186, "home": 0.5814, "push": 0.0}, "replay_scope": "Full precision score means, exact engine parameters and original RNG state; upstream feature construction not certified.", "schema": "cfb-joint-replay-v1", "snapshot_hash": "c084f8c2fe26424e598d012b008a81760af067782f343e8c1babe8b5207d0725", "sport": "NCAAF"}</t>
        </is>
      </c>
    </row>
    <row r="450" ht="36" customHeight="1">
      <c r="A450" s="24" t="inlineStr">
        <is>
          <t>31f18b37f8af43ec</t>
        </is>
      </c>
      <c r="B450" s="24" t="inlineStr">
        <is>
          <t>2026-09-19T22:46:25.988423Z</t>
        </is>
      </c>
      <c r="C450" s="24" t="inlineStr">
        <is>
          <t>2026-09-20T03:00Z</t>
        </is>
      </c>
      <c r="D450" s="24" t="inlineStr">
        <is>
          <t>401860888</t>
        </is>
      </c>
      <c r="E450" s="24" t="inlineStr">
        <is>
          <t>NCAAF</t>
        </is>
      </c>
      <c r="F450" s="24" t="inlineStr">
        <is>
          <t>Fresno State Bulldogs</t>
        </is>
      </c>
      <c r="G450" s="24" t="inlineStr">
        <is>
          <t>San José State Spartans</t>
        </is>
      </c>
      <c r="H450" s="24" t="inlineStr">
        <is>
          <t>total</t>
        </is>
      </c>
      <c r="I450" s="24" t="inlineStr">
        <is>
          <t>over</t>
        </is>
      </c>
      <c r="J450" s="25" t="n">
        <v>48.5</v>
      </c>
      <c r="K450" s="24" t="inlineStr">
        <is>
          <t>espn_consensus</t>
        </is>
      </c>
      <c r="L450" s="26" t="n">
        <v>-105</v>
      </c>
      <c r="M450" s="27" t="n">
        <v>1.952381</v>
      </c>
      <c r="N450" s="28" t="n">
        <v>0.512195</v>
      </c>
      <c r="O450" s="28" t="n">
        <v>0.536067</v>
      </c>
      <c r="P450" s="28" t="n">
        <v>0.18</v>
      </c>
      <c r="Q450" s="28" t="n">
        <v>0.023872</v>
      </c>
      <c r="R450" s="26" t="n">
        <v>0</v>
      </c>
      <c r="S450" s="29" t="n">
        <v>1</v>
      </c>
      <c r="T450" s="24" t="inlineStr">
        <is>
          <t>cfb-total-v1</t>
        </is>
      </c>
      <c r="U450" s="24" t="inlineStr">
        <is>
          <t>settled</t>
        </is>
      </c>
      <c r="V450" s="24" t="inlineStr">
        <is>
          <t>loss</t>
        </is>
      </c>
      <c r="W450" s="26" t="n">
        <v>26</v>
      </c>
      <c r="X450" s="26" t="n">
        <v>10</v>
      </c>
      <c r="Y450" s="25" t="n"/>
      <c r="Z450" s="26" t="n"/>
      <c r="AA450" s="28" t="n"/>
      <c r="AB450" s="28" t="n"/>
      <c r="AC450" s="30" t="n">
        <v>-1</v>
      </c>
      <c r="AD450" s="24" t="inlineStr">
        <is>
          <t>2026-09-20T10:00:30.018834Z</t>
        </is>
      </c>
      <c r="AE450" s="31" t="inlineStr">
        <is>
          <t>Projected total 52.4 pts (Weather adj: +0.0 pts). Total line 48.5 -&gt; P(Over)=0.536, P(Under)=0.464, P(Push)=0.000.</t>
        </is>
      </c>
      <c r="AF450" s="31" t="inlineStr">
        <is>
          <t>College football model; multi-market (moneyline, spread, total).</t>
        </is>
      </c>
      <c r="AG450" s="24" t="inlineStr">
        <is>
          <t>review_required</t>
        </is>
      </c>
      <c r="AH450" s="24" t="n"/>
      <c r="AI450" s="31" t="n"/>
      <c r="AJ450" s="31" t="n"/>
      <c r="AK450" s="24" t="inlineStr">
        <is>
          <t>paper_call</t>
        </is>
      </c>
      <c r="AL450" s="26" t="n">
        <v>4</v>
      </c>
      <c r="AM450" s="24" t="inlineStr">
        <is>
          <t>RESEARCH_OBSERVATION</t>
        </is>
      </c>
      <c r="AN450" s="24" t="inlineStr">
        <is>
          <t>CALL</t>
        </is>
      </c>
      <c r="AO450" s="24" t="inlineStr">
        <is>
          <t>PAPER_CALL_LOW_EDGE</t>
        </is>
      </c>
      <c r="AP450" s="24" t="inlineStr">
        <is>
          <t>Fresno State Bulldogs</t>
        </is>
      </c>
      <c r="AQ450" s="24" t="inlineStr">
        <is>
          <t>Fresno State Bulldogs</t>
        </is>
      </c>
      <c r="AR450" s="24" t="inlineStr">
        <is>
          <t>Fresno State Bulldogs</t>
        </is>
      </c>
      <c r="AS450" s="24" t="inlineStr">
        <is>
          <t>San José State Spartans</t>
        </is>
      </c>
      <c r="AT450" s="24" t="inlineStr">
        <is>
          <t>San José State Spartans</t>
        </is>
      </c>
      <c r="AU450" s="24" t="inlineStr">
        <is>
          <t>San José State Spartans</t>
        </is>
      </c>
      <c r="AV450" s="24" t="n"/>
      <c r="AW450" s="24" t="n"/>
      <c r="AX450" s="24" t="inlineStr">
        <is>
          <t>statistical_model</t>
        </is>
      </c>
      <c r="AY450" s="24" t="n"/>
      <c r="AZ450" s="24" t="inlineStr">
        <is>
          <t>shadow_qualified</t>
        </is>
      </c>
      <c r="BA450" s="24" t="inlineStr">
        <is>
          <t>1d168f11d221cd3c</t>
        </is>
      </c>
      <c r="BB450" s="24" t="inlineStr">
        <is>
          <t>cfb_key_number_engine</t>
        </is>
      </c>
      <c r="BC450" s="24" t="inlineStr">
        <is>
          <t>cfb-total-v1</t>
        </is>
      </c>
      <c r="BD450" s="24" t="inlineStr">
        <is>
          <t>1d168f11d221cd3c</t>
        </is>
      </c>
      <c r="BE450" s="24" t="inlineStr">
        <is>
          <t>cfb-v1</t>
        </is>
      </c>
      <c r="BF450" s="24" t="inlineStr">
        <is>
          <t>1</t>
        </is>
      </c>
      <c r="BG450" s="24" t="inlineStr">
        <is>
          <t>1d168f11d221cd3c</t>
        </is>
      </c>
      <c r="BH450" s="24" t="inlineStr">
        <is>
          <t>2026-09-19T22:46:25.988423+00:00</t>
        </is>
      </c>
      <c r="BI450" s="24" t="inlineStr">
        <is>
          <t>["same_event","same_team_same_day","same_league_same_day"]</t>
        </is>
      </c>
      <c r="BJ450" s="25" t="n">
        <v>48.5</v>
      </c>
      <c r="BK450" s="26" t="n">
        <v>-105</v>
      </c>
      <c r="BL450" s="27" t="n">
        <v>1.952381</v>
      </c>
      <c r="BM450" s="28" t="n">
        <v>0.512195</v>
      </c>
      <c r="BN450" s="28" t="n"/>
      <c r="BO450" s="28" t="n"/>
      <c r="BP450" s="25" t="n"/>
      <c r="BQ450" s="27" t="n"/>
      <c r="BR450" s="28" t="n"/>
      <c r="BS450" s="28" t="n"/>
      <c r="BT450" s="28" t="n"/>
      <c r="BU450" s="25" t="n"/>
      <c r="BV450" s="29" t="n"/>
      <c r="BW450" s="24" t="n"/>
      <c r="BX450" s="30" t="n">
        <v>1</v>
      </c>
      <c r="BY450" s="27" t="n">
        <v>-1</v>
      </c>
      <c r="BZ450" s="24" t="inlineStr">
        <is>
          <t>2026-09-20T10:00:30.018834Z</t>
        </is>
      </c>
      <c r="CA450" s="31" t="inlineStr">
        <is>
          <t>fixed one-unit hypothetical scoring; no real exposure or execution</t>
        </is>
      </c>
      <c r="CB450" s="24" t="n"/>
      <c r="CC450" s="24" t="n"/>
      <c r="CD450" s="24" t="n"/>
      <c r="CE450" s="24" t="n"/>
      <c r="CF450" s="24" t="n"/>
      <c r="CG450" s="24" t="n"/>
      <c r="CH450" s="24" t="n"/>
      <c r="CI450" s="24" t="n"/>
      <c r="CJ450" s="24" t="n"/>
      <c r="CK450" s="24" t="n"/>
      <c r="CL450" s="24" t="n"/>
      <c r="CM450" s="24" t="n"/>
      <c r="CN450" s="24" t="n"/>
      <c r="CO450" s="24" t="n"/>
      <c r="CP450" s="24" t="n"/>
      <c r="CQ450" s="24" t="n"/>
      <c r="CR450" s="24" t="n"/>
      <c r="CS450" s="24" t="inlineStr">
        <is>
          <t>True</t>
        </is>
      </c>
      <c r="CT450" s="24" t="n"/>
      <c r="CU450" s="24" t="n"/>
      <c r="CV450" s="24" t="n"/>
      <c r="CW450" s="24" t="n"/>
      <c r="CX450" s="24" t="n"/>
      <c r="CY450" s="24" t="n"/>
      <c r="CZ450" s="24" t="n"/>
      <c r="DA450" s="24" t="n"/>
      <c r="DB450" s="24" t="n"/>
      <c r="DC450" s="24" t="n"/>
      <c r="DD450" s="24" t="n"/>
      <c r="DE450" s="24" t="n"/>
      <c r="DF450" s="24" t="n"/>
      <c r="DG450" s="24" t="n"/>
      <c r="DH450" s="24" t="n"/>
      <c r="DI450" s="24" t="n"/>
      <c r="DJ450" s="24" t="inlineStr">
        <is>
          <t>0.512195</t>
        </is>
      </c>
      <c r="DK450" s="24" t="n"/>
      <c r="DL450" s="24" t="n"/>
      <c r="DM450" s="24" t="n"/>
      <c r="DN450" s="24" t="n"/>
      <c r="DO450" s="24" t="n"/>
      <c r="DP450" s="24" t="n"/>
      <c r="DQ450" s="24" t="inlineStr">
        <is>
          <t>{"artifact_hash": "1d168f11d221cd3c", "event_id": "401860888", "event_start_utc": "2026-09-20T03:00Z", "features": {"altitude_fatigue_penalty": 0.0, "away_team": "Fresno State Bulldogs", "efficiency_gap": 1.03, "elo_away": 1524.4, "elo_home": 1437.5, "elo_home_win_prob": 0.4686, "event_id": "401860888", "game_start_utc": "2026-09-20T03:00Z", "home_field_advantage_points": 2.8, "home_team": "San Jos\u00e9 State Spartans", "is_dome": false, "is_fbs_vs_fcs": false, "is_neutral_site": false, "projected_away_points": 26.6, "projected_home_points": 25.8, "projected_margin_home": -0.9, "projected_possessions": 12.4, "projected_total": 52.4, "stadium_elevation_ft": 90, "travel_distance_miles": 122.0, "uncertainty": 0.18, "weather_total_adjustment": 0.0}, "historical_source_observation_times_verified": false, "inference_inputs": {"engine_source_sha256": "449ba2f0e86fa9c445730076a0e0bf100fb4914620be53c75c6f3bfe24298f3f", "mu_away": 26.6, "mu_home": 25.8,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198613584074888279857734219649153466738}, "uinteger": 0}, "spread_home_line": 4.5, "total_line": 48.5}, "market_type": "total", "model_version": "cfb-total-v1", "observed_at_utc": "2026-09-19T22:46:25.988423+00:00", "probabilities": {"over": 0.536067, "push": 0.0, "under": 0.463933}, "replay_scope": "Full precision score means, exact engine parameters and original RNG state; upstream feature construction not certified.", "schema": "cfb-joint-replay-v1", "snapshot_hash": "3712a3070c3d925e312b0fd976dd93176f8a390c69680eb3aa7848df316e8500", "sport": "NCAAF"}</t>
        </is>
      </c>
    </row>
    <row r="451" ht="36" customHeight="1">
      <c r="A451" s="24" t="inlineStr">
        <is>
          <t>72f2c7a739414133</t>
        </is>
      </c>
      <c r="B451" s="24" t="inlineStr">
        <is>
          <t>2026-09-24T22:08:34.574848Z</t>
        </is>
      </c>
      <c r="C451" s="24" t="inlineStr">
        <is>
          <t>2026-09-24T23:30Z</t>
        </is>
      </c>
      <c r="D451" s="24" t="inlineStr">
        <is>
          <t>401869941</t>
        </is>
      </c>
      <c r="E451" s="24" t="inlineStr">
        <is>
          <t>NCAAF</t>
        </is>
      </c>
      <c r="F451" s="24" t="inlineStr">
        <is>
          <t>Liberty Flames</t>
        </is>
      </c>
      <c r="G451" s="24" t="inlineStr">
        <is>
          <t>Coastal Carolina Chanticleers</t>
        </is>
      </c>
      <c r="H451" s="24" t="inlineStr">
        <is>
          <t>moneyline</t>
        </is>
      </c>
      <c r="I451" s="24" t="inlineStr">
        <is>
          <t>away</t>
        </is>
      </c>
      <c r="J451" s="25" t="n"/>
      <c r="K451" s="24" t="inlineStr">
        <is>
          <t>espn_consensus</t>
        </is>
      </c>
      <c r="L451" s="26" t="n">
        <v>-130</v>
      </c>
      <c r="M451" s="27" t="n">
        <v>1.769231</v>
      </c>
      <c r="N451" s="28" t="n">
        <v>0.565217</v>
      </c>
      <c r="O451" s="28" t="n">
        <v>0.5132</v>
      </c>
      <c r="P451" s="28" t="n">
        <v>0.165</v>
      </c>
      <c r="Q451" s="28" t="n">
        <v>-0.052017</v>
      </c>
      <c r="R451" s="26" t="n">
        <v>0</v>
      </c>
      <c r="S451" s="29" t="n">
        <v>1</v>
      </c>
      <c r="T451" s="24" t="inlineStr">
        <is>
          <t>college-football-v1</t>
        </is>
      </c>
      <c r="U451" s="24" t="inlineStr">
        <is>
          <t>settled</t>
        </is>
      </c>
      <c r="V451" s="24" t="inlineStr">
        <is>
          <t>win</t>
        </is>
      </c>
      <c r="W451" s="26" t="n">
        <v>34</v>
      </c>
      <c r="X451" s="26" t="n">
        <v>17</v>
      </c>
      <c r="Y451" s="25" t="n"/>
      <c r="Z451" s="26" t="n"/>
      <c r="AA451" s="28" t="n"/>
      <c r="AB451" s="28" t="n"/>
      <c r="AC451" s="30" t="n">
        <v>0.7692</v>
      </c>
      <c r="AD451" s="24" t="inlineStr">
        <is>
          <t>2026-09-25T04:30:44.935573Z</t>
        </is>
      </c>
      <c r="AE451" s="31" t="inlineStr">
        <is>
          <t>CFB Joint Model (negative_binomial): proj score Liberty Flames 26.5 @ Coastal Carolina Chanticleers 25.8 (Margin -0.7). Possessions: 12.4, HFA: +2.8 pts.</t>
        </is>
      </c>
      <c r="AF451" s="31" t="inlineStr">
        <is>
          <t>College football model; multi-market (moneyline, spread, total).</t>
        </is>
      </c>
      <c r="AG451" s="24" t="inlineStr">
        <is>
          <t>not_applicable</t>
        </is>
      </c>
      <c r="AH451" s="24" t="n"/>
      <c r="AI451" s="31" t="n"/>
      <c r="AJ451" s="31" t="n"/>
      <c r="AK451" s="24" t="inlineStr">
        <is>
          <t>paper_call</t>
        </is>
      </c>
      <c r="AL451" s="26" t="n">
        <v>4</v>
      </c>
      <c r="AM451" s="24" t="inlineStr">
        <is>
          <t>RESEARCH_OBSERVATION</t>
        </is>
      </c>
      <c r="AN451" s="24" t="inlineStr">
        <is>
          <t>CALL</t>
        </is>
      </c>
      <c r="AO451" s="24" t="inlineStr">
        <is>
          <t>PAPER_CALL_LOW_EDGE</t>
        </is>
      </c>
      <c r="AP451" s="24" t="inlineStr">
        <is>
          <t>Liberty Flames</t>
        </is>
      </c>
      <c r="AQ451" s="24" t="inlineStr">
        <is>
          <t>Liberty Flames</t>
        </is>
      </c>
      <c r="AR451" s="24" t="inlineStr">
        <is>
          <t>Liberty Flames</t>
        </is>
      </c>
      <c r="AS451" s="24" t="inlineStr">
        <is>
          <t>Coastal Carolina Chanticleers</t>
        </is>
      </c>
      <c r="AT451" s="24" t="inlineStr">
        <is>
          <t>Coastal Carolina Chanticleers</t>
        </is>
      </c>
      <c r="AU451" s="24" t="inlineStr">
        <is>
          <t>Coastal Carolina Chanticleers</t>
        </is>
      </c>
      <c r="AV451" s="24" t="n"/>
      <c r="AW451" s="24" t="n"/>
      <c r="AX451" s="24" t="inlineStr">
        <is>
          <t>statistical_model</t>
        </is>
      </c>
      <c r="AY451" s="24" t="n"/>
      <c r="AZ451" s="24" t="inlineStr">
        <is>
          <t>shadow_qualified</t>
        </is>
      </c>
      <c r="BA451" s="24" t="inlineStr">
        <is>
          <t>1d168f11d221cd3c</t>
        </is>
      </c>
      <c r="BB451" s="24" t="inlineStr">
        <is>
          <t>cfb_key_number_engine</t>
        </is>
      </c>
      <c r="BC451" s="24" t="inlineStr">
        <is>
          <t>college-football-v1</t>
        </is>
      </c>
      <c r="BD451" s="24" t="inlineStr">
        <is>
          <t>1d168f11d221cd3c</t>
        </is>
      </c>
      <c r="BE451" s="24" t="inlineStr">
        <is>
          <t>cfb-v1</t>
        </is>
      </c>
      <c r="BF451" s="24" t="inlineStr">
        <is>
          <t>1</t>
        </is>
      </c>
      <c r="BG451" s="24" t="inlineStr">
        <is>
          <t>1d168f11d221cd3c</t>
        </is>
      </c>
      <c r="BH451" s="24" t="inlineStr">
        <is>
          <t>2026-09-24T22:08:34.574848+00:00</t>
        </is>
      </c>
      <c r="BI451" s="24" t="inlineStr">
        <is>
          <t>["same_event","same_team_same_day","same_league_same_day"]</t>
        </is>
      </c>
      <c r="BJ451" s="25" t="n"/>
      <c r="BK451" s="26" t="n">
        <v>-130</v>
      </c>
      <c r="BL451" s="27" t="n">
        <v>1.769231</v>
      </c>
      <c r="BM451" s="28" t="n">
        <v>0.565217</v>
      </c>
      <c r="BN451" s="28" t="n"/>
      <c r="BO451" s="28" t="n"/>
      <c r="BP451" s="25" t="n"/>
      <c r="BQ451" s="27" t="n"/>
      <c r="BR451" s="28" t="n"/>
      <c r="BS451" s="28" t="n"/>
      <c r="BT451" s="28" t="n"/>
      <c r="BU451" s="25" t="n"/>
      <c r="BV451" s="29" t="n"/>
      <c r="BW451" s="24" t="n"/>
      <c r="BX451" s="30" t="n">
        <v>1</v>
      </c>
      <c r="BY451" s="27" t="n">
        <v>0.769231</v>
      </c>
      <c r="BZ451" s="24" t="inlineStr">
        <is>
          <t>2026-09-25T04:30:44.935573Z</t>
        </is>
      </c>
      <c r="CA451" s="31" t="inlineStr">
        <is>
          <t>fixed one-unit hypothetical scoring; no real exposure or execution</t>
        </is>
      </c>
      <c r="CB451" s="24" t="n"/>
      <c r="CC451" s="24" t="n"/>
      <c r="CD451" s="24" t="n"/>
      <c r="CE451" s="24" t="n"/>
      <c r="CF451" s="24" t="n"/>
      <c r="CG451" s="24" t="n"/>
      <c r="CH451" s="24" t="n"/>
      <c r="CI451" s="24" t="n"/>
      <c r="CJ451" s="24" t="n"/>
      <c r="CK451" s="24" t="n"/>
      <c r="CL451" s="24" t="n"/>
      <c r="CM451" s="24" t="n"/>
      <c r="CN451" s="24" t="n"/>
      <c r="CO451" s="24" t="n"/>
      <c r="CP451" s="24" t="n"/>
      <c r="CQ451" s="24" t="n"/>
      <c r="CR451" s="24" t="n"/>
      <c r="CS451" s="24" t="inlineStr">
        <is>
          <t>False</t>
        </is>
      </c>
      <c r="CT451" s="24" t="n"/>
      <c r="CU451" s="24" t="n"/>
      <c r="CV451" s="24" t="n"/>
      <c r="CW451" s="24" t="n"/>
      <c r="CX451" s="24" t="n"/>
      <c r="CY451" s="24" t="n"/>
      <c r="CZ451" s="24" t="n"/>
      <c r="DA451" s="24" t="n"/>
      <c r="DB451" s="24" t="n"/>
      <c r="DC451" s="24" t="n"/>
      <c r="DD451" s="24" t="n"/>
      <c r="DE451" s="24" t="n"/>
      <c r="DF451" s="24" t="n"/>
      <c r="DG451" s="24" t="n"/>
      <c r="DH451" s="24" t="n"/>
      <c r="DI451" s="24" t="n"/>
      <c r="DJ451" s="24" t="inlineStr">
        <is>
          <t>0.565217</t>
        </is>
      </c>
      <c r="DK451" s="24" t="n"/>
      <c r="DL451" s="24" t="n"/>
      <c r="DM451" s="24" t="n"/>
      <c r="DN451" s="24" t="n"/>
      <c r="DO451" s="24" t="n"/>
      <c r="DP451" s="24" t="n"/>
      <c r="DQ451" s="24" t="inlineStr">
        <is>
          <t>{"artifact_hash": "1d168f11d221cd3c", "event_id": "401869941", "event_start_utc": "2026-09-24T23:30Z", "features": {"altitude_fatigue_penalty": 0.0, "away_team": "Liberty Flames", "efficiency_gap": 0.333, "elo_away": 1384.7, "elo_home": 1297.7, "elo_home_win_prob": 0.4683, "event_id": "401869941", "game_start_utc": "2026-09-24T23:30Z", "home_field_advantage_points": 2.8, "home_team": "Coastal Carolina Chanticleers", "is_dome": false, "is_fbs_vs_fcs": false, "is_neutral_site": false, "projected_away_points": 26.5, "projected_home_points": 25.8, "projected_margin_home": -0.7, "projected_possessions": 12.4, "projected_total": 52.4, "stadium_elevation_ft": 40, "travel_distance_miles": 246.0, "uncertainty": 0.165, "weather_total_adjustment": 0.0}, "historical_source_observation_times_verified": false, "inference_inputs": {"engine_source_sha256": "449ba2f0e86fa9c445730076a0e0bf100fb4914620be53c75c6f3bfe24298f3f", "mu_away": 26.5, "mu_home": 25.8,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2.5, "total_line": 49.5}, "market_type": "moneyline", "model_version": "college-football-v1", "observed_at_utc": "2026-09-24T22:08:34.574848+00:00", "probabilities": {"away": 0.5132, "home": 0.4868}, "replay_scope": "Full precision score means, exact engine parameters and original RNG state; upstream feature construction not certified.", "schema": "cfb-joint-replay-v1", "snapshot_hash": "029dcd45f20215347e4846ac2e85f7ce738ab13bd36309836e411776aeca2d8b", "sport": "NCAAF"}</t>
        </is>
      </c>
    </row>
    <row r="452" ht="36" customHeight="1">
      <c r="A452" s="24" t="inlineStr">
        <is>
          <t>16ccebffaf3a4aec</t>
        </is>
      </c>
      <c r="B452" s="24" t="inlineStr">
        <is>
          <t>2026-09-24T22:08:34.574848Z</t>
        </is>
      </c>
      <c r="C452" s="24" t="inlineStr">
        <is>
          <t>2026-09-24T23:30Z</t>
        </is>
      </c>
      <c r="D452" s="24" t="inlineStr">
        <is>
          <t>401869941</t>
        </is>
      </c>
      <c r="E452" s="24" t="inlineStr">
        <is>
          <t>NCAAF</t>
        </is>
      </c>
      <c r="F452" s="24" t="inlineStr">
        <is>
          <t>Liberty Flames</t>
        </is>
      </c>
      <c r="G452" s="24" t="inlineStr">
        <is>
          <t>Coastal Carolina Chanticleers</t>
        </is>
      </c>
      <c r="H452" s="24" t="inlineStr">
        <is>
          <t>spread</t>
        </is>
      </c>
      <c r="I452" s="24" t="inlineStr">
        <is>
          <t>home</t>
        </is>
      </c>
      <c r="J452" s="25" t="n">
        <v>2.5</v>
      </c>
      <c r="K452" s="24" t="inlineStr">
        <is>
          <t>espn_consensus</t>
        </is>
      </c>
      <c r="L452" s="26" t="n">
        <v>-115</v>
      </c>
      <c r="M452" s="27" t="n">
        <v>1.869565</v>
      </c>
      <c r="N452" s="28" t="n">
        <v>0.534884</v>
      </c>
      <c r="O452" s="28" t="n">
        <v>0.541733</v>
      </c>
      <c r="P452" s="28" t="n">
        <v>0.165</v>
      </c>
      <c r="Q452" s="28" t="n">
        <v>0.006849</v>
      </c>
      <c r="R452" s="26" t="n">
        <v>0</v>
      </c>
      <c r="S452" s="29" t="n">
        <v>1</v>
      </c>
      <c r="T452" s="24" t="inlineStr">
        <is>
          <t>cfb-spread-v1</t>
        </is>
      </c>
      <c r="U452" s="24" t="inlineStr">
        <is>
          <t>settled</t>
        </is>
      </c>
      <c r="V452" s="24" t="inlineStr">
        <is>
          <t>loss</t>
        </is>
      </c>
      <c r="W452" s="26" t="n">
        <v>34</v>
      </c>
      <c r="X452" s="26" t="n">
        <v>17</v>
      </c>
      <c r="Y452" s="25" t="n"/>
      <c r="Z452" s="26" t="n"/>
      <c r="AA452" s="28" t="n"/>
      <c r="AB452" s="28" t="n"/>
      <c r="AC452" s="30" t="n">
        <v>-1</v>
      </c>
      <c r="AD452" s="24" t="inlineStr">
        <is>
          <t>2026-09-25T04:30:45.440583Z</t>
        </is>
      </c>
      <c r="AE452" s="31" t="inlineStr">
        <is>
          <t>Projected home margin -0.7 pts. Spread: Home +2.5 / Away -2.5 -&gt; P(Away cover)=0.458, P(Home cover)=0.542, P(Push)=0.000.</t>
        </is>
      </c>
      <c r="AF452" s="31" t="inlineStr">
        <is>
          <t>College football model; multi-market (moneyline, spread, total).</t>
        </is>
      </c>
      <c r="AG452" s="24" t="inlineStr">
        <is>
          <t>review_required</t>
        </is>
      </c>
      <c r="AH452" s="24" t="n"/>
      <c r="AI452" s="31" t="n"/>
      <c r="AJ452" s="31" t="n"/>
      <c r="AK452" s="24" t="inlineStr">
        <is>
          <t>paper_call</t>
        </is>
      </c>
      <c r="AL452" s="26" t="n">
        <v>4</v>
      </c>
      <c r="AM452" s="24" t="inlineStr">
        <is>
          <t>RESEARCH_OBSERVATION</t>
        </is>
      </c>
      <c r="AN452" s="24" t="inlineStr">
        <is>
          <t>CALL</t>
        </is>
      </c>
      <c r="AO452" s="24" t="inlineStr">
        <is>
          <t>PAPER_CALL_LOW_EDGE</t>
        </is>
      </c>
      <c r="AP452" s="24" t="inlineStr">
        <is>
          <t>Liberty Flames</t>
        </is>
      </c>
      <c r="AQ452" s="24" t="inlineStr">
        <is>
          <t>Liberty Flames</t>
        </is>
      </c>
      <c r="AR452" s="24" t="inlineStr">
        <is>
          <t>Liberty Flames</t>
        </is>
      </c>
      <c r="AS452" s="24" t="inlineStr">
        <is>
          <t>Coastal Carolina Chanticleers</t>
        </is>
      </c>
      <c r="AT452" s="24" t="inlineStr">
        <is>
          <t>Coastal Carolina Chanticleers</t>
        </is>
      </c>
      <c r="AU452" s="24" t="inlineStr">
        <is>
          <t>Coastal Carolina Chanticleers</t>
        </is>
      </c>
      <c r="AV452" s="24" t="n"/>
      <c r="AW452" s="24" t="n"/>
      <c r="AX452" s="24" t="inlineStr">
        <is>
          <t>statistical_model</t>
        </is>
      </c>
      <c r="AY452" s="24" t="n"/>
      <c r="AZ452" s="24" t="inlineStr">
        <is>
          <t>shadow_qualified</t>
        </is>
      </c>
      <c r="BA452" s="24" t="inlineStr">
        <is>
          <t>1d168f11d221cd3c</t>
        </is>
      </c>
      <c r="BB452" s="24" t="inlineStr">
        <is>
          <t>cfb_key_number_engine</t>
        </is>
      </c>
      <c r="BC452" s="24" t="inlineStr">
        <is>
          <t>cfb-spread-v1</t>
        </is>
      </c>
      <c r="BD452" s="24" t="inlineStr">
        <is>
          <t>1d168f11d221cd3c</t>
        </is>
      </c>
      <c r="BE452" s="24" t="inlineStr">
        <is>
          <t>cfb-v1</t>
        </is>
      </c>
      <c r="BF452" s="24" t="inlineStr">
        <is>
          <t>1</t>
        </is>
      </c>
      <c r="BG452" s="24" t="inlineStr">
        <is>
          <t>1d168f11d221cd3c</t>
        </is>
      </c>
      <c r="BH452" s="24" t="inlineStr">
        <is>
          <t>2026-09-24T22:08:34.574848+00:00</t>
        </is>
      </c>
      <c r="BI452" s="24" t="inlineStr">
        <is>
          <t>["same_event","same_team_same_day","same_league_same_day"]</t>
        </is>
      </c>
      <c r="BJ452" s="25" t="n">
        <v>2.5</v>
      </c>
      <c r="BK452" s="26" t="n">
        <v>-115</v>
      </c>
      <c r="BL452" s="27" t="n">
        <v>1.869565</v>
      </c>
      <c r="BM452" s="28" t="n">
        <v>0.534884</v>
      </c>
      <c r="BN452" s="28" t="n"/>
      <c r="BO452" s="28" t="n"/>
      <c r="BP452" s="25" t="n"/>
      <c r="BQ452" s="27" t="n"/>
      <c r="BR452" s="28" t="n"/>
      <c r="BS452" s="28" t="n"/>
      <c r="BT452" s="28" t="n"/>
      <c r="BU452" s="25" t="n"/>
      <c r="BV452" s="29" t="n"/>
      <c r="BW452" s="24" t="n"/>
      <c r="BX452" s="30" t="n">
        <v>1</v>
      </c>
      <c r="BY452" s="27" t="n">
        <v>-1</v>
      </c>
      <c r="BZ452" s="24" t="inlineStr">
        <is>
          <t>2026-09-25T04:30:45.440583Z</t>
        </is>
      </c>
      <c r="CA452" s="31" t="inlineStr">
        <is>
          <t>fixed one-unit hypothetical scoring; no real exposure or execution</t>
        </is>
      </c>
      <c r="CB452" s="24" t="n"/>
      <c r="CC452" s="24" t="n"/>
      <c r="CD452" s="24" t="n"/>
      <c r="CE452" s="24" t="n"/>
      <c r="CF452" s="24" t="n"/>
      <c r="CG452" s="24" t="n"/>
      <c r="CH452" s="24" t="n"/>
      <c r="CI452" s="24" t="n"/>
      <c r="CJ452" s="24" t="n"/>
      <c r="CK452" s="24" t="n"/>
      <c r="CL452" s="24" t="n"/>
      <c r="CM452" s="24" t="n"/>
      <c r="CN452" s="24" t="n"/>
      <c r="CO452" s="24" t="n"/>
      <c r="CP452" s="24" t="n"/>
      <c r="CQ452" s="24" t="n"/>
      <c r="CR452" s="24" t="n"/>
      <c r="CS452" s="24" t="inlineStr">
        <is>
          <t>True</t>
        </is>
      </c>
      <c r="CT452" s="24" t="n"/>
      <c r="CU452" s="24" t="n"/>
      <c r="CV452" s="24" t="n"/>
      <c r="CW452" s="24" t="n"/>
      <c r="CX452" s="24" t="n"/>
      <c r="CY452" s="24" t="n"/>
      <c r="CZ452" s="24" t="n"/>
      <c r="DA452" s="24" t="n"/>
      <c r="DB452" s="24" t="n"/>
      <c r="DC452" s="24" t="n"/>
      <c r="DD452" s="24" t="n"/>
      <c r="DE452" s="24" t="n"/>
      <c r="DF452" s="24" t="n"/>
      <c r="DG452" s="24" t="n"/>
      <c r="DH452" s="24" t="n"/>
      <c r="DI452" s="24" t="n"/>
      <c r="DJ452" s="24" t="inlineStr">
        <is>
          <t>0.534884</t>
        </is>
      </c>
      <c r="DK452" s="24" t="n"/>
      <c r="DL452" s="24" t="n"/>
      <c r="DM452" s="24" t="n"/>
      <c r="DN452" s="24" t="n"/>
      <c r="DO452" s="24" t="n"/>
      <c r="DP452" s="24" t="n"/>
      <c r="DQ452" s="24" t="inlineStr">
        <is>
          <t>{"artifact_hash": "1d168f11d221cd3c", "event_id": "401869941", "event_start_utc": "2026-09-24T23:30Z", "features": {"altitude_fatigue_penalty": 0.0, "away_team": "Liberty Flames", "efficiency_gap": 0.333, "elo_away": 1384.7, "elo_home": 1297.7, "elo_home_win_prob": 0.4683, "event_id": "401869941", "game_start_utc": "2026-09-24T23:30Z", "home_field_advantage_points": 2.8, "home_team": "Coastal Carolina Chanticleers", "is_dome": false, "is_fbs_vs_fcs": false, "is_neutral_site": false, "projected_away_points": 26.5, "projected_home_points": 25.8, "projected_margin_home": -0.7, "projected_possessions": 12.4, "projected_total": 52.4, "stadium_elevation_ft": 40, "travel_distance_miles": 246.0, "uncertainty": 0.165, "weather_total_adjustment": 0.0}, "historical_source_observation_times_verified": false, "inference_inputs": {"engine_source_sha256": "449ba2f0e86fa9c445730076a0e0bf100fb4914620be53c75c6f3bfe24298f3f", "mu_away": 26.5, "mu_home": 25.8,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2.5, "total_line": 49.5}, "market_type": "spread", "model_version": "cfb-spread-v1", "observed_at_utc": "2026-09-24T22:08:34.574848+00:00", "probabilities": {"away": 0.458267, "home": 0.541733, "push": 0.0}, "replay_scope": "Full precision score means, exact engine parameters and original RNG state; upstream feature construction not certified.", "schema": "cfb-joint-replay-v1", "snapshot_hash": "09fc28641c2df787d3d383a5668c7afb09ba88cc47a64bb3418dcbf80a6492a6", "sport": "NCAAF"}</t>
        </is>
      </c>
    </row>
    <row r="453" ht="36" customHeight="1">
      <c r="A453" s="24" t="inlineStr">
        <is>
          <t>2d53d23fa4bf4ad7</t>
        </is>
      </c>
      <c r="B453" s="24" t="inlineStr">
        <is>
          <t>2026-09-24T22:08:34.574848Z</t>
        </is>
      </c>
      <c r="C453" s="24" t="inlineStr">
        <is>
          <t>2026-09-24T23:30Z</t>
        </is>
      </c>
      <c r="D453" s="24" t="inlineStr">
        <is>
          <t>401869941</t>
        </is>
      </c>
      <c r="E453" s="24" t="inlineStr">
        <is>
          <t>NCAAF</t>
        </is>
      </c>
      <c r="F453" s="24" t="inlineStr">
        <is>
          <t>Liberty Flames</t>
        </is>
      </c>
      <c r="G453" s="24" t="inlineStr">
        <is>
          <t>Coastal Carolina Chanticleers</t>
        </is>
      </c>
      <c r="H453" s="24" t="inlineStr">
        <is>
          <t>total</t>
        </is>
      </c>
      <c r="I453" s="24" t="inlineStr">
        <is>
          <t>over</t>
        </is>
      </c>
      <c r="J453" s="25" t="n">
        <v>49.5</v>
      </c>
      <c r="K453" s="24" t="inlineStr">
        <is>
          <t>espn_consensus</t>
        </is>
      </c>
      <c r="L453" s="26" t="n">
        <v>-112</v>
      </c>
      <c r="M453" s="27" t="n">
        <v>1.892857</v>
      </c>
      <c r="N453" s="28" t="n">
        <v>0.528302</v>
      </c>
      <c r="O453" s="28" t="n">
        <v>0.5135999999999999</v>
      </c>
      <c r="P453" s="28" t="n">
        <v>0.165</v>
      </c>
      <c r="Q453" s="28" t="n">
        <v>-0.014702</v>
      </c>
      <c r="R453" s="26" t="n">
        <v>0</v>
      </c>
      <c r="S453" s="29" t="n">
        <v>1</v>
      </c>
      <c r="T453" s="24" t="inlineStr">
        <is>
          <t>cfb-total-v1</t>
        </is>
      </c>
      <c r="U453" s="24" t="inlineStr">
        <is>
          <t>settled</t>
        </is>
      </c>
      <c r="V453" s="24" t="inlineStr">
        <is>
          <t>win</t>
        </is>
      </c>
      <c r="W453" s="26" t="n">
        <v>34</v>
      </c>
      <c r="X453" s="26" t="n">
        <v>17</v>
      </c>
      <c r="Y453" s="25" t="n"/>
      <c r="Z453" s="26" t="n"/>
      <c r="AA453" s="28" t="n"/>
      <c r="AB453" s="28" t="n"/>
      <c r="AC453" s="30" t="n">
        <v>0.8929</v>
      </c>
      <c r="AD453" s="24" t="inlineStr">
        <is>
          <t>2026-09-25T04:30:45.958730Z</t>
        </is>
      </c>
      <c r="AE453" s="31" t="inlineStr">
        <is>
          <t>Projected total 52.4 pts (Weather adj: +0.0 pts). Total line 49.5 -&gt; P(Over)=0.514, P(Under)=0.486, P(Push)=0.000.</t>
        </is>
      </c>
      <c r="AF453" s="31" t="inlineStr">
        <is>
          <t>College football model; multi-market (moneyline, spread, total).</t>
        </is>
      </c>
      <c r="AG453" s="24" t="inlineStr">
        <is>
          <t>not_applicable</t>
        </is>
      </c>
      <c r="AH453" s="24" t="n"/>
      <c r="AI453" s="31" t="n"/>
      <c r="AJ453" s="31" t="n"/>
      <c r="AK453" s="24" t="inlineStr">
        <is>
          <t>paper_call</t>
        </is>
      </c>
      <c r="AL453" s="26" t="n">
        <v>4</v>
      </c>
      <c r="AM453" s="24" t="inlineStr">
        <is>
          <t>RESEARCH_OBSERVATION</t>
        </is>
      </c>
      <c r="AN453" s="24" t="inlineStr">
        <is>
          <t>CALL</t>
        </is>
      </c>
      <c r="AO453" s="24" t="inlineStr">
        <is>
          <t>PAPER_CALL_LOW_EDGE</t>
        </is>
      </c>
      <c r="AP453" s="24" t="inlineStr">
        <is>
          <t>Liberty Flames</t>
        </is>
      </c>
      <c r="AQ453" s="24" t="inlineStr">
        <is>
          <t>Liberty Flames</t>
        </is>
      </c>
      <c r="AR453" s="24" t="inlineStr">
        <is>
          <t>Liberty Flames</t>
        </is>
      </c>
      <c r="AS453" s="24" t="inlineStr">
        <is>
          <t>Coastal Carolina Chanticleers</t>
        </is>
      </c>
      <c r="AT453" s="24" t="inlineStr">
        <is>
          <t>Coastal Carolina Chanticleers</t>
        </is>
      </c>
      <c r="AU453" s="24" t="inlineStr">
        <is>
          <t>Coastal Carolina Chanticleers</t>
        </is>
      </c>
      <c r="AV453" s="24" t="n"/>
      <c r="AW453" s="24" t="n"/>
      <c r="AX453" s="24" t="inlineStr">
        <is>
          <t>statistical_model</t>
        </is>
      </c>
      <c r="AY453" s="24" t="n"/>
      <c r="AZ453" s="24" t="inlineStr">
        <is>
          <t>shadow_qualified</t>
        </is>
      </c>
      <c r="BA453" s="24" t="inlineStr">
        <is>
          <t>1d168f11d221cd3c</t>
        </is>
      </c>
      <c r="BB453" s="24" t="inlineStr">
        <is>
          <t>cfb_key_number_engine</t>
        </is>
      </c>
      <c r="BC453" s="24" t="inlineStr">
        <is>
          <t>cfb-total-v1</t>
        </is>
      </c>
      <c r="BD453" s="24" t="inlineStr">
        <is>
          <t>1d168f11d221cd3c</t>
        </is>
      </c>
      <c r="BE453" s="24" t="inlineStr">
        <is>
          <t>cfb-v1</t>
        </is>
      </c>
      <c r="BF453" s="24" t="inlineStr">
        <is>
          <t>1</t>
        </is>
      </c>
      <c r="BG453" s="24" t="inlineStr">
        <is>
          <t>1d168f11d221cd3c</t>
        </is>
      </c>
      <c r="BH453" s="24" t="inlineStr">
        <is>
          <t>2026-09-24T22:08:34.574848+00:00</t>
        </is>
      </c>
      <c r="BI453" s="24" t="inlineStr">
        <is>
          <t>["same_event","same_team_same_day","same_league_same_day"]</t>
        </is>
      </c>
      <c r="BJ453" s="25" t="n">
        <v>49.5</v>
      </c>
      <c r="BK453" s="26" t="n">
        <v>-112</v>
      </c>
      <c r="BL453" s="27" t="n">
        <v>1.892857</v>
      </c>
      <c r="BM453" s="28" t="n">
        <v>0.528302</v>
      </c>
      <c r="BN453" s="28" t="n"/>
      <c r="BO453" s="28" t="n"/>
      <c r="BP453" s="25" t="n"/>
      <c r="BQ453" s="27" t="n"/>
      <c r="BR453" s="28" t="n"/>
      <c r="BS453" s="28" t="n"/>
      <c r="BT453" s="28" t="n"/>
      <c r="BU453" s="25" t="n"/>
      <c r="BV453" s="29" t="n"/>
      <c r="BW453" s="24" t="n"/>
      <c r="BX453" s="30" t="n">
        <v>1</v>
      </c>
      <c r="BY453" s="27" t="n">
        <v>0.892857</v>
      </c>
      <c r="BZ453" s="24" t="inlineStr">
        <is>
          <t>2026-09-25T04:30:45.958730Z</t>
        </is>
      </c>
      <c r="CA453" s="31" t="inlineStr">
        <is>
          <t>fixed one-unit hypothetical scoring; no real exposure or execution</t>
        </is>
      </c>
      <c r="CB453" s="24" t="n"/>
      <c r="CC453" s="24" t="n"/>
      <c r="CD453" s="24" t="n"/>
      <c r="CE453" s="24" t="n"/>
      <c r="CF453" s="24" t="n"/>
      <c r="CG453" s="24" t="n"/>
      <c r="CH453" s="24" t="n"/>
      <c r="CI453" s="24" t="n"/>
      <c r="CJ453" s="24" t="n"/>
      <c r="CK453" s="24" t="n"/>
      <c r="CL453" s="24" t="n"/>
      <c r="CM453" s="24" t="n"/>
      <c r="CN453" s="24" t="n"/>
      <c r="CO453" s="24" t="n"/>
      <c r="CP453" s="24" t="n"/>
      <c r="CQ453" s="24" t="n"/>
      <c r="CR453" s="24" t="n"/>
      <c r="CS453" s="24" t="inlineStr">
        <is>
          <t>False</t>
        </is>
      </c>
      <c r="CT453" s="24" t="n"/>
      <c r="CU453" s="24" t="n"/>
      <c r="CV453" s="24" t="n"/>
      <c r="CW453" s="24" t="n"/>
      <c r="CX453" s="24" t="n"/>
      <c r="CY453" s="24" t="n"/>
      <c r="CZ453" s="24" t="n"/>
      <c r="DA453" s="24" t="n"/>
      <c r="DB453" s="24" t="n"/>
      <c r="DC453" s="24" t="n"/>
      <c r="DD453" s="24" t="n"/>
      <c r="DE453" s="24" t="n"/>
      <c r="DF453" s="24" t="n"/>
      <c r="DG453" s="24" t="n"/>
      <c r="DH453" s="24" t="n"/>
      <c r="DI453" s="24" t="n"/>
      <c r="DJ453" s="24" t="inlineStr">
        <is>
          <t>0.528302</t>
        </is>
      </c>
      <c r="DK453" s="24" t="n"/>
      <c r="DL453" s="24" t="n"/>
      <c r="DM453" s="24" t="n"/>
      <c r="DN453" s="24" t="n"/>
      <c r="DO453" s="24" t="n"/>
      <c r="DP453" s="24" t="n"/>
      <c r="DQ453" s="24" t="inlineStr">
        <is>
          <t>{"artifact_hash": "1d168f11d221cd3c", "event_id": "401869941", "event_start_utc": "2026-09-24T23:30Z", "features": {"altitude_fatigue_penalty": 0.0, "away_team": "Liberty Flames", "efficiency_gap": 0.333, "elo_away": 1384.7, "elo_home": 1297.7, "elo_home_win_prob": 0.4683, "event_id": "401869941", "game_start_utc": "2026-09-24T23:30Z", "home_field_advantage_points": 2.8, "home_team": "Coastal Carolina Chanticleers", "is_dome": false, "is_fbs_vs_fcs": false, "is_neutral_site": false, "projected_away_points": 26.5, "projected_home_points": 25.8, "projected_margin_home": -0.7, "projected_possessions": 12.4, "projected_total": 52.4, "stadium_elevation_ft": 40, "travel_distance_miles": 246.0, "uncertainty": 0.165, "weather_total_adjustment": 0.0}, "historical_source_observation_times_verified": false, "inference_inputs": {"engine_source_sha256": "449ba2f0e86fa9c445730076a0e0bf100fb4914620be53c75c6f3bfe24298f3f", "mu_away": 26.5, "mu_home": 25.8,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2.5, "total_line": 49.5}, "market_type": "total", "model_version": "cfb-total-v1", "observed_at_utc": "2026-09-24T22:08:34.574848+00:00", "probabilities": {"over": 0.5136, "push": 0.0, "under": 0.4864}, "replay_scope": "Full precision score means, exact engine parameters and original RNG state; upstream feature construction not certified.", "schema": "cfb-joint-replay-v1", "snapshot_hash": "a80a07d3395982ac4c059845b8c487fa2767824300fa88a94e696f5e80335fa4", "sport": "NCAAF"}</t>
        </is>
      </c>
    </row>
    <row r="454" ht="36" customHeight="1">
      <c r="A454" s="24" t="inlineStr">
        <is>
          <t>5ec50ad7358c4b6e</t>
        </is>
      </c>
      <c r="B454" s="24" t="inlineStr">
        <is>
          <t>2026-09-25T16:10:31.881220Z</t>
        </is>
      </c>
      <c r="C454" s="24" t="inlineStr">
        <is>
          <t>2026-09-25T20:00Z</t>
        </is>
      </c>
      <c r="D454" s="24" t="inlineStr">
        <is>
          <t>401862779</t>
        </is>
      </c>
      <c r="E454" s="24" t="inlineStr">
        <is>
          <t>NCAAF</t>
        </is>
      </c>
      <c r="F454" s="24" t="inlineStr">
        <is>
          <t>Army Black Knights</t>
        </is>
      </c>
      <c r="G454" s="24" t="inlineStr">
        <is>
          <t>Temple Owls</t>
        </is>
      </c>
      <c r="H454" s="24" t="inlineStr">
        <is>
          <t>moneyline</t>
        </is>
      </c>
      <c r="I454" s="24" t="inlineStr">
        <is>
          <t>away</t>
        </is>
      </c>
      <c r="J454" s="25" t="n"/>
      <c r="K454" s="24" t="inlineStr">
        <is>
          <t>espn_consensus</t>
        </is>
      </c>
      <c r="L454" s="26" t="n">
        <v>-180</v>
      </c>
      <c r="M454" s="27" t="n">
        <v>1.555556</v>
      </c>
      <c r="N454" s="28" t="n">
        <v>0.642857</v>
      </c>
      <c r="O454" s="28" t="n">
        <v>0.7243230000000001</v>
      </c>
      <c r="P454" s="28" t="n">
        <v>0.18</v>
      </c>
      <c r="Q454" s="28" t="n">
        <v>0.081466</v>
      </c>
      <c r="R454" s="26" t="n">
        <v>0</v>
      </c>
      <c r="S454" s="29" t="n">
        <v>1</v>
      </c>
      <c r="T454" s="24" t="inlineStr">
        <is>
          <t>college-football-v1</t>
        </is>
      </c>
      <c r="U454" s="24" t="inlineStr">
        <is>
          <t>settled</t>
        </is>
      </c>
      <c r="V454" s="24" t="inlineStr">
        <is>
          <t>win</t>
        </is>
      </c>
      <c r="W454" s="26" t="n">
        <v>21</v>
      </c>
      <c r="X454" s="26" t="n">
        <v>17</v>
      </c>
      <c r="Y454" s="25" t="n"/>
      <c r="Z454" s="26" t="n"/>
      <c r="AA454" s="28" t="n"/>
      <c r="AB454" s="28" t="n"/>
      <c r="AC454" s="30" t="n">
        <v>0.5556</v>
      </c>
      <c r="AD454" s="24" t="inlineStr">
        <is>
          <t>2026-09-26T04:38:40.647557Z</t>
        </is>
      </c>
      <c r="AE454" s="31" t="inlineStr">
        <is>
          <t>CFB Joint Model (negative_binomial): proj score Army Black Knights 32.7 @ Temple Owls 21.0 (Margin -11.7). Possessions: 12.4, HFA: +2.8 pts.</t>
        </is>
      </c>
      <c r="AF454" s="31" t="inlineStr">
        <is>
          <t>College football model; multi-market (moneyline, spread, total).</t>
        </is>
      </c>
      <c r="AG454" s="24" t="inlineStr">
        <is>
          <t>not_applicable</t>
        </is>
      </c>
      <c r="AH454" s="24" t="n"/>
      <c r="AI454" s="31" t="n"/>
      <c r="AJ454" s="31" t="n"/>
      <c r="AK454" s="24" t="inlineStr">
        <is>
          <t>model_qualified</t>
        </is>
      </c>
      <c r="AL454" s="26" t="n">
        <v>4</v>
      </c>
      <c r="AM454" s="24" t="inlineStr">
        <is>
          <t>QUALIFIED_SHADOW_CALL</t>
        </is>
      </c>
      <c r="AN454" s="24" t="inlineStr">
        <is>
          <t>CALL</t>
        </is>
      </c>
      <c r="AO454" s="24" t="inlineStr">
        <is>
          <t>QUALIFIED</t>
        </is>
      </c>
      <c r="AP454" s="24" t="inlineStr">
        <is>
          <t>Army Black Knights</t>
        </is>
      </c>
      <c r="AQ454" s="24" t="inlineStr">
        <is>
          <t>Army Black Knights</t>
        </is>
      </c>
      <c r="AR454" s="24" t="inlineStr">
        <is>
          <t>Army Black Knights</t>
        </is>
      </c>
      <c r="AS454" s="24" t="inlineStr">
        <is>
          <t>Temple Owls</t>
        </is>
      </c>
      <c r="AT454" s="24" t="inlineStr">
        <is>
          <t>Temple Owls</t>
        </is>
      </c>
      <c r="AU454" s="24" t="inlineStr">
        <is>
          <t>Temple Owls</t>
        </is>
      </c>
      <c r="AV454" s="24" t="n"/>
      <c r="AW454" s="24" t="n"/>
      <c r="AX454" s="24" t="inlineStr">
        <is>
          <t>statistical_model</t>
        </is>
      </c>
      <c r="AY454" s="24" t="n"/>
      <c r="AZ454" s="24" t="inlineStr">
        <is>
          <t>shadow_qualified</t>
        </is>
      </c>
      <c r="BA454" s="24" t="inlineStr">
        <is>
          <t>1d168f11d221cd3c</t>
        </is>
      </c>
      <c r="BB454" s="24" t="inlineStr">
        <is>
          <t>cfb_key_number_engine</t>
        </is>
      </c>
      <c r="BC454" s="24" t="inlineStr">
        <is>
          <t>college-football-v1</t>
        </is>
      </c>
      <c r="BD454" s="24" t="inlineStr">
        <is>
          <t>1d168f11d221cd3c</t>
        </is>
      </c>
      <c r="BE454" s="24" t="inlineStr">
        <is>
          <t>cfb-v1</t>
        </is>
      </c>
      <c r="BF454" s="24" t="inlineStr">
        <is>
          <t>1</t>
        </is>
      </c>
      <c r="BG454" s="24" t="inlineStr">
        <is>
          <t>1d168f11d221cd3c</t>
        </is>
      </c>
      <c r="BH454" s="24" t="inlineStr">
        <is>
          <t>2026-09-25T16:10:31.881220+00:00</t>
        </is>
      </c>
      <c r="BI454" s="24" t="inlineStr">
        <is>
          <t>["same_event","same_team_same_day","same_league_same_day"]</t>
        </is>
      </c>
      <c r="BJ454" s="25" t="n"/>
      <c r="BK454" s="26" t="n">
        <v>-180</v>
      </c>
      <c r="BL454" s="27" t="n">
        <v>1.555556</v>
      </c>
      <c r="BM454" s="28" t="n">
        <v>0.642857</v>
      </c>
      <c r="BN454" s="28" t="n"/>
      <c r="BO454" s="28" t="n"/>
      <c r="BP454" s="25" t="n"/>
      <c r="BQ454" s="27" t="n"/>
      <c r="BR454" s="28" t="n"/>
      <c r="BS454" s="28" t="n"/>
      <c r="BT454" s="28" t="n"/>
      <c r="BU454" s="25" t="n"/>
      <c r="BV454" s="29" t="n"/>
      <c r="BW454" s="24" t="n"/>
      <c r="BX454" s="30" t="n"/>
      <c r="BY454" s="27" t="n"/>
      <c r="BZ454" s="24" t="n"/>
      <c r="CA454" s="31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n"/>
      <c r="CR454" s="24" t="n"/>
      <c r="CS454" s="24" t="inlineStr">
        <is>
          <t>True</t>
        </is>
      </c>
      <c r="CT454" s="24" t="n"/>
      <c r="CU454" s="24" t="n"/>
      <c r="CV454" s="24" t="n"/>
      <c r="CW454" s="24" t="n"/>
      <c r="CX454" s="24" t="n"/>
      <c r="CY454" s="24" t="n"/>
      <c r="CZ454" s="24" t="n"/>
      <c r="DA454" s="24" t="n"/>
      <c r="DB454" s="24" t="n"/>
      <c r="DC454" s="24" t="n"/>
      <c r="DD454" s="24" t="n"/>
      <c r="DE454" s="24" t="n"/>
      <c r="DF454" s="24" t="n"/>
      <c r="DG454" s="24" t="n"/>
      <c r="DH454" s="24" t="n"/>
      <c r="DI454" s="24" t="n"/>
      <c r="DJ454" s="24" t="inlineStr">
        <is>
          <t>0.642857</t>
        </is>
      </c>
      <c r="DK454" s="24" t="n"/>
      <c r="DL454" s="24" t="n"/>
      <c r="DM454" s="24" t="n"/>
      <c r="DN454" s="24" t="n"/>
      <c r="DO454" s="24" t="n"/>
      <c r="DP454" s="24" t="n"/>
      <c r="DQ454" s="24" t="inlineStr">
        <is>
          <t>{"artifact_hash": "1d168f11d221cd3c", "event_id": "401862779", "event_start_utc": "2026-09-25T20:00Z", "features": {"altitude_fatigue_penalty": 0.0, "away_team": "Army Black Knights", "efficiency_gap": 0.0, "elo_away": 1644.4, "elo_home": 1292.2, "elo_home_win_prob": 0.1607, "event_id": "401862779", "game_start_utc": "2026-09-25T20:00Z", "home_field_advantage_points": 2.8, "home_team": "Temple Owls", "is_dome": false, "is_fbs_vs_fcs": false, "is_neutral_site": false, "projected_away_points": 32.7, "projected_home_points": 21.0, "projected_margin_home": -11.7, "projected_possessions": 12.4, "projected_total": 53.7, "stadium_elevation_ft": 10, "travel_distance_miles": 121.0, "uncertainty": 0.18, "weather_total_adjustment": 0.0}, "historical_source_observation_times_verified": false, "inference_inputs": {"engine_source_sha256": "449ba2f0e86fa9c445730076a0e0bf100fb4914620be53c75c6f3bfe24298f3f", "mu_away": 32.7, "mu_home": 21.0,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3.5, "total_line": 47.5}, "market_type": "moneyline", "model_version": "college-football-v1", "observed_at_utc": "2026-09-25T16:10:31.881220+00:00", "probabilities": {"away": 0.724323, "home": 0.275677}, "replay_scope": "Full precision score means, exact engine parameters and original RNG state; upstream feature construction not certified.", "schema": "cfb-joint-replay-v1", "snapshot_hash": "9d770b4e61f3bf4f40aa117302ce470a360c13af03b28800950e586b2fbe66d2", "sport": "NCAAF"}</t>
        </is>
      </c>
    </row>
    <row r="455" ht="36" customHeight="1">
      <c r="A455" s="24" t="inlineStr">
        <is>
          <t>bf05f4700bfe430f</t>
        </is>
      </c>
      <c r="B455" s="24" t="inlineStr">
        <is>
          <t>2026-09-25T16:10:31.881220Z</t>
        </is>
      </c>
      <c r="C455" s="24" t="inlineStr">
        <is>
          <t>2026-09-25T20:00Z</t>
        </is>
      </c>
      <c r="D455" s="24" t="inlineStr">
        <is>
          <t>401862779</t>
        </is>
      </c>
      <c r="E455" s="24" t="inlineStr">
        <is>
          <t>NCAAF</t>
        </is>
      </c>
      <c r="F455" s="24" t="inlineStr">
        <is>
          <t>Army Black Knights</t>
        </is>
      </c>
      <c r="G455" s="24" t="inlineStr">
        <is>
          <t>Temple Owls</t>
        </is>
      </c>
      <c r="H455" s="24" t="inlineStr">
        <is>
          <t>spread</t>
        </is>
      </c>
      <c r="I455" s="24" t="inlineStr">
        <is>
          <t>away</t>
        </is>
      </c>
      <c r="J455" s="25" t="n">
        <v>-3.5</v>
      </c>
      <c r="K455" s="24" t="inlineStr">
        <is>
          <t>espn_consensus</t>
        </is>
      </c>
      <c r="L455" s="26" t="n">
        <v>-110</v>
      </c>
      <c r="M455" s="27" t="n">
        <v>1.909091</v>
      </c>
      <c r="N455" s="28" t="n">
        <v>0.52381</v>
      </c>
      <c r="O455" s="28" t="n">
        <v>0.663667</v>
      </c>
      <c r="P455" s="28" t="n">
        <v>0.18</v>
      </c>
      <c r="Q455" s="28" t="n">
        <v>0.139857</v>
      </c>
      <c r="R455" s="26" t="n">
        <v>12</v>
      </c>
      <c r="S455" s="29" t="n">
        <v>1</v>
      </c>
      <c r="T455" s="24" t="inlineStr">
        <is>
          <t>cfb-spread-v1</t>
        </is>
      </c>
      <c r="U455" s="24" t="inlineStr">
        <is>
          <t>settled</t>
        </is>
      </c>
      <c r="V455" s="24" t="inlineStr">
        <is>
          <t>win</t>
        </is>
      </c>
      <c r="W455" s="26" t="n">
        <v>21</v>
      </c>
      <c r="X455" s="26" t="n">
        <v>17</v>
      </c>
      <c r="Y455" s="25" t="n"/>
      <c r="Z455" s="26" t="n"/>
      <c r="AA455" s="28" t="n"/>
      <c r="AB455" s="28" t="n"/>
      <c r="AC455" s="30" t="n">
        <v>0.9091</v>
      </c>
      <c r="AD455" s="24" t="inlineStr">
        <is>
          <t>2026-09-26T04:38:41.641707Z</t>
        </is>
      </c>
      <c r="AE455" s="31" t="inlineStr">
        <is>
          <t>Projected home margin -11.7 pts. Spread: Home +3.5 / Away -3.5 -&gt; P(Away cover)=0.664, P(Home cover)=0.336, P(Push)=0.000.</t>
        </is>
      </c>
      <c r="AF455" s="31" t="inlineStr">
        <is>
          <t>College football model; multi-market (moneyline, spread, total).</t>
        </is>
      </c>
      <c r="AG455" s="24" t="inlineStr">
        <is>
          <t>not_applicable</t>
        </is>
      </c>
      <c r="AH455" s="24" t="n"/>
      <c r="AI455" s="31" t="n"/>
      <c r="AJ455" s="31" t="n"/>
      <c r="AK455" s="24" t="inlineStr">
        <is>
          <t>model_qualified</t>
        </is>
      </c>
      <c r="AL455" s="26" t="n">
        <v>4</v>
      </c>
      <c r="AM455" s="24" t="inlineStr">
        <is>
          <t>QUALIFIED_SHADOW_CALL</t>
        </is>
      </c>
      <c r="AN455" s="24" t="inlineStr">
        <is>
          <t>CALL</t>
        </is>
      </c>
      <c r="AO455" s="24" t="inlineStr">
        <is>
          <t>QUALIFIED</t>
        </is>
      </c>
      <c r="AP455" s="24" t="inlineStr">
        <is>
          <t>Army Black Knights</t>
        </is>
      </c>
      <c r="AQ455" s="24" t="inlineStr">
        <is>
          <t>Army Black Knights</t>
        </is>
      </c>
      <c r="AR455" s="24" t="inlineStr">
        <is>
          <t>Army Black Knights</t>
        </is>
      </c>
      <c r="AS455" s="24" t="inlineStr">
        <is>
          <t>Temple Owls</t>
        </is>
      </c>
      <c r="AT455" s="24" t="inlineStr">
        <is>
          <t>Temple Owls</t>
        </is>
      </c>
      <c r="AU455" s="24" t="inlineStr">
        <is>
          <t>Temple Owls</t>
        </is>
      </c>
      <c r="AV455" s="24" t="n"/>
      <c r="AW455" s="24" t="n"/>
      <c r="AX455" s="24" t="inlineStr">
        <is>
          <t>statistical_model</t>
        </is>
      </c>
      <c r="AY455" s="24" t="n"/>
      <c r="AZ455" s="24" t="inlineStr">
        <is>
          <t>shadow_qualified</t>
        </is>
      </c>
      <c r="BA455" s="24" t="inlineStr">
        <is>
          <t>1d168f11d221cd3c</t>
        </is>
      </c>
      <c r="BB455" s="24" t="inlineStr">
        <is>
          <t>cfb_key_number_engine</t>
        </is>
      </c>
      <c r="BC455" s="24" t="inlineStr">
        <is>
          <t>cfb-spread-v1</t>
        </is>
      </c>
      <c r="BD455" s="24" t="inlineStr">
        <is>
          <t>1d168f11d221cd3c</t>
        </is>
      </c>
      <c r="BE455" s="24" t="inlineStr">
        <is>
          <t>cfb-v1</t>
        </is>
      </c>
      <c r="BF455" s="24" t="inlineStr">
        <is>
          <t>1</t>
        </is>
      </c>
      <c r="BG455" s="24" t="inlineStr">
        <is>
          <t>1d168f11d221cd3c</t>
        </is>
      </c>
      <c r="BH455" s="24" t="inlineStr">
        <is>
          <t>2026-09-25T16:10:31.881220+00:00</t>
        </is>
      </c>
      <c r="BI455" s="24" t="inlineStr">
        <is>
          <t>["same_event","same_team_same_day","same_league_same_day"]</t>
        </is>
      </c>
      <c r="BJ455" s="25" t="n">
        <v>-3.5</v>
      </c>
      <c r="BK455" s="26" t="n">
        <v>-110</v>
      </c>
      <c r="BL455" s="27" t="n">
        <v>1.909091</v>
      </c>
      <c r="BM455" s="28" t="n">
        <v>0.52381</v>
      </c>
      <c r="BN455" s="28" t="n"/>
      <c r="BO455" s="28" t="n"/>
      <c r="BP455" s="25" t="n"/>
      <c r="BQ455" s="27" t="n"/>
      <c r="BR455" s="28" t="n"/>
      <c r="BS455" s="28" t="n"/>
      <c r="BT455" s="28" t="n"/>
      <c r="BU455" s="25" t="n"/>
      <c r="BV455" s="29" t="n"/>
      <c r="BW455" s="24" t="n"/>
      <c r="BX455" s="30" t="n"/>
      <c r="BY455" s="27" t="n"/>
      <c r="BZ455" s="24" t="n"/>
      <c r="CA455" s="31" t="n"/>
      <c r="CB455" s="24" t="n"/>
      <c r="CC455" s="24" t="n"/>
      <c r="CD455" s="24" t="n"/>
      <c r="CE455" s="24" t="n"/>
      <c r="CF455" s="24" t="n"/>
      <c r="CG455" s="24" t="n"/>
      <c r="CH455" s="24" t="n"/>
      <c r="CI455" s="24" t="n"/>
      <c r="CJ455" s="24" t="n"/>
      <c r="CK455" s="24" t="n"/>
      <c r="CL455" s="24" t="n"/>
      <c r="CM455" s="24" t="n"/>
      <c r="CN455" s="24" t="n"/>
      <c r="CO455" s="24" t="n"/>
      <c r="CP455" s="24" t="n"/>
      <c r="CQ455" s="24" t="n"/>
      <c r="CR455" s="24" t="n"/>
      <c r="CS455" s="24" t="inlineStr">
        <is>
          <t>True</t>
        </is>
      </c>
      <c r="CT455" s="24" t="n"/>
      <c r="CU455" s="24" t="n"/>
      <c r="CV455" s="24" t="n"/>
      <c r="CW455" s="24" t="n"/>
      <c r="CX455" s="24" t="n"/>
      <c r="CY455" s="24" t="n"/>
      <c r="CZ455" s="24" t="n"/>
      <c r="DA455" s="24" t="n"/>
      <c r="DB455" s="24" t="n"/>
      <c r="DC455" s="24" t="n"/>
      <c r="DD455" s="24" t="n"/>
      <c r="DE455" s="24" t="n"/>
      <c r="DF455" s="24" t="n"/>
      <c r="DG455" s="24" t="n"/>
      <c r="DH455" s="24" t="n"/>
      <c r="DI455" s="24" t="n"/>
      <c r="DJ455" s="24" t="inlineStr">
        <is>
          <t>0.52381</t>
        </is>
      </c>
      <c r="DK455" s="24" t="n"/>
      <c r="DL455" s="24" t="n"/>
      <c r="DM455" s="24" t="n"/>
      <c r="DN455" s="24" t="n"/>
      <c r="DO455" s="24" t="n"/>
      <c r="DP455" s="24" t="n"/>
      <c r="DQ455" s="24" t="inlineStr">
        <is>
          <t>{"artifact_hash": "1d168f11d221cd3c", "event_id": "401862779", "event_start_utc": "2026-09-25T20:00Z", "features": {"altitude_fatigue_penalty": 0.0, "away_team": "Army Black Knights", "efficiency_gap": 0.0, "elo_away": 1644.4, "elo_home": 1292.2, "elo_home_win_prob": 0.1607, "event_id": "401862779", "game_start_utc": "2026-09-25T20:00Z", "home_field_advantage_points": 2.8, "home_team": "Temple Owls", "is_dome": false, "is_fbs_vs_fcs": false, "is_neutral_site": false, "projected_away_points": 32.7, "projected_home_points": 21.0, "projected_margin_home": -11.7, "projected_possessions": 12.4, "projected_total": 53.7, "stadium_elevation_ft": 10, "travel_distance_miles": 121.0, "uncertainty": 0.18, "weather_total_adjustment": 0.0}, "historical_source_observation_times_verified": false, "inference_inputs": {"engine_source_sha256": "449ba2f0e86fa9c445730076a0e0bf100fb4914620be53c75c6f3bfe24298f3f", "mu_away": 32.7, "mu_home": 21.0,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3.5, "total_line": 47.5}, "market_type": "spread", "model_version": "cfb-spread-v1", "observed_at_utc": "2026-09-25T16:10:31.881220+00:00", "probabilities": {"away": 0.663667, "home": 0.336333, "push": 0.0}, "replay_scope": "Full precision score means, exact engine parameters and original RNG state; upstream feature construction not certified.", "schema": "cfb-joint-replay-v1", "snapshot_hash": "8bbe40fa276d3ec69d0af07258fe0e10c4f1409d6f500e2de848996e08fc4ecc", "sport": "NCAAF"}</t>
        </is>
      </c>
    </row>
    <row r="456" ht="36" customHeight="1">
      <c r="A456" s="24" t="inlineStr">
        <is>
          <t>efdfe53ccf63407e</t>
        </is>
      </c>
      <c r="B456" s="24" t="inlineStr">
        <is>
          <t>2026-09-25T16:10:31.881220Z</t>
        </is>
      </c>
      <c r="C456" s="24" t="inlineStr">
        <is>
          <t>2026-09-25T20:00Z</t>
        </is>
      </c>
      <c r="D456" s="24" t="inlineStr">
        <is>
          <t>401862779</t>
        </is>
      </c>
      <c r="E456" s="24" t="inlineStr">
        <is>
          <t>NCAAF</t>
        </is>
      </c>
      <c r="F456" s="24" t="inlineStr">
        <is>
          <t>Army Black Knights</t>
        </is>
      </c>
      <c r="G456" s="24" t="inlineStr">
        <is>
          <t>Temple Owls</t>
        </is>
      </c>
      <c r="H456" s="24" t="inlineStr">
        <is>
          <t>total</t>
        </is>
      </c>
      <c r="I456" s="24" t="inlineStr">
        <is>
          <t>over</t>
        </is>
      </c>
      <c r="J456" s="25" t="n">
        <v>47.5</v>
      </c>
      <c r="K456" s="24" t="inlineStr">
        <is>
          <t>espn_consensus</t>
        </is>
      </c>
      <c r="L456" s="26" t="n">
        <v>-112</v>
      </c>
      <c r="M456" s="27" t="n">
        <v>1.892857</v>
      </c>
      <c r="N456" s="28" t="n">
        <v>0.528302</v>
      </c>
      <c r="O456" s="28" t="n">
        <v>0.573067</v>
      </c>
      <c r="P456" s="28" t="n">
        <v>0.18</v>
      </c>
      <c r="Q456" s="28" t="n">
        <v>0.044765</v>
      </c>
      <c r="R456" s="26" t="n">
        <v>0</v>
      </c>
      <c r="S456" s="29" t="n">
        <v>1</v>
      </c>
      <c r="T456" s="24" t="inlineStr">
        <is>
          <t>cfb-total-v1</t>
        </is>
      </c>
      <c r="U456" s="24" t="inlineStr">
        <is>
          <t>settled</t>
        </is>
      </c>
      <c r="V456" s="24" t="inlineStr">
        <is>
          <t>loss</t>
        </is>
      </c>
      <c r="W456" s="26" t="n">
        <v>21</v>
      </c>
      <c r="X456" s="26" t="n">
        <v>17</v>
      </c>
      <c r="Y456" s="25" t="n"/>
      <c r="Z456" s="26" t="n"/>
      <c r="AA456" s="28" t="n"/>
      <c r="AB456" s="28" t="n"/>
      <c r="AC456" s="30" t="n">
        <v>-1</v>
      </c>
      <c r="AD456" s="24" t="inlineStr">
        <is>
          <t>2026-09-26T04:38:42.865728Z</t>
        </is>
      </c>
      <c r="AE456" s="31" t="inlineStr">
        <is>
          <t>Projected total 53.7 pts (Weather adj: +0.0 pts). Total line 47.5 -&gt; P(Over)=0.573, P(Under)=0.427, P(Push)=0.000.</t>
        </is>
      </c>
      <c r="AF456" s="31" t="inlineStr">
        <is>
          <t>College football model; multi-market (moneyline, spread, total).</t>
        </is>
      </c>
      <c r="AG456" s="24" t="inlineStr">
        <is>
          <t>review_required</t>
        </is>
      </c>
      <c r="AH456" s="24" t="n"/>
      <c r="AI456" s="31" t="n"/>
      <c r="AJ456" s="31" t="n"/>
      <c r="AK456" s="24" t="inlineStr">
        <is>
          <t>model_qualified</t>
        </is>
      </c>
      <c r="AL456" s="26" t="n">
        <v>4</v>
      </c>
      <c r="AM456" s="24" t="inlineStr">
        <is>
          <t>QUALIFIED_SHADOW_CALL</t>
        </is>
      </c>
      <c r="AN456" s="24" t="inlineStr">
        <is>
          <t>CALL</t>
        </is>
      </c>
      <c r="AO456" s="24" t="inlineStr">
        <is>
          <t>QUALIFIED</t>
        </is>
      </c>
      <c r="AP456" s="24" t="inlineStr">
        <is>
          <t>Army Black Knights</t>
        </is>
      </c>
      <c r="AQ456" s="24" t="inlineStr">
        <is>
          <t>Army Black Knights</t>
        </is>
      </c>
      <c r="AR456" s="24" t="inlineStr">
        <is>
          <t>Army Black Knights</t>
        </is>
      </c>
      <c r="AS456" s="24" t="inlineStr">
        <is>
          <t>Temple Owls</t>
        </is>
      </c>
      <c r="AT456" s="24" t="inlineStr">
        <is>
          <t>Temple Owls</t>
        </is>
      </c>
      <c r="AU456" s="24" t="inlineStr">
        <is>
          <t>Temple Owls</t>
        </is>
      </c>
      <c r="AV456" s="24" t="n"/>
      <c r="AW456" s="24" t="n"/>
      <c r="AX456" s="24" t="inlineStr">
        <is>
          <t>statistical_model</t>
        </is>
      </c>
      <c r="AY456" s="24" t="n"/>
      <c r="AZ456" s="24" t="inlineStr">
        <is>
          <t>shadow_qualified</t>
        </is>
      </c>
      <c r="BA456" s="24" t="inlineStr">
        <is>
          <t>1d168f11d221cd3c</t>
        </is>
      </c>
      <c r="BB456" s="24" t="inlineStr">
        <is>
          <t>cfb_key_number_engine</t>
        </is>
      </c>
      <c r="BC456" s="24" t="inlineStr">
        <is>
          <t>cfb-total-v1</t>
        </is>
      </c>
      <c r="BD456" s="24" t="inlineStr">
        <is>
          <t>1d168f11d221cd3c</t>
        </is>
      </c>
      <c r="BE456" s="24" t="inlineStr">
        <is>
          <t>cfb-v1</t>
        </is>
      </c>
      <c r="BF456" s="24" t="inlineStr">
        <is>
          <t>1</t>
        </is>
      </c>
      <c r="BG456" s="24" t="inlineStr">
        <is>
          <t>1d168f11d221cd3c</t>
        </is>
      </c>
      <c r="BH456" s="24" t="inlineStr">
        <is>
          <t>2026-09-25T16:10:31.881220+00:00</t>
        </is>
      </c>
      <c r="BI456" s="24" t="inlineStr">
        <is>
          <t>["same_event","same_team_same_day","same_league_same_day"]</t>
        </is>
      </c>
      <c r="BJ456" s="25" t="n">
        <v>47.5</v>
      </c>
      <c r="BK456" s="26" t="n">
        <v>-112</v>
      </c>
      <c r="BL456" s="27" t="n">
        <v>1.892857</v>
      </c>
      <c r="BM456" s="28" t="n">
        <v>0.528302</v>
      </c>
      <c r="BN456" s="28" t="n"/>
      <c r="BO456" s="28" t="n"/>
      <c r="BP456" s="25" t="n"/>
      <c r="BQ456" s="27" t="n"/>
      <c r="BR456" s="28" t="n"/>
      <c r="BS456" s="28" t="n"/>
      <c r="BT456" s="28" t="n"/>
      <c r="BU456" s="25" t="n"/>
      <c r="BV456" s="29" t="n"/>
      <c r="BW456" s="24" t="n"/>
      <c r="BX456" s="30" t="n"/>
      <c r="BY456" s="27" t="n"/>
      <c r="BZ456" s="24" t="n"/>
      <c r="CA456" s="31" t="n"/>
      <c r="CB456" s="24" t="n"/>
      <c r="CC456" s="24" t="n"/>
      <c r="CD456" s="24" t="n"/>
      <c r="CE456" s="24" t="n"/>
      <c r="CF456" s="24" t="n"/>
      <c r="CG456" s="24" t="n"/>
      <c r="CH456" s="24" t="n"/>
      <c r="CI456" s="24" t="n"/>
      <c r="CJ456" s="24" t="n"/>
      <c r="CK456" s="24" t="n"/>
      <c r="CL456" s="24" t="n"/>
      <c r="CM456" s="24" t="n"/>
      <c r="CN456" s="24" t="n"/>
      <c r="CO456" s="24" t="n"/>
      <c r="CP456" s="24" t="n"/>
      <c r="CQ456" s="24" t="n"/>
      <c r="CR456" s="24" t="n"/>
      <c r="CS456" s="24" t="inlineStr">
        <is>
          <t>True</t>
        </is>
      </c>
      <c r="CT456" s="24" t="n"/>
      <c r="CU456" s="24" t="n"/>
      <c r="CV456" s="24" t="n"/>
      <c r="CW456" s="24" t="n"/>
      <c r="CX456" s="24" t="n"/>
      <c r="CY456" s="24" t="n"/>
      <c r="CZ456" s="24" t="n"/>
      <c r="DA456" s="24" t="n"/>
      <c r="DB456" s="24" t="n"/>
      <c r="DC456" s="24" t="n"/>
      <c r="DD456" s="24" t="n"/>
      <c r="DE456" s="24" t="n"/>
      <c r="DF456" s="24" t="n"/>
      <c r="DG456" s="24" t="n"/>
      <c r="DH456" s="24" t="n"/>
      <c r="DI456" s="24" t="n"/>
      <c r="DJ456" s="24" t="inlineStr">
        <is>
          <t>0.528302</t>
        </is>
      </c>
      <c r="DK456" s="24" t="n"/>
      <c r="DL456" s="24" t="n"/>
      <c r="DM456" s="24" t="n"/>
      <c r="DN456" s="24" t="n"/>
      <c r="DO456" s="24" t="n"/>
      <c r="DP456" s="24" t="n"/>
      <c r="DQ456" s="24" t="inlineStr">
        <is>
          <t>{"artifact_hash": "1d168f11d221cd3c", "event_id": "401862779", "event_start_utc": "2026-09-25T20:00Z", "features": {"altitude_fatigue_penalty": 0.0, "away_team": "Army Black Knights", "efficiency_gap": 0.0, "elo_away": 1644.4, "elo_home": 1292.2, "elo_home_win_prob": 0.1607, "event_id": "401862779", "game_start_utc": "2026-09-25T20:00Z", "home_field_advantage_points": 2.8, "home_team": "Temple Owls", "is_dome": false, "is_fbs_vs_fcs": false, "is_neutral_site": false, "projected_away_points": 32.7, "projected_home_points": 21.0, "projected_margin_home": -11.7, "projected_possessions": 12.4, "projected_total": 53.7, "stadium_elevation_ft": 10, "travel_distance_miles": 121.0, "uncertainty": 0.18, "weather_total_adjustment": 0.0}, "historical_source_observation_times_verified": false, "inference_inputs": {"engine_source_sha256": "449ba2f0e86fa9c445730076a0e0bf100fb4914620be53c75c6f3bfe24298f3f", "mu_away": 32.7, "mu_home": 21.0,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3.5, "total_line": 47.5}, "market_type": "total", "model_version": "cfb-total-v1", "observed_at_utc": "2026-09-25T16:10:31.881220+00:00", "probabilities": {"over": 0.573067, "push": 0.0, "under": 0.426933}, "replay_scope": "Full precision score means, exact engine parameters and original RNG state; upstream feature construction not certified.", "schema": "cfb-joint-replay-v1", "snapshot_hash": "bace580a59f0b53b6cf86bacad7f888cabef0f777c81f91c58c8b361b11f8d34", "sport": "NCAAF"}</t>
        </is>
      </c>
    </row>
    <row r="457" ht="36" customHeight="1">
      <c r="A457" s="24" t="inlineStr">
        <is>
          <t>d4ed7348661e4819</t>
        </is>
      </c>
      <c r="B457" s="24" t="inlineStr">
        <is>
          <t>2026-09-25T22:08:37.055464Z</t>
        </is>
      </c>
      <c r="C457" s="24" t="inlineStr">
        <is>
          <t>2026-09-25T23:00Z</t>
        </is>
      </c>
      <c r="D457" s="24" t="inlineStr">
        <is>
          <t>401858468</t>
        </is>
      </c>
      <c r="E457" s="24" t="inlineStr">
        <is>
          <t>NCAAF</t>
        </is>
      </c>
      <c r="F457" s="24" t="inlineStr">
        <is>
          <t>Howard Bison</t>
        </is>
      </c>
      <c r="G457" s="24" t="inlineStr">
        <is>
          <t>Rutgers Scarlet Knights</t>
        </is>
      </c>
      <c r="H457" s="24" t="inlineStr">
        <is>
          <t>spread</t>
        </is>
      </c>
      <c r="I457" s="24" t="inlineStr">
        <is>
          <t>away</t>
        </is>
      </c>
      <c r="J457" s="25" t="n">
        <v>41.5</v>
      </c>
      <c r="K457" s="24" t="inlineStr">
        <is>
          <t>espn_consensus</t>
        </is>
      </c>
      <c r="L457" s="26" t="n">
        <v>-102</v>
      </c>
      <c r="M457" s="27" t="n">
        <v>1.980392</v>
      </c>
      <c r="N457" s="28" t="n">
        <v>0.50495</v>
      </c>
      <c r="O457" s="28" t="n">
        <v>0.9656</v>
      </c>
      <c r="P457" s="28" t="n">
        <v>0.18</v>
      </c>
      <c r="Q457" s="28" t="n">
        <v>0.46065</v>
      </c>
      <c r="R457" s="26" t="n">
        <v>100</v>
      </c>
      <c r="S457" s="29" t="n">
        <v>2</v>
      </c>
      <c r="T457" s="24" t="inlineStr">
        <is>
          <t>cfb-spread-v1</t>
        </is>
      </c>
      <c r="U457" s="24" t="inlineStr">
        <is>
          <t>settled</t>
        </is>
      </c>
      <c r="V457" s="24" t="inlineStr">
        <is>
          <t>loss</t>
        </is>
      </c>
      <c r="W457" s="26" t="n">
        <v>7</v>
      </c>
      <c r="X457" s="26" t="n">
        <v>58</v>
      </c>
      <c r="Y457" s="25" t="n"/>
      <c r="Z457" s="26" t="n"/>
      <c r="AA457" s="28" t="n"/>
      <c r="AB457" s="28" t="n"/>
      <c r="AC457" s="30" t="n">
        <v>-2</v>
      </c>
      <c r="AD457" s="24" t="inlineStr">
        <is>
          <t>2026-09-26T05:23:12.578285Z</t>
        </is>
      </c>
      <c r="AE457" s="31" t="inlineStr">
        <is>
          <t>Projected home margin +1.2 pts. Spread: Home -41.5 / Away +41.5 -&gt; P(Away cover)=0.966, P(Home cover)=0.034, P(Push)=0.000.</t>
        </is>
      </c>
      <c r="AF457" s="31" t="inlineStr">
        <is>
          <t>College football model; multi-market (moneyline, spread, total).</t>
        </is>
      </c>
      <c r="AG457" s="24" t="inlineStr">
        <is>
          <t>review_required</t>
        </is>
      </c>
      <c r="AH457" s="24" t="n"/>
      <c r="AI457" s="31" t="n"/>
      <c r="AJ457" s="31" t="n"/>
      <c r="AK457" s="24" t="inlineStr">
        <is>
          <t>model_qualified</t>
        </is>
      </c>
      <c r="AL457" s="26" t="n">
        <v>4</v>
      </c>
      <c r="AM457" s="24" t="inlineStr">
        <is>
          <t>QUALIFIED_SHADOW_CALL</t>
        </is>
      </c>
      <c r="AN457" s="24" t="inlineStr">
        <is>
          <t>CALL</t>
        </is>
      </c>
      <c r="AO457" s="24" t="inlineStr">
        <is>
          <t>QUALIFIED</t>
        </is>
      </c>
      <c r="AP457" s="24" t="inlineStr">
        <is>
          <t>Howard Bison</t>
        </is>
      </c>
      <c r="AQ457" s="24" t="inlineStr">
        <is>
          <t>Howard Bison</t>
        </is>
      </c>
      <c r="AR457" s="24" t="inlineStr">
        <is>
          <t>Howard Bison</t>
        </is>
      </c>
      <c r="AS457" s="24" t="inlineStr">
        <is>
          <t>Rutgers Scarlet Knights</t>
        </is>
      </c>
      <c r="AT457" s="24" t="inlineStr">
        <is>
          <t>Rutgers Scarlet Knights</t>
        </is>
      </c>
      <c r="AU457" s="24" t="inlineStr">
        <is>
          <t>Rutgers Scarlet Knights</t>
        </is>
      </c>
      <c r="AV457" s="24" t="n"/>
      <c r="AW457" s="24" t="n"/>
      <c r="AX457" s="24" t="inlineStr">
        <is>
          <t>statistical_model</t>
        </is>
      </c>
      <c r="AY457" s="24" t="n"/>
      <c r="AZ457" s="24" t="inlineStr">
        <is>
          <t>shadow_qualified</t>
        </is>
      </c>
      <c r="BA457" s="24" t="inlineStr">
        <is>
          <t>1d168f11d221cd3c</t>
        </is>
      </c>
      <c r="BB457" s="24" t="inlineStr">
        <is>
          <t>cfb_key_number_engine</t>
        </is>
      </c>
      <c r="BC457" s="24" t="inlineStr">
        <is>
          <t>cfb-spread-v1</t>
        </is>
      </c>
      <c r="BD457" s="24" t="inlineStr">
        <is>
          <t>1d168f11d221cd3c</t>
        </is>
      </c>
      <c r="BE457" s="24" t="inlineStr">
        <is>
          <t>cfb-v1</t>
        </is>
      </c>
      <c r="BF457" s="24" t="inlineStr">
        <is>
          <t>1</t>
        </is>
      </c>
      <c r="BG457" s="24" t="inlineStr">
        <is>
          <t>1d168f11d221cd3c</t>
        </is>
      </c>
      <c r="BH457" s="24" t="inlineStr">
        <is>
          <t>2026-09-25T22:08:37.055464+00:00</t>
        </is>
      </c>
      <c r="BI457" s="24" t="inlineStr">
        <is>
          <t>["same_event","same_team_same_day","same_league_same_day"]</t>
        </is>
      </c>
      <c r="BJ457" s="25" t="n">
        <v>41.5</v>
      </c>
      <c r="BK457" s="26" t="n">
        <v>-102</v>
      </c>
      <c r="BL457" s="27" t="n">
        <v>1.980392</v>
      </c>
      <c r="BM457" s="28" t="n">
        <v>0.50495</v>
      </c>
      <c r="BN457" s="28" t="n"/>
      <c r="BO457" s="28" t="n"/>
      <c r="BP457" s="25" t="n"/>
      <c r="BQ457" s="27" t="n"/>
      <c r="BR457" s="28" t="n"/>
      <c r="BS457" s="28" t="n"/>
      <c r="BT457" s="28" t="n"/>
      <c r="BU457" s="25" t="n"/>
      <c r="BV457" s="29" t="n"/>
      <c r="BW457" s="24" t="n"/>
      <c r="BX457" s="30" t="n"/>
      <c r="BY457" s="27" t="n"/>
      <c r="BZ457" s="24" t="n"/>
      <c r="CA457" s="31" t="n"/>
      <c r="CB457" s="24" t="n"/>
      <c r="CC457" s="24" t="n"/>
      <c r="CD457" s="24" t="n"/>
      <c r="CE457" s="24" t="n"/>
      <c r="CF457" s="24" t="n"/>
      <c r="CG457" s="24" t="n"/>
      <c r="CH457" s="24" t="n"/>
      <c r="CI457" s="24" t="n"/>
      <c r="CJ457" s="24" t="n"/>
      <c r="CK457" s="24" t="n"/>
      <c r="CL457" s="24" t="n"/>
      <c r="CM457" s="24" t="n"/>
      <c r="CN457" s="24" t="n"/>
      <c r="CO457" s="24" t="n"/>
      <c r="CP457" s="24" t="n"/>
      <c r="CQ457" s="24" t="n"/>
      <c r="CR457" s="24" t="n"/>
      <c r="CS457" s="24" t="inlineStr">
        <is>
          <t>True</t>
        </is>
      </c>
      <c r="CT457" s="24" t="n"/>
      <c r="CU457" s="24" t="n"/>
      <c r="CV457" s="24" t="n"/>
      <c r="CW457" s="24" t="n"/>
      <c r="CX457" s="24" t="n"/>
      <c r="CY457" s="24" t="n"/>
      <c r="CZ457" s="24" t="n"/>
      <c r="DA457" s="24" t="n"/>
      <c r="DB457" s="24" t="n"/>
      <c r="DC457" s="24" t="n"/>
      <c r="DD457" s="24" t="n"/>
      <c r="DE457" s="24" t="n"/>
      <c r="DF457" s="24" t="n"/>
      <c r="DG457" s="24" t="n"/>
      <c r="DH457" s="24" t="n"/>
      <c r="DI457" s="24" t="n"/>
      <c r="DJ457" s="24" t="inlineStr">
        <is>
          <t>0.50495</t>
        </is>
      </c>
      <c r="DK457" s="24" t="n"/>
      <c r="DL457" s="24" t="n"/>
      <c r="DM457" s="24" t="n"/>
      <c r="DN457" s="24" t="n"/>
      <c r="DO457" s="24" t="n"/>
      <c r="DP457" s="24" t="n"/>
      <c r="DQ457" s="24" t="inlineStr">
        <is>
          <t>{"artifact_hash": "1d168f11d221cd3c", "event_id": "401858468", "event_start_utc": "2026-09-25T23:00Z", "features": {"altitude_fatigue_penalty": 0.0, "away_team": "Howard Bison", "efficiency_gap": 0.797, "elo_away": 1337.5, "elo_home": 1301.2, "elo_home_win_prob": 0.5412, "event_id": "401858468", "game_start_utc": "2026-09-25T23:00Z", "home_field_advantage_points": 2.8, "home_team": "Rutgers Scarlet Knights", "is_dome": false, "is_fbs_vs_fcs": false, "is_neutral_site": false, "projected_away_points": 26.1, "projected_home_points": 27.3, "projected_margin_home": 1.2, "projected_possessions": 12.4, "projected_total": 53.4,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26.1, "mu_home": 27.3,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64199600785309180070200462149337263386}, "uinteger": 0}, "spread_home_line": -41.5, "total_line": 57.5}, "market_type": "spread", "model_version": "cfb-spread-v1", "observed_at_utc": "2026-09-25T22:08:37.055464+00:00", "probabilities": {"away": 0.9656, "home": 0.0344, "push": 0.0}, "replay_scope": "Full precision score means, exact engine parameters and original RNG state; upstream feature construction not certified.", "schema": "cfb-joint-replay-v1", "snapshot_hash": "9295cad3ff828df1b0bfb355154277bfa4920c2cc7992698217401f07541b8c5", "sport": "NCAAF"}</t>
        </is>
      </c>
    </row>
    <row r="458" ht="36" customHeight="1">
      <c r="A458" s="24" t="inlineStr">
        <is>
          <t>dd119a6038204a6c</t>
        </is>
      </c>
      <c r="B458" s="24" t="inlineStr">
        <is>
          <t>2026-09-25T22:08:37.055464Z</t>
        </is>
      </c>
      <c r="C458" s="24" t="inlineStr">
        <is>
          <t>2026-09-25T23:00Z</t>
        </is>
      </c>
      <c r="D458" s="24" t="inlineStr">
        <is>
          <t>401858468</t>
        </is>
      </c>
      <c r="E458" s="24" t="inlineStr">
        <is>
          <t>NCAAF</t>
        </is>
      </c>
      <c r="F458" s="24" t="inlineStr">
        <is>
          <t>Howard Bison</t>
        </is>
      </c>
      <c r="G458" s="24" t="inlineStr">
        <is>
          <t>Rutgers Scarlet Knights</t>
        </is>
      </c>
      <c r="H458" s="24" t="inlineStr">
        <is>
          <t>total</t>
        </is>
      </c>
      <c r="I458" s="24" t="inlineStr">
        <is>
          <t>under</t>
        </is>
      </c>
      <c r="J458" s="25" t="n">
        <v>57.5</v>
      </c>
      <c r="K458" s="24" t="inlineStr">
        <is>
          <t>espn_consensus</t>
        </is>
      </c>
      <c r="L458" s="26" t="n">
        <v>-110</v>
      </c>
      <c r="M458" s="27" t="n">
        <v>1.909091</v>
      </c>
      <c r="N458" s="28" t="n">
        <v>0.52381</v>
      </c>
      <c r="O458" s="28" t="n">
        <v>0.595333</v>
      </c>
      <c r="P458" s="28" t="n">
        <v>0.18</v>
      </c>
      <c r="Q458" s="28" t="n">
        <v>0.071523</v>
      </c>
      <c r="R458" s="26" t="n">
        <v>0</v>
      </c>
      <c r="S458" s="29" t="n">
        <v>1</v>
      </c>
      <c r="T458" s="24" t="inlineStr">
        <is>
          <t>cfb-total-v1</t>
        </is>
      </c>
      <c r="U458" s="24" t="inlineStr">
        <is>
          <t>settled</t>
        </is>
      </c>
      <c r="V458" s="24" t="inlineStr">
        <is>
          <t>loss</t>
        </is>
      </c>
      <c r="W458" s="26" t="n">
        <v>7</v>
      </c>
      <c r="X458" s="26" t="n">
        <v>58</v>
      </c>
      <c r="Y458" s="25" t="n"/>
      <c r="Z458" s="26" t="n"/>
      <c r="AA458" s="28" t="n"/>
      <c r="AB458" s="28" t="n"/>
      <c r="AC458" s="30" t="n">
        <v>-1</v>
      </c>
      <c r="AD458" s="24" t="inlineStr">
        <is>
          <t>2026-09-26T05:23:13.949365Z</t>
        </is>
      </c>
      <c r="AE458" s="31" t="inlineStr">
        <is>
          <t>Projected total 53.4 pts (Weather adj: +0.0 pts). Total line 57.5 -&gt; P(Over)=0.405, P(Under)=0.595, P(Push)=0.000.</t>
        </is>
      </c>
      <c r="AF458" s="31" t="inlineStr">
        <is>
          <t>College football model; multi-market (moneyline, spread, total).</t>
        </is>
      </c>
      <c r="AG458" s="24" t="inlineStr">
        <is>
          <t>review_required</t>
        </is>
      </c>
      <c r="AH458" s="24" t="n"/>
      <c r="AI458" s="31" t="n"/>
      <c r="AJ458" s="31" t="n"/>
      <c r="AK458" s="24" t="inlineStr">
        <is>
          <t>model_qualified</t>
        </is>
      </c>
      <c r="AL458" s="26" t="n">
        <v>4</v>
      </c>
      <c r="AM458" s="24" t="inlineStr">
        <is>
          <t>QUALIFIED_SHADOW_CALL</t>
        </is>
      </c>
      <c r="AN458" s="24" t="inlineStr">
        <is>
          <t>CALL</t>
        </is>
      </c>
      <c r="AO458" s="24" t="inlineStr">
        <is>
          <t>QUALIFIED</t>
        </is>
      </c>
      <c r="AP458" s="24" t="inlineStr">
        <is>
          <t>Howard Bison</t>
        </is>
      </c>
      <c r="AQ458" s="24" t="inlineStr">
        <is>
          <t>Howard Bison</t>
        </is>
      </c>
      <c r="AR458" s="24" t="inlineStr">
        <is>
          <t>Howard Bison</t>
        </is>
      </c>
      <c r="AS458" s="24" t="inlineStr">
        <is>
          <t>Rutgers Scarlet Knights</t>
        </is>
      </c>
      <c r="AT458" s="24" t="inlineStr">
        <is>
          <t>Rutgers Scarlet Knights</t>
        </is>
      </c>
      <c r="AU458" s="24" t="inlineStr">
        <is>
          <t>Rutgers Scarlet Knights</t>
        </is>
      </c>
      <c r="AV458" s="24" t="n"/>
      <c r="AW458" s="24" t="n"/>
      <c r="AX458" s="24" t="inlineStr">
        <is>
          <t>statistical_model</t>
        </is>
      </c>
      <c r="AY458" s="24" t="n"/>
      <c r="AZ458" s="24" t="inlineStr">
        <is>
          <t>shadow_qualified</t>
        </is>
      </c>
      <c r="BA458" s="24" t="inlineStr">
        <is>
          <t>1d168f11d221cd3c</t>
        </is>
      </c>
      <c r="BB458" s="24" t="inlineStr">
        <is>
          <t>cfb_key_number_engine</t>
        </is>
      </c>
      <c r="BC458" s="24" t="inlineStr">
        <is>
          <t>cfb-total-v1</t>
        </is>
      </c>
      <c r="BD458" s="24" t="inlineStr">
        <is>
          <t>1d168f11d221cd3c</t>
        </is>
      </c>
      <c r="BE458" s="24" t="inlineStr">
        <is>
          <t>cfb-v1</t>
        </is>
      </c>
      <c r="BF458" s="24" t="inlineStr">
        <is>
          <t>1</t>
        </is>
      </c>
      <c r="BG458" s="24" t="inlineStr">
        <is>
          <t>1d168f11d221cd3c</t>
        </is>
      </c>
      <c r="BH458" s="24" t="inlineStr">
        <is>
          <t>2026-09-25T22:08:37.055464+00:00</t>
        </is>
      </c>
      <c r="BI458" s="24" t="inlineStr">
        <is>
          <t>["same_event","same_team_same_day","same_league_same_day"]</t>
        </is>
      </c>
      <c r="BJ458" s="25" t="n">
        <v>57.5</v>
      </c>
      <c r="BK458" s="26" t="n">
        <v>-110</v>
      </c>
      <c r="BL458" s="27" t="n">
        <v>1.909091</v>
      </c>
      <c r="BM458" s="28" t="n">
        <v>0.52381</v>
      </c>
      <c r="BN458" s="28" t="n"/>
      <c r="BO458" s="28" t="n"/>
      <c r="BP458" s="25" t="n"/>
      <c r="BQ458" s="27" t="n"/>
      <c r="BR458" s="28" t="n"/>
      <c r="BS458" s="28" t="n"/>
      <c r="BT458" s="28" t="n"/>
      <c r="BU458" s="25" t="n"/>
      <c r="BV458" s="29" t="n"/>
      <c r="BW458" s="24" t="n"/>
      <c r="BX458" s="30" t="n"/>
      <c r="BY458" s="27" t="n"/>
      <c r="BZ458" s="24" t="n"/>
      <c r="CA458" s="31" t="n"/>
      <c r="CB458" s="24" t="n"/>
      <c r="CC458" s="24" t="n"/>
      <c r="CD458" s="24" t="n"/>
      <c r="CE458" s="24" t="n"/>
      <c r="CF458" s="24" t="n"/>
      <c r="CG458" s="24" t="n"/>
      <c r="CH458" s="24" t="n"/>
      <c r="CI458" s="24" t="n"/>
      <c r="CJ458" s="24" t="n"/>
      <c r="CK458" s="24" t="n"/>
      <c r="CL458" s="24" t="n"/>
      <c r="CM458" s="24" t="n"/>
      <c r="CN458" s="24" t="n"/>
      <c r="CO458" s="24" t="n"/>
      <c r="CP458" s="24" t="n"/>
      <c r="CQ458" s="24" t="n"/>
      <c r="CR458" s="24" t="n"/>
      <c r="CS458" s="24" t="inlineStr">
        <is>
          <t>True</t>
        </is>
      </c>
      <c r="CT458" s="24" t="n"/>
      <c r="CU458" s="24" t="n"/>
      <c r="CV458" s="24" t="n"/>
      <c r="CW458" s="24" t="n"/>
      <c r="CX458" s="24" t="n"/>
      <c r="CY458" s="24" t="n"/>
      <c r="CZ458" s="24" t="n"/>
      <c r="DA458" s="24" t="n"/>
      <c r="DB458" s="24" t="n"/>
      <c r="DC458" s="24" t="n"/>
      <c r="DD458" s="24" t="n"/>
      <c r="DE458" s="24" t="n"/>
      <c r="DF458" s="24" t="n"/>
      <c r="DG458" s="24" t="n"/>
      <c r="DH458" s="24" t="n"/>
      <c r="DI458" s="24" t="n"/>
      <c r="DJ458" s="24" t="inlineStr">
        <is>
          <t>0.52381</t>
        </is>
      </c>
      <c r="DK458" s="24" t="n"/>
      <c r="DL458" s="24" t="n"/>
      <c r="DM458" s="24" t="n"/>
      <c r="DN458" s="24" t="n"/>
      <c r="DO458" s="24" t="n"/>
      <c r="DP458" s="24" t="n"/>
      <c r="DQ458" s="24" t="inlineStr">
        <is>
          <t>{"artifact_hash": "1d168f11d221cd3c", "event_id": "401858468", "event_start_utc": "2026-09-25T23:00Z", "features": {"altitude_fatigue_penalty": 0.0, "away_team": "Howard Bison", "efficiency_gap": 0.797, "elo_away": 1337.5, "elo_home": 1301.2, "elo_home_win_prob": 0.5412, "event_id": "401858468", "game_start_utc": "2026-09-25T23:00Z", "home_field_advantage_points": 2.8, "home_team": "Rutgers Scarlet Knights", "is_dome": false, "is_fbs_vs_fcs": false, "is_neutral_site": false, "projected_away_points": 26.1, "projected_home_points": 27.3, "projected_margin_home": 1.2, "projected_possessions": 12.4, "projected_total": 53.4,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26.1, "mu_home": 27.3,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64199600785309180070200462149337263386}, "uinteger": 0}, "spread_home_line": -41.5, "total_line": 57.5}, "market_type": "total", "model_version": "cfb-total-v1", "observed_at_utc": "2026-09-25T22:08:37.055464+00:00", "probabilities": {"over": 0.404667, "push": 0.0, "under": 0.595333}, "replay_scope": "Full precision score means, exact engine parameters and original RNG state; upstream feature construction not certified.", "schema": "cfb-joint-replay-v1", "snapshot_hash": "7c5fef197bcafb8bbfc8551180c69ca268d7567d60a63542c385ff0b7f0f9e8b", "sport": "NCAAF"}</t>
        </is>
      </c>
    </row>
    <row r="459" ht="36" customHeight="1">
      <c r="A459" s="24" t="inlineStr">
        <is>
          <t>d82c80d319d04766</t>
        </is>
      </c>
      <c r="B459" s="24" t="inlineStr">
        <is>
          <t>2026-09-25T22:08:37.055464Z</t>
        </is>
      </c>
      <c r="C459" s="24" t="inlineStr">
        <is>
          <t>2026-09-25T23:00Z</t>
        </is>
      </c>
      <c r="D459" s="24" t="inlineStr">
        <is>
          <t>401862778</t>
        </is>
      </c>
      <c r="E459" s="24" t="inlineStr">
        <is>
          <t>NCAAF</t>
        </is>
      </c>
      <c r="F459" s="24" t="inlineStr">
        <is>
          <t>Navy Midshipmen</t>
        </is>
      </c>
      <c r="G459" s="24" t="inlineStr">
        <is>
          <t>UAB Blazers</t>
        </is>
      </c>
      <c r="H459" s="24" t="inlineStr">
        <is>
          <t>moneyline</t>
        </is>
      </c>
      <c r="I459" s="24" t="inlineStr">
        <is>
          <t>away</t>
        </is>
      </c>
      <c r="J459" s="25" t="n"/>
      <c r="K459" s="24" t="inlineStr">
        <is>
          <t>espn_consensus</t>
        </is>
      </c>
      <c r="L459" s="26" t="n">
        <v>-250</v>
      </c>
      <c r="M459" s="27" t="n">
        <v>1.4</v>
      </c>
      <c r="N459" s="28" t="n">
        <v>0.714286</v>
      </c>
      <c r="O459" s="28" t="n">
        <v>0.769768</v>
      </c>
      <c r="P459" s="28" t="n">
        <v>0.18</v>
      </c>
      <c r="Q459" s="28" t="n">
        <v>0.055482</v>
      </c>
      <c r="R459" s="26" t="n">
        <v>0</v>
      </c>
      <c r="S459" s="29" t="n">
        <v>1</v>
      </c>
      <c r="T459" s="24" t="inlineStr">
        <is>
          <t>college-football-v1</t>
        </is>
      </c>
      <c r="U459" s="24" t="inlineStr">
        <is>
          <t>settled</t>
        </is>
      </c>
      <c r="V459" s="24" t="inlineStr">
        <is>
          <t>loss</t>
        </is>
      </c>
      <c r="W459" s="26" t="n">
        <v>20</v>
      </c>
      <c r="X459" s="26" t="n">
        <v>24</v>
      </c>
      <c r="Y459" s="25" t="n"/>
      <c r="Z459" s="26" t="n"/>
      <c r="AA459" s="28" t="n"/>
      <c r="AB459" s="28" t="n"/>
      <c r="AC459" s="30" t="n">
        <v>-1</v>
      </c>
      <c r="AD459" s="24" t="inlineStr">
        <is>
          <t>2026-09-26T05:23:15.221069Z</t>
        </is>
      </c>
      <c r="AE459" s="31" t="inlineStr">
        <is>
          <t>CFB Joint Model (negative_binomial): proj score Navy Midshipmen 34.0 @ UAB Blazers 19.5 (Margin -14.5). Possessions: 12.4, HFA: +2.8 pts.</t>
        </is>
      </c>
      <c r="AF459" s="31" t="inlineStr">
        <is>
          <t>College football model; multi-market (moneyline, spread, total).</t>
        </is>
      </c>
      <c r="AG459" s="24" t="inlineStr">
        <is>
          <t>review_required</t>
        </is>
      </c>
      <c r="AH459" s="24" t="n"/>
      <c r="AI459" s="31" t="n"/>
      <c r="AJ459" s="31" t="n"/>
      <c r="AK459" s="24" t="inlineStr">
        <is>
          <t>model_qualified</t>
        </is>
      </c>
      <c r="AL459" s="26" t="n">
        <v>4</v>
      </c>
      <c r="AM459" s="24" t="inlineStr">
        <is>
          <t>QUALIFIED_SHADOW_CALL</t>
        </is>
      </c>
      <c r="AN459" s="24" t="inlineStr">
        <is>
          <t>CALL</t>
        </is>
      </c>
      <c r="AO459" s="24" t="inlineStr">
        <is>
          <t>QUALIFIED</t>
        </is>
      </c>
      <c r="AP459" s="24" t="inlineStr">
        <is>
          <t>Navy Midshipmen</t>
        </is>
      </c>
      <c r="AQ459" s="24" t="inlineStr">
        <is>
          <t>Navy Midshipmen</t>
        </is>
      </c>
      <c r="AR459" s="24" t="inlineStr">
        <is>
          <t>Navy Midshipmen</t>
        </is>
      </c>
      <c r="AS459" s="24" t="inlineStr">
        <is>
          <t>UAB Blazers</t>
        </is>
      </c>
      <c r="AT459" s="24" t="inlineStr">
        <is>
          <t>UAB Blazers</t>
        </is>
      </c>
      <c r="AU459" s="24" t="inlineStr">
        <is>
          <t>UAB Blazers</t>
        </is>
      </c>
      <c r="AV459" s="24" t="n"/>
      <c r="AW459" s="24" t="n"/>
      <c r="AX459" s="24" t="inlineStr">
        <is>
          <t>statistical_model</t>
        </is>
      </c>
      <c r="AY459" s="24" t="n"/>
      <c r="AZ459" s="24" t="inlineStr">
        <is>
          <t>shadow_qualified</t>
        </is>
      </c>
      <c r="BA459" s="24" t="inlineStr">
        <is>
          <t>1d168f11d221cd3c</t>
        </is>
      </c>
      <c r="BB459" s="24" t="inlineStr">
        <is>
          <t>cfb_key_number_engine</t>
        </is>
      </c>
      <c r="BC459" s="24" t="inlineStr">
        <is>
          <t>college-football-v1</t>
        </is>
      </c>
      <c r="BD459" s="24" t="inlineStr">
        <is>
          <t>1d168f11d221cd3c</t>
        </is>
      </c>
      <c r="BE459" s="24" t="inlineStr">
        <is>
          <t>cfb-v1</t>
        </is>
      </c>
      <c r="BF459" s="24" t="inlineStr">
        <is>
          <t>1</t>
        </is>
      </c>
      <c r="BG459" s="24" t="inlineStr">
        <is>
          <t>1d168f11d221cd3c</t>
        </is>
      </c>
      <c r="BH459" s="24" t="inlineStr">
        <is>
          <t>2026-09-25T22:08:37.055464+00:00</t>
        </is>
      </c>
      <c r="BI459" s="24" t="inlineStr">
        <is>
          <t>["same_event","same_team_same_day","same_league_same_day"]</t>
        </is>
      </c>
      <c r="BJ459" s="25" t="n"/>
      <c r="BK459" s="26" t="n">
        <v>-250</v>
      </c>
      <c r="BL459" s="27" t="n">
        <v>1.4</v>
      </c>
      <c r="BM459" s="28" t="n">
        <v>0.714286</v>
      </c>
      <c r="BN459" s="28" t="n"/>
      <c r="BO459" s="28" t="n"/>
      <c r="BP459" s="25" t="n"/>
      <c r="BQ459" s="27" t="n"/>
      <c r="BR459" s="28" t="n"/>
      <c r="BS459" s="28" t="n"/>
      <c r="BT459" s="28" t="n"/>
      <c r="BU459" s="25" t="n"/>
      <c r="BV459" s="29" t="n"/>
      <c r="BW459" s="24" t="n"/>
      <c r="BX459" s="30" t="n"/>
      <c r="BY459" s="27" t="n"/>
      <c r="BZ459" s="24" t="n"/>
      <c r="CA459" s="31" t="n"/>
      <c r="CB459" s="24" t="n"/>
      <c r="CC459" s="24" t="n"/>
      <c r="CD459" s="24" t="n"/>
      <c r="CE459" s="24" t="n"/>
      <c r="CF459" s="24" t="n"/>
      <c r="CG459" s="24" t="n"/>
      <c r="CH459" s="24" t="n"/>
      <c r="CI459" s="24" t="n"/>
      <c r="CJ459" s="24" t="n"/>
      <c r="CK459" s="24" t="n"/>
      <c r="CL459" s="24" t="n"/>
      <c r="CM459" s="24" t="n"/>
      <c r="CN459" s="24" t="n"/>
      <c r="CO459" s="24" t="n"/>
      <c r="CP459" s="24" t="n"/>
      <c r="CQ459" s="24" t="n"/>
      <c r="CR459" s="24" t="n"/>
      <c r="CS459" s="24" t="inlineStr">
        <is>
          <t>True</t>
        </is>
      </c>
      <c r="CT459" s="24" t="n"/>
      <c r="CU459" s="24" t="n"/>
      <c r="CV459" s="24" t="n"/>
      <c r="CW459" s="24" t="n"/>
      <c r="CX459" s="24" t="n"/>
      <c r="CY459" s="24" t="n"/>
      <c r="CZ459" s="24" t="n"/>
      <c r="DA459" s="24" t="n"/>
      <c r="DB459" s="24" t="n"/>
      <c r="DC459" s="24" t="n"/>
      <c r="DD459" s="24" t="n"/>
      <c r="DE459" s="24" t="n"/>
      <c r="DF459" s="24" t="n"/>
      <c r="DG459" s="24" t="n"/>
      <c r="DH459" s="24" t="n"/>
      <c r="DI459" s="24" t="n"/>
      <c r="DJ459" s="24" t="inlineStr">
        <is>
          <t>0.714286</t>
        </is>
      </c>
      <c r="DK459" s="24" t="n"/>
      <c r="DL459" s="24" t="n"/>
      <c r="DM459" s="24" t="n"/>
      <c r="DN459" s="24" t="n"/>
      <c r="DO459" s="24" t="n"/>
      <c r="DP459" s="24" t="n"/>
      <c r="DQ459" s="24" t="inlineStr">
        <is>
          <t>{"artifact_hash": "1d168f11d221cd3c", "event_id": "401862778", "event_start_utc": "2026-09-25T23:00Z", "features": {"altitude_fatigue_penalty": 0.0, "away_team": "Navy Midshipmen", "efficiency_gap": -0.697, "elo_away": 1678.1, "elo_home": 1258.9, "elo_home_win_prob": 0.1152, "event_id": "401862778", "game_start_utc": "2026-09-25T23:00Z", "home_field_advantage_points": 2.8, "home_team": "UAB Blazers", "is_dome": false, "is_fbs_vs_fcs": false, "is_neutral_site": false, "projected_away_points": 34.0, "projected_home_points": 19.5, "projected_margin_home": -14.5, "projected_possessions": 12.4, "projected_total": 53.5, "stadium_elevation_ft": 600, "travel_distance_miles": 686.0, "uncertainty": 0.18, "weather_total_adjustment": 0.0}, "historical_source_observation_times_verified": false, "inference_inputs": {"engine_source_sha256": "449ba2f0e86fa9c445730076a0e0bf100fb4914620be53c75c6f3bfe24298f3f", "mu_away": 34.0, "mu_home": 19.5,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9727040748525093426615889647266420716}, "uinteger": 0}, "spread_home_line": 6.5, "total_line": 50.5}, "market_type": "moneyline", "model_version": "college-football-v1", "observed_at_utc": "2026-09-25T22:08:37.055464+00:00", "probabilities": {"away": 0.769768, "home": 0.230232}, "replay_scope": "Full precision score means, exact engine parameters and original RNG state; upstream feature construction not certified.", "schema": "cfb-joint-replay-v1", "snapshot_hash": "80126fb1d98b4309820512aba5239b27098f707782af41caacb427c2468e468c", "sport": "NCAAF"}</t>
        </is>
      </c>
    </row>
    <row r="460" ht="36" customHeight="1">
      <c r="A460" s="24" t="inlineStr">
        <is>
          <t>2017ba6c3a1f479b</t>
        </is>
      </c>
      <c r="B460" s="24" t="inlineStr">
        <is>
          <t>2026-09-25T22:08:37.055464Z</t>
        </is>
      </c>
      <c r="C460" s="24" t="inlineStr">
        <is>
          <t>2026-09-25T23:00Z</t>
        </is>
      </c>
      <c r="D460" s="24" t="inlineStr">
        <is>
          <t>401862778</t>
        </is>
      </c>
      <c r="E460" s="24" t="inlineStr">
        <is>
          <t>NCAAF</t>
        </is>
      </c>
      <c r="F460" s="24" t="inlineStr">
        <is>
          <t>Navy Midshipmen</t>
        </is>
      </c>
      <c r="G460" s="24" t="inlineStr">
        <is>
          <t>UAB Blazers</t>
        </is>
      </c>
      <c r="H460" s="24" t="inlineStr">
        <is>
          <t>spread</t>
        </is>
      </c>
      <c r="I460" s="24" t="inlineStr">
        <is>
          <t>away</t>
        </is>
      </c>
      <c r="J460" s="25" t="n">
        <v>-6.5</v>
      </c>
      <c r="K460" s="24" t="inlineStr">
        <is>
          <t>espn_consensus</t>
        </is>
      </c>
      <c r="L460" s="26" t="n">
        <v>-110</v>
      </c>
      <c r="M460" s="27" t="n">
        <v>1.909091</v>
      </c>
      <c r="N460" s="28" t="n">
        <v>0.52381</v>
      </c>
      <c r="O460" s="28" t="n">
        <v>0.6606</v>
      </c>
      <c r="P460" s="28" t="n">
        <v>0.18</v>
      </c>
      <c r="Q460" s="28" t="n">
        <v>0.13679</v>
      </c>
      <c r="R460" s="26" t="n">
        <v>10</v>
      </c>
      <c r="S460" s="29" t="n">
        <v>1</v>
      </c>
      <c r="T460" s="24" t="inlineStr">
        <is>
          <t>cfb-spread-v1</t>
        </is>
      </c>
      <c r="U460" s="24" t="inlineStr">
        <is>
          <t>settled</t>
        </is>
      </c>
      <c r="V460" s="24" t="inlineStr">
        <is>
          <t>loss</t>
        </is>
      </c>
      <c r="W460" s="26" t="n">
        <v>20</v>
      </c>
      <c r="X460" s="26" t="n">
        <v>24</v>
      </c>
      <c r="Y460" s="25" t="n"/>
      <c r="Z460" s="26" t="n"/>
      <c r="AA460" s="28" t="n"/>
      <c r="AB460" s="28" t="n"/>
      <c r="AC460" s="30" t="n">
        <v>-1</v>
      </c>
      <c r="AD460" s="24" t="inlineStr">
        <is>
          <t>2026-09-26T05:23:16.207847Z</t>
        </is>
      </c>
      <c r="AE460" s="31" t="inlineStr">
        <is>
          <t>Projected home margin -14.5 pts. Spread: Home +6.5 / Away -6.5 -&gt; P(Away cover)=0.661, P(Home cover)=0.339, P(Push)=0.000.</t>
        </is>
      </c>
      <c r="AF460" s="31" t="inlineStr">
        <is>
          <t>College football model; multi-market (moneyline, spread, total).</t>
        </is>
      </c>
      <c r="AG460" s="24" t="inlineStr">
        <is>
          <t>review_required</t>
        </is>
      </c>
      <c r="AH460" s="24" t="n"/>
      <c r="AI460" s="31" t="n"/>
      <c r="AJ460" s="31" t="n"/>
      <c r="AK460" s="24" t="inlineStr">
        <is>
          <t>model_qualified</t>
        </is>
      </c>
      <c r="AL460" s="26" t="n">
        <v>4</v>
      </c>
      <c r="AM460" s="24" t="inlineStr">
        <is>
          <t>QUALIFIED_SHADOW_CALL</t>
        </is>
      </c>
      <c r="AN460" s="24" t="inlineStr">
        <is>
          <t>CALL</t>
        </is>
      </c>
      <c r="AO460" s="24" t="inlineStr">
        <is>
          <t>QUALIFIED</t>
        </is>
      </c>
      <c r="AP460" s="24" t="inlineStr">
        <is>
          <t>Navy Midshipmen</t>
        </is>
      </c>
      <c r="AQ460" s="24" t="inlineStr">
        <is>
          <t>Navy Midshipmen</t>
        </is>
      </c>
      <c r="AR460" s="24" t="inlineStr">
        <is>
          <t>Navy Midshipmen</t>
        </is>
      </c>
      <c r="AS460" s="24" t="inlineStr">
        <is>
          <t>UAB Blazers</t>
        </is>
      </c>
      <c r="AT460" s="24" t="inlineStr">
        <is>
          <t>UAB Blazers</t>
        </is>
      </c>
      <c r="AU460" s="24" t="inlineStr">
        <is>
          <t>UAB Blazers</t>
        </is>
      </c>
      <c r="AV460" s="24" t="n"/>
      <c r="AW460" s="24" t="n"/>
      <c r="AX460" s="24" t="inlineStr">
        <is>
          <t>statistical_model</t>
        </is>
      </c>
      <c r="AY460" s="24" t="n"/>
      <c r="AZ460" s="24" t="inlineStr">
        <is>
          <t>shadow_qualified</t>
        </is>
      </c>
      <c r="BA460" s="24" t="inlineStr">
        <is>
          <t>1d168f11d221cd3c</t>
        </is>
      </c>
      <c r="BB460" s="24" t="inlineStr">
        <is>
          <t>cfb_key_number_engine</t>
        </is>
      </c>
      <c r="BC460" s="24" t="inlineStr">
        <is>
          <t>cfb-spread-v1</t>
        </is>
      </c>
      <c r="BD460" s="24" t="inlineStr">
        <is>
          <t>1d168f11d221cd3c</t>
        </is>
      </c>
      <c r="BE460" s="24" t="inlineStr">
        <is>
          <t>cfb-v1</t>
        </is>
      </c>
      <c r="BF460" s="24" t="inlineStr">
        <is>
          <t>1</t>
        </is>
      </c>
      <c r="BG460" s="24" t="inlineStr">
        <is>
          <t>1d168f11d221cd3c</t>
        </is>
      </c>
      <c r="BH460" s="24" t="inlineStr">
        <is>
          <t>2026-09-25T22:08:37.055464+00:00</t>
        </is>
      </c>
      <c r="BI460" s="24" t="inlineStr">
        <is>
          <t>["same_event","same_team_same_day","same_league_same_day"]</t>
        </is>
      </c>
      <c r="BJ460" s="25" t="n">
        <v>-6.5</v>
      </c>
      <c r="BK460" s="26" t="n">
        <v>-110</v>
      </c>
      <c r="BL460" s="27" t="n">
        <v>1.909091</v>
      </c>
      <c r="BM460" s="28" t="n">
        <v>0.52381</v>
      </c>
      <c r="BN460" s="28" t="n"/>
      <c r="BO460" s="28" t="n"/>
      <c r="BP460" s="25" t="n"/>
      <c r="BQ460" s="27" t="n"/>
      <c r="BR460" s="28" t="n"/>
      <c r="BS460" s="28" t="n"/>
      <c r="BT460" s="28" t="n"/>
      <c r="BU460" s="25" t="n"/>
      <c r="BV460" s="29" t="n"/>
      <c r="BW460" s="24" t="n"/>
      <c r="BX460" s="30" t="n"/>
      <c r="BY460" s="27" t="n"/>
      <c r="BZ460" s="24" t="n"/>
      <c r="CA460" s="31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inlineStr">
        <is>
          <t>True</t>
        </is>
      </c>
      <c r="CT460" s="24" t="n"/>
      <c r="CU460" s="24" t="n"/>
      <c r="CV460" s="24" t="n"/>
      <c r="CW460" s="24" t="n"/>
      <c r="CX460" s="24" t="n"/>
      <c r="CY460" s="24" t="n"/>
      <c r="CZ460" s="24" t="n"/>
      <c r="DA460" s="24" t="n"/>
      <c r="DB460" s="24" t="n"/>
      <c r="DC460" s="24" t="n"/>
      <c r="DD460" s="24" t="n"/>
      <c r="DE460" s="24" t="n"/>
      <c r="DF460" s="24" t="n"/>
      <c r="DG460" s="24" t="n"/>
      <c r="DH460" s="24" t="n"/>
      <c r="DI460" s="24" t="n"/>
      <c r="DJ460" s="24" t="inlineStr">
        <is>
          <t>0.52381</t>
        </is>
      </c>
      <c r="DK460" s="24" t="n"/>
      <c r="DL460" s="24" t="n"/>
      <c r="DM460" s="24" t="n"/>
      <c r="DN460" s="24" t="n"/>
      <c r="DO460" s="24" t="n"/>
      <c r="DP460" s="24" t="n"/>
      <c r="DQ460" s="24" t="inlineStr">
        <is>
          <t>{"artifact_hash": "1d168f11d221cd3c", "event_id": "401862778", "event_start_utc": "2026-09-25T23:00Z", "features": {"altitude_fatigue_penalty": 0.0, "away_team": "Navy Midshipmen", "efficiency_gap": -0.697, "elo_away": 1678.1, "elo_home": 1258.9, "elo_home_win_prob": 0.1152, "event_id": "401862778", "game_start_utc": "2026-09-25T23:00Z", "home_field_advantage_points": 2.8, "home_team": "UAB Blazers", "is_dome": false, "is_fbs_vs_fcs": false, "is_neutral_site": false, "projected_away_points": 34.0, "projected_home_points": 19.5, "projected_margin_home": -14.5, "projected_possessions": 12.4, "projected_total": 53.5, "stadium_elevation_ft": 600, "travel_distance_miles": 686.0, "uncertainty": 0.18, "weather_total_adjustment": 0.0}, "historical_source_observation_times_verified": false, "inference_inputs": {"engine_source_sha256": "449ba2f0e86fa9c445730076a0e0bf100fb4914620be53c75c6f3bfe24298f3f", "mu_away": 34.0, "mu_home": 19.5,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9727040748525093426615889647266420716}, "uinteger": 0}, "spread_home_line": 6.5, "total_line": 50.5}, "market_type": "spread", "model_version": "cfb-spread-v1", "observed_at_utc": "2026-09-25T22:08:37.055464+00:00", "probabilities": {"away": 0.6606, "home": 0.3394, "push": 0.0}, "replay_scope": "Full precision score means, exact engine parameters and original RNG state; upstream feature construction not certified.", "schema": "cfb-joint-replay-v1", "snapshot_hash": "15bd97c1709093dd17dc0133b36960af53bf69fc3e05435ed72f64a9456c31b0", "sport": "NCAAF"}</t>
        </is>
      </c>
    </row>
    <row r="461" ht="36" customHeight="1">
      <c r="A461" s="24" t="inlineStr">
        <is>
          <t>41c04885cfd54477</t>
        </is>
      </c>
      <c r="B461" s="24" t="inlineStr">
        <is>
          <t>2026-09-25T22:08:37.055464Z</t>
        </is>
      </c>
      <c r="C461" s="24" t="inlineStr">
        <is>
          <t>2026-09-25T23:00Z</t>
        </is>
      </c>
      <c r="D461" s="24" t="inlineStr">
        <is>
          <t>401862778</t>
        </is>
      </c>
      <c r="E461" s="24" t="inlineStr">
        <is>
          <t>NCAAF</t>
        </is>
      </c>
      <c r="F461" s="24" t="inlineStr">
        <is>
          <t>Navy Midshipmen</t>
        </is>
      </c>
      <c r="G461" s="24" t="inlineStr">
        <is>
          <t>UAB Blazers</t>
        </is>
      </c>
      <c r="H461" s="24" t="inlineStr">
        <is>
          <t>total</t>
        </is>
      </c>
      <c r="I461" s="24" t="inlineStr">
        <is>
          <t>over</t>
        </is>
      </c>
      <c r="J461" s="25" t="n">
        <v>50.5</v>
      </c>
      <c r="K461" s="24" t="inlineStr">
        <is>
          <t>espn_consensus</t>
        </is>
      </c>
      <c r="L461" s="26" t="n">
        <v>-115</v>
      </c>
      <c r="M461" s="27" t="n">
        <v>1.869565</v>
      </c>
      <c r="N461" s="28" t="n">
        <v>0.534884</v>
      </c>
      <c r="O461" s="28" t="n">
        <v>0.508733</v>
      </c>
      <c r="P461" s="28" t="n">
        <v>0.18</v>
      </c>
      <c r="Q461" s="28" t="n">
        <v>-0.026151</v>
      </c>
      <c r="R461" s="26" t="n">
        <v>0</v>
      </c>
      <c r="S461" s="29" t="n">
        <v>1</v>
      </c>
      <c r="T461" s="24" t="inlineStr">
        <is>
          <t>cfb-total-v1</t>
        </is>
      </c>
      <c r="U461" s="24" t="inlineStr">
        <is>
          <t>settled</t>
        </is>
      </c>
      <c r="V461" s="24" t="inlineStr">
        <is>
          <t>loss</t>
        </is>
      </c>
      <c r="W461" s="26" t="n">
        <v>20</v>
      </c>
      <c r="X461" s="26" t="n">
        <v>24</v>
      </c>
      <c r="Y461" s="25" t="n"/>
      <c r="Z461" s="26" t="n"/>
      <c r="AA461" s="28" t="n"/>
      <c r="AB461" s="28" t="n"/>
      <c r="AC461" s="30" t="n">
        <v>-1</v>
      </c>
      <c r="AD461" s="24" t="inlineStr">
        <is>
          <t>2026-09-26T05:23:17.302413Z</t>
        </is>
      </c>
      <c r="AE461" s="31" t="inlineStr">
        <is>
          <t>Projected total 53.5 pts (Weather adj: +0.0 pts). Total line 50.5 -&gt; P(Over)=0.509, P(Under)=0.491, P(Push)=0.000.</t>
        </is>
      </c>
      <c r="AF461" s="31" t="inlineStr">
        <is>
          <t>College football model; multi-market (moneyline, spread, total).</t>
        </is>
      </c>
      <c r="AG461" s="24" t="inlineStr">
        <is>
          <t>review_required</t>
        </is>
      </c>
      <c r="AH461" s="24" t="n"/>
      <c r="AI461" s="31" t="n"/>
      <c r="AJ461" s="31" t="n"/>
      <c r="AK461" s="24" t="inlineStr">
        <is>
          <t>paper_call</t>
        </is>
      </c>
      <c r="AL461" s="26" t="n">
        <v>4</v>
      </c>
      <c r="AM461" s="24" t="inlineStr">
        <is>
          <t>RESEARCH_OBSERVATION</t>
        </is>
      </c>
      <c r="AN461" s="24" t="inlineStr">
        <is>
          <t>CALL</t>
        </is>
      </c>
      <c r="AO461" s="24" t="inlineStr">
        <is>
          <t>PAPER_CALL_LOW_EDGE</t>
        </is>
      </c>
      <c r="AP461" s="24" t="inlineStr">
        <is>
          <t>Navy Midshipmen</t>
        </is>
      </c>
      <c r="AQ461" s="24" t="inlineStr">
        <is>
          <t>Navy Midshipmen</t>
        </is>
      </c>
      <c r="AR461" s="24" t="inlineStr">
        <is>
          <t>Navy Midshipmen</t>
        </is>
      </c>
      <c r="AS461" s="24" t="inlineStr">
        <is>
          <t>UAB Blazers</t>
        </is>
      </c>
      <c r="AT461" s="24" t="inlineStr">
        <is>
          <t>UAB Blazers</t>
        </is>
      </c>
      <c r="AU461" s="24" t="inlineStr">
        <is>
          <t>UAB Blazers</t>
        </is>
      </c>
      <c r="AV461" s="24" t="n"/>
      <c r="AW461" s="24" t="n"/>
      <c r="AX461" s="24" t="inlineStr">
        <is>
          <t>statistical_model</t>
        </is>
      </c>
      <c r="AY461" s="24" t="n"/>
      <c r="AZ461" s="24" t="inlineStr">
        <is>
          <t>shadow_qualified</t>
        </is>
      </c>
      <c r="BA461" s="24" t="inlineStr">
        <is>
          <t>1d168f11d221cd3c</t>
        </is>
      </c>
      <c r="BB461" s="24" t="inlineStr">
        <is>
          <t>cfb_key_number_engine</t>
        </is>
      </c>
      <c r="BC461" s="24" t="inlineStr">
        <is>
          <t>cfb-total-v1</t>
        </is>
      </c>
      <c r="BD461" s="24" t="inlineStr">
        <is>
          <t>1d168f11d221cd3c</t>
        </is>
      </c>
      <c r="BE461" s="24" t="inlineStr">
        <is>
          <t>cfb-v1</t>
        </is>
      </c>
      <c r="BF461" s="24" t="inlineStr">
        <is>
          <t>1</t>
        </is>
      </c>
      <c r="BG461" s="24" t="inlineStr">
        <is>
          <t>1d168f11d221cd3c</t>
        </is>
      </c>
      <c r="BH461" s="24" t="inlineStr">
        <is>
          <t>2026-09-25T22:08:37.055464+00:00</t>
        </is>
      </c>
      <c r="BI461" s="24" t="inlineStr">
        <is>
          <t>["same_event","same_team_same_day","same_league_same_day"]</t>
        </is>
      </c>
      <c r="BJ461" s="25" t="n">
        <v>50.5</v>
      </c>
      <c r="BK461" s="26" t="n">
        <v>-115</v>
      </c>
      <c r="BL461" s="27" t="n">
        <v>1.869565</v>
      </c>
      <c r="BM461" s="28" t="n">
        <v>0.534884</v>
      </c>
      <c r="BN461" s="28" t="n"/>
      <c r="BO461" s="28" t="n"/>
      <c r="BP461" s="25" t="n"/>
      <c r="BQ461" s="27" t="n"/>
      <c r="BR461" s="28" t="n"/>
      <c r="BS461" s="28" t="n"/>
      <c r="BT461" s="28" t="n"/>
      <c r="BU461" s="25" t="n"/>
      <c r="BV461" s="29" t="n"/>
      <c r="BW461" s="24" t="n"/>
      <c r="BX461" s="30" t="n">
        <v>1</v>
      </c>
      <c r="BY461" s="27" t="n">
        <v>-1</v>
      </c>
      <c r="BZ461" s="24" t="inlineStr">
        <is>
          <t>2026-09-26T05:23:17.302413Z</t>
        </is>
      </c>
      <c r="CA461" s="31" t="inlineStr">
        <is>
          <t>fixed one-unit hypothetical scoring; no real exposure or execution</t>
        </is>
      </c>
      <c r="CB461" s="24" t="n"/>
      <c r="CC461" s="24" t="n"/>
      <c r="CD461" s="24" t="n"/>
      <c r="CE461" s="24" t="n"/>
      <c r="CF461" s="24" t="n"/>
      <c r="CG461" s="24" t="n"/>
      <c r="CH461" s="24" t="n"/>
      <c r="CI461" s="24" t="n"/>
      <c r="CJ461" s="24" t="n"/>
      <c r="CK461" s="24" t="n"/>
      <c r="CL461" s="24" t="n"/>
      <c r="CM461" s="24" t="n"/>
      <c r="CN461" s="24" t="n"/>
      <c r="CO461" s="24" t="n"/>
      <c r="CP461" s="24" t="n"/>
      <c r="CQ461" s="24" t="n"/>
      <c r="CR461" s="24" t="n"/>
      <c r="CS461" s="24" t="inlineStr">
        <is>
          <t>False</t>
        </is>
      </c>
      <c r="CT461" s="24" t="n"/>
      <c r="CU461" s="24" t="n"/>
      <c r="CV461" s="24" t="n"/>
      <c r="CW461" s="24" t="n"/>
      <c r="CX461" s="24" t="n"/>
      <c r="CY461" s="24" t="n"/>
      <c r="CZ461" s="24" t="n"/>
      <c r="DA461" s="24" t="n"/>
      <c r="DB461" s="24" t="n"/>
      <c r="DC461" s="24" t="n"/>
      <c r="DD461" s="24" t="n"/>
      <c r="DE461" s="24" t="n"/>
      <c r="DF461" s="24" t="n"/>
      <c r="DG461" s="24" t="n"/>
      <c r="DH461" s="24" t="n"/>
      <c r="DI461" s="24" t="n"/>
      <c r="DJ461" s="24" t="inlineStr">
        <is>
          <t>0.534884</t>
        </is>
      </c>
      <c r="DK461" s="24" t="n"/>
      <c r="DL461" s="24" t="n"/>
      <c r="DM461" s="24" t="n"/>
      <c r="DN461" s="24" t="n"/>
      <c r="DO461" s="24" t="n"/>
      <c r="DP461" s="24" t="n"/>
      <c r="DQ461" s="24" t="inlineStr">
        <is>
          <t>{"artifact_hash": "1d168f11d221cd3c", "event_id": "401862778", "event_start_utc": "2026-09-25T23:00Z", "features": {"altitude_fatigue_penalty": 0.0, "away_team": "Navy Midshipmen", "efficiency_gap": -0.697, "elo_away": 1678.1, "elo_home": 1258.9, "elo_home_win_prob": 0.1152, "event_id": "401862778", "game_start_utc": "2026-09-25T23:00Z", "home_field_advantage_points": 2.8, "home_team": "UAB Blazers", "is_dome": false, "is_fbs_vs_fcs": false, "is_neutral_site": false, "projected_away_points": 34.0, "projected_home_points": 19.5, "projected_margin_home": -14.5, "projected_possessions": 12.4, "projected_total": 53.5, "stadium_elevation_ft": 600, "travel_distance_miles": 686.0, "uncertainty": 0.18, "weather_total_adjustment": 0.0}, "historical_source_observation_times_verified": false, "inference_inputs": {"engine_source_sha256": "449ba2f0e86fa9c445730076a0e0bf100fb4914620be53c75c6f3bfe24298f3f", "mu_away": 34.0, "mu_home": 19.5,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9727040748525093426615889647266420716}, "uinteger": 0}, "spread_home_line": 6.5, "total_line": 50.5}, "market_type": "total", "model_version": "cfb-total-v1", "observed_at_utc": "2026-09-25T22:08:37.055464+00:00", "probabilities": {"over": 0.508733, "push": 0.0, "under": 0.491267}, "replay_scope": "Full precision score means, exact engine parameters and original RNG state; upstream feature construction not certified.", "schema": "cfb-joint-replay-v1", "snapshot_hash": "c92961e1a21b1147bcbf2326c0e8b63540590a9b0bfc3f910f60e9ede40694e4", "sport": "NCAAF"}</t>
        </is>
      </c>
    </row>
    <row r="462" ht="36" customHeight="1">
      <c r="A462" s="24" t="inlineStr">
        <is>
          <t>36c1b29a69124132</t>
        </is>
      </c>
      <c r="B462" s="24" t="inlineStr">
        <is>
          <t>2026-09-25T22:08:37.055464Z</t>
        </is>
      </c>
      <c r="C462" s="24" t="inlineStr">
        <is>
          <t>2026-09-26T00:00Z</t>
        </is>
      </c>
      <c r="D462" s="24" t="inlineStr">
        <is>
          <t>401858461</t>
        </is>
      </c>
      <c r="E462" s="24" t="inlineStr">
        <is>
          <t>NCAAF</t>
        </is>
      </c>
      <c r="F462" s="24" t="inlineStr">
        <is>
          <t>Northwestern Wildcats</t>
        </is>
      </c>
      <c r="G462" s="24" t="inlineStr">
        <is>
          <t>Indiana Hoosiers</t>
        </is>
      </c>
      <c r="H462" s="24" t="inlineStr">
        <is>
          <t>moneyline</t>
        </is>
      </c>
      <c r="I462" s="24" t="inlineStr">
        <is>
          <t>home</t>
        </is>
      </c>
      <c r="J462" s="25" t="n"/>
      <c r="K462" s="24" t="inlineStr">
        <is>
          <t>espn_consensus</t>
        </is>
      </c>
      <c r="L462" s="26" t="n">
        <v>-1800</v>
      </c>
      <c r="M462" s="27" t="n">
        <v>1.055556</v>
      </c>
      <c r="N462" s="28" t="n">
        <v>0.947368</v>
      </c>
      <c r="O462" s="28" t="n">
        <v>0.809485</v>
      </c>
      <c r="P462" s="28" t="n">
        <v>0.165</v>
      </c>
      <c r="Q462" s="28" t="n">
        <v>-0.137883</v>
      </c>
      <c r="R462" s="26" t="n">
        <v>0</v>
      </c>
      <c r="S462" s="29" t="n">
        <v>1</v>
      </c>
      <c r="T462" s="24" t="inlineStr">
        <is>
          <t>college-football-v1</t>
        </is>
      </c>
      <c r="U462" s="24" t="inlineStr">
        <is>
          <t>settled</t>
        </is>
      </c>
      <c r="V462" s="24" t="inlineStr">
        <is>
          <t>win</t>
        </is>
      </c>
      <c r="W462" s="26" t="n">
        <v>23</v>
      </c>
      <c r="X462" s="26" t="n">
        <v>29</v>
      </c>
      <c r="Y462" s="25" t="n"/>
      <c r="Z462" s="26" t="n"/>
      <c r="AA462" s="28" t="n"/>
      <c r="AB462" s="28" t="n"/>
      <c r="AC462" s="30" t="n">
        <v>0.0556</v>
      </c>
      <c r="AD462" s="24" t="inlineStr">
        <is>
          <t>2026-09-26T05:23:18.612068Z</t>
        </is>
      </c>
      <c r="AE462" s="31" t="inlineStr">
        <is>
          <t>CFB Joint Model (negative_binomial): proj score Northwestern Wildcats 19.8 @ Indiana Hoosiers 36.8 (Margin +17.0). Possessions: 12.4, HFA: +2.8 pts.</t>
        </is>
      </c>
      <c r="AF462" s="31" t="inlineStr">
        <is>
          <t>College football model; multi-market (moneyline, spread, total).</t>
        </is>
      </c>
      <c r="AG462" s="24" t="inlineStr">
        <is>
          <t>not_applicable</t>
        </is>
      </c>
      <c r="AH462" s="24" t="n"/>
      <c r="AI462" s="31" t="n"/>
      <c r="AJ462" s="31" t="n"/>
      <c r="AK462" s="24" t="inlineStr">
        <is>
          <t>paper_call</t>
        </is>
      </c>
      <c r="AL462" s="26" t="n">
        <v>4</v>
      </c>
      <c r="AM462" s="24" t="inlineStr">
        <is>
          <t>RESEARCH_OBSERVATION</t>
        </is>
      </c>
      <c r="AN462" s="24" t="inlineStr">
        <is>
          <t>CALL</t>
        </is>
      </c>
      <c r="AO462" s="24" t="inlineStr">
        <is>
          <t>PAPER_CALL_LOW_EDGE</t>
        </is>
      </c>
      <c r="AP462" s="24" t="inlineStr">
        <is>
          <t>Northwestern Wildcats</t>
        </is>
      </c>
      <c r="AQ462" s="24" t="inlineStr">
        <is>
          <t>Northwestern Wildcats</t>
        </is>
      </c>
      <c r="AR462" s="24" t="inlineStr">
        <is>
          <t>Northwestern Wildcats</t>
        </is>
      </c>
      <c r="AS462" s="24" t="inlineStr">
        <is>
          <t>Indiana Hoosiers</t>
        </is>
      </c>
      <c r="AT462" s="24" t="inlineStr">
        <is>
          <t>Indiana Hoosiers</t>
        </is>
      </c>
      <c r="AU462" s="24" t="inlineStr">
        <is>
          <t>Indiana Hoosiers</t>
        </is>
      </c>
      <c r="AV462" s="24" t="n"/>
      <c r="AW462" s="24" t="n"/>
      <c r="AX462" s="24" t="inlineStr">
        <is>
          <t>statistical_model</t>
        </is>
      </c>
      <c r="AY462" s="24" t="n"/>
      <c r="AZ462" s="24" t="inlineStr">
        <is>
          <t>shadow_qualified</t>
        </is>
      </c>
      <c r="BA462" s="24" t="inlineStr">
        <is>
          <t>1d168f11d221cd3c</t>
        </is>
      </c>
      <c r="BB462" s="24" t="inlineStr">
        <is>
          <t>cfb_key_number_engine</t>
        </is>
      </c>
      <c r="BC462" s="24" t="inlineStr">
        <is>
          <t>college-football-v1</t>
        </is>
      </c>
      <c r="BD462" s="24" t="inlineStr">
        <is>
          <t>1d168f11d221cd3c</t>
        </is>
      </c>
      <c r="BE462" s="24" t="inlineStr">
        <is>
          <t>cfb-v1</t>
        </is>
      </c>
      <c r="BF462" s="24" t="inlineStr">
        <is>
          <t>1</t>
        </is>
      </c>
      <c r="BG462" s="24" t="inlineStr">
        <is>
          <t>1d168f11d221cd3c</t>
        </is>
      </c>
      <c r="BH462" s="24" t="inlineStr">
        <is>
          <t>2026-09-25T22:08:37.055464+00:00</t>
        </is>
      </c>
      <c r="BI462" s="24" t="inlineStr">
        <is>
          <t>["same_event","same_team_same_day","same_league_same_day"]</t>
        </is>
      </c>
      <c r="BJ462" s="25" t="n"/>
      <c r="BK462" s="26" t="n">
        <v>-1800</v>
      </c>
      <c r="BL462" s="27" t="n">
        <v>1.055556</v>
      </c>
      <c r="BM462" s="28" t="n">
        <v>0.947368</v>
      </c>
      <c r="BN462" s="28" t="n"/>
      <c r="BO462" s="28" t="n"/>
      <c r="BP462" s="25" t="n"/>
      <c r="BQ462" s="27" t="n"/>
      <c r="BR462" s="28" t="n"/>
      <c r="BS462" s="28" t="n"/>
      <c r="BT462" s="28" t="n"/>
      <c r="BU462" s="25" t="n"/>
      <c r="BV462" s="29" t="n"/>
      <c r="BW462" s="24" t="n"/>
      <c r="BX462" s="30" t="n">
        <v>1</v>
      </c>
      <c r="BY462" s="27" t="n">
        <v>0.055556</v>
      </c>
      <c r="BZ462" s="24" t="inlineStr">
        <is>
          <t>2026-09-26T05:23:18.612068Z</t>
        </is>
      </c>
      <c r="CA462" s="31" t="inlineStr">
        <is>
          <t>fixed one-unit hypothetical scoring; no real exposure or execution</t>
        </is>
      </c>
      <c r="CB462" s="24" t="n"/>
      <c r="CC462" s="24" t="n"/>
      <c r="CD462" s="24" t="n"/>
      <c r="CE462" s="24" t="n"/>
      <c r="CF462" s="24" t="n"/>
      <c r="CG462" s="24" t="n"/>
      <c r="CH462" s="24" t="n"/>
      <c r="CI462" s="24" t="n"/>
      <c r="CJ462" s="24" t="n"/>
      <c r="CK462" s="24" t="n"/>
      <c r="CL462" s="24" t="n"/>
      <c r="CM462" s="24" t="n"/>
      <c r="CN462" s="24" t="n"/>
      <c r="CO462" s="24" t="n"/>
      <c r="CP462" s="24" t="n"/>
      <c r="CQ462" s="24" t="n"/>
      <c r="CR462" s="24" t="n"/>
      <c r="CS462" s="24" t="inlineStr">
        <is>
          <t>False</t>
        </is>
      </c>
      <c r="CT462" s="24" t="n"/>
      <c r="CU462" s="24" t="n"/>
      <c r="CV462" s="24" t="n"/>
      <c r="CW462" s="24" t="n"/>
      <c r="CX462" s="24" t="n"/>
      <c r="CY462" s="24" t="n"/>
      <c r="CZ462" s="24" t="n"/>
      <c r="DA462" s="24" t="n"/>
      <c r="DB462" s="24" t="n"/>
      <c r="DC462" s="24" t="n"/>
      <c r="DD462" s="24" t="n"/>
      <c r="DE462" s="24" t="n"/>
      <c r="DF462" s="24" t="n"/>
      <c r="DG462" s="24" t="n"/>
      <c r="DH462" s="24" t="n"/>
      <c r="DI462" s="24" t="n"/>
      <c r="DJ462" s="24" t="inlineStr">
        <is>
          <t>0.947368</t>
        </is>
      </c>
      <c r="DK462" s="24" t="n"/>
      <c r="DL462" s="24" t="n"/>
      <c r="DM462" s="24" t="n"/>
      <c r="DN462" s="24" t="n"/>
      <c r="DO462" s="24" t="n"/>
      <c r="DP462" s="24" t="n"/>
      <c r="DQ462" s="24" t="inlineStr">
        <is>
          <t>{"artifact_hash": "1d168f11d221cd3c", "event_id": "401858461", "event_start_utc": "2026-09-26T00:00Z", "features": {"altitude_fatigue_penalty": 0.0, "away_team": "Northwestern Wildcats", "efficiency_gap": 0.774, "elo_away": 1573.4, "elo_home": 1934.8, "elo_home_win_prob": 0.9209, "event_id": "401858461", "game_start_utc": "2026-09-26T00:00Z", "home_field_advantage_points": 2.8, "home_team": "Indiana Hoosiers", "is_dome": false, "is_fbs_vs_fcs": false, "is_neutral_site": false, "projected_away_points": 19.8, "projected_home_points": 36.8, "projected_margin_home": 17.0, "projected_possessions": 12.4, "projected_total": 56.6, "stadium_elevation_ft": 760, "travel_distance_miles": 208.0, "uncertainty": 0.165, "weather_total_adjustment": 0.0}, "historical_source_observation_times_verified": false, "inference_inputs": {"engine_source_sha256": "449ba2f0e86fa9c445730076a0e0bf100fb4914620be53c75c6f3bfe24298f3f", "mu_away": 19.8, "mu_home": 36.8,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167624880876936988260174956848161288987}, "uinteger": 0}, "spread_home_line": -20.5, "total_line": 50.5}, "market_type": "moneyline", "model_version": "college-football-v1", "observed_at_utc": "2026-09-25T22:08:37.055464+00:00", "probabilities": {"away": 0.190515, "home": 0.809485}, "replay_scope": "Full precision score means, exact engine parameters and original RNG state; upstream feature construction not certified.", "schema": "cfb-joint-replay-v1", "snapshot_hash": "85c86bf738d0538d6879ac886b74c89ca4b5d489efac0797dbcc39a8f96be12d", "sport": "NCAAF"}</t>
        </is>
      </c>
    </row>
    <row r="463" ht="36" customHeight="1">
      <c r="A463" s="24" t="inlineStr">
        <is>
          <t>ac9f49aae47449e2</t>
        </is>
      </c>
      <c r="B463" s="24" t="inlineStr">
        <is>
          <t>2026-09-25T22:08:37.055464Z</t>
        </is>
      </c>
      <c r="C463" s="24" t="inlineStr">
        <is>
          <t>2026-09-26T00:00Z</t>
        </is>
      </c>
      <c r="D463" s="24" t="inlineStr">
        <is>
          <t>401858461</t>
        </is>
      </c>
      <c r="E463" s="24" t="inlineStr">
        <is>
          <t>NCAAF</t>
        </is>
      </c>
      <c r="F463" s="24" t="inlineStr">
        <is>
          <t>Northwestern Wildcats</t>
        </is>
      </c>
      <c r="G463" s="24" t="inlineStr">
        <is>
          <t>Indiana Hoosiers</t>
        </is>
      </c>
      <c r="H463" s="24" t="inlineStr">
        <is>
          <t>spread</t>
        </is>
      </c>
      <c r="I463" s="24" t="inlineStr">
        <is>
          <t>away</t>
        </is>
      </c>
      <c r="J463" s="25" t="n">
        <v>20.5</v>
      </c>
      <c r="K463" s="24" t="inlineStr">
        <is>
          <t>espn_consensus</t>
        </is>
      </c>
      <c r="L463" s="26" t="n">
        <v>-108</v>
      </c>
      <c r="M463" s="27" t="n">
        <v>1.925926</v>
      </c>
      <c r="N463" s="28" t="n">
        <v>0.519231</v>
      </c>
      <c r="O463" s="28" t="n">
        <v>0.575</v>
      </c>
      <c r="P463" s="28" t="n">
        <v>0.165</v>
      </c>
      <c r="Q463" s="28" t="n">
        <v>0.055769</v>
      </c>
      <c r="R463" s="26" t="n">
        <v>0</v>
      </c>
      <c r="S463" s="29" t="n">
        <v>1</v>
      </c>
      <c r="T463" s="24" t="inlineStr">
        <is>
          <t>cfb-spread-v1</t>
        </is>
      </c>
      <c r="U463" s="24" t="inlineStr">
        <is>
          <t>settled</t>
        </is>
      </c>
      <c r="V463" s="24" t="inlineStr">
        <is>
          <t>win</t>
        </is>
      </c>
      <c r="W463" s="26" t="n">
        <v>23</v>
      </c>
      <c r="X463" s="26" t="n">
        <v>29</v>
      </c>
      <c r="Y463" s="25" t="n"/>
      <c r="Z463" s="26" t="n"/>
      <c r="AA463" s="28" t="n"/>
      <c r="AB463" s="28" t="n"/>
      <c r="AC463" s="30" t="n">
        <v>0.9258999999999999</v>
      </c>
      <c r="AD463" s="24" t="inlineStr">
        <is>
          <t>2026-09-26T05:23:19.561078Z</t>
        </is>
      </c>
      <c r="AE463" s="31" t="inlineStr">
        <is>
          <t>Projected home margin +17.0 pts. Spread: Home -20.5 / Away +20.5 -&gt; P(Away cover)=0.575, P(Home cover)=0.425, P(Push)=0.000.</t>
        </is>
      </c>
      <c r="AF463" s="31" t="inlineStr">
        <is>
          <t>College football model; multi-market (moneyline, spread, total).</t>
        </is>
      </c>
      <c r="AG463" s="24" t="inlineStr">
        <is>
          <t>not_applicable</t>
        </is>
      </c>
      <c r="AH463" s="24" t="n"/>
      <c r="AI463" s="31" t="n"/>
      <c r="AJ463" s="31" t="n"/>
      <c r="AK463" s="24" t="inlineStr">
        <is>
          <t>model_qualified</t>
        </is>
      </c>
      <c r="AL463" s="26" t="n">
        <v>4</v>
      </c>
      <c r="AM463" s="24" t="inlineStr">
        <is>
          <t>QUALIFIED_SHADOW_CALL</t>
        </is>
      </c>
      <c r="AN463" s="24" t="inlineStr">
        <is>
          <t>CALL</t>
        </is>
      </c>
      <c r="AO463" s="24" t="inlineStr">
        <is>
          <t>QUALIFIED</t>
        </is>
      </c>
      <c r="AP463" s="24" t="inlineStr">
        <is>
          <t>Northwestern Wildcats</t>
        </is>
      </c>
      <c r="AQ463" s="24" t="inlineStr">
        <is>
          <t>Northwestern Wildcats</t>
        </is>
      </c>
      <c r="AR463" s="24" t="inlineStr">
        <is>
          <t>Northwestern Wildcats</t>
        </is>
      </c>
      <c r="AS463" s="24" t="inlineStr">
        <is>
          <t>Indiana Hoosiers</t>
        </is>
      </c>
      <c r="AT463" s="24" t="inlineStr">
        <is>
          <t>Indiana Hoosiers</t>
        </is>
      </c>
      <c r="AU463" s="24" t="inlineStr">
        <is>
          <t>Indiana Hoosiers</t>
        </is>
      </c>
      <c r="AV463" s="24" t="n"/>
      <c r="AW463" s="24" t="n"/>
      <c r="AX463" s="24" t="inlineStr">
        <is>
          <t>statistical_model</t>
        </is>
      </c>
      <c r="AY463" s="24" t="n"/>
      <c r="AZ463" s="24" t="inlineStr">
        <is>
          <t>shadow_qualified</t>
        </is>
      </c>
      <c r="BA463" s="24" t="inlineStr">
        <is>
          <t>1d168f11d221cd3c</t>
        </is>
      </c>
      <c r="BB463" s="24" t="inlineStr">
        <is>
          <t>cfb_key_number_engine</t>
        </is>
      </c>
      <c r="BC463" s="24" t="inlineStr">
        <is>
          <t>cfb-spread-v1</t>
        </is>
      </c>
      <c r="BD463" s="24" t="inlineStr">
        <is>
          <t>1d168f11d221cd3c</t>
        </is>
      </c>
      <c r="BE463" s="24" t="inlineStr">
        <is>
          <t>cfb-v1</t>
        </is>
      </c>
      <c r="BF463" s="24" t="inlineStr">
        <is>
          <t>1</t>
        </is>
      </c>
      <c r="BG463" s="24" t="inlineStr">
        <is>
          <t>1d168f11d221cd3c</t>
        </is>
      </c>
      <c r="BH463" s="24" t="inlineStr">
        <is>
          <t>2026-09-25T22:08:37.055464+00:00</t>
        </is>
      </c>
      <c r="BI463" s="24" t="inlineStr">
        <is>
          <t>["same_event","same_team_same_day","same_league_same_day"]</t>
        </is>
      </c>
      <c r="BJ463" s="25" t="n">
        <v>20.5</v>
      </c>
      <c r="BK463" s="26" t="n">
        <v>-108</v>
      </c>
      <c r="BL463" s="27" t="n">
        <v>1.925926</v>
      </c>
      <c r="BM463" s="28" t="n">
        <v>0.519231</v>
      </c>
      <c r="BN463" s="28" t="n"/>
      <c r="BO463" s="28" t="n"/>
      <c r="BP463" s="25" t="n"/>
      <c r="BQ463" s="27" t="n"/>
      <c r="BR463" s="28" t="n"/>
      <c r="BS463" s="28" t="n"/>
      <c r="BT463" s="28" t="n"/>
      <c r="BU463" s="25" t="n"/>
      <c r="BV463" s="29" t="n"/>
      <c r="BW463" s="24" t="n"/>
      <c r="BX463" s="30" t="n"/>
      <c r="BY463" s="27" t="n"/>
      <c r="BZ463" s="24" t="n"/>
      <c r="CA463" s="31" t="n"/>
      <c r="CB463" s="24" t="n"/>
      <c r="CC463" s="24" t="n"/>
      <c r="CD463" s="24" t="n"/>
      <c r="CE463" s="24" t="n"/>
      <c r="CF463" s="24" t="n"/>
      <c r="CG463" s="24" t="n"/>
      <c r="CH463" s="24" t="n"/>
      <c r="CI463" s="24" t="n"/>
      <c r="CJ463" s="24" t="n"/>
      <c r="CK463" s="24" t="n"/>
      <c r="CL463" s="24" t="n"/>
      <c r="CM463" s="24" t="n"/>
      <c r="CN463" s="24" t="n"/>
      <c r="CO463" s="24" t="n"/>
      <c r="CP463" s="24" t="n"/>
      <c r="CQ463" s="24" t="n"/>
      <c r="CR463" s="24" t="n"/>
      <c r="CS463" s="24" t="inlineStr">
        <is>
          <t>True</t>
        </is>
      </c>
      <c r="CT463" s="24" t="n"/>
      <c r="CU463" s="24" t="n"/>
      <c r="CV463" s="24" t="n"/>
      <c r="CW463" s="24" t="n"/>
      <c r="CX463" s="24" t="n"/>
      <c r="CY463" s="24" t="n"/>
      <c r="CZ463" s="24" t="n"/>
      <c r="DA463" s="24" t="n"/>
      <c r="DB463" s="24" t="n"/>
      <c r="DC463" s="24" t="n"/>
      <c r="DD463" s="24" t="n"/>
      <c r="DE463" s="24" t="n"/>
      <c r="DF463" s="24" t="n"/>
      <c r="DG463" s="24" t="n"/>
      <c r="DH463" s="24" t="n"/>
      <c r="DI463" s="24" t="n"/>
      <c r="DJ463" s="24" t="inlineStr">
        <is>
          <t>0.519231</t>
        </is>
      </c>
      <c r="DK463" s="24" t="n"/>
      <c r="DL463" s="24" t="n"/>
      <c r="DM463" s="24" t="n"/>
      <c r="DN463" s="24" t="n"/>
      <c r="DO463" s="24" t="n"/>
      <c r="DP463" s="24" t="n"/>
      <c r="DQ463" s="24" t="inlineStr">
        <is>
          <t>{"artifact_hash": "1d168f11d221cd3c", "event_id": "401858461", "event_start_utc": "2026-09-26T00:00Z", "features": {"altitude_fatigue_penalty": 0.0, "away_team": "Northwestern Wildcats", "efficiency_gap": 0.774, "elo_away": 1573.4, "elo_home": 1934.8, "elo_home_win_prob": 0.9209, "event_id": "401858461", "game_start_utc": "2026-09-26T00:00Z", "home_field_advantage_points": 2.8, "home_team": "Indiana Hoosiers", "is_dome": false, "is_fbs_vs_fcs": false, "is_neutral_site": false, "projected_away_points": 19.8, "projected_home_points": 36.8, "projected_margin_home": 17.0, "projected_possessions": 12.4, "projected_total": 56.6, "stadium_elevation_ft": 760, "travel_distance_miles": 208.0, "uncertainty": 0.165, "weather_total_adjustment": 0.0}, "historical_source_observation_times_verified": false, "inference_inputs": {"engine_source_sha256": "449ba2f0e86fa9c445730076a0e0bf100fb4914620be53c75c6f3bfe24298f3f", "mu_away": 19.8, "mu_home": 36.8,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167624880876936988260174956848161288987}, "uinteger": 0}, "spread_home_line": -20.5, "total_line": 50.5}, "market_type": "spread", "model_version": "cfb-spread-v1", "observed_at_utc": "2026-09-25T22:08:37.055464+00:00", "probabilities": {"away": 0.575, "home": 0.425, "push": 0.0}, "replay_scope": "Full precision score means, exact engine parameters and original RNG state; upstream feature construction not certified.", "schema": "cfb-joint-replay-v1", "snapshot_hash": "3865c8ead94d81c82f6f6b7f81240edc4c744cb956bd62aeba941a67b109b6c0", "sport": "NCAAF"}</t>
        </is>
      </c>
    </row>
    <row r="464" ht="36" customHeight="1">
      <c r="A464" s="24" t="inlineStr">
        <is>
          <t>32b37def0f784ca1</t>
        </is>
      </c>
      <c r="B464" s="24" t="inlineStr">
        <is>
          <t>2026-09-25T22:08:37.055464Z</t>
        </is>
      </c>
      <c r="C464" s="24" t="inlineStr">
        <is>
          <t>2026-09-26T00:00Z</t>
        </is>
      </c>
      <c r="D464" s="24" t="inlineStr">
        <is>
          <t>401858461</t>
        </is>
      </c>
      <c r="E464" s="24" t="inlineStr">
        <is>
          <t>NCAAF</t>
        </is>
      </c>
      <c r="F464" s="24" t="inlineStr">
        <is>
          <t>Northwestern Wildcats</t>
        </is>
      </c>
      <c r="G464" s="24" t="inlineStr">
        <is>
          <t>Indiana Hoosiers</t>
        </is>
      </c>
      <c r="H464" s="24" t="inlineStr">
        <is>
          <t>total</t>
        </is>
      </c>
      <c r="I464" s="24" t="inlineStr">
        <is>
          <t>over</t>
        </is>
      </c>
      <c r="J464" s="25" t="n">
        <v>50.5</v>
      </c>
      <c r="K464" s="24" t="inlineStr">
        <is>
          <t>espn_consensus</t>
        </is>
      </c>
      <c r="L464" s="26" t="n">
        <v>-110</v>
      </c>
      <c r="M464" s="27" t="n">
        <v>1.909091</v>
      </c>
      <c r="N464" s="28" t="n">
        <v>0.52381</v>
      </c>
      <c r="O464" s="28" t="n">
        <v>0.575867</v>
      </c>
      <c r="P464" s="28" t="n">
        <v>0.165</v>
      </c>
      <c r="Q464" s="28" t="n">
        <v>0.052057</v>
      </c>
      <c r="R464" s="26" t="n">
        <v>0</v>
      </c>
      <c r="S464" s="29" t="n">
        <v>1</v>
      </c>
      <c r="T464" s="24" t="inlineStr">
        <is>
          <t>cfb-total-v1</t>
        </is>
      </c>
      <c r="U464" s="24" t="inlineStr">
        <is>
          <t>settled</t>
        </is>
      </c>
      <c r="V464" s="24" t="inlineStr">
        <is>
          <t>win</t>
        </is>
      </c>
      <c r="W464" s="26" t="n">
        <v>23</v>
      </c>
      <c r="X464" s="26" t="n">
        <v>29</v>
      </c>
      <c r="Y464" s="25" t="n"/>
      <c r="Z464" s="26" t="n"/>
      <c r="AA464" s="28" t="n"/>
      <c r="AB464" s="28" t="n"/>
      <c r="AC464" s="30" t="n">
        <v>0.9091</v>
      </c>
      <c r="AD464" s="24" t="inlineStr">
        <is>
          <t>2026-09-26T05:23:20.628725Z</t>
        </is>
      </c>
      <c r="AE464" s="31" t="inlineStr">
        <is>
          <t>Projected total 56.6 pts (Weather adj: +0.0 pts). Total line 50.5 -&gt; P(Over)=0.576, P(Under)=0.424, P(Push)=0.000.</t>
        </is>
      </c>
      <c r="AF464" s="31" t="inlineStr">
        <is>
          <t>College football model; multi-market (moneyline, spread, total).</t>
        </is>
      </c>
      <c r="AG464" s="24" t="inlineStr">
        <is>
          <t>not_applicable</t>
        </is>
      </c>
      <c r="AH464" s="24" t="n"/>
      <c r="AI464" s="31" t="n"/>
      <c r="AJ464" s="31" t="n"/>
      <c r="AK464" s="24" t="inlineStr">
        <is>
          <t>model_qualified</t>
        </is>
      </c>
      <c r="AL464" s="26" t="n">
        <v>4</v>
      </c>
      <c r="AM464" s="24" t="inlineStr">
        <is>
          <t>QUALIFIED_SHADOW_CALL</t>
        </is>
      </c>
      <c r="AN464" s="24" t="inlineStr">
        <is>
          <t>CALL</t>
        </is>
      </c>
      <c r="AO464" s="24" t="inlineStr">
        <is>
          <t>QUALIFIED</t>
        </is>
      </c>
      <c r="AP464" s="24" t="inlineStr">
        <is>
          <t>Northwestern Wildcats</t>
        </is>
      </c>
      <c r="AQ464" s="24" t="inlineStr">
        <is>
          <t>Northwestern Wildcats</t>
        </is>
      </c>
      <c r="AR464" s="24" t="inlineStr">
        <is>
          <t>Northwestern Wildcats</t>
        </is>
      </c>
      <c r="AS464" s="24" t="inlineStr">
        <is>
          <t>Indiana Hoosiers</t>
        </is>
      </c>
      <c r="AT464" s="24" t="inlineStr">
        <is>
          <t>Indiana Hoosiers</t>
        </is>
      </c>
      <c r="AU464" s="24" t="inlineStr">
        <is>
          <t>Indiana Hoosiers</t>
        </is>
      </c>
      <c r="AV464" s="24" t="n"/>
      <c r="AW464" s="24" t="n"/>
      <c r="AX464" s="24" t="inlineStr">
        <is>
          <t>statistical_model</t>
        </is>
      </c>
      <c r="AY464" s="24" t="n"/>
      <c r="AZ464" s="24" t="inlineStr">
        <is>
          <t>shadow_qualified</t>
        </is>
      </c>
      <c r="BA464" s="24" t="inlineStr">
        <is>
          <t>1d168f11d221cd3c</t>
        </is>
      </c>
      <c r="BB464" s="24" t="inlineStr">
        <is>
          <t>cfb_key_number_engine</t>
        </is>
      </c>
      <c r="BC464" s="24" t="inlineStr">
        <is>
          <t>cfb-total-v1</t>
        </is>
      </c>
      <c r="BD464" s="24" t="inlineStr">
        <is>
          <t>1d168f11d221cd3c</t>
        </is>
      </c>
      <c r="BE464" s="24" t="inlineStr">
        <is>
          <t>cfb-v1</t>
        </is>
      </c>
      <c r="BF464" s="24" t="inlineStr">
        <is>
          <t>1</t>
        </is>
      </c>
      <c r="BG464" s="24" t="inlineStr">
        <is>
          <t>1d168f11d221cd3c</t>
        </is>
      </c>
      <c r="BH464" s="24" t="inlineStr">
        <is>
          <t>2026-09-25T22:08:37.055464+00:00</t>
        </is>
      </c>
      <c r="BI464" s="24" t="inlineStr">
        <is>
          <t>["same_event","same_team_same_day","same_league_same_day"]</t>
        </is>
      </c>
      <c r="BJ464" s="25" t="n">
        <v>50.5</v>
      </c>
      <c r="BK464" s="26" t="n">
        <v>-110</v>
      </c>
      <c r="BL464" s="27" t="n">
        <v>1.909091</v>
      </c>
      <c r="BM464" s="28" t="n">
        <v>0.52381</v>
      </c>
      <c r="BN464" s="28" t="n"/>
      <c r="BO464" s="28" t="n"/>
      <c r="BP464" s="25" t="n"/>
      <c r="BQ464" s="27" t="n"/>
      <c r="BR464" s="28" t="n"/>
      <c r="BS464" s="28" t="n"/>
      <c r="BT464" s="28" t="n"/>
      <c r="BU464" s="25" t="n"/>
      <c r="BV464" s="29" t="n"/>
      <c r="BW464" s="24" t="n"/>
      <c r="BX464" s="30" t="n"/>
      <c r="BY464" s="27" t="n"/>
      <c r="BZ464" s="24" t="n"/>
      <c r="CA464" s="31" t="n"/>
      <c r="CB464" s="24" t="n"/>
      <c r="CC464" s="24" t="n"/>
      <c r="CD464" s="24" t="n"/>
      <c r="CE464" s="24" t="n"/>
      <c r="CF464" s="24" t="n"/>
      <c r="CG464" s="24" t="n"/>
      <c r="CH464" s="24" t="n"/>
      <c r="CI464" s="24" t="n"/>
      <c r="CJ464" s="24" t="n"/>
      <c r="CK464" s="24" t="n"/>
      <c r="CL464" s="24" t="n"/>
      <c r="CM464" s="24" t="n"/>
      <c r="CN464" s="24" t="n"/>
      <c r="CO464" s="24" t="n"/>
      <c r="CP464" s="24" t="n"/>
      <c r="CQ464" s="24" t="n"/>
      <c r="CR464" s="24" t="n"/>
      <c r="CS464" s="24" t="inlineStr">
        <is>
          <t>True</t>
        </is>
      </c>
      <c r="CT464" s="24" t="n"/>
      <c r="CU464" s="24" t="n"/>
      <c r="CV464" s="24" t="n"/>
      <c r="CW464" s="24" t="n"/>
      <c r="CX464" s="24" t="n"/>
      <c r="CY464" s="24" t="n"/>
      <c r="CZ464" s="24" t="n"/>
      <c r="DA464" s="24" t="n"/>
      <c r="DB464" s="24" t="n"/>
      <c r="DC464" s="24" t="n"/>
      <c r="DD464" s="24" t="n"/>
      <c r="DE464" s="24" t="n"/>
      <c r="DF464" s="24" t="n"/>
      <c r="DG464" s="24" t="n"/>
      <c r="DH464" s="24" t="n"/>
      <c r="DI464" s="24" t="n"/>
      <c r="DJ464" s="24" t="inlineStr">
        <is>
          <t>0.52381</t>
        </is>
      </c>
      <c r="DK464" s="24" t="n"/>
      <c r="DL464" s="24" t="n"/>
      <c r="DM464" s="24" t="n"/>
      <c r="DN464" s="24" t="n"/>
      <c r="DO464" s="24" t="n"/>
      <c r="DP464" s="24" t="n"/>
      <c r="DQ464" s="24" t="inlineStr">
        <is>
          <t>{"artifact_hash": "1d168f11d221cd3c", "event_id": "401858461", "event_start_utc": "2026-09-26T00:00Z", "features": {"altitude_fatigue_penalty": 0.0, "away_team": "Northwestern Wildcats", "efficiency_gap": 0.774, "elo_away": 1573.4, "elo_home": 1934.8, "elo_home_win_prob": 0.9209, "event_id": "401858461", "game_start_utc": "2026-09-26T00:00Z", "home_field_advantage_points": 2.8, "home_team": "Indiana Hoosiers", "is_dome": false, "is_fbs_vs_fcs": false, "is_neutral_site": false, "projected_away_points": 19.8, "projected_home_points": 36.8, "projected_margin_home": 17.0, "projected_possessions": 12.4, "projected_total": 56.6, "stadium_elevation_ft": 760, "travel_distance_miles": 208.0, "uncertainty": 0.165, "weather_total_adjustment": 0.0}, "historical_source_observation_times_verified": false, "inference_inputs": {"engine_source_sha256": "449ba2f0e86fa9c445730076a0e0bf100fb4914620be53c75c6f3bfe24298f3f", "mu_away": 19.8, "mu_home": 36.8,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167624880876936988260174956848161288987}, "uinteger": 0}, "spread_home_line": -20.5, "total_line": 50.5}, "market_type": "total", "model_version": "cfb-total-v1", "observed_at_utc": "2026-09-25T22:08:37.055464+00:00", "probabilities": {"over": 0.575867, "push": 0.0, "under": 0.424133}, "replay_scope": "Full precision score means, exact engine parameters and original RNG state; upstream feature construction not certified.", "schema": "cfb-joint-replay-v1", "snapshot_hash": "4ccf85aff8c2431edbf181da9d3d0deea92c1b15cfed1bc5cba442e1d29b5115", "sport": "NCAAF"}</t>
        </is>
      </c>
    </row>
    <row r="465" ht="36" customHeight="1">
      <c r="A465" s="24" t="inlineStr">
        <is>
          <t>a729f07f74864990</t>
        </is>
      </c>
      <c r="B465" s="24" t="inlineStr">
        <is>
          <t>2026-09-25T22:08:37.055464Z</t>
        </is>
      </c>
      <c r="C465" s="24" t="inlineStr">
        <is>
          <t>2026-09-26T02:30Z</t>
        </is>
      </c>
      <c r="D465" s="24" t="inlineStr">
        <is>
          <t>401858234</t>
        </is>
      </c>
      <c r="E465" s="24" t="inlineStr">
        <is>
          <t>NCAAF</t>
        </is>
      </c>
      <c r="F465" s="24" t="inlineStr">
        <is>
          <t>Clemson Tigers</t>
        </is>
      </c>
      <c r="G465" s="24" t="inlineStr">
        <is>
          <t>California Golden Bears</t>
        </is>
      </c>
      <c r="H465" s="24" t="inlineStr">
        <is>
          <t>moneyline</t>
        </is>
      </c>
      <c r="I465" s="24" t="inlineStr">
        <is>
          <t>away</t>
        </is>
      </c>
      <c r="J465" s="25" t="n"/>
      <c r="K465" s="24" t="inlineStr">
        <is>
          <t>espn_consensus</t>
        </is>
      </c>
      <c r="L465" s="26" t="n">
        <v>-130</v>
      </c>
      <c r="M465" s="27" t="n">
        <v>1.769231</v>
      </c>
      <c r="N465" s="28" t="n">
        <v>0.565217</v>
      </c>
      <c r="O465" s="28" t="n">
        <v>0.574384</v>
      </c>
      <c r="P465" s="28" t="n">
        <v>0.165</v>
      </c>
      <c r="Q465" s="28" t="n">
        <v>0.009167</v>
      </c>
      <c r="R465" s="26" t="n">
        <v>0</v>
      </c>
      <c r="S465" s="29" t="n">
        <v>1</v>
      </c>
      <c r="T465" s="24" t="inlineStr">
        <is>
          <t>college-football-v1</t>
        </is>
      </c>
      <c r="U465" s="24" t="inlineStr">
        <is>
          <t>settled</t>
        </is>
      </c>
      <c r="V465" s="24" t="inlineStr">
        <is>
          <t>win</t>
        </is>
      </c>
      <c r="W465" s="26" t="n">
        <v>24</v>
      </c>
      <c r="X465" s="26" t="n">
        <v>10</v>
      </c>
      <c r="Y465" s="25" t="n"/>
      <c r="Z465" s="26" t="n"/>
      <c r="AA465" s="28" t="n"/>
      <c r="AB465" s="28" t="n"/>
      <c r="AC465" s="30" t="n">
        <v>0.7692</v>
      </c>
      <c r="AD465" s="24" t="inlineStr">
        <is>
          <t>2026-09-26T22:00:15.793188Z</t>
        </is>
      </c>
      <c r="AE465" s="31" t="inlineStr">
        <is>
          <t>CFB Joint Model (negative_binomial): proj score Clemson Tigers 28.3 @ California Golden Bears 24.9 (Margin -3.4). Possessions: 12.4, HFA: +2.8 pts.</t>
        </is>
      </c>
      <c r="AF465" s="31" t="inlineStr">
        <is>
          <t>College football model; multi-market (moneyline, spread, total).</t>
        </is>
      </c>
      <c r="AG465" s="24" t="inlineStr">
        <is>
          <t>not_applicable</t>
        </is>
      </c>
      <c r="AH465" s="24" t="n"/>
      <c r="AI465" s="31" t="n"/>
      <c r="AJ465" s="31" t="n"/>
      <c r="AK465" s="24" t="inlineStr">
        <is>
          <t>paper_call</t>
        </is>
      </c>
      <c r="AL465" s="26" t="n">
        <v>4</v>
      </c>
      <c r="AM465" s="24" t="inlineStr">
        <is>
          <t>RESEARCH_OBSERVATION</t>
        </is>
      </c>
      <c r="AN465" s="24" t="inlineStr">
        <is>
          <t>CALL</t>
        </is>
      </c>
      <c r="AO465" s="24" t="inlineStr">
        <is>
          <t>PAPER_CALL_LOW_EDGE</t>
        </is>
      </c>
      <c r="AP465" s="24" t="inlineStr">
        <is>
          <t>Clemson Tigers</t>
        </is>
      </c>
      <c r="AQ465" s="24" t="inlineStr">
        <is>
          <t>Clemson Tigers</t>
        </is>
      </c>
      <c r="AR465" s="24" t="inlineStr">
        <is>
          <t>Clemson Tigers</t>
        </is>
      </c>
      <c r="AS465" s="24" t="inlineStr">
        <is>
          <t>California Golden Bears</t>
        </is>
      </c>
      <c r="AT465" s="24" t="inlineStr">
        <is>
          <t>California Golden Bears</t>
        </is>
      </c>
      <c r="AU465" s="24" t="inlineStr">
        <is>
          <t>California Golden Bears</t>
        </is>
      </c>
      <c r="AV465" s="24" t="n"/>
      <c r="AW465" s="24" t="n"/>
      <c r="AX465" s="24" t="inlineStr">
        <is>
          <t>statistical_model</t>
        </is>
      </c>
      <c r="AY465" s="24" t="n"/>
      <c r="AZ465" s="24" t="inlineStr">
        <is>
          <t>shadow_qualified</t>
        </is>
      </c>
      <c r="BA465" s="24" t="inlineStr">
        <is>
          <t>1d168f11d221cd3c</t>
        </is>
      </c>
      <c r="BB465" s="24" t="inlineStr">
        <is>
          <t>cfb_key_number_engine</t>
        </is>
      </c>
      <c r="BC465" s="24" t="inlineStr">
        <is>
          <t>college-football-v1</t>
        </is>
      </c>
      <c r="BD465" s="24" t="inlineStr">
        <is>
          <t>1d168f11d221cd3c</t>
        </is>
      </c>
      <c r="BE465" s="24" t="inlineStr">
        <is>
          <t>cfb-v1</t>
        </is>
      </c>
      <c r="BF465" s="24" t="inlineStr">
        <is>
          <t>1</t>
        </is>
      </c>
      <c r="BG465" s="24" t="inlineStr">
        <is>
          <t>1d168f11d221cd3c</t>
        </is>
      </c>
      <c r="BH465" s="24" t="inlineStr">
        <is>
          <t>2026-09-25T22:08:37.055464+00:00</t>
        </is>
      </c>
      <c r="BI465" s="24" t="inlineStr">
        <is>
          <t>["same_event","same_team_same_day","same_league_same_day"]</t>
        </is>
      </c>
      <c r="BJ465" s="25" t="n"/>
      <c r="BK465" s="26" t="n">
        <v>-130</v>
      </c>
      <c r="BL465" s="27" t="n">
        <v>1.769231</v>
      </c>
      <c r="BM465" s="28" t="n">
        <v>0.565217</v>
      </c>
      <c r="BN465" s="28" t="n"/>
      <c r="BO465" s="28" t="n"/>
      <c r="BP465" s="25" t="n"/>
      <c r="BQ465" s="27" t="n"/>
      <c r="BR465" s="28" t="n"/>
      <c r="BS465" s="28" t="n"/>
      <c r="BT465" s="28" t="n"/>
      <c r="BU465" s="25" t="n"/>
      <c r="BV465" s="29" t="n"/>
      <c r="BW465" s="24" t="n"/>
      <c r="BX465" s="30" t="n">
        <v>1</v>
      </c>
      <c r="BY465" s="27" t="n">
        <v>0.769231</v>
      </c>
      <c r="BZ465" s="24" t="inlineStr">
        <is>
          <t>2026-09-26T22:00:15.793188Z</t>
        </is>
      </c>
      <c r="CA465" s="31" t="inlineStr">
        <is>
          <t>fixed one-unit hypothetical scoring; no real exposure or execution</t>
        </is>
      </c>
      <c r="CB465" s="24" t="n"/>
      <c r="CC465" s="24" t="n"/>
      <c r="CD465" s="24" t="n"/>
      <c r="CE465" s="24" t="n"/>
      <c r="CF465" s="24" t="n"/>
      <c r="CG465" s="24" t="n"/>
      <c r="CH465" s="24" t="n"/>
      <c r="CI465" s="24" t="n"/>
      <c r="CJ465" s="24" t="n"/>
      <c r="CK465" s="24" t="n"/>
      <c r="CL465" s="24" t="n"/>
      <c r="CM465" s="24" t="n"/>
      <c r="CN465" s="24" t="n"/>
      <c r="CO465" s="24" t="n"/>
      <c r="CP465" s="24" t="n"/>
      <c r="CQ465" s="24" t="n"/>
      <c r="CR465" s="24" t="n"/>
      <c r="CS465" s="24" t="inlineStr">
        <is>
          <t>True</t>
        </is>
      </c>
      <c r="CT465" s="24" t="n"/>
      <c r="CU465" s="24" t="n"/>
      <c r="CV465" s="24" t="n"/>
      <c r="CW465" s="24" t="n"/>
      <c r="CX465" s="24" t="n"/>
      <c r="CY465" s="24" t="n"/>
      <c r="CZ465" s="24" t="n"/>
      <c r="DA465" s="24" t="n"/>
      <c r="DB465" s="24" t="n"/>
      <c r="DC465" s="24" t="n"/>
      <c r="DD465" s="24" t="n"/>
      <c r="DE465" s="24" t="n"/>
      <c r="DF465" s="24" t="n"/>
      <c r="DG465" s="24" t="n"/>
      <c r="DH465" s="24" t="n"/>
      <c r="DI465" s="24" t="n"/>
      <c r="DJ465" s="24" t="inlineStr">
        <is>
          <t>0.565217</t>
        </is>
      </c>
      <c r="DK465" s="24" t="n"/>
      <c r="DL465" s="24" t="n"/>
      <c r="DM465" s="24" t="n"/>
      <c r="DN465" s="24" t="n"/>
      <c r="DO465" s="24" t="n"/>
      <c r="DP465" s="24" t="n"/>
      <c r="DQ465" s="24" t="inlineStr">
        <is>
          <t>{"artifact_hash": "1d168f11d221cd3c", "event_id": "401858234", "event_start_utc": "2026-09-26T02:30Z", "features": {"altitude_fatigue_penalty": 0.0, "away_team": "Clemson Tigers", "efficiency_gap": 0.774, "elo_away": 1486.4, "elo_home": 1325.7, "elo_home_win_prob": 0.3657, "event_id": "401858234", "game_start_utc": "2026-09-26T02:30Z", "home_field_advantage_points": 2.8, "home_team": "California Golden Bears", "is_dome": false, "is_fbs_vs_fcs": false, "is_neutral_site": false, "projected_away_points": 28.3, "projected_home_points": 24.9, "projected_margin_home": -3.4, "projected_possessions": 12.4, "projected_total": 53.1, "stadium_elevation_ft": 410, "travel_distance_miles": 2190.0, "uncertainty": 0.165, "weather_total_adjustment": 0.0}, "historical_source_observation_times_verified": false, "inference_inputs": {"engine_source_sha256": "449ba2f0e86fa9c445730076a0e0bf100fb4914620be53c75c6f3bfe24298f3f", "mu_away": 28.3, "mu_home": 24.9,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76495879811238191685178357219102793580}, "uinteger": 0}, "spread_home_line": 2.5, "total_line": 51.5}, "market_type": "moneyline", "model_version": "college-football-v1", "observed_at_utc": "2026-09-25T22:08:37.055464+00:00", "probabilities": {"away": 0.574384, "home": 0.425616}, "replay_scope": "Full precision score means, exact engine parameters and original RNG state; upstream feature construction not certified.", "schema": "cfb-joint-replay-v1", "snapshot_hash": "e031539e69af48738bfb9627a948e1a627e59674858ac1490520281a46aa01e6", "sport": "NCAAF"}</t>
        </is>
      </c>
    </row>
    <row r="466" ht="36" customHeight="1">
      <c r="A466" s="24" t="inlineStr">
        <is>
          <t>b196030f6d39469c</t>
        </is>
      </c>
      <c r="B466" s="24" t="inlineStr">
        <is>
          <t>2026-09-25T22:08:37.055464Z</t>
        </is>
      </c>
      <c r="C466" s="24" t="inlineStr">
        <is>
          <t>2026-09-26T02:30Z</t>
        </is>
      </c>
      <c r="D466" s="24" t="inlineStr">
        <is>
          <t>401858234</t>
        </is>
      </c>
      <c r="E466" s="24" t="inlineStr">
        <is>
          <t>NCAAF</t>
        </is>
      </c>
      <c r="F466" s="24" t="inlineStr">
        <is>
          <t>Clemson Tigers</t>
        </is>
      </c>
      <c r="G466" s="24" t="inlineStr">
        <is>
          <t>California Golden Bears</t>
        </is>
      </c>
      <c r="H466" s="24" t="inlineStr">
        <is>
          <t>spread</t>
        </is>
      </c>
      <c r="I466" s="24" t="inlineStr">
        <is>
          <t>away</t>
        </is>
      </c>
      <c r="J466" s="25" t="n">
        <v>-2.5</v>
      </c>
      <c r="K466" s="24" t="inlineStr">
        <is>
          <t>espn_consensus</t>
        </is>
      </c>
      <c r="L466" s="26" t="n">
        <v>-110</v>
      </c>
      <c r="M466" s="27" t="n">
        <v>1.909091</v>
      </c>
      <c r="N466" s="28" t="n">
        <v>0.52381</v>
      </c>
      <c r="O466" s="28" t="n">
        <v>0.521</v>
      </c>
      <c r="P466" s="28" t="n">
        <v>0.165</v>
      </c>
      <c r="Q466" s="28" t="n">
        <v>-0.00281</v>
      </c>
      <c r="R466" s="26" t="n">
        <v>0</v>
      </c>
      <c r="S466" s="29" t="n">
        <v>1</v>
      </c>
      <c r="T466" s="24" t="inlineStr">
        <is>
          <t>cfb-spread-v1</t>
        </is>
      </c>
      <c r="U466" s="24" t="inlineStr">
        <is>
          <t>settled</t>
        </is>
      </c>
      <c r="V466" s="24" t="inlineStr">
        <is>
          <t>win</t>
        </is>
      </c>
      <c r="W466" s="26" t="n">
        <v>24</v>
      </c>
      <c r="X466" s="26" t="n">
        <v>10</v>
      </c>
      <c r="Y466" s="25" t="n"/>
      <c r="Z466" s="26" t="n"/>
      <c r="AA466" s="28" t="n"/>
      <c r="AB466" s="28" t="n"/>
      <c r="AC466" s="30" t="n">
        <v>0.9091</v>
      </c>
      <c r="AD466" s="24" t="inlineStr">
        <is>
          <t>2026-09-26T22:00:16.289118Z</t>
        </is>
      </c>
      <c r="AE466" s="31" t="inlineStr">
        <is>
          <t>Projected home margin -3.4 pts. Spread: Home +2.5 / Away -2.5 -&gt; P(Away cover)=0.521, P(Home cover)=0.479, P(Push)=0.000.</t>
        </is>
      </c>
      <c r="AF466" s="31" t="inlineStr">
        <is>
          <t>College football model; multi-market (moneyline, spread, total).</t>
        </is>
      </c>
      <c r="AG466" s="24" t="inlineStr">
        <is>
          <t>not_applicable</t>
        </is>
      </c>
      <c r="AH466" s="24" t="n"/>
      <c r="AI466" s="31" t="n"/>
      <c r="AJ466" s="31" t="n"/>
      <c r="AK466" s="24" t="inlineStr">
        <is>
          <t>paper_call</t>
        </is>
      </c>
      <c r="AL466" s="26" t="n">
        <v>4</v>
      </c>
      <c r="AM466" s="24" t="inlineStr">
        <is>
          <t>RESEARCH_OBSERVATION</t>
        </is>
      </c>
      <c r="AN466" s="24" t="inlineStr">
        <is>
          <t>CALL</t>
        </is>
      </c>
      <c r="AO466" s="24" t="inlineStr">
        <is>
          <t>PAPER_CALL_LOW_EDGE</t>
        </is>
      </c>
      <c r="AP466" s="24" t="inlineStr">
        <is>
          <t>Clemson Tigers</t>
        </is>
      </c>
      <c r="AQ466" s="24" t="inlineStr">
        <is>
          <t>Clemson Tigers</t>
        </is>
      </c>
      <c r="AR466" s="24" t="inlineStr">
        <is>
          <t>Clemson Tigers</t>
        </is>
      </c>
      <c r="AS466" s="24" t="inlineStr">
        <is>
          <t>California Golden Bears</t>
        </is>
      </c>
      <c r="AT466" s="24" t="inlineStr">
        <is>
          <t>California Golden Bears</t>
        </is>
      </c>
      <c r="AU466" s="24" t="inlineStr">
        <is>
          <t>California Golden Bears</t>
        </is>
      </c>
      <c r="AV466" s="24" t="n"/>
      <c r="AW466" s="24" t="n"/>
      <c r="AX466" s="24" t="inlineStr">
        <is>
          <t>statistical_model</t>
        </is>
      </c>
      <c r="AY466" s="24" t="n"/>
      <c r="AZ466" s="24" t="inlineStr">
        <is>
          <t>shadow_qualified</t>
        </is>
      </c>
      <c r="BA466" s="24" t="inlineStr">
        <is>
          <t>1d168f11d221cd3c</t>
        </is>
      </c>
      <c r="BB466" s="24" t="inlineStr">
        <is>
          <t>cfb_key_number_engine</t>
        </is>
      </c>
      <c r="BC466" s="24" t="inlineStr">
        <is>
          <t>cfb-spread-v1</t>
        </is>
      </c>
      <c r="BD466" s="24" t="inlineStr">
        <is>
          <t>1d168f11d221cd3c</t>
        </is>
      </c>
      <c r="BE466" s="24" t="inlineStr">
        <is>
          <t>cfb-v1</t>
        </is>
      </c>
      <c r="BF466" s="24" t="inlineStr">
        <is>
          <t>1</t>
        </is>
      </c>
      <c r="BG466" s="24" t="inlineStr">
        <is>
          <t>1d168f11d221cd3c</t>
        </is>
      </c>
      <c r="BH466" s="24" t="inlineStr">
        <is>
          <t>2026-09-25T22:08:37.055464+00:00</t>
        </is>
      </c>
      <c r="BI466" s="24" t="inlineStr">
        <is>
          <t>["same_event","same_team_same_day","same_league_same_day"]</t>
        </is>
      </c>
      <c r="BJ466" s="25" t="n">
        <v>-2.5</v>
      </c>
      <c r="BK466" s="26" t="n">
        <v>-110</v>
      </c>
      <c r="BL466" s="27" t="n">
        <v>1.909091</v>
      </c>
      <c r="BM466" s="28" t="n">
        <v>0.52381</v>
      </c>
      <c r="BN466" s="28" t="n"/>
      <c r="BO466" s="28" t="n"/>
      <c r="BP466" s="25" t="n"/>
      <c r="BQ466" s="27" t="n"/>
      <c r="BR466" s="28" t="n"/>
      <c r="BS466" s="28" t="n"/>
      <c r="BT466" s="28" t="n"/>
      <c r="BU466" s="25" t="n"/>
      <c r="BV466" s="29" t="n"/>
      <c r="BW466" s="24" t="n"/>
      <c r="BX466" s="30" t="n">
        <v>1</v>
      </c>
      <c r="BY466" s="27" t="n">
        <v>0.909091</v>
      </c>
      <c r="BZ466" s="24" t="inlineStr">
        <is>
          <t>2026-09-26T22:00:16.289118Z</t>
        </is>
      </c>
      <c r="CA466" s="31" t="inlineStr">
        <is>
          <t>fixed one-unit hypothetical scoring; no real exposure or execution</t>
        </is>
      </c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inlineStr">
        <is>
          <t>False</t>
        </is>
      </c>
      <c r="CT466" s="24" t="n"/>
      <c r="CU466" s="24" t="n"/>
      <c r="CV466" s="24" t="n"/>
      <c r="CW466" s="24" t="n"/>
      <c r="CX466" s="24" t="n"/>
      <c r="CY466" s="24" t="n"/>
      <c r="CZ466" s="24" t="n"/>
      <c r="DA466" s="24" t="n"/>
      <c r="DB466" s="24" t="n"/>
      <c r="DC466" s="24" t="n"/>
      <c r="DD466" s="24" t="n"/>
      <c r="DE466" s="24" t="n"/>
      <c r="DF466" s="24" t="n"/>
      <c r="DG466" s="24" t="n"/>
      <c r="DH466" s="24" t="n"/>
      <c r="DI466" s="24" t="n"/>
      <c r="DJ466" s="24" t="inlineStr">
        <is>
          <t>0.52381</t>
        </is>
      </c>
      <c r="DK466" s="24" t="n"/>
      <c r="DL466" s="24" t="n"/>
      <c r="DM466" s="24" t="n"/>
      <c r="DN466" s="24" t="n"/>
      <c r="DO466" s="24" t="n"/>
      <c r="DP466" s="24" t="n"/>
      <c r="DQ466" s="24" t="inlineStr">
        <is>
          <t>{"artifact_hash": "1d168f11d221cd3c", "event_id": "401858234", "event_start_utc": "2026-09-26T02:30Z", "features": {"altitude_fatigue_penalty": 0.0, "away_team": "Clemson Tigers", "efficiency_gap": 0.774, "elo_away": 1486.4, "elo_home": 1325.7, "elo_home_win_prob": 0.3657, "event_id": "401858234", "game_start_utc": "2026-09-26T02:30Z", "home_field_advantage_points": 2.8, "home_team": "California Golden Bears", "is_dome": false, "is_fbs_vs_fcs": false, "is_neutral_site": false, "projected_away_points": 28.3, "projected_home_points": 24.9, "projected_margin_home": -3.4, "projected_possessions": 12.4, "projected_total": 53.1, "stadium_elevation_ft": 410, "travel_distance_miles": 2190.0, "uncertainty": 0.165, "weather_total_adjustment": 0.0}, "historical_source_observation_times_verified": false, "inference_inputs": {"engine_source_sha256": "449ba2f0e86fa9c445730076a0e0bf100fb4914620be53c75c6f3bfe24298f3f", "mu_away": 28.3, "mu_home": 24.9,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76495879811238191685178357219102793580}, "uinteger": 0}, "spread_home_line": 2.5, "total_line": 51.5}, "market_type": "spread", "model_version": "cfb-spread-v1", "observed_at_utc": "2026-09-25T22:08:37.055464+00:00", "probabilities": {"away": 0.521, "home": 0.479, "push": 0.0}, "replay_scope": "Full precision score means, exact engine parameters and original RNG state; upstream feature construction not certified.", "schema": "cfb-joint-replay-v1", "snapshot_hash": "768a9ff9ee64cd492042123b85890f26ee19f39f4306e69e901fd5b354a78c1c", "sport": "NCAAF"}</t>
        </is>
      </c>
    </row>
    <row r="467" ht="36" customHeight="1">
      <c r="A467" s="24" t="inlineStr">
        <is>
          <t>0ae4cb55da5645e6</t>
        </is>
      </c>
      <c r="B467" s="24" t="inlineStr">
        <is>
          <t>2026-09-25T22:08:37.055464Z</t>
        </is>
      </c>
      <c r="C467" s="24" t="inlineStr">
        <is>
          <t>2026-09-26T02:30Z</t>
        </is>
      </c>
      <c r="D467" s="24" t="inlineStr">
        <is>
          <t>401858234</t>
        </is>
      </c>
      <c r="E467" s="24" t="inlineStr">
        <is>
          <t>NCAAF</t>
        </is>
      </c>
      <c r="F467" s="24" t="inlineStr">
        <is>
          <t>Clemson Tigers</t>
        </is>
      </c>
      <c r="G467" s="24" t="inlineStr">
        <is>
          <t>California Golden Bears</t>
        </is>
      </c>
      <c r="H467" s="24" t="inlineStr">
        <is>
          <t>total</t>
        </is>
      </c>
      <c r="I467" s="24" t="inlineStr">
        <is>
          <t>under</t>
        </is>
      </c>
      <c r="J467" s="25" t="n">
        <v>51.5</v>
      </c>
      <c r="K467" s="24" t="inlineStr">
        <is>
          <t>espn_consensus</t>
        </is>
      </c>
      <c r="L467" s="26" t="n">
        <v>-110</v>
      </c>
      <c r="M467" s="27" t="n">
        <v>1.909091</v>
      </c>
      <c r="N467" s="28" t="n">
        <v>0.52381</v>
      </c>
      <c r="O467" s="28" t="n">
        <v>0.504533</v>
      </c>
      <c r="P467" s="28" t="n">
        <v>0.165</v>
      </c>
      <c r="Q467" s="28" t="n">
        <v>-0.019277</v>
      </c>
      <c r="R467" s="26" t="n">
        <v>0</v>
      </c>
      <c r="S467" s="29" t="n">
        <v>1</v>
      </c>
      <c r="T467" s="24" t="inlineStr">
        <is>
          <t>cfb-total-v1</t>
        </is>
      </c>
      <c r="U467" s="24" t="inlineStr">
        <is>
          <t>settled</t>
        </is>
      </c>
      <c r="V467" s="24" t="inlineStr">
        <is>
          <t>win</t>
        </is>
      </c>
      <c r="W467" s="26" t="n">
        <v>24</v>
      </c>
      <c r="X467" s="26" t="n">
        <v>10</v>
      </c>
      <c r="Y467" s="25" t="n"/>
      <c r="Z467" s="26" t="n"/>
      <c r="AA467" s="28" t="n"/>
      <c r="AB467" s="28" t="n"/>
      <c r="AC467" s="30" t="n">
        <v>0.9091</v>
      </c>
      <c r="AD467" s="24" t="inlineStr">
        <is>
          <t>2026-09-26T22:00:16.889912Z</t>
        </is>
      </c>
      <c r="AE467" s="31" t="inlineStr">
        <is>
          <t>Projected total 53.1 pts (Weather adj: +0.0 pts). Total line 51.5 -&gt; P(Over)=0.495, P(Under)=0.505, P(Push)=0.000.</t>
        </is>
      </c>
      <c r="AF467" s="31" t="inlineStr">
        <is>
          <t>College football model; multi-market (moneyline, spread, total).</t>
        </is>
      </c>
      <c r="AG467" s="24" t="inlineStr">
        <is>
          <t>not_applicable</t>
        </is>
      </c>
      <c r="AH467" s="24" t="n"/>
      <c r="AI467" s="31" t="n"/>
      <c r="AJ467" s="31" t="n"/>
      <c r="AK467" s="24" t="inlineStr">
        <is>
          <t>paper_call</t>
        </is>
      </c>
      <c r="AL467" s="26" t="n">
        <v>4</v>
      </c>
      <c r="AM467" s="24" t="inlineStr">
        <is>
          <t>RESEARCH_OBSERVATION</t>
        </is>
      </c>
      <c r="AN467" s="24" t="inlineStr">
        <is>
          <t>CALL</t>
        </is>
      </c>
      <c r="AO467" s="24" t="inlineStr">
        <is>
          <t>PAPER_CALL_LOW_EDGE</t>
        </is>
      </c>
      <c r="AP467" s="24" t="inlineStr">
        <is>
          <t>Clemson Tigers</t>
        </is>
      </c>
      <c r="AQ467" s="24" t="inlineStr">
        <is>
          <t>Clemson Tigers</t>
        </is>
      </c>
      <c r="AR467" s="24" t="inlineStr">
        <is>
          <t>Clemson Tigers</t>
        </is>
      </c>
      <c r="AS467" s="24" t="inlineStr">
        <is>
          <t>California Golden Bears</t>
        </is>
      </c>
      <c r="AT467" s="24" t="inlineStr">
        <is>
          <t>California Golden Bears</t>
        </is>
      </c>
      <c r="AU467" s="24" t="inlineStr">
        <is>
          <t>California Golden Bears</t>
        </is>
      </c>
      <c r="AV467" s="24" t="n"/>
      <c r="AW467" s="24" t="n"/>
      <c r="AX467" s="24" t="inlineStr">
        <is>
          <t>statistical_model</t>
        </is>
      </c>
      <c r="AY467" s="24" t="n"/>
      <c r="AZ467" s="24" t="inlineStr">
        <is>
          <t>shadow_qualified</t>
        </is>
      </c>
      <c r="BA467" s="24" t="inlineStr">
        <is>
          <t>1d168f11d221cd3c</t>
        </is>
      </c>
      <c r="BB467" s="24" t="inlineStr">
        <is>
          <t>cfb_key_number_engine</t>
        </is>
      </c>
      <c r="BC467" s="24" t="inlineStr">
        <is>
          <t>cfb-total-v1</t>
        </is>
      </c>
      <c r="BD467" s="24" t="inlineStr">
        <is>
          <t>1d168f11d221cd3c</t>
        </is>
      </c>
      <c r="BE467" s="24" t="inlineStr">
        <is>
          <t>cfb-v1</t>
        </is>
      </c>
      <c r="BF467" s="24" t="inlineStr">
        <is>
          <t>1</t>
        </is>
      </c>
      <c r="BG467" s="24" t="inlineStr">
        <is>
          <t>1d168f11d221cd3c</t>
        </is>
      </c>
      <c r="BH467" s="24" t="inlineStr">
        <is>
          <t>2026-09-25T22:08:37.055464+00:00</t>
        </is>
      </c>
      <c r="BI467" s="24" t="inlineStr">
        <is>
          <t>["same_event","same_team_same_day","same_league_same_day"]</t>
        </is>
      </c>
      <c r="BJ467" s="25" t="n">
        <v>51.5</v>
      </c>
      <c r="BK467" s="26" t="n">
        <v>-110</v>
      </c>
      <c r="BL467" s="27" t="n">
        <v>1.909091</v>
      </c>
      <c r="BM467" s="28" t="n">
        <v>0.52381</v>
      </c>
      <c r="BN467" s="28" t="n"/>
      <c r="BO467" s="28" t="n"/>
      <c r="BP467" s="25" t="n"/>
      <c r="BQ467" s="27" t="n"/>
      <c r="BR467" s="28" t="n"/>
      <c r="BS467" s="28" t="n"/>
      <c r="BT467" s="28" t="n"/>
      <c r="BU467" s="25" t="n"/>
      <c r="BV467" s="29" t="n"/>
      <c r="BW467" s="24" t="n"/>
      <c r="BX467" s="30" t="n">
        <v>1</v>
      </c>
      <c r="BY467" s="27" t="n">
        <v>0.909091</v>
      </c>
      <c r="BZ467" s="24" t="inlineStr">
        <is>
          <t>2026-09-26T22:00:16.889912Z</t>
        </is>
      </c>
      <c r="CA467" s="31" t="inlineStr">
        <is>
          <t>fixed one-unit hypothetical scoring; no real exposure or execution</t>
        </is>
      </c>
      <c r="CB467" s="24" t="n"/>
      <c r="CC467" s="24" t="n"/>
      <c r="CD467" s="24" t="n"/>
      <c r="CE467" s="24" t="n"/>
      <c r="CF467" s="24" t="n"/>
      <c r="CG467" s="24" t="n"/>
      <c r="CH467" s="24" t="n"/>
      <c r="CI467" s="24" t="n"/>
      <c r="CJ467" s="24" t="n"/>
      <c r="CK467" s="24" t="n"/>
      <c r="CL467" s="24" t="n"/>
      <c r="CM467" s="24" t="n"/>
      <c r="CN467" s="24" t="n"/>
      <c r="CO467" s="24" t="n"/>
      <c r="CP467" s="24" t="n"/>
      <c r="CQ467" s="24" t="n"/>
      <c r="CR467" s="24" t="n"/>
      <c r="CS467" s="24" t="inlineStr">
        <is>
          <t>False</t>
        </is>
      </c>
      <c r="CT467" s="24" t="n"/>
      <c r="CU467" s="24" t="n"/>
      <c r="CV467" s="24" t="n"/>
      <c r="CW467" s="24" t="n"/>
      <c r="CX467" s="24" t="n"/>
      <c r="CY467" s="24" t="n"/>
      <c r="CZ467" s="24" t="n"/>
      <c r="DA467" s="24" t="n"/>
      <c r="DB467" s="24" t="n"/>
      <c r="DC467" s="24" t="n"/>
      <c r="DD467" s="24" t="n"/>
      <c r="DE467" s="24" t="n"/>
      <c r="DF467" s="24" t="n"/>
      <c r="DG467" s="24" t="n"/>
      <c r="DH467" s="24" t="n"/>
      <c r="DI467" s="24" t="n"/>
      <c r="DJ467" s="24" t="inlineStr">
        <is>
          <t>0.52381</t>
        </is>
      </c>
      <c r="DK467" s="24" t="n"/>
      <c r="DL467" s="24" t="n"/>
      <c r="DM467" s="24" t="n"/>
      <c r="DN467" s="24" t="n"/>
      <c r="DO467" s="24" t="n"/>
      <c r="DP467" s="24" t="n"/>
      <c r="DQ467" s="24" t="inlineStr">
        <is>
          <t>{"artifact_hash": "1d168f11d221cd3c", "event_id": "401858234", "event_start_utc": "2026-09-26T02:30Z", "features": {"altitude_fatigue_penalty": 0.0, "away_team": "Clemson Tigers", "efficiency_gap": 0.774, "elo_away": 1486.4, "elo_home": 1325.7, "elo_home_win_prob": 0.3657, "event_id": "401858234", "game_start_utc": "2026-09-26T02:30Z", "home_field_advantage_points": 2.8, "home_team": "California Golden Bears", "is_dome": false, "is_fbs_vs_fcs": false, "is_neutral_site": false, "projected_away_points": 28.3, "projected_home_points": 24.9, "projected_margin_home": -3.4, "projected_possessions": 12.4, "projected_total": 53.1, "stadium_elevation_ft": 410, "travel_distance_miles": 2190.0, "uncertainty": 0.165, "weather_total_adjustment": 0.0}, "historical_source_observation_times_verified": false, "inference_inputs": {"engine_source_sha256": "449ba2f0e86fa9c445730076a0e0bf100fb4914620be53c75c6f3bfe24298f3f", "mu_away": 28.3, "mu_home": 24.9,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76495879811238191685178357219102793580}, "uinteger": 0}, "spread_home_line": 2.5, "total_line": 51.5}, "market_type": "total", "model_version": "cfb-total-v1", "observed_at_utc": "2026-09-25T22:08:37.055464+00:00", "probabilities": {"over": 0.495467, "push": 0.0, "under": 0.504533}, "replay_scope": "Full precision score means, exact engine parameters and original RNG state; upstream feature construction not certified.", "schema": "cfb-joint-replay-v1", "snapshot_hash": "011fbd5e1e38c88882d12d4dc6e3f1164b00c5bcb1e03a799030dbf0fd005fa4", "sport": "NCAAF"}</t>
        </is>
      </c>
    </row>
    <row r="468" ht="36" customHeight="1">
      <c r="A468" s="24" t="inlineStr">
        <is>
          <t>3b6075a10b034107</t>
        </is>
      </c>
      <c r="B468" s="24" t="inlineStr">
        <is>
          <t>2026-09-26T15:01:01.506546Z</t>
        </is>
      </c>
      <c r="C468" s="24" t="inlineStr">
        <is>
          <t>2026-09-26T16:00Z</t>
        </is>
      </c>
      <c r="D468" s="24" t="inlineStr">
        <is>
          <t>401856704</t>
        </is>
      </c>
      <c r="E468" s="24" t="inlineStr">
        <is>
          <t>NCAAF</t>
        </is>
      </c>
      <c r="F468" s="24" t="inlineStr">
        <is>
          <t>Texas Longhorns</t>
        </is>
      </c>
      <c r="G468" s="24" t="inlineStr">
        <is>
          <t>Tennessee Volunteers</t>
        </is>
      </c>
      <c r="H468" s="24" t="inlineStr">
        <is>
          <t>moneyline</t>
        </is>
      </c>
      <c r="I468" s="24" t="inlineStr">
        <is>
          <t>away</t>
        </is>
      </c>
      <c r="J468" s="25" t="n"/>
      <c r="K468" s="24" t="inlineStr">
        <is>
          <t>espn_consensus</t>
        </is>
      </c>
      <c r="L468" s="26" t="n">
        <v>-205</v>
      </c>
      <c r="M468" s="27" t="n">
        <v>1.487805</v>
      </c>
      <c r="N468" s="28" t="n">
        <v>0.672131</v>
      </c>
      <c r="O468" s="28" t="n">
        <v>0.549501</v>
      </c>
      <c r="P468" s="28" t="n">
        <v>0.165</v>
      </c>
      <c r="Q468" s="28" t="n">
        <v>-0.12263</v>
      </c>
      <c r="R468" s="26" t="n">
        <v>0</v>
      </c>
      <c r="S468" s="29" t="n">
        <v>1</v>
      </c>
      <c r="T468" s="24" t="inlineStr">
        <is>
          <t>college-football-v1</t>
        </is>
      </c>
      <c r="U468" s="24" t="inlineStr">
        <is>
          <t>settled</t>
        </is>
      </c>
      <c r="V468" s="24" t="inlineStr">
        <is>
          <t>win</t>
        </is>
      </c>
      <c r="W468" s="26" t="n">
        <v>20</v>
      </c>
      <c r="X468" s="26" t="n">
        <v>17</v>
      </c>
      <c r="Y468" s="25" t="n"/>
      <c r="Z468" s="26" t="n"/>
      <c r="AA468" s="28" t="n"/>
      <c r="AB468" s="28" t="n"/>
      <c r="AC468" s="30" t="n">
        <v>0.4878</v>
      </c>
      <c r="AD468" s="24" t="inlineStr">
        <is>
          <t>2026-09-26T22:00:34.642666Z</t>
        </is>
      </c>
      <c r="AE468" s="31" t="inlineStr">
        <is>
          <t>CFB Joint Model (negative_binomial): proj score Texas Longhorns 30.3 @ Tennessee Volunteers 28.0 (Margin -2.4). Possessions: 12.4, HFA: +2.8 pts.</t>
        </is>
      </c>
      <c r="AF468" s="31" t="inlineStr">
        <is>
          <t>College football model; multi-market (moneyline, spread, total).</t>
        </is>
      </c>
      <c r="AG468" s="24" t="inlineStr">
        <is>
          <t>not_applicable</t>
        </is>
      </c>
      <c r="AH468" s="24" t="n"/>
      <c r="AI468" s="31" t="n"/>
      <c r="AJ468" s="31" t="n"/>
      <c r="AK468" s="24" t="inlineStr">
        <is>
          <t>paper_call</t>
        </is>
      </c>
      <c r="AL468" s="26" t="n">
        <v>4</v>
      </c>
      <c r="AM468" s="24" t="inlineStr">
        <is>
          <t>RESEARCH_OBSERVATION</t>
        </is>
      </c>
      <c r="AN468" s="24" t="inlineStr">
        <is>
          <t>CALL</t>
        </is>
      </c>
      <c r="AO468" s="24" t="inlineStr">
        <is>
          <t>PAPER_CALL_LOW_EDGE</t>
        </is>
      </c>
      <c r="AP468" s="24" t="inlineStr">
        <is>
          <t>Texas Longhorns</t>
        </is>
      </c>
      <c r="AQ468" s="24" t="inlineStr">
        <is>
          <t>Texas Longhorns</t>
        </is>
      </c>
      <c r="AR468" s="24" t="inlineStr">
        <is>
          <t>Texas Longhorns</t>
        </is>
      </c>
      <c r="AS468" s="24" t="inlineStr">
        <is>
          <t>Tennessee Volunteers</t>
        </is>
      </c>
      <c r="AT468" s="24" t="inlineStr">
        <is>
          <t>Tennessee Volunteers</t>
        </is>
      </c>
      <c r="AU468" s="24" t="inlineStr">
        <is>
          <t>Tennessee Volunteers</t>
        </is>
      </c>
      <c r="AV468" s="24" t="n"/>
      <c r="AW468" s="24" t="n"/>
      <c r="AX468" s="24" t="inlineStr">
        <is>
          <t>statistical_model</t>
        </is>
      </c>
      <c r="AY468" s="24" t="n"/>
      <c r="AZ468" s="24" t="inlineStr">
        <is>
          <t>shadow_qualified</t>
        </is>
      </c>
      <c r="BA468" s="24" t="inlineStr">
        <is>
          <t>1d168f11d221cd3c</t>
        </is>
      </c>
      <c r="BB468" s="24" t="inlineStr">
        <is>
          <t>cfb_key_number_engine</t>
        </is>
      </c>
      <c r="BC468" s="24" t="inlineStr">
        <is>
          <t>college-football-v1</t>
        </is>
      </c>
      <c r="BD468" s="24" t="inlineStr">
        <is>
          <t>1d168f11d221cd3c</t>
        </is>
      </c>
      <c r="BE468" s="24" t="inlineStr">
        <is>
          <t>cfb-v1</t>
        </is>
      </c>
      <c r="BF468" s="24" t="inlineStr">
        <is>
          <t>1</t>
        </is>
      </c>
      <c r="BG468" s="24" t="inlineStr">
        <is>
          <t>1d168f11d221cd3c</t>
        </is>
      </c>
      <c r="BH468" s="24" t="inlineStr">
        <is>
          <t>2026-09-26T15:01:01.506546+00:00</t>
        </is>
      </c>
      <c r="BI468" s="24" t="inlineStr">
        <is>
          <t>["same_event","same_team_same_day","same_league_same_day"]</t>
        </is>
      </c>
      <c r="BJ468" s="25" t="n"/>
      <c r="BK468" s="26" t="n">
        <v>-205</v>
      </c>
      <c r="BL468" s="27" t="n">
        <v>1.487805</v>
      </c>
      <c r="BM468" s="28" t="n">
        <v>0.672131</v>
      </c>
      <c r="BN468" s="28" t="n"/>
      <c r="BO468" s="28" t="n"/>
      <c r="BP468" s="25" t="n"/>
      <c r="BQ468" s="27" t="n"/>
      <c r="BR468" s="28" t="n"/>
      <c r="BS468" s="28" t="n"/>
      <c r="BT468" s="28" t="n"/>
      <c r="BU468" s="25" t="n"/>
      <c r="BV468" s="29" t="n"/>
      <c r="BW468" s="24" t="n"/>
      <c r="BX468" s="30" t="n">
        <v>1</v>
      </c>
      <c r="BY468" s="27" t="n">
        <v>0.487805</v>
      </c>
      <c r="BZ468" s="24" t="inlineStr">
        <is>
          <t>2026-09-26T22:00:34.642666Z</t>
        </is>
      </c>
      <c r="CA468" s="31" t="inlineStr">
        <is>
          <t>fixed one-unit hypothetical scoring; no real exposure or execution</t>
        </is>
      </c>
      <c r="CB468" s="24" t="n"/>
      <c r="CC468" s="24" t="n"/>
      <c r="CD468" s="24" t="n"/>
      <c r="CE468" s="24" t="n"/>
      <c r="CF468" s="24" t="n"/>
      <c r="CG468" s="24" t="n"/>
      <c r="CH468" s="24" t="n"/>
      <c r="CI468" s="24" t="n"/>
      <c r="CJ468" s="24" t="n"/>
      <c r="CK468" s="24" t="n"/>
      <c r="CL468" s="24" t="n"/>
      <c r="CM468" s="24" t="n"/>
      <c r="CN468" s="24" t="n"/>
      <c r="CO468" s="24" t="n"/>
      <c r="CP468" s="24" t="n"/>
      <c r="CQ468" s="24" t="n"/>
      <c r="CR468" s="24" t="n"/>
      <c r="CS468" s="24" t="inlineStr">
        <is>
          <t>False</t>
        </is>
      </c>
      <c r="CT468" s="24" t="n"/>
      <c r="CU468" s="24" t="n"/>
      <c r="CV468" s="24" t="n"/>
      <c r="CW468" s="24" t="n"/>
      <c r="CX468" s="24" t="n"/>
      <c r="CY468" s="24" t="n"/>
      <c r="CZ468" s="24" t="n"/>
      <c r="DA468" s="24" t="n"/>
      <c r="DB468" s="24" t="n"/>
      <c r="DC468" s="24" t="n"/>
      <c r="DD468" s="24" t="n"/>
      <c r="DE468" s="24" t="n"/>
      <c r="DF468" s="24" t="n"/>
      <c r="DG468" s="24" t="n"/>
      <c r="DH468" s="24" t="n"/>
      <c r="DI468" s="24" t="n"/>
      <c r="DJ468" s="24" t="inlineStr">
        <is>
          <t>0.672131</t>
        </is>
      </c>
      <c r="DK468" s="24" t="n"/>
      <c r="DL468" s="24" t="n"/>
      <c r="DM468" s="24" t="n"/>
      <c r="DN468" s="24" t="n"/>
      <c r="DO468" s="24" t="n"/>
      <c r="DP468" s="24" t="n"/>
      <c r="DQ468" s="24" t="inlineStr">
        <is>
          <t>{"artifact_hash": "1d168f11d221cd3c", "event_id": "401856704", "event_start_utc": "2026-09-26T16:00Z", "features": {"altitude_fatigue_penalty": 0.0, "away_team": "Texas Longhorns", "efficiency_gap": -0.194, "elo_away": 1771.9, "elo_home": 1644.1, "elo_home_win_prob": 0.4106, "event_id": "401856704", "game_start_utc": "2026-09-26T16:00Z", "home_field_advantage_points": 2.8, "home_team": "Tennessee Volunteers", "is_dome": false, "is_fbs_vs_fcs": false, "is_neutral_site": false, "projected_away_points": 30.3, "projected_home_points": 28.0, "projected_margin_home": -2.4, "projected_possessions": 12.4, "projected_total": 58.3, "stadium_elevation_ft": 890, "travel_distance_miles": 889.0, "uncertainty": 0.165, "weather_total_adjustment": 0.0}, "historical_source_observation_times_verified": false, "inference_inputs": {"engine_source_sha256": "449ba2f0e86fa9c445730076a0e0bf100fb4914620be53c75c6f3bfe24298f3f", "mu_away": 30.3, "mu_home": 28.0,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5.5, "total_line": 54.5}, "market_type": "moneyline", "model_version": "college-football-v1", "observed_at_utc": "2026-09-26T15:01:01.506546+00:00", "probabilities": {"away": 0.549501, "home": 0.450499}, "replay_scope": "Full precision score means, exact engine parameters and original RNG state; upstream feature construction not certified.", "schema": "cfb-joint-replay-v1", "snapshot_hash": "3e681496627aa07da1aa88a27650647f77b28e3cd85068e20927a154f717d9c4", "sport": "NCAAF"}</t>
        </is>
      </c>
    </row>
    <row r="469" ht="36" customHeight="1">
      <c r="A469" s="24" t="inlineStr">
        <is>
          <t>1461b5fa3a2c4aa7</t>
        </is>
      </c>
      <c r="B469" s="24" t="inlineStr">
        <is>
          <t>2026-09-26T15:01:01.506546Z</t>
        </is>
      </c>
      <c r="C469" s="24" t="inlineStr">
        <is>
          <t>2026-09-26T16:00Z</t>
        </is>
      </c>
      <c r="D469" s="24" t="inlineStr">
        <is>
          <t>401856704</t>
        </is>
      </c>
      <c r="E469" s="24" t="inlineStr">
        <is>
          <t>NCAAF</t>
        </is>
      </c>
      <c r="F469" s="24" t="inlineStr">
        <is>
          <t>Texas Longhorns</t>
        </is>
      </c>
      <c r="G469" s="24" t="inlineStr">
        <is>
          <t>Tennessee Volunteers</t>
        </is>
      </c>
      <c r="H469" s="24" t="inlineStr">
        <is>
          <t>spread</t>
        </is>
      </c>
      <c r="I469" s="24" t="inlineStr">
        <is>
          <t>home</t>
        </is>
      </c>
      <c r="J469" s="25" t="n">
        <v>5.5</v>
      </c>
      <c r="K469" s="24" t="inlineStr">
        <is>
          <t>espn_consensus</t>
        </is>
      </c>
      <c r="L469" s="26" t="n">
        <v>-110</v>
      </c>
      <c r="M469" s="27" t="n">
        <v>1.909091</v>
      </c>
      <c r="N469" s="28" t="n">
        <v>0.52381</v>
      </c>
      <c r="O469" s="28" t="n">
        <v>0.5658</v>
      </c>
      <c r="P469" s="28" t="n">
        <v>0.165</v>
      </c>
      <c r="Q469" s="28" t="n">
        <v>0.04199</v>
      </c>
      <c r="R469" s="26" t="n">
        <v>0</v>
      </c>
      <c r="S469" s="29" t="n">
        <v>1</v>
      </c>
      <c r="T469" s="24" t="inlineStr">
        <is>
          <t>cfb-spread-v1</t>
        </is>
      </c>
      <c r="U469" s="24" t="inlineStr">
        <is>
          <t>settled</t>
        </is>
      </c>
      <c r="V469" s="24" t="inlineStr">
        <is>
          <t>win</t>
        </is>
      </c>
      <c r="W469" s="26" t="n">
        <v>20</v>
      </c>
      <c r="X469" s="26" t="n">
        <v>17</v>
      </c>
      <c r="Y469" s="25" t="n"/>
      <c r="Z469" s="26" t="n"/>
      <c r="AA469" s="28" t="n"/>
      <c r="AB469" s="28" t="n"/>
      <c r="AC469" s="30" t="n">
        <v>0.9091</v>
      </c>
      <c r="AD469" s="24" t="inlineStr">
        <is>
          <t>2026-09-26T22:00:35.127432Z</t>
        </is>
      </c>
      <c r="AE469" s="31" t="inlineStr">
        <is>
          <t>Projected home margin -2.4 pts. Spread: Home +5.5 / Away -5.5 -&gt; P(Away cover)=0.434, P(Home cover)=0.566, P(Push)=0.000.</t>
        </is>
      </c>
      <c r="AF469" s="31" t="inlineStr">
        <is>
          <t>College football model; multi-market (moneyline, spread, total).</t>
        </is>
      </c>
      <c r="AG469" s="24" t="inlineStr">
        <is>
          <t>not_applicable</t>
        </is>
      </c>
      <c r="AH469" s="24" t="n"/>
      <c r="AI469" s="31" t="n"/>
      <c r="AJ469" s="31" t="n"/>
      <c r="AK469" s="24" t="inlineStr">
        <is>
          <t>model_qualified</t>
        </is>
      </c>
      <c r="AL469" s="26" t="n">
        <v>4</v>
      </c>
      <c r="AM469" s="24" t="inlineStr">
        <is>
          <t>QUALIFIED_SHADOW_CALL</t>
        </is>
      </c>
      <c r="AN469" s="24" t="inlineStr">
        <is>
          <t>CALL</t>
        </is>
      </c>
      <c r="AO469" s="24" t="inlineStr">
        <is>
          <t>QUALIFIED</t>
        </is>
      </c>
      <c r="AP469" s="24" t="inlineStr">
        <is>
          <t>Texas Longhorns</t>
        </is>
      </c>
      <c r="AQ469" s="24" t="inlineStr">
        <is>
          <t>Texas Longhorns</t>
        </is>
      </c>
      <c r="AR469" s="24" t="inlineStr">
        <is>
          <t>Texas Longhorns</t>
        </is>
      </c>
      <c r="AS469" s="24" t="inlineStr">
        <is>
          <t>Tennessee Volunteers</t>
        </is>
      </c>
      <c r="AT469" s="24" t="inlineStr">
        <is>
          <t>Tennessee Volunteers</t>
        </is>
      </c>
      <c r="AU469" s="24" t="inlineStr">
        <is>
          <t>Tennessee Volunteers</t>
        </is>
      </c>
      <c r="AV469" s="24" t="n"/>
      <c r="AW469" s="24" t="n"/>
      <c r="AX469" s="24" t="inlineStr">
        <is>
          <t>statistical_model</t>
        </is>
      </c>
      <c r="AY469" s="24" t="n"/>
      <c r="AZ469" s="24" t="inlineStr">
        <is>
          <t>shadow_qualified</t>
        </is>
      </c>
      <c r="BA469" s="24" t="inlineStr">
        <is>
          <t>1d168f11d221cd3c</t>
        </is>
      </c>
      <c r="BB469" s="24" t="inlineStr">
        <is>
          <t>cfb_key_number_engine</t>
        </is>
      </c>
      <c r="BC469" s="24" t="inlineStr">
        <is>
          <t>cfb-spread-v1</t>
        </is>
      </c>
      <c r="BD469" s="24" t="inlineStr">
        <is>
          <t>1d168f11d221cd3c</t>
        </is>
      </c>
      <c r="BE469" s="24" t="inlineStr">
        <is>
          <t>cfb-v1</t>
        </is>
      </c>
      <c r="BF469" s="24" t="inlineStr">
        <is>
          <t>1</t>
        </is>
      </c>
      <c r="BG469" s="24" t="inlineStr">
        <is>
          <t>1d168f11d221cd3c</t>
        </is>
      </c>
      <c r="BH469" s="24" t="inlineStr">
        <is>
          <t>2026-09-26T15:01:01.506546+00:00</t>
        </is>
      </c>
      <c r="BI469" s="24" t="inlineStr">
        <is>
          <t>["same_event","same_team_same_day","same_league_same_day"]</t>
        </is>
      </c>
      <c r="BJ469" s="25" t="n">
        <v>5.5</v>
      </c>
      <c r="BK469" s="26" t="n">
        <v>-110</v>
      </c>
      <c r="BL469" s="27" t="n">
        <v>1.909091</v>
      </c>
      <c r="BM469" s="28" t="n">
        <v>0.52381</v>
      </c>
      <c r="BN469" s="28" t="n"/>
      <c r="BO469" s="28" t="n"/>
      <c r="BP469" s="25" t="n"/>
      <c r="BQ469" s="27" t="n"/>
      <c r="BR469" s="28" t="n"/>
      <c r="BS469" s="28" t="n"/>
      <c r="BT469" s="28" t="n"/>
      <c r="BU469" s="25" t="n"/>
      <c r="BV469" s="29" t="n"/>
      <c r="BW469" s="24" t="n"/>
      <c r="BX469" s="30" t="n"/>
      <c r="BY469" s="27" t="n"/>
      <c r="BZ469" s="24" t="n"/>
      <c r="CA469" s="31" t="n"/>
      <c r="CB469" s="24" t="n"/>
      <c r="CC469" s="24" t="n"/>
      <c r="CD469" s="24" t="n"/>
      <c r="CE469" s="24" t="n"/>
      <c r="CF469" s="24" t="n"/>
      <c r="CG469" s="24" t="n"/>
      <c r="CH469" s="24" t="n"/>
      <c r="CI469" s="24" t="n"/>
      <c r="CJ469" s="24" t="n"/>
      <c r="CK469" s="24" t="n"/>
      <c r="CL469" s="24" t="n"/>
      <c r="CM469" s="24" t="n"/>
      <c r="CN469" s="24" t="n"/>
      <c r="CO469" s="24" t="n"/>
      <c r="CP469" s="24" t="n"/>
      <c r="CQ469" s="24" t="n"/>
      <c r="CR469" s="24" t="n"/>
      <c r="CS469" s="24" t="inlineStr">
        <is>
          <t>True</t>
        </is>
      </c>
      <c r="CT469" s="24" t="n"/>
      <c r="CU469" s="24" t="n"/>
      <c r="CV469" s="24" t="n"/>
      <c r="CW469" s="24" t="n"/>
      <c r="CX469" s="24" t="n"/>
      <c r="CY469" s="24" t="n"/>
      <c r="CZ469" s="24" t="n"/>
      <c r="DA469" s="24" t="n"/>
      <c r="DB469" s="24" t="n"/>
      <c r="DC469" s="24" t="n"/>
      <c r="DD469" s="24" t="n"/>
      <c r="DE469" s="24" t="n"/>
      <c r="DF469" s="24" t="n"/>
      <c r="DG469" s="24" t="n"/>
      <c r="DH469" s="24" t="n"/>
      <c r="DI469" s="24" t="n"/>
      <c r="DJ469" s="24" t="inlineStr">
        <is>
          <t>0.52381</t>
        </is>
      </c>
      <c r="DK469" s="24" t="n"/>
      <c r="DL469" s="24" t="n"/>
      <c r="DM469" s="24" t="n"/>
      <c r="DN469" s="24" t="n"/>
      <c r="DO469" s="24" t="n"/>
      <c r="DP469" s="24" t="n"/>
      <c r="DQ469" s="24" t="inlineStr">
        <is>
          <t>{"artifact_hash": "1d168f11d221cd3c", "event_id": "401856704", "event_start_utc": "2026-09-26T16:00Z", "features": {"altitude_fatigue_penalty": 0.0, "away_team": "Texas Longhorns", "efficiency_gap": -0.194, "elo_away": 1771.9, "elo_home": 1644.1, "elo_home_win_prob": 0.4106, "event_id": "401856704", "game_start_utc": "2026-09-26T16:00Z", "home_field_advantage_points": 2.8, "home_team": "Tennessee Volunteers", "is_dome": false, "is_fbs_vs_fcs": false, "is_neutral_site": false, "projected_away_points": 30.3, "projected_home_points": 28.0, "projected_margin_home": -2.4, "projected_possessions": 12.4, "projected_total": 58.3, "stadium_elevation_ft": 890, "travel_distance_miles": 889.0, "uncertainty": 0.165, "weather_total_adjustment": 0.0}, "historical_source_observation_times_verified": false, "inference_inputs": {"engine_source_sha256": "449ba2f0e86fa9c445730076a0e0bf100fb4914620be53c75c6f3bfe24298f3f", "mu_away": 30.3, "mu_home": 28.0,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5.5, "total_line": 54.5}, "market_type": "spread", "model_version": "cfb-spread-v1", "observed_at_utc": "2026-09-26T15:01:01.506546+00:00", "probabilities": {"away": 0.4342, "home": 0.5658, "push": 0.0}, "replay_scope": "Full precision score means, exact engine parameters and original RNG state; upstream feature construction not certified.", "schema": "cfb-joint-replay-v1", "snapshot_hash": "cc0e284cb33e3ec54ba331fa128890a5819a4ba2a62df1b366b6f4d78ec84ac3", "sport": "NCAAF"}</t>
        </is>
      </c>
    </row>
    <row r="470" ht="36" customHeight="1">
      <c r="A470" s="24" t="inlineStr">
        <is>
          <t>eafc464c4ae448bb</t>
        </is>
      </c>
      <c r="B470" s="24" t="inlineStr">
        <is>
          <t>2026-09-26T15:01:01.506546Z</t>
        </is>
      </c>
      <c r="C470" s="24" t="inlineStr">
        <is>
          <t>2026-09-26T16:00Z</t>
        </is>
      </c>
      <c r="D470" s="24" t="inlineStr">
        <is>
          <t>401856704</t>
        </is>
      </c>
      <c r="E470" s="24" t="inlineStr">
        <is>
          <t>NCAAF</t>
        </is>
      </c>
      <c r="F470" s="24" t="inlineStr">
        <is>
          <t>Texas Longhorns</t>
        </is>
      </c>
      <c r="G470" s="24" t="inlineStr">
        <is>
          <t>Tennessee Volunteers</t>
        </is>
      </c>
      <c r="H470" s="24" t="inlineStr">
        <is>
          <t>total</t>
        </is>
      </c>
      <c r="I470" s="24" t="inlineStr">
        <is>
          <t>over</t>
        </is>
      </c>
      <c r="J470" s="25" t="n">
        <v>54.5</v>
      </c>
      <c r="K470" s="24" t="inlineStr">
        <is>
          <t>espn_consensus</t>
        </is>
      </c>
      <c r="L470" s="26" t="n">
        <v>-118</v>
      </c>
      <c r="M470" s="27" t="n">
        <v>1.847458</v>
      </c>
      <c r="N470" s="28" t="n">
        <v>0.541284</v>
      </c>
      <c r="O470" s="28" t="n">
        <v>0.530667</v>
      </c>
      <c r="P470" s="28" t="n">
        <v>0.165</v>
      </c>
      <c r="Q470" s="28" t="n">
        <v>-0.010617</v>
      </c>
      <c r="R470" s="26" t="n">
        <v>0</v>
      </c>
      <c r="S470" s="29" t="n">
        <v>1</v>
      </c>
      <c r="T470" s="24" t="inlineStr">
        <is>
          <t>cfb-total-v1</t>
        </is>
      </c>
      <c r="U470" s="24" t="inlineStr">
        <is>
          <t>settled</t>
        </is>
      </c>
      <c r="V470" s="24" t="inlineStr">
        <is>
          <t>loss</t>
        </is>
      </c>
      <c r="W470" s="26" t="n">
        <v>20</v>
      </c>
      <c r="X470" s="26" t="n">
        <v>17</v>
      </c>
      <c r="Y470" s="25" t="n"/>
      <c r="Z470" s="26" t="n"/>
      <c r="AA470" s="28" t="n"/>
      <c r="AB470" s="28" t="n"/>
      <c r="AC470" s="30" t="n">
        <v>-1</v>
      </c>
      <c r="AD470" s="24" t="inlineStr">
        <is>
          <t>2026-09-26T22:00:35.742281Z</t>
        </is>
      </c>
      <c r="AE470" s="31" t="inlineStr">
        <is>
          <t>Projected total 58.3 pts (Weather adj: +0.0 pts). Total line 54.5 -&gt; P(Over)=0.531, P(Under)=0.469, P(Push)=0.000.</t>
        </is>
      </c>
      <c r="AF470" s="31" t="inlineStr">
        <is>
          <t>College football model; multi-market (moneyline, spread, total).</t>
        </is>
      </c>
      <c r="AG470" s="24" t="inlineStr">
        <is>
          <t>review_required</t>
        </is>
      </c>
      <c r="AH470" s="24" t="n"/>
      <c r="AI470" s="31" t="n"/>
      <c r="AJ470" s="31" t="n"/>
      <c r="AK470" s="24" t="inlineStr">
        <is>
          <t>paper_call</t>
        </is>
      </c>
      <c r="AL470" s="26" t="n">
        <v>4</v>
      </c>
      <c r="AM470" s="24" t="inlineStr">
        <is>
          <t>RESEARCH_OBSERVATION</t>
        </is>
      </c>
      <c r="AN470" s="24" t="inlineStr">
        <is>
          <t>CALL</t>
        </is>
      </c>
      <c r="AO470" s="24" t="inlineStr">
        <is>
          <t>PAPER_CALL_LOW_EDGE</t>
        </is>
      </c>
      <c r="AP470" s="24" t="inlineStr">
        <is>
          <t>Texas Longhorns</t>
        </is>
      </c>
      <c r="AQ470" s="24" t="inlineStr">
        <is>
          <t>Texas Longhorns</t>
        </is>
      </c>
      <c r="AR470" s="24" t="inlineStr">
        <is>
          <t>Texas Longhorns</t>
        </is>
      </c>
      <c r="AS470" s="24" t="inlineStr">
        <is>
          <t>Tennessee Volunteers</t>
        </is>
      </c>
      <c r="AT470" s="24" t="inlineStr">
        <is>
          <t>Tennessee Volunteers</t>
        </is>
      </c>
      <c r="AU470" s="24" t="inlineStr">
        <is>
          <t>Tennessee Volunteers</t>
        </is>
      </c>
      <c r="AV470" s="24" t="n"/>
      <c r="AW470" s="24" t="n"/>
      <c r="AX470" s="24" t="inlineStr">
        <is>
          <t>statistical_model</t>
        </is>
      </c>
      <c r="AY470" s="24" t="n"/>
      <c r="AZ470" s="24" t="inlineStr">
        <is>
          <t>shadow_qualified</t>
        </is>
      </c>
      <c r="BA470" s="24" t="inlineStr">
        <is>
          <t>1d168f11d221cd3c</t>
        </is>
      </c>
      <c r="BB470" s="24" t="inlineStr">
        <is>
          <t>cfb_key_number_engine</t>
        </is>
      </c>
      <c r="BC470" s="24" t="inlineStr">
        <is>
          <t>cfb-total-v1</t>
        </is>
      </c>
      <c r="BD470" s="24" t="inlineStr">
        <is>
          <t>1d168f11d221cd3c</t>
        </is>
      </c>
      <c r="BE470" s="24" t="inlineStr">
        <is>
          <t>cfb-v1</t>
        </is>
      </c>
      <c r="BF470" s="24" t="inlineStr">
        <is>
          <t>1</t>
        </is>
      </c>
      <c r="BG470" s="24" t="inlineStr">
        <is>
          <t>1d168f11d221cd3c</t>
        </is>
      </c>
      <c r="BH470" s="24" t="inlineStr">
        <is>
          <t>2026-09-26T15:01:01.506546+00:00</t>
        </is>
      </c>
      <c r="BI470" s="24" t="inlineStr">
        <is>
          <t>["same_event","same_team_same_day","same_league_same_day"]</t>
        </is>
      </c>
      <c r="BJ470" s="25" t="n">
        <v>54.5</v>
      </c>
      <c r="BK470" s="26" t="n">
        <v>-118</v>
      </c>
      <c r="BL470" s="27" t="n">
        <v>1.847458</v>
      </c>
      <c r="BM470" s="28" t="n">
        <v>0.541284</v>
      </c>
      <c r="BN470" s="28" t="n"/>
      <c r="BO470" s="28" t="n"/>
      <c r="BP470" s="25" t="n"/>
      <c r="BQ470" s="27" t="n"/>
      <c r="BR470" s="28" t="n"/>
      <c r="BS470" s="28" t="n"/>
      <c r="BT470" s="28" t="n"/>
      <c r="BU470" s="25" t="n"/>
      <c r="BV470" s="29" t="n"/>
      <c r="BW470" s="24" t="n"/>
      <c r="BX470" s="30" t="n">
        <v>1</v>
      </c>
      <c r="BY470" s="27" t="n">
        <v>-1</v>
      </c>
      <c r="BZ470" s="24" t="inlineStr">
        <is>
          <t>2026-09-26T22:00:35.742281Z</t>
        </is>
      </c>
      <c r="CA470" s="31" t="inlineStr">
        <is>
          <t>fixed one-unit hypothetical scoring; no real exposure or execution</t>
        </is>
      </c>
      <c r="CB470" s="24" t="n"/>
      <c r="CC470" s="24" t="n"/>
      <c r="CD470" s="24" t="n"/>
      <c r="CE470" s="24" t="n"/>
      <c r="CF470" s="24" t="n"/>
      <c r="CG470" s="24" t="n"/>
      <c r="CH470" s="24" t="n"/>
      <c r="CI470" s="24" t="n"/>
      <c r="CJ470" s="24" t="n"/>
      <c r="CK470" s="24" t="n"/>
      <c r="CL470" s="24" t="n"/>
      <c r="CM470" s="24" t="n"/>
      <c r="CN470" s="24" t="n"/>
      <c r="CO470" s="24" t="n"/>
      <c r="CP470" s="24" t="n"/>
      <c r="CQ470" s="24" t="n"/>
      <c r="CR470" s="24" t="n"/>
      <c r="CS470" s="24" t="inlineStr">
        <is>
          <t>False</t>
        </is>
      </c>
      <c r="CT470" s="24" t="n"/>
      <c r="CU470" s="24" t="n"/>
      <c r="CV470" s="24" t="n"/>
      <c r="CW470" s="24" t="n"/>
      <c r="CX470" s="24" t="n"/>
      <c r="CY470" s="24" t="n"/>
      <c r="CZ470" s="24" t="n"/>
      <c r="DA470" s="24" t="n"/>
      <c r="DB470" s="24" t="n"/>
      <c r="DC470" s="24" t="n"/>
      <c r="DD470" s="24" t="n"/>
      <c r="DE470" s="24" t="n"/>
      <c r="DF470" s="24" t="n"/>
      <c r="DG470" s="24" t="n"/>
      <c r="DH470" s="24" t="n"/>
      <c r="DI470" s="24" t="n"/>
      <c r="DJ470" s="24" t="inlineStr">
        <is>
          <t>0.541284</t>
        </is>
      </c>
      <c r="DK470" s="24" t="n"/>
      <c r="DL470" s="24" t="n"/>
      <c r="DM470" s="24" t="n"/>
      <c r="DN470" s="24" t="n"/>
      <c r="DO470" s="24" t="n"/>
      <c r="DP470" s="24" t="n"/>
      <c r="DQ470" s="24" t="inlineStr">
        <is>
          <t>{"artifact_hash": "1d168f11d221cd3c", "event_id": "401856704", "event_start_utc": "2026-09-26T16:00Z", "features": {"altitude_fatigue_penalty": 0.0, "away_team": "Texas Longhorns", "efficiency_gap": -0.194, "elo_away": 1771.9, "elo_home": 1644.1, "elo_home_win_prob": 0.4106, "event_id": "401856704", "game_start_utc": "2026-09-26T16:00Z", "home_field_advantage_points": 2.8, "home_team": "Tennessee Volunteers", "is_dome": false, "is_fbs_vs_fcs": false, "is_neutral_site": false, "projected_away_points": 30.3, "projected_home_points": 28.0, "projected_margin_home": -2.4, "projected_possessions": 12.4, "projected_total": 58.3, "stadium_elevation_ft": 890, "travel_distance_miles": 889.0, "uncertainty": 0.165, "weather_total_adjustment": 0.0}, "historical_source_observation_times_verified": false, "inference_inputs": {"engine_source_sha256": "449ba2f0e86fa9c445730076a0e0bf100fb4914620be53c75c6f3bfe24298f3f", "mu_away": 30.3, "mu_home": 28.0,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5.5, "total_line": 54.5}, "market_type": "total", "model_version": "cfb-total-v1", "observed_at_utc": "2026-09-26T15:01:01.506546+00:00", "probabilities": {"over": 0.530667, "push": 0.0, "under": 0.469333}, "replay_scope": "Full precision score means, exact engine parameters and original RNG state; upstream feature construction not certified.", "schema": "cfb-joint-replay-v1", "snapshot_hash": "27a9b81236f1105f6778b03c08113f31ac9dcd7d964d953d5a0d8d79aa7cacb5", "sport": "NCAAF"}</t>
        </is>
      </c>
    </row>
    <row r="471" ht="36" customHeight="1">
      <c r="A471" s="24" t="inlineStr">
        <is>
          <t>d19267624eeb4437</t>
        </is>
      </c>
      <c r="B471" s="24" t="inlineStr">
        <is>
          <t>2026-09-26T15:01:01.506546Z</t>
        </is>
      </c>
      <c r="C471" s="24" t="inlineStr">
        <is>
          <t>2026-09-26T16:00Z</t>
        </is>
      </c>
      <c r="D471" s="24" t="inlineStr">
        <is>
          <t>401858465</t>
        </is>
      </c>
      <c r="E471" s="24" t="inlineStr">
        <is>
          <t>NCAAF</t>
        </is>
      </c>
      <c r="F471" s="24" t="inlineStr">
        <is>
          <t>Illinois Fighting Illini</t>
        </is>
      </c>
      <c r="G471" s="24" t="inlineStr">
        <is>
          <t>Ohio State Buckeyes</t>
        </is>
      </c>
      <c r="H471" s="24" t="inlineStr">
        <is>
          <t>moneyline</t>
        </is>
      </c>
      <c r="I471" s="24" t="inlineStr">
        <is>
          <t>home</t>
        </is>
      </c>
      <c r="J471" s="25" t="n"/>
      <c r="K471" s="24" t="inlineStr">
        <is>
          <t>espn_consensus</t>
        </is>
      </c>
      <c r="L471" s="26" t="n">
        <v>-4000</v>
      </c>
      <c r="M471" s="27" t="n">
        <v>1.025</v>
      </c>
      <c r="N471" s="28" t="n">
        <v>0.97561</v>
      </c>
      <c r="O471" s="28" t="n">
        <v>0.695955</v>
      </c>
      <c r="P471" s="28" t="n">
        <v>0.165</v>
      </c>
      <c r="Q471" s="28" t="n">
        <v>-0.279655</v>
      </c>
      <c r="R471" s="26" t="n">
        <v>0</v>
      </c>
      <c r="S471" s="29" t="n">
        <v>1</v>
      </c>
      <c r="T471" s="24" t="inlineStr">
        <is>
          <t>college-football-v1</t>
        </is>
      </c>
      <c r="U471" s="24" t="inlineStr">
        <is>
          <t>settled</t>
        </is>
      </c>
      <c r="V471" s="24" t="inlineStr">
        <is>
          <t>win</t>
        </is>
      </c>
      <c r="W471" s="26" t="n">
        <v>19</v>
      </c>
      <c r="X471" s="26" t="n">
        <v>42</v>
      </c>
      <c r="Y471" s="25" t="n"/>
      <c r="Z471" s="26" t="n"/>
      <c r="AA471" s="28" t="n"/>
      <c r="AB471" s="28" t="n"/>
      <c r="AC471" s="30" t="n">
        <v>0.025</v>
      </c>
      <c r="AD471" s="24" t="inlineStr">
        <is>
          <t>2026-09-26T22:00:36.354557Z</t>
        </is>
      </c>
      <c r="AE471" s="31" t="inlineStr">
        <is>
          <t>CFB Joint Model (negative_binomial): proj score Illinois Fighting Illini 23.8 @ Ohio State Buckeyes 33.5 (Margin +9.7). Possessions: 12.4, HFA: +2.8 pts.</t>
        </is>
      </c>
      <c r="AF471" s="31" t="inlineStr">
        <is>
          <t>College football model; multi-market (moneyline, spread, total).</t>
        </is>
      </c>
      <c r="AG471" s="24" t="inlineStr">
        <is>
          <t>not_applicable</t>
        </is>
      </c>
      <c r="AH471" s="24" t="n"/>
      <c r="AI471" s="31" t="n"/>
      <c r="AJ471" s="31" t="n"/>
      <c r="AK471" s="24" t="inlineStr">
        <is>
          <t>paper_call</t>
        </is>
      </c>
      <c r="AL471" s="26" t="n">
        <v>4</v>
      </c>
      <c r="AM471" s="24" t="inlineStr">
        <is>
          <t>RESEARCH_OBSERVATION</t>
        </is>
      </c>
      <c r="AN471" s="24" t="inlineStr">
        <is>
          <t>CALL</t>
        </is>
      </c>
      <c r="AO471" s="24" t="inlineStr">
        <is>
          <t>PAPER_CALL_LOW_EDGE</t>
        </is>
      </c>
      <c r="AP471" s="24" t="inlineStr">
        <is>
          <t>Illinois Fighting Illini</t>
        </is>
      </c>
      <c r="AQ471" s="24" t="inlineStr">
        <is>
          <t>Illinois Fighting Illini</t>
        </is>
      </c>
      <c r="AR471" s="24" t="inlineStr">
        <is>
          <t>Illinois Fighting Illini</t>
        </is>
      </c>
      <c r="AS471" s="24" t="inlineStr">
        <is>
          <t>Ohio State Buckeyes</t>
        </is>
      </c>
      <c r="AT471" s="24" t="inlineStr">
        <is>
          <t>Ohio State Buckeyes</t>
        </is>
      </c>
      <c r="AU471" s="24" t="inlineStr">
        <is>
          <t>Ohio State Buckeyes</t>
        </is>
      </c>
      <c r="AV471" s="24" t="n"/>
      <c r="AW471" s="24" t="n"/>
      <c r="AX471" s="24" t="inlineStr">
        <is>
          <t>statistical_model</t>
        </is>
      </c>
      <c r="AY471" s="24" t="n"/>
      <c r="AZ471" s="24" t="inlineStr">
        <is>
          <t>shadow_qualified</t>
        </is>
      </c>
      <c r="BA471" s="24" t="inlineStr">
        <is>
          <t>1d168f11d221cd3c</t>
        </is>
      </c>
      <c r="BB471" s="24" t="inlineStr">
        <is>
          <t>cfb_key_number_engine</t>
        </is>
      </c>
      <c r="BC471" s="24" t="inlineStr">
        <is>
          <t>college-football-v1</t>
        </is>
      </c>
      <c r="BD471" s="24" t="inlineStr">
        <is>
          <t>1d168f11d221cd3c</t>
        </is>
      </c>
      <c r="BE471" s="24" t="inlineStr">
        <is>
          <t>cfb-v1</t>
        </is>
      </c>
      <c r="BF471" s="24" t="inlineStr">
        <is>
          <t>1</t>
        </is>
      </c>
      <c r="BG471" s="24" t="inlineStr">
        <is>
          <t>1d168f11d221cd3c</t>
        </is>
      </c>
      <c r="BH471" s="24" t="inlineStr">
        <is>
          <t>2026-09-26T15:01:01.506546+00:00</t>
        </is>
      </c>
      <c r="BI471" s="24" t="inlineStr">
        <is>
          <t>["same_event","same_team_same_day","same_league_same_day"]</t>
        </is>
      </c>
      <c r="BJ471" s="25" t="n"/>
      <c r="BK471" s="26" t="n">
        <v>-4000</v>
      </c>
      <c r="BL471" s="27" t="n">
        <v>1.025</v>
      </c>
      <c r="BM471" s="28" t="n">
        <v>0.97561</v>
      </c>
      <c r="BN471" s="28" t="n"/>
      <c r="BO471" s="28" t="n"/>
      <c r="BP471" s="25" t="n"/>
      <c r="BQ471" s="27" t="n"/>
      <c r="BR471" s="28" t="n"/>
      <c r="BS471" s="28" t="n"/>
      <c r="BT471" s="28" t="n"/>
      <c r="BU471" s="25" t="n"/>
      <c r="BV471" s="29" t="n"/>
      <c r="BW471" s="24" t="n"/>
      <c r="BX471" s="30" t="n">
        <v>1</v>
      </c>
      <c r="BY471" s="27" t="n">
        <v>0.025</v>
      </c>
      <c r="BZ471" s="24" t="inlineStr">
        <is>
          <t>2026-09-26T22:00:36.354557Z</t>
        </is>
      </c>
      <c r="CA471" s="31" t="inlineStr">
        <is>
          <t>fixed one-unit hypothetical scoring; no real exposure or execution</t>
        </is>
      </c>
      <c r="CB471" s="24" t="n"/>
      <c r="CC471" s="24" t="n"/>
      <c r="CD471" s="24" t="n"/>
      <c r="CE471" s="24" t="n"/>
      <c r="CF471" s="24" t="n"/>
      <c r="CG471" s="24" t="n"/>
      <c r="CH471" s="24" t="n"/>
      <c r="CI471" s="24" t="n"/>
      <c r="CJ471" s="24" t="n"/>
      <c r="CK471" s="24" t="n"/>
      <c r="CL471" s="24" t="n"/>
      <c r="CM471" s="24" t="n"/>
      <c r="CN471" s="24" t="n"/>
      <c r="CO471" s="24" t="n"/>
      <c r="CP471" s="24" t="n"/>
      <c r="CQ471" s="24" t="n"/>
      <c r="CR471" s="24" t="n"/>
      <c r="CS471" s="24" t="inlineStr">
        <is>
          <t>False</t>
        </is>
      </c>
      <c r="CT471" s="24" t="n"/>
      <c r="CU471" s="24" t="n"/>
      <c r="CV471" s="24" t="n"/>
      <c r="CW471" s="24" t="n"/>
      <c r="CX471" s="24" t="n"/>
      <c r="CY471" s="24" t="n"/>
      <c r="CZ471" s="24" t="n"/>
      <c r="DA471" s="24" t="n"/>
      <c r="DB471" s="24" t="n"/>
      <c r="DC471" s="24" t="n"/>
      <c r="DD471" s="24" t="n"/>
      <c r="DE471" s="24" t="n"/>
      <c r="DF471" s="24" t="n"/>
      <c r="DG471" s="24" t="n"/>
      <c r="DH471" s="24" t="n"/>
      <c r="DI471" s="24" t="n"/>
      <c r="DJ471" s="24" t="inlineStr">
        <is>
          <t>0.97561</t>
        </is>
      </c>
      <c r="DK471" s="24" t="n"/>
      <c r="DL471" s="24" t="n"/>
      <c r="DM471" s="24" t="n"/>
      <c r="DN471" s="24" t="n"/>
      <c r="DO471" s="24" t="n"/>
      <c r="DP471" s="24" t="n"/>
      <c r="DQ471" s="24" t="inlineStr">
        <is>
          <t>{"artifact_hash": "1d168f11d221cd3c", "event_id": "401858465", "event_start_utc": "2026-09-26T16:00Z", "features": {"altitude_fatigue_penalty": 0.0, "away_team": "Illinois Fighting Illini", "efficiency_gap": 1.316, "elo_away": 1662.0, "elo_home": 1832.8, "elo_home_win_prob": 0.7953, "event_id": "401858465", "game_start_utc": "2026-09-26T16:00Z", "home_field_advantage_points": 2.8, "home_team": "Ohio State Buckeyes", "is_dome": false, "is_fbs_vs_fcs": false, "is_neutral_site": false, "projected_away_points": 23.8, "projected_home_points": 33.5, "projected_margin_home": 9.7, "projected_possessions": 12.4, "projected_total": 57.3, "stadium_elevation_ft": 760, "travel_distance_miles": 276.0, "uncertainty": 0.165, "weather_total_adjustment": 0.0}, "historical_source_observation_times_verified": false, "inference_inputs": {"engine_source_sha256": "449ba2f0e86fa9c445730076a0e0bf100fb4914620be53c75c6f3bfe24298f3f", "mu_away": 23.8, "mu_home": 33.5,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299274754815147604669463894056295736575}, "uinteger": 0}, "spread_home_line": -25.5, "total_line": 53.5}, "market_type": "moneyline", "model_version": "college-football-v1", "observed_at_utc": "2026-09-26T15:01:01.506546+00:00", "probabilities": {"away": 0.304045, "home": 0.695955}, "replay_scope": "Full precision score means, exact engine parameters and original RNG state; upstream feature construction not certified.", "schema": "cfb-joint-replay-v1", "snapshot_hash": "b171d0340217f72f5b6e17898f1549d3d6aea341627651d7651e6d74d3b2ea68", "sport": "NCAAF"}</t>
        </is>
      </c>
    </row>
    <row r="472" ht="36" customHeight="1">
      <c r="A472" s="24" t="inlineStr">
        <is>
          <t>0563e96845f54197</t>
        </is>
      </c>
      <c r="B472" s="24" t="inlineStr">
        <is>
          <t>2026-09-26T15:01:01.506546Z</t>
        </is>
      </c>
      <c r="C472" s="24" t="inlineStr">
        <is>
          <t>2026-09-26T16:00Z</t>
        </is>
      </c>
      <c r="D472" s="24" t="inlineStr">
        <is>
          <t>401858465</t>
        </is>
      </c>
      <c r="E472" s="24" t="inlineStr">
        <is>
          <t>NCAAF</t>
        </is>
      </c>
      <c r="F472" s="24" t="inlineStr">
        <is>
          <t>Illinois Fighting Illini</t>
        </is>
      </c>
      <c r="G472" s="24" t="inlineStr">
        <is>
          <t>Ohio State Buckeyes</t>
        </is>
      </c>
      <c r="H472" s="24" t="inlineStr">
        <is>
          <t>spread</t>
        </is>
      </c>
      <c r="I472" s="24" t="inlineStr">
        <is>
          <t>away</t>
        </is>
      </c>
      <c r="J472" s="25" t="n">
        <v>25.5</v>
      </c>
      <c r="K472" s="24" t="inlineStr">
        <is>
          <t>espn_consensus</t>
        </is>
      </c>
      <c r="L472" s="26" t="n">
        <v>-108</v>
      </c>
      <c r="M472" s="27" t="n">
        <v>1.925926</v>
      </c>
      <c r="N472" s="28" t="n">
        <v>0.519231</v>
      </c>
      <c r="O472" s="28" t="n">
        <v>0.784</v>
      </c>
      <c r="P472" s="28" t="n">
        <v>0.165</v>
      </c>
      <c r="Q472" s="28" t="n">
        <v>0.264769</v>
      </c>
      <c r="R472" s="26" t="n">
        <v>83</v>
      </c>
      <c r="S472" s="29" t="n">
        <v>1.75</v>
      </c>
      <c r="T472" s="24" t="inlineStr">
        <is>
          <t>cfb-spread-v1</t>
        </is>
      </c>
      <c r="U472" s="24" t="inlineStr">
        <is>
          <t>settled</t>
        </is>
      </c>
      <c r="V472" s="24" t="inlineStr">
        <is>
          <t>win</t>
        </is>
      </c>
      <c r="W472" s="26" t="n">
        <v>19</v>
      </c>
      <c r="X472" s="26" t="n">
        <v>42</v>
      </c>
      <c r="Y472" s="25" t="n"/>
      <c r="Z472" s="26" t="n"/>
      <c r="AA472" s="28" t="n"/>
      <c r="AB472" s="28" t="n"/>
      <c r="AC472" s="30" t="n">
        <v>1.6204</v>
      </c>
      <c r="AD472" s="24" t="inlineStr">
        <is>
          <t>2026-09-26T22:00:36.857956Z</t>
        </is>
      </c>
      <c r="AE472" s="31" t="inlineStr">
        <is>
          <t>Projected home margin +9.7 pts. Spread: Home -25.5 / Away +25.5 -&gt; P(Away cover)=0.784, P(Home cover)=0.216, P(Push)=0.000.</t>
        </is>
      </c>
      <c r="AF472" s="31" t="inlineStr">
        <is>
          <t>College football model; multi-market (moneyline, spread, total).</t>
        </is>
      </c>
      <c r="AG472" s="24" t="inlineStr">
        <is>
          <t>not_applicable</t>
        </is>
      </c>
      <c r="AH472" s="24" t="n"/>
      <c r="AI472" s="31" t="n"/>
      <c r="AJ472" s="31" t="n"/>
      <c r="AK472" s="24" t="inlineStr">
        <is>
          <t>model_qualified</t>
        </is>
      </c>
      <c r="AL472" s="26" t="n">
        <v>4</v>
      </c>
      <c r="AM472" s="24" t="inlineStr">
        <is>
          <t>QUALIFIED_SHADOW_CALL</t>
        </is>
      </c>
      <c r="AN472" s="24" t="inlineStr">
        <is>
          <t>CALL</t>
        </is>
      </c>
      <c r="AO472" s="24" t="inlineStr">
        <is>
          <t>QUALIFIED</t>
        </is>
      </c>
      <c r="AP472" s="24" t="inlineStr">
        <is>
          <t>Illinois Fighting Illini</t>
        </is>
      </c>
      <c r="AQ472" s="24" t="inlineStr">
        <is>
          <t>Illinois Fighting Illini</t>
        </is>
      </c>
      <c r="AR472" s="24" t="inlineStr">
        <is>
          <t>Illinois Fighting Illini</t>
        </is>
      </c>
      <c r="AS472" s="24" t="inlineStr">
        <is>
          <t>Ohio State Buckeyes</t>
        </is>
      </c>
      <c r="AT472" s="24" t="inlineStr">
        <is>
          <t>Ohio State Buckeyes</t>
        </is>
      </c>
      <c r="AU472" s="24" t="inlineStr">
        <is>
          <t>Ohio State Buckeyes</t>
        </is>
      </c>
      <c r="AV472" s="24" t="n"/>
      <c r="AW472" s="24" t="n"/>
      <c r="AX472" s="24" t="inlineStr">
        <is>
          <t>statistical_model</t>
        </is>
      </c>
      <c r="AY472" s="24" t="n"/>
      <c r="AZ472" s="24" t="inlineStr">
        <is>
          <t>shadow_qualified</t>
        </is>
      </c>
      <c r="BA472" s="24" t="inlineStr">
        <is>
          <t>1d168f11d221cd3c</t>
        </is>
      </c>
      <c r="BB472" s="24" t="inlineStr">
        <is>
          <t>cfb_key_number_engine</t>
        </is>
      </c>
      <c r="BC472" s="24" t="inlineStr">
        <is>
          <t>cfb-spread-v1</t>
        </is>
      </c>
      <c r="BD472" s="24" t="inlineStr">
        <is>
          <t>1d168f11d221cd3c</t>
        </is>
      </c>
      <c r="BE472" s="24" t="inlineStr">
        <is>
          <t>cfb-v1</t>
        </is>
      </c>
      <c r="BF472" s="24" t="inlineStr">
        <is>
          <t>1</t>
        </is>
      </c>
      <c r="BG472" s="24" t="inlineStr">
        <is>
          <t>1d168f11d221cd3c</t>
        </is>
      </c>
      <c r="BH472" s="24" t="inlineStr">
        <is>
          <t>2026-09-26T15:01:01.506546+00:00</t>
        </is>
      </c>
      <c r="BI472" s="24" t="inlineStr">
        <is>
          <t>["same_event","same_team_same_day","same_league_same_day"]</t>
        </is>
      </c>
      <c r="BJ472" s="25" t="n">
        <v>25.5</v>
      </c>
      <c r="BK472" s="26" t="n">
        <v>-108</v>
      </c>
      <c r="BL472" s="27" t="n">
        <v>1.925926</v>
      </c>
      <c r="BM472" s="28" t="n">
        <v>0.519231</v>
      </c>
      <c r="BN472" s="28" t="n"/>
      <c r="BO472" s="28" t="n"/>
      <c r="BP472" s="25" t="n"/>
      <c r="BQ472" s="27" t="n"/>
      <c r="BR472" s="28" t="n"/>
      <c r="BS472" s="28" t="n"/>
      <c r="BT472" s="28" t="n"/>
      <c r="BU472" s="25" t="n"/>
      <c r="BV472" s="29" t="n"/>
      <c r="BW472" s="24" t="n"/>
      <c r="BX472" s="30" t="n"/>
      <c r="BY472" s="27" t="n"/>
      <c r="BZ472" s="24" t="n"/>
      <c r="CA472" s="31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inlineStr">
        <is>
          <t>True</t>
        </is>
      </c>
      <c r="CT472" s="24" t="n"/>
      <c r="CU472" s="24" t="n"/>
      <c r="CV472" s="24" t="n"/>
      <c r="CW472" s="24" t="n"/>
      <c r="CX472" s="24" t="n"/>
      <c r="CY472" s="24" t="n"/>
      <c r="CZ472" s="24" t="n"/>
      <c r="DA472" s="24" t="n"/>
      <c r="DB472" s="24" t="n"/>
      <c r="DC472" s="24" t="n"/>
      <c r="DD472" s="24" t="n"/>
      <c r="DE472" s="24" t="n"/>
      <c r="DF472" s="24" t="n"/>
      <c r="DG472" s="24" t="n"/>
      <c r="DH472" s="24" t="n"/>
      <c r="DI472" s="24" t="n"/>
      <c r="DJ472" s="24" t="inlineStr">
        <is>
          <t>0.519231</t>
        </is>
      </c>
      <c r="DK472" s="24" t="n"/>
      <c r="DL472" s="24" t="n"/>
      <c r="DM472" s="24" t="n"/>
      <c r="DN472" s="24" t="n"/>
      <c r="DO472" s="24" t="n"/>
      <c r="DP472" s="24" t="n"/>
      <c r="DQ472" s="24" t="inlineStr">
        <is>
          <t>{"artifact_hash": "1d168f11d221cd3c", "event_id": "401858465", "event_start_utc": "2026-09-26T16:00Z", "features": {"altitude_fatigue_penalty": 0.0, "away_team": "Illinois Fighting Illini", "efficiency_gap": 1.316, "elo_away": 1662.0, "elo_home": 1832.8, "elo_home_win_prob": 0.7953, "event_id": "401858465", "game_start_utc": "2026-09-26T16:00Z", "home_field_advantage_points": 2.8, "home_team": "Ohio State Buckeyes", "is_dome": false, "is_fbs_vs_fcs": false, "is_neutral_site": false, "projected_away_points": 23.8, "projected_home_points": 33.5, "projected_margin_home": 9.7, "projected_possessions": 12.4, "projected_total": 57.3, "stadium_elevation_ft": 760, "travel_distance_miles": 276.0, "uncertainty": 0.165, "weather_total_adjustment": 0.0}, "historical_source_observation_times_verified": false, "inference_inputs": {"engine_source_sha256": "449ba2f0e86fa9c445730076a0e0bf100fb4914620be53c75c6f3bfe24298f3f", "mu_away": 23.8, "mu_home": 33.5,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299274754815147604669463894056295736575}, "uinteger": 0}, "spread_home_line": -25.5, "total_line": 53.5}, "market_type": "spread", "model_version": "cfb-spread-v1", "observed_at_utc": "2026-09-26T15:01:01.506546+00:00", "probabilities": {"away": 0.784, "home": 0.216, "push": 0.0}, "replay_scope": "Full precision score means, exact engine parameters and original RNG state; upstream feature construction not certified.", "schema": "cfb-joint-replay-v1", "snapshot_hash": "a658e3d92503f5ed231ced105756aec46b09fd1abeb82c4ad962374b030a9b6a", "sport": "NCAAF"}</t>
        </is>
      </c>
    </row>
    <row r="473" ht="36" customHeight="1">
      <c r="A473" s="24" t="inlineStr">
        <is>
          <t>89d4489f65d342a9</t>
        </is>
      </c>
      <c r="B473" s="24" t="inlineStr">
        <is>
          <t>2026-09-26T15:01:01.506546Z</t>
        </is>
      </c>
      <c r="C473" s="24" t="inlineStr">
        <is>
          <t>2026-09-26T16:00Z</t>
        </is>
      </c>
      <c r="D473" s="24" t="inlineStr">
        <is>
          <t>401858465</t>
        </is>
      </c>
      <c r="E473" s="24" t="inlineStr">
        <is>
          <t>NCAAF</t>
        </is>
      </c>
      <c r="F473" s="24" t="inlineStr">
        <is>
          <t>Illinois Fighting Illini</t>
        </is>
      </c>
      <c r="G473" s="24" t="inlineStr">
        <is>
          <t>Ohio State Buckeyes</t>
        </is>
      </c>
      <c r="H473" s="24" t="inlineStr">
        <is>
          <t>total</t>
        </is>
      </c>
      <c r="I473" s="24" t="inlineStr">
        <is>
          <t>over</t>
        </is>
      </c>
      <c r="J473" s="25" t="n">
        <v>53.5</v>
      </c>
      <c r="K473" s="24" t="inlineStr">
        <is>
          <t>espn_consensus</t>
        </is>
      </c>
      <c r="L473" s="26" t="n">
        <v>-115</v>
      </c>
      <c r="M473" s="27" t="n">
        <v>1.869565</v>
      </c>
      <c r="N473" s="28" t="n">
        <v>0.534884</v>
      </c>
      <c r="O473" s="28" t="n">
        <v>0.5323329999999999</v>
      </c>
      <c r="P473" s="28" t="n">
        <v>0.165</v>
      </c>
      <c r="Q473" s="28" t="n">
        <v>-0.002551</v>
      </c>
      <c r="R473" s="26" t="n">
        <v>0</v>
      </c>
      <c r="S473" s="29" t="n">
        <v>1</v>
      </c>
      <c r="T473" s="24" t="inlineStr">
        <is>
          <t>cfb-total-v1</t>
        </is>
      </c>
      <c r="U473" s="24" t="inlineStr">
        <is>
          <t>settled</t>
        </is>
      </c>
      <c r="V473" s="24" t="inlineStr">
        <is>
          <t>win</t>
        </is>
      </c>
      <c r="W473" s="26" t="n">
        <v>19</v>
      </c>
      <c r="X473" s="26" t="n">
        <v>42</v>
      </c>
      <c r="Y473" s="25" t="n"/>
      <c r="Z473" s="26" t="n"/>
      <c r="AA473" s="28" t="n"/>
      <c r="AB473" s="28" t="n"/>
      <c r="AC473" s="30" t="n">
        <v>0.8696</v>
      </c>
      <c r="AD473" s="24" t="inlineStr">
        <is>
          <t>2026-09-26T22:00:37.415397Z</t>
        </is>
      </c>
      <c r="AE473" s="31" t="inlineStr">
        <is>
          <t>Projected total 57.3 pts (Weather adj: +0.0 pts). Total line 53.5 -&gt; P(Over)=0.532, P(Under)=0.468, P(Push)=0.000.</t>
        </is>
      </c>
      <c r="AF473" s="31" t="inlineStr">
        <is>
          <t>College football model; multi-market (moneyline, spread, total).</t>
        </is>
      </c>
      <c r="AG473" s="24" t="inlineStr">
        <is>
          <t>not_applicable</t>
        </is>
      </c>
      <c r="AH473" s="24" t="n"/>
      <c r="AI473" s="31" t="n"/>
      <c r="AJ473" s="31" t="n"/>
      <c r="AK473" s="24" t="inlineStr">
        <is>
          <t>paper_call</t>
        </is>
      </c>
      <c r="AL473" s="26" t="n">
        <v>4</v>
      </c>
      <c r="AM473" s="24" t="inlineStr">
        <is>
          <t>RESEARCH_OBSERVATION</t>
        </is>
      </c>
      <c r="AN473" s="24" t="inlineStr">
        <is>
          <t>CALL</t>
        </is>
      </c>
      <c r="AO473" s="24" t="inlineStr">
        <is>
          <t>PAPER_CALL_LOW_EDGE</t>
        </is>
      </c>
      <c r="AP473" s="24" t="inlineStr">
        <is>
          <t>Illinois Fighting Illini</t>
        </is>
      </c>
      <c r="AQ473" s="24" t="inlineStr">
        <is>
          <t>Illinois Fighting Illini</t>
        </is>
      </c>
      <c r="AR473" s="24" t="inlineStr">
        <is>
          <t>Illinois Fighting Illini</t>
        </is>
      </c>
      <c r="AS473" s="24" t="inlineStr">
        <is>
          <t>Ohio State Buckeyes</t>
        </is>
      </c>
      <c r="AT473" s="24" t="inlineStr">
        <is>
          <t>Ohio State Buckeyes</t>
        </is>
      </c>
      <c r="AU473" s="24" t="inlineStr">
        <is>
          <t>Ohio State Buckeyes</t>
        </is>
      </c>
      <c r="AV473" s="24" t="n"/>
      <c r="AW473" s="24" t="n"/>
      <c r="AX473" s="24" t="inlineStr">
        <is>
          <t>statistical_model</t>
        </is>
      </c>
      <c r="AY473" s="24" t="n"/>
      <c r="AZ473" s="24" t="inlineStr">
        <is>
          <t>shadow_qualified</t>
        </is>
      </c>
      <c r="BA473" s="24" t="inlineStr">
        <is>
          <t>1d168f11d221cd3c</t>
        </is>
      </c>
      <c r="BB473" s="24" t="inlineStr">
        <is>
          <t>cfb_key_number_engine</t>
        </is>
      </c>
      <c r="BC473" s="24" t="inlineStr">
        <is>
          <t>cfb-total-v1</t>
        </is>
      </c>
      <c r="BD473" s="24" t="inlineStr">
        <is>
          <t>1d168f11d221cd3c</t>
        </is>
      </c>
      <c r="BE473" s="24" t="inlineStr">
        <is>
          <t>cfb-v1</t>
        </is>
      </c>
      <c r="BF473" s="24" t="inlineStr">
        <is>
          <t>1</t>
        </is>
      </c>
      <c r="BG473" s="24" t="inlineStr">
        <is>
          <t>1d168f11d221cd3c</t>
        </is>
      </c>
      <c r="BH473" s="24" t="inlineStr">
        <is>
          <t>2026-09-26T15:01:01.506546+00:00</t>
        </is>
      </c>
      <c r="BI473" s="24" t="inlineStr">
        <is>
          <t>["same_event","same_team_same_day","same_league_same_day"]</t>
        </is>
      </c>
      <c r="BJ473" s="25" t="n">
        <v>53.5</v>
      </c>
      <c r="BK473" s="26" t="n">
        <v>-115</v>
      </c>
      <c r="BL473" s="27" t="n">
        <v>1.869565</v>
      </c>
      <c r="BM473" s="28" t="n">
        <v>0.534884</v>
      </c>
      <c r="BN473" s="28" t="n"/>
      <c r="BO473" s="28" t="n"/>
      <c r="BP473" s="25" t="n"/>
      <c r="BQ473" s="27" t="n"/>
      <c r="BR473" s="28" t="n"/>
      <c r="BS473" s="28" t="n"/>
      <c r="BT473" s="28" t="n"/>
      <c r="BU473" s="25" t="n"/>
      <c r="BV473" s="29" t="n"/>
      <c r="BW473" s="24" t="n"/>
      <c r="BX473" s="30" t="n">
        <v>1</v>
      </c>
      <c r="BY473" s="27" t="n">
        <v>0.869565</v>
      </c>
      <c r="BZ473" s="24" t="inlineStr">
        <is>
          <t>2026-09-26T22:00:37.415397Z</t>
        </is>
      </c>
      <c r="CA473" s="31" t="inlineStr">
        <is>
          <t>fixed one-unit hypothetical scoring; no real exposure or execution</t>
        </is>
      </c>
      <c r="CB473" s="24" t="n"/>
      <c r="CC473" s="24" t="n"/>
      <c r="CD473" s="24" t="n"/>
      <c r="CE473" s="24" t="n"/>
      <c r="CF473" s="24" t="n"/>
      <c r="CG473" s="24" t="n"/>
      <c r="CH473" s="24" t="n"/>
      <c r="CI473" s="24" t="n"/>
      <c r="CJ473" s="24" t="n"/>
      <c r="CK473" s="24" t="n"/>
      <c r="CL473" s="24" t="n"/>
      <c r="CM473" s="24" t="n"/>
      <c r="CN473" s="24" t="n"/>
      <c r="CO473" s="24" t="n"/>
      <c r="CP473" s="24" t="n"/>
      <c r="CQ473" s="24" t="n"/>
      <c r="CR473" s="24" t="n"/>
      <c r="CS473" s="24" t="inlineStr">
        <is>
          <t>False</t>
        </is>
      </c>
      <c r="CT473" s="24" t="n"/>
      <c r="CU473" s="24" t="n"/>
      <c r="CV473" s="24" t="n"/>
      <c r="CW473" s="24" t="n"/>
      <c r="CX473" s="24" t="n"/>
      <c r="CY473" s="24" t="n"/>
      <c r="CZ473" s="24" t="n"/>
      <c r="DA473" s="24" t="n"/>
      <c r="DB473" s="24" t="n"/>
      <c r="DC473" s="24" t="n"/>
      <c r="DD473" s="24" t="n"/>
      <c r="DE473" s="24" t="n"/>
      <c r="DF473" s="24" t="n"/>
      <c r="DG473" s="24" t="n"/>
      <c r="DH473" s="24" t="n"/>
      <c r="DI473" s="24" t="n"/>
      <c r="DJ473" s="24" t="inlineStr">
        <is>
          <t>0.534884</t>
        </is>
      </c>
      <c r="DK473" s="24" t="n"/>
      <c r="DL473" s="24" t="n"/>
      <c r="DM473" s="24" t="n"/>
      <c r="DN473" s="24" t="n"/>
      <c r="DO473" s="24" t="n"/>
      <c r="DP473" s="24" t="n"/>
      <c r="DQ473" s="24" t="inlineStr">
        <is>
          <t>{"artifact_hash": "1d168f11d221cd3c", "event_id": "401858465", "event_start_utc": "2026-09-26T16:00Z", "features": {"altitude_fatigue_penalty": 0.0, "away_team": "Illinois Fighting Illini", "efficiency_gap": 1.316, "elo_away": 1662.0, "elo_home": 1832.8, "elo_home_win_prob": 0.7953, "event_id": "401858465", "game_start_utc": "2026-09-26T16:00Z", "home_field_advantage_points": 2.8, "home_team": "Ohio State Buckeyes", "is_dome": false, "is_fbs_vs_fcs": false, "is_neutral_site": false, "projected_away_points": 23.8, "projected_home_points": 33.5, "projected_margin_home": 9.7, "projected_possessions": 12.4, "projected_total": 57.3, "stadium_elevation_ft": 760, "travel_distance_miles": 276.0, "uncertainty": 0.165, "weather_total_adjustment": 0.0}, "historical_source_observation_times_verified": false, "inference_inputs": {"engine_source_sha256": "449ba2f0e86fa9c445730076a0e0bf100fb4914620be53c75c6f3bfe24298f3f", "mu_away": 23.8, "mu_home": 33.5,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299274754815147604669463894056295736575}, "uinteger": 0}, "spread_home_line": -25.5, "total_line": 53.5}, "market_type": "total", "model_version": "cfb-total-v1", "observed_at_utc": "2026-09-26T15:01:01.506546+00:00", "probabilities": {"over": 0.532333, "push": 0.0, "under": 0.467667}, "replay_scope": "Full precision score means, exact engine parameters and original RNG state; upstream feature construction not certified.", "schema": "cfb-joint-replay-v1", "snapshot_hash": "8e007c1b2f1fd561a3d20a1e7f07b14f7b35313a4e8ab6105babd89b6d378500", "sport": "NCAAF"}</t>
        </is>
      </c>
    </row>
    <row r="474" ht="36" customHeight="1">
      <c r="A474" s="24" t="inlineStr">
        <is>
          <t>38d9d6986e0e4581</t>
        </is>
      </c>
      <c r="B474" s="24" t="inlineStr">
        <is>
          <t>2026-09-26T15:01:01.506546Z</t>
        </is>
      </c>
      <c r="C474" s="24" t="inlineStr">
        <is>
          <t>2026-09-26T16:00Z</t>
        </is>
      </c>
      <c r="D474" s="24" t="inlineStr">
        <is>
          <t>401856805</t>
        </is>
      </c>
      <c r="E474" s="24" t="inlineStr">
        <is>
          <t>NCAAF</t>
        </is>
      </c>
      <c r="F474" s="24" t="inlineStr">
        <is>
          <t>Sam Houston Bearkats</t>
        </is>
      </c>
      <c r="G474" s="24" t="inlineStr">
        <is>
          <t>Texas Tech Red Raiders</t>
        </is>
      </c>
      <c r="H474" s="24" t="inlineStr">
        <is>
          <t>spread</t>
        </is>
      </c>
      <c r="I474" s="24" t="inlineStr">
        <is>
          <t>away</t>
        </is>
      </c>
      <c r="J474" s="25" t="n">
        <v>34.5</v>
      </c>
      <c r="K474" s="24" t="inlineStr">
        <is>
          <t>espn_consensus</t>
        </is>
      </c>
      <c r="L474" s="26" t="n">
        <v>-112</v>
      </c>
      <c r="M474" s="27" t="n">
        <v>1.892857</v>
      </c>
      <c r="N474" s="28" t="n">
        <v>0.528302</v>
      </c>
      <c r="O474" s="28" t="n">
        <v>0.7734</v>
      </c>
      <c r="P474" s="28" t="n">
        <v>0.18</v>
      </c>
      <c r="Q474" s="28" t="n">
        <v>0.245098</v>
      </c>
      <c r="R474" s="26" t="n">
        <v>65</v>
      </c>
      <c r="S474" s="29" t="n">
        <v>1.5</v>
      </c>
      <c r="T474" s="24" t="inlineStr">
        <is>
          <t>cfb-spread-v1</t>
        </is>
      </c>
      <c r="U474" s="24" t="inlineStr">
        <is>
          <t>settled</t>
        </is>
      </c>
      <c r="V474" s="24" t="inlineStr">
        <is>
          <t>loss</t>
        </is>
      </c>
      <c r="W474" s="26" t="n">
        <v>14</v>
      </c>
      <c r="X474" s="26" t="n">
        <v>49</v>
      </c>
      <c r="Y474" s="25" t="n"/>
      <c r="Z474" s="26" t="n"/>
      <c r="AA474" s="28" t="n"/>
      <c r="AB474" s="28" t="n"/>
      <c r="AC474" s="30" t="n">
        <v>-1.5</v>
      </c>
      <c r="AD474" s="24" t="inlineStr">
        <is>
          <t>2026-09-26T22:00:38.040294Z</t>
        </is>
      </c>
      <c r="AE474" s="31" t="inlineStr">
        <is>
          <t>Projected home margin +21.6 pts. Spread: Home -34.5 / Away +34.5 -&gt; P(Away cover)=0.773, P(Home cover)=0.227, P(Push)=0.000.</t>
        </is>
      </c>
      <c r="AF474" s="31" t="inlineStr">
        <is>
          <t>College football model; multi-market (moneyline, spread, total).</t>
        </is>
      </c>
      <c r="AG474" s="24" t="inlineStr">
        <is>
          <t>review_required</t>
        </is>
      </c>
      <c r="AH474" s="24" t="n"/>
      <c r="AI474" s="31" t="n"/>
      <c r="AJ474" s="31" t="n"/>
      <c r="AK474" s="24" t="inlineStr">
        <is>
          <t>model_qualified</t>
        </is>
      </c>
      <c r="AL474" s="26" t="n">
        <v>4</v>
      </c>
      <c r="AM474" s="24" t="inlineStr">
        <is>
          <t>QUALIFIED_SHADOW_CALL</t>
        </is>
      </c>
      <c r="AN474" s="24" t="inlineStr">
        <is>
          <t>CALL</t>
        </is>
      </c>
      <c r="AO474" s="24" t="inlineStr">
        <is>
          <t>QUALIFIED</t>
        </is>
      </c>
      <c r="AP474" s="24" t="inlineStr">
        <is>
          <t>Sam Houston Bearkats</t>
        </is>
      </c>
      <c r="AQ474" s="24" t="inlineStr">
        <is>
          <t>Sam Houston Bearkats</t>
        </is>
      </c>
      <c r="AR474" s="24" t="inlineStr">
        <is>
          <t>Sam Houston Bearkats</t>
        </is>
      </c>
      <c r="AS474" s="24" t="inlineStr">
        <is>
          <t>Texas Tech Red Raiders</t>
        </is>
      </c>
      <c r="AT474" s="24" t="inlineStr">
        <is>
          <t>Texas Tech Red Raiders</t>
        </is>
      </c>
      <c r="AU474" s="24" t="inlineStr">
        <is>
          <t>Texas Tech Red Raiders</t>
        </is>
      </c>
      <c r="AV474" s="24" t="n"/>
      <c r="AW474" s="24" t="n"/>
      <c r="AX474" s="24" t="inlineStr">
        <is>
          <t>statistical_model</t>
        </is>
      </c>
      <c r="AY474" s="24" t="n"/>
      <c r="AZ474" s="24" t="inlineStr">
        <is>
          <t>shadow_qualified</t>
        </is>
      </c>
      <c r="BA474" s="24" t="inlineStr">
        <is>
          <t>1d168f11d221cd3c</t>
        </is>
      </c>
      <c r="BB474" s="24" t="inlineStr">
        <is>
          <t>cfb_key_number_engine</t>
        </is>
      </c>
      <c r="BC474" s="24" t="inlineStr">
        <is>
          <t>cfb-spread-v1</t>
        </is>
      </c>
      <c r="BD474" s="24" t="inlineStr">
        <is>
          <t>1d168f11d221cd3c</t>
        </is>
      </c>
      <c r="BE474" s="24" t="inlineStr">
        <is>
          <t>cfb-v1</t>
        </is>
      </c>
      <c r="BF474" s="24" t="inlineStr">
        <is>
          <t>1</t>
        </is>
      </c>
      <c r="BG474" s="24" t="inlineStr">
        <is>
          <t>1d168f11d221cd3c</t>
        </is>
      </c>
      <c r="BH474" s="24" t="inlineStr">
        <is>
          <t>2026-09-26T15:01:01.506546+00:00</t>
        </is>
      </c>
      <c r="BI474" s="24" t="inlineStr">
        <is>
          <t>["same_event","same_team_same_day","same_league_same_day"]</t>
        </is>
      </c>
      <c r="BJ474" s="25" t="n">
        <v>34.5</v>
      </c>
      <c r="BK474" s="26" t="n">
        <v>-112</v>
      </c>
      <c r="BL474" s="27" t="n">
        <v>1.892857</v>
      </c>
      <c r="BM474" s="28" t="n">
        <v>0.528302</v>
      </c>
      <c r="BN474" s="28" t="n"/>
      <c r="BO474" s="28" t="n"/>
      <c r="BP474" s="25" t="n"/>
      <c r="BQ474" s="27" t="n"/>
      <c r="BR474" s="28" t="n"/>
      <c r="BS474" s="28" t="n"/>
      <c r="BT474" s="28" t="n"/>
      <c r="BU474" s="25" t="n"/>
      <c r="BV474" s="29" t="n"/>
      <c r="BW474" s="24" t="n"/>
      <c r="BX474" s="30" t="n"/>
      <c r="BY474" s="27" t="n"/>
      <c r="BZ474" s="24" t="n"/>
      <c r="CA474" s="31" t="n"/>
      <c r="CB474" s="24" t="n"/>
      <c r="CC474" s="24" t="n"/>
      <c r="CD474" s="24" t="n"/>
      <c r="CE474" s="24" t="n"/>
      <c r="CF474" s="24" t="n"/>
      <c r="CG474" s="24" t="n"/>
      <c r="CH474" s="24" t="n"/>
      <c r="CI474" s="24" t="n"/>
      <c r="CJ474" s="24" t="n"/>
      <c r="CK474" s="24" t="n"/>
      <c r="CL474" s="24" t="n"/>
      <c r="CM474" s="24" t="n"/>
      <c r="CN474" s="24" t="n"/>
      <c r="CO474" s="24" t="n"/>
      <c r="CP474" s="24" t="n"/>
      <c r="CQ474" s="24" t="n"/>
      <c r="CR474" s="24" t="n"/>
      <c r="CS474" s="24" t="inlineStr">
        <is>
          <t>True</t>
        </is>
      </c>
      <c r="CT474" s="24" t="n"/>
      <c r="CU474" s="24" t="n"/>
      <c r="CV474" s="24" t="n"/>
      <c r="CW474" s="24" t="n"/>
      <c r="CX474" s="24" t="n"/>
      <c r="CY474" s="24" t="n"/>
      <c r="CZ474" s="24" t="n"/>
      <c r="DA474" s="24" t="n"/>
      <c r="DB474" s="24" t="n"/>
      <c r="DC474" s="24" t="n"/>
      <c r="DD474" s="24" t="n"/>
      <c r="DE474" s="24" t="n"/>
      <c r="DF474" s="24" t="n"/>
      <c r="DG474" s="24" t="n"/>
      <c r="DH474" s="24" t="n"/>
      <c r="DI474" s="24" t="n"/>
      <c r="DJ474" s="24" t="inlineStr">
        <is>
          <t>0.528302</t>
        </is>
      </c>
      <c r="DK474" s="24" t="n"/>
      <c r="DL474" s="24" t="n"/>
      <c r="DM474" s="24" t="n"/>
      <c r="DN474" s="24" t="n"/>
      <c r="DO474" s="24" t="n"/>
      <c r="DP474" s="24" t="n"/>
      <c r="DQ474" s="24" t="inlineStr">
        <is>
          <t>{"artifact_hash": "1d168f11d221cd3c", "event_id": "401856805", "event_start_utc": "2026-09-26T16:00Z", "features": {"altitude_fatigue_penalty": 0.0, "away_team": "Sam Houston Bearkats", "efficiency_gap": 1.28, "elo_away": 1287.4, "elo_home": 1751.5, "elo_home_win_prob": 0.9546, "event_id": "401856805", "game_start_utc": "2026-09-26T16:00Z", "home_field_advantage_points": 2.8, "home_team": "Texas Tech Red Raiders", "is_dome": false, "is_fbs_vs_fcs": false, "is_neutral_site": false, "projected_away_points": 16.0, "projected_home_points": 37.6, "projected_margin_home": 21.6, "projected_possessions": 12.4, "projected_total": 53.6, "stadium_elevation_ft": 3200, "travel_distance_miles": 420.0, "uncertainty": 0.18, "weather_total_adjustment": 0.0}, "historical_source_observation_times_verified": false, "inference_inputs": {"engine_source_sha256": "449ba2f0e86fa9c445730076a0e0bf100fb4914620be53c75c6f3bfe24298f3f", "mu_away": 16.0, "mu_home": 37.6,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32245220851769283708234632465444965883}, "uinteger": 0}, "spread_home_line": -34.5, "total_line": 56.5}, "market_type": "spread", "model_version": "cfb-spread-v1", "observed_at_utc": "2026-09-26T15:01:01.506546+00:00", "probabilities": {"away": 0.7734, "home": 0.2266, "push": 0.0}, "replay_scope": "Full precision score means, exact engine parameters and original RNG state; upstream feature construction not certified.", "schema": "cfb-joint-replay-v1", "snapshot_hash": "9b456eb605e177d7a179bf8d9465456444a3cba3fdc423720b6de99a05a54595", "sport": "NCAAF"}</t>
        </is>
      </c>
    </row>
    <row r="475" ht="36" customHeight="1">
      <c r="A475" s="24" t="inlineStr">
        <is>
          <t>37d59cf672dc4b6f</t>
        </is>
      </c>
      <c r="B475" s="24" t="inlineStr">
        <is>
          <t>2026-09-26T15:01:01.506546Z</t>
        </is>
      </c>
      <c r="C475" s="24" t="inlineStr">
        <is>
          <t>2026-09-26T16:00Z</t>
        </is>
      </c>
      <c r="D475" s="24" t="inlineStr">
        <is>
          <t>401856805</t>
        </is>
      </c>
      <c r="E475" s="24" t="inlineStr">
        <is>
          <t>NCAAF</t>
        </is>
      </c>
      <c r="F475" s="24" t="inlineStr">
        <is>
          <t>Sam Houston Bearkats</t>
        </is>
      </c>
      <c r="G475" s="24" t="inlineStr">
        <is>
          <t>Texas Tech Red Raiders</t>
        </is>
      </c>
      <c r="H475" s="24" t="inlineStr">
        <is>
          <t>total</t>
        </is>
      </c>
      <c r="I475" s="24" t="inlineStr">
        <is>
          <t>under</t>
        </is>
      </c>
      <c r="J475" s="25" t="n">
        <v>56.5</v>
      </c>
      <c r="K475" s="24" t="inlineStr">
        <is>
          <t>espn_consensus</t>
        </is>
      </c>
      <c r="L475" s="26" t="n">
        <v>-110</v>
      </c>
      <c r="M475" s="27" t="n">
        <v>1.909091</v>
      </c>
      <c r="N475" s="28" t="n">
        <v>0.52381</v>
      </c>
      <c r="O475" s="28" t="n">
        <v>0.573133</v>
      </c>
      <c r="P475" s="28" t="n">
        <v>0.18</v>
      </c>
      <c r="Q475" s="28" t="n">
        <v>0.049323</v>
      </c>
      <c r="R475" s="26" t="n">
        <v>0</v>
      </c>
      <c r="S475" s="29" t="n">
        <v>1</v>
      </c>
      <c r="T475" s="24" t="inlineStr">
        <is>
          <t>cfb-total-v1</t>
        </is>
      </c>
      <c r="U475" s="24" t="inlineStr">
        <is>
          <t>settled</t>
        </is>
      </c>
      <c r="V475" s="24" t="inlineStr">
        <is>
          <t>loss</t>
        </is>
      </c>
      <c r="W475" s="26" t="n">
        <v>14</v>
      </c>
      <c r="X475" s="26" t="n">
        <v>49</v>
      </c>
      <c r="Y475" s="25" t="n"/>
      <c r="Z475" s="26" t="n"/>
      <c r="AA475" s="28" t="n"/>
      <c r="AB475" s="28" t="n"/>
      <c r="AC475" s="30" t="n">
        <v>-1</v>
      </c>
      <c r="AD475" s="24" t="inlineStr">
        <is>
          <t>2026-09-26T22:00:38.582129Z</t>
        </is>
      </c>
      <c r="AE475" s="31" t="inlineStr">
        <is>
          <t>Projected total 53.6 pts (Weather adj: +0.0 pts). Total line 56.5 -&gt; P(Over)=0.427, P(Under)=0.573, P(Push)=0.000.</t>
        </is>
      </c>
      <c r="AF475" s="31" t="inlineStr">
        <is>
          <t>College football model; multi-market (moneyline, spread, total).</t>
        </is>
      </c>
      <c r="AG475" s="24" t="inlineStr">
        <is>
          <t>review_required</t>
        </is>
      </c>
      <c r="AH475" s="24" t="n"/>
      <c r="AI475" s="31" t="n"/>
      <c r="AJ475" s="31" t="n"/>
      <c r="AK475" s="24" t="inlineStr">
        <is>
          <t>model_qualified</t>
        </is>
      </c>
      <c r="AL475" s="26" t="n">
        <v>4</v>
      </c>
      <c r="AM475" s="24" t="inlineStr">
        <is>
          <t>QUALIFIED_SHADOW_CALL</t>
        </is>
      </c>
      <c r="AN475" s="24" t="inlineStr">
        <is>
          <t>CALL</t>
        </is>
      </c>
      <c r="AO475" s="24" t="inlineStr">
        <is>
          <t>QUALIFIED</t>
        </is>
      </c>
      <c r="AP475" s="24" t="inlineStr">
        <is>
          <t>Sam Houston Bearkats</t>
        </is>
      </c>
      <c r="AQ475" s="24" t="inlineStr">
        <is>
          <t>Sam Houston Bearkats</t>
        </is>
      </c>
      <c r="AR475" s="24" t="inlineStr">
        <is>
          <t>Sam Houston Bearkats</t>
        </is>
      </c>
      <c r="AS475" s="24" t="inlineStr">
        <is>
          <t>Texas Tech Red Raiders</t>
        </is>
      </c>
      <c r="AT475" s="24" t="inlineStr">
        <is>
          <t>Texas Tech Red Raiders</t>
        </is>
      </c>
      <c r="AU475" s="24" t="inlineStr">
        <is>
          <t>Texas Tech Red Raiders</t>
        </is>
      </c>
      <c r="AV475" s="24" t="n"/>
      <c r="AW475" s="24" t="n"/>
      <c r="AX475" s="24" t="inlineStr">
        <is>
          <t>statistical_model</t>
        </is>
      </c>
      <c r="AY475" s="24" t="n"/>
      <c r="AZ475" s="24" t="inlineStr">
        <is>
          <t>shadow_qualified</t>
        </is>
      </c>
      <c r="BA475" s="24" t="inlineStr">
        <is>
          <t>1d168f11d221cd3c</t>
        </is>
      </c>
      <c r="BB475" s="24" t="inlineStr">
        <is>
          <t>cfb_key_number_engine</t>
        </is>
      </c>
      <c r="BC475" s="24" t="inlineStr">
        <is>
          <t>cfb-total-v1</t>
        </is>
      </c>
      <c r="BD475" s="24" t="inlineStr">
        <is>
          <t>1d168f11d221cd3c</t>
        </is>
      </c>
      <c r="BE475" s="24" t="inlineStr">
        <is>
          <t>cfb-v1</t>
        </is>
      </c>
      <c r="BF475" s="24" t="inlineStr">
        <is>
          <t>1</t>
        </is>
      </c>
      <c r="BG475" s="24" t="inlineStr">
        <is>
          <t>1d168f11d221cd3c</t>
        </is>
      </c>
      <c r="BH475" s="24" t="inlineStr">
        <is>
          <t>2026-09-26T15:01:01.506546+00:00</t>
        </is>
      </c>
      <c r="BI475" s="24" t="inlineStr">
        <is>
          <t>["same_event","same_team_same_day","same_league_same_day"]</t>
        </is>
      </c>
      <c r="BJ475" s="25" t="n">
        <v>56.5</v>
      </c>
      <c r="BK475" s="26" t="n">
        <v>-110</v>
      </c>
      <c r="BL475" s="27" t="n">
        <v>1.909091</v>
      </c>
      <c r="BM475" s="28" t="n">
        <v>0.52381</v>
      </c>
      <c r="BN475" s="28" t="n"/>
      <c r="BO475" s="28" t="n"/>
      <c r="BP475" s="25" t="n"/>
      <c r="BQ475" s="27" t="n"/>
      <c r="BR475" s="28" t="n"/>
      <c r="BS475" s="28" t="n"/>
      <c r="BT475" s="28" t="n"/>
      <c r="BU475" s="25" t="n"/>
      <c r="BV475" s="29" t="n"/>
      <c r="BW475" s="24" t="n"/>
      <c r="BX475" s="30" t="n"/>
      <c r="BY475" s="27" t="n"/>
      <c r="BZ475" s="24" t="n"/>
      <c r="CA475" s="31" t="n"/>
      <c r="CB475" s="24" t="n"/>
      <c r="CC475" s="24" t="n"/>
      <c r="CD475" s="24" t="n"/>
      <c r="CE475" s="24" t="n"/>
      <c r="CF475" s="24" t="n"/>
      <c r="CG475" s="24" t="n"/>
      <c r="CH475" s="24" t="n"/>
      <c r="CI475" s="24" t="n"/>
      <c r="CJ475" s="24" t="n"/>
      <c r="CK475" s="24" t="n"/>
      <c r="CL475" s="24" t="n"/>
      <c r="CM475" s="24" t="n"/>
      <c r="CN475" s="24" t="n"/>
      <c r="CO475" s="24" t="n"/>
      <c r="CP475" s="24" t="n"/>
      <c r="CQ475" s="24" t="n"/>
      <c r="CR475" s="24" t="n"/>
      <c r="CS475" s="24" t="inlineStr">
        <is>
          <t>True</t>
        </is>
      </c>
      <c r="CT475" s="24" t="n"/>
      <c r="CU475" s="24" t="n"/>
      <c r="CV475" s="24" t="n"/>
      <c r="CW475" s="24" t="n"/>
      <c r="CX475" s="24" t="n"/>
      <c r="CY475" s="24" t="n"/>
      <c r="CZ475" s="24" t="n"/>
      <c r="DA475" s="24" t="n"/>
      <c r="DB475" s="24" t="n"/>
      <c r="DC475" s="24" t="n"/>
      <c r="DD475" s="24" t="n"/>
      <c r="DE475" s="24" t="n"/>
      <c r="DF475" s="24" t="n"/>
      <c r="DG475" s="24" t="n"/>
      <c r="DH475" s="24" t="n"/>
      <c r="DI475" s="24" t="n"/>
      <c r="DJ475" s="24" t="inlineStr">
        <is>
          <t>0.52381</t>
        </is>
      </c>
      <c r="DK475" s="24" t="n"/>
      <c r="DL475" s="24" t="n"/>
      <c r="DM475" s="24" t="n"/>
      <c r="DN475" s="24" t="n"/>
      <c r="DO475" s="24" t="n"/>
      <c r="DP475" s="24" t="n"/>
      <c r="DQ475" s="24" t="inlineStr">
        <is>
          <t>{"artifact_hash": "1d168f11d221cd3c", "event_id": "401856805", "event_start_utc": "2026-09-26T16:00Z", "features": {"altitude_fatigue_penalty": 0.0, "away_team": "Sam Houston Bearkats", "efficiency_gap": 1.28, "elo_away": 1287.4, "elo_home": 1751.5, "elo_home_win_prob": 0.9546, "event_id": "401856805", "game_start_utc": "2026-09-26T16:00Z", "home_field_advantage_points": 2.8, "home_team": "Texas Tech Red Raiders", "is_dome": false, "is_fbs_vs_fcs": false, "is_neutral_site": false, "projected_away_points": 16.0, "projected_home_points": 37.6, "projected_margin_home": 21.6, "projected_possessions": 12.4, "projected_total": 53.6, "stadium_elevation_ft": 3200, "travel_distance_miles": 420.0, "uncertainty": 0.18, "weather_total_adjustment": 0.0}, "historical_source_observation_times_verified": false, "inference_inputs": {"engine_source_sha256": "449ba2f0e86fa9c445730076a0e0bf100fb4914620be53c75c6f3bfe24298f3f", "mu_away": 16.0, "mu_home": 37.6,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32245220851769283708234632465444965883}, "uinteger": 0}, "spread_home_line": -34.5, "total_line": 56.5}, "market_type": "total", "model_version": "cfb-total-v1", "observed_at_utc": "2026-09-26T15:01:01.506546+00:00", "probabilities": {"over": 0.426867, "push": 0.0, "under": 0.573133}, "replay_scope": "Full precision score means, exact engine parameters and original RNG state; upstream feature construction not certified.", "schema": "cfb-joint-replay-v1", "snapshot_hash": "4b2f81daa1c42afa9a174b3602c1d6abcd8a37cee4569d124dfdb4858ace2e29", "sport": "NCAAF"}</t>
        </is>
      </c>
    </row>
    <row r="476" ht="36" customHeight="1">
      <c r="A476" s="24" t="inlineStr">
        <is>
          <t>c41a70187205481b</t>
        </is>
      </c>
      <c r="B476" s="24" t="inlineStr">
        <is>
          <t>2026-09-26T15:01:01.506546Z</t>
        </is>
      </c>
      <c r="C476" s="24" t="inlineStr">
        <is>
          <t>2026-09-26T16:00Z</t>
        </is>
      </c>
      <c r="D476" s="24" t="inlineStr">
        <is>
          <t>401858243</t>
        </is>
      </c>
      <c r="E476" s="24" t="inlineStr">
        <is>
          <t>NCAAF</t>
        </is>
      </c>
      <c r="F476" s="24" t="inlineStr">
        <is>
          <t>Wake Forest Demon Deacons</t>
        </is>
      </c>
      <c r="G476" s="24" t="inlineStr">
        <is>
          <t>Louisville Cardinals</t>
        </is>
      </c>
      <c r="H476" s="24" t="inlineStr">
        <is>
          <t>moneyline</t>
        </is>
      </c>
      <c r="I476" s="24" t="inlineStr">
        <is>
          <t>home</t>
        </is>
      </c>
      <c r="J476" s="25" t="n"/>
      <c r="K476" s="24" t="inlineStr">
        <is>
          <t>espn_consensus</t>
        </is>
      </c>
      <c r="L476" s="26" t="n">
        <v>-500</v>
      </c>
      <c r="M476" s="27" t="n">
        <v>1.2</v>
      </c>
      <c r="N476" s="28" t="n">
        <v>0.833333</v>
      </c>
      <c r="O476" s="28" t="n">
        <v>0.541509</v>
      </c>
      <c r="P476" s="28" t="n">
        <v>0.165</v>
      </c>
      <c r="Q476" s="28" t="n">
        <v>-0.291824</v>
      </c>
      <c r="R476" s="26" t="n">
        <v>0</v>
      </c>
      <c r="S476" s="29" t="n">
        <v>1</v>
      </c>
      <c r="T476" s="24" t="inlineStr">
        <is>
          <t>college-football-v1</t>
        </is>
      </c>
      <c r="U476" s="24" t="inlineStr">
        <is>
          <t>settled</t>
        </is>
      </c>
      <c r="V476" s="24" t="inlineStr">
        <is>
          <t>loss</t>
        </is>
      </c>
      <c r="W476" s="26" t="n">
        <v>30</v>
      </c>
      <c r="X476" s="26" t="n">
        <v>27</v>
      </c>
      <c r="Y476" s="25" t="n"/>
      <c r="Z476" s="26" t="n"/>
      <c r="AA476" s="28" t="n"/>
      <c r="AB476" s="28" t="n"/>
      <c r="AC476" s="30" t="n">
        <v>-1</v>
      </c>
      <c r="AD476" s="24" t="inlineStr">
        <is>
          <t>2026-09-26T22:00:39.136504Z</t>
        </is>
      </c>
      <c r="AE476" s="31" t="inlineStr">
        <is>
          <t>CFB Joint Model (negative_binomial): proj score Wake Forest Demon Deacons 27.0 @ Louisville Cardinals 28.5 (Margin +1.5). Possessions: 12.4, HFA: +2.8 pts.</t>
        </is>
      </c>
      <c r="AF476" s="31" t="inlineStr">
        <is>
          <t>College football model; multi-market (moneyline, spread, total).</t>
        </is>
      </c>
      <c r="AG476" s="24" t="inlineStr">
        <is>
          <t>review_required</t>
        </is>
      </c>
      <c r="AH476" s="24" t="n"/>
      <c r="AI476" s="31" t="n"/>
      <c r="AJ476" s="31" t="n"/>
      <c r="AK476" s="24" t="inlineStr">
        <is>
          <t>paper_call</t>
        </is>
      </c>
      <c r="AL476" s="26" t="n">
        <v>4</v>
      </c>
      <c r="AM476" s="24" t="inlineStr">
        <is>
          <t>RESEARCH_OBSERVATION</t>
        </is>
      </c>
      <c r="AN476" s="24" t="inlineStr">
        <is>
          <t>CALL</t>
        </is>
      </c>
      <c r="AO476" s="24" t="inlineStr">
        <is>
          <t>PAPER_CALL_LOW_EDGE</t>
        </is>
      </c>
      <c r="AP476" s="24" t="inlineStr">
        <is>
          <t>Wake Forest Demon Deacons</t>
        </is>
      </c>
      <c r="AQ476" s="24" t="inlineStr">
        <is>
          <t>Wake Forest Demon Deacons</t>
        </is>
      </c>
      <c r="AR476" s="24" t="inlineStr">
        <is>
          <t>Wake Forest Demon Deacons</t>
        </is>
      </c>
      <c r="AS476" s="24" t="inlineStr">
        <is>
          <t>Louisville Cardinals</t>
        </is>
      </c>
      <c r="AT476" s="24" t="inlineStr">
        <is>
          <t>Louisville Cardinals</t>
        </is>
      </c>
      <c r="AU476" s="24" t="inlineStr">
        <is>
          <t>Louisville Cardinals</t>
        </is>
      </c>
      <c r="AV476" s="24" t="n"/>
      <c r="AW476" s="24" t="n"/>
      <c r="AX476" s="24" t="inlineStr">
        <is>
          <t>statistical_model</t>
        </is>
      </c>
      <c r="AY476" s="24" t="n"/>
      <c r="AZ476" s="24" t="inlineStr">
        <is>
          <t>shadow_qualified</t>
        </is>
      </c>
      <c r="BA476" s="24" t="inlineStr">
        <is>
          <t>1d168f11d221cd3c</t>
        </is>
      </c>
      <c r="BB476" s="24" t="inlineStr">
        <is>
          <t>cfb_key_number_engine</t>
        </is>
      </c>
      <c r="BC476" s="24" t="inlineStr">
        <is>
          <t>college-football-v1</t>
        </is>
      </c>
      <c r="BD476" s="24" t="inlineStr">
        <is>
          <t>1d168f11d221cd3c</t>
        </is>
      </c>
      <c r="BE476" s="24" t="inlineStr">
        <is>
          <t>cfb-v1</t>
        </is>
      </c>
      <c r="BF476" s="24" t="inlineStr">
        <is>
          <t>1</t>
        </is>
      </c>
      <c r="BG476" s="24" t="inlineStr">
        <is>
          <t>1d168f11d221cd3c</t>
        </is>
      </c>
      <c r="BH476" s="24" t="inlineStr">
        <is>
          <t>2026-09-26T15:01:01.506546+00:00</t>
        </is>
      </c>
      <c r="BI476" s="24" t="inlineStr">
        <is>
          <t>["same_event","same_team_same_day","same_league_same_day"]</t>
        </is>
      </c>
      <c r="BJ476" s="25" t="n"/>
      <c r="BK476" s="26" t="n">
        <v>-500</v>
      </c>
      <c r="BL476" s="27" t="n">
        <v>1.2</v>
      </c>
      <c r="BM476" s="28" t="n">
        <v>0.833333</v>
      </c>
      <c r="BN476" s="28" t="n"/>
      <c r="BO476" s="28" t="n"/>
      <c r="BP476" s="25" t="n"/>
      <c r="BQ476" s="27" t="n"/>
      <c r="BR476" s="28" t="n"/>
      <c r="BS476" s="28" t="n"/>
      <c r="BT476" s="28" t="n"/>
      <c r="BU476" s="25" t="n"/>
      <c r="BV476" s="29" t="n"/>
      <c r="BW476" s="24" t="n"/>
      <c r="BX476" s="30" t="n">
        <v>1</v>
      </c>
      <c r="BY476" s="27" t="n">
        <v>-1</v>
      </c>
      <c r="BZ476" s="24" t="inlineStr">
        <is>
          <t>2026-09-26T22:00:39.136504Z</t>
        </is>
      </c>
      <c r="CA476" s="31" t="inlineStr">
        <is>
          <t>fixed one-unit hypothetical scoring; no real exposure or execution</t>
        </is>
      </c>
      <c r="CB476" s="24" t="n"/>
      <c r="CC476" s="24" t="n"/>
      <c r="CD476" s="24" t="n"/>
      <c r="CE476" s="24" t="n"/>
      <c r="CF476" s="24" t="n"/>
      <c r="CG476" s="24" t="n"/>
      <c r="CH476" s="24" t="n"/>
      <c r="CI476" s="24" t="n"/>
      <c r="CJ476" s="24" t="n"/>
      <c r="CK476" s="24" t="n"/>
      <c r="CL476" s="24" t="n"/>
      <c r="CM476" s="24" t="n"/>
      <c r="CN476" s="24" t="n"/>
      <c r="CO476" s="24" t="n"/>
      <c r="CP476" s="24" t="n"/>
      <c r="CQ476" s="24" t="n"/>
      <c r="CR476" s="24" t="n"/>
      <c r="CS476" s="24" t="inlineStr">
        <is>
          <t>False</t>
        </is>
      </c>
      <c r="CT476" s="24" t="n"/>
      <c r="CU476" s="24" t="n"/>
      <c r="CV476" s="24" t="n"/>
      <c r="CW476" s="24" t="n"/>
      <c r="CX476" s="24" t="n"/>
      <c r="CY476" s="24" t="n"/>
      <c r="CZ476" s="24" t="n"/>
      <c r="DA476" s="24" t="n"/>
      <c r="DB476" s="24" t="n"/>
      <c r="DC476" s="24" t="n"/>
      <c r="DD476" s="24" t="n"/>
      <c r="DE476" s="24" t="n"/>
      <c r="DF476" s="24" t="n"/>
      <c r="DG476" s="24" t="n"/>
      <c r="DH476" s="24" t="n"/>
      <c r="DI476" s="24" t="n"/>
      <c r="DJ476" s="24" t="inlineStr">
        <is>
          <t>0.833333</t>
        </is>
      </c>
      <c r="DK476" s="24" t="n"/>
      <c r="DL476" s="24" t="n"/>
      <c r="DM476" s="24" t="n"/>
      <c r="DN476" s="24" t="n"/>
      <c r="DO476" s="24" t="n"/>
      <c r="DP476" s="24" t="n"/>
      <c r="DQ476" s="24" t="inlineStr">
        <is>
          <t>{"artifact_hash": "1d168f11d221cd3c", "event_id": "401858243", "event_start_utc": "2026-09-26T16:00Z", "features": {"altitude_fatigue_penalty": 0.0, "away_team": "Wake Forest Demon Deacons", "efficiency_gap": -0.968, "elo_away": 1658.3, "elo_home": 1634.0, "elo_home_win_prob": 0.5582, "event_id": "401858243", "game_start_utc": "2026-09-26T16:00Z", "home_field_advantage_points": 2.8, "home_team": "Louisville Cardinals", "is_dome": false, "is_fbs_vs_fcs": false, "is_neutral_site": false, "projected_away_points": 27.0, "projected_home_points": 28.5, "projected_margin_home": 1.5, "projected_possessions": 12.4, "projected_total": 55.5, "stadium_elevation_ft": 460, "travel_distance_miles": 335.0, "uncertainty": 0.165, "weather_total_adjustment": 0.0}, "historical_source_observation_times_verified": false, "inference_inputs": {"engine_source_sha256": "449ba2f0e86fa9c445730076a0e0bf100fb4914620be53c75c6f3bfe24298f3f", "mu_away": 27.0, "mu_home": 28.5,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235057536772008901601746514124196574508}, "uinteger": 0}, "spread_home_line": -11.5, "total_line": 57.5}, "market_type": "moneyline", "model_version": "college-football-v1", "observed_at_utc": "2026-09-26T15:01:01.506546+00:00", "probabilities": {"away": 0.458491, "home": 0.541509}, "replay_scope": "Full precision score means, exact engine parameters and original RNG state; upstream feature construction not certified.", "schema": "cfb-joint-replay-v1", "snapshot_hash": "8a9fa0b5351a63de45c60514a844be3645195639b5457e1733eefd6644ab6e39", "sport": "NCAAF"}</t>
        </is>
      </c>
    </row>
    <row r="477" ht="36" customHeight="1">
      <c r="A477" s="24" t="inlineStr">
        <is>
          <t>e52799d577a24697</t>
        </is>
      </c>
      <c r="B477" s="24" t="inlineStr">
        <is>
          <t>2026-09-26T15:01:01.506546Z</t>
        </is>
      </c>
      <c r="C477" s="24" t="inlineStr">
        <is>
          <t>2026-09-26T16:00Z</t>
        </is>
      </c>
      <c r="D477" s="24" t="inlineStr">
        <is>
          <t>401858243</t>
        </is>
      </c>
      <c r="E477" s="24" t="inlineStr">
        <is>
          <t>NCAAF</t>
        </is>
      </c>
      <c r="F477" s="24" t="inlineStr">
        <is>
          <t>Wake Forest Demon Deacons</t>
        </is>
      </c>
      <c r="G477" s="24" t="inlineStr">
        <is>
          <t>Louisville Cardinals</t>
        </is>
      </c>
      <c r="H477" s="24" t="inlineStr">
        <is>
          <t>spread</t>
        </is>
      </c>
      <c r="I477" s="24" t="inlineStr">
        <is>
          <t>away</t>
        </is>
      </c>
      <c r="J477" s="25" t="n">
        <v>11.5</v>
      </c>
      <c r="K477" s="24" t="inlineStr">
        <is>
          <t>espn_consensus</t>
        </is>
      </c>
      <c r="L477" s="26" t="n">
        <v>-110</v>
      </c>
      <c r="M477" s="27" t="n">
        <v>1.909091</v>
      </c>
      <c r="N477" s="28" t="n">
        <v>0.52381</v>
      </c>
      <c r="O477" s="28" t="n">
        <v>0.6916</v>
      </c>
      <c r="P477" s="28" t="n">
        <v>0.165</v>
      </c>
      <c r="Q477" s="28" t="n">
        <v>0.16779</v>
      </c>
      <c r="R477" s="26" t="n">
        <v>35</v>
      </c>
      <c r="S477" s="29" t="n">
        <v>1</v>
      </c>
      <c r="T477" s="24" t="inlineStr">
        <is>
          <t>cfb-spread-v1</t>
        </is>
      </c>
      <c r="U477" s="24" t="inlineStr">
        <is>
          <t>settled</t>
        </is>
      </c>
      <c r="V477" s="24" t="inlineStr">
        <is>
          <t>win</t>
        </is>
      </c>
      <c r="W477" s="26" t="n">
        <v>30</v>
      </c>
      <c r="X477" s="26" t="n">
        <v>27</v>
      </c>
      <c r="Y477" s="25" t="n"/>
      <c r="Z477" s="26" t="n"/>
      <c r="AA477" s="28" t="n"/>
      <c r="AB477" s="28" t="n"/>
      <c r="AC477" s="30" t="n">
        <v>0.9091</v>
      </c>
      <c r="AD477" s="24" t="inlineStr">
        <is>
          <t>2026-09-26T22:00:39.684425Z</t>
        </is>
      </c>
      <c r="AE477" s="31" t="inlineStr">
        <is>
          <t>Projected home margin +1.5 pts. Spread: Home -11.5 / Away +11.5 -&gt; P(Away cover)=0.692, P(Home cover)=0.308, P(Push)=0.000.</t>
        </is>
      </c>
      <c r="AF477" s="31" t="inlineStr">
        <is>
          <t>College football model; multi-market (moneyline, spread, total).</t>
        </is>
      </c>
      <c r="AG477" s="24" t="inlineStr">
        <is>
          <t>not_applicable</t>
        </is>
      </c>
      <c r="AH477" s="24" t="n"/>
      <c r="AI477" s="31" t="n"/>
      <c r="AJ477" s="31" t="n"/>
      <c r="AK477" s="24" t="inlineStr">
        <is>
          <t>model_qualified</t>
        </is>
      </c>
      <c r="AL477" s="26" t="n">
        <v>4</v>
      </c>
      <c r="AM477" s="24" t="inlineStr">
        <is>
          <t>QUALIFIED_SHADOW_CALL</t>
        </is>
      </c>
      <c r="AN477" s="24" t="inlineStr">
        <is>
          <t>CALL</t>
        </is>
      </c>
      <c r="AO477" s="24" t="inlineStr">
        <is>
          <t>QUALIFIED</t>
        </is>
      </c>
      <c r="AP477" s="24" t="inlineStr">
        <is>
          <t>Wake Forest Demon Deacons</t>
        </is>
      </c>
      <c r="AQ477" s="24" t="inlineStr">
        <is>
          <t>Wake Forest Demon Deacons</t>
        </is>
      </c>
      <c r="AR477" s="24" t="inlineStr">
        <is>
          <t>Wake Forest Demon Deacons</t>
        </is>
      </c>
      <c r="AS477" s="24" t="inlineStr">
        <is>
          <t>Louisville Cardinals</t>
        </is>
      </c>
      <c r="AT477" s="24" t="inlineStr">
        <is>
          <t>Louisville Cardinals</t>
        </is>
      </c>
      <c r="AU477" s="24" t="inlineStr">
        <is>
          <t>Louisville Cardinals</t>
        </is>
      </c>
      <c r="AV477" s="24" t="n"/>
      <c r="AW477" s="24" t="n"/>
      <c r="AX477" s="24" t="inlineStr">
        <is>
          <t>statistical_model</t>
        </is>
      </c>
      <c r="AY477" s="24" t="n"/>
      <c r="AZ477" s="24" t="inlineStr">
        <is>
          <t>shadow_qualified</t>
        </is>
      </c>
      <c r="BA477" s="24" t="inlineStr">
        <is>
          <t>1d168f11d221cd3c</t>
        </is>
      </c>
      <c r="BB477" s="24" t="inlineStr">
        <is>
          <t>cfb_key_number_engine</t>
        </is>
      </c>
      <c r="BC477" s="24" t="inlineStr">
        <is>
          <t>cfb-spread-v1</t>
        </is>
      </c>
      <c r="BD477" s="24" t="inlineStr">
        <is>
          <t>1d168f11d221cd3c</t>
        </is>
      </c>
      <c r="BE477" s="24" t="inlineStr">
        <is>
          <t>cfb-v1</t>
        </is>
      </c>
      <c r="BF477" s="24" t="inlineStr">
        <is>
          <t>1</t>
        </is>
      </c>
      <c r="BG477" s="24" t="inlineStr">
        <is>
          <t>1d168f11d221cd3c</t>
        </is>
      </c>
      <c r="BH477" s="24" t="inlineStr">
        <is>
          <t>2026-09-26T15:01:01.506546+00:00</t>
        </is>
      </c>
      <c r="BI477" s="24" t="inlineStr">
        <is>
          <t>["same_event","same_team_same_day","same_league_same_day"]</t>
        </is>
      </c>
      <c r="BJ477" s="25" t="n">
        <v>11.5</v>
      </c>
      <c r="BK477" s="26" t="n">
        <v>-110</v>
      </c>
      <c r="BL477" s="27" t="n">
        <v>1.909091</v>
      </c>
      <c r="BM477" s="28" t="n">
        <v>0.52381</v>
      </c>
      <c r="BN477" s="28" t="n"/>
      <c r="BO477" s="28" t="n"/>
      <c r="BP477" s="25" t="n"/>
      <c r="BQ477" s="27" t="n"/>
      <c r="BR477" s="28" t="n"/>
      <c r="BS477" s="28" t="n"/>
      <c r="BT477" s="28" t="n"/>
      <c r="BU477" s="25" t="n"/>
      <c r="BV477" s="29" t="n"/>
      <c r="BW477" s="24" t="n"/>
      <c r="BX477" s="30" t="n"/>
      <c r="BY477" s="27" t="n"/>
      <c r="BZ477" s="24" t="n"/>
      <c r="CA477" s="31" t="n"/>
      <c r="CB477" s="24" t="n"/>
      <c r="CC477" s="24" t="n"/>
      <c r="CD477" s="24" t="n"/>
      <c r="CE477" s="24" t="n"/>
      <c r="CF477" s="24" t="n"/>
      <c r="CG477" s="24" t="n"/>
      <c r="CH477" s="24" t="n"/>
      <c r="CI477" s="24" t="n"/>
      <c r="CJ477" s="24" t="n"/>
      <c r="CK477" s="24" t="n"/>
      <c r="CL477" s="24" t="n"/>
      <c r="CM477" s="24" t="n"/>
      <c r="CN477" s="24" t="n"/>
      <c r="CO477" s="24" t="n"/>
      <c r="CP477" s="24" t="n"/>
      <c r="CQ477" s="24" t="n"/>
      <c r="CR477" s="24" t="n"/>
      <c r="CS477" s="24" t="inlineStr">
        <is>
          <t>True</t>
        </is>
      </c>
      <c r="CT477" s="24" t="n"/>
      <c r="CU477" s="24" t="n"/>
      <c r="CV477" s="24" t="n"/>
      <c r="CW477" s="24" t="n"/>
      <c r="CX477" s="24" t="n"/>
      <c r="CY477" s="24" t="n"/>
      <c r="CZ477" s="24" t="n"/>
      <c r="DA477" s="24" t="n"/>
      <c r="DB477" s="24" t="n"/>
      <c r="DC477" s="24" t="n"/>
      <c r="DD477" s="24" t="n"/>
      <c r="DE477" s="24" t="n"/>
      <c r="DF477" s="24" t="n"/>
      <c r="DG477" s="24" t="n"/>
      <c r="DH477" s="24" t="n"/>
      <c r="DI477" s="24" t="n"/>
      <c r="DJ477" s="24" t="inlineStr">
        <is>
          <t>0.52381</t>
        </is>
      </c>
      <c r="DK477" s="24" t="n"/>
      <c r="DL477" s="24" t="n"/>
      <c r="DM477" s="24" t="n"/>
      <c r="DN477" s="24" t="n"/>
      <c r="DO477" s="24" t="n"/>
      <c r="DP477" s="24" t="n"/>
      <c r="DQ477" s="24" t="inlineStr">
        <is>
          <t>{"artifact_hash": "1d168f11d221cd3c", "event_id": "401858243", "event_start_utc": "2026-09-26T16:00Z", "features": {"altitude_fatigue_penalty": 0.0, "away_team": "Wake Forest Demon Deacons", "efficiency_gap": -0.968, "elo_away": 1658.3, "elo_home": 1634.0, "elo_home_win_prob": 0.5582, "event_id": "401858243", "game_start_utc": "2026-09-26T16:00Z", "home_field_advantage_points": 2.8, "home_team": "Louisville Cardinals", "is_dome": false, "is_fbs_vs_fcs": false, "is_neutral_site": false, "projected_away_points": 27.0, "projected_home_points": 28.5, "projected_margin_home": 1.5, "projected_possessions": 12.4, "projected_total": 55.5, "stadium_elevation_ft": 460, "travel_distance_miles": 335.0, "uncertainty": 0.165, "weather_total_adjustment": 0.0}, "historical_source_observation_times_verified": false, "inference_inputs": {"engine_source_sha256": "449ba2f0e86fa9c445730076a0e0bf100fb4914620be53c75c6f3bfe24298f3f", "mu_away": 27.0, "mu_home": 28.5,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235057536772008901601746514124196574508}, "uinteger": 0}, "spread_home_line": -11.5, "total_line": 57.5}, "market_type": "spread", "model_version": "cfb-spread-v1", "observed_at_utc": "2026-09-26T15:01:01.506546+00:00", "probabilities": {"away": 0.6916, "home": 0.3084, "push": 0.0}, "replay_scope": "Full precision score means, exact engine parameters and original RNG state; upstream feature construction not certified.", "schema": "cfb-joint-replay-v1", "snapshot_hash": "86b2fd2ac27deebd031c74999f6b5e3aea2df712e134a07a65d08e5181ee59fd", "sport": "NCAAF"}</t>
        </is>
      </c>
    </row>
    <row r="478" ht="36" customHeight="1">
      <c r="A478" s="24" t="inlineStr">
        <is>
          <t>fc228667854e4e83</t>
        </is>
      </c>
      <c r="B478" s="24" t="inlineStr">
        <is>
          <t>2026-09-26T15:01:01.506546Z</t>
        </is>
      </c>
      <c r="C478" s="24" t="inlineStr">
        <is>
          <t>2026-09-26T16:00Z</t>
        </is>
      </c>
      <c r="D478" s="24" t="inlineStr">
        <is>
          <t>401858243</t>
        </is>
      </c>
      <c r="E478" s="24" t="inlineStr">
        <is>
          <t>NCAAF</t>
        </is>
      </c>
      <c r="F478" s="24" t="inlineStr">
        <is>
          <t>Wake Forest Demon Deacons</t>
        </is>
      </c>
      <c r="G478" s="24" t="inlineStr">
        <is>
          <t>Louisville Cardinals</t>
        </is>
      </c>
      <c r="H478" s="24" t="inlineStr">
        <is>
          <t>total</t>
        </is>
      </c>
      <c r="I478" s="24" t="inlineStr">
        <is>
          <t>under</t>
        </is>
      </c>
      <c r="J478" s="25" t="n">
        <v>57.5</v>
      </c>
      <c r="K478" s="24" t="inlineStr">
        <is>
          <t>espn_consensus</t>
        </is>
      </c>
      <c r="L478" s="26" t="n">
        <v>-112</v>
      </c>
      <c r="M478" s="27" t="n">
        <v>1.892857</v>
      </c>
      <c r="N478" s="28" t="n">
        <v>0.528302</v>
      </c>
      <c r="O478" s="28" t="n">
        <v>0.5634</v>
      </c>
      <c r="P478" s="28" t="n">
        <v>0.165</v>
      </c>
      <c r="Q478" s="28" t="n">
        <v>0.035098</v>
      </c>
      <c r="R478" s="26" t="n">
        <v>0</v>
      </c>
      <c r="S478" s="29" t="n">
        <v>1</v>
      </c>
      <c r="T478" s="24" t="inlineStr">
        <is>
          <t>cfb-total-v1</t>
        </is>
      </c>
      <c r="U478" s="24" t="inlineStr">
        <is>
          <t>settled</t>
        </is>
      </c>
      <c r="V478" s="24" t="inlineStr">
        <is>
          <t>win</t>
        </is>
      </c>
      <c r="W478" s="26" t="n">
        <v>30</v>
      </c>
      <c r="X478" s="26" t="n">
        <v>27</v>
      </c>
      <c r="Y478" s="25" t="n"/>
      <c r="Z478" s="26" t="n"/>
      <c r="AA478" s="28" t="n"/>
      <c r="AB478" s="28" t="n"/>
      <c r="AC478" s="30" t="n">
        <v>0.8929</v>
      </c>
      <c r="AD478" s="24" t="inlineStr">
        <is>
          <t>2026-09-26T22:00:40.251395Z</t>
        </is>
      </c>
      <c r="AE478" s="31" t="inlineStr">
        <is>
          <t>Projected total 55.5 pts (Weather adj: +0.0 pts). Total line 57.5 -&gt; P(Over)=0.437, P(Under)=0.563, P(Push)=0.000.</t>
        </is>
      </c>
      <c r="AF478" s="31" t="inlineStr">
        <is>
          <t>College football model; multi-market (moneyline, spread, total).</t>
        </is>
      </c>
      <c r="AG478" s="24" t="inlineStr">
        <is>
          <t>not_applicable</t>
        </is>
      </c>
      <c r="AH478" s="24" t="n"/>
      <c r="AI478" s="31" t="n"/>
      <c r="AJ478" s="31" t="n"/>
      <c r="AK478" s="24" t="inlineStr">
        <is>
          <t>model_qualified</t>
        </is>
      </c>
      <c r="AL478" s="26" t="n">
        <v>4</v>
      </c>
      <c r="AM478" s="24" t="inlineStr">
        <is>
          <t>QUALIFIED_SHADOW_CALL</t>
        </is>
      </c>
      <c r="AN478" s="24" t="inlineStr">
        <is>
          <t>CALL</t>
        </is>
      </c>
      <c r="AO478" s="24" t="inlineStr">
        <is>
          <t>QUALIFIED</t>
        </is>
      </c>
      <c r="AP478" s="24" t="inlineStr">
        <is>
          <t>Wake Forest Demon Deacons</t>
        </is>
      </c>
      <c r="AQ478" s="24" t="inlineStr">
        <is>
          <t>Wake Forest Demon Deacons</t>
        </is>
      </c>
      <c r="AR478" s="24" t="inlineStr">
        <is>
          <t>Wake Forest Demon Deacons</t>
        </is>
      </c>
      <c r="AS478" s="24" t="inlineStr">
        <is>
          <t>Louisville Cardinals</t>
        </is>
      </c>
      <c r="AT478" s="24" t="inlineStr">
        <is>
          <t>Louisville Cardinals</t>
        </is>
      </c>
      <c r="AU478" s="24" t="inlineStr">
        <is>
          <t>Louisville Cardinals</t>
        </is>
      </c>
      <c r="AV478" s="24" t="n"/>
      <c r="AW478" s="24" t="n"/>
      <c r="AX478" s="24" t="inlineStr">
        <is>
          <t>statistical_model</t>
        </is>
      </c>
      <c r="AY478" s="24" t="n"/>
      <c r="AZ478" s="24" t="inlineStr">
        <is>
          <t>shadow_qualified</t>
        </is>
      </c>
      <c r="BA478" s="24" t="inlineStr">
        <is>
          <t>1d168f11d221cd3c</t>
        </is>
      </c>
      <c r="BB478" s="24" t="inlineStr">
        <is>
          <t>cfb_key_number_engine</t>
        </is>
      </c>
      <c r="BC478" s="24" t="inlineStr">
        <is>
          <t>cfb-total-v1</t>
        </is>
      </c>
      <c r="BD478" s="24" t="inlineStr">
        <is>
          <t>1d168f11d221cd3c</t>
        </is>
      </c>
      <c r="BE478" s="24" t="inlineStr">
        <is>
          <t>cfb-v1</t>
        </is>
      </c>
      <c r="BF478" s="24" t="inlineStr">
        <is>
          <t>1</t>
        </is>
      </c>
      <c r="BG478" s="24" t="inlineStr">
        <is>
          <t>1d168f11d221cd3c</t>
        </is>
      </c>
      <c r="BH478" s="24" t="inlineStr">
        <is>
          <t>2026-09-26T15:01:01.506546+00:00</t>
        </is>
      </c>
      <c r="BI478" s="24" t="inlineStr">
        <is>
          <t>["same_event","same_team_same_day","same_league_same_day"]</t>
        </is>
      </c>
      <c r="BJ478" s="25" t="n">
        <v>57.5</v>
      </c>
      <c r="BK478" s="26" t="n">
        <v>-112</v>
      </c>
      <c r="BL478" s="27" t="n">
        <v>1.892857</v>
      </c>
      <c r="BM478" s="28" t="n">
        <v>0.528302</v>
      </c>
      <c r="BN478" s="28" t="n"/>
      <c r="BO478" s="28" t="n"/>
      <c r="BP478" s="25" t="n"/>
      <c r="BQ478" s="27" t="n"/>
      <c r="BR478" s="28" t="n"/>
      <c r="BS478" s="28" t="n"/>
      <c r="BT478" s="28" t="n"/>
      <c r="BU478" s="25" t="n"/>
      <c r="BV478" s="29" t="n"/>
      <c r="BW478" s="24" t="n"/>
      <c r="BX478" s="30" t="n"/>
      <c r="BY478" s="27" t="n"/>
      <c r="BZ478" s="24" t="n"/>
      <c r="CA478" s="31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inlineStr">
        <is>
          <t>True</t>
        </is>
      </c>
      <c r="CT478" s="24" t="n"/>
      <c r="CU478" s="24" t="n"/>
      <c r="CV478" s="24" t="n"/>
      <c r="CW478" s="24" t="n"/>
      <c r="CX478" s="24" t="n"/>
      <c r="CY478" s="24" t="n"/>
      <c r="CZ478" s="24" t="n"/>
      <c r="DA478" s="24" t="n"/>
      <c r="DB478" s="24" t="n"/>
      <c r="DC478" s="24" t="n"/>
      <c r="DD478" s="24" t="n"/>
      <c r="DE478" s="24" t="n"/>
      <c r="DF478" s="24" t="n"/>
      <c r="DG478" s="24" t="n"/>
      <c r="DH478" s="24" t="n"/>
      <c r="DI478" s="24" t="n"/>
      <c r="DJ478" s="24" t="inlineStr">
        <is>
          <t>0.528302</t>
        </is>
      </c>
      <c r="DK478" s="24" t="n"/>
      <c r="DL478" s="24" t="n"/>
      <c r="DM478" s="24" t="n"/>
      <c r="DN478" s="24" t="n"/>
      <c r="DO478" s="24" t="n"/>
      <c r="DP478" s="24" t="n"/>
      <c r="DQ478" s="24" t="inlineStr">
        <is>
          <t>{"artifact_hash": "1d168f11d221cd3c", "event_id": "401858243", "event_start_utc": "2026-09-26T16:00Z", "features": {"altitude_fatigue_penalty": 0.0, "away_team": "Wake Forest Demon Deacons", "efficiency_gap": -0.968, "elo_away": 1658.3, "elo_home": 1634.0, "elo_home_win_prob": 0.5582, "event_id": "401858243", "game_start_utc": "2026-09-26T16:00Z", "home_field_advantage_points": 2.8, "home_team": "Louisville Cardinals", "is_dome": false, "is_fbs_vs_fcs": false, "is_neutral_site": false, "projected_away_points": 27.0, "projected_home_points": 28.5, "projected_margin_home": 1.5, "projected_possessions": 12.4, "projected_total": 55.5, "stadium_elevation_ft": 460, "travel_distance_miles": 335.0, "uncertainty": 0.165, "weather_total_adjustment": 0.0}, "historical_source_observation_times_verified": false, "inference_inputs": {"engine_source_sha256": "449ba2f0e86fa9c445730076a0e0bf100fb4914620be53c75c6f3bfe24298f3f", "mu_away": 27.0, "mu_home": 28.5,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235057536772008901601746514124196574508}, "uinteger": 0}, "spread_home_line": -11.5, "total_line": 57.5}, "market_type": "total", "model_version": "cfb-total-v1", "observed_at_utc": "2026-09-26T15:01:01.506546+00:00", "probabilities": {"over": 0.4366, "push": 0.0, "under": 0.5634}, "replay_scope": "Full precision score means, exact engine parameters and original RNG state; upstream feature construction not certified.", "schema": "cfb-joint-replay-v1", "snapshot_hash": "f954d12af7c97958e267dc44b3c08d5ee29dd916c9704ef03f675110c3bb850f", "sport": "NCAAF"}</t>
        </is>
      </c>
    </row>
    <row r="479" ht="36" customHeight="1">
      <c r="A479" s="24" t="inlineStr">
        <is>
          <t>f0fee2bd55994eff</t>
        </is>
      </c>
      <c r="B479" s="24" t="inlineStr">
        <is>
          <t>2026-09-26T15:01:01.506546Z</t>
        </is>
      </c>
      <c r="C479" s="24" t="inlineStr">
        <is>
          <t>2026-09-26T16:00Z</t>
        </is>
      </c>
      <c r="D479" s="24" t="inlineStr">
        <is>
          <t>401856813</t>
        </is>
      </c>
      <c r="E479" s="24" t="inlineStr">
        <is>
          <t>NCAAF</t>
        </is>
      </c>
      <c r="F479" s="24" t="inlineStr">
        <is>
          <t>Colorado Buffaloes</t>
        </is>
      </c>
      <c r="G479" s="24" t="inlineStr">
        <is>
          <t>Baylor Bears</t>
        </is>
      </c>
      <c r="H479" s="24" t="inlineStr">
        <is>
          <t>moneyline</t>
        </is>
      </c>
      <c r="I479" s="24" t="inlineStr">
        <is>
          <t>home</t>
        </is>
      </c>
      <c r="J479" s="25" t="n"/>
      <c r="K479" s="24" t="inlineStr">
        <is>
          <t>espn_consensus</t>
        </is>
      </c>
      <c r="L479" s="26" t="n">
        <v>-380</v>
      </c>
      <c r="M479" s="27" t="n">
        <v>1.263158</v>
      </c>
      <c r="N479" s="28" t="n">
        <v>0.791667</v>
      </c>
      <c r="O479" s="28" t="n">
        <v>0.610725</v>
      </c>
      <c r="P479" s="28" t="n">
        <v>0.165</v>
      </c>
      <c r="Q479" s="28" t="n">
        <v>-0.180942</v>
      </c>
      <c r="R479" s="26" t="n">
        <v>0</v>
      </c>
      <c r="S479" s="29" t="n">
        <v>1</v>
      </c>
      <c r="T479" s="24" t="inlineStr">
        <is>
          <t>college-football-v1</t>
        </is>
      </c>
      <c r="U479" s="24" t="inlineStr">
        <is>
          <t>settled</t>
        </is>
      </c>
      <c r="V479" s="24" t="inlineStr">
        <is>
          <t>win</t>
        </is>
      </c>
      <c r="W479" s="26" t="n">
        <v>13</v>
      </c>
      <c r="X479" s="26" t="n">
        <v>23</v>
      </c>
      <c r="Y479" s="25" t="n"/>
      <c r="Z479" s="26" t="n"/>
      <c r="AA479" s="28" t="n"/>
      <c r="AB479" s="28" t="n"/>
      <c r="AC479" s="30" t="n">
        <v>0.2632</v>
      </c>
      <c r="AD479" s="24" t="inlineStr">
        <is>
          <t>2026-09-26T22:00:40.823105Z</t>
        </is>
      </c>
      <c r="AE479" s="31" t="inlineStr">
        <is>
          <t>CFB Joint Model (negative_binomial): proj score Colorado Buffaloes 23.9 @ Baylor Bears 29.0 (Margin +5.1). Possessions: 12.4, HFA: +2.8 pts.</t>
        </is>
      </c>
      <c r="AF479" s="31" t="inlineStr">
        <is>
          <t>College football model; multi-market (moneyline, spread, total).</t>
        </is>
      </c>
      <c r="AG479" s="24" t="inlineStr">
        <is>
          <t>not_applicable</t>
        </is>
      </c>
      <c r="AH479" s="24" t="n"/>
      <c r="AI479" s="31" t="n"/>
      <c r="AJ479" s="31" t="n"/>
      <c r="AK479" s="24" t="inlineStr">
        <is>
          <t>paper_call</t>
        </is>
      </c>
      <c r="AL479" s="26" t="n">
        <v>4</v>
      </c>
      <c r="AM479" s="24" t="inlineStr">
        <is>
          <t>RESEARCH_OBSERVATION</t>
        </is>
      </c>
      <c r="AN479" s="24" t="inlineStr">
        <is>
          <t>CALL</t>
        </is>
      </c>
      <c r="AO479" s="24" t="inlineStr">
        <is>
          <t>PAPER_CALL_LOW_EDGE</t>
        </is>
      </c>
      <c r="AP479" s="24" t="inlineStr">
        <is>
          <t>Colorado Buffaloes</t>
        </is>
      </c>
      <c r="AQ479" s="24" t="inlineStr">
        <is>
          <t>Colorado Buffaloes</t>
        </is>
      </c>
      <c r="AR479" s="24" t="inlineStr">
        <is>
          <t>Colorado Buffaloes</t>
        </is>
      </c>
      <c r="AS479" s="24" t="inlineStr">
        <is>
          <t>Baylor Bears</t>
        </is>
      </c>
      <c r="AT479" s="24" t="inlineStr">
        <is>
          <t>Baylor Bears</t>
        </is>
      </c>
      <c r="AU479" s="24" t="inlineStr">
        <is>
          <t>Baylor Bears</t>
        </is>
      </c>
      <c r="AV479" s="24" t="n"/>
      <c r="AW479" s="24" t="n"/>
      <c r="AX479" s="24" t="inlineStr">
        <is>
          <t>statistical_model</t>
        </is>
      </c>
      <c r="AY479" s="24" t="n"/>
      <c r="AZ479" s="24" t="inlineStr">
        <is>
          <t>shadow_qualified</t>
        </is>
      </c>
      <c r="BA479" s="24" t="inlineStr">
        <is>
          <t>1d168f11d221cd3c</t>
        </is>
      </c>
      <c r="BB479" s="24" t="inlineStr">
        <is>
          <t>cfb_key_number_engine</t>
        </is>
      </c>
      <c r="BC479" s="24" t="inlineStr">
        <is>
          <t>college-football-v1</t>
        </is>
      </c>
      <c r="BD479" s="24" t="inlineStr">
        <is>
          <t>1d168f11d221cd3c</t>
        </is>
      </c>
      <c r="BE479" s="24" t="inlineStr">
        <is>
          <t>cfb-v1</t>
        </is>
      </c>
      <c r="BF479" s="24" t="inlineStr">
        <is>
          <t>1</t>
        </is>
      </c>
      <c r="BG479" s="24" t="inlineStr">
        <is>
          <t>1d168f11d221cd3c</t>
        </is>
      </c>
      <c r="BH479" s="24" t="inlineStr">
        <is>
          <t>2026-09-26T15:01:01.506546+00:00</t>
        </is>
      </c>
      <c r="BI479" s="24" t="inlineStr">
        <is>
          <t>["same_event","same_team_same_day","same_league_same_day"]</t>
        </is>
      </c>
      <c r="BJ479" s="25" t="n"/>
      <c r="BK479" s="26" t="n">
        <v>-380</v>
      </c>
      <c r="BL479" s="27" t="n">
        <v>1.263158</v>
      </c>
      <c r="BM479" s="28" t="n">
        <v>0.791667</v>
      </c>
      <c r="BN479" s="28" t="n"/>
      <c r="BO479" s="28" t="n"/>
      <c r="BP479" s="25" t="n"/>
      <c r="BQ479" s="27" t="n"/>
      <c r="BR479" s="28" t="n"/>
      <c r="BS479" s="28" t="n"/>
      <c r="BT479" s="28" t="n"/>
      <c r="BU479" s="25" t="n"/>
      <c r="BV479" s="29" t="n"/>
      <c r="BW479" s="24" t="n"/>
      <c r="BX479" s="30" t="n">
        <v>1</v>
      </c>
      <c r="BY479" s="27" t="n">
        <v>0.263158</v>
      </c>
      <c r="BZ479" s="24" t="inlineStr">
        <is>
          <t>2026-09-26T22:00:40.823105Z</t>
        </is>
      </c>
      <c r="CA479" s="31" t="inlineStr">
        <is>
          <t>fixed one-unit hypothetical scoring; no real exposure or execution</t>
        </is>
      </c>
      <c r="CB479" s="24" t="n"/>
      <c r="CC479" s="24" t="n"/>
      <c r="CD479" s="24" t="n"/>
      <c r="CE479" s="24" t="n"/>
      <c r="CF479" s="24" t="n"/>
      <c r="CG479" s="24" t="n"/>
      <c r="CH479" s="24" t="n"/>
      <c r="CI479" s="24" t="n"/>
      <c r="CJ479" s="24" t="n"/>
      <c r="CK479" s="24" t="n"/>
      <c r="CL479" s="24" t="n"/>
      <c r="CM479" s="24" t="n"/>
      <c r="CN479" s="24" t="n"/>
      <c r="CO479" s="24" t="n"/>
      <c r="CP479" s="24" t="n"/>
      <c r="CQ479" s="24" t="n"/>
      <c r="CR479" s="24" t="n"/>
      <c r="CS479" s="24" t="inlineStr">
        <is>
          <t>False</t>
        </is>
      </c>
      <c r="CT479" s="24" t="n"/>
      <c r="CU479" s="24" t="n"/>
      <c r="CV479" s="24" t="n"/>
      <c r="CW479" s="24" t="n"/>
      <c r="CX479" s="24" t="n"/>
      <c r="CY479" s="24" t="n"/>
      <c r="CZ479" s="24" t="n"/>
      <c r="DA479" s="24" t="n"/>
      <c r="DB479" s="24" t="n"/>
      <c r="DC479" s="24" t="n"/>
      <c r="DD479" s="24" t="n"/>
      <c r="DE479" s="24" t="n"/>
      <c r="DF479" s="24" t="n"/>
      <c r="DG479" s="24" t="n"/>
      <c r="DH479" s="24" t="n"/>
      <c r="DI479" s="24" t="n"/>
      <c r="DJ479" s="24" t="inlineStr">
        <is>
          <t>0.791667</t>
        </is>
      </c>
      <c r="DK479" s="24" t="n"/>
      <c r="DL479" s="24" t="n"/>
      <c r="DM479" s="24" t="n"/>
      <c r="DN479" s="24" t="n"/>
      <c r="DO479" s="24" t="n"/>
      <c r="DP479" s="24" t="n"/>
      <c r="DQ479" s="24" t="inlineStr">
        <is>
          <t>{"artifact_hash": "1d168f11d221cd3c", "event_id": "401856813", "event_start_utc": "2026-09-26T16:00Z", "features": {"altitude_fatigue_penalty": 0.0, "away_team": "Colorado Buffaloes", "efficiency_gap": -0.077, "elo_away": 1279.5, "elo_home": 1341.9, "elo_home_win_prob": 0.6756, "event_id": "401856813", "game_start_utc": "2026-09-26T16:00Z", "home_field_advantage_points": 2.8, "home_team": "Baylor Bears", "is_dome": false, "is_fbs_vs_fcs": false, "is_neutral_site": false, "projected_away_points": 23.9, "projected_home_points": 29.0, "projected_margin_home": 5.1, "projected_possessions": 12.4, "projected_total": 53.0, "stadium_elevation_ft": 400, "travel_distance_miles": 741.0, "uncertainty": 0.165, "weather_total_adjustment": 0.0}, "historical_source_observation_times_verified": false, "inference_inputs": {"engine_source_sha256": "449ba2f0e86fa9c445730076a0e0bf100fb4914620be53c75c6f3bfe24298f3f", "mu_away": 23.9, "mu_home": 29.0,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285073481208879893850573385794185687698}, "uinteger": 0}, "spread_home_line": -9.5, "total_line": 54.5}, "market_type": "moneyline", "model_version": "college-football-v1", "observed_at_utc": "2026-09-26T15:01:01.506546+00:00", "probabilities": {"away": 0.389275, "home": 0.610725}, "replay_scope": "Full precision score means, exact engine parameters and original RNG state; upstream feature construction not certified.", "schema": "cfb-joint-replay-v1", "snapshot_hash": "be56447e4a3ba0b0990f9601a79ab98daef6973ef15d26be7b9cc7b5afc99a25", "sport": "NCAAF"}</t>
        </is>
      </c>
    </row>
    <row r="480" ht="36" customHeight="1">
      <c r="A480" s="24" t="inlineStr">
        <is>
          <t>8580bf0578074788</t>
        </is>
      </c>
      <c r="B480" s="24" t="inlineStr">
        <is>
          <t>2026-09-26T15:01:01.506546Z</t>
        </is>
      </c>
      <c r="C480" s="24" t="inlineStr">
        <is>
          <t>2026-09-26T16:00Z</t>
        </is>
      </c>
      <c r="D480" s="24" t="inlineStr">
        <is>
          <t>401856813</t>
        </is>
      </c>
      <c r="E480" s="24" t="inlineStr">
        <is>
          <t>NCAAF</t>
        </is>
      </c>
      <c r="F480" s="24" t="inlineStr">
        <is>
          <t>Colorado Buffaloes</t>
        </is>
      </c>
      <c r="G480" s="24" t="inlineStr">
        <is>
          <t>Baylor Bears</t>
        </is>
      </c>
      <c r="H480" s="24" t="inlineStr">
        <is>
          <t>spread</t>
        </is>
      </c>
      <c r="I480" s="24" t="inlineStr">
        <is>
          <t>away</t>
        </is>
      </c>
      <c r="J480" s="25" t="n">
        <v>9.5</v>
      </c>
      <c r="K480" s="24" t="inlineStr">
        <is>
          <t>espn_consensus</t>
        </is>
      </c>
      <c r="L480" s="26" t="n">
        <v>-110</v>
      </c>
      <c r="M480" s="27" t="n">
        <v>1.909091</v>
      </c>
      <c r="N480" s="28" t="n">
        <v>0.52381</v>
      </c>
      <c r="O480" s="28" t="n">
        <v>0.593067</v>
      </c>
      <c r="P480" s="28" t="n">
        <v>0.165</v>
      </c>
      <c r="Q480" s="28" t="n">
        <v>0.069257</v>
      </c>
      <c r="R480" s="26" t="n">
        <v>0</v>
      </c>
      <c r="S480" s="29" t="n">
        <v>1</v>
      </c>
      <c r="T480" s="24" t="inlineStr">
        <is>
          <t>cfb-spread-v1</t>
        </is>
      </c>
      <c r="U480" s="24" t="inlineStr">
        <is>
          <t>settled</t>
        </is>
      </c>
      <c r="V480" s="24" t="inlineStr">
        <is>
          <t>loss</t>
        </is>
      </c>
      <c r="W480" s="26" t="n">
        <v>13</v>
      </c>
      <c r="X480" s="26" t="n">
        <v>23</v>
      </c>
      <c r="Y480" s="25" t="n"/>
      <c r="Z480" s="26" t="n"/>
      <c r="AA480" s="28" t="n"/>
      <c r="AB480" s="28" t="n"/>
      <c r="AC480" s="30" t="n">
        <v>-1</v>
      </c>
      <c r="AD480" s="24" t="inlineStr">
        <is>
          <t>2026-09-26T22:00:41.365232Z</t>
        </is>
      </c>
      <c r="AE480" s="31" t="inlineStr">
        <is>
          <t>Projected home margin +5.1 pts. Spread: Home -9.5 / Away +9.5 -&gt; P(Away cover)=0.593, P(Home cover)=0.407, P(Push)=0.000.</t>
        </is>
      </c>
      <c r="AF480" s="31" t="inlineStr">
        <is>
          <t>College football model; multi-market (moneyline, spread, total).</t>
        </is>
      </c>
      <c r="AG480" s="24" t="inlineStr">
        <is>
          <t>review_required</t>
        </is>
      </c>
      <c r="AH480" s="24" t="n"/>
      <c r="AI480" s="31" t="n"/>
      <c r="AJ480" s="31" t="n"/>
      <c r="AK480" s="24" t="inlineStr">
        <is>
          <t>model_qualified</t>
        </is>
      </c>
      <c r="AL480" s="26" t="n">
        <v>4</v>
      </c>
      <c r="AM480" s="24" t="inlineStr">
        <is>
          <t>QUALIFIED_SHADOW_CALL</t>
        </is>
      </c>
      <c r="AN480" s="24" t="inlineStr">
        <is>
          <t>CALL</t>
        </is>
      </c>
      <c r="AO480" s="24" t="inlineStr">
        <is>
          <t>QUALIFIED</t>
        </is>
      </c>
      <c r="AP480" s="24" t="inlineStr">
        <is>
          <t>Colorado Buffaloes</t>
        </is>
      </c>
      <c r="AQ480" s="24" t="inlineStr">
        <is>
          <t>Colorado Buffaloes</t>
        </is>
      </c>
      <c r="AR480" s="24" t="inlineStr">
        <is>
          <t>Colorado Buffaloes</t>
        </is>
      </c>
      <c r="AS480" s="24" t="inlineStr">
        <is>
          <t>Baylor Bears</t>
        </is>
      </c>
      <c r="AT480" s="24" t="inlineStr">
        <is>
          <t>Baylor Bears</t>
        </is>
      </c>
      <c r="AU480" s="24" t="inlineStr">
        <is>
          <t>Baylor Bears</t>
        </is>
      </c>
      <c r="AV480" s="24" t="n"/>
      <c r="AW480" s="24" t="n"/>
      <c r="AX480" s="24" t="inlineStr">
        <is>
          <t>statistical_model</t>
        </is>
      </c>
      <c r="AY480" s="24" t="n"/>
      <c r="AZ480" s="24" t="inlineStr">
        <is>
          <t>shadow_qualified</t>
        </is>
      </c>
      <c r="BA480" s="24" t="inlineStr">
        <is>
          <t>1d168f11d221cd3c</t>
        </is>
      </c>
      <c r="BB480" s="24" t="inlineStr">
        <is>
          <t>cfb_key_number_engine</t>
        </is>
      </c>
      <c r="BC480" s="24" t="inlineStr">
        <is>
          <t>cfb-spread-v1</t>
        </is>
      </c>
      <c r="BD480" s="24" t="inlineStr">
        <is>
          <t>1d168f11d221cd3c</t>
        </is>
      </c>
      <c r="BE480" s="24" t="inlineStr">
        <is>
          <t>cfb-v1</t>
        </is>
      </c>
      <c r="BF480" s="24" t="inlineStr">
        <is>
          <t>1</t>
        </is>
      </c>
      <c r="BG480" s="24" t="inlineStr">
        <is>
          <t>1d168f11d221cd3c</t>
        </is>
      </c>
      <c r="BH480" s="24" t="inlineStr">
        <is>
          <t>2026-09-26T15:01:01.506546+00:00</t>
        </is>
      </c>
      <c r="BI480" s="24" t="inlineStr">
        <is>
          <t>["same_event","same_team_same_day","same_league_same_day"]</t>
        </is>
      </c>
      <c r="BJ480" s="25" t="n">
        <v>9.5</v>
      </c>
      <c r="BK480" s="26" t="n">
        <v>-110</v>
      </c>
      <c r="BL480" s="27" t="n">
        <v>1.909091</v>
      </c>
      <c r="BM480" s="28" t="n">
        <v>0.52381</v>
      </c>
      <c r="BN480" s="28" t="n"/>
      <c r="BO480" s="28" t="n"/>
      <c r="BP480" s="25" t="n"/>
      <c r="BQ480" s="27" t="n"/>
      <c r="BR480" s="28" t="n"/>
      <c r="BS480" s="28" t="n"/>
      <c r="BT480" s="28" t="n"/>
      <c r="BU480" s="25" t="n"/>
      <c r="BV480" s="29" t="n"/>
      <c r="BW480" s="24" t="n"/>
      <c r="BX480" s="30" t="n"/>
      <c r="BY480" s="27" t="n"/>
      <c r="BZ480" s="24" t="n"/>
      <c r="CA480" s="31" t="n"/>
      <c r="CB480" s="24" t="n"/>
      <c r="CC480" s="24" t="n"/>
      <c r="CD480" s="24" t="n"/>
      <c r="CE480" s="24" t="n"/>
      <c r="CF480" s="24" t="n"/>
      <c r="CG480" s="24" t="n"/>
      <c r="CH480" s="24" t="n"/>
      <c r="CI480" s="24" t="n"/>
      <c r="CJ480" s="24" t="n"/>
      <c r="CK480" s="24" t="n"/>
      <c r="CL480" s="24" t="n"/>
      <c r="CM480" s="24" t="n"/>
      <c r="CN480" s="24" t="n"/>
      <c r="CO480" s="24" t="n"/>
      <c r="CP480" s="24" t="n"/>
      <c r="CQ480" s="24" t="n"/>
      <c r="CR480" s="24" t="n"/>
      <c r="CS480" s="24" t="inlineStr">
        <is>
          <t>True</t>
        </is>
      </c>
      <c r="CT480" s="24" t="n"/>
      <c r="CU480" s="24" t="n"/>
      <c r="CV480" s="24" t="n"/>
      <c r="CW480" s="24" t="n"/>
      <c r="CX480" s="24" t="n"/>
      <c r="CY480" s="24" t="n"/>
      <c r="CZ480" s="24" t="n"/>
      <c r="DA480" s="24" t="n"/>
      <c r="DB480" s="24" t="n"/>
      <c r="DC480" s="24" t="n"/>
      <c r="DD480" s="24" t="n"/>
      <c r="DE480" s="24" t="n"/>
      <c r="DF480" s="24" t="n"/>
      <c r="DG480" s="24" t="n"/>
      <c r="DH480" s="24" t="n"/>
      <c r="DI480" s="24" t="n"/>
      <c r="DJ480" s="24" t="inlineStr">
        <is>
          <t>0.52381</t>
        </is>
      </c>
      <c r="DK480" s="24" t="n"/>
      <c r="DL480" s="24" t="n"/>
      <c r="DM480" s="24" t="n"/>
      <c r="DN480" s="24" t="n"/>
      <c r="DO480" s="24" t="n"/>
      <c r="DP480" s="24" t="n"/>
      <c r="DQ480" s="24" t="inlineStr">
        <is>
          <t>{"artifact_hash": "1d168f11d221cd3c", "event_id": "401856813", "event_start_utc": "2026-09-26T16:00Z", "features": {"altitude_fatigue_penalty": 0.0, "away_team": "Colorado Buffaloes", "efficiency_gap": -0.077, "elo_away": 1279.5, "elo_home": 1341.9, "elo_home_win_prob": 0.6756, "event_id": "401856813", "game_start_utc": "2026-09-26T16:00Z", "home_field_advantage_points": 2.8, "home_team": "Baylor Bears", "is_dome": false, "is_fbs_vs_fcs": false, "is_neutral_site": false, "projected_away_points": 23.9, "projected_home_points": 29.0, "projected_margin_home": 5.1, "projected_possessions": 12.4, "projected_total": 53.0, "stadium_elevation_ft": 400, "travel_distance_miles": 741.0, "uncertainty": 0.165, "weather_total_adjustment": 0.0}, "historical_source_observation_times_verified": false, "inference_inputs": {"engine_source_sha256": "449ba2f0e86fa9c445730076a0e0bf100fb4914620be53c75c6f3bfe24298f3f", "mu_away": 23.9, "mu_home": 29.0,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285073481208879893850573385794185687698}, "uinteger": 0}, "spread_home_line": -9.5, "total_line": 54.5}, "market_type": "spread", "model_version": "cfb-spread-v1", "observed_at_utc": "2026-09-26T15:01:01.506546+00:00", "probabilities": {"away": 0.593067, "home": 0.406933, "push": 0.0}, "replay_scope": "Full precision score means, exact engine parameters and original RNG state; upstream feature construction not certified.", "schema": "cfb-joint-replay-v1", "snapshot_hash": "50d19cb236990b28828b6103b6d4c72dcd02a555d5a392590f13eef69a14e30a", "sport": "NCAAF"}</t>
        </is>
      </c>
    </row>
    <row r="481" ht="36" customHeight="1">
      <c r="A481" s="24" t="inlineStr">
        <is>
          <t>42dc2663a732466b</t>
        </is>
      </c>
      <c r="B481" s="24" t="inlineStr">
        <is>
          <t>2026-09-26T15:01:01.506546Z</t>
        </is>
      </c>
      <c r="C481" s="24" t="inlineStr">
        <is>
          <t>2026-09-26T16:00Z</t>
        </is>
      </c>
      <c r="D481" s="24" t="inlineStr">
        <is>
          <t>401856813</t>
        </is>
      </c>
      <c r="E481" s="24" t="inlineStr">
        <is>
          <t>NCAAF</t>
        </is>
      </c>
      <c r="F481" s="24" t="inlineStr">
        <is>
          <t>Colorado Buffaloes</t>
        </is>
      </c>
      <c r="G481" s="24" t="inlineStr">
        <is>
          <t>Baylor Bears</t>
        </is>
      </c>
      <c r="H481" s="24" t="inlineStr">
        <is>
          <t>total</t>
        </is>
      </c>
      <c r="I481" s="24" t="inlineStr">
        <is>
          <t>under</t>
        </is>
      </c>
      <c r="J481" s="25" t="n">
        <v>54.5</v>
      </c>
      <c r="K481" s="24" t="inlineStr">
        <is>
          <t>espn_consensus</t>
        </is>
      </c>
      <c r="L481" s="26" t="n">
        <v>-102</v>
      </c>
      <c r="M481" s="27" t="n">
        <v>1.980392</v>
      </c>
      <c r="N481" s="28" t="n">
        <v>0.50495</v>
      </c>
      <c r="O481" s="28" t="n">
        <v>0.559867</v>
      </c>
      <c r="P481" s="28" t="n">
        <v>0.165</v>
      </c>
      <c r="Q481" s="28" t="n">
        <v>0.054917</v>
      </c>
      <c r="R481" s="26" t="n">
        <v>0</v>
      </c>
      <c r="S481" s="29" t="n">
        <v>1</v>
      </c>
      <c r="T481" s="24" t="inlineStr">
        <is>
          <t>cfb-total-v1</t>
        </is>
      </c>
      <c r="U481" s="24" t="inlineStr">
        <is>
          <t>settled</t>
        </is>
      </c>
      <c r="V481" s="24" t="inlineStr">
        <is>
          <t>win</t>
        </is>
      </c>
      <c r="W481" s="26" t="n">
        <v>13</v>
      </c>
      <c r="X481" s="26" t="n">
        <v>23</v>
      </c>
      <c r="Y481" s="25" t="n"/>
      <c r="Z481" s="26" t="n"/>
      <c r="AA481" s="28" t="n"/>
      <c r="AB481" s="28" t="n"/>
      <c r="AC481" s="30" t="n">
        <v>0.9804</v>
      </c>
      <c r="AD481" s="24" t="inlineStr">
        <is>
          <t>2026-09-26T22:00:41.920808Z</t>
        </is>
      </c>
      <c r="AE481" s="31" t="inlineStr">
        <is>
          <t>Projected total 53.0 pts (Weather adj: +0.0 pts). Total line 54.5 -&gt; P(Over)=0.440, P(Under)=0.560, P(Push)=0.000.</t>
        </is>
      </c>
      <c r="AF481" s="31" t="inlineStr">
        <is>
          <t>College football model; multi-market (moneyline, spread, total).</t>
        </is>
      </c>
      <c r="AG481" s="24" t="inlineStr">
        <is>
          <t>not_applicable</t>
        </is>
      </c>
      <c r="AH481" s="24" t="n"/>
      <c r="AI481" s="31" t="n"/>
      <c r="AJ481" s="31" t="n"/>
      <c r="AK481" s="24" t="inlineStr">
        <is>
          <t>model_qualified</t>
        </is>
      </c>
      <c r="AL481" s="26" t="n">
        <v>4</v>
      </c>
      <c r="AM481" s="24" t="inlineStr">
        <is>
          <t>QUALIFIED_SHADOW_CALL</t>
        </is>
      </c>
      <c r="AN481" s="24" t="inlineStr">
        <is>
          <t>CALL</t>
        </is>
      </c>
      <c r="AO481" s="24" t="inlineStr">
        <is>
          <t>QUALIFIED</t>
        </is>
      </c>
      <c r="AP481" s="24" t="inlineStr">
        <is>
          <t>Colorado Buffaloes</t>
        </is>
      </c>
      <c r="AQ481" s="24" t="inlineStr">
        <is>
          <t>Colorado Buffaloes</t>
        </is>
      </c>
      <c r="AR481" s="24" t="inlineStr">
        <is>
          <t>Colorado Buffaloes</t>
        </is>
      </c>
      <c r="AS481" s="24" t="inlineStr">
        <is>
          <t>Baylor Bears</t>
        </is>
      </c>
      <c r="AT481" s="24" t="inlineStr">
        <is>
          <t>Baylor Bears</t>
        </is>
      </c>
      <c r="AU481" s="24" t="inlineStr">
        <is>
          <t>Baylor Bears</t>
        </is>
      </c>
      <c r="AV481" s="24" t="n"/>
      <c r="AW481" s="24" t="n"/>
      <c r="AX481" s="24" t="inlineStr">
        <is>
          <t>statistical_model</t>
        </is>
      </c>
      <c r="AY481" s="24" t="n"/>
      <c r="AZ481" s="24" t="inlineStr">
        <is>
          <t>shadow_qualified</t>
        </is>
      </c>
      <c r="BA481" s="24" t="inlineStr">
        <is>
          <t>1d168f11d221cd3c</t>
        </is>
      </c>
      <c r="BB481" s="24" t="inlineStr">
        <is>
          <t>cfb_key_number_engine</t>
        </is>
      </c>
      <c r="BC481" s="24" t="inlineStr">
        <is>
          <t>cfb-total-v1</t>
        </is>
      </c>
      <c r="BD481" s="24" t="inlineStr">
        <is>
          <t>1d168f11d221cd3c</t>
        </is>
      </c>
      <c r="BE481" s="24" t="inlineStr">
        <is>
          <t>cfb-v1</t>
        </is>
      </c>
      <c r="BF481" s="24" t="inlineStr">
        <is>
          <t>1</t>
        </is>
      </c>
      <c r="BG481" s="24" t="inlineStr">
        <is>
          <t>1d168f11d221cd3c</t>
        </is>
      </c>
      <c r="BH481" s="24" t="inlineStr">
        <is>
          <t>2026-09-26T15:01:01.506546+00:00</t>
        </is>
      </c>
      <c r="BI481" s="24" t="inlineStr">
        <is>
          <t>["same_event","same_team_same_day","same_league_same_day"]</t>
        </is>
      </c>
      <c r="BJ481" s="25" t="n">
        <v>54.5</v>
      </c>
      <c r="BK481" s="26" t="n">
        <v>-102</v>
      </c>
      <c r="BL481" s="27" t="n">
        <v>1.980392</v>
      </c>
      <c r="BM481" s="28" t="n">
        <v>0.50495</v>
      </c>
      <c r="BN481" s="28" t="n"/>
      <c r="BO481" s="28" t="n"/>
      <c r="BP481" s="25" t="n"/>
      <c r="BQ481" s="27" t="n"/>
      <c r="BR481" s="28" t="n"/>
      <c r="BS481" s="28" t="n"/>
      <c r="BT481" s="28" t="n"/>
      <c r="BU481" s="25" t="n"/>
      <c r="BV481" s="29" t="n"/>
      <c r="BW481" s="24" t="n"/>
      <c r="BX481" s="30" t="n"/>
      <c r="BY481" s="27" t="n"/>
      <c r="BZ481" s="24" t="n"/>
      <c r="CA481" s="31" t="n"/>
      <c r="CB481" s="24" t="n"/>
      <c r="CC481" s="24" t="n"/>
      <c r="CD481" s="24" t="n"/>
      <c r="CE481" s="24" t="n"/>
      <c r="CF481" s="24" t="n"/>
      <c r="CG481" s="24" t="n"/>
      <c r="CH481" s="24" t="n"/>
      <c r="CI481" s="24" t="n"/>
      <c r="CJ481" s="24" t="n"/>
      <c r="CK481" s="24" t="n"/>
      <c r="CL481" s="24" t="n"/>
      <c r="CM481" s="24" t="n"/>
      <c r="CN481" s="24" t="n"/>
      <c r="CO481" s="24" t="n"/>
      <c r="CP481" s="24" t="n"/>
      <c r="CQ481" s="24" t="n"/>
      <c r="CR481" s="24" t="n"/>
      <c r="CS481" s="24" t="inlineStr">
        <is>
          <t>True</t>
        </is>
      </c>
      <c r="CT481" s="24" t="n"/>
      <c r="CU481" s="24" t="n"/>
      <c r="CV481" s="24" t="n"/>
      <c r="CW481" s="24" t="n"/>
      <c r="CX481" s="24" t="n"/>
      <c r="CY481" s="24" t="n"/>
      <c r="CZ481" s="24" t="n"/>
      <c r="DA481" s="24" t="n"/>
      <c r="DB481" s="24" t="n"/>
      <c r="DC481" s="24" t="n"/>
      <c r="DD481" s="24" t="n"/>
      <c r="DE481" s="24" t="n"/>
      <c r="DF481" s="24" t="n"/>
      <c r="DG481" s="24" t="n"/>
      <c r="DH481" s="24" t="n"/>
      <c r="DI481" s="24" t="n"/>
      <c r="DJ481" s="24" t="inlineStr">
        <is>
          <t>0.50495</t>
        </is>
      </c>
      <c r="DK481" s="24" t="n"/>
      <c r="DL481" s="24" t="n"/>
      <c r="DM481" s="24" t="n"/>
      <c r="DN481" s="24" t="n"/>
      <c r="DO481" s="24" t="n"/>
      <c r="DP481" s="24" t="n"/>
      <c r="DQ481" s="24" t="inlineStr">
        <is>
          <t>{"artifact_hash": "1d168f11d221cd3c", "event_id": "401856813", "event_start_utc": "2026-09-26T16:00Z", "features": {"altitude_fatigue_penalty": 0.0, "away_team": "Colorado Buffaloes", "efficiency_gap": -0.077, "elo_away": 1279.5, "elo_home": 1341.9, "elo_home_win_prob": 0.6756, "event_id": "401856813", "game_start_utc": "2026-09-26T16:00Z", "home_field_advantage_points": 2.8, "home_team": "Baylor Bears", "is_dome": false, "is_fbs_vs_fcs": false, "is_neutral_site": false, "projected_away_points": 23.9, "projected_home_points": 29.0, "projected_margin_home": 5.1, "projected_possessions": 12.4, "projected_total": 53.0, "stadium_elevation_ft": 400, "travel_distance_miles": 741.0, "uncertainty": 0.165, "weather_total_adjustment": 0.0}, "historical_source_observation_times_verified": false, "inference_inputs": {"engine_source_sha256": "449ba2f0e86fa9c445730076a0e0bf100fb4914620be53c75c6f3bfe24298f3f", "mu_away": 23.9, "mu_home": 29.0,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285073481208879893850573385794185687698}, "uinteger": 0}, "spread_home_line": -9.5, "total_line": 54.5}, "market_type": "total", "model_version": "cfb-total-v1", "observed_at_utc": "2026-09-26T15:01:01.506546+00:00", "probabilities": {"over": 0.440133, "push": 0.0, "under": 0.559867}, "replay_scope": "Full precision score means, exact engine parameters and original RNG state; upstream feature construction not certified.", "schema": "cfb-joint-replay-v1", "snapshot_hash": "75225b664059ec139a1052848fce3edca9b14ffce7453befae50e5dc8f15be79", "sport": "NCAAF"}</t>
        </is>
      </c>
    </row>
    <row r="482" ht="36" customHeight="1">
      <c r="A482" s="24" t="inlineStr">
        <is>
          <t>22aa5de718a44986</t>
        </is>
      </c>
      <c r="B482" s="24" t="inlineStr">
        <is>
          <t>2026-09-26T15:01:01.506546Z</t>
        </is>
      </c>
      <c r="C482" s="24" t="inlineStr">
        <is>
          <t>2026-09-26T16:00Z</t>
        </is>
      </c>
      <c r="D482" s="24" t="inlineStr">
        <is>
          <t>401858236</t>
        </is>
      </c>
      <c r="E482" s="24" t="inlineStr">
        <is>
          <t>NCAAF</t>
        </is>
      </c>
      <c r="F482" s="24" t="inlineStr">
        <is>
          <t>Bucknell Bison</t>
        </is>
      </c>
      <c r="G482" s="24" t="inlineStr">
        <is>
          <t>Pittsburgh Panthers</t>
        </is>
      </c>
      <c r="H482" s="24" t="inlineStr">
        <is>
          <t>spread</t>
        </is>
      </c>
      <c r="I482" s="24" t="inlineStr">
        <is>
          <t>away</t>
        </is>
      </c>
      <c r="J482" s="25" t="n">
        <v>53.5</v>
      </c>
      <c r="K482" s="24" t="inlineStr">
        <is>
          <t>espn_consensus</t>
        </is>
      </c>
      <c r="L482" s="26" t="n">
        <v>-105</v>
      </c>
      <c r="M482" s="27" t="n">
        <v>1.952381</v>
      </c>
      <c r="N482" s="28" t="n">
        <v>0.512195</v>
      </c>
      <c r="O482" s="28" t="n">
        <v>0.971933</v>
      </c>
      <c r="P482" s="28" t="n">
        <v>0.18</v>
      </c>
      <c r="Q482" s="28" t="n">
        <v>0.459738</v>
      </c>
      <c r="R482" s="26" t="n">
        <v>100</v>
      </c>
      <c r="S482" s="29" t="n">
        <v>2</v>
      </c>
      <c r="T482" s="24" t="inlineStr">
        <is>
          <t>cfb-spread-v1</t>
        </is>
      </c>
      <c r="U482" s="24" t="inlineStr">
        <is>
          <t>settled</t>
        </is>
      </c>
      <c r="V482" s="24" t="inlineStr">
        <is>
          <t>loss</t>
        </is>
      </c>
      <c r="W482" s="26" t="n">
        <v>0</v>
      </c>
      <c r="X482" s="26" t="n">
        <v>59</v>
      </c>
      <c r="Y482" s="25" t="n"/>
      <c r="Z482" s="26" t="n"/>
      <c r="AA482" s="28" t="n"/>
      <c r="AB482" s="28" t="n"/>
      <c r="AC482" s="30" t="n">
        <v>-2</v>
      </c>
      <c r="AD482" s="24" t="inlineStr">
        <is>
          <t>2026-09-26T22:00:42.478201Z</t>
        </is>
      </c>
      <c r="AE482" s="31" t="inlineStr">
        <is>
          <t>Projected home margin +12.4 pts. Spread: Home -53.5 / Away +53.5 -&gt; P(Away cover)=0.972, P(Home cover)=0.028, P(Push)=0.000.</t>
        </is>
      </c>
      <c r="AF482" s="31" t="inlineStr">
        <is>
          <t>College football model; multi-market (moneyline, spread, total).</t>
        </is>
      </c>
      <c r="AG482" s="24" t="inlineStr">
        <is>
          <t>review_required</t>
        </is>
      </c>
      <c r="AH482" s="24" t="n"/>
      <c r="AI482" s="31" t="n"/>
      <c r="AJ482" s="31" t="n"/>
      <c r="AK482" s="24" t="inlineStr">
        <is>
          <t>model_qualified</t>
        </is>
      </c>
      <c r="AL482" s="26" t="n">
        <v>4</v>
      </c>
      <c r="AM482" s="24" t="inlineStr">
        <is>
          <t>QUALIFIED_SHADOW_CALL</t>
        </is>
      </c>
      <c r="AN482" s="24" t="inlineStr">
        <is>
          <t>CALL</t>
        </is>
      </c>
      <c r="AO482" s="24" t="inlineStr">
        <is>
          <t>QUALIFIED</t>
        </is>
      </c>
      <c r="AP482" s="24" t="inlineStr">
        <is>
          <t>Bucknell Bison</t>
        </is>
      </c>
      <c r="AQ482" s="24" t="inlineStr">
        <is>
          <t>Bucknell Bison</t>
        </is>
      </c>
      <c r="AR482" s="24" t="inlineStr">
        <is>
          <t>Bucknell Bison</t>
        </is>
      </c>
      <c r="AS482" s="24" t="inlineStr">
        <is>
          <t>Pittsburgh Panthers</t>
        </is>
      </c>
      <c r="AT482" s="24" t="inlineStr">
        <is>
          <t>Pittsburgh Panthers</t>
        </is>
      </c>
      <c r="AU482" s="24" t="inlineStr">
        <is>
          <t>Pittsburgh Panthers</t>
        </is>
      </c>
      <c r="AV482" s="24" t="n"/>
      <c r="AW482" s="24" t="n"/>
      <c r="AX482" s="24" t="inlineStr">
        <is>
          <t>statistical_model</t>
        </is>
      </c>
      <c r="AY482" s="24" t="n"/>
      <c r="AZ482" s="24" t="inlineStr">
        <is>
          <t>shadow_qualified</t>
        </is>
      </c>
      <c r="BA482" s="24" t="inlineStr">
        <is>
          <t>1d168f11d221cd3c</t>
        </is>
      </c>
      <c r="BB482" s="24" t="inlineStr">
        <is>
          <t>cfb_key_number_engine</t>
        </is>
      </c>
      <c r="BC482" s="24" t="inlineStr">
        <is>
          <t>cfb-spread-v1</t>
        </is>
      </c>
      <c r="BD482" s="24" t="inlineStr">
        <is>
          <t>1d168f11d221cd3c</t>
        </is>
      </c>
      <c r="BE482" s="24" t="inlineStr">
        <is>
          <t>cfb-v1</t>
        </is>
      </c>
      <c r="BF482" s="24" t="inlineStr">
        <is>
          <t>1</t>
        </is>
      </c>
      <c r="BG482" s="24" t="inlineStr">
        <is>
          <t>1d168f11d221cd3c</t>
        </is>
      </c>
      <c r="BH482" s="24" t="inlineStr">
        <is>
          <t>2026-09-26T15:01:01.506546+00:00</t>
        </is>
      </c>
      <c r="BI482" s="24" t="inlineStr">
        <is>
          <t>["same_event","same_team_same_day","same_league_same_day"]</t>
        </is>
      </c>
      <c r="BJ482" s="25" t="n">
        <v>53.5</v>
      </c>
      <c r="BK482" s="26" t="n">
        <v>-105</v>
      </c>
      <c r="BL482" s="27" t="n">
        <v>1.952381</v>
      </c>
      <c r="BM482" s="28" t="n">
        <v>0.512195</v>
      </c>
      <c r="BN482" s="28" t="n"/>
      <c r="BO482" s="28" t="n"/>
      <c r="BP482" s="25" t="n"/>
      <c r="BQ482" s="27" t="n"/>
      <c r="BR482" s="28" t="n"/>
      <c r="BS482" s="28" t="n"/>
      <c r="BT482" s="28" t="n"/>
      <c r="BU482" s="25" t="n"/>
      <c r="BV482" s="29" t="n"/>
      <c r="BW482" s="24" t="n"/>
      <c r="BX482" s="30" t="n"/>
      <c r="BY482" s="27" t="n"/>
      <c r="BZ482" s="24" t="n"/>
      <c r="CA482" s="31" t="n"/>
      <c r="CB482" s="24" t="n"/>
      <c r="CC482" s="24" t="n"/>
      <c r="CD482" s="24" t="n"/>
      <c r="CE482" s="24" t="n"/>
      <c r="CF482" s="24" t="n"/>
      <c r="CG482" s="24" t="n"/>
      <c r="CH482" s="24" t="n"/>
      <c r="CI482" s="24" t="n"/>
      <c r="CJ482" s="24" t="n"/>
      <c r="CK482" s="24" t="n"/>
      <c r="CL482" s="24" t="n"/>
      <c r="CM482" s="24" t="n"/>
      <c r="CN482" s="24" t="n"/>
      <c r="CO482" s="24" t="n"/>
      <c r="CP482" s="24" t="n"/>
      <c r="CQ482" s="24" t="n"/>
      <c r="CR482" s="24" t="n"/>
      <c r="CS482" s="24" t="inlineStr">
        <is>
          <t>True</t>
        </is>
      </c>
      <c r="CT482" s="24" t="n"/>
      <c r="CU482" s="24" t="n"/>
      <c r="CV482" s="24" t="n"/>
      <c r="CW482" s="24" t="n"/>
      <c r="CX482" s="24" t="n"/>
      <c r="CY482" s="24" t="n"/>
      <c r="CZ482" s="24" t="n"/>
      <c r="DA482" s="24" t="n"/>
      <c r="DB482" s="24" t="n"/>
      <c r="DC482" s="24" t="n"/>
      <c r="DD482" s="24" t="n"/>
      <c r="DE482" s="24" t="n"/>
      <c r="DF482" s="24" t="n"/>
      <c r="DG482" s="24" t="n"/>
      <c r="DH482" s="24" t="n"/>
      <c r="DI482" s="24" t="n"/>
      <c r="DJ482" s="24" t="inlineStr">
        <is>
          <t>0.512195</t>
        </is>
      </c>
      <c r="DK482" s="24" t="n"/>
      <c r="DL482" s="24" t="n"/>
      <c r="DM482" s="24" t="n"/>
      <c r="DN482" s="24" t="n"/>
      <c r="DO482" s="24" t="n"/>
      <c r="DP482" s="24" t="n"/>
      <c r="DQ482" s="24" t="inlineStr">
        <is>
          <t>{"artifact_hash": "1d168f11d221cd3c", "event_id": "401858236", "event_start_utc": "2026-09-26T16:00Z", "features": {"altitude_fatigue_penalty": 0.0, "away_team": "Bucknell Bison", "efficiency_gap": 2.784, "elo_away": 1337.5, "elo_home": 1575.2, "elo_home_win_prob": 0.851, "event_id": "401858236", "game_start_utc": "2026-09-26T16:00Z", "home_field_advantage_points": 2.8, "home_team": "Pittsburgh Panthers", "is_dome": false, "is_fbs_vs_fcs": false, "is_neutral_site": false, "projected_away_points": 21.5, "projected_home_points": 33.8, "projected_margin_home": 12.4, "projected_possessions": 12.4, "projected_total": 55.3,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21.5, "mu_home": 33.8,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309581034808410133681115013257155420217}, "uinteger": 0}, "spread_home_line": -53.5, "total_line": 62.5}, "market_type": "spread", "model_version": "cfb-spread-v1", "observed_at_utc": "2026-09-26T15:01:01.506546+00:00", "probabilities": {"away": 0.971933, "home": 0.028067, "push": 0.0}, "replay_scope": "Full precision score means, exact engine parameters and original RNG state; upstream feature construction not certified.", "schema": "cfb-joint-replay-v1", "snapshot_hash": "c5b7556061d0a1129ed06b45bc8b7b292b5a318053df89a154948425ae3f2ab5", "sport": "NCAAF"}</t>
        </is>
      </c>
    </row>
    <row r="483" ht="36" customHeight="1">
      <c r="A483" s="24" t="inlineStr">
        <is>
          <t>c0aa8f28750544c5</t>
        </is>
      </c>
      <c r="B483" s="24" t="inlineStr">
        <is>
          <t>2026-09-26T15:01:01.506546Z</t>
        </is>
      </c>
      <c r="C483" s="24" t="inlineStr">
        <is>
          <t>2026-09-26T16:00Z</t>
        </is>
      </c>
      <c r="D483" s="24" t="inlineStr">
        <is>
          <t>401858236</t>
        </is>
      </c>
      <c r="E483" s="24" t="inlineStr">
        <is>
          <t>NCAAF</t>
        </is>
      </c>
      <c r="F483" s="24" t="inlineStr">
        <is>
          <t>Bucknell Bison</t>
        </is>
      </c>
      <c r="G483" s="24" t="inlineStr">
        <is>
          <t>Pittsburgh Panthers</t>
        </is>
      </c>
      <c r="H483" s="24" t="inlineStr">
        <is>
          <t>total</t>
        </is>
      </c>
      <c r="I483" s="24" t="inlineStr">
        <is>
          <t>under</t>
        </is>
      </c>
      <c r="J483" s="25" t="n">
        <v>62.5</v>
      </c>
      <c r="K483" s="24" t="inlineStr">
        <is>
          <t>espn_consensus</t>
        </is>
      </c>
      <c r="L483" s="26" t="n">
        <v>-105</v>
      </c>
      <c r="M483" s="27" t="n">
        <v>1.952381</v>
      </c>
      <c r="N483" s="28" t="n">
        <v>0.512195</v>
      </c>
      <c r="O483" s="28" t="n">
        <v>0.6371329999999999</v>
      </c>
      <c r="P483" s="28" t="n">
        <v>0.18</v>
      </c>
      <c r="Q483" s="28" t="n">
        <v>0.124938</v>
      </c>
      <c r="R483" s="26" t="n">
        <v>4</v>
      </c>
      <c r="S483" s="29" t="n">
        <v>1</v>
      </c>
      <c r="T483" s="24" t="inlineStr">
        <is>
          <t>cfb-total-v1</t>
        </is>
      </c>
      <c r="U483" s="24" t="inlineStr">
        <is>
          <t>settled</t>
        </is>
      </c>
      <c r="V483" s="24" t="inlineStr">
        <is>
          <t>win</t>
        </is>
      </c>
      <c r="W483" s="26" t="n">
        <v>0</v>
      </c>
      <c r="X483" s="26" t="n">
        <v>59</v>
      </c>
      <c r="Y483" s="25" t="n"/>
      <c r="Z483" s="26" t="n"/>
      <c r="AA483" s="28" t="n"/>
      <c r="AB483" s="28" t="n"/>
      <c r="AC483" s="30" t="n">
        <v>0.9524</v>
      </c>
      <c r="AD483" s="24" t="inlineStr">
        <is>
          <t>2026-09-26T22:00:43.087265Z</t>
        </is>
      </c>
      <c r="AE483" s="31" t="inlineStr">
        <is>
          <t>Projected total 55.3 pts (Weather adj: +0.0 pts). Total line 62.5 -&gt; P(Over)=0.363, P(Under)=0.637, P(Push)=0.000.</t>
        </is>
      </c>
      <c r="AF483" s="31" t="inlineStr">
        <is>
          <t>College football model; multi-market (moneyline, spread, total).</t>
        </is>
      </c>
      <c r="AG483" s="24" t="inlineStr">
        <is>
          <t>not_applicable</t>
        </is>
      </c>
      <c r="AH483" s="24" t="n"/>
      <c r="AI483" s="31" t="n"/>
      <c r="AJ483" s="31" t="n"/>
      <c r="AK483" s="24" t="inlineStr">
        <is>
          <t>model_qualified</t>
        </is>
      </c>
      <c r="AL483" s="26" t="n">
        <v>4</v>
      </c>
      <c r="AM483" s="24" t="inlineStr">
        <is>
          <t>QUALIFIED_SHADOW_CALL</t>
        </is>
      </c>
      <c r="AN483" s="24" t="inlineStr">
        <is>
          <t>CALL</t>
        </is>
      </c>
      <c r="AO483" s="24" t="inlineStr">
        <is>
          <t>QUALIFIED</t>
        </is>
      </c>
      <c r="AP483" s="24" t="inlineStr">
        <is>
          <t>Bucknell Bison</t>
        </is>
      </c>
      <c r="AQ483" s="24" t="inlineStr">
        <is>
          <t>Bucknell Bison</t>
        </is>
      </c>
      <c r="AR483" s="24" t="inlineStr">
        <is>
          <t>Bucknell Bison</t>
        </is>
      </c>
      <c r="AS483" s="24" t="inlineStr">
        <is>
          <t>Pittsburgh Panthers</t>
        </is>
      </c>
      <c r="AT483" s="24" t="inlineStr">
        <is>
          <t>Pittsburgh Panthers</t>
        </is>
      </c>
      <c r="AU483" s="24" t="inlineStr">
        <is>
          <t>Pittsburgh Panthers</t>
        </is>
      </c>
      <c r="AV483" s="24" t="n"/>
      <c r="AW483" s="24" t="n"/>
      <c r="AX483" s="24" t="inlineStr">
        <is>
          <t>statistical_model</t>
        </is>
      </c>
      <c r="AY483" s="24" t="n"/>
      <c r="AZ483" s="24" t="inlineStr">
        <is>
          <t>shadow_qualified</t>
        </is>
      </c>
      <c r="BA483" s="24" t="inlineStr">
        <is>
          <t>1d168f11d221cd3c</t>
        </is>
      </c>
      <c r="BB483" s="24" t="inlineStr">
        <is>
          <t>cfb_key_number_engine</t>
        </is>
      </c>
      <c r="BC483" s="24" t="inlineStr">
        <is>
          <t>cfb-total-v1</t>
        </is>
      </c>
      <c r="BD483" s="24" t="inlineStr">
        <is>
          <t>1d168f11d221cd3c</t>
        </is>
      </c>
      <c r="BE483" s="24" t="inlineStr">
        <is>
          <t>cfb-v1</t>
        </is>
      </c>
      <c r="BF483" s="24" t="inlineStr">
        <is>
          <t>1</t>
        </is>
      </c>
      <c r="BG483" s="24" t="inlineStr">
        <is>
          <t>1d168f11d221cd3c</t>
        </is>
      </c>
      <c r="BH483" s="24" t="inlineStr">
        <is>
          <t>2026-09-26T15:01:01.506546+00:00</t>
        </is>
      </c>
      <c r="BI483" s="24" t="inlineStr">
        <is>
          <t>["same_event","same_team_same_day","same_league_same_day"]</t>
        </is>
      </c>
      <c r="BJ483" s="25" t="n">
        <v>62.5</v>
      </c>
      <c r="BK483" s="26" t="n">
        <v>-105</v>
      </c>
      <c r="BL483" s="27" t="n">
        <v>1.952381</v>
      </c>
      <c r="BM483" s="28" t="n">
        <v>0.512195</v>
      </c>
      <c r="BN483" s="28" t="n"/>
      <c r="BO483" s="28" t="n"/>
      <c r="BP483" s="25" t="n"/>
      <c r="BQ483" s="27" t="n"/>
      <c r="BR483" s="28" t="n"/>
      <c r="BS483" s="28" t="n"/>
      <c r="BT483" s="28" t="n"/>
      <c r="BU483" s="25" t="n"/>
      <c r="BV483" s="29" t="n"/>
      <c r="BW483" s="24" t="n"/>
      <c r="BX483" s="30" t="n"/>
      <c r="BY483" s="27" t="n"/>
      <c r="BZ483" s="24" t="n"/>
      <c r="CA483" s="31" t="n"/>
      <c r="CB483" s="24" t="n"/>
      <c r="CC483" s="24" t="n"/>
      <c r="CD483" s="24" t="n"/>
      <c r="CE483" s="24" t="n"/>
      <c r="CF483" s="24" t="n"/>
      <c r="CG483" s="24" t="n"/>
      <c r="CH483" s="24" t="n"/>
      <c r="CI483" s="24" t="n"/>
      <c r="CJ483" s="24" t="n"/>
      <c r="CK483" s="24" t="n"/>
      <c r="CL483" s="24" t="n"/>
      <c r="CM483" s="24" t="n"/>
      <c r="CN483" s="24" t="n"/>
      <c r="CO483" s="24" t="n"/>
      <c r="CP483" s="24" t="n"/>
      <c r="CQ483" s="24" t="n"/>
      <c r="CR483" s="24" t="n"/>
      <c r="CS483" s="24" t="inlineStr">
        <is>
          <t>True</t>
        </is>
      </c>
      <c r="CT483" s="24" t="n"/>
      <c r="CU483" s="24" t="n"/>
      <c r="CV483" s="24" t="n"/>
      <c r="CW483" s="24" t="n"/>
      <c r="CX483" s="24" t="n"/>
      <c r="CY483" s="24" t="n"/>
      <c r="CZ483" s="24" t="n"/>
      <c r="DA483" s="24" t="n"/>
      <c r="DB483" s="24" t="n"/>
      <c r="DC483" s="24" t="n"/>
      <c r="DD483" s="24" t="n"/>
      <c r="DE483" s="24" t="n"/>
      <c r="DF483" s="24" t="n"/>
      <c r="DG483" s="24" t="n"/>
      <c r="DH483" s="24" t="n"/>
      <c r="DI483" s="24" t="n"/>
      <c r="DJ483" s="24" t="inlineStr">
        <is>
          <t>0.512195</t>
        </is>
      </c>
      <c r="DK483" s="24" t="n"/>
      <c r="DL483" s="24" t="n"/>
      <c r="DM483" s="24" t="n"/>
      <c r="DN483" s="24" t="n"/>
      <c r="DO483" s="24" t="n"/>
      <c r="DP483" s="24" t="n"/>
      <c r="DQ483" s="24" t="inlineStr">
        <is>
          <t>{"artifact_hash": "1d168f11d221cd3c", "event_id": "401858236", "event_start_utc": "2026-09-26T16:00Z", "features": {"altitude_fatigue_penalty": 0.0, "away_team": "Bucknell Bison", "efficiency_gap": 2.784, "elo_away": 1337.5, "elo_home": 1575.2, "elo_home_win_prob": 0.851, "event_id": "401858236", "game_start_utc": "2026-09-26T16:00Z", "home_field_advantage_points": 2.8, "home_team": "Pittsburgh Panthers", "is_dome": false, "is_fbs_vs_fcs": false, "is_neutral_site": false, "projected_away_points": 21.5, "projected_home_points": 33.8, "projected_margin_home": 12.4, "projected_possessions": 12.4, "projected_total": 55.3,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21.5, "mu_home": 33.8,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309581034808410133681115013257155420217}, "uinteger": 0}, "spread_home_line": -53.5, "total_line": 62.5}, "market_type": "total", "model_version": "cfb-total-v1", "observed_at_utc": "2026-09-26T15:01:01.506546+00:00", "probabilities": {"over": 0.362867, "push": 0.0, "under": 0.637133}, "replay_scope": "Full precision score means, exact engine parameters and original RNG state; upstream feature construction not certified.", "schema": "cfb-joint-replay-v1", "snapshot_hash": "49b72f086d6eebe59c5ff01835b9f86e219179ee8e0e4f0e13827713fc3c1519", "sport": "NCAAF"}</t>
        </is>
      </c>
    </row>
    <row r="484" ht="36" customHeight="1">
      <c r="A484" s="24" t="inlineStr">
        <is>
          <t>7e8559864c9a4893</t>
        </is>
      </c>
      <c r="B484" s="24" t="inlineStr">
        <is>
          <t>2026-09-26T15:01:01.506546Z</t>
        </is>
      </c>
      <c r="C484" s="24" t="inlineStr">
        <is>
          <t>2026-09-26T16:00Z</t>
        </is>
      </c>
      <c r="D484" s="24" t="inlineStr">
        <is>
          <t>401858242</t>
        </is>
      </c>
      <c r="E484" s="24" t="inlineStr">
        <is>
          <t>NCAAF</t>
        </is>
      </c>
      <c r="F484" s="24" t="inlineStr">
        <is>
          <t>Virginia Tech Hokies</t>
        </is>
      </c>
      <c r="G484" s="24" t="inlineStr">
        <is>
          <t>Boston College Eagles</t>
        </is>
      </c>
      <c r="H484" s="24" t="inlineStr">
        <is>
          <t>moneyline</t>
        </is>
      </c>
      <c r="I484" s="24" t="inlineStr">
        <is>
          <t>home</t>
        </is>
      </c>
      <c r="J484" s="25" t="n"/>
      <c r="K484" s="24" t="inlineStr">
        <is>
          <t>espn_consensus</t>
        </is>
      </c>
      <c r="L484" s="26" t="n">
        <v>490</v>
      </c>
      <c r="M484" s="27" t="n">
        <v>5.9</v>
      </c>
      <c r="N484" s="28" t="n">
        <v>0.169492</v>
      </c>
      <c r="O484" s="28" t="n">
        <v>0.587531</v>
      </c>
      <c r="P484" s="28" t="n">
        <v>0.18</v>
      </c>
      <c r="Q484" s="28" t="n">
        <v>0.418039</v>
      </c>
      <c r="R484" s="26" t="n">
        <v>100</v>
      </c>
      <c r="S484" s="29" t="n">
        <v>2</v>
      </c>
      <c r="T484" s="24" t="inlineStr">
        <is>
          <t>college-football-v1</t>
        </is>
      </c>
      <c r="U484" s="24" t="inlineStr">
        <is>
          <t>settled</t>
        </is>
      </c>
      <c r="V484" s="24" t="inlineStr">
        <is>
          <t>loss</t>
        </is>
      </c>
      <c r="W484" s="26" t="n">
        <v>21</v>
      </c>
      <c r="X484" s="26" t="n">
        <v>14</v>
      </c>
      <c r="Y484" s="25" t="n"/>
      <c r="Z484" s="26" t="n"/>
      <c r="AA484" s="28" t="n"/>
      <c r="AB484" s="28" t="n"/>
      <c r="AC484" s="30" t="n">
        <v>-2</v>
      </c>
      <c r="AD484" s="24" t="inlineStr">
        <is>
          <t>2026-09-26T22:00:43.641546Z</t>
        </is>
      </c>
      <c r="AE484" s="31" t="inlineStr">
        <is>
          <t>CFB Joint Model (negative_binomial): proj score Virginia Tech Hokies 24.9 @ Boston College Eagles 28.7 (Margin +3.8). Possessions: 12.4, HFA: +2.8 pts.</t>
        </is>
      </c>
      <c r="AF484" s="31" t="inlineStr">
        <is>
          <t>College football model; multi-market (moneyline, spread, total).</t>
        </is>
      </c>
      <c r="AG484" s="24" t="inlineStr">
        <is>
          <t>review_required</t>
        </is>
      </c>
      <c r="AH484" s="24" t="n"/>
      <c r="AI484" s="31" t="n"/>
      <c r="AJ484" s="31" t="n"/>
      <c r="AK484" s="24" t="inlineStr">
        <is>
          <t>model_qualified</t>
        </is>
      </c>
      <c r="AL484" s="26" t="n">
        <v>4</v>
      </c>
      <c r="AM484" s="24" t="inlineStr">
        <is>
          <t>QUALIFIED_SHADOW_CALL</t>
        </is>
      </c>
      <c r="AN484" s="24" t="inlineStr">
        <is>
          <t>CALL</t>
        </is>
      </c>
      <c r="AO484" s="24" t="inlineStr">
        <is>
          <t>QUALIFIED</t>
        </is>
      </c>
      <c r="AP484" s="24" t="inlineStr">
        <is>
          <t>Virginia Tech Hokies</t>
        </is>
      </c>
      <c r="AQ484" s="24" t="inlineStr">
        <is>
          <t>Virginia Tech Hokies</t>
        </is>
      </c>
      <c r="AR484" s="24" t="inlineStr">
        <is>
          <t>Virginia Tech Hokies</t>
        </is>
      </c>
      <c r="AS484" s="24" t="inlineStr">
        <is>
          <t>Boston College Eagles</t>
        </is>
      </c>
      <c r="AT484" s="24" t="inlineStr">
        <is>
          <t>Boston College Eagles</t>
        </is>
      </c>
      <c r="AU484" s="24" t="inlineStr">
        <is>
          <t>Boston College Eagles</t>
        </is>
      </c>
      <c r="AV484" s="24" t="n"/>
      <c r="AW484" s="24" t="n"/>
      <c r="AX484" s="24" t="inlineStr">
        <is>
          <t>statistical_model</t>
        </is>
      </c>
      <c r="AY484" s="24" t="n"/>
      <c r="AZ484" s="24" t="inlineStr">
        <is>
          <t>shadow_qualified</t>
        </is>
      </c>
      <c r="BA484" s="24" t="inlineStr">
        <is>
          <t>1d168f11d221cd3c</t>
        </is>
      </c>
      <c r="BB484" s="24" t="inlineStr">
        <is>
          <t>cfb_key_number_engine</t>
        </is>
      </c>
      <c r="BC484" s="24" t="inlineStr">
        <is>
          <t>college-football-v1</t>
        </is>
      </c>
      <c r="BD484" s="24" t="inlineStr">
        <is>
          <t>1d168f11d221cd3c</t>
        </is>
      </c>
      <c r="BE484" s="24" t="inlineStr">
        <is>
          <t>cfb-v1</t>
        </is>
      </c>
      <c r="BF484" s="24" t="inlineStr">
        <is>
          <t>1</t>
        </is>
      </c>
      <c r="BG484" s="24" t="inlineStr">
        <is>
          <t>1d168f11d221cd3c</t>
        </is>
      </c>
      <c r="BH484" s="24" t="inlineStr">
        <is>
          <t>2026-09-26T15:01:01.506546+00:00</t>
        </is>
      </c>
      <c r="BI484" s="24" t="inlineStr">
        <is>
          <t>["same_event","same_team_same_day","same_league_same_day"]</t>
        </is>
      </c>
      <c r="BJ484" s="25" t="n"/>
      <c r="BK484" s="26" t="n">
        <v>490</v>
      </c>
      <c r="BL484" s="27" t="n">
        <v>5.9</v>
      </c>
      <c r="BM484" s="28" t="n">
        <v>0.169492</v>
      </c>
      <c r="BN484" s="28" t="n"/>
      <c r="BO484" s="28" t="n"/>
      <c r="BP484" s="25" t="n"/>
      <c r="BQ484" s="27" t="n"/>
      <c r="BR484" s="28" t="n"/>
      <c r="BS484" s="28" t="n"/>
      <c r="BT484" s="28" t="n"/>
      <c r="BU484" s="25" t="n"/>
      <c r="BV484" s="29" t="n"/>
      <c r="BW484" s="24" t="n"/>
      <c r="BX484" s="30" t="n"/>
      <c r="BY484" s="27" t="n"/>
      <c r="BZ484" s="24" t="n"/>
      <c r="CA484" s="31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inlineStr">
        <is>
          <t>True</t>
        </is>
      </c>
      <c r="CT484" s="24" t="n"/>
      <c r="CU484" s="24" t="n"/>
      <c r="CV484" s="24" t="n"/>
      <c r="CW484" s="24" t="n"/>
      <c r="CX484" s="24" t="n"/>
      <c r="CY484" s="24" t="n"/>
      <c r="CZ484" s="24" t="n"/>
      <c r="DA484" s="24" t="n"/>
      <c r="DB484" s="24" t="n"/>
      <c r="DC484" s="24" t="n"/>
      <c r="DD484" s="24" t="n"/>
      <c r="DE484" s="24" t="n"/>
      <c r="DF484" s="24" t="n"/>
      <c r="DG484" s="24" t="n"/>
      <c r="DH484" s="24" t="n"/>
      <c r="DI484" s="24" t="n"/>
      <c r="DJ484" s="24" t="inlineStr">
        <is>
          <t>0.169492</t>
        </is>
      </c>
      <c r="DK484" s="24" t="n"/>
      <c r="DL484" s="24" t="n"/>
      <c r="DM484" s="24" t="n"/>
      <c r="DN484" s="24" t="n"/>
      <c r="DO484" s="24" t="n"/>
      <c r="DP484" s="24" t="n"/>
      <c r="DQ484" s="24" t="inlineStr">
        <is>
          <t>{"artifact_hash": "1d168f11d221cd3c", "event_id": "401858242", "event_start_utc": "2026-09-26T16:00Z", "features": {"altitude_fatigue_penalty": 0.0, "away_team": "Virginia Tech Hokies", "efficiency_gap": -0.852, "elo_away": 1232.1, "elo_home": 1259.7, "elo_home_win_prob": 0.6302, "event_id": "401858242", "game_start_utc": "2026-09-26T16:00Z", "home_field_advantage_points": 2.8, "home_team": "Boston College Eagles", "is_dome": false, "is_fbs_vs_fcs": false, "is_neutral_site": false, "projected_away_points": 24.9, "projected_home_points": 28.7, "projected_margin_home": 3.8, "projected_possessions": 12.4, "projected_total": 53.7, "stadium_elevation_ft": 150, "travel_distance_miles": 605.0, "uncertainty": 0.18, "weather_total_adjustment": 0.0}, "historical_source_observation_times_verified": false, "inference_inputs": {"engine_source_sha256": "449ba2f0e86fa9c445730076a0e0bf100fb4914620be53c75c6f3bfe24298f3f", "mu_away": 24.9, "mu_home": 28.7,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128743657309910254228137580786444704180}, "uinteger": 0}, "spread_home_line": 14.5, "total_line": 46.5}, "market_type": "moneyline", "model_version": "college-football-v1", "observed_at_utc": "2026-09-26T15:01:01.506546+00:00", "probabilities": {"away": 0.412469, "home": 0.587531}, "replay_scope": "Full precision score means, exact engine parameters and original RNG state; upstream feature construction not certified.", "schema": "cfb-joint-replay-v1", "snapshot_hash": "d64b1dbcc580fe00aa405dbb212539b8ac95c0550b57028db2015eef25ed6364", "sport": "NCAAF"}</t>
        </is>
      </c>
    </row>
    <row r="485" ht="36" customHeight="1">
      <c r="A485" s="24" t="inlineStr">
        <is>
          <t>6845c672afa94bd9</t>
        </is>
      </c>
      <c r="B485" s="24" t="inlineStr">
        <is>
          <t>2026-09-26T15:01:01.506546Z</t>
        </is>
      </c>
      <c r="C485" s="24" t="inlineStr">
        <is>
          <t>2026-09-26T16:00Z</t>
        </is>
      </c>
      <c r="D485" s="24" t="inlineStr">
        <is>
          <t>401858242</t>
        </is>
      </c>
      <c r="E485" s="24" t="inlineStr">
        <is>
          <t>NCAAF</t>
        </is>
      </c>
      <c r="F485" s="24" t="inlineStr">
        <is>
          <t>Virginia Tech Hokies</t>
        </is>
      </c>
      <c r="G485" s="24" t="inlineStr">
        <is>
          <t>Boston College Eagles</t>
        </is>
      </c>
      <c r="H485" s="24" t="inlineStr">
        <is>
          <t>spread</t>
        </is>
      </c>
      <c r="I485" s="24" t="inlineStr">
        <is>
          <t>home</t>
        </is>
      </c>
      <c r="J485" s="25" t="n">
        <v>14.5</v>
      </c>
      <c r="K485" s="24" t="inlineStr">
        <is>
          <t>espn_consensus</t>
        </is>
      </c>
      <c r="L485" s="26" t="n">
        <v>-112</v>
      </c>
      <c r="M485" s="27" t="n">
        <v>1.892857</v>
      </c>
      <c r="N485" s="28" t="n">
        <v>0.528302</v>
      </c>
      <c r="O485" s="28" t="n">
        <v>0.822</v>
      </c>
      <c r="P485" s="28" t="n">
        <v>0.18</v>
      </c>
      <c r="Q485" s="28" t="n">
        <v>0.293698</v>
      </c>
      <c r="R485" s="26" t="n">
        <v>89</v>
      </c>
      <c r="S485" s="29" t="n">
        <v>1.75</v>
      </c>
      <c r="T485" s="24" t="inlineStr">
        <is>
          <t>cfb-spread-v1</t>
        </is>
      </c>
      <c r="U485" s="24" t="inlineStr">
        <is>
          <t>settled</t>
        </is>
      </c>
      <c r="V485" s="24" t="inlineStr">
        <is>
          <t>win</t>
        </is>
      </c>
      <c r="W485" s="26" t="n">
        <v>21</v>
      </c>
      <c r="X485" s="26" t="n">
        <v>14</v>
      </c>
      <c r="Y485" s="25" t="n"/>
      <c r="Z485" s="26" t="n"/>
      <c r="AA485" s="28" t="n"/>
      <c r="AB485" s="28" t="n"/>
      <c r="AC485" s="30" t="n">
        <v>1.5625</v>
      </c>
      <c r="AD485" s="24" t="inlineStr">
        <is>
          <t>2026-09-26T22:00:44.131643Z</t>
        </is>
      </c>
      <c r="AE485" s="31" t="inlineStr">
        <is>
          <t>Projected home margin +3.8 pts. Spread: Home +14.5 / Away -14.5 -&gt; P(Away cover)=0.178, P(Home cover)=0.822, P(Push)=0.000.</t>
        </is>
      </c>
      <c r="AF485" s="31" t="inlineStr">
        <is>
          <t>College football model; multi-market (moneyline, spread, total).</t>
        </is>
      </c>
      <c r="AG485" s="24" t="inlineStr">
        <is>
          <t>not_applicable</t>
        </is>
      </c>
      <c r="AH485" s="24" t="n"/>
      <c r="AI485" s="31" t="n"/>
      <c r="AJ485" s="31" t="n"/>
      <c r="AK485" s="24" t="inlineStr">
        <is>
          <t>model_qualified</t>
        </is>
      </c>
      <c r="AL485" s="26" t="n">
        <v>4</v>
      </c>
      <c r="AM485" s="24" t="inlineStr">
        <is>
          <t>QUALIFIED_SHADOW_CALL</t>
        </is>
      </c>
      <c r="AN485" s="24" t="inlineStr">
        <is>
          <t>CALL</t>
        </is>
      </c>
      <c r="AO485" s="24" t="inlineStr">
        <is>
          <t>QUALIFIED</t>
        </is>
      </c>
      <c r="AP485" s="24" t="inlineStr">
        <is>
          <t>Virginia Tech Hokies</t>
        </is>
      </c>
      <c r="AQ485" s="24" t="inlineStr">
        <is>
          <t>Virginia Tech Hokies</t>
        </is>
      </c>
      <c r="AR485" s="24" t="inlineStr">
        <is>
          <t>Virginia Tech Hokies</t>
        </is>
      </c>
      <c r="AS485" s="24" t="inlineStr">
        <is>
          <t>Boston College Eagles</t>
        </is>
      </c>
      <c r="AT485" s="24" t="inlineStr">
        <is>
          <t>Boston College Eagles</t>
        </is>
      </c>
      <c r="AU485" s="24" t="inlineStr">
        <is>
          <t>Boston College Eagles</t>
        </is>
      </c>
      <c r="AV485" s="24" t="n"/>
      <c r="AW485" s="24" t="n"/>
      <c r="AX485" s="24" t="inlineStr">
        <is>
          <t>statistical_model</t>
        </is>
      </c>
      <c r="AY485" s="24" t="n"/>
      <c r="AZ485" s="24" t="inlineStr">
        <is>
          <t>shadow_qualified</t>
        </is>
      </c>
      <c r="BA485" s="24" t="inlineStr">
        <is>
          <t>1d168f11d221cd3c</t>
        </is>
      </c>
      <c r="BB485" s="24" t="inlineStr">
        <is>
          <t>cfb_key_number_engine</t>
        </is>
      </c>
      <c r="BC485" s="24" t="inlineStr">
        <is>
          <t>cfb-spread-v1</t>
        </is>
      </c>
      <c r="BD485" s="24" t="inlineStr">
        <is>
          <t>1d168f11d221cd3c</t>
        </is>
      </c>
      <c r="BE485" s="24" t="inlineStr">
        <is>
          <t>cfb-v1</t>
        </is>
      </c>
      <c r="BF485" s="24" t="inlineStr">
        <is>
          <t>1</t>
        </is>
      </c>
      <c r="BG485" s="24" t="inlineStr">
        <is>
          <t>1d168f11d221cd3c</t>
        </is>
      </c>
      <c r="BH485" s="24" t="inlineStr">
        <is>
          <t>2026-09-26T15:01:01.506546+00:00</t>
        </is>
      </c>
      <c r="BI485" s="24" t="inlineStr">
        <is>
          <t>["same_event","same_team_same_day","same_league_same_day"]</t>
        </is>
      </c>
      <c r="BJ485" s="25" t="n">
        <v>14.5</v>
      </c>
      <c r="BK485" s="26" t="n">
        <v>-112</v>
      </c>
      <c r="BL485" s="27" t="n">
        <v>1.892857</v>
      </c>
      <c r="BM485" s="28" t="n">
        <v>0.528302</v>
      </c>
      <c r="BN485" s="28" t="n"/>
      <c r="BO485" s="28" t="n"/>
      <c r="BP485" s="25" t="n"/>
      <c r="BQ485" s="27" t="n"/>
      <c r="BR485" s="28" t="n"/>
      <c r="BS485" s="28" t="n"/>
      <c r="BT485" s="28" t="n"/>
      <c r="BU485" s="25" t="n"/>
      <c r="BV485" s="29" t="n"/>
      <c r="BW485" s="24" t="n"/>
      <c r="BX485" s="30" t="n"/>
      <c r="BY485" s="27" t="n"/>
      <c r="BZ485" s="24" t="n"/>
      <c r="CA485" s="31" t="n"/>
      <c r="CB485" s="24" t="n"/>
      <c r="CC485" s="24" t="n"/>
      <c r="CD485" s="24" t="n"/>
      <c r="CE485" s="24" t="n"/>
      <c r="CF485" s="24" t="n"/>
      <c r="CG485" s="24" t="n"/>
      <c r="CH485" s="24" t="n"/>
      <c r="CI485" s="24" t="n"/>
      <c r="CJ485" s="24" t="n"/>
      <c r="CK485" s="24" t="n"/>
      <c r="CL485" s="24" t="n"/>
      <c r="CM485" s="24" t="n"/>
      <c r="CN485" s="24" t="n"/>
      <c r="CO485" s="24" t="n"/>
      <c r="CP485" s="24" t="n"/>
      <c r="CQ485" s="24" t="n"/>
      <c r="CR485" s="24" t="n"/>
      <c r="CS485" s="24" t="inlineStr">
        <is>
          <t>True</t>
        </is>
      </c>
      <c r="CT485" s="24" t="n"/>
      <c r="CU485" s="24" t="n"/>
      <c r="CV485" s="24" t="n"/>
      <c r="CW485" s="24" t="n"/>
      <c r="CX485" s="24" t="n"/>
      <c r="CY485" s="24" t="n"/>
      <c r="CZ485" s="24" t="n"/>
      <c r="DA485" s="24" t="n"/>
      <c r="DB485" s="24" t="n"/>
      <c r="DC485" s="24" t="n"/>
      <c r="DD485" s="24" t="n"/>
      <c r="DE485" s="24" t="n"/>
      <c r="DF485" s="24" t="n"/>
      <c r="DG485" s="24" t="n"/>
      <c r="DH485" s="24" t="n"/>
      <c r="DI485" s="24" t="n"/>
      <c r="DJ485" s="24" t="inlineStr">
        <is>
          <t>0.528302</t>
        </is>
      </c>
      <c r="DK485" s="24" t="n"/>
      <c r="DL485" s="24" t="n"/>
      <c r="DM485" s="24" t="n"/>
      <c r="DN485" s="24" t="n"/>
      <c r="DO485" s="24" t="n"/>
      <c r="DP485" s="24" t="n"/>
      <c r="DQ485" s="24" t="inlineStr">
        <is>
          <t>{"artifact_hash": "1d168f11d221cd3c", "event_id": "401858242", "event_start_utc": "2026-09-26T16:00Z", "features": {"altitude_fatigue_penalty": 0.0, "away_team": "Virginia Tech Hokies", "efficiency_gap": -0.852, "elo_away": 1232.1, "elo_home": 1259.7, "elo_home_win_prob": 0.6302, "event_id": "401858242", "game_start_utc": "2026-09-26T16:00Z", "home_field_advantage_points": 2.8, "home_team": "Boston College Eagles", "is_dome": false, "is_fbs_vs_fcs": false, "is_neutral_site": false, "projected_away_points": 24.9, "projected_home_points": 28.7, "projected_margin_home": 3.8, "projected_possessions": 12.4, "projected_total": 53.7, "stadium_elevation_ft": 150, "travel_distance_miles": 605.0, "uncertainty": 0.18, "weather_total_adjustment": 0.0}, "historical_source_observation_times_verified": false, "inference_inputs": {"engine_source_sha256": "449ba2f0e86fa9c445730076a0e0bf100fb4914620be53c75c6f3bfe24298f3f", "mu_away": 24.9, "mu_home": 28.7,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128743657309910254228137580786444704180}, "uinteger": 0}, "spread_home_line": 14.5, "total_line": 46.5}, "market_type": "spread", "model_version": "cfb-spread-v1", "observed_at_utc": "2026-09-26T15:01:01.506546+00:00", "probabilities": {"away": 0.178, "home": 0.822, "push": 0.0}, "replay_scope": "Full precision score means, exact engine parameters and original RNG state; upstream feature construction not certified.", "schema": "cfb-joint-replay-v1", "snapshot_hash": "d0231c73865db1e3d04537415abc28a498bb6501f205bad80a24b17613cf26c2", "sport": "NCAAF"}</t>
        </is>
      </c>
    </row>
    <row r="486" ht="36" customHeight="1">
      <c r="A486" s="24" t="inlineStr">
        <is>
          <t>ae12bade8b0c4efe</t>
        </is>
      </c>
      <c r="B486" s="24" t="inlineStr">
        <is>
          <t>2026-09-26T15:01:01.506546Z</t>
        </is>
      </c>
      <c r="C486" s="24" t="inlineStr">
        <is>
          <t>2026-09-26T16:00Z</t>
        </is>
      </c>
      <c r="D486" s="24" t="inlineStr">
        <is>
          <t>401858242</t>
        </is>
      </c>
      <c r="E486" s="24" t="inlineStr">
        <is>
          <t>NCAAF</t>
        </is>
      </c>
      <c r="F486" s="24" t="inlineStr">
        <is>
          <t>Virginia Tech Hokies</t>
        </is>
      </c>
      <c r="G486" s="24" t="inlineStr">
        <is>
          <t>Boston College Eagles</t>
        </is>
      </c>
      <c r="H486" s="24" t="inlineStr">
        <is>
          <t>total</t>
        </is>
      </c>
      <c r="I486" s="24" t="inlineStr">
        <is>
          <t>over</t>
        </is>
      </c>
      <c r="J486" s="25" t="n">
        <v>46.5</v>
      </c>
      <c r="K486" s="24" t="inlineStr">
        <is>
          <t>espn_consensus</t>
        </is>
      </c>
      <c r="L486" s="26" t="n">
        <v>-108</v>
      </c>
      <c r="M486" s="27" t="n">
        <v>1.925926</v>
      </c>
      <c r="N486" s="28" t="n">
        <v>0.519231</v>
      </c>
      <c r="O486" s="28" t="n">
        <v>0.583333</v>
      </c>
      <c r="P486" s="28" t="n">
        <v>0.18</v>
      </c>
      <c r="Q486" s="28" t="n">
        <v>0.06410200000000001</v>
      </c>
      <c r="R486" s="26" t="n">
        <v>0</v>
      </c>
      <c r="S486" s="29" t="n">
        <v>1</v>
      </c>
      <c r="T486" s="24" t="inlineStr">
        <is>
          <t>cfb-total-v1</t>
        </is>
      </c>
      <c r="U486" s="24" t="inlineStr">
        <is>
          <t>settled</t>
        </is>
      </c>
      <c r="V486" s="24" t="inlineStr">
        <is>
          <t>loss</t>
        </is>
      </c>
      <c r="W486" s="26" t="n">
        <v>21</v>
      </c>
      <c r="X486" s="26" t="n">
        <v>14</v>
      </c>
      <c r="Y486" s="25" t="n"/>
      <c r="Z486" s="26" t="n"/>
      <c r="AA486" s="28" t="n"/>
      <c r="AB486" s="28" t="n"/>
      <c r="AC486" s="30" t="n">
        <v>-1</v>
      </c>
      <c r="AD486" s="24" t="inlineStr">
        <is>
          <t>2026-09-26T22:00:44.684350Z</t>
        </is>
      </c>
      <c r="AE486" s="31" t="inlineStr">
        <is>
          <t>Projected total 53.7 pts (Weather adj: +0.0 pts). Total line 46.5 -&gt; P(Over)=0.583, P(Under)=0.417, P(Push)=0.000.</t>
        </is>
      </c>
      <c r="AF486" s="31" t="inlineStr">
        <is>
          <t>College football model; multi-market (moneyline, spread, total).</t>
        </is>
      </c>
      <c r="AG486" s="24" t="inlineStr">
        <is>
          <t>review_required</t>
        </is>
      </c>
      <c r="AH486" s="24" t="n"/>
      <c r="AI486" s="31" t="n"/>
      <c r="AJ486" s="31" t="n"/>
      <c r="AK486" s="24" t="inlineStr">
        <is>
          <t>model_qualified</t>
        </is>
      </c>
      <c r="AL486" s="26" t="n">
        <v>4</v>
      </c>
      <c r="AM486" s="24" t="inlineStr">
        <is>
          <t>QUALIFIED_SHADOW_CALL</t>
        </is>
      </c>
      <c r="AN486" s="24" t="inlineStr">
        <is>
          <t>CALL</t>
        </is>
      </c>
      <c r="AO486" s="24" t="inlineStr">
        <is>
          <t>QUALIFIED</t>
        </is>
      </c>
      <c r="AP486" s="24" t="inlineStr">
        <is>
          <t>Virginia Tech Hokies</t>
        </is>
      </c>
      <c r="AQ486" s="24" t="inlineStr">
        <is>
          <t>Virginia Tech Hokies</t>
        </is>
      </c>
      <c r="AR486" s="24" t="inlineStr">
        <is>
          <t>Virginia Tech Hokies</t>
        </is>
      </c>
      <c r="AS486" s="24" t="inlineStr">
        <is>
          <t>Boston College Eagles</t>
        </is>
      </c>
      <c r="AT486" s="24" t="inlineStr">
        <is>
          <t>Boston College Eagles</t>
        </is>
      </c>
      <c r="AU486" s="24" t="inlineStr">
        <is>
          <t>Boston College Eagles</t>
        </is>
      </c>
      <c r="AV486" s="24" t="n"/>
      <c r="AW486" s="24" t="n"/>
      <c r="AX486" s="24" t="inlineStr">
        <is>
          <t>statistical_model</t>
        </is>
      </c>
      <c r="AY486" s="24" t="n"/>
      <c r="AZ486" s="24" t="inlineStr">
        <is>
          <t>shadow_qualified</t>
        </is>
      </c>
      <c r="BA486" s="24" t="inlineStr">
        <is>
          <t>1d168f11d221cd3c</t>
        </is>
      </c>
      <c r="BB486" s="24" t="inlineStr">
        <is>
          <t>cfb_key_number_engine</t>
        </is>
      </c>
      <c r="BC486" s="24" t="inlineStr">
        <is>
          <t>cfb-total-v1</t>
        </is>
      </c>
      <c r="BD486" s="24" t="inlineStr">
        <is>
          <t>1d168f11d221cd3c</t>
        </is>
      </c>
      <c r="BE486" s="24" t="inlineStr">
        <is>
          <t>cfb-v1</t>
        </is>
      </c>
      <c r="BF486" s="24" t="inlineStr">
        <is>
          <t>1</t>
        </is>
      </c>
      <c r="BG486" s="24" t="inlineStr">
        <is>
          <t>1d168f11d221cd3c</t>
        </is>
      </c>
      <c r="BH486" s="24" t="inlineStr">
        <is>
          <t>2026-09-26T15:01:01.506546+00:00</t>
        </is>
      </c>
      <c r="BI486" s="24" t="inlineStr">
        <is>
          <t>["same_event","same_team_same_day","same_league_same_day"]</t>
        </is>
      </c>
      <c r="BJ486" s="25" t="n">
        <v>46.5</v>
      </c>
      <c r="BK486" s="26" t="n">
        <v>-108</v>
      </c>
      <c r="BL486" s="27" t="n">
        <v>1.925926</v>
      </c>
      <c r="BM486" s="28" t="n">
        <v>0.519231</v>
      </c>
      <c r="BN486" s="28" t="n"/>
      <c r="BO486" s="28" t="n"/>
      <c r="BP486" s="25" t="n"/>
      <c r="BQ486" s="27" t="n"/>
      <c r="BR486" s="28" t="n"/>
      <c r="BS486" s="28" t="n"/>
      <c r="BT486" s="28" t="n"/>
      <c r="BU486" s="25" t="n"/>
      <c r="BV486" s="29" t="n"/>
      <c r="BW486" s="24" t="n"/>
      <c r="BX486" s="30" t="n"/>
      <c r="BY486" s="27" t="n"/>
      <c r="BZ486" s="24" t="n"/>
      <c r="CA486" s="31" t="n"/>
      <c r="CB486" s="24" t="n"/>
      <c r="CC486" s="24" t="n"/>
      <c r="CD486" s="24" t="n"/>
      <c r="CE486" s="24" t="n"/>
      <c r="CF486" s="24" t="n"/>
      <c r="CG486" s="24" t="n"/>
      <c r="CH486" s="24" t="n"/>
      <c r="CI486" s="24" t="n"/>
      <c r="CJ486" s="24" t="n"/>
      <c r="CK486" s="24" t="n"/>
      <c r="CL486" s="24" t="n"/>
      <c r="CM486" s="24" t="n"/>
      <c r="CN486" s="24" t="n"/>
      <c r="CO486" s="24" t="n"/>
      <c r="CP486" s="24" t="n"/>
      <c r="CQ486" s="24" t="n"/>
      <c r="CR486" s="24" t="n"/>
      <c r="CS486" s="24" t="inlineStr">
        <is>
          <t>True</t>
        </is>
      </c>
      <c r="CT486" s="24" t="n"/>
      <c r="CU486" s="24" t="n"/>
      <c r="CV486" s="24" t="n"/>
      <c r="CW486" s="24" t="n"/>
      <c r="CX486" s="24" t="n"/>
      <c r="CY486" s="24" t="n"/>
      <c r="CZ486" s="24" t="n"/>
      <c r="DA486" s="24" t="n"/>
      <c r="DB486" s="24" t="n"/>
      <c r="DC486" s="24" t="n"/>
      <c r="DD486" s="24" t="n"/>
      <c r="DE486" s="24" t="n"/>
      <c r="DF486" s="24" t="n"/>
      <c r="DG486" s="24" t="n"/>
      <c r="DH486" s="24" t="n"/>
      <c r="DI486" s="24" t="n"/>
      <c r="DJ486" s="24" t="inlineStr">
        <is>
          <t>0.519231</t>
        </is>
      </c>
      <c r="DK486" s="24" t="n"/>
      <c r="DL486" s="24" t="n"/>
      <c r="DM486" s="24" t="n"/>
      <c r="DN486" s="24" t="n"/>
      <c r="DO486" s="24" t="n"/>
      <c r="DP486" s="24" t="n"/>
      <c r="DQ486" s="24" t="inlineStr">
        <is>
          <t>{"artifact_hash": "1d168f11d221cd3c", "event_id": "401858242", "event_start_utc": "2026-09-26T16:00Z", "features": {"altitude_fatigue_penalty": 0.0, "away_team": "Virginia Tech Hokies", "efficiency_gap": -0.852, "elo_away": 1232.1, "elo_home": 1259.7, "elo_home_win_prob": 0.6302, "event_id": "401858242", "game_start_utc": "2026-09-26T16:00Z", "home_field_advantage_points": 2.8, "home_team": "Boston College Eagles", "is_dome": false, "is_fbs_vs_fcs": false, "is_neutral_site": false, "projected_away_points": 24.9, "projected_home_points": 28.7, "projected_margin_home": 3.8, "projected_possessions": 12.4, "projected_total": 53.7, "stadium_elevation_ft": 150, "travel_distance_miles": 605.0, "uncertainty": 0.18, "weather_total_adjustment": 0.0}, "historical_source_observation_times_verified": false, "inference_inputs": {"engine_source_sha256": "449ba2f0e86fa9c445730076a0e0bf100fb4914620be53c75c6f3bfe24298f3f", "mu_away": 24.9, "mu_home": 28.7,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128743657309910254228137580786444704180}, "uinteger": 0}, "spread_home_line": 14.5, "total_line": 46.5}, "market_type": "total", "model_version": "cfb-total-v1", "observed_at_utc": "2026-09-26T15:01:01.506546+00:00", "probabilities": {"over": 0.583333, "push": 0.0, "under": 0.416667}, "replay_scope": "Full precision score means, exact engine parameters and original RNG state; upstream feature construction not certified.", "schema": "cfb-joint-replay-v1", "snapshot_hash": "ab68af50a68c47d78cc5836737670137ba679ed9aa4fe9e3608bc6ca12552833", "sport": "NCAAF"}</t>
        </is>
      </c>
    </row>
    <row r="487" ht="36" customHeight="1">
      <c r="A487" s="24" t="inlineStr">
        <is>
          <t>908217df12c94825</t>
        </is>
      </c>
      <c r="B487" s="24" t="inlineStr">
        <is>
          <t>2026-09-26T15:01:01.506546Z</t>
        </is>
      </c>
      <c r="C487" s="24" t="inlineStr">
        <is>
          <t>2026-09-26T16:00Z</t>
        </is>
      </c>
      <c r="D487" s="24" t="inlineStr">
        <is>
          <t>401860893</t>
        </is>
      </c>
      <c r="E487" s="24" t="inlineStr">
        <is>
          <t>NCAAF</t>
        </is>
      </c>
      <c r="F487" s="24" t="inlineStr">
        <is>
          <t>San Diego State Aztecs</t>
        </is>
      </c>
      <c r="G487" s="24" t="inlineStr">
        <is>
          <t>Toledo Rockets</t>
        </is>
      </c>
      <c r="H487" s="24" t="inlineStr">
        <is>
          <t>moneyline</t>
        </is>
      </c>
      <c r="I487" s="24" t="inlineStr">
        <is>
          <t>home</t>
        </is>
      </c>
      <c r="J487" s="25" t="n"/>
      <c r="K487" s="24" t="inlineStr">
        <is>
          <t>espn_consensus</t>
        </is>
      </c>
      <c r="L487" s="26" t="n">
        <v>-142</v>
      </c>
      <c r="M487" s="27" t="n">
        <v>1.704225</v>
      </c>
      <c r="N487" s="28" t="n">
        <v>0.586777</v>
      </c>
      <c r="O487" s="28" t="n">
        <v>0.572813</v>
      </c>
      <c r="P487" s="28" t="n">
        <v>0.18</v>
      </c>
      <c r="Q487" s="28" t="n">
        <v>-0.013964</v>
      </c>
      <c r="R487" s="26" t="n">
        <v>0</v>
      </c>
      <c r="S487" s="29" t="n">
        <v>1</v>
      </c>
      <c r="T487" s="24" t="inlineStr">
        <is>
          <t>college-football-v1</t>
        </is>
      </c>
      <c r="U487" s="24" t="inlineStr">
        <is>
          <t>settled</t>
        </is>
      </c>
      <c r="V487" s="24" t="inlineStr">
        <is>
          <t>win</t>
        </is>
      </c>
      <c r="W487" s="26" t="n">
        <v>16</v>
      </c>
      <c r="X487" s="26" t="n">
        <v>41</v>
      </c>
      <c r="Y487" s="25" t="n"/>
      <c r="Z487" s="26" t="n"/>
      <c r="AA487" s="28" t="n"/>
      <c r="AB487" s="28" t="n"/>
      <c r="AC487" s="30" t="n">
        <v>0.7042</v>
      </c>
      <c r="AD487" s="24" t="inlineStr">
        <is>
          <t>2026-09-26T22:00:45.307001Z</t>
        </is>
      </c>
      <c r="AE487" s="31" t="inlineStr">
        <is>
          <t>CFB Joint Model (negative_binomial): proj score San Diego State Aztecs 24.7 @ Toledo Rockets 28.2 (Margin +3.5). Possessions: 12.4, HFA: +2.8 pts.</t>
        </is>
      </c>
      <c r="AF487" s="31" t="inlineStr">
        <is>
          <t>College football model; multi-market (moneyline, spread, total).</t>
        </is>
      </c>
      <c r="AG487" s="24" t="inlineStr">
        <is>
          <t>not_applicable</t>
        </is>
      </c>
      <c r="AH487" s="24" t="n"/>
      <c r="AI487" s="31" t="n"/>
      <c r="AJ487" s="31" t="n"/>
      <c r="AK487" s="24" t="inlineStr">
        <is>
          <t>paper_call</t>
        </is>
      </c>
      <c r="AL487" s="26" t="n">
        <v>4</v>
      </c>
      <c r="AM487" s="24" t="inlineStr">
        <is>
          <t>RESEARCH_OBSERVATION</t>
        </is>
      </c>
      <c r="AN487" s="24" t="inlineStr">
        <is>
          <t>CALL</t>
        </is>
      </c>
      <c r="AO487" s="24" t="inlineStr">
        <is>
          <t>PAPER_CALL_LOW_EDGE</t>
        </is>
      </c>
      <c r="AP487" s="24" t="inlineStr">
        <is>
          <t>San Diego State Aztecs</t>
        </is>
      </c>
      <c r="AQ487" s="24" t="inlineStr">
        <is>
          <t>San Diego State Aztecs</t>
        </is>
      </c>
      <c r="AR487" s="24" t="inlineStr">
        <is>
          <t>San Diego State Aztecs</t>
        </is>
      </c>
      <c r="AS487" s="24" t="inlineStr">
        <is>
          <t>Toledo Rockets</t>
        </is>
      </c>
      <c r="AT487" s="24" t="inlineStr">
        <is>
          <t>Toledo Rockets</t>
        </is>
      </c>
      <c r="AU487" s="24" t="inlineStr">
        <is>
          <t>Toledo Rockets</t>
        </is>
      </c>
      <c r="AV487" s="24" t="n"/>
      <c r="AW487" s="24" t="n"/>
      <c r="AX487" s="24" t="inlineStr">
        <is>
          <t>statistical_model</t>
        </is>
      </c>
      <c r="AY487" s="24" t="n"/>
      <c r="AZ487" s="24" t="inlineStr">
        <is>
          <t>shadow_qualified</t>
        </is>
      </c>
      <c r="BA487" s="24" t="inlineStr">
        <is>
          <t>1d168f11d221cd3c</t>
        </is>
      </c>
      <c r="BB487" s="24" t="inlineStr">
        <is>
          <t>cfb_key_number_engine</t>
        </is>
      </c>
      <c r="BC487" s="24" t="inlineStr">
        <is>
          <t>college-football-v1</t>
        </is>
      </c>
      <c r="BD487" s="24" t="inlineStr">
        <is>
          <t>1d168f11d221cd3c</t>
        </is>
      </c>
      <c r="BE487" s="24" t="inlineStr">
        <is>
          <t>cfb-v1</t>
        </is>
      </c>
      <c r="BF487" s="24" t="inlineStr">
        <is>
          <t>1</t>
        </is>
      </c>
      <c r="BG487" s="24" t="inlineStr">
        <is>
          <t>1d168f11d221cd3c</t>
        </is>
      </c>
      <c r="BH487" s="24" t="inlineStr">
        <is>
          <t>2026-09-26T15:01:01.506546+00:00</t>
        </is>
      </c>
      <c r="BI487" s="24" t="inlineStr">
        <is>
          <t>["same_event","same_team_same_day","same_league_same_day"]</t>
        </is>
      </c>
      <c r="BJ487" s="25" t="n"/>
      <c r="BK487" s="26" t="n">
        <v>-142</v>
      </c>
      <c r="BL487" s="27" t="n">
        <v>1.704225</v>
      </c>
      <c r="BM487" s="28" t="n">
        <v>0.586777</v>
      </c>
      <c r="BN487" s="28" t="n"/>
      <c r="BO487" s="28" t="n"/>
      <c r="BP487" s="25" t="n"/>
      <c r="BQ487" s="27" t="n"/>
      <c r="BR487" s="28" t="n"/>
      <c r="BS487" s="28" t="n"/>
      <c r="BT487" s="28" t="n"/>
      <c r="BU487" s="25" t="n"/>
      <c r="BV487" s="29" t="n"/>
      <c r="BW487" s="24" t="n"/>
      <c r="BX487" s="30" t="n">
        <v>1</v>
      </c>
      <c r="BY487" s="27" t="n">
        <v>0.704225</v>
      </c>
      <c r="BZ487" s="24" t="inlineStr">
        <is>
          <t>2026-09-26T22:00:45.307001Z</t>
        </is>
      </c>
      <c r="CA487" s="31" t="inlineStr">
        <is>
          <t>fixed one-unit hypothetical scoring; no real exposure or execution</t>
        </is>
      </c>
      <c r="CB487" s="24" t="n"/>
      <c r="CC487" s="24" t="n"/>
      <c r="CD487" s="24" t="n"/>
      <c r="CE487" s="24" t="n"/>
      <c r="CF487" s="24" t="n"/>
      <c r="CG487" s="24" t="n"/>
      <c r="CH487" s="24" t="n"/>
      <c r="CI487" s="24" t="n"/>
      <c r="CJ487" s="24" t="n"/>
      <c r="CK487" s="24" t="n"/>
      <c r="CL487" s="24" t="n"/>
      <c r="CM487" s="24" t="n"/>
      <c r="CN487" s="24" t="n"/>
      <c r="CO487" s="24" t="n"/>
      <c r="CP487" s="24" t="n"/>
      <c r="CQ487" s="24" t="n"/>
      <c r="CR487" s="24" t="n"/>
      <c r="CS487" s="24" t="inlineStr">
        <is>
          <t>False</t>
        </is>
      </c>
      <c r="CT487" s="24" t="n"/>
      <c r="CU487" s="24" t="n"/>
      <c r="CV487" s="24" t="n"/>
      <c r="CW487" s="24" t="n"/>
      <c r="CX487" s="24" t="n"/>
      <c r="CY487" s="24" t="n"/>
      <c r="CZ487" s="24" t="n"/>
      <c r="DA487" s="24" t="n"/>
      <c r="DB487" s="24" t="n"/>
      <c r="DC487" s="24" t="n"/>
      <c r="DD487" s="24" t="n"/>
      <c r="DE487" s="24" t="n"/>
      <c r="DF487" s="24" t="n"/>
      <c r="DG487" s="24" t="n"/>
      <c r="DH487" s="24" t="n"/>
      <c r="DI487" s="24" t="n"/>
      <c r="DJ487" s="24" t="inlineStr">
        <is>
          <t>0.586777</t>
        </is>
      </c>
      <c r="DK487" s="24" t="n"/>
      <c r="DL487" s="24" t="n"/>
      <c r="DM487" s="24" t="n"/>
      <c r="DN487" s="24" t="n"/>
      <c r="DO487" s="24" t="n"/>
      <c r="DP487" s="24" t="n"/>
      <c r="DQ487" s="24" t="inlineStr">
        <is>
          <t>{"artifact_hash": "1d168f11d221cd3c", "event_id": "401860893", "event_start_utc": "2026-09-26T16:00Z", "features": {"altitude_fatigue_penalty": 0.0, "away_team": "San Diego State Aztecs", "efficiency_gap": -0.623, "elo_away": 1570.9, "elo_home": 1592.6, "elo_home_win_prob": 0.6222, "event_id": "401860893", "game_start_utc": "2026-09-26T16:00Z", "home_field_advantage_points": 2.8, "home_team": "Toledo Rockets", "is_dome": false, "is_fbs_vs_fcs": false, "is_neutral_site": false, "projected_away_points": 24.7, "projected_home_points": 28.2, "projected_margin_home": 3.5, "projected_possessions": 12.4, "projected_total": 52.9, "stadium_elevation_ft": 600, "travel_distance_miles": 1929.0, "uncertainty": 0.18, "weather_total_adjustment": 0.0}, "historical_source_observation_times_verified": false, "inference_inputs": {"engine_source_sha256": "449ba2f0e86fa9c445730076a0e0bf100fb4914620be53c75c6f3bfe24298f3f", "mu_away": 24.7, "mu_home": 28.2,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230204970677120288500982356378756223863}, "uinteger": 0}, "spread_home_line": -2.5, "total_line": 50.5}, "market_type": "moneyline", "model_version": "college-football-v1", "observed_at_utc": "2026-09-26T15:01:01.506546+00:00", "probabilities": {"away": 0.427187, "home": 0.572813}, "replay_scope": "Full precision score means, exact engine parameters and original RNG state; upstream feature construction not certified.", "schema": "cfb-joint-replay-v1", "snapshot_hash": "0131c2c2280bf9a44616b9d47720f46bd7d1796f22a077afa75867b49e9bad65", "sport": "NCAAF"}</t>
        </is>
      </c>
    </row>
    <row r="488" ht="36" customHeight="1">
      <c r="A488" s="24" t="inlineStr">
        <is>
          <t>6dfb5209d9194f2c</t>
        </is>
      </c>
      <c r="B488" s="24" t="inlineStr">
        <is>
          <t>2026-09-26T15:01:01.506546Z</t>
        </is>
      </c>
      <c r="C488" s="24" t="inlineStr">
        <is>
          <t>2026-09-26T16:00Z</t>
        </is>
      </c>
      <c r="D488" s="24" t="inlineStr">
        <is>
          <t>401860893</t>
        </is>
      </c>
      <c r="E488" s="24" t="inlineStr">
        <is>
          <t>NCAAF</t>
        </is>
      </c>
      <c r="F488" s="24" t="inlineStr">
        <is>
          <t>San Diego State Aztecs</t>
        </is>
      </c>
      <c r="G488" s="24" t="inlineStr">
        <is>
          <t>Toledo Rockets</t>
        </is>
      </c>
      <c r="H488" s="24" t="inlineStr">
        <is>
          <t>spread</t>
        </is>
      </c>
      <c r="I488" s="24" t="inlineStr">
        <is>
          <t>home</t>
        </is>
      </c>
      <c r="J488" s="25" t="n">
        <v>-2.5</v>
      </c>
      <c r="K488" s="24" t="inlineStr">
        <is>
          <t>espn_consensus</t>
        </is>
      </c>
      <c r="L488" s="26" t="n">
        <v>-118</v>
      </c>
      <c r="M488" s="27" t="n">
        <v>1.847458</v>
      </c>
      <c r="N488" s="28" t="n">
        <v>0.541284</v>
      </c>
      <c r="O488" s="28" t="n">
        <v>0.5182</v>
      </c>
      <c r="P488" s="28" t="n">
        <v>0.18</v>
      </c>
      <c r="Q488" s="28" t="n">
        <v>-0.023084</v>
      </c>
      <c r="R488" s="26" t="n">
        <v>0</v>
      </c>
      <c r="S488" s="29" t="n">
        <v>1</v>
      </c>
      <c r="T488" s="24" t="inlineStr">
        <is>
          <t>cfb-spread-v1</t>
        </is>
      </c>
      <c r="U488" s="24" t="inlineStr">
        <is>
          <t>settled</t>
        </is>
      </c>
      <c r="V488" s="24" t="inlineStr">
        <is>
          <t>win</t>
        </is>
      </c>
      <c r="W488" s="26" t="n">
        <v>16</v>
      </c>
      <c r="X488" s="26" t="n">
        <v>41</v>
      </c>
      <c r="Y488" s="25" t="n"/>
      <c r="Z488" s="26" t="n"/>
      <c r="AA488" s="28" t="n"/>
      <c r="AB488" s="28" t="n"/>
      <c r="AC488" s="30" t="n">
        <v>0.8475</v>
      </c>
      <c r="AD488" s="24" t="inlineStr">
        <is>
          <t>2026-09-26T22:00:45.792353Z</t>
        </is>
      </c>
      <c r="AE488" s="31" t="inlineStr">
        <is>
          <t>Projected home margin +3.5 pts. Spread: Home -2.5 / Away +2.5 -&gt; P(Away cover)=0.482, P(Home cover)=0.518, P(Push)=0.000.</t>
        </is>
      </c>
      <c r="AF488" s="31" t="inlineStr">
        <is>
          <t>College football model; multi-market (moneyline, spread, total).</t>
        </is>
      </c>
      <c r="AG488" s="24" t="inlineStr">
        <is>
          <t>not_applicable</t>
        </is>
      </c>
      <c r="AH488" s="24" t="n"/>
      <c r="AI488" s="31" t="n"/>
      <c r="AJ488" s="31" t="n"/>
      <c r="AK488" s="24" t="inlineStr">
        <is>
          <t>paper_call</t>
        </is>
      </c>
      <c r="AL488" s="26" t="n">
        <v>4</v>
      </c>
      <c r="AM488" s="24" t="inlineStr">
        <is>
          <t>RESEARCH_OBSERVATION</t>
        </is>
      </c>
      <c r="AN488" s="24" t="inlineStr">
        <is>
          <t>CALL</t>
        </is>
      </c>
      <c r="AO488" s="24" t="inlineStr">
        <is>
          <t>PAPER_CALL_LOW_EDGE</t>
        </is>
      </c>
      <c r="AP488" s="24" t="inlineStr">
        <is>
          <t>San Diego State Aztecs</t>
        </is>
      </c>
      <c r="AQ488" s="24" t="inlineStr">
        <is>
          <t>San Diego State Aztecs</t>
        </is>
      </c>
      <c r="AR488" s="24" t="inlineStr">
        <is>
          <t>San Diego State Aztecs</t>
        </is>
      </c>
      <c r="AS488" s="24" t="inlineStr">
        <is>
          <t>Toledo Rockets</t>
        </is>
      </c>
      <c r="AT488" s="24" t="inlineStr">
        <is>
          <t>Toledo Rockets</t>
        </is>
      </c>
      <c r="AU488" s="24" t="inlineStr">
        <is>
          <t>Toledo Rockets</t>
        </is>
      </c>
      <c r="AV488" s="24" t="n"/>
      <c r="AW488" s="24" t="n"/>
      <c r="AX488" s="24" t="inlineStr">
        <is>
          <t>statistical_model</t>
        </is>
      </c>
      <c r="AY488" s="24" t="n"/>
      <c r="AZ488" s="24" t="inlineStr">
        <is>
          <t>shadow_qualified</t>
        </is>
      </c>
      <c r="BA488" s="24" t="inlineStr">
        <is>
          <t>1d168f11d221cd3c</t>
        </is>
      </c>
      <c r="BB488" s="24" t="inlineStr">
        <is>
          <t>cfb_key_number_engine</t>
        </is>
      </c>
      <c r="BC488" s="24" t="inlineStr">
        <is>
          <t>cfb-spread-v1</t>
        </is>
      </c>
      <c r="BD488" s="24" t="inlineStr">
        <is>
          <t>1d168f11d221cd3c</t>
        </is>
      </c>
      <c r="BE488" s="24" t="inlineStr">
        <is>
          <t>cfb-v1</t>
        </is>
      </c>
      <c r="BF488" s="24" t="inlineStr">
        <is>
          <t>1</t>
        </is>
      </c>
      <c r="BG488" s="24" t="inlineStr">
        <is>
          <t>1d168f11d221cd3c</t>
        </is>
      </c>
      <c r="BH488" s="24" t="inlineStr">
        <is>
          <t>2026-09-26T15:01:01.506546+00:00</t>
        </is>
      </c>
      <c r="BI488" s="24" t="inlineStr">
        <is>
          <t>["same_event","same_team_same_day","same_league_same_day"]</t>
        </is>
      </c>
      <c r="BJ488" s="25" t="n">
        <v>-2.5</v>
      </c>
      <c r="BK488" s="26" t="n">
        <v>-118</v>
      </c>
      <c r="BL488" s="27" t="n">
        <v>1.847458</v>
      </c>
      <c r="BM488" s="28" t="n">
        <v>0.541284</v>
      </c>
      <c r="BN488" s="28" t="n"/>
      <c r="BO488" s="28" t="n"/>
      <c r="BP488" s="25" t="n"/>
      <c r="BQ488" s="27" t="n"/>
      <c r="BR488" s="28" t="n"/>
      <c r="BS488" s="28" t="n"/>
      <c r="BT488" s="28" t="n"/>
      <c r="BU488" s="25" t="n"/>
      <c r="BV488" s="29" t="n"/>
      <c r="BW488" s="24" t="n"/>
      <c r="BX488" s="30" t="n">
        <v>1</v>
      </c>
      <c r="BY488" s="27" t="n">
        <v>0.847458</v>
      </c>
      <c r="BZ488" s="24" t="inlineStr">
        <is>
          <t>2026-09-26T22:00:45.792353Z</t>
        </is>
      </c>
      <c r="CA488" s="31" t="inlineStr">
        <is>
          <t>fixed one-unit hypothetical scoring; no real exposure or execution</t>
        </is>
      </c>
      <c r="CB488" s="24" t="n"/>
      <c r="CC488" s="24" t="n"/>
      <c r="CD488" s="24" t="n"/>
      <c r="CE488" s="24" t="n"/>
      <c r="CF488" s="24" t="n"/>
      <c r="CG488" s="24" t="n"/>
      <c r="CH488" s="24" t="n"/>
      <c r="CI488" s="24" t="n"/>
      <c r="CJ488" s="24" t="n"/>
      <c r="CK488" s="24" t="n"/>
      <c r="CL488" s="24" t="n"/>
      <c r="CM488" s="24" t="n"/>
      <c r="CN488" s="24" t="n"/>
      <c r="CO488" s="24" t="n"/>
      <c r="CP488" s="24" t="n"/>
      <c r="CQ488" s="24" t="n"/>
      <c r="CR488" s="24" t="n"/>
      <c r="CS488" s="24" t="inlineStr">
        <is>
          <t>False</t>
        </is>
      </c>
      <c r="CT488" s="24" t="n"/>
      <c r="CU488" s="24" t="n"/>
      <c r="CV488" s="24" t="n"/>
      <c r="CW488" s="24" t="n"/>
      <c r="CX488" s="24" t="n"/>
      <c r="CY488" s="24" t="n"/>
      <c r="CZ488" s="24" t="n"/>
      <c r="DA488" s="24" t="n"/>
      <c r="DB488" s="24" t="n"/>
      <c r="DC488" s="24" t="n"/>
      <c r="DD488" s="24" t="n"/>
      <c r="DE488" s="24" t="n"/>
      <c r="DF488" s="24" t="n"/>
      <c r="DG488" s="24" t="n"/>
      <c r="DH488" s="24" t="n"/>
      <c r="DI488" s="24" t="n"/>
      <c r="DJ488" s="24" t="inlineStr">
        <is>
          <t>0.541284</t>
        </is>
      </c>
      <c r="DK488" s="24" t="n"/>
      <c r="DL488" s="24" t="n"/>
      <c r="DM488" s="24" t="n"/>
      <c r="DN488" s="24" t="n"/>
      <c r="DO488" s="24" t="n"/>
      <c r="DP488" s="24" t="n"/>
      <c r="DQ488" s="24" t="inlineStr">
        <is>
          <t>{"artifact_hash": "1d168f11d221cd3c", "event_id": "401860893", "event_start_utc": "2026-09-26T16:00Z", "features": {"altitude_fatigue_penalty": 0.0, "away_team": "San Diego State Aztecs", "efficiency_gap": -0.623, "elo_away": 1570.9, "elo_home": 1592.6, "elo_home_win_prob": 0.6222, "event_id": "401860893", "game_start_utc": "2026-09-26T16:00Z", "home_field_advantage_points": 2.8, "home_team": "Toledo Rockets", "is_dome": false, "is_fbs_vs_fcs": false, "is_neutral_site": false, "projected_away_points": 24.7, "projected_home_points": 28.2, "projected_margin_home": 3.5, "projected_possessions": 12.4, "projected_total": 52.9, "stadium_elevation_ft": 600, "travel_distance_miles": 1929.0, "uncertainty": 0.18, "weather_total_adjustment": 0.0}, "historical_source_observation_times_verified": false, "inference_inputs": {"engine_source_sha256": "449ba2f0e86fa9c445730076a0e0bf100fb4914620be53c75c6f3bfe24298f3f", "mu_away": 24.7, "mu_home": 28.2,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230204970677120288500982356378756223863}, "uinteger": 0}, "spread_home_line": -2.5, "total_line": 50.5}, "market_type": "spread", "model_version": "cfb-spread-v1", "observed_at_utc": "2026-09-26T15:01:01.506546+00:00", "probabilities": {"away": 0.4818, "home": 0.5182, "push": 0.0}, "replay_scope": "Full precision score means, exact engine parameters and original RNG state; upstream feature construction not certified.", "schema": "cfb-joint-replay-v1", "snapshot_hash": "49db344295b35962bf8ad0308308078f3577227461349f65792661111076135c", "sport": "NCAAF"}</t>
        </is>
      </c>
    </row>
    <row r="489" ht="36" customHeight="1">
      <c r="A489" s="24" t="inlineStr">
        <is>
          <t>8b46b7c90fb44601</t>
        </is>
      </c>
      <c r="B489" s="24" t="inlineStr">
        <is>
          <t>2026-09-26T15:01:01.506546Z</t>
        </is>
      </c>
      <c r="C489" s="24" t="inlineStr">
        <is>
          <t>2026-09-26T16:00Z</t>
        </is>
      </c>
      <c r="D489" s="24" t="inlineStr">
        <is>
          <t>401860893</t>
        </is>
      </c>
      <c r="E489" s="24" t="inlineStr">
        <is>
          <t>NCAAF</t>
        </is>
      </c>
      <c r="F489" s="24" t="inlineStr">
        <is>
          <t>San Diego State Aztecs</t>
        </is>
      </c>
      <c r="G489" s="24" t="inlineStr">
        <is>
          <t>Toledo Rockets</t>
        </is>
      </c>
      <c r="H489" s="24" t="inlineStr">
        <is>
          <t>total</t>
        </is>
      </c>
      <c r="I489" s="24" t="inlineStr">
        <is>
          <t>over</t>
        </is>
      </c>
      <c r="J489" s="25" t="n">
        <v>50.5</v>
      </c>
      <c r="K489" s="24" t="inlineStr">
        <is>
          <t>espn_consensus</t>
        </is>
      </c>
      <c r="L489" s="26" t="n">
        <v>-108</v>
      </c>
      <c r="M489" s="27" t="n">
        <v>1.925926</v>
      </c>
      <c r="N489" s="28" t="n">
        <v>0.519231</v>
      </c>
      <c r="O489" s="28" t="n">
        <v>0.513333</v>
      </c>
      <c r="P489" s="28" t="n">
        <v>0.18</v>
      </c>
      <c r="Q489" s="28" t="n">
        <v>-0.005898</v>
      </c>
      <c r="R489" s="26" t="n">
        <v>0</v>
      </c>
      <c r="S489" s="29" t="n">
        <v>1</v>
      </c>
      <c r="T489" s="24" t="inlineStr">
        <is>
          <t>cfb-total-v1</t>
        </is>
      </c>
      <c r="U489" s="24" t="inlineStr">
        <is>
          <t>settled</t>
        </is>
      </c>
      <c r="V489" s="24" t="inlineStr">
        <is>
          <t>win</t>
        </is>
      </c>
      <c r="W489" s="26" t="n">
        <v>16</v>
      </c>
      <c r="X489" s="26" t="n">
        <v>41</v>
      </c>
      <c r="Y489" s="25" t="n"/>
      <c r="Z489" s="26" t="n"/>
      <c r="AA489" s="28" t="n"/>
      <c r="AB489" s="28" t="n"/>
      <c r="AC489" s="30" t="n">
        <v>0.9258999999999999</v>
      </c>
      <c r="AD489" s="24" t="inlineStr">
        <is>
          <t>2026-09-26T22:00:46.358238Z</t>
        </is>
      </c>
      <c r="AE489" s="31" t="inlineStr">
        <is>
          <t>Projected total 52.9 pts (Weather adj: +0.0 pts). Total line 50.5 -&gt; P(Over)=0.513, P(Under)=0.487, P(Push)=0.000.</t>
        </is>
      </c>
      <c r="AF489" s="31" t="inlineStr">
        <is>
          <t>College football model; multi-market (moneyline, spread, total).</t>
        </is>
      </c>
      <c r="AG489" s="24" t="inlineStr">
        <is>
          <t>not_applicable</t>
        </is>
      </c>
      <c r="AH489" s="24" t="n"/>
      <c r="AI489" s="31" t="n"/>
      <c r="AJ489" s="31" t="n"/>
      <c r="AK489" s="24" t="inlineStr">
        <is>
          <t>paper_call</t>
        </is>
      </c>
      <c r="AL489" s="26" t="n">
        <v>4</v>
      </c>
      <c r="AM489" s="24" t="inlineStr">
        <is>
          <t>RESEARCH_OBSERVATION</t>
        </is>
      </c>
      <c r="AN489" s="24" t="inlineStr">
        <is>
          <t>CALL</t>
        </is>
      </c>
      <c r="AO489" s="24" t="inlineStr">
        <is>
          <t>PAPER_CALL_LOW_EDGE</t>
        </is>
      </c>
      <c r="AP489" s="24" t="inlineStr">
        <is>
          <t>San Diego State Aztecs</t>
        </is>
      </c>
      <c r="AQ489" s="24" t="inlineStr">
        <is>
          <t>San Diego State Aztecs</t>
        </is>
      </c>
      <c r="AR489" s="24" t="inlineStr">
        <is>
          <t>San Diego State Aztecs</t>
        </is>
      </c>
      <c r="AS489" s="24" t="inlineStr">
        <is>
          <t>Toledo Rockets</t>
        </is>
      </c>
      <c r="AT489" s="24" t="inlineStr">
        <is>
          <t>Toledo Rockets</t>
        </is>
      </c>
      <c r="AU489" s="24" t="inlineStr">
        <is>
          <t>Toledo Rockets</t>
        </is>
      </c>
      <c r="AV489" s="24" t="n"/>
      <c r="AW489" s="24" t="n"/>
      <c r="AX489" s="24" t="inlineStr">
        <is>
          <t>statistical_model</t>
        </is>
      </c>
      <c r="AY489" s="24" t="n"/>
      <c r="AZ489" s="24" t="inlineStr">
        <is>
          <t>shadow_qualified</t>
        </is>
      </c>
      <c r="BA489" s="24" t="inlineStr">
        <is>
          <t>1d168f11d221cd3c</t>
        </is>
      </c>
      <c r="BB489" s="24" t="inlineStr">
        <is>
          <t>cfb_key_number_engine</t>
        </is>
      </c>
      <c r="BC489" s="24" t="inlineStr">
        <is>
          <t>cfb-total-v1</t>
        </is>
      </c>
      <c r="BD489" s="24" t="inlineStr">
        <is>
          <t>1d168f11d221cd3c</t>
        </is>
      </c>
      <c r="BE489" s="24" t="inlineStr">
        <is>
          <t>cfb-v1</t>
        </is>
      </c>
      <c r="BF489" s="24" t="inlineStr">
        <is>
          <t>1</t>
        </is>
      </c>
      <c r="BG489" s="24" t="inlineStr">
        <is>
          <t>1d168f11d221cd3c</t>
        </is>
      </c>
      <c r="BH489" s="24" t="inlineStr">
        <is>
          <t>2026-09-26T15:01:01.506546+00:00</t>
        </is>
      </c>
      <c r="BI489" s="24" t="inlineStr">
        <is>
          <t>["same_event","same_team_same_day","same_league_same_day"]</t>
        </is>
      </c>
      <c r="BJ489" s="25" t="n">
        <v>50.5</v>
      </c>
      <c r="BK489" s="26" t="n">
        <v>-108</v>
      </c>
      <c r="BL489" s="27" t="n">
        <v>1.925926</v>
      </c>
      <c r="BM489" s="28" t="n">
        <v>0.519231</v>
      </c>
      <c r="BN489" s="28" t="n"/>
      <c r="BO489" s="28" t="n"/>
      <c r="BP489" s="25" t="n"/>
      <c r="BQ489" s="27" t="n"/>
      <c r="BR489" s="28" t="n"/>
      <c r="BS489" s="28" t="n"/>
      <c r="BT489" s="28" t="n"/>
      <c r="BU489" s="25" t="n"/>
      <c r="BV489" s="29" t="n"/>
      <c r="BW489" s="24" t="n"/>
      <c r="BX489" s="30" t="n">
        <v>1</v>
      </c>
      <c r="BY489" s="27" t="n">
        <v>0.925926</v>
      </c>
      <c r="BZ489" s="24" t="inlineStr">
        <is>
          <t>2026-09-26T22:00:46.358238Z</t>
        </is>
      </c>
      <c r="CA489" s="31" t="inlineStr">
        <is>
          <t>fixed one-unit hypothetical scoring; no real exposure or execution</t>
        </is>
      </c>
      <c r="CB489" s="24" t="n"/>
      <c r="CC489" s="24" t="n"/>
      <c r="CD489" s="24" t="n"/>
      <c r="CE489" s="24" t="n"/>
      <c r="CF489" s="24" t="n"/>
      <c r="CG489" s="24" t="n"/>
      <c r="CH489" s="24" t="n"/>
      <c r="CI489" s="24" t="n"/>
      <c r="CJ489" s="24" t="n"/>
      <c r="CK489" s="24" t="n"/>
      <c r="CL489" s="24" t="n"/>
      <c r="CM489" s="24" t="n"/>
      <c r="CN489" s="24" t="n"/>
      <c r="CO489" s="24" t="n"/>
      <c r="CP489" s="24" t="n"/>
      <c r="CQ489" s="24" t="n"/>
      <c r="CR489" s="24" t="n"/>
      <c r="CS489" s="24" t="inlineStr">
        <is>
          <t>False</t>
        </is>
      </c>
      <c r="CT489" s="24" t="n"/>
      <c r="CU489" s="24" t="n"/>
      <c r="CV489" s="24" t="n"/>
      <c r="CW489" s="24" t="n"/>
      <c r="CX489" s="24" t="n"/>
      <c r="CY489" s="24" t="n"/>
      <c r="CZ489" s="24" t="n"/>
      <c r="DA489" s="24" t="n"/>
      <c r="DB489" s="24" t="n"/>
      <c r="DC489" s="24" t="n"/>
      <c r="DD489" s="24" t="n"/>
      <c r="DE489" s="24" t="n"/>
      <c r="DF489" s="24" t="n"/>
      <c r="DG489" s="24" t="n"/>
      <c r="DH489" s="24" t="n"/>
      <c r="DI489" s="24" t="n"/>
      <c r="DJ489" s="24" t="inlineStr">
        <is>
          <t>0.519231</t>
        </is>
      </c>
      <c r="DK489" s="24" t="n"/>
      <c r="DL489" s="24" t="n"/>
      <c r="DM489" s="24" t="n"/>
      <c r="DN489" s="24" t="n"/>
      <c r="DO489" s="24" t="n"/>
      <c r="DP489" s="24" t="n"/>
      <c r="DQ489" s="24" t="inlineStr">
        <is>
          <t>{"artifact_hash": "1d168f11d221cd3c", "event_id": "401860893", "event_start_utc": "2026-09-26T16:00Z", "features": {"altitude_fatigue_penalty": 0.0, "away_team": "San Diego State Aztecs", "efficiency_gap": -0.623, "elo_away": 1570.9, "elo_home": 1592.6, "elo_home_win_prob": 0.6222, "event_id": "401860893", "game_start_utc": "2026-09-26T16:00Z", "home_field_advantage_points": 2.8, "home_team": "Toledo Rockets", "is_dome": false, "is_fbs_vs_fcs": false, "is_neutral_site": false, "projected_away_points": 24.7, "projected_home_points": 28.2, "projected_margin_home": 3.5, "projected_possessions": 12.4, "projected_total": 52.9, "stadium_elevation_ft": 600, "travel_distance_miles": 1929.0, "uncertainty": 0.18, "weather_total_adjustment": 0.0}, "historical_source_observation_times_verified": false, "inference_inputs": {"engine_source_sha256": "449ba2f0e86fa9c445730076a0e0bf100fb4914620be53c75c6f3bfe24298f3f", "mu_away": 24.7, "mu_home": 28.2,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230204970677120288500982356378756223863}, "uinteger": 0}, "spread_home_line": -2.5, "total_line": 50.5}, "market_type": "total", "model_version": "cfb-total-v1", "observed_at_utc": "2026-09-26T15:01:01.506546+00:00", "probabilities": {"over": 0.513333, "push": 0.0, "under": 0.486667}, "replay_scope": "Full precision score means, exact engine parameters and original RNG state; upstream feature construction not certified.", "schema": "cfb-joint-replay-v1", "snapshot_hash": "2899b2900951b130704e17f88b4a57653e7040ab35d608c9fc04a9d37308a7d1", "sport": "NCAAF"}</t>
        </is>
      </c>
    </row>
    <row r="490" ht="36" customHeight="1">
      <c r="A490" s="24" t="inlineStr">
        <is>
          <t>6443b2ce478646d1</t>
        </is>
      </c>
      <c r="B490" s="24" t="inlineStr">
        <is>
          <t>2026-09-26T15:01:01.506546Z</t>
        </is>
      </c>
      <c r="C490" s="24" t="inlineStr">
        <is>
          <t>2026-09-26T16:00Z</t>
        </is>
      </c>
      <c r="D490" s="24" t="inlineStr">
        <is>
          <t>401860896</t>
        </is>
      </c>
      <c r="E490" s="24" t="inlineStr">
        <is>
          <t>NCAAF</t>
        </is>
      </c>
      <c r="F490" s="24" t="inlineStr">
        <is>
          <t>Colorado State Rams</t>
        </is>
      </c>
      <c r="G490" s="24" t="inlineStr">
        <is>
          <t>UTSA Roadrunners</t>
        </is>
      </c>
      <c r="H490" s="24" t="inlineStr">
        <is>
          <t>moneyline</t>
        </is>
      </c>
      <c r="I490" s="24" t="inlineStr">
        <is>
          <t>home</t>
        </is>
      </c>
      <c r="J490" s="25" t="n"/>
      <c r="K490" s="24" t="inlineStr">
        <is>
          <t>espn_consensus</t>
        </is>
      </c>
      <c r="L490" s="26" t="n">
        <v>-675</v>
      </c>
      <c r="M490" s="27" t="n">
        <v>1.148148</v>
      </c>
      <c r="N490" s="28" t="n">
        <v>0.870968</v>
      </c>
      <c r="O490" s="28" t="n">
        <v>0.720163</v>
      </c>
      <c r="P490" s="28" t="n">
        <v>0.18</v>
      </c>
      <c r="Q490" s="28" t="n">
        <v>-0.150805</v>
      </c>
      <c r="R490" s="26" t="n">
        <v>0</v>
      </c>
      <c r="S490" s="29" t="n">
        <v>1</v>
      </c>
      <c r="T490" s="24" t="inlineStr">
        <is>
          <t>college-football-v1</t>
        </is>
      </c>
      <c r="U490" s="24" t="inlineStr">
        <is>
          <t>settled</t>
        </is>
      </c>
      <c r="V490" s="24" t="inlineStr">
        <is>
          <t>win</t>
        </is>
      </c>
      <c r="W490" s="26" t="n">
        <v>45</v>
      </c>
      <c r="X490" s="26" t="n">
        <v>59</v>
      </c>
      <c r="Y490" s="25" t="n"/>
      <c r="Z490" s="26" t="n"/>
      <c r="AA490" s="28" t="n"/>
      <c r="AB490" s="28" t="n"/>
      <c r="AC490" s="30" t="n">
        <v>0.1481</v>
      </c>
      <c r="AD490" s="24" t="inlineStr">
        <is>
          <t>2026-09-26T22:00:46.972180Z</t>
        </is>
      </c>
      <c r="AE490" s="31" t="inlineStr">
        <is>
          <t>CFB Joint Model (negative_binomial): proj score Colorado State Rams 21.5 @ UTSA Roadrunners 32.6 (Margin +11.1). Possessions: 12.4, HFA: +2.8 pts.</t>
        </is>
      </c>
      <c r="AF490" s="31" t="inlineStr">
        <is>
          <t>College football model; multi-market (moneyline, spread, total).</t>
        </is>
      </c>
      <c r="AG490" s="24" t="inlineStr">
        <is>
          <t>not_applicable</t>
        </is>
      </c>
      <c r="AH490" s="24" t="n"/>
      <c r="AI490" s="31" t="n"/>
      <c r="AJ490" s="31" t="n"/>
      <c r="AK490" s="24" t="inlineStr">
        <is>
          <t>paper_call</t>
        </is>
      </c>
      <c r="AL490" s="26" t="n">
        <v>4</v>
      </c>
      <c r="AM490" s="24" t="inlineStr">
        <is>
          <t>RESEARCH_OBSERVATION</t>
        </is>
      </c>
      <c r="AN490" s="24" t="inlineStr">
        <is>
          <t>CALL</t>
        </is>
      </c>
      <c r="AO490" s="24" t="inlineStr">
        <is>
          <t>PAPER_CALL_LOW_EDGE</t>
        </is>
      </c>
      <c r="AP490" s="24" t="inlineStr">
        <is>
          <t>Colorado State Rams</t>
        </is>
      </c>
      <c r="AQ490" s="24" t="inlineStr">
        <is>
          <t>Colorado State Rams</t>
        </is>
      </c>
      <c r="AR490" s="24" t="inlineStr">
        <is>
          <t>Colorado State Rams</t>
        </is>
      </c>
      <c r="AS490" s="24" t="inlineStr">
        <is>
          <t>UTSA Roadrunners</t>
        </is>
      </c>
      <c r="AT490" s="24" t="inlineStr">
        <is>
          <t>UTSA Roadrunners</t>
        </is>
      </c>
      <c r="AU490" s="24" t="inlineStr">
        <is>
          <t>UTSA Roadrunners</t>
        </is>
      </c>
      <c r="AV490" s="24" t="n"/>
      <c r="AW490" s="24" t="n"/>
      <c r="AX490" s="24" t="inlineStr">
        <is>
          <t>statistical_model</t>
        </is>
      </c>
      <c r="AY490" s="24" t="n"/>
      <c r="AZ490" s="24" t="inlineStr">
        <is>
          <t>shadow_qualified</t>
        </is>
      </c>
      <c r="BA490" s="24" t="inlineStr">
        <is>
          <t>1d168f11d221cd3c</t>
        </is>
      </c>
      <c r="BB490" s="24" t="inlineStr">
        <is>
          <t>cfb_key_number_engine</t>
        </is>
      </c>
      <c r="BC490" s="24" t="inlineStr">
        <is>
          <t>college-football-v1</t>
        </is>
      </c>
      <c r="BD490" s="24" t="inlineStr">
        <is>
          <t>1d168f11d221cd3c</t>
        </is>
      </c>
      <c r="BE490" s="24" t="inlineStr">
        <is>
          <t>cfb-v1</t>
        </is>
      </c>
      <c r="BF490" s="24" t="inlineStr">
        <is>
          <t>1</t>
        </is>
      </c>
      <c r="BG490" s="24" t="inlineStr">
        <is>
          <t>1d168f11d221cd3c</t>
        </is>
      </c>
      <c r="BH490" s="24" t="inlineStr">
        <is>
          <t>2026-09-26T15:01:01.506546+00:00</t>
        </is>
      </c>
      <c r="BI490" s="24" t="inlineStr">
        <is>
          <t>["same_event","same_team_same_day","same_league_same_day"]</t>
        </is>
      </c>
      <c r="BJ490" s="25" t="n"/>
      <c r="BK490" s="26" t="n">
        <v>-675</v>
      </c>
      <c r="BL490" s="27" t="n">
        <v>1.148148</v>
      </c>
      <c r="BM490" s="28" t="n">
        <v>0.870968</v>
      </c>
      <c r="BN490" s="28" t="n"/>
      <c r="BO490" s="28" t="n"/>
      <c r="BP490" s="25" t="n"/>
      <c r="BQ490" s="27" t="n"/>
      <c r="BR490" s="28" t="n"/>
      <c r="BS490" s="28" t="n"/>
      <c r="BT490" s="28" t="n"/>
      <c r="BU490" s="25" t="n"/>
      <c r="BV490" s="29" t="n"/>
      <c r="BW490" s="24" t="n"/>
      <c r="BX490" s="30" t="n">
        <v>1</v>
      </c>
      <c r="BY490" s="27" t="n">
        <v>0.148148</v>
      </c>
      <c r="BZ490" s="24" t="inlineStr">
        <is>
          <t>2026-09-26T22:00:46.972180Z</t>
        </is>
      </c>
      <c r="CA490" s="31" t="inlineStr">
        <is>
          <t>fixed one-unit hypothetical scoring; no real exposure or execution</t>
        </is>
      </c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inlineStr">
        <is>
          <t>False</t>
        </is>
      </c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n"/>
      <c r="DE490" s="24" t="n"/>
      <c r="DF490" s="24" t="n"/>
      <c r="DG490" s="24" t="n"/>
      <c r="DH490" s="24" t="n"/>
      <c r="DI490" s="24" t="n"/>
      <c r="DJ490" s="24" t="inlineStr">
        <is>
          <t>0.870968</t>
        </is>
      </c>
      <c r="DK490" s="24" t="n"/>
      <c r="DL490" s="24" t="n"/>
      <c r="DM490" s="24" t="n"/>
      <c r="DN490" s="24" t="n"/>
      <c r="DO490" s="24" t="n"/>
      <c r="DP490" s="24" t="n"/>
      <c r="DQ490" s="24" t="inlineStr">
        <is>
          <t>{"artifact_hash": "1d168f11d221cd3c", "event_id": "401860896", "event_start_utc": "2026-09-26T16:00Z", "features": {"altitude_fatigue_penalty": 0.0, "away_team": "Colorado State Rams", "efficiency_gap": -0.766, "elo_away": 1327.7, "elo_home": 1534.1, "elo_home_win_prob": 0.8266, "event_id": "401860896", "game_start_utc": "2026-09-26T16:00Z", "home_field_advantage_points": 2.8, "home_team": "UTSA Roadrunners", "is_dome": true, "is_fbs_vs_fcs": false, "is_neutral_site": false, "projected_away_points": 21.5, "projected_home_points": 32.6, "projected_margin_home": 11.1, "projected_possessions": 12.4, "projected_total": 54.1, "stadium_elevation_ft": 650, "travel_distance_miles": 856.0, "uncertainty": 0.18, "weather_total_adjustment": 0.0}, "historical_source_observation_times_verified": false, "inference_inputs": {"engine_source_sha256": "449ba2f0e86fa9c445730076a0e0bf100fb4914620be53c75c6f3bfe24298f3f", "mu_away": 21.5, "mu_home": 32.6,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26409518979068821641979625339491850430}, "uinteger": 0}, "spread_home_line": -14.5, "total_line": 57.5}, "market_type": "moneyline", "model_version": "college-football-v1", "observed_at_utc": "2026-09-26T15:01:01.506546+00:00", "probabilities": {"away": 0.279837, "home": 0.720163}, "replay_scope": "Full precision score means, exact engine parameters and original RNG state; upstream feature construction not certified.", "schema": "cfb-joint-replay-v1", "snapshot_hash": "beb37319981e3ba7e93cfd8e602059286ce8bed838767970ab86e5ef8e5e1591", "sport": "NCAAF"}</t>
        </is>
      </c>
    </row>
    <row r="491" ht="36" customHeight="1">
      <c r="A491" s="24" t="inlineStr">
        <is>
          <t>92f2496148b249ea</t>
        </is>
      </c>
      <c r="B491" s="24" t="inlineStr">
        <is>
          <t>2026-09-26T15:01:01.506546Z</t>
        </is>
      </c>
      <c r="C491" s="24" t="inlineStr">
        <is>
          <t>2026-09-26T16:00Z</t>
        </is>
      </c>
      <c r="D491" s="24" t="inlineStr">
        <is>
          <t>401860896</t>
        </is>
      </c>
      <c r="E491" s="24" t="inlineStr">
        <is>
          <t>NCAAF</t>
        </is>
      </c>
      <c r="F491" s="24" t="inlineStr">
        <is>
          <t>Colorado State Rams</t>
        </is>
      </c>
      <c r="G491" s="24" t="inlineStr">
        <is>
          <t>UTSA Roadrunners</t>
        </is>
      </c>
      <c r="H491" s="24" t="inlineStr">
        <is>
          <t>spread</t>
        </is>
      </c>
      <c r="I491" s="24" t="inlineStr">
        <is>
          <t>away</t>
        </is>
      </c>
      <c r="J491" s="25" t="n">
        <v>14.5</v>
      </c>
      <c r="K491" s="24" t="inlineStr">
        <is>
          <t>espn_consensus</t>
        </is>
      </c>
      <c r="L491" s="26" t="n">
        <v>-115</v>
      </c>
      <c r="M491" s="27" t="n">
        <v>1.869565</v>
      </c>
      <c r="N491" s="28" t="n">
        <v>0.534884</v>
      </c>
      <c r="O491" s="28" t="n">
        <v>0.567067</v>
      </c>
      <c r="P491" s="28" t="n">
        <v>0.18</v>
      </c>
      <c r="Q491" s="28" t="n">
        <v>0.032183</v>
      </c>
      <c r="R491" s="26" t="n">
        <v>0</v>
      </c>
      <c r="S491" s="29" t="n">
        <v>1</v>
      </c>
      <c r="T491" s="24" t="inlineStr">
        <is>
          <t>cfb-spread-v1</t>
        </is>
      </c>
      <c r="U491" s="24" t="inlineStr">
        <is>
          <t>settled</t>
        </is>
      </c>
      <c r="V491" s="24" t="inlineStr">
        <is>
          <t>win</t>
        </is>
      </c>
      <c r="W491" s="26" t="n">
        <v>45</v>
      </c>
      <c r="X491" s="26" t="n">
        <v>59</v>
      </c>
      <c r="Y491" s="25" t="n"/>
      <c r="Z491" s="26" t="n"/>
      <c r="AA491" s="28" t="n"/>
      <c r="AB491" s="28" t="n"/>
      <c r="AC491" s="30" t="n">
        <v>0.8696</v>
      </c>
      <c r="AD491" s="24" t="inlineStr">
        <is>
          <t>2026-09-26T22:00:47.456849Z</t>
        </is>
      </c>
      <c r="AE491" s="31" t="inlineStr">
        <is>
          <t>Projected home margin +11.1 pts. Spread: Home -14.5 / Away +14.5 -&gt; P(Away cover)=0.567, P(Home cover)=0.433, P(Push)=0.000.</t>
        </is>
      </c>
      <c r="AF491" s="31" t="inlineStr">
        <is>
          <t>College football model; multi-market (moneyline, spread, total).</t>
        </is>
      </c>
      <c r="AG491" s="24" t="inlineStr">
        <is>
          <t>not_applicable</t>
        </is>
      </c>
      <c r="AH491" s="24" t="n"/>
      <c r="AI491" s="31" t="n"/>
      <c r="AJ491" s="31" t="n"/>
      <c r="AK491" s="24" t="inlineStr">
        <is>
          <t>model_qualified</t>
        </is>
      </c>
      <c r="AL491" s="26" t="n">
        <v>4</v>
      </c>
      <c r="AM491" s="24" t="inlineStr">
        <is>
          <t>QUALIFIED_SHADOW_CALL</t>
        </is>
      </c>
      <c r="AN491" s="24" t="inlineStr">
        <is>
          <t>CALL</t>
        </is>
      </c>
      <c r="AO491" s="24" t="inlineStr">
        <is>
          <t>QUALIFIED</t>
        </is>
      </c>
      <c r="AP491" s="24" t="inlineStr">
        <is>
          <t>Colorado State Rams</t>
        </is>
      </c>
      <c r="AQ491" s="24" t="inlineStr">
        <is>
          <t>Colorado State Rams</t>
        </is>
      </c>
      <c r="AR491" s="24" t="inlineStr">
        <is>
          <t>Colorado State Rams</t>
        </is>
      </c>
      <c r="AS491" s="24" t="inlineStr">
        <is>
          <t>UTSA Roadrunners</t>
        </is>
      </c>
      <c r="AT491" s="24" t="inlineStr">
        <is>
          <t>UTSA Roadrunners</t>
        </is>
      </c>
      <c r="AU491" s="24" t="inlineStr">
        <is>
          <t>UTSA Roadrunners</t>
        </is>
      </c>
      <c r="AV491" s="24" t="n"/>
      <c r="AW491" s="24" t="n"/>
      <c r="AX491" s="24" t="inlineStr">
        <is>
          <t>statistical_model</t>
        </is>
      </c>
      <c r="AY491" s="24" t="n"/>
      <c r="AZ491" s="24" t="inlineStr">
        <is>
          <t>shadow_qualified</t>
        </is>
      </c>
      <c r="BA491" s="24" t="inlineStr">
        <is>
          <t>1d168f11d221cd3c</t>
        </is>
      </c>
      <c r="BB491" s="24" t="inlineStr">
        <is>
          <t>cfb_key_number_engine</t>
        </is>
      </c>
      <c r="BC491" s="24" t="inlineStr">
        <is>
          <t>cfb-spread-v1</t>
        </is>
      </c>
      <c r="BD491" s="24" t="inlineStr">
        <is>
          <t>1d168f11d221cd3c</t>
        </is>
      </c>
      <c r="BE491" s="24" t="inlineStr">
        <is>
          <t>cfb-v1</t>
        </is>
      </c>
      <c r="BF491" s="24" t="inlineStr">
        <is>
          <t>1</t>
        </is>
      </c>
      <c r="BG491" s="24" t="inlineStr">
        <is>
          <t>1d168f11d221cd3c</t>
        </is>
      </c>
      <c r="BH491" s="24" t="inlineStr">
        <is>
          <t>2026-09-26T15:01:01.506546+00:00</t>
        </is>
      </c>
      <c r="BI491" s="24" t="inlineStr">
        <is>
          <t>["same_event","same_team_same_day","same_league_same_day"]</t>
        </is>
      </c>
      <c r="BJ491" s="25" t="n">
        <v>14.5</v>
      </c>
      <c r="BK491" s="26" t="n">
        <v>-115</v>
      </c>
      <c r="BL491" s="27" t="n">
        <v>1.869565</v>
      </c>
      <c r="BM491" s="28" t="n">
        <v>0.534884</v>
      </c>
      <c r="BN491" s="28" t="n"/>
      <c r="BO491" s="28" t="n"/>
      <c r="BP491" s="25" t="n"/>
      <c r="BQ491" s="27" t="n"/>
      <c r="BR491" s="28" t="n"/>
      <c r="BS491" s="28" t="n"/>
      <c r="BT491" s="28" t="n"/>
      <c r="BU491" s="25" t="n"/>
      <c r="BV491" s="29" t="n"/>
      <c r="BW491" s="24" t="n"/>
      <c r="BX491" s="30" t="n"/>
      <c r="BY491" s="27" t="n"/>
      <c r="BZ491" s="24" t="n"/>
      <c r="CA491" s="31" t="n"/>
      <c r="CB491" s="24" t="n"/>
      <c r="CC491" s="24" t="n"/>
      <c r="CD491" s="24" t="n"/>
      <c r="CE491" s="24" t="n"/>
      <c r="CF491" s="24" t="n"/>
      <c r="CG491" s="24" t="n"/>
      <c r="CH491" s="24" t="n"/>
      <c r="CI491" s="24" t="n"/>
      <c r="CJ491" s="24" t="n"/>
      <c r="CK491" s="24" t="n"/>
      <c r="CL491" s="24" t="n"/>
      <c r="CM491" s="24" t="n"/>
      <c r="CN491" s="24" t="n"/>
      <c r="CO491" s="24" t="n"/>
      <c r="CP491" s="24" t="n"/>
      <c r="CQ491" s="24" t="n"/>
      <c r="CR491" s="24" t="n"/>
      <c r="CS491" s="24" t="inlineStr">
        <is>
          <t>True</t>
        </is>
      </c>
      <c r="CT491" s="24" t="n"/>
      <c r="CU491" s="24" t="n"/>
      <c r="CV491" s="24" t="n"/>
      <c r="CW491" s="24" t="n"/>
      <c r="CX491" s="24" t="n"/>
      <c r="CY491" s="24" t="n"/>
      <c r="CZ491" s="24" t="n"/>
      <c r="DA491" s="24" t="n"/>
      <c r="DB491" s="24" t="n"/>
      <c r="DC491" s="24" t="n"/>
      <c r="DD491" s="24" t="n"/>
      <c r="DE491" s="24" t="n"/>
      <c r="DF491" s="24" t="n"/>
      <c r="DG491" s="24" t="n"/>
      <c r="DH491" s="24" t="n"/>
      <c r="DI491" s="24" t="n"/>
      <c r="DJ491" s="24" t="inlineStr">
        <is>
          <t>0.534884</t>
        </is>
      </c>
      <c r="DK491" s="24" t="n"/>
      <c r="DL491" s="24" t="n"/>
      <c r="DM491" s="24" t="n"/>
      <c r="DN491" s="24" t="n"/>
      <c r="DO491" s="24" t="n"/>
      <c r="DP491" s="24" t="n"/>
      <c r="DQ491" s="24" t="inlineStr">
        <is>
          <t>{"artifact_hash": "1d168f11d221cd3c", "event_id": "401860896", "event_start_utc": "2026-09-26T16:00Z", "features": {"altitude_fatigue_penalty": 0.0, "away_team": "Colorado State Rams", "efficiency_gap": -0.766, "elo_away": 1327.7, "elo_home": 1534.1, "elo_home_win_prob": 0.8266, "event_id": "401860896", "game_start_utc": "2026-09-26T16:00Z", "home_field_advantage_points": 2.8, "home_team": "UTSA Roadrunners", "is_dome": true, "is_fbs_vs_fcs": false, "is_neutral_site": false, "projected_away_points": 21.5, "projected_home_points": 32.6, "projected_margin_home": 11.1, "projected_possessions": 12.4, "projected_total": 54.1, "stadium_elevation_ft": 650, "travel_distance_miles": 856.0, "uncertainty": 0.18, "weather_total_adjustment": 0.0}, "historical_source_observation_times_verified": false, "inference_inputs": {"engine_source_sha256": "449ba2f0e86fa9c445730076a0e0bf100fb4914620be53c75c6f3bfe24298f3f", "mu_away": 21.5, "mu_home": 32.6,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26409518979068821641979625339491850430}, "uinteger": 0}, "spread_home_line": -14.5, "total_line": 57.5}, "market_type": "spread", "model_version": "cfb-spread-v1", "observed_at_utc": "2026-09-26T15:01:01.506546+00:00", "probabilities": {"away": 0.567067, "home": 0.432933, "push": 0.0}, "replay_scope": "Full precision score means, exact engine parameters and original RNG state; upstream feature construction not certified.", "schema": "cfb-joint-replay-v1", "snapshot_hash": "66d39cacda11ce7fb9a9fbc00682df94d848f1bcb8358b04a67af1cade6adb29", "sport": "NCAAF"}</t>
        </is>
      </c>
    </row>
    <row r="492" ht="36" customHeight="1">
      <c r="A492" s="24" t="inlineStr">
        <is>
          <t>1f0f91e5bd1847d9</t>
        </is>
      </c>
      <c r="B492" s="24" t="inlineStr">
        <is>
          <t>2026-09-26T15:01:01.506546Z</t>
        </is>
      </c>
      <c r="C492" s="24" t="inlineStr">
        <is>
          <t>2026-09-26T16:00Z</t>
        </is>
      </c>
      <c r="D492" s="24" t="inlineStr">
        <is>
          <t>401860896</t>
        </is>
      </c>
      <c r="E492" s="24" t="inlineStr">
        <is>
          <t>NCAAF</t>
        </is>
      </c>
      <c r="F492" s="24" t="inlineStr">
        <is>
          <t>Colorado State Rams</t>
        </is>
      </c>
      <c r="G492" s="24" t="inlineStr">
        <is>
          <t>UTSA Roadrunners</t>
        </is>
      </c>
      <c r="H492" s="24" t="inlineStr">
        <is>
          <t>total</t>
        </is>
      </c>
      <c r="I492" s="24" t="inlineStr">
        <is>
          <t>under</t>
        </is>
      </c>
      <c r="J492" s="25" t="n">
        <v>57.5</v>
      </c>
      <c r="K492" s="24" t="inlineStr">
        <is>
          <t>espn_consensus</t>
        </is>
      </c>
      <c r="L492" s="26" t="n">
        <v>-112</v>
      </c>
      <c r="M492" s="27" t="n">
        <v>1.892857</v>
      </c>
      <c r="N492" s="28" t="n">
        <v>0.528302</v>
      </c>
      <c r="O492" s="28" t="n">
        <v>0.586</v>
      </c>
      <c r="P492" s="28" t="n">
        <v>0.18</v>
      </c>
      <c r="Q492" s="28" t="n">
        <v>0.057698</v>
      </c>
      <c r="R492" s="26" t="n">
        <v>0</v>
      </c>
      <c r="S492" s="29" t="n">
        <v>1</v>
      </c>
      <c r="T492" s="24" t="inlineStr">
        <is>
          <t>cfb-total-v1</t>
        </is>
      </c>
      <c r="U492" s="24" t="inlineStr">
        <is>
          <t>settled</t>
        </is>
      </c>
      <c r="V492" s="24" t="inlineStr">
        <is>
          <t>loss</t>
        </is>
      </c>
      <c r="W492" s="26" t="n">
        <v>45</v>
      </c>
      <c r="X492" s="26" t="n">
        <v>59</v>
      </c>
      <c r="Y492" s="25" t="n"/>
      <c r="Z492" s="26" t="n"/>
      <c r="AA492" s="28" t="n"/>
      <c r="AB492" s="28" t="n"/>
      <c r="AC492" s="30" t="n">
        <v>-1</v>
      </c>
      <c r="AD492" s="24" t="inlineStr">
        <is>
          <t>2026-09-26T22:00:48.016149Z</t>
        </is>
      </c>
      <c r="AE492" s="31" t="inlineStr">
        <is>
          <t>Projected total 54.1 pts (Weather adj: +0.0 pts). Total line 57.5 -&gt; P(Over)=0.414, P(Under)=0.586, P(Push)=0.000.</t>
        </is>
      </c>
      <c r="AF492" s="31" t="inlineStr">
        <is>
          <t>College football model; multi-market (moneyline, spread, total).</t>
        </is>
      </c>
      <c r="AG492" s="24" t="inlineStr">
        <is>
          <t>review_required</t>
        </is>
      </c>
      <c r="AH492" s="24" t="n"/>
      <c r="AI492" s="31" t="n"/>
      <c r="AJ492" s="31" t="n"/>
      <c r="AK492" s="24" t="inlineStr">
        <is>
          <t>model_qualified</t>
        </is>
      </c>
      <c r="AL492" s="26" t="n">
        <v>4</v>
      </c>
      <c r="AM492" s="24" t="inlineStr">
        <is>
          <t>QUALIFIED_SHADOW_CALL</t>
        </is>
      </c>
      <c r="AN492" s="24" t="inlineStr">
        <is>
          <t>CALL</t>
        </is>
      </c>
      <c r="AO492" s="24" t="inlineStr">
        <is>
          <t>QUALIFIED</t>
        </is>
      </c>
      <c r="AP492" s="24" t="inlineStr">
        <is>
          <t>Colorado State Rams</t>
        </is>
      </c>
      <c r="AQ492" s="24" t="inlineStr">
        <is>
          <t>Colorado State Rams</t>
        </is>
      </c>
      <c r="AR492" s="24" t="inlineStr">
        <is>
          <t>Colorado State Rams</t>
        </is>
      </c>
      <c r="AS492" s="24" t="inlineStr">
        <is>
          <t>UTSA Roadrunners</t>
        </is>
      </c>
      <c r="AT492" s="24" t="inlineStr">
        <is>
          <t>UTSA Roadrunners</t>
        </is>
      </c>
      <c r="AU492" s="24" t="inlineStr">
        <is>
          <t>UTSA Roadrunners</t>
        </is>
      </c>
      <c r="AV492" s="24" t="n"/>
      <c r="AW492" s="24" t="n"/>
      <c r="AX492" s="24" t="inlineStr">
        <is>
          <t>statistical_model</t>
        </is>
      </c>
      <c r="AY492" s="24" t="n"/>
      <c r="AZ492" s="24" t="inlineStr">
        <is>
          <t>shadow_qualified</t>
        </is>
      </c>
      <c r="BA492" s="24" t="inlineStr">
        <is>
          <t>1d168f11d221cd3c</t>
        </is>
      </c>
      <c r="BB492" s="24" t="inlineStr">
        <is>
          <t>cfb_key_number_engine</t>
        </is>
      </c>
      <c r="BC492" s="24" t="inlineStr">
        <is>
          <t>cfb-total-v1</t>
        </is>
      </c>
      <c r="BD492" s="24" t="inlineStr">
        <is>
          <t>1d168f11d221cd3c</t>
        </is>
      </c>
      <c r="BE492" s="24" t="inlineStr">
        <is>
          <t>cfb-v1</t>
        </is>
      </c>
      <c r="BF492" s="24" t="inlineStr">
        <is>
          <t>1</t>
        </is>
      </c>
      <c r="BG492" s="24" t="inlineStr">
        <is>
          <t>1d168f11d221cd3c</t>
        </is>
      </c>
      <c r="BH492" s="24" t="inlineStr">
        <is>
          <t>2026-09-26T15:01:01.506546+00:00</t>
        </is>
      </c>
      <c r="BI492" s="24" t="inlineStr">
        <is>
          <t>["same_event","same_team_same_day","same_league_same_day"]</t>
        </is>
      </c>
      <c r="BJ492" s="25" t="n">
        <v>57.5</v>
      </c>
      <c r="BK492" s="26" t="n">
        <v>-112</v>
      </c>
      <c r="BL492" s="27" t="n">
        <v>1.892857</v>
      </c>
      <c r="BM492" s="28" t="n">
        <v>0.528302</v>
      </c>
      <c r="BN492" s="28" t="n"/>
      <c r="BO492" s="28" t="n"/>
      <c r="BP492" s="25" t="n"/>
      <c r="BQ492" s="27" t="n"/>
      <c r="BR492" s="28" t="n"/>
      <c r="BS492" s="28" t="n"/>
      <c r="BT492" s="28" t="n"/>
      <c r="BU492" s="25" t="n"/>
      <c r="BV492" s="29" t="n"/>
      <c r="BW492" s="24" t="n"/>
      <c r="BX492" s="30" t="n"/>
      <c r="BY492" s="27" t="n"/>
      <c r="BZ492" s="24" t="n"/>
      <c r="CA492" s="31" t="n"/>
      <c r="CB492" s="24" t="n"/>
      <c r="CC492" s="24" t="n"/>
      <c r="CD492" s="24" t="n"/>
      <c r="CE492" s="24" t="n"/>
      <c r="CF492" s="24" t="n"/>
      <c r="CG492" s="24" t="n"/>
      <c r="CH492" s="24" t="n"/>
      <c r="CI492" s="24" t="n"/>
      <c r="CJ492" s="24" t="n"/>
      <c r="CK492" s="24" t="n"/>
      <c r="CL492" s="24" t="n"/>
      <c r="CM492" s="24" t="n"/>
      <c r="CN492" s="24" t="n"/>
      <c r="CO492" s="24" t="n"/>
      <c r="CP492" s="24" t="n"/>
      <c r="CQ492" s="24" t="n"/>
      <c r="CR492" s="24" t="n"/>
      <c r="CS492" s="24" t="inlineStr">
        <is>
          <t>True</t>
        </is>
      </c>
      <c r="CT492" s="24" t="n"/>
      <c r="CU492" s="24" t="n"/>
      <c r="CV492" s="24" t="n"/>
      <c r="CW492" s="24" t="n"/>
      <c r="CX492" s="24" t="n"/>
      <c r="CY492" s="24" t="n"/>
      <c r="CZ492" s="24" t="n"/>
      <c r="DA492" s="24" t="n"/>
      <c r="DB492" s="24" t="n"/>
      <c r="DC492" s="24" t="n"/>
      <c r="DD492" s="24" t="n"/>
      <c r="DE492" s="24" t="n"/>
      <c r="DF492" s="24" t="n"/>
      <c r="DG492" s="24" t="n"/>
      <c r="DH492" s="24" t="n"/>
      <c r="DI492" s="24" t="n"/>
      <c r="DJ492" s="24" t="inlineStr">
        <is>
          <t>0.528302</t>
        </is>
      </c>
      <c r="DK492" s="24" t="n"/>
      <c r="DL492" s="24" t="n"/>
      <c r="DM492" s="24" t="n"/>
      <c r="DN492" s="24" t="n"/>
      <c r="DO492" s="24" t="n"/>
      <c r="DP492" s="24" t="n"/>
      <c r="DQ492" s="24" t="inlineStr">
        <is>
          <t>{"artifact_hash": "1d168f11d221cd3c", "event_id": "401860896", "event_start_utc": "2026-09-26T16:00Z", "features": {"altitude_fatigue_penalty": 0.0, "away_team": "Colorado State Rams", "efficiency_gap": -0.766, "elo_away": 1327.7, "elo_home": 1534.1, "elo_home_win_prob": 0.8266, "event_id": "401860896", "game_start_utc": "2026-09-26T16:00Z", "home_field_advantage_points": 2.8, "home_team": "UTSA Roadrunners", "is_dome": true, "is_fbs_vs_fcs": false, "is_neutral_site": false, "projected_away_points": 21.5, "projected_home_points": 32.6, "projected_margin_home": 11.1, "projected_possessions": 12.4, "projected_total": 54.1, "stadium_elevation_ft": 650, "travel_distance_miles": 856.0, "uncertainty": 0.18, "weather_total_adjustment": 0.0}, "historical_source_observation_times_verified": false, "inference_inputs": {"engine_source_sha256": "449ba2f0e86fa9c445730076a0e0bf100fb4914620be53c75c6f3bfe24298f3f", "mu_away": 21.5, "mu_home": 32.6,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26409518979068821641979625339491850430}, "uinteger": 0}, "spread_home_line": -14.5, "total_line": 57.5}, "market_type": "total", "model_version": "cfb-total-v1", "observed_at_utc": "2026-09-26T15:01:01.506546+00:00", "probabilities": {"over": 0.414, "push": 0.0, "under": 0.586}, "replay_scope": "Full precision score means, exact engine parameters and original RNG state; upstream feature construction not certified.", "schema": "cfb-joint-replay-v1", "snapshot_hash": "a18f2f1e5577a23ccc8609082b571bfd944a7534986603d4b1bb0b9eef419cef", "sport": "NCAAF"}</t>
        </is>
      </c>
    </row>
    <row r="493" ht="36" customHeight="1">
      <c r="A493" s="24" t="inlineStr">
        <is>
          <t>02d6025b675a4fa8</t>
        </is>
      </c>
      <c r="B493" s="24" t="inlineStr">
        <is>
          <t>2026-09-26T15:01:01.506546Z</t>
        </is>
      </c>
      <c r="C493" s="24" t="inlineStr">
        <is>
          <t>2026-09-26T16:00Z</t>
        </is>
      </c>
      <c r="D493" s="24" t="inlineStr">
        <is>
          <t>401864512</t>
        </is>
      </c>
      <c r="E493" s="24" t="inlineStr">
        <is>
          <t>NCAAF</t>
        </is>
      </c>
      <c r="F493" s="24" t="inlineStr">
        <is>
          <t>UNLV Rebels</t>
        </is>
      </c>
      <c r="G493" s="24" t="inlineStr">
        <is>
          <t>Akron Zips</t>
        </is>
      </c>
      <c r="H493" s="24" t="inlineStr">
        <is>
          <t>moneyline</t>
        </is>
      </c>
      <c r="I493" s="24" t="inlineStr">
        <is>
          <t>away</t>
        </is>
      </c>
      <c r="J493" s="25" t="n"/>
      <c r="K493" s="24" t="inlineStr">
        <is>
          <t>espn_consensus</t>
        </is>
      </c>
      <c r="L493" s="26" t="n">
        <v>-520</v>
      </c>
      <c r="M493" s="27" t="n">
        <v>1.192308</v>
      </c>
      <c r="N493" s="28" t="n">
        <v>0.83871</v>
      </c>
      <c r="O493" s="28" t="n">
        <v>0.617331</v>
      </c>
      <c r="P493" s="28" t="n">
        <v>0.165</v>
      </c>
      <c r="Q493" s="28" t="n">
        <v>-0.221379</v>
      </c>
      <c r="R493" s="26" t="n">
        <v>0</v>
      </c>
      <c r="S493" s="29" t="n">
        <v>1</v>
      </c>
      <c r="T493" s="24" t="inlineStr">
        <is>
          <t>college-football-v1</t>
        </is>
      </c>
      <c r="U493" s="24" t="inlineStr">
        <is>
          <t>settled</t>
        </is>
      </c>
      <c r="V493" s="24" t="inlineStr">
        <is>
          <t>win</t>
        </is>
      </c>
      <c r="W493" s="26" t="n">
        <v>38</v>
      </c>
      <c r="X493" s="26" t="n">
        <v>10</v>
      </c>
      <c r="Y493" s="25" t="n"/>
      <c r="Z493" s="26" t="n"/>
      <c r="AA493" s="28" t="n"/>
      <c r="AB493" s="28" t="n"/>
      <c r="AC493" s="30" t="n">
        <v>0.1923</v>
      </c>
      <c r="AD493" s="24" t="inlineStr">
        <is>
          <t>2026-09-26T22:00:48.578870Z</t>
        </is>
      </c>
      <c r="AE493" s="31" t="inlineStr">
        <is>
          <t>CFB Joint Model (negative_binomial): proj score UNLV Rebels 28.9 @ Akron Zips 23.5 (Margin -5.5). Possessions: 12.4, HFA: +2.8 pts.</t>
        </is>
      </c>
      <c r="AF493" s="31" t="inlineStr">
        <is>
          <t>College football model; multi-market (moneyline, spread, total).</t>
        </is>
      </c>
      <c r="AG493" s="24" t="inlineStr">
        <is>
          <t>not_applicable</t>
        </is>
      </c>
      <c r="AH493" s="24" t="n"/>
      <c r="AI493" s="31" t="n"/>
      <c r="AJ493" s="31" t="n"/>
      <c r="AK493" s="24" t="inlineStr">
        <is>
          <t>paper_call</t>
        </is>
      </c>
      <c r="AL493" s="26" t="n">
        <v>4</v>
      </c>
      <c r="AM493" s="24" t="inlineStr">
        <is>
          <t>RESEARCH_OBSERVATION</t>
        </is>
      </c>
      <c r="AN493" s="24" t="inlineStr">
        <is>
          <t>CALL</t>
        </is>
      </c>
      <c r="AO493" s="24" t="inlineStr">
        <is>
          <t>PAPER_CALL_LOW_EDGE</t>
        </is>
      </c>
      <c r="AP493" s="24" t="inlineStr">
        <is>
          <t>UNLV Rebels</t>
        </is>
      </c>
      <c r="AQ493" s="24" t="inlineStr">
        <is>
          <t>UNLV Rebels</t>
        </is>
      </c>
      <c r="AR493" s="24" t="inlineStr">
        <is>
          <t>UNLV Rebels</t>
        </is>
      </c>
      <c r="AS493" s="24" t="inlineStr">
        <is>
          <t>Akron Zips</t>
        </is>
      </c>
      <c r="AT493" s="24" t="inlineStr">
        <is>
          <t>Akron Zips</t>
        </is>
      </c>
      <c r="AU493" s="24" t="inlineStr">
        <is>
          <t>Akron Zips</t>
        </is>
      </c>
      <c r="AV493" s="24" t="n"/>
      <c r="AW493" s="24" t="n"/>
      <c r="AX493" s="24" t="inlineStr">
        <is>
          <t>statistical_model</t>
        </is>
      </c>
      <c r="AY493" s="24" t="n"/>
      <c r="AZ493" s="24" t="inlineStr">
        <is>
          <t>shadow_qualified</t>
        </is>
      </c>
      <c r="BA493" s="24" t="inlineStr">
        <is>
          <t>1d168f11d221cd3c</t>
        </is>
      </c>
      <c r="BB493" s="24" t="inlineStr">
        <is>
          <t>cfb_key_number_engine</t>
        </is>
      </c>
      <c r="BC493" s="24" t="inlineStr">
        <is>
          <t>college-football-v1</t>
        </is>
      </c>
      <c r="BD493" s="24" t="inlineStr">
        <is>
          <t>1d168f11d221cd3c</t>
        </is>
      </c>
      <c r="BE493" s="24" t="inlineStr">
        <is>
          <t>cfb-v1</t>
        </is>
      </c>
      <c r="BF493" s="24" t="inlineStr">
        <is>
          <t>1</t>
        </is>
      </c>
      <c r="BG493" s="24" t="inlineStr">
        <is>
          <t>1d168f11d221cd3c</t>
        </is>
      </c>
      <c r="BH493" s="24" t="inlineStr">
        <is>
          <t>2026-09-26T15:01:01.506546+00:00</t>
        </is>
      </c>
      <c r="BI493" s="24" t="inlineStr">
        <is>
          <t>["same_event","same_team_same_day","same_league_same_day"]</t>
        </is>
      </c>
      <c r="BJ493" s="25" t="n"/>
      <c r="BK493" s="26" t="n">
        <v>-520</v>
      </c>
      <c r="BL493" s="27" t="n">
        <v>1.192308</v>
      </c>
      <c r="BM493" s="28" t="n">
        <v>0.83871</v>
      </c>
      <c r="BN493" s="28" t="n"/>
      <c r="BO493" s="28" t="n"/>
      <c r="BP493" s="25" t="n"/>
      <c r="BQ493" s="27" t="n"/>
      <c r="BR493" s="28" t="n"/>
      <c r="BS493" s="28" t="n"/>
      <c r="BT493" s="28" t="n"/>
      <c r="BU493" s="25" t="n"/>
      <c r="BV493" s="29" t="n"/>
      <c r="BW493" s="24" t="n"/>
      <c r="BX493" s="30" t="n">
        <v>1</v>
      </c>
      <c r="BY493" s="27" t="n">
        <v>0.192308</v>
      </c>
      <c r="BZ493" s="24" t="inlineStr">
        <is>
          <t>2026-09-26T22:00:48.578870Z</t>
        </is>
      </c>
      <c r="CA493" s="31" t="inlineStr">
        <is>
          <t>fixed one-unit hypothetical scoring; no real exposure or execution</t>
        </is>
      </c>
      <c r="CB493" s="24" t="n"/>
      <c r="CC493" s="24" t="n"/>
      <c r="CD493" s="24" t="n"/>
      <c r="CE493" s="24" t="n"/>
      <c r="CF493" s="24" t="n"/>
      <c r="CG493" s="24" t="n"/>
      <c r="CH493" s="24" t="n"/>
      <c r="CI493" s="24" t="n"/>
      <c r="CJ493" s="24" t="n"/>
      <c r="CK493" s="24" t="n"/>
      <c r="CL493" s="24" t="n"/>
      <c r="CM493" s="24" t="n"/>
      <c r="CN493" s="24" t="n"/>
      <c r="CO493" s="24" t="n"/>
      <c r="CP493" s="24" t="n"/>
      <c r="CQ493" s="24" t="n"/>
      <c r="CR493" s="24" t="n"/>
      <c r="CS493" s="24" t="inlineStr">
        <is>
          <t>False</t>
        </is>
      </c>
      <c r="CT493" s="24" t="n"/>
      <c r="CU493" s="24" t="n"/>
      <c r="CV493" s="24" t="n"/>
      <c r="CW493" s="24" t="n"/>
      <c r="CX493" s="24" t="n"/>
      <c r="CY493" s="24" t="n"/>
      <c r="CZ493" s="24" t="n"/>
      <c r="DA493" s="24" t="n"/>
      <c r="DB493" s="24" t="n"/>
      <c r="DC493" s="24" t="n"/>
      <c r="DD493" s="24" t="n"/>
      <c r="DE493" s="24" t="n"/>
      <c r="DF493" s="24" t="n"/>
      <c r="DG493" s="24" t="n"/>
      <c r="DH493" s="24" t="n"/>
      <c r="DI493" s="24" t="n"/>
      <c r="DJ493" s="24" t="inlineStr">
        <is>
          <t>0.83871</t>
        </is>
      </c>
      <c r="DK493" s="24" t="n"/>
      <c r="DL493" s="24" t="n"/>
      <c r="DM493" s="24" t="n"/>
      <c r="DN493" s="24" t="n"/>
      <c r="DO493" s="24" t="n"/>
      <c r="DP493" s="24" t="n"/>
      <c r="DQ493" s="24" t="inlineStr">
        <is>
          <t>{"artifact_hash": "1d168f11d221cd3c", "event_id": "401864512", "event_start_utc": "2026-09-26T16:00Z", "features": {"altitude_fatigue_penalty": 0.0, "away_team": "UNLV Rebels", "efficiency_gap": -1.359, "elo_away": 1584.0, "elo_home": 1383.9, "elo_home_win_prob": 0.3148, "event_id": "401864512", "game_start_utc": "2026-09-26T16:00Z", "home_field_advantage_points": 2.8, "home_team": "Akron Zips", "is_dome": false, "is_fbs_vs_fcs": false, "is_neutral_site": false, "projected_away_points": 28.9, "projected_home_points": 23.5, "projected_margin_home": -5.5, "projected_possessions": 12.4, "projected_total": 52.4, "stadium_elevation_ft": 1020, "travel_distance_miles": 1839.0, "uncertainty": 0.165, "weather_total_adjustment": 0.0}, "historical_source_observation_times_verified": false, "inference_inputs": {"engine_source_sha256": "449ba2f0e86fa9c445730076a0e0bf100fb4914620be53c75c6f3bfe24298f3f", "mu_away": 28.9, "mu_home": 23.5,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181692154714878325132249423033608514239}, "uinteger": 0}, "spread_home_line": 13.5, "total_line": 53.5}, "market_type": "moneyline", "model_version": "college-football-v1", "observed_at_utc": "2026-09-26T15:01:01.506546+00:00", "probabilities": {"away": 0.617331, "home": 0.382669}, "replay_scope": "Full precision score means, exact engine parameters and original RNG state; upstream feature construction not certified.", "schema": "cfb-joint-replay-v1", "snapshot_hash": "0a0d0e3ecafee1e7333050d80b77b1df771708489463242f7c4059f60cd757f7", "sport": "NCAAF"}</t>
        </is>
      </c>
    </row>
    <row r="494" ht="36" customHeight="1">
      <c r="A494" s="24" t="inlineStr">
        <is>
          <t>5ee87aca7e8443ce</t>
        </is>
      </c>
      <c r="B494" s="24" t="inlineStr">
        <is>
          <t>2026-09-26T15:01:01.506546Z</t>
        </is>
      </c>
      <c r="C494" s="24" t="inlineStr">
        <is>
          <t>2026-09-26T16:00Z</t>
        </is>
      </c>
      <c r="D494" s="24" t="inlineStr">
        <is>
          <t>401864512</t>
        </is>
      </c>
      <c r="E494" s="24" t="inlineStr">
        <is>
          <t>NCAAF</t>
        </is>
      </c>
      <c r="F494" s="24" t="inlineStr">
        <is>
          <t>UNLV Rebels</t>
        </is>
      </c>
      <c r="G494" s="24" t="inlineStr">
        <is>
          <t>Akron Zips</t>
        </is>
      </c>
      <c r="H494" s="24" t="inlineStr">
        <is>
          <t>spread</t>
        </is>
      </c>
      <c r="I494" s="24" t="inlineStr">
        <is>
          <t>home</t>
        </is>
      </c>
      <c r="J494" s="25" t="n">
        <v>13.5</v>
      </c>
      <c r="K494" s="24" t="inlineStr">
        <is>
          <t>espn_consensus</t>
        </is>
      </c>
      <c r="L494" s="26" t="n">
        <v>-112</v>
      </c>
      <c r="M494" s="27" t="n">
        <v>1.892857</v>
      </c>
      <c r="N494" s="28" t="n">
        <v>0.528302</v>
      </c>
      <c r="O494" s="28" t="n">
        <v>0.662667</v>
      </c>
      <c r="P494" s="28" t="n">
        <v>0.165</v>
      </c>
      <c r="Q494" s="28" t="n">
        <v>0.134365</v>
      </c>
      <c r="R494" s="26" t="n">
        <v>18</v>
      </c>
      <c r="S494" s="29" t="n">
        <v>1</v>
      </c>
      <c r="T494" s="24" t="inlineStr">
        <is>
          <t>cfb-spread-v1</t>
        </is>
      </c>
      <c r="U494" s="24" t="inlineStr">
        <is>
          <t>settled</t>
        </is>
      </c>
      <c r="V494" s="24" t="inlineStr">
        <is>
          <t>loss</t>
        </is>
      </c>
      <c r="W494" s="26" t="n">
        <v>38</v>
      </c>
      <c r="X494" s="26" t="n">
        <v>10</v>
      </c>
      <c r="Y494" s="25" t="n"/>
      <c r="Z494" s="26" t="n"/>
      <c r="AA494" s="28" t="n"/>
      <c r="AB494" s="28" t="n"/>
      <c r="AC494" s="30" t="n">
        <v>-1</v>
      </c>
      <c r="AD494" s="24" t="inlineStr">
        <is>
          <t>2026-09-26T22:00:49.133757Z</t>
        </is>
      </c>
      <c r="AE494" s="31" t="inlineStr">
        <is>
          <t>Projected home margin -5.5 pts. Spread: Home +13.5 / Away -13.5 -&gt; P(Away cover)=0.337, P(Home cover)=0.663, P(Push)=0.000.</t>
        </is>
      </c>
      <c r="AF494" s="31" t="inlineStr">
        <is>
          <t>College football model; multi-market (moneyline, spread, total).</t>
        </is>
      </c>
      <c r="AG494" s="24" t="inlineStr">
        <is>
          <t>review_required</t>
        </is>
      </c>
      <c r="AH494" s="24" t="n"/>
      <c r="AI494" s="31" t="n"/>
      <c r="AJ494" s="31" t="n"/>
      <c r="AK494" s="24" t="inlineStr">
        <is>
          <t>model_qualified</t>
        </is>
      </c>
      <c r="AL494" s="26" t="n">
        <v>4</v>
      </c>
      <c r="AM494" s="24" t="inlineStr">
        <is>
          <t>QUALIFIED_SHADOW_CALL</t>
        </is>
      </c>
      <c r="AN494" s="24" t="inlineStr">
        <is>
          <t>CALL</t>
        </is>
      </c>
      <c r="AO494" s="24" t="inlineStr">
        <is>
          <t>QUALIFIED</t>
        </is>
      </c>
      <c r="AP494" s="24" t="inlineStr">
        <is>
          <t>UNLV Rebels</t>
        </is>
      </c>
      <c r="AQ494" s="24" t="inlineStr">
        <is>
          <t>UNLV Rebels</t>
        </is>
      </c>
      <c r="AR494" s="24" t="inlineStr">
        <is>
          <t>UNLV Rebels</t>
        </is>
      </c>
      <c r="AS494" s="24" t="inlineStr">
        <is>
          <t>Akron Zips</t>
        </is>
      </c>
      <c r="AT494" s="24" t="inlineStr">
        <is>
          <t>Akron Zips</t>
        </is>
      </c>
      <c r="AU494" s="24" t="inlineStr">
        <is>
          <t>Akron Zips</t>
        </is>
      </c>
      <c r="AV494" s="24" t="n"/>
      <c r="AW494" s="24" t="n"/>
      <c r="AX494" s="24" t="inlineStr">
        <is>
          <t>statistical_model</t>
        </is>
      </c>
      <c r="AY494" s="24" t="n"/>
      <c r="AZ494" s="24" t="inlineStr">
        <is>
          <t>shadow_qualified</t>
        </is>
      </c>
      <c r="BA494" s="24" t="inlineStr">
        <is>
          <t>1d168f11d221cd3c</t>
        </is>
      </c>
      <c r="BB494" s="24" t="inlineStr">
        <is>
          <t>cfb_key_number_engine</t>
        </is>
      </c>
      <c r="BC494" s="24" t="inlineStr">
        <is>
          <t>cfb-spread-v1</t>
        </is>
      </c>
      <c r="BD494" s="24" t="inlineStr">
        <is>
          <t>1d168f11d221cd3c</t>
        </is>
      </c>
      <c r="BE494" s="24" t="inlineStr">
        <is>
          <t>cfb-v1</t>
        </is>
      </c>
      <c r="BF494" s="24" t="inlineStr">
        <is>
          <t>1</t>
        </is>
      </c>
      <c r="BG494" s="24" t="inlineStr">
        <is>
          <t>1d168f11d221cd3c</t>
        </is>
      </c>
      <c r="BH494" s="24" t="inlineStr">
        <is>
          <t>2026-09-26T15:01:01.506546+00:00</t>
        </is>
      </c>
      <c r="BI494" s="24" t="inlineStr">
        <is>
          <t>["same_event","same_team_same_day","same_league_same_day"]</t>
        </is>
      </c>
      <c r="BJ494" s="25" t="n">
        <v>13.5</v>
      </c>
      <c r="BK494" s="26" t="n">
        <v>-112</v>
      </c>
      <c r="BL494" s="27" t="n">
        <v>1.892857</v>
      </c>
      <c r="BM494" s="28" t="n">
        <v>0.528302</v>
      </c>
      <c r="BN494" s="28" t="n"/>
      <c r="BO494" s="28" t="n"/>
      <c r="BP494" s="25" t="n"/>
      <c r="BQ494" s="27" t="n"/>
      <c r="BR494" s="28" t="n"/>
      <c r="BS494" s="28" t="n"/>
      <c r="BT494" s="28" t="n"/>
      <c r="BU494" s="25" t="n"/>
      <c r="BV494" s="29" t="n"/>
      <c r="BW494" s="24" t="n"/>
      <c r="BX494" s="30" t="n"/>
      <c r="BY494" s="27" t="n"/>
      <c r="BZ494" s="24" t="n"/>
      <c r="CA494" s="31" t="n"/>
      <c r="CB494" s="24" t="n"/>
      <c r="CC494" s="24" t="n"/>
      <c r="CD494" s="24" t="n"/>
      <c r="CE494" s="24" t="n"/>
      <c r="CF494" s="24" t="n"/>
      <c r="CG494" s="24" t="n"/>
      <c r="CH494" s="24" t="n"/>
      <c r="CI494" s="24" t="n"/>
      <c r="CJ494" s="24" t="n"/>
      <c r="CK494" s="24" t="n"/>
      <c r="CL494" s="24" t="n"/>
      <c r="CM494" s="24" t="n"/>
      <c r="CN494" s="24" t="n"/>
      <c r="CO494" s="24" t="n"/>
      <c r="CP494" s="24" t="n"/>
      <c r="CQ494" s="24" t="n"/>
      <c r="CR494" s="24" t="n"/>
      <c r="CS494" s="24" t="inlineStr">
        <is>
          <t>True</t>
        </is>
      </c>
      <c r="CT494" s="24" t="n"/>
      <c r="CU494" s="24" t="n"/>
      <c r="CV494" s="24" t="n"/>
      <c r="CW494" s="24" t="n"/>
      <c r="CX494" s="24" t="n"/>
      <c r="CY494" s="24" t="n"/>
      <c r="CZ494" s="24" t="n"/>
      <c r="DA494" s="24" t="n"/>
      <c r="DB494" s="24" t="n"/>
      <c r="DC494" s="24" t="n"/>
      <c r="DD494" s="24" t="n"/>
      <c r="DE494" s="24" t="n"/>
      <c r="DF494" s="24" t="n"/>
      <c r="DG494" s="24" t="n"/>
      <c r="DH494" s="24" t="n"/>
      <c r="DI494" s="24" t="n"/>
      <c r="DJ494" s="24" t="inlineStr">
        <is>
          <t>0.528302</t>
        </is>
      </c>
      <c r="DK494" s="24" t="n"/>
      <c r="DL494" s="24" t="n"/>
      <c r="DM494" s="24" t="n"/>
      <c r="DN494" s="24" t="n"/>
      <c r="DO494" s="24" t="n"/>
      <c r="DP494" s="24" t="n"/>
      <c r="DQ494" s="24" t="inlineStr">
        <is>
          <t>{"artifact_hash": "1d168f11d221cd3c", "event_id": "401864512", "event_start_utc": "2026-09-26T16:00Z", "features": {"altitude_fatigue_penalty": 0.0, "away_team": "UNLV Rebels", "efficiency_gap": -1.359, "elo_away": 1584.0, "elo_home": 1383.9, "elo_home_win_prob": 0.3148, "event_id": "401864512", "game_start_utc": "2026-09-26T16:00Z", "home_field_advantage_points": 2.8, "home_team": "Akron Zips", "is_dome": false, "is_fbs_vs_fcs": false, "is_neutral_site": false, "projected_away_points": 28.9, "projected_home_points": 23.5, "projected_margin_home": -5.5, "projected_possessions": 12.4, "projected_total": 52.4, "stadium_elevation_ft": 1020, "travel_distance_miles": 1839.0, "uncertainty": 0.165, "weather_total_adjustment": 0.0}, "historical_source_observation_times_verified": false, "inference_inputs": {"engine_source_sha256": "449ba2f0e86fa9c445730076a0e0bf100fb4914620be53c75c6f3bfe24298f3f", "mu_away": 28.9, "mu_home": 23.5,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181692154714878325132249423033608514239}, "uinteger": 0}, "spread_home_line": 13.5, "total_line": 53.5}, "market_type": "spread", "model_version": "cfb-spread-v1", "observed_at_utc": "2026-09-26T15:01:01.506546+00:00", "probabilities": {"away": 0.337333, "home": 0.662667, "push": 0.0}, "replay_scope": "Full precision score means, exact engine parameters and original RNG state; upstream feature construction not certified.", "schema": "cfb-joint-replay-v1", "snapshot_hash": "733af2fbce296f46e7c9c69769b0f163d4c33bb087fdba60a89f6efbe8266ba9", "sport": "NCAAF"}</t>
        </is>
      </c>
    </row>
    <row r="495" ht="36" customHeight="1">
      <c r="A495" s="24" t="inlineStr">
        <is>
          <t>6792e82167ec4f90</t>
        </is>
      </c>
      <c r="B495" s="24" t="inlineStr">
        <is>
          <t>2026-09-26T15:01:01.506546Z</t>
        </is>
      </c>
      <c r="C495" s="24" t="inlineStr">
        <is>
          <t>2026-09-26T16:00Z</t>
        </is>
      </c>
      <c r="D495" s="24" t="inlineStr">
        <is>
          <t>401864512</t>
        </is>
      </c>
      <c r="E495" s="24" t="inlineStr">
        <is>
          <t>NCAAF</t>
        </is>
      </c>
      <c r="F495" s="24" t="inlineStr">
        <is>
          <t>UNLV Rebels</t>
        </is>
      </c>
      <c r="G495" s="24" t="inlineStr">
        <is>
          <t>Akron Zips</t>
        </is>
      </c>
      <c r="H495" s="24" t="inlineStr">
        <is>
          <t>total</t>
        </is>
      </c>
      <c r="I495" s="24" t="inlineStr">
        <is>
          <t>under</t>
        </is>
      </c>
      <c r="J495" s="25" t="n">
        <v>53.5</v>
      </c>
      <c r="K495" s="24" t="inlineStr">
        <is>
          <t>espn_consensus</t>
        </is>
      </c>
      <c r="L495" s="26" t="n">
        <v>-112</v>
      </c>
      <c r="M495" s="27" t="n">
        <v>1.892857</v>
      </c>
      <c r="N495" s="28" t="n">
        <v>0.528302</v>
      </c>
      <c r="O495" s="28" t="n">
        <v>0.545133</v>
      </c>
      <c r="P495" s="28" t="n">
        <v>0.165</v>
      </c>
      <c r="Q495" s="28" t="n">
        <v>0.016831</v>
      </c>
      <c r="R495" s="26" t="n">
        <v>0</v>
      </c>
      <c r="S495" s="29" t="n">
        <v>1</v>
      </c>
      <c r="T495" s="24" t="inlineStr">
        <is>
          <t>cfb-total-v1</t>
        </is>
      </c>
      <c r="U495" s="24" t="inlineStr">
        <is>
          <t>settled</t>
        </is>
      </c>
      <c r="V495" s="24" t="inlineStr">
        <is>
          <t>win</t>
        </is>
      </c>
      <c r="W495" s="26" t="n">
        <v>38</v>
      </c>
      <c r="X495" s="26" t="n">
        <v>10</v>
      </c>
      <c r="Y495" s="25" t="n"/>
      <c r="Z495" s="26" t="n"/>
      <c r="AA495" s="28" t="n"/>
      <c r="AB495" s="28" t="n"/>
      <c r="AC495" s="30" t="n">
        <v>0.8929</v>
      </c>
      <c r="AD495" s="24" t="inlineStr">
        <is>
          <t>2026-09-26T22:00:49.682362Z</t>
        </is>
      </c>
      <c r="AE495" s="31" t="inlineStr">
        <is>
          <t>Projected total 52.4 pts (Weather adj: +0.0 pts). Total line 53.5 -&gt; P(Over)=0.455, P(Under)=0.545, P(Push)=0.000.</t>
        </is>
      </c>
      <c r="AF495" s="31" t="inlineStr">
        <is>
          <t>College football model; multi-market (moneyline, spread, total).</t>
        </is>
      </c>
      <c r="AG495" s="24" t="inlineStr">
        <is>
          <t>not_applicable</t>
        </is>
      </c>
      <c r="AH495" s="24" t="n"/>
      <c r="AI495" s="31" t="n"/>
      <c r="AJ495" s="31" t="n"/>
      <c r="AK495" s="24" t="inlineStr">
        <is>
          <t>paper_call</t>
        </is>
      </c>
      <c r="AL495" s="26" t="n">
        <v>4</v>
      </c>
      <c r="AM495" s="24" t="inlineStr">
        <is>
          <t>RESEARCH_OBSERVATION</t>
        </is>
      </c>
      <c r="AN495" s="24" t="inlineStr">
        <is>
          <t>CALL</t>
        </is>
      </c>
      <c r="AO495" s="24" t="inlineStr">
        <is>
          <t>PAPER_CALL_LOW_EDGE</t>
        </is>
      </c>
      <c r="AP495" s="24" t="inlineStr">
        <is>
          <t>UNLV Rebels</t>
        </is>
      </c>
      <c r="AQ495" s="24" t="inlineStr">
        <is>
          <t>UNLV Rebels</t>
        </is>
      </c>
      <c r="AR495" s="24" t="inlineStr">
        <is>
          <t>UNLV Rebels</t>
        </is>
      </c>
      <c r="AS495" s="24" t="inlineStr">
        <is>
          <t>Akron Zips</t>
        </is>
      </c>
      <c r="AT495" s="24" t="inlineStr">
        <is>
          <t>Akron Zips</t>
        </is>
      </c>
      <c r="AU495" s="24" t="inlineStr">
        <is>
          <t>Akron Zips</t>
        </is>
      </c>
      <c r="AV495" s="24" t="n"/>
      <c r="AW495" s="24" t="n"/>
      <c r="AX495" s="24" t="inlineStr">
        <is>
          <t>statistical_model</t>
        </is>
      </c>
      <c r="AY495" s="24" t="n"/>
      <c r="AZ495" s="24" t="inlineStr">
        <is>
          <t>shadow_qualified</t>
        </is>
      </c>
      <c r="BA495" s="24" t="inlineStr">
        <is>
          <t>1d168f11d221cd3c</t>
        </is>
      </c>
      <c r="BB495" s="24" t="inlineStr">
        <is>
          <t>cfb_key_number_engine</t>
        </is>
      </c>
      <c r="BC495" s="24" t="inlineStr">
        <is>
          <t>cfb-total-v1</t>
        </is>
      </c>
      <c r="BD495" s="24" t="inlineStr">
        <is>
          <t>1d168f11d221cd3c</t>
        </is>
      </c>
      <c r="BE495" s="24" t="inlineStr">
        <is>
          <t>cfb-v1</t>
        </is>
      </c>
      <c r="BF495" s="24" t="inlineStr">
        <is>
          <t>1</t>
        </is>
      </c>
      <c r="BG495" s="24" t="inlineStr">
        <is>
          <t>1d168f11d221cd3c</t>
        </is>
      </c>
      <c r="BH495" s="24" t="inlineStr">
        <is>
          <t>2026-09-26T15:01:01.506546+00:00</t>
        </is>
      </c>
      <c r="BI495" s="24" t="inlineStr">
        <is>
          <t>["same_event","same_team_same_day","same_league_same_day"]</t>
        </is>
      </c>
      <c r="BJ495" s="25" t="n">
        <v>53.5</v>
      </c>
      <c r="BK495" s="26" t="n">
        <v>-112</v>
      </c>
      <c r="BL495" s="27" t="n">
        <v>1.892857</v>
      </c>
      <c r="BM495" s="28" t="n">
        <v>0.528302</v>
      </c>
      <c r="BN495" s="28" t="n"/>
      <c r="BO495" s="28" t="n"/>
      <c r="BP495" s="25" t="n"/>
      <c r="BQ495" s="27" t="n"/>
      <c r="BR495" s="28" t="n"/>
      <c r="BS495" s="28" t="n"/>
      <c r="BT495" s="28" t="n"/>
      <c r="BU495" s="25" t="n"/>
      <c r="BV495" s="29" t="n"/>
      <c r="BW495" s="24" t="n"/>
      <c r="BX495" s="30" t="n">
        <v>1</v>
      </c>
      <c r="BY495" s="27" t="n">
        <v>0.892857</v>
      </c>
      <c r="BZ495" s="24" t="inlineStr">
        <is>
          <t>2026-09-26T22:00:49.682362Z</t>
        </is>
      </c>
      <c r="CA495" s="31" t="inlineStr">
        <is>
          <t>fixed one-unit hypothetical scoring; no real exposure or execution</t>
        </is>
      </c>
      <c r="CB495" s="24" t="n"/>
      <c r="CC495" s="24" t="n"/>
      <c r="CD495" s="24" t="n"/>
      <c r="CE495" s="24" t="n"/>
      <c r="CF495" s="24" t="n"/>
      <c r="CG495" s="24" t="n"/>
      <c r="CH495" s="24" t="n"/>
      <c r="CI495" s="24" t="n"/>
      <c r="CJ495" s="24" t="n"/>
      <c r="CK495" s="24" t="n"/>
      <c r="CL495" s="24" t="n"/>
      <c r="CM495" s="24" t="n"/>
      <c r="CN495" s="24" t="n"/>
      <c r="CO495" s="24" t="n"/>
      <c r="CP495" s="24" t="n"/>
      <c r="CQ495" s="24" t="n"/>
      <c r="CR495" s="24" t="n"/>
      <c r="CS495" s="24" t="inlineStr">
        <is>
          <t>True</t>
        </is>
      </c>
      <c r="CT495" s="24" t="n"/>
      <c r="CU495" s="24" t="n"/>
      <c r="CV495" s="24" t="n"/>
      <c r="CW495" s="24" t="n"/>
      <c r="CX495" s="24" t="n"/>
      <c r="CY495" s="24" t="n"/>
      <c r="CZ495" s="24" t="n"/>
      <c r="DA495" s="24" t="n"/>
      <c r="DB495" s="24" t="n"/>
      <c r="DC495" s="24" t="n"/>
      <c r="DD495" s="24" t="n"/>
      <c r="DE495" s="24" t="n"/>
      <c r="DF495" s="24" t="n"/>
      <c r="DG495" s="24" t="n"/>
      <c r="DH495" s="24" t="n"/>
      <c r="DI495" s="24" t="n"/>
      <c r="DJ495" s="24" t="inlineStr">
        <is>
          <t>0.528302</t>
        </is>
      </c>
      <c r="DK495" s="24" t="n"/>
      <c r="DL495" s="24" t="n"/>
      <c r="DM495" s="24" t="n"/>
      <c r="DN495" s="24" t="n"/>
      <c r="DO495" s="24" t="n"/>
      <c r="DP495" s="24" t="n"/>
      <c r="DQ495" s="24" t="inlineStr">
        <is>
          <t>{"artifact_hash": "1d168f11d221cd3c", "event_id": "401864512", "event_start_utc": "2026-09-26T16:00Z", "features": {"altitude_fatigue_penalty": 0.0, "away_team": "UNLV Rebels", "efficiency_gap": -1.359, "elo_away": 1584.0, "elo_home": 1383.9, "elo_home_win_prob": 0.3148, "event_id": "401864512", "game_start_utc": "2026-09-26T16:00Z", "home_field_advantage_points": 2.8, "home_team": "Akron Zips", "is_dome": false, "is_fbs_vs_fcs": false, "is_neutral_site": false, "projected_away_points": 28.9, "projected_home_points": 23.5, "projected_margin_home": -5.5, "projected_possessions": 12.4, "projected_total": 52.4, "stadium_elevation_ft": 1020, "travel_distance_miles": 1839.0, "uncertainty": 0.165, "weather_total_adjustment": 0.0}, "historical_source_observation_times_verified": false, "inference_inputs": {"engine_source_sha256": "449ba2f0e86fa9c445730076a0e0bf100fb4914620be53c75c6f3bfe24298f3f", "mu_away": 28.9, "mu_home": 23.5,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181692154714878325132249423033608514239}, "uinteger": 0}, "spread_home_line": 13.5, "total_line": 53.5}, "market_type": "total", "model_version": "cfb-total-v1", "observed_at_utc": "2026-09-26T15:01:01.506546+00:00", "probabilities": {"over": 0.454867, "push": 0.0, "under": 0.545133}, "replay_scope": "Full precision score means, exact engine parameters and original RNG state; upstream feature construction not certified.", "schema": "cfb-joint-replay-v1", "snapshot_hash": "2ec009141fc0f946b16cb3670bf86ffc11f27591c29f0c229ed617d08c0ea312", "sport": "NCAAF"}</t>
        </is>
      </c>
    </row>
    <row r="496" ht="36" customHeight="1">
      <c r="A496" s="24" t="inlineStr">
        <is>
          <t>a3bf8efc30c942ea</t>
        </is>
      </c>
      <c r="B496" s="24" t="inlineStr">
        <is>
          <t>2026-09-26T15:01:01.506546Z</t>
        </is>
      </c>
      <c r="C496" s="24" t="inlineStr">
        <is>
          <t>2026-09-26T16:00Z</t>
        </is>
      </c>
      <c r="D496" s="24" t="inlineStr">
        <is>
          <t>401866425</t>
        </is>
      </c>
      <c r="E496" s="24" t="inlineStr">
        <is>
          <t>NCAAF</t>
        </is>
      </c>
      <c r="F496" s="24" t="inlineStr">
        <is>
          <t>Ball State Cardinals</t>
        </is>
      </c>
      <c r="G496" s="24" t="inlineStr">
        <is>
          <t>Kent State Golden Flashes</t>
        </is>
      </c>
      <c r="H496" s="24" t="inlineStr">
        <is>
          <t>moneyline</t>
        </is>
      </c>
      <c r="I496" s="24" t="inlineStr">
        <is>
          <t>home</t>
        </is>
      </c>
      <c r="J496" s="25" t="n"/>
      <c r="K496" s="24" t="inlineStr">
        <is>
          <t>espn_consensus</t>
        </is>
      </c>
      <c r="L496" s="26" t="n">
        <v>-148</v>
      </c>
      <c r="M496" s="27" t="n">
        <v>1.675676</v>
      </c>
      <c r="N496" s="28" t="n">
        <v>0.596774</v>
      </c>
      <c r="O496" s="28" t="n">
        <v>0.624549</v>
      </c>
      <c r="P496" s="28" t="n">
        <v>0.165</v>
      </c>
      <c r="Q496" s="28" t="n">
        <v>0.027775</v>
      </c>
      <c r="R496" s="26" t="n">
        <v>0</v>
      </c>
      <c r="S496" s="29" t="n">
        <v>1</v>
      </c>
      <c r="T496" s="24" t="inlineStr">
        <is>
          <t>college-football-v1</t>
        </is>
      </c>
      <c r="U496" s="24" t="inlineStr">
        <is>
          <t>settled</t>
        </is>
      </c>
      <c r="V496" s="24" t="inlineStr">
        <is>
          <t>win</t>
        </is>
      </c>
      <c r="W496" s="26" t="n">
        <v>13</v>
      </c>
      <c r="X496" s="26" t="n">
        <v>26</v>
      </c>
      <c r="Y496" s="25" t="n"/>
      <c r="Z496" s="26" t="n"/>
      <c r="AA496" s="28" t="n"/>
      <c r="AB496" s="28" t="n"/>
      <c r="AC496" s="30" t="n">
        <v>0.6757</v>
      </c>
      <c r="AD496" s="24" t="inlineStr">
        <is>
          <t>2026-09-26T22:00:50.246141Z</t>
        </is>
      </c>
      <c r="AE496" s="31" t="inlineStr">
        <is>
          <t>CFB Joint Model (negative_binomial): proj score Ball State Cardinals 22.4 @ Kent State Golden Flashes 27.9 (Margin +5.5). Possessions: 12.4, HFA: +2.8 pts.</t>
        </is>
      </c>
      <c r="AF496" s="31" t="inlineStr">
        <is>
          <t>College football model; multi-market (moneyline, spread, total).</t>
        </is>
      </c>
      <c r="AG496" s="24" t="inlineStr">
        <is>
          <t>not_applicable</t>
        </is>
      </c>
      <c r="AH496" s="24" t="n"/>
      <c r="AI496" s="31" t="n"/>
      <c r="AJ496" s="31" t="n"/>
      <c r="AK496" s="24" t="inlineStr">
        <is>
          <t>paper_call</t>
        </is>
      </c>
      <c r="AL496" s="26" t="n">
        <v>4</v>
      </c>
      <c r="AM496" s="24" t="inlineStr">
        <is>
          <t>RESEARCH_OBSERVATION</t>
        </is>
      </c>
      <c r="AN496" s="24" t="inlineStr">
        <is>
          <t>CALL</t>
        </is>
      </c>
      <c r="AO496" s="24" t="inlineStr">
        <is>
          <t>PAPER_CALL_LOW_EDGE</t>
        </is>
      </c>
      <c r="AP496" s="24" t="inlineStr">
        <is>
          <t>Ball State Cardinals</t>
        </is>
      </c>
      <c r="AQ496" s="24" t="inlineStr">
        <is>
          <t>Ball State Cardinals</t>
        </is>
      </c>
      <c r="AR496" s="24" t="inlineStr">
        <is>
          <t>Ball State Cardinals</t>
        </is>
      </c>
      <c r="AS496" s="24" t="inlineStr">
        <is>
          <t>Kent State Golden Flashes</t>
        </is>
      </c>
      <c r="AT496" s="24" t="inlineStr">
        <is>
          <t>Kent State Golden Flashes</t>
        </is>
      </c>
      <c r="AU496" s="24" t="inlineStr">
        <is>
          <t>Kent State Golden Flashes</t>
        </is>
      </c>
      <c r="AV496" s="24" t="n"/>
      <c r="AW496" s="24" t="n"/>
      <c r="AX496" s="24" t="inlineStr">
        <is>
          <t>statistical_model</t>
        </is>
      </c>
      <c r="AY496" s="24" t="n"/>
      <c r="AZ496" s="24" t="inlineStr">
        <is>
          <t>shadow_qualified</t>
        </is>
      </c>
      <c r="BA496" s="24" t="inlineStr">
        <is>
          <t>1d168f11d221cd3c</t>
        </is>
      </c>
      <c r="BB496" s="24" t="inlineStr">
        <is>
          <t>cfb_key_number_engine</t>
        </is>
      </c>
      <c r="BC496" s="24" t="inlineStr">
        <is>
          <t>college-football-v1</t>
        </is>
      </c>
      <c r="BD496" s="24" t="inlineStr">
        <is>
          <t>1d168f11d221cd3c</t>
        </is>
      </c>
      <c r="BE496" s="24" t="inlineStr">
        <is>
          <t>cfb-v1</t>
        </is>
      </c>
      <c r="BF496" s="24" t="inlineStr">
        <is>
          <t>1</t>
        </is>
      </c>
      <c r="BG496" s="24" t="inlineStr">
        <is>
          <t>1d168f11d221cd3c</t>
        </is>
      </c>
      <c r="BH496" s="24" t="inlineStr">
        <is>
          <t>2026-09-26T15:01:01.506546+00:00</t>
        </is>
      </c>
      <c r="BI496" s="24" t="inlineStr">
        <is>
          <t>["same_event","same_team_same_day","same_league_same_day"]</t>
        </is>
      </c>
      <c r="BJ496" s="25" t="n"/>
      <c r="BK496" s="26" t="n">
        <v>-148</v>
      </c>
      <c r="BL496" s="27" t="n">
        <v>1.675676</v>
      </c>
      <c r="BM496" s="28" t="n">
        <v>0.596774</v>
      </c>
      <c r="BN496" s="28" t="n"/>
      <c r="BO496" s="28" t="n"/>
      <c r="BP496" s="25" t="n"/>
      <c r="BQ496" s="27" t="n"/>
      <c r="BR496" s="28" t="n"/>
      <c r="BS496" s="28" t="n"/>
      <c r="BT496" s="28" t="n"/>
      <c r="BU496" s="25" t="n"/>
      <c r="BV496" s="29" t="n"/>
      <c r="BW496" s="24" t="n"/>
      <c r="BX496" s="30" t="n">
        <v>1</v>
      </c>
      <c r="BY496" s="27" t="n">
        <v>0.6756760000000001</v>
      </c>
      <c r="BZ496" s="24" t="inlineStr">
        <is>
          <t>2026-09-26T22:00:50.246141Z</t>
        </is>
      </c>
      <c r="CA496" s="31" t="inlineStr">
        <is>
          <t>fixed one-unit hypothetical scoring; no real exposure or execution</t>
        </is>
      </c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inlineStr">
        <is>
          <t>True</t>
        </is>
      </c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n"/>
      <c r="DE496" s="24" t="n"/>
      <c r="DF496" s="24" t="n"/>
      <c r="DG496" s="24" t="n"/>
      <c r="DH496" s="24" t="n"/>
      <c r="DI496" s="24" t="n"/>
      <c r="DJ496" s="24" t="inlineStr">
        <is>
          <t>0.596774</t>
        </is>
      </c>
      <c r="DK496" s="24" t="n"/>
      <c r="DL496" s="24" t="n"/>
      <c r="DM496" s="24" t="n"/>
      <c r="DN496" s="24" t="n"/>
      <c r="DO496" s="24" t="n"/>
      <c r="DP496" s="24" t="n"/>
      <c r="DQ496" s="24" t="inlineStr">
        <is>
          <t>{"artifact_hash": "1d168f11d221cd3c", "event_id": "401866425", "event_start_utc": "2026-09-26T16:00Z", "features": {"altitude_fatigue_penalty": 0.0, "away_team": "Ball State Cardinals", "efficiency_gap": -0.155, "elo_away": 1204.6, "elo_home": 1278.2, "elo_home_win_prob": 0.6896, "event_id": "401866425", "game_start_utc": "2026-09-26T16:00Z", "home_field_advantage_points": 2.8, "home_team": "Kent State Golden Flashes", "is_dome": false, "is_fbs_vs_fcs": false, "is_neutral_site": false, "projected_away_points": 22.4, "projected_home_points": 27.9, "projected_margin_home": 5.5, "projected_possessions": 12.4, "projected_total": 50.3, "stadium_elevation_ft": 1070, "travel_distance_miles": 224.0, "uncertainty": 0.165, "weather_total_adjustment": 0.0}, "historical_source_observation_times_verified": false, "inference_inputs": {"engine_source_sha256": "449ba2f0e86fa9c445730076a0e0bf100fb4914620be53c75c6f3bfe24298f3f", "mu_away": 22.4, "mu_home": 27.9,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3314397620565410808275694689867684857}, "uinteger": 0}, "spread_home_line": -3.0, "total_line": 50.5}, "market_type": "moneyline", "model_version": "college-football-v1", "observed_at_utc": "2026-09-26T15:01:01.506546+00:00", "probabilities": {"away": 0.375451, "home": 0.624549}, "replay_scope": "Full precision score means, exact engine parameters and original RNG state; upstream feature construction not certified.", "schema": "cfb-joint-replay-v1", "snapshot_hash": "4e8e9b5d2ff1e2ed1d2910253857b68966d0dd1ee852fc7190a6e0c47f0e240e", "sport": "NCAAF"}</t>
        </is>
      </c>
    </row>
    <row r="497" ht="36" customHeight="1">
      <c r="A497" s="24" t="inlineStr">
        <is>
          <t>ba5f403a19364d9e</t>
        </is>
      </c>
      <c r="B497" s="24" t="inlineStr">
        <is>
          <t>2026-09-26T15:01:01.506546Z</t>
        </is>
      </c>
      <c r="C497" s="24" t="inlineStr">
        <is>
          <t>2026-09-26T16:00Z</t>
        </is>
      </c>
      <c r="D497" s="24" t="inlineStr">
        <is>
          <t>401866425</t>
        </is>
      </c>
      <c r="E497" s="24" t="inlineStr">
        <is>
          <t>NCAAF</t>
        </is>
      </c>
      <c r="F497" s="24" t="inlineStr">
        <is>
          <t>Ball State Cardinals</t>
        </is>
      </c>
      <c r="G497" s="24" t="inlineStr">
        <is>
          <t>Kent State Golden Flashes</t>
        </is>
      </c>
      <c r="H497" s="24" t="inlineStr">
        <is>
          <t>spread</t>
        </is>
      </c>
      <c r="I497" s="24" t="inlineStr">
        <is>
          <t>home</t>
        </is>
      </c>
      <c r="J497" s="25" t="n">
        <v>-3</v>
      </c>
      <c r="K497" s="24" t="inlineStr">
        <is>
          <t>espn_consensus</t>
        </is>
      </c>
      <c r="L497" s="26" t="n">
        <v>-102</v>
      </c>
      <c r="M497" s="27" t="n">
        <v>1.980392</v>
      </c>
      <c r="N497" s="28" t="n">
        <v>0.50495</v>
      </c>
      <c r="O497" s="28" t="n">
        <v>0.549467</v>
      </c>
      <c r="P497" s="28" t="n">
        <v>0.165</v>
      </c>
      <c r="Q497" s="28" t="n">
        <v>0.044517</v>
      </c>
      <c r="R497" s="26" t="n">
        <v>0</v>
      </c>
      <c r="S497" s="29" t="n">
        <v>1</v>
      </c>
      <c r="T497" s="24" t="inlineStr">
        <is>
          <t>cfb-spread-v1</t>
        </is>
      </c>
      <c r="U497" s="24" t="inlineStr">
        <is>
          <t>settled</t>
        </is>
      </c>
      <c r="V497" s="24" t="inlineStr">
        <is>
          <t>win</t>
        </is>
      </c>
      <c r="W497" s="26" t="n">
        <v>13</v>
      </c>
      <c r="X497" s="26" t="n">
        <v>26</v>
      </c>
      <c r="Y497" s="25" t="n"/>
      <c r="Z497" s="26" t="n"/>
      <c r="AA497" s="28" t="n"/>
      <c r="AB497" s="28" t="n"/>
      <c r="AC497" s="30" t="n">
        <v>0.9804</v>
      </c>
      <c r="AD497" s="24" t="inlineStr">
        <is>
          <t>2026-09-26T22:00:50.797633Z</t>
        </is>
      </c>
      <c r="AE497" s="31" t="inlineStr">
        <is>
          <t>Projected home margin +5.5 pts. Spread: Home -3.0 / Away +3.0 -&gt; P(Away cover)=0.429, P(Home cover)=0.549, P(Push)=0.022.</t>
        </is>
      </c>
      <c r="AF497" s="31" t="inlineStr">
        <is>
          <t>College football model; multi-market (moneyline, spread, total).</t>
        </is>
      </c>
      <c r="AG497" s="24" t="inlineStr">
        <is>
          <t>not_applicable</t>
        </is>
      </c>
      <c r="AH497" s="24" t="n"/>
      <c r="AI497" s="31" t="n"/>
      <c r="AJ497" s="31" t="n"/>
      <c r="AK497" s="24" t="inlineStr">
        <is>
          <t>model_qualified</t>
        </is>
      </c>
      <c r="AL497" s="26" t="n">
        <v>4</v>
      </c>
      <c r="AM497" s="24" t="inlineStr">
        <is>
          <t>QUALIFIED_SHADOW_CALL</t>
        </is>
      </c>
      <c r="AN497" s="24" t="inlineStr">
        <is>
          <t>CALL</t>
        </is>
      </c>
      <c r="AO497" s="24" t="inlineStr">
        <is>
          <t>QUALIFIED</t>
        </is>
      </c>
      <c r="AP497" s="24" t="inlineStr">
        <is>
          <t>Ball State Cardinals</t>
        </is>
      </c>
      <c r="AQ497" s="24" t="inlineStr">
        <is>
          <t>Ball State Cardinals</t>
        </is>
      </c>
      <c r="AR497" s="24" t="inlineStr">
        <is>
          <t>Ball State Cardinals</t>
        </is>
      </c>
      <c r="AS497" s="24" t="inlineStr">
        <is>
          <t>Kent State Golden Flashes</t>
        </is>
      </c>
      <c r="AT497" s="24" t="inlineStr">
        <is>
          <t>Kent State Golden Flashes</t>
        </is>
      </c>
      <c r="AU497" s="24" t="inlineStr">
        <is>
          <t>Kent State Golden Flashes</t>
        </is>
      </c>
      <c r="AV497" s="24" t="n"/>
      <c r="AW497" s="24" t="n"/>
      <c r="AX497" s="24" t="inlineStr">
        <is>
          <t>statistical_model</t>
        </is>
      </c>
      <c r="AY497" s="24" t="n"/>
      <c r="AZ497" s="24" t="inlineStr">
        <is>
          <t>shadow_qualified</t>
        </is>
      </c>
      <c r="BA497" s="24" t="inlineStr">
        <is>
          <t>1d168f11d221cd3c</t>
        </is>
      </c>
      <c r="BB497" s="24" t="inlineStr">
        <is>
          <t>cfb_key_number_engine</t>
        </is>
      </c>
      <c r="BC497" s="24" t="inlineStr">
        <is>
          <t>cfb-spread-v1</t>
        </is>
      </c>
      <c r="BD497" s="24" t="inlineStr">
        <is>
          <t>1d168f11d221cd3c</t>
        </is>
      </c>
      <c r="BE497" s="24" t="inlineStr">
        <is>
          <t>cfb-v1</t>
        </is>
      </c>
      <c r="BF497" s="24" t="inlineStr">
        <is>
          <t>1</t>
        </is>
      </c>
      <c r="BG497" s="24" t="inlineStr">
        <is>
          <t>1d168f11d221cd3c</t>
        </is>
      </c>
      <c r="BH497" s="24" t="inlineStr">
        <is>
          <t>2026-09-26T15:01:01.506546+00:00</t>
        </is>
      </c>
      <c r="BI497" s="24" t="inlineStr">
        <is>
          <t>["same_event","same_team_same_day","same_league_same_day"]</t>
        </is>
      </c>
      <c r="BJ497" s="25" t="n">
        <v>-3</v>
      </c>
      <c r="BK497" s="26" t="n">
        <v>-102</v>
      </c>
      <c r="BL497" s="27" t="n">
        <v>1.980392</v>
      </c>
      <c r="BM497" s="28" t="n">
        <v>0.50495</v>
      </c>
      <c r="BN497" s="28" t="n"/>
      <c r="BO497" s="28" t="n"/>
      <c r="BP497" s="25" t="n"/>
      <c r="BQ497" s="27" t="n"/>
      <c r="BR497" s="28" t="n"/>
      <c r="BS497" s="28" t="n"/>
      <c r="BT497" s="28" t="n"/>
      <c r="BU497" s="25" t="n"/>
      <c r="BV497" s="29" t="n"/>
      <c r="BW497" s="24" t="n"/>
      <c r="BX497" s="30" t="n"/>
      <c r="BY497" s="27" t="n"/>
      <c r="BZ497" s="24" t="n"/>
      <c r="CA497" s="31" t="n"/>
      <c r="CB497" s="24" t="n"/>
      <c r="CC497" s="24" t="n"/>
      <c r="CD497" s="24" t="n"/>
      <c r="CE497" s="24" t="n"/>
      <c r="CF497" s="24" t="n"/>
      <c r="CG497" s="24" t="n"/>
      <c r="CH497" s="24" t="n"/>
      <c r="CI497" s="24" t="n"/>
      <c r="CJ497" s="24" t="n"/>
      <c r="CK497" s="24" t="n"/>
      <c r="CL497" s="24" t="n"/>
      <c r="CM497" s="24" t="n"/>
      <c r="CN497" s="24" t="n"/>
      <c r="CO497" s="24" t="n"/>
      <c r="CP497" s="24" t="n"/>
      <c r="CQ497" s="24" t="n"/>
      <c r="CR497" s="24" t="n"/>
      <c r="CS497" s="24" t="inlineStr">
        <is>
          <t>True</t>
        </is>
      </c>
      <c r="CT497" s="24" t="n"/>
      <c r="CU497" s="24" t="n"/>
      <c r="CV497" s="24" t="n"/>
      <c r="CW497" s="24" t="n"/>
      <c r="CX497" s="24" t="n"/>
      <c r="CY497" s="24" t="n"/>
      <c r="CZ497" s="24" t="n"/>
      <c r="DA497" s="24" t="n"/>
      <c r="DB497" s="24" t="n"/>
      <c r="DC497" s="24" t="n"/>
      <c r="DD497" s="24" t="n"/>
      <c r="DE497" s="24" t="n"/>
      <c r="DF497" s="24" t="n"/>
      <c r="DG497" s="24" t="n"/>
      <c r="DH497" s="24" t="n"/>
      <c r="DI497" s="24" t="n"/>
      <c r="DJ497" s="24" t="inlineStr">
        <is>
          <t>0.50495</t>
        </is>
      </c>
      <c r="DK497" s="24" t="n"/>
      <c r="DL497" s="24" t="n"/>
      <c r="DM497" s="24" t="n"/>
      <c r="DN497" s="24" t="n"/>
      <c r="DO497" s="24" t="n"/>
      <c r="DP497" s="24" t="n"/>
      <c r="DQ497" s="24" t="inlineStr">
        <is>
          <t>{"artifact_hash": "1d168f11d221cd3c", "event_id": "401866425", "event_start_utc": "2026-09-26T16:00Z", "features": {"altitude_fatigue_penalty": 0.0, "away_team": "Ball State Cardinals", "efficiency_gap": -0.155, "elo_away": 1204.6, "elo_home": 1278.2, "elo_home_win_prob": 0.6896, "event_id": "401866425", "game_start_utc": "2026-09-26T16:00Z", "home_field_advantage_points": 2.8, "home_team": "Kent State Golden Flashes", "is_dome": false, "is_fbs_vs_fcs": false, "is_neutral_site": false, "projected_away_points": 22.4, "projected_home_points": 27.9, "projected_margin_home": 5.5, "projected_possessions": 12.4, "projected_total": 50.3, "stadium_elevation_ft": 1070, "travel_distance_miles": 224.0, "uncertainty": 0.165, "weather_total_adjustment": 0.0}, "historical_source_observation_times_verified": false, "inference_inputs": {"engine_source_sha256": "449ba2f0e86fa9c445730076a0e0bf100fb4914620be53c75c6f3bfe24298f3f", "mu_away": 22.4, "mu_home": 27.9,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3314397620565410808275694689867684857}, "uinteger": 0}, "spread_home_line": -3.0, "total_line": 50.5}, "market_type": "spread", "model_version": "cfb-spread-v1", "observed_at_utc": "2026-09-26T15:01:01.506546+00:00", "probabilities": {"away": 0.429, "home": 0.549467, "push": 0.021533}, "replay_scope": "Full precision score means, exact engine parameters and original RNG state; upstream feature construction not certified.", "schema": "cfb-joint-replay-v1", "snapshot_hash": "0f650990de46548561e0355052ca4b434781ecef561e170287255d0403112809", "sport": "NCAAF"}</t>
        </is>
      </c>
    </row>
    <row r="498" ht="36" customHeight="1">
      <c r="A498" s="24" t="inlineStr">
        <is>
          <t>28536dc987ff4fc1</t>
        </is>
      </c>
      <c r="B498" s="24" t="inlineStr">
        <is>
          <t>2026-09-26T15:01:01.506546Z</t>
        </is>
      </c>
      <c r="C498" s="24" t="inlineStr">
        <is>
          <t>2026-09-26T16:00Z</t>
        </is>
      </c>
      <c r="D498" s="24" t="inlineStr">
        <is>
          <t>401866425</t>
        </is>
      </c>
      <c r="E498" s="24" t="inlineStr">
        <is>
          <t>NCAAF</t>
        </is>
      </c>
      <c r="F498" s="24" t="inlineStr">
        <is>
          <t>Ball State Cardinals</t>
        </is>
      </c>
      <c r="G498" s="24" t="inlineStr">
        <is>
          <t>Kent State Golden Flashes</t>
        </is>
      </c>
      <c r="H498" s="24" t="inlineStr">
        <is>
          <t>total</t>
        </is>
      </c>
      <c r="I498" s="24" t="inlineStr">
        <is>
          <t>under</t>
        </is>
      </c>
      <c r="J498" s="25" t="n">
        <v>50.5</v>
      </c>
      <c r="K498" s="24" t="inlineStr">
        <is>
          <t>espn_consensus</t>
        </is>
      </c>
      <c r="L498" s="26" t="n">
        <v>-105</v>
      </c>
      <c r="M498" s="27" t="n">
        <v>1.952381</v>
      </c>
      <c r="N498" s="28" t="n">
        <v>0.512195</v>
      </c>
      <c r="O498" s="28" t="n">
        <v>0.529533</v>
      </c>
      <c r="P498" s="28" t="n">
        <v>0.165</v>
      </c>
      <c r="Q498" s="28" t="n">
        <v>0.017338</v>
      </c>
      <c r="R498" s="26" t="n">
        <v>0</v>
      </c>
      <c r="S498" s="29" t="n">
        <v>1</v>
      </c>
      <c r="T498" s="24" t="inlineStr">
        <is>
          <t>cfb-total-v1</t>
        </is>
      </c>
      <c r="U498" s="24" t="inlineStr">
        <is>
          <t>settled</t>
        </is>
      </c>
      <c r="V498" s="24" t="inlineStr">
        <is>
          <t>win</t>
        </is>
      </c>
      <c r="W498" s="26" t="n">
        <v>13</v>
      </c>
      <c r="X498" s="26" t="n">
        <v>26</v>
      </c>
      <c r="Y498" s="25" t="n"/>
      <c r="Z498" s="26" t="n"/>
      <c r="AA498" s="28" t="n"/>
      <c r="AB498" s="28" t="n"/>
      <c r="AC498" s="30" t="n">
        <v>0.9524</v>
      </c>
      <c r="AD498" s="24" t="inlineStr">
        <is>
          <t>2026-09-26T22:00:51.348943Z</t>
        </is>
      </c>
      <c r="AE498" s="31" t="inlineStr">
        <is>
          <t>Projected total 50.3 pts (Weather adj: +0.0 pts). Total line 50.5 -&gt; P(Over)=0.470, P(Under)=0.530, P(Push)=0.000.</t>
        </is>
      </c>
      <c r="AF498" s="31" t="inlineStr">
        <is>
          <t>College football model; multi-market (moneyline, spread, total).</t>
        </is>
      </c>
      <c r="AG498" s="24" t="inlineStr">
        <is>
          <t>not_applicable</t>
        </is>
      </c>
      <c r="AH498" s="24" t="n"/>
      <c r="AI498" s="31" t="n"/>
      <c r="AJ498" s="31" t="n"/>
      <c r="AK498" s="24" t="inlineStr">
        <is>
          <t>paper_call</t>
        </is>
      </c>
      <c r="AL498" s="26" t="n">
        <v>4</v>
      </c>
      <c r="AM498" s="24" t="inlineStr">
        <is>
          <t>RESEARCH_OBSERVATION</t>
        </is>
      </c>
      <c r="AN498" s="24" t="inlineStr">
        <is>
          <t>CALL</t>
        </is>
      </c>
      <c r="AO498" s="24" t="inlineStr">
        <is>
          <t>PAPER_CALL_LOW_EDGE</t>
        </is>
      </c>
      <c r="AP498" s="24" t="inlineStr">
        <is>
          <t>Ball State Cardinals</t>
        </is>
      </c>
      <c r="AQ498" s="24" t="inlineStr">
        <is>
          <t>Ball State Cardinals</t>
        </is>
      </c>
      <c r="AR498" s="24" t="inlineStr">
        <is>
          <t>Ball State Cardinals</t>
        </is>
      </c>
      <c r="AS498" s="24" t="inlineStr">
        <is>
          <t>Kent State Golden Flashes</t>
        </is>
      </c>
      <c r="AT498" s="24" t="inlineStr">
        <is>
          <t>Kent State Golden Flashes</t>
        </is>
      </c>
      <c r="AU498" s="24" t="inlineStr">
        <is>
          <t>Kent State Golden Flashes</t>
        </is>
      </c>
      <c r="AV498" s="24" t="n"/>
      <c r="AW498" s="24" t="n"/>
      <c r="AX498" s="24" t="inlineStr">
        <is>
          <t>statistical_model</t>
        </is>
      </c>
      <c r="AY498" s="24" t="n"/>
      <c r="AZ498" s="24" t="inlineStr">
        <is>
          <t>shadow_qualified</t>
        </is>
      </c>
      <c r="BA498" s="24" t="inlineStr">
        <is>
          <t>1d168f11d221cd3c</t>
        </is>
      </c>
      <c r="BB498" s="24" t="inlineStr">
        <is>
          <t>cfb_key_number_engine</t>
        </is>
      </c>
      <c r="BC498" s="24" t="inlineStr">
        <is>
          <t>cfb-total-v1</t>
        </is>
      </c>
      <c r="BD498" s="24" t="inlineStr">
        <is>
          <t>1d168f11d221cd3c</t>
        </is>
      </c>
      <c r="BE498" s="24" t="inlineStr">
        <is>
          <t>cfb-v1</t>
        </is>
      </c>
      <c r="BF498" s="24" t="inlineStr">
        <is>
          <t>1</t>
        </is>
      </c>
      <c r="BG498" s="24" t="inlineStr">
        <is>
          <t>1d168f11d221cd3c</t>
        </is>
      </c>
      <c r="BH498" s="24" t="inlineStr">
        <is>
          <t>2026-09-26T15:01:01.506546+00:00</t>
        </is>
      </c>
      <c r="BI498" s="24" t="inlineStr">
        <is>
          <t>["same_event","same_team_same_day","same_league_same_day"]</t>
        </is>
      </c>
      <c r="BJ498" s="25" t="n">
        <v>50.5</v>
      </c>
      <c r="BK498" s="26" t="n">
        <v>-105</v>
      </c>
      <c r="BL498" s="27" t="n">
        <v>1.952381</v>
      </c>
      <c r="BM498" s="28" t="n">
        <v>0.512195</v>
      </c>
      <c r="BN498" s="28" t="n"/>
      <c r="BO498" s="28" t="n"/>
      <c r="BP498" s="25" t="n"/>
      <c r="BQ498" s="27" t="n"/>
      <c r="BR498" s="28" t="n"/>
      <c r="BS498" s="28" t="n"/>
      <c r="BT498" s="28" t="n"/>
      <c r="BU498" s="25" t="n"/>
      <c r="BV498" s="29" t="n"/>
      <c r="BW498" s="24" t="n"/>
      <c r="BX498" s="30" t="n">
        <v>1</v>
      </c>
      <c r="BY498" s="27" t="n">
        <v>0.952381</v>
      </c>
      <c r="BZ498" s="24" t="inlineStr">
        <is>
          <t>2026-09-26T22:00:51.348943Z</t>
        </is>
      </c>
      <c r="CA498" s="31" t="inlineStr">
        <is>
          <t>fixed one-unit hypothetical scoring; no real exposure or execution</t>
        </is>
      </c>
      <c r="CB498" s="24" t="n"/>
      <c r="CC498" s="24" t="n"/>
      <c r="CD498" s="24" t="n"/>
      <c r="CE498" s="24" t="n"/>
      <c r="CF498" s="24" t="n"/>
      <c r="CG498" s="24" t="n"/>
      <c r="CH498" s="24" t="n"/>
      <c r="CI498" s="24" t="n"/>
      <c r="CJ498" s="24" t="n"/>
      <c r="CK498" s="24" t="n"/>
      <c r="CL498" s="24" t="n"/>
      <c r="CM498" s="24" t="n"/>
      <c r="CN498" s="24" t="n"/>
      <c r="CO498" s="24" t="n"/>
      <c r="CP498" s="24" t="n"/>
      <c r="CQ498" s="24" t="n"/>
      <c r="CR498" s="24" t="n"/>
      <c r="CS498" s="24" t="inlineStr">
        <is>
          <t>True</t>
        </is>
      </c>
      <c r="CT498" s="24" t="n"/>
      <c r="CU498" s="24" t="n"/>
      <c r="CV498" s="24" t="n"/>
      <c r="CW498" s="24" t="n"/>
      <c r="CX498" s="24" t="n"/>
      <c r="CY498" s="24" t="n"/>
      <c r="CZ498" s="24" t="n"/>
      <c r="DA498" s="24" t="n"/>
      <c r="DB498" s="24" t="n"/>
      <c r="DC498" s="24" t="n"/>
      <c r="DD498" s="24" t="n"/>
      <c r="DE498" s="24" t="n"/>
      <c r="DF498" s="24" t="n"/>
      <c r="DG498" s="24" t="n"/>
      <c r="DH498" s="24" t="n"/>
      <c r="DI498" s="24" t="n"/>
      <c r="DJ498" s="24" t="inlineStr">
        <is>
          <t>0.512195</t>
        </is>
      </c>
      <c r="DK498" s="24" t="n"/>
      <c r="DL498" s="24" t="n"/>
      <c r="DM498" s="24" t="n"/>
      <c r="DN498" s="24" t="n"/>
      <c r="DO498" s="24" t="n"/>
      <c r="DP498" s="24" t="n"/>
      <c r="DQ498" s="24" t="inlineStr">
        <is>
          <t>{"artifact_hash": "1d168f11d221cd3c", "event_id": "401866425", "event_start_utc": "2026-09-26T16:00Z", "features": {"altitude_fatigue_penalty": 0.0, "away_team": "Ball State Cardinals", "efficiency_gap": -0.155, "elo_away": 1204.6, "elo_home": 1278.2, "elo_home_win_prob": 0.6896, "event_id": "401866425", "game_start_utc": "2026-09-26T16:00Z", "home_field_advantage_points": 2.8, "home_team": "Kent State Golden Flashes", "is_dome": false, "is_fbs_vs_fcs": false, "is_neutral_site": false, "projected_away_points": 22.4, "projected_home_points": 27.9, "projected_margin_home": 5.5, "projected_possessions": 12.4, "projected_total": 50.3, "stadium_elevation_ft": 1070, "travel_distance_miles": 224.0, "uncertainty": 0.165, "weather_total_adjustment": 0.0}, "historical_source_observation_times_verified": false, "inference_inputs": {"engine_source_sha256": "449ba2f0e86fa9c445730076a0e0bf100fb4914620be53c75c6f3bfe24298f3f", "mu_away": 22.4, "mu_home": 27.9,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3314397620565410808275694689867684857}, "uinteger": 0}, "spread_home_line": -3.0, "total_line": 50.5}, "market_type": "total", "model_version": "cfb-total-v1", "observed_at_utc": "2026-09-26T15:01:01.506546+00:00", "probabilities": {"over": 0.470467, "push": 0.0, "under": 0.529533}, "replay_scope": "Full precision score means, exact engine parameters and original RNG state; upstream feature construction not certified.", "schema": "cfb-joint-replay-v1", "snapshot_hash": "85c87b20d206c637da250e1d3cefa4cee90a857a48e020d88d20258fdea915cc", "sport": "NCAAF"}</t>
        </is>
      </c>
    </row>
    <row r="499" ht="36" customHeight="1">
      <c r="A499" s="24" t="inlineStr">
        <is>
          <t>68ded6aa2b7548b2</t>
        </is>
      </c>
      <c r="B499" s="24" t="inlineStr">
        <is>
          <t>2026-09-26T15:01:01.506546Z</t>
        </is>
      </c>
      <c r="C499" s="24" t="inlineStr">
        <is>
          <t>2026-09-26T16:45Z</t>
        </is>
      </c>
      <c r="D499" s="24" t="inlineStr">
        <is>
          <t>401864576</t>
        </is>
      </c>
      <c r="E499" s="24" t="inlineStr">
        <is>
          <t>NCAAF</t>
        </is>
      </c>
      <c r="F499" s="24" t="inlineStr">
        <is>
          <t>South Alabama Jaguars</t>
        </is>
      </c>
      <c r="G499" s="24" t="inlineStr">
        <is>
          <t>Kentucky Wildcats</t>
        </is>
      </c>
      <c r="H499" s="24" t="inlineStr">
        <is>
          <t>moneyline</t>
        </is>
      </c>
      <c r="I499" s="24" t="inlineStr">
        <is>
          <t>away</t>
        </is>
      </c>
      <c r="J499" s="25" t="n"/>
      <c r="K499" s="24" t="inlineStr">
        <is>
          <t>espn_consensus</t>
        </is>
      </c>
      <c r="L499" s="26" t="n">
        <v>900</v>
      </c>
      <c r="M499" s="27" t="n">
        <v>10</v>
      </c>
      <c r="N499" s="28" t="n">
        <v>0.1</v>
      </c>
      <c r="O499" s="28" t="n">
        <v>0.5149359999999999</v>
      </c>
      <c r="P499" s="28" t="n">
        <v>0.18</v>
      </c>
      <c r="Q499" s="28" t="n">
        <v>0.414936</v>
      </c>
      <c r="R499" s="26" t="n">
        <v>100</v>
      </c>
      <c r="S499" s="29" t="n">
        <v>2</v>
      </c>
      <c r="T499" s="24" t="inlineStr">
        <is>
          <t>college-football-v1</t>
        </is>
      </c>
      <c r="U499" s="24" t="inlineStr">
        <is>
          <t>settled</t>
        </is>
      </c>
      <c r="V499" s="24" t="inlineStr">
        <is>
          <t>loss</t>
        </is>
      </c>
      <c r="W499" s="26" t="n">
        <v>21</v>
      </c>
      <c r="X499" s="26" t="n">
        <v>45</v>
      </c>
      <c r="Y499" s="25" t="n"/>
      <c r="Z499" s="26" t="n"/>
      <c r="AA499" s="28" t="n"/>
      <c r="AB499" s="28" t="n"/>
      <c r="AC499" s="30" t="n">
        <v>-2</v>
      </c>
      <c r="AD499" s="24" t="inlineStr">
        <is>
          <t>2026-09-26T22:00:51.914474Z</t>
        </is>
      </c>
      <c r="AE499" s="31" t="inlineStr">
        <is>
          <t>CFB Joint Model (negative_binomial): proj score South Alabama Jaguars 27.6 @ Kentucky Wildcats 26.8 (Margin -0.8). Possessions: 12.4, HFA: +2.8 pts.</t>
        </is>
      </c>
      <c r="AF499" s="31" t="inlineStr">
        <is>
          <t>College football model; multi-market (moneyline, spread, total).</t>
        </is>
      </c>
      <c r="AG499" s="24" t="inlineStr">
        <is>
          <t>review_required</t>
        </is>
      </c>
      <c r="AH499" s="24" t="n"/>
      <c r="AI499" s="31" t="n"/>
      <c r="AJ499" s="31" t="n"/>
      <c r="AK499" s="24" t="inlineStr">
        <is>
          <t>model_qualified</t>
        </is>
      </c>
      <c r="AL499" s="26" t="n">
        <v>4</v>
      </c>
      <c r="AM499" s="24" t="inlineStr">
        <is>
          <t>QUALIFIED_SHADOW_CALL</t>
        </is>
      </c>
      <c r="AN499" s="24" t="inlineStr">
        <is>
          <t>CALL</t>
        </is>
      </c>
      <c r="AO499" s="24" t="inlineStr">
        <is>
          <t>QUALIFIED</t>
        </is>
      </c>
      <c r="AP499" s="24" t="inlineStr">
        <is>
          <t>South Alabama Jaguars</t>
        </is>
      </c>
      <c r="AQ499" s="24" t="inlineStr">
        <is>
          <t>South Alabama Jaguars</t>
        </is>
      </c>
      <c r="AR499" s="24" t="inlineStr">
        <is>
          <t>South Alabama Jaguars</t>
        </is>
      </c>
      <c r="AS499" s="24" t="inlineStr">
        <is>
          <t>Kentucky Wildcats</t>
        </is>
      </c>
      <c r="AT499" s="24" t="inlineStr">
        <is>
          <t>Kentucky Wildcats</t>
        </is>
      </c>
      <c r="AU499" s="24" t="inlineStr">
        <is>
          <t>Kentucky Wildcats</t>
        </is>
      </c>
      <c r="AV499" s="24" t="n"/>
      <c r="AW499" s="24" t="n"/>
      <c r="AX499" s="24" t="inlineStr">
        <is>
          <t>statistical_model</t>
        </is>
      </c>
      <c r="AY499" s="24" t="n"/>
      <c r="AZ499" s="24" t="inlineStr">
        <is>
          <t>shadow_qualified</t>
        </is>
      </c>
      <c r="BA499" s="24" t="inlineStr">
        <is>
          <t>1d168f11d221cd3c</t>
        </is>
      </c>
      <c r="BB499" s="24" t="inlineStr">
        <is>
          <t>cfb_key_number_engine</t>
        </is>
      </c>
      <c r="BC499" s="24" t="inlineStr">
        <is>
          <t>college-football-v1</t>
        </is>
      </c>
      <c r="BD499" s="24" t="inlineStr">
        <is>
          <t>1d168f11d221cd3c</t>
        </is>
      </c>
      <c r="BE499" s="24" t="inlineStr">
        <is>
          <t>cfb-v1</t>
        </is>
      </c>
      <c r="BF499" s="24" t="inlineStr">
        <is>
          <t>1</t>
        </is>
      </c>
      <c r="BG499" s="24" t="inlineStr">
        <is>
          <t>1d168f11d221cd3c</t>
        </is>
      </c>
      <c r="BH499" s="24" t="inlineStr">
        <is>
          <t>2026-09-26T15:01:01.506546+00:00</t>
        </is>
      </c>
      <c r="BI499" s="24" t="inlineStr">
        <is>
          <t>["same_event","same_team_same_day","same_league_same_day"]</t>
        </is>
      </c>
      <c r="BJ499" s="25" t="n"/>
      <c r="BK499" s="26" t="n">
        <v>900</v>
      </c>
      <c r="BL499" s="27" t="n">
        <v>10</v>
      </c>
      <c r="BM499" s="28" t="n">
        <v>0.1</v>
      </c>
      <c r="BN499" s="28" t="n"/>
      <c r="BO499" s="28" t="n"/>
      <c r="BP499" s="25" t="n"/>
      <c r="BQ499" s="27" t="n"/>
      <c r="BR499" s="28" t="n"/>
      <c r="BS499" s="28" t="n"/>
      <c r="BT499" s="28" t="n"/>
      <c r="BU499" s="25" t="n"/>
      <c r="BV499" s="29" t="n"/>
      <c r="BW499" s="24" t="n"/>
      <c r="BX499" s="30" t="n"/>
      <c r="BY499" s="27" t="n"/>
      <c r="BZ499" s="24" t="n"/>
      <c r="CA499" s="31" t="n"/>
      <c r="CB499" s="24" t="n"/>
      <c r="CC499" s="24" t="n"/>
      <c r="CD499" s="24" t="n"/>
      <c r="CE499" s="24" t="n"/>
      <c r="CF499" s="24" t="n"/>
      <c r="CG499" s="24" t="n"/>
      <c r="CH499" s="24" t="n"/>
      <c r="CI499" s="24" t="n"/>
      <c r="CJ499" s="24" t="n"/>
      <c r="CK499" s="24" t="n"/>
      <c r="CL499" s="24" t="n"/>
      <c r="CM499" s="24" t="n"/>
      <c r="CN499" s="24" t="n"/>
      <c r="CO499" s="24" t="n"/>
      <c r="CP499" s="24" t="n"/>
      <c r="CQ499" s="24" t="n"/>
      <c r="CR499" s="24" t="n"/>
      <c r="CS499" s="24" t="inlineStr">
        <is>
          <t>True</t>
        </is>
      </c>
      <c r="CT499" s="24" t="n"/>
      <c r="CU499" s="24" t="n"/>
      <c r="CV499" s="24" t="n"/>
      <c r="CW499" s="24" t="n"/>
      <c r="CX499" s="24" t="n"/>
      <c r="CY499" s="24" t="n"/>
      <c r="CZ499" s="24" t="n"/>
      <c r="DA499" s="24" t="n"/>
      <c r="DB499" s="24" t="n"/>
      <c r="DC499" s="24" t="n"/>
      <c r="DD499" s="24" t="n"/>
      <c r="DE499" s="24" t="n"/>
      <c r="DF499" s="24" t="n"/>
      <c r="DG499" s="24" t="n"/>
      <c r="DH499" s="24" t="n"/>
      <c r="DI499" s="24" t="n"/>
      <c r="DJ499" s="24" t="inlineStr">
        <is>
          <t>0.1</t>
        </is>
      </c>
      <c r="DK499" s="24" t="n"/>
      <c r="DL499" s="24" t="n"/>
      <c r="DM499" s="24" t="n"/>
      <c r="DN499" s="24" t="n"/>
      <c r="DO499" s="24" t="n"/>
      <c r="DP499" s="24" t="n"/>
      <c r="DQ499" s="24" t="inlineStr">
        <is>
          <t>{"artifact_hash": "1d168f11d221cd3c", "event_id": "401864576", "event_start_utc": "2026-09-26T16:45Z", "features": {"altitude_fatigue_penalty": 0.0, "away_team": "South Alabama Jaguars", "efficiency_gap": 1.402, "elo_away": 1408.7, "elo_home": 1323.4, "elo_home_win_prob": 0.4707, "event_id": "401864576", "game_start_utc": "2026-09-26T16:45Z", "home_field_advantage_points": 2.8, "home_team": "Kentucky Wildcats", "is_dome": false, "is_fbs_vs_fcs": false, "is_neutral_site": false, "projected_away_points": 27.6, "projected_home_points": 26.8, "projected_margin_home": -0.8, "projected_possessions": 12.4, "projected_total": 54.4, "stadium_elevation_ft": 980, "travel_distance_miles": 548.0, "uncertainty": 0.18, "weather_total_adjustment": 0.0}, "historical_source_observation_times_verified": false, "inference_inputs": {"engine_source_sha256": "449ba2f0e86fa9c445730076a0e0bf100fb4914620be53c75c6f3bfe24298f3f", "mu_away": 27.6, "mu_home": 26.8,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179783862334119348784612064430944138645}, "uinteger": 0}, "spread_home_line": -20.5, "total_line": 54.5}, "market_type": "moneyline", "model_version": "college-football-v1", "observed_at_utc": "2026-09-26T15:01:01.506546+00:00", "probabilities": {"away": 0.514936, "home": 0.485064}, "replay_scope": "Full precision score means, exact engine parameters and original RNG state; upstream feature construction not certified.", "schema": "cfb-joint-replay-v1", "snapshot_hash": "c0f819dd9f48427616e2c8e23cfb1a16a95d9236d082c1d971faebbdbef33737", "sport": "NCAAF"}</t>
        </is>
      </c>
    </row>
    <row r="500" ht="36" customHeight="1">
      <c r="A500" s="24" t="inlineStr">
        <is>
          <t>12aad9bca5874d2b</t>
        </is>
      </c>
      <c r="B500" s="24" t="inlineStr">
        <is>
          <t>2026-09-26T15:01:01.506546Z</t>
        </is>
      </c>
      <c r="C500" s="24" t="inlineStr">
        <is>
          <t>2026-09-26T16:45Z</t>
        </is>
      </c>
      <c r="D500" s="24" t="inlineStr">
        <is>
          <t>401864576</t>
        </is>
      </c>
      <c r="E500" s="24" t="inlineStr">
        <is>
          <t>NCAAF</t>
        </is>
      </c>
      <c r="F500" s="24" t="inlineStr">
        <is>
          <t>South Alabama Jaguars</t>
        </is>
      </c>
      <c r="G500" s="24" t="inlineStr">
        <is>
          <t>Kentucky Wildcats</t>
        </is>
      </c>
      <c r="H500" s="24" t="inlineStr">
        <is>
          <t>spread</t>
        </is>
      </c>
      <c r="I500" s="24" t="inlineStr">
        <is>
          <t>away</t>
        </is>
      </c>
      <c r="J500" s="25" t="n">
        <v>20.5</v>
      </c>
      <c r="K500" s="24" t="inlineStr">
        <is>
          <t>espn_consensus</t>
        </is>
      </c>
      <c r="L500" s="26" t="n">
        <v>-110</v>
      </c>
      <c r="M500" s="27" t="n">
        <v>1.909091</v>
      </c>
      <c r="N500" s="28" t="n">
        <v>0.52381</v>
      </c>
      <c r="O500" s="28" t="n">
        <v>0.8522</v>
      </c>
      <c r="P500" s="28" t="n">
        <v>0.18</v>
      </c>
      <c r="Q500" s="28" t="n">
        <v>0.32839</v>
      </c>
      <c r="R500" s="26" t="n">
        <v>100</v>
      </c>
      <c r="S500" s="29" t="n">
        <v>2</v>
      </c>
      <c r="T500" s="24" t="inlineStr">
        <is>
          <t>cfb-spread-v1</t>
        </is>
      </c>
      <c r="U500" s="24" t="inlineStr">
        <is>
          <t>settled</t>
        </is>
      </c>
      <c r="V500" s="24" t="inlineStr">
        <is>
          <t>loss</t>
        </is>
      </c>
      <c r="W500" s="26" t="n">
        <v>21</v>
      </c>
      <c r="X500" s="26" t="n">
        <v>45</v>
      </c>
      <c r="Y500" s="25" t="n"/>
      <c r="Z500" s="26" t="n"/>
      <c r="AA500" s="28" t="n"/>
      <c r="AB500" s="28" t="n"/>
      <c r="AC500" s="30" t="n">
        <v>-2</v>
      </c>
      <c r="AD500" s="24" t="inlineStr">
        <is>
          <t>2026-09-26T22:00:52.410282Z</t>
        </is>
      </c>
      <c r="AE500" s="31" t="inlineStr">
        <is>
          <t>Projected home margin -0.8 pts. Spread: Home -20.5 / Away +20.5 -&gt; P(Away cover)=0.852, P(Home cover)=0.148, P(Push)=0.000.</t>
        </is>
      </c>
      <c r="AF500" s="31" t="inlineStr">
        <is>
          <t>College football model; multi-market (moneyline, spread, total).</t>
        </is>
      </c>
      <c r="AG500" s="24" t="inlineStr">
        <is>
          <t>review_required</t>
        </is>
      </c>
      <c r="AH500" s="24" t="n"/>
      <c r="AI500" s="31" t="n"/>
      <c r="AJ500" s="31" t="n"/>
      <c r="AK500" s="24" t="inlineStr">
        <is>
          <t>model_qualified</t>
        </is>
      </c>
      <c r="AL500" s="26" t="n">
        <v>4</v>
      </c>
      <c r="AM500" s="24" t="inlineStr">
        <is>
          <t>QUALIFIED_SHADOW_CALL</t>
        </is>
      </c>
      <c r="AN500" s="24" t="inlineStr">
        <is>
          <t>CALL</t>
        </is>
      </c>
      <c r="AO500" s="24" t="inlineStr">
        <is>
          <t>QUALIFIED</t>
        </is>
      </c>
      <c r="AP500" s="24" t="inlineStr">
        <is>
          <t>South Alabama Jaguars</t>
        </is>
      </c>
      <c r="AQ500" s="24" t="inlineStr">
        <is>
          <t>South Alabama Jaguars</t>
        </is>
      </c>
      <c r="AR500" s="24" t="inlineStr">
        <is>
          <t>South Alabama Jaguars</t>
        </is>
      </c>
      <c r="AS500" s="24" t="inlineStr">
        <is>
          <t>Kentucky Wildcats</t>
        </is>
      </c>
      <c r="AT500" s="24" t="inlineStr">
        <is>
          <t>Kentucky Wildcats</t>
        </is>
      </c>
      <c r="AU500" s="24" t="inlineStr">
        <is>
          <t>Kentucky Wildcats</t>
        </is>
      </c>
      <c r="AV500" s="24" t="n"/>
      <c r="AW500" s="24" t="n"/>
      <c r="AX500" s="24" t="inlineStr">
        <is>
          <t>statistical_model</t>
        </is>
      </c>
      <c r="AY500" s="24" t="n"/>
      <c r="AZ500" s="24" t="inlineStr">
        <is>
          <t>shadow_qualified</t>
        </is>
      </c>
      <c r="BA500" s="24" t="inlineStr">
        <is>
          <t>1d168f11d221cd3c</t>
        </is>
      </c>
      <c r="BB500" s="24" t="inlineStr">
        <is>
          <t>cfb_key_number_engine</t>
        </is>
      </c>
      <c r="BC500" s="24" t="inlineStr">
        <is>
          <t>cfb-spread-v1</t>
        </is>
      </c>
      <c r="BD500" s="24" t="inlineStr">
        <is>
          <t>1d168f11d221cd3c</t>
        </is>
      </c>
      <c r="BE500" s="24" t="inlineStr">
        <is>
          <t>cfb-v1</t>
        </is>
      </c>
      <c r="BF500" s="24" t="inlineStr">
        <is>
          <t>1</t>
        </is>
      </c>
      <c r="BG500" s="24" t="inlineStr">
        <is>
          <t>1d168f11d221cd3c</t>
        </is>
      </c>
      <c r="BH500" s="24" t="inlineStr">
        <is>
          <t>2026-09-26T15:01:01.506546+00:00</t>
        </is>
      </c>
      <c r="BI500" s="24" t="inlineStr">
        <is>
          <t>["same_event","same_team_same_day","same_league_same_day"]</t>
        </is>
      </c>
      <c r="BJ500" s="25" t="n">
        <v>20.5</v>
      </c>
      <c r="BK500" s="26" t="n">
        <v>-110</v>
      </c>
      <c r="BL500" s="27" t="n">
        <v>1.909091</v>
      </c>
      <c r="BM500" s="28" t="n">
        <v>0.52381</v>
      </c>
      <c r="BN500" s="28" t="n"/>
      <c r="BO500" s="28" t="n"/>
      <c r="BP500" s="25" t="n"/>
      <c r="BQ500" s="27" t="n"/>
      <c r="BR500" s="28" t="n"/>
      <c r="BS500" s="28" t="n"/>
      <c r="BT500" s="28" t="n"/>
      <c r="BU500" s="25" t="n"/>
      <c r="BV500" s="29" t="n"/>
      <c r="BW500" s="24" t="n"/>
      <c r="BX500" s="30" t="n"/>
      <c r="BY500" s="27" t="n"/>
      <c r="BZ500" s="24" t="n"/>
      <c r="CA500" s="31" t="n"/>
      <c r="CB500" s="24" t="n"/>
      <c r="CC500" s="24" t="n"/>
      <c r="CD500" s="24" t="n"/>
      <c r="CE500" s="24" t="n"/>
      <c r="CF500" s="24" t="n"/>
      <c r="CG500" s="24" t="n"/>
      <c r="CH500" s="24" t="n"/>
      <c r="CI500" s="24" t="n"/>
      <c r="CJ500" s="24" t="n"/>
      <c r="CK500" s="24" t="n"/>
      <c r="CL500" s="24" t="n"/>
      <c r="CM500" s="24" t="n"/>
      <c r="CN500" s="24" t="n"/>
      <c r="CO500" s="24" t="n"/>
      <c r="CP500" s="24" t="n"/>
      <c r="CQ500" s="24" t="n"/>
      <c r="CR500" s="24" t="n"/>
      <c r="CS500" s="24" t="inlineStr">
        <is>
          <t>True</t>
        </is>
      </c>
      <c r="CT500" s="24" t="n"/>
      <c r="CU500" s="24" t="n"/>
      <c r="CV500" s="24" t="n"/>
      <c r="CW500" s="24" t="n"/>
      <c r="CX500" s="24" t="n"/>
      <c r="CY500" s="24" t="n"/>
      <c r="CZ500" s="24" t="n"/>
      <c r="DA500" s="24" t="n"/>
      <c r="DB500" s="24" t="n"/>
      <c r="DC500" s="24" t="n"/>
      <c r="DD500" s="24" t="n"/>
      <c r="DE500" s="24" t="n"/>
      <c r="DF500" s="24" t="n"/>
      <c r="DG500" s="24" t="n"/>
      <c r="DH500" s="24" t="n"/>
      <c r="DI500" s="24" t="n"/>
      <c r="DJ500" s="24" t="inlineStr">
        <is>
          <t>0.52381</t>
        </is>
      </c>
      <c r="DK500" s="24" t="n"/>
      <c r="DL500" s="24" t="n"/>
      <c r="DM500" s="24" t="n"/>
      <c r="DN500" s="24" t="n"/>
      <c r="DO500" s="24" t="n"/>
      <c r="DP500" s="24" t="n"/>
      <c r="DQ500" s="24" t="inlineStr">
        <is>
          <t>{"artifact_hash": "1d168f11d221cd3c", "event_id": "401864576", "event_start_utc": "2026-09-26T16:45Z", "features": {"altitude_fatigue_penalty": 0.0, "away_team": "South Alabama Jaguars", "efficiency_gap": 1.402, "elo_away": 1408.7, "elo_home": 1323.4, "elo_home_win_prob": 0.4707, "event_id": "401864576", "game_start_utc": "2026-09-26T16:45Z", "home_field_advantage_points": 2.8, "home_team": "Kentucky Wildcats", "is_dome": false, "is_fbs_vs_fcs": false, "is_neutral_site": false, "projected_away_points": 27.6, "projected_home_points": 26.8, "projected_margin_home": -0.8, "projected_possessions": 12.4, "projected_total": 54.4, "stadium_elevation_ft": 980, "travel_distance_miles": 548.0, "uncertainty": 0.18, "weather_total_adjustment": 0.0}, "historical_source_observation_times_verified": false, "inference_inputs": {"engine_source_sha256": "449ba2f0e86fa9c445730076a0e0bf100fb4914620be53c75c6f3bfe24298f3f", "mu_away": 27.6, "mu_home": 26.8,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179783862334119348784612064430944138645}, "uinteger": 0}, "spread_home_line": -20.5, "total_line": 54.5}, "market_type": "spread", "model_version": "cfb-spread-v1", "observed_at_utc": "2026-09-26T15:01:01.506546+00:00", "probabilities": {"away": 0.8522, "home": 0.1478, "push": 0.0}, "replay_scope": "Full precision score means, exact engine parameters and original RNG state; upstream feature construction not certified.", "schema": "cfb-joint-replay-v1", "snapshot_hash": "d7ad49819949fde13d7ab11fefb8322f9fdc2e00055bcdb356a794ebdeab0fdf", "sport": "NCAAF"}</t>
        </is>
      </c>
    </row>
    <row r="501" ht="36" customHeight="1">
      <c r="A501" s="24" t="inlineStr">
        <is>
          <t>bdb7259e10354dc1</t>
        </is>
      </c>
      <c r="B501" s="24" t="inlineStr">
        <is>
          <t>2026-09-26T15:01:01.506546Z</t>
        </is>
      </c>
      <c r="C501" s="24" t="inlineStr">
        <is>
          <t>2026-09-26T16:45Z</t>
        </is>
      </c>
      <c r="D501" s="24" t="inlineStr">
        <is>
          <t>401864576</t>
        </is>
      </c>
      <c r="E501" s="24" t="inlineStr">
        <is>
          <t>NCAAF</t>
        </is>
      </c>
      <c r="F501" s="24" t="inlineStr">
        <is>
          <t>South Alabama Jaguars</t>
        </is>
      </c>
      <c r="G501" s="24" t="inlineStr">
        <is>
          <t>Kentucky Wildcats</t>
        </is>
      </c>
      <c r="H501" s="24" t="inlineStr">
        <is>
          <t>total</t>
        </is>
      </c>
      <c r="I501" s="24" t="inlineStr">
        <is>
          <t>under</t>
        </is>
      </c>
      <c r="J501" s="25" t="n">
        <v>54.5</v>
      </c>
      <c r="K501" s="24" t="inlineStr">
        <is>
          <t>espn_consensus</t>
        </is>
      </c>
      <c r="L501" s="26" t="n">
        <v>-115</v>
      </c>
      <c r="M501" s="27" t="n">
        <v>1.869565</v>
      </c>
      <c r="N501" s="28" t="n">
        <v>0.534884</v>
      </c>
      <c r="O501" s="28" t="n">
        <v>0.532067</v>
      </c>
      <c r="P501" s="28" t="n">
        <v>0.18</v>
      </c>
      <c r="Q501" s="28" t="n">
        <v>-0.002817</v>
      </c>
      <c r="R501" s="26" t="n">
        <v>0</v>
      </c>
      <c r="S501" s="29" t="n">
        <v>1</v>
      </c>
      <c r="T501" s="24" t="inlineStr">
        <is>
          <t>cfb-total-v1</t>
        </is>
      </c>
      <c r="U501" s="24" t="inlineStr">
        <is>
          <t>settled</t>
        </is>
      </c>
      <c r="V501" s="24" t="inlineStr">
        <is>
          <t>loss</t>
        </is>
      </c>
      <c r="W501" s="26" t="n">
        <v>21</v>
      </c>
      <c r="X501" s="26" t="n">
        <v>45</v>
      </c>
      <c r="Y501" s="25" t="n"/>
      <c r="Z501" s="26" t="n"/>
      <c r="AA501" s="28" t="n"/>
      <c r="AB501" s="28" t="n"/>
      <c r="AC501" s="30" t="n">
        <v>-1</v>
      </c>
      <c r="AD501" s="24" t="inlineStr">
        <is>
          <t>2026-09-26T22:00:53.028815Z</t>
        </is>
      </c>
      <c r="AE501" s="31" t="inlineStr">
        <is>
          <t>Projected total 54.4 pts (Weather adj: +0.0 pts). Total line 54.5 -&gt; P(Over)=0.468, P(Under)=0.532, P(Push)=0.000.</t>
        </is>
      </c>
      <c r="AF501" s="31" t="inlineStr">
        <is>
          <t>College football model; multi-market (moneyline, spread, total).</t>
        </is>
      </c>
      <c r="AG501" s="24" t="inlineStr">
        <is>
          <t>review_required</t>
        </is>
      </c>
      <c r="AH501" s="24" t="n"/>
      <c r="AI501" s="31" t="n"/>
      <c r="AJ501" s="31" t="n"/>
      <c r="AK501" s="24" t="inlineStr">
        <is>
          <t>paper_call</t>
        </is>
      </c>
      <c r="AL501" s="26" t="n">
        <v>4</v>
      </c>
      <c r="AM501" s="24" t="inlineStr">
        <is>
          <t>RESEARCH_OBSERVATION</t>
        </is>
      </c>
      <c r="AN501" s="24" t="inlineStr">
        <is>
          <t>CALL</t>
        </is>
      </c>
      <c r="AO501" s="24" t="inlineStr">
        <is>
          <t>PAPER_CALL_LOW_EDGE</t>
        </is>
      </c>
      <c r="AP501" s="24" t="inlineStr">
        <is>
          <t>South Alabama Jaguars</t>
        </is>
      </c>
      <c r="AQ501" s="24" t="inlineStr">
        <is>
          <t>South Alabama Jaguars</t>
        </is>
      </c>
      <c r="AR501" s="24" t="inlineStr">
        <is>
          <t>South Alabama Jaguars</t>
        </is>
      </c>
      <c r="AS501" s="24" t="inlineStr">
        <is>
          <t>Kentucky Wildcats</t>
        </is>
      </c>
      <c r="AT501" s="24" t="inlineStr">
        <is>
          <t>Kentucky Wildcats</t>
        </is>
      </c>
      <c r="AU501" s="24" t="inlineStr">
        <is>
          <t>Kentucky Wildcats</t>
        </is>
      </c>
      <c r="AV501" s="24" t="n"/>
      <c r="AW501" s="24" t="n"/>
      <c r="AX501" s="24" t="inlineStr">
        <is>
          <t>statistical_model</t>
        </is>
      </c>
      <c r="AY501" s="24" t="n"/>
      <c r="AZ501" s="24" t="inlineStr">
        <is>
          <t>shadow_qualified</t>
        </is>
      </c>
      <c r="BA501" s="24" t="inlineStr">
        <is>
          <t>1d168f11d221cd3c</t>
        </is>
      </c>
      <c r="BB501" s="24" t="inlineStr">
        <is>
          <t>cfb_key_number_engine</t>
        </is>
      </c>
      <c r="BC501" s="24" t="inlineStr">
        <is>
          <t>cfb-total-v1</t>
        </is>
      </c>
      <c r="BD501" s="24" t="inlineStr">
        <is>
          <t>1d168f11d221cd3c</t>
        </is>
      </c>
      <c r="BE501" s="24" t="inlineStr">
        <is>
          <t>cfb-v1</t>
        </is>
      </c>
      <c r="BF501" s="24" t="inlineStr">
        <is>
          <t>1</t>
        </is>
      </c>
      <c r="BG501" s="24" t="inlineStr">
        <is>
          <t>1d168f11d221cd3c</t>
        </is>
      </c>
      <c r="BH501" s="24" t="inlineStr">
        <is>
          <t>2026-09-26T15:01:01.506546+00:00</t>
        </is>
      </c>
      <c r="BI501" s="24" t="inlineStr">
        <is>
          <t>["same_event","same_team_same_day","same_league_same_day"]</t>
        </is>
      </c>
      <c r="BJ501" s="25" t="n">
        <v>54.5</v>
      </c>
      <c r="BK501" s="26" t="n">
        <v>-115</v>
      </c>
      <c r="BL501" s="27" t="n">
        <v>1.869565</v>
      </c>
      <c r="BM501" s="28" t="n">
        <v>0.534884</v>
      </c>
      <c r="BN501" s="28" t="n"/>
      <c r="BO501" s="28" t="n"/>
      <c r="BP501" s="25" t="n"/>
      <c r="BQ501" s="27" t="n"/>
      <c r="BR501" s="28" t="n"/>
      <c r="BS501" s="28" t="n"/>
      <c r="BT501" s="28" t="n"/>
      <c r="BU501" s="25" t="n"/>
      <c r="BV501" s="29" t="n"/>
      <c r="BW501" s="24" t="n"/>
      <c r="BX501" s="30" t="n">
        <v>1</v>
      </c>
      <c r="BY501" s="27" t="n">
        <v>-1</v>
      </c>
      <c r="BZ501" s="24" t="inlineStr">
        <is>
          <t>2026-09-26T22:00:53.028815Z</t>
        </is>
      </c>
      <c r="CA501" s="31" t="inlineStr">
        <is>
          <t>fixed one-unit hypothetical scoring; no real exposure or execution</t>
        </is>
      </c>
      <c r="CB501" s="24" t="n"/>
      <c r="CC501" s="24" t="n"/>
      <c r="CD501" s="24" t="n"/>
      <c r="CE501" s="24" t="n"/>
      <c r="CF501" s="24" t="n"/>
      <c r="CG501" s="24" t="n"/>
      <c r="CH501" s="24" t="n"/>
      <c r="CI501" s="24" t="n"/>
      <c r="CJ501" s="24" t="n"/>
      <c r="CK501" s="24" t="n"/>
      <c r="CL501" s="24" t="n"/>
      <c r="CM501" s="24" t="n"/>
      <c r="CN501" s="24" t="n"/>
      <c r="CO501" s="24" t="n"/>
      <c r="CP501" s="24" t="n"/>
      <c r="CQ501" s="24" t="n"/>
      <c r="CR501" s="24" t="n"/>
      <c r="CS501" s="24" t="inlineStr">
        <is>
          <t>False</t>
        </is>
      </c>
      <c r="CT501" s="24" t="n"/>
      <c r="CU501" s="24" t="n"/>
      <c r="CV501" s="24" t="n"/>
      <c r="CW501" s="24" t="n"/>
      <c r="CX501" s="24" t="n"/>
      <c r="CY501" s="24" t="n"/>
      <c r="CZ501" s="24" t="n"/>
      <c r="DA501" s="24" t="n"/>
      <c r="DB501" s="24" t="n"/>
      <c r="DC501" s="24" t="n"/>
      <c r="DD501" s="24" t="n"/>
      <c r="DE501" s="24" t="n"/>
      <c r="DF501" s="24" t="n"/>
      <c r="DG501" s="24" t="n"/>
      <c r="DH501" s="24" t="n"/>
      <c r="DI501" s="24" t="n"/>
      <c r="DJ501" s="24" t="inlineStr">
        <is>
          <t>0.534884</t>
        </is>
      </c>
      <c r="DK501" s="24" t="n"/>
      <c r="DL501" s="24" t="n"/>
      <c r="DM501" s="24" t="n"/>
      <c r="DN501" s="24" t="n"/>
      <c r="DO501" s="24" t="n"/>
      <c r="DP501" s="24" t="n"/>
      <c r="DQ501" s="24" t="inlineStr">
        <is>
          <t>{"artifact_hash": "1d168f11d221cd3c", "event_id": "401864576", "event_start_utc": "2026-09-26T16:45Z", "features": {"altitude_fatigue_penalty": 0.0, "away_team": "South Alabama Jaguars", "efficiency_gap": 1.402, "elo_away": 1408.7, "elo_home": 1323.4, "elo_home_win_prob": 0.4707, "event_id": "401864576", "game_start_utc": "2026-09-26T16:45Z", "home_field_advantage_points": 2.8, "home_team": "Kentucky Wildcats", "is_dome": false, "is_fbs_vs_fcs": false, "is_neutral_site": false, "projected_away_points": 27.6, "projected_home_points": 26.8, "projected_margin_home": -0.8, "projected_possessions": 12.4, "projected_total": 54.4, "stadium_elevation_ft": 980, "travel_distance_miles": 548.0, "uncertainty": 0.18, "weather_total_adjustment": 0.0}, "historical_source_observation_times_verified": false, "inference_inputs": {"engine_source_sha256": "449ba2f0e86fa9c445730076a0e0bf100fb4914620be53c75c6f3bfe24298f3f", "mu_away": 27.6, "mu_home": 26.8,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179783862334119348784612064430944138645}, "uinteger": 0}, "spread_home_line": -20.5, "total_line": 54.5}, "market_type": "total", "model_version": "cfb-total-v1", "observed_at_utc": "2026-09-26T15:01:01.506546+00:00", "probabilities": {"over": 0.467933, "push": 0.0, "under": 0.532067}, "replay_scope": "Full precision score means, exact engine parameters and original RNG state; upstream feature construction not certified.", "schema": "cfb-joint-replay-v1", "snapshot_hash": "edb0cfc571ee50d79408e7f1b2add8b80cd289446d5447aca8c8a28f5c455d2a", "sport": "NCAAF"}</t>
        </is>
      </c>
    </row>
    <row r="502" ht="36" customHeight="1">
      <c r="A502" s="24" t="inlineStr">
        <is>
          <t>9679185397714bfb</t>
        </is>
      </c>
      <c r="B502" s="24" t="inlineStr">
        <is>
          <t>2026-09-26T15:01:01.506546Z</t>
        </is>
      </c>
      <c r="C502" s="24" t="inlineStr">
        <is>
          <t>2026-09-26T17:00Z</t>
        </is>
      </c>
      <c r="D502" s="24" t="inlineStr">
        <is>
          <t>401866427</t>
        </is>
      </c>
      <c r="E502" s="24" t="inlineStr">
        <is>
          <t>NCAAF</t>
        </is>
      </c>
      <c r="F502" s="24" t="inlineStr">
        <is>
          <t>Lindenwood Lions</t>
        </is>
      </c>
      <c r="G502" s="24" t="inlineStr">
        <is>
          <t>Eastern Michigan Eagles</t>
        </is>
      </c>
      <c r="H502" s="24" t="inlineStr">
        <is>
          <t>moneyline</t>
        </is>
      </c>
      <c r="I502" s="24" t="inlineStr">
        <is>
          <t>home</t>
        </is>
      </c>
      <c r="J502" s="25" t="n"/>
      <c r="K502" s="24" t="inlineStr">
        <is>
          <t>espn_consensus</t>
        </is>
      </c>
      <c r="L502" s="26" t="n">
        <v>-2400</v>
      </c>
      <c r="M502" s="27" t="n">
        <v>1.041667</v>
      </c>
      <c r="N502" s="28" t="n">
        <v>0.96</v>
      </c>
      <c r="O502" s="28" t="n">
        <v>0.5604479999999999</v>
      </c>
      <c r="P502" s="28" t="n">
        <v>0.18</v>
      </c>
      <c r="Q502" s="28" t="n">
        <v>-0.399552</v>
      </c>
      <c r="R502" s="26" t="n">
        <v>0</v>
      </c>
      <c r="S502" s="29" t="n">
        <v>1</v>
      </c>
      <c r="T502" s="24" t="inlineStr">
        <is>
          <t>college-football-v1</t>
        </is>
      </c>
      <c r="U502" s="24" t="inlineStr">
        <is>
          <t>settled</t>
        </is>
      </c>
      <c r="V502" s="24" t="inlineStr">
        <is>
          <t>win</t>
        </is>
      </c>
      <c r="W502" s="26" t="n">
        <v>3</v>
      </c>
      <c r="X502" s="26" t="n">
        <v>29</v>
      </c>
      <c r="Y502" s="25" t="n"/>
      <c r="Z502" s="26" t="n"/>
      <c r="AA502" s="28" t="n"/>
      <c r="AB502" s="28" t="n"/>
      <c r="AC502" s="30" t="n">
        <v>0.0417</v>
      </c>
      <c r="AD502" s="24" t="inlineStr">
        <is>
          <t>2026-09-26T22:00:53.595532Z</t>
        </is>
      </c>
      <c r="AE502" s="31" t="inlineStr">
        <is>
          <t>CFB Joint Model (negative_binomial): proj score Lindenwood Lions 24.9 @ Eastern Michigan Eagles 27.7 (Margin +2.8). Possessions: 12.4, HFA: +2.8 pts.</t>
        </is>
      </c>
      <c r="AF502" s="31" t="inlineStr">
        <is>
          <t>College football model; multi-market (moneyline, spread, total).</t>
        </is>
      </c>
      <c r="AG502" s="24" t="inlineStr">
        <is>
          <t>not_applicable</t>
        </is>
      </c>
      <c r="AH502" s="24" t="n"/>
      <c r="AI502" s="31" t="n"/>
      <c r="AJ502" s="31" t="n"/>
      <c r="AK502" s="24" t="inlineStr">
        <is>
          <t>paper_call</t>
        </is>
      </c>
      <c r="AL502" s="26" t="n">
        <v>4</v>
      </c>
      <c r="AM502" s="24" t="inlineStr">
        <is>
          <t>RESEARCH_OBSERVATION</t>
        </is>
      </c>
      <c r="AN502" s="24" t="inlineStr">
        <is>
          <t>CALL</t>
        </is>
      </c>
      <c r="AO502" s="24" t="inlineStr">
        <is>
          <t>PAPER_CALL_LOW_EDGE</t>
        </is>
      </c>
      <c r="AP502" s="24" t="inlineStr">
        <is>
          <t>Lindenwood Lions</t>
        </is>
      </c>
      <c r="AQ502" s="24" t="inlineStr">
        <is>
          <t>Lindenwood Lions</t>
        </is>
      </c>
      <c r="AR502" s="24" t="inlineStr">
        <is>
          <t>Lindenwood Lions</t>
        </is>
      </c>
      <c r="AS502" s="24" t="inlineStr">
        <is>
          <t>Eastern Michigan Eagles</t>
        </is>
      </c>
      <c r="AT502" s="24" t="inlineStr">
        <is>
          <t>Eastern Michigan Eagles</t>
        </is>
      </c>
      <c r="AU502" s="24" t="inlineStr">
        <is>
          <t>Eastern Michigan Eagles</t>
        </is>
      </c>
      <c r="AV502" s="24" t="n"/>
      <c r="AW502" s="24" t="n"/>
      <c r="AX502" s="24" t="inlineStr">
        <is>
          <t>statistical_model</t>
        </is>
      </c>
      <c r="AY502" s="24" t="n"/>
      <c r="AZ502" s="24" t="inlineStr">
        <is>
          <t>shadow_qualified</t>
        </is>
      </c>
      <c r="BA502" s="24" t="inlineStr">
        <is>
          <t>1d168f11d221cd3c</t>
        </is>
      </c>
      <c r="BB502" s="24" t="inlineStr">
        <is>
          <t>cfb_key_number_engine</t>
        </is>
      </c>
      <c r="BC502" s="24" t="inlineStr">
        <is>
          <t>college-football-v1</t>
        </is>
      </c>
      <c r="BD502" s="24" t="inlineStr">
        <is>
          <t>1d168f11d221cd3c</t>
        </is>
      </c>
      <c r="BE502" s="24" t="inlineStr">
        <is>
          <t>cfb-v1</t>
        </is>
      </c>
      <c r="BF502" s="24" t="inlineStr">
        <is>
          <t>1</t>
        </is>
      </c>
      <c r="BG502" s="24" t="inlineStr">
        <is>
          <t>1d168f11d221cd3c</t>
        </is>
      </c>
      <c r="BH502" s="24" t="inlineStr">
        <is>
          <t>2026-09-26T15:01:01.506546+00:00</t>
        </is>
      </c>
      <c r="BI502" s="24" t="inlineStr">
        <is>
          <t>["same_event","same_team_same_day","same_league_same_day"]</t>
        </is>
      </c>
      <c r="BJ502" s="25" t="n"/>
      <c r="BK502" s="26" t="n">
        <v>-2400</v>
      </c>
      <c r="BL502" s="27" t="n">
        <v>1.041667</v>
      </c>
      <c r="BM502" s="28" t="n">
        <v>0.96</v>
      </c>
      <c r="BN502" s="28" t="n"/>
      <c r="BO502" s="28" t="n"/>
      <c r="BP502" s="25" t="n"/>
      <c r="BQ502" s="27" t="n"/>
      <c r="BR502" s="28" t="n"/>
      <c r="BS502" s="28" t="n"/>
      <c r="BT502" s="28" t="n"/>
      <c r="BU502" s="25" t="n"/>
      <c r="BV502" s="29" t="n"/>
      <c r="BW502" s="24" t="n"/>
      <c r="BX502" s="30" t="n">
        <v>1</v>
      </c>
      <c r="BY502" s="27" t="n">
        <v>0.041667</v>
      </c>
      <c r="BZ502" s="24" t="inlineStr">
        <is>
          <t>2026-09-26T22:00:53.595532Z</t>
        </is>
      </c>
      <c r="CA502" s="31" t="inlineStr">
        <is>
          <t>fixed one-unit hypothetical scoring; no real exposure or execution</t>
        </is>
      </c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n"/>
      <c r="CR502" s="24" t="n"/>
      <c r="CS502" s="24" t="inlineStr">
        <is>
          <t>False</t>
        </is>
      </c>
      <c r="CT502" s="24" t="n"/>
      <c r="CU502" s="24" t="n"/>
      <c r="CV502" s="24" t="n"/>
      <c r="CW502" s="24" t="n"/>
      <c r="CX502" s="24" t="n"/>
      <c r="CY502" s="24" t="n"/>
      <c r="CZ502" s="24" t="n"/>
      <c r="DA502" s="24" t="n"/>
      <c r="DB502" s="24" t="n"/>
      <c r="DC502" s="24" t="n"/>
      <c r="DD502" s="24" t="n"/>
      <c r="DE502" s="24" t="n"/>
      <c r="DF502" s="24" t="n"/>
      <c r="DG502" s="24" t="n"/>
      <c r="DH502" s="24" t="n"/>
      <c r="DI502" s="24" t="n"/>
      <c r="DJ502" s="24" t="inlineStr">
        <is>
          <t>0.96</t>
        </is>
      </c>
      <c r="DK502" s="24" t="n"/>
      <c r="DL502" s="24" t="n"/>
      <c r="DM502" s="24" t="n"/>
      <c r="DN502" s="24" t="n"/>
      <c r="DO502" s="24" t="n"/>
      <c r="DP502" s="24" t="n"/>
      <c r="DQ502" s="24" t="inlineStr">
        <is>
          <t>{"artifact_hash": "1d168f11d221cd3c", "event_id": "401866427", "event_start_utc": "2026-09-26T17:00Z", "features": {"altitude_fatigue_penalty": 0.0, "away_team": "Lindenwood Lions", "efficiency_gap": 0.019, "elo_away": 1337.5, "elo_home": 1339.9, "elo_home_win_prob": 0.5958, "event_id": "401866427", "game_start_utc": "2026-09-26T17:00Z", "home_field_advantage_points": 2.8, "home_team": "Eastern Michigan Eagles", "is_dome": false, "is_fbs_vs_fcs": false, "is_neutral_site": false, "projected_away_points": 24.9, "projected_home_points": 27.7, "projected_margin_home": 2.8,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24.9, "mu_home": 27.7,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77990765330294574263356133283828637761}, "uinteger": 0}, "spread_home_line": -23.5, "total_line": 53.5}, "market_type": "moneyline", "model_version": "college-football-v1", "observed_at_utc": "2026-09-26T15:01:01.506546+00:00", "probabilities": {"away": 0.439552, "home": 0.560448}, "replay_scope": "Full precision score means, exact engine parameters and original RNG state; upstream feature construction not certified.", "schema": "cfb-joint-replay-v1", "snapshot_hash": "4361321551ab5d2ce47177274ced9e161c06f35450c23a6868592a37ebc8ba07", "sport": "NCAAF"}</t>
        </is>
      </c>
    </row>
    <row r="503" ht="36" customHeight="1">
      <c r="A503" s="24" t="inlineStr">
        <is>
          <t>43afc5404be1488a</t>
        </is>
      </c>
      <c r="B503" s="24" t="inlineStr">
        <is>
          <t>2026-09-26T15:01:01.506546Z</t>
        </is>
      </c>
      <c r="C503" s="24" t="inlineStr">
        <is>
          <t>2026-09-26T17:00Z</t>
        </is>
      </c>
      <c r="D503" s="24" t="inlineStr">
        <is>
          <t>401866427</t>
        </is>
      </c>
      <c r="E503" s="24" t="inlineStr">
        <is>
          <t>NCAAF</t>
        </is>
      </c>
      <c r="F503" s="24" t="inlineStr">
        <is>
          <t>Lindenwood Lions</t>
        </is>
      </c>
      <c r="G503" s="24" t="inlineStr">
        <is>
          <t>Eastern Michigan Eagles</t>
        </is>
      </c>
      <c r="H503" s="24" t="inlineStr">
        <is>
          <t>spread</t>
        </is>
      </c>
      <c r="I503" s="24" t="inlineStr">
        <is>
          <t>away</t>
        </is>
      </c>
      <c r="J503" s="25" t="n">
        <v>23.5</v>
      </c>
      <c r="K503" s="24" t="inlineStr">
        <is>
          <t>espn_consensus</t>
        </is>
      </c>
      <c r="L503" s="26" t="n">
        <v>-102</v>
      </c>
      <c r="M503" s="27" t="n">
        <v>1.980392</v>
      </c>
      <c r="N503" s="28" t="n">
        <v>0.50495</v>
      </c>
      <c r="O503" s="28" t="n">
        <v>0.8476669999999999</v>
      </c>
      <c r="P503" s="28" t="n">
        <v>0.18</v>
      </c>
      <c r="Q503" s="28" t="n">
        <v>0.342717</v>
      </c>
      <c r="R503" s="26" t="n">
        <v>100</v>
      </c>
      <c r="S503" s="29" t="n">
        <v>2</v>
      </c>
      <c r="T503" s="24" t="inlineStr">
        <is>
          <t>cfb-spread-v1</t>
        </is>
      </c>
      <c r="U503" s="24" t="inlineStr">
        <is>
          <t>settled</t>
        </is>
      </c>
      <c r="V503" s="24" t="inlineStr">
        <is>
          <t>loss</t>
        </is>
      </c>
      <c r="W503" s="26" t="n">
        <v>3</v>
      </c>
      <c r="X503" s="26" t="n">
        <v>29</v>
      </c>
      <c r="Y503" s="25" t="n"/>
      <c r="Z503" s="26" t="n"/>
      <c r="AA503" s="28" t="n"/>
      <c r="AB503" s="28" t="n"/>
      <c r="AC503" s="30" t="n">
        <v>-2</v>
      </c>
      <c r="AD503" s="24" t="inlineStr">
        <is>
          <t>2026-09-26T22:00:54.123082Z</t>
        </is>
      </c>
      <c r="AE503" s="31" t="inlineStr">
        <is>
          <t>Projected home margin +2.8 pts. Spread: Home -23.5 / Away +23.5 -&gt; P(Away cover)=0.848, P(Home cover)=0.152, P(Push)=0.000.</t>
        </is>
      </c>
      <c r="AF503" s="31" t="inlineStr">
        <is>
          <t>College football model; multi-market (moneyline, spread, total).</t>
        </is>
      </c>
      <c r="AG503" s="24" t="inlineStr">
        <is>
          <t>review_required</t>
        </is>
      </c>
      <c r="AH503" s="24" t="n"/>
      <c r="AI503" s="31" t="n"/>
      <c r="AJ503" s="31" t="n"/>
      <c r="AK503" s="24" t="inlineStr">
        <is>
          <t>model_qualified</t>
        </is>
      </c>
      <c r="AL503" s="26" t="n">
        <v>4</v>
      </c>
      <c r="AM503" s="24" t="inlineStr">
        <is>
          <t>QUALIFIED_SHADOW_CALL</t>
        </is>
      </c>
      <c r="AN503" s="24" t="inlineStr">
        <is>
          <t>CALL</t>
        </is>
      </c>
      <c r="AO503" s="24" t="inlineStr">
        <is>
          <t>QUALIFIED</t>
        </is>
      </c>
      <c r="AP503" s="24" t="inlineStr">
        <is>
          <t>Lindenwood Lions</t>
        </is>
      </c>
      <c r="AQ503" s="24" t="inlineStr">
        <is>
          <t>Lindenwood Lions</t>
        </is>
      </c>
      <c r="AR503" s="24" t="inlineStr">
        <is>
          <t>Lindenwood Lions</t>
        </is>
      </c>
      <c r="AS503" s="24" t="inlineStr">
        <is>
          <t>Eastern Michigan Eagles</t>
        </is>
      </c>
      <c r="AT503" s="24" t="inlineStr">
        <is>
          <t>Eastern Michigan Eagles</t>
        </is>
      </c>
      <c r="AU503" s="24" t="inlineStr">
        <is>
          <t>Eastern Michigan Eagles</t>
        </is>
      </c>
      <c r="AV503" s="24" t="n"/>
      <c r="AW503" s="24" t="n"/>
      <c r="AX503" s="24" t="inlineStr">
        <is>
          <t>statistical_model</t>
        </is>
      </c>
      <c r="AY503" s="24" t="n"/>
      <c r="AZ503" s="24" t="inlineStr">
        <is>
          <t>shadow_qualified</t>
        </is>
      </c>
      <c r="BA503" s="24" t="inlineStr">
        <is>
          <t>1d168f11d221cd3c</t>
        </is>
      </c>
      <c r="BB503" s="24" t="inlineStr">
        <is>
          <t>cfb_key_number_engine</t>
        </is>
      </c>
      <c r="BC503" s="24" t="inlineStr">
        <is>
          <t>cfb-spread-v1</t>
        </is>
      </c>
      <c r="BD503" s="24" t="inlineStr">
        <is>
          <t>1d168f11d221cd3c</t>
        </is>
      </c>
      <c r="BE503" s="24" t="inlineStr">
        <is>
          <t>cfb-v1</t>
        </is>
      </c>
      <c r="BF503" s="24" t="inlineStr">
        <is>
          <t>1</t>
        </is>
      </c>
      <c r="BG503" s="24" t="inlineStr">
        <is>
          <t>1d168f11d221cd3c</t>
        </is>
      </c>
      <c r="BH503" s="24" t="inlineStr">
        <is>
          <t>2026-09-26T15:01:01.506546+00:00</t>
        </is>
      </c>
      <c r="BI503" s="24" t="inlineStr">
        <is>
          <t>["same_event","same_team_same_day","same_league_same_day"]</t>
        </is>
      </c>
      <c r="BJ503" s="25" t="n">
        <v>23.5</v>
      </c>
      <c r="BK503" s="26" t="n">
        <v>-102</v>
      </c>
      <c r="BL503" s="27" t="n">
        <v>1.980392</v>
      </c>
      <c r="BM503" s="28" t="n">
        <v>0.50495</v>
      </c>
      <c r="BN503" s="28" t="n"/>
      <c r="BO503" s="28" t="n"/>
      <c r="BP503" s="25" t="n"/>
      <c r="BQ503" s="27" t="n"/>
      <c r="BR503" s="28" t="n"/>
      <c r="BS503" s="28" t="n"/>
      <c r="BT503" s="28" t="n"/>
      <c r="BU503" s="25" t="n"/>
      <c r="BV503" s="29" t="n"/>
      <c r="BW503" s="24" t="n"/>
      <c r="BX503" s="30" t="n"/>
      <c r="BY503" s="27" t="n"/>
      <c r="BZ503" s="24" t="n"/>
      <c r="CA503" s="31" t="n"/>
      <c r="CB503" s="24" t="n"/>
      <c r="CC503" s="24" t="n"/>
      <c r="CD503" s="24" t="n"/>
      <c r="CE503" s="24" t="n"/>
      <c r="CF503" s="24" t="n"/>
      <c r="CG503" s="24" t="n"/>
      <c r="CH503" s="24" t="n"/>
      <c r="CI503" s="24" t="n"/>
      <c r="CJ503" s="24" t="n"/>
      <c r="CK503" s="24" t="n"/>
      <c r="CL503" s="24" t="n"/>
      <c r="CM503" s="24" t="n"/>
      <c r="CN503" s="24" t="n"/>
      <c r="CO503" s="24" t="n"/>
      <c r="CP503" s="24" t="n"/>
      <c r="CQ503" s="24" t="n"/>
      <c r="CR503" s="24" t="n"/>
      <c r="CS503" s="24" t="inlineStr">
        <is>
          <t>True</t>
        </is>
      </c>
      <c r="CT503" s="24" t="n"/>
      <c r="CU503" s="24" t="n"/>
      <c r="CV503" s="24" t="n"/>
      <c r="CW503" s="24" t="n"/>
      <c r="CX503" s="24" t="n"/>
      <c r="CY503" s="24" t="n"/>
      <c r="CZ503" s="24" t="n"/>
      <c r="DA503" s="24" t="n"/>
      <c r="DB503" s="24" t="n"/>
      <c r="DC503" s="24" t="n"/>
      <c r="DD503" s="24" t="n"/>
      <c r="DE503" s="24" t="n"/>
      <c r="DF503" s="24" t="n"/>
      <c r="DG503" s="24" t="n"/>
      <c r="DH503" s="24" t="n"/>
      <c r="DI503" s="24" t="n"/>
      <c r="DJ503" s="24" t="inlineStr">
        <is>
          <t>0.50495</t>
        </is>
      </c>
      <c r="DK503" s="24" t="n"/>
      <c r="DL503" s="24" t="n"/>
      <c r="DM503" s="24" t="n"/>
      <c r="DN503" s="24" t="n"/>
      <c r="DO503" s="24" t="n"/>
      <c r="DP503" s="24" t="n"/>
      <c r="DQ503" s="24" t="inlineStr">
        <is>
          <t>{"artifact_hash": "1d168f11d221cd3c", "event_id": "401866427", "event_start_utc": "2026-09-26T17:00Z", "features": {"altitude_fatigue_penalty": 0.0, "away_team": "Lindenwood Lions", "efficiency_gap": 0.019, "elo_away": 1337.5, "elo_home": 1339.9, "elo_home_win_prob": 0.5958, "event_id": "401866427", "game_start_utc": "2026-09-26T17:00Z", "home_field_advantage_points": 2.8, "home_team": "Eastern Michigan Eagles", "is_dome": false, "is_fbs_vs_fcs": false, "is_neutral_site": false, "projected_away_points": 24.9, "projected_home_points": 27.7, "projected_margin_home": 2.8,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24.9, "mu_home": 27.7,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77990765330294574263356133283828637761}, "uinteger": 0}, "spread_home_line": -23.5, "total_line": 53.5}, "market_type": "spread", "model_version": "cfb-spread-v1", "observed_at_utc": "2026-09-26T15:01:01.506546+00:00", "probabilities": {"away": 0.847667, "home": 0.152333, "push": 0.0}, "replay_scope": "Full precision score means, exact engine parameters and original RNG state; upstream feature construction not certified.", "schema": "cfb-joint-replay-v1", "snapshot_hash": "957ae9eab2cfa8a12b0c613bc853c4778f28eb1a3f40f2113b412c94643e22ad", "sport": "NCAAF"}</t>
        </is>
      </c>
    </row>
    <row r="504" ht="36" customHeight="1">
      <c r="A504" s="24" t="inlineStr">
        <is>
          <t>5c1f6c702c354e3b</t>
        </is>
      </c>
      <c r="B504" s="24" t="inlineStr">
        <is>
          <t>2026-09-26T15:01:01.506546Z</t>
        </is>
      </c>
      <c r="C504" s="24" t="inlineStr">
        <is>
          <t>2026-09-26T17:00Z</t>
        </is>
      </c>
      <c r="D504" s="24" t="inlineStr">
        <is>
          <t>401866427</t>
        </is>
      </c>
      <c r="E504" s="24" t="inlineStr">
        <is>
          <t>NCAAF</t>
        </is>
      </c>
      <c r="F504" s="24" t="inlineStr">
        <is>
          <t>Lindenwood Lions</t>
        </is>
      </c>
      <c r="G504" s="24" t="inlineStr">
        <is>
          <t>Eastern Michigan Eagles</t>
        </is>
      </c>
      <c r="H504" s="24" t="inlineStr">
        <is>
          <t>total</t>
        </is>
      </c>
      <c r="I504" s="24" t="inlineStr">
        <is>
          <t>under</t>
        </is>
      </c>
      <c r="J504" s="25" t="n">
        <v>53.5</v>
      </c>
      <c r="K504" s="24" t="inlineStr">
        <is>
          <t>espn_consensus</t>
        </is>
      </c>
      <c r="L504" s="26" t="n">
        <v>-115</v>
      </c>
      <c r="M504" s="27" t="n">
        <v>1.869565</v>
      </c>
      <c r="N504" s="28" t="n">
        <v>0.534884</v>
      </c>
      <c r="O504" s="28" t="n">
        <v>0.5452669999999999</v>
      </c>
      <c r="P504" s="28" t="n">
        <v>0.18</v>
      </c>
      <c r="Q504" s="28" t="n">
        <v>0.010383</v>
      </c>
      <c r="R504" s="26" t="n">
        <v>0</v>
      </c>
      <c r="S504" s="29" t="n">
        <v>1</v>
      </c>
      <c r="T504" s="24" t="inlineStr">
        <is>
          <t>cfb-total-v1</t>
        </is>
      </c>
      <c r="U504" s="24" t="inlineStr">
        <is>
          <t>settled</t>
        </is>
      </c>
      <c r="V504" s="24" t="inlineStr">
        <is>
          <t>win</t>
        </is>
      </c>
      <c r="W504" s="26" t="n">
        <v>3</v>
      </c>
      <c r="X504" s="26" t="n">
        <v>29</v>
      </c>
      <c r="Y504" s="25" t="n"/>
      <c r="Z504" s="26" t="n"/>
      <c r="AA504" s="28" t="n"/>
      <c r="AB504" s="28" t="n"/>
      <c r="AC504" s="30" t="n">
        <v>0.8696</v>
      </c>
      <c r="AD504" s="24" t="inlineStr">
        <is>
          <t>2026-09-26T22:00:54.787981Z</t>
        </is>
      </c>
      <c r="AE504" s="31" t="inlineStr">
        <is>
          <t>Projected total 52.6 pts (Weather adj: +0.0 pts). Total line 53.5 -&gt; P(Over)=0.455, P(Under)=0.545, P(Push)=0.000.</t>
        </is>
      </c>
      <c r="AF504" s="31" t="inlineStr">
        <is>
          <t>College football model; multi-market (moneyline, spread, total).</t>
        </is>
      </c>
      <c r="AG504" s="24" t="inlineStr">
        <is>
          <t>not_applicable</t>
        </is>
      </c>
      <c r="AH504" s="24" t="n"/>
      <c r="AI504" s="31" t="n"/>
      <c r="AJ504" s="31" t="n"/>
      <c r="AK504" s="24" t="inlineStr">
        <is>
          <t>paper_call</t>
        </is>
      </c>
      <c r="AL504" s="26" t="n">
        <v>4</v>
      </c>
      <c r="AM504" s="24" t="inlineStr">
        <is>
          <t>RESEARCH_OBSERVATION</t>
        </is>
      </c>
      <c r="AN504" s="24" t="inlineStr">
        <is>
          <t>CALL</t>
        </is>
      </c>
      <c r="AO504" s="24" t="inlineStr">
        <is>
          <t>PAPER_CALL_LOW_EDGE</t>
        </is>
      </c>
      <c r="AP504" s="24" t="inlineStr">
        <is>
          <t>Lindenwood Lions</t>
        </is>
      </c>
      <c r="AQ504" s="24" t="inlineStr">
        <is>
          <t>Lindenwood Lions</t>
        </is>
      </c>
      <c r="AR504" s="24" t="inlineStr">
        <is>
          <t>Lindenwood Lions</t>
        </is>
      </c>
      <c r="AS504" s="24" t="inlineStr">
        <is>
          <t>Eastern Michigan Eagles</t>
        </is>
      </c>
      <c r="AT504" s="24" t="inlineStr">
        <is>
          <t>Eastern Michigan Eagles</t>
        </is>
      </c>
      <c r="AU504" s="24" t="inlineStr">
        <is>
          <t>Eastern Michigan Eagles</t>
        </is>
      </c>
      <c r="AV504" s="24" t="n"/>
      <c r="AW504" s="24" t="n"/>
      <c r="AX504" s="24" t="inlineStr">
        <is>
          <t>statistical_model</t>
        </is>
      </c>
      <c r="AY504" s="24" t="n"/>
      <c r="AZ504" s="24" t="inlineStr">
        <is>
          <t>shadow_qualified</t>
        </is>
      </c>
      <c r="BA504" s="24" t="inlineStr">
        <is>
          <t>1d168f11d221cd3c</t>
        </is>
      </c>
      <c r="BB504" s="24" t="inlineStr">
        <is>
          <t>cfb_key_number_engine</t>
        </is>
      </c>
      <c r="BC504" s="24" t="inlineStr">
        <is>
          <t>cfb-total-v1</t>
        </is>
      </c>
      <c r="BD504" s="24" t="inlineStr">
        <is>
          <t>1d168f11d221cd3c</t>
        </is>
      </c>
      <c r="BE504" s="24" t="inlineStr">
        <is>
          <t>cfb-v1</t>
        </is>
      </c>
      <c r="BF504" s="24" t="inlineStr">
        <is>
          <t>1</t>
        </is>
      </c>
      <c r="BG504" s="24" t="inlineStr">
        <is>
          <t>1d168f11d221cd3c</t>
        </is>
      </c>
      <c r="BH504" s="24" t="inlineStr">
        <is>
          <t>2026-09-26T15:01:01.506546+00:00</t>
        </is>
      </c>
      <c r="BI504" s="24" t="inlineStr">
        <is>
          <t>["same_event","same_team_same_day","same_league_same_day"]</t>
        </is>
      </c>
      <c r="BJ504" s="25" t="n">
        <v>53.5</v>
      </c>
      <c r="BK504" s="26" t="n">
        <v>-115</v>
      </c>
      <c r="BL504" s="27" t="n">
        <v>1.869565</v>
      </c>
      <c r="BM504" s="28" t="n">
        <v>0.534884</v>
      </c>
      <c r="BN504" s="28" t="n"/>
      <c r="BO504" s="28" t="n"/>
      <c r="BP504" s="25" t="n"/>
      <c r="BQ504" s="27" t="n"/>
      <c r="BR504" s="28" t="n"/>
      <c r="BS504" s="28" t="n"/>
      <c r="BT504" s="28" t="n"/>
      <c r="BU504" s="25" t="n"/>
      <c r="BV504" s="29" t="n"/>
      <c r="BW504" s="24" t="n"/>
      <c r="BX504" s="30" t="n">
        <v>1</v>
      </c>
      <c r="BY504" s="27" t="n">
        <v>0.869565</v>
      </c>
      <c r="BZ504" s="24" t="inlineStr">
        <is>
          <t>2026-09-26T22:00:54.787981Z</t>
        </is>
      </c>
      <c r="CA504" s="31" t="inlineStr">
        <is>
          <t>fixed one-unit hypothetical scoring; no real exposure or execution</t>
        </is>
      </c>
      <c r="CB504" s="24" t="n"/>
      <c r="CC504" s="24" t="n"/>
      <c r="CD504" s="24" t="n"/>
      <c r="CE504" s="24" t="n"/>
      <c r="CF504" s="24" t="n"/>
      <c r="CG504" s="24" t="n"/>
      <c r="CH504" s="24" t="n"/>
      <c r="CI504" s="24" t="n"/>
      <c r="CJ504" s="24" t="n"/>
      <c r="CK504" s="24" t="n"/>
      <c r="CL504" s="24" t="n"/>
      <c r="CM504" s="24" t="n"/>
      <c r="CN504" s="24" t="n"/>
      <c r="CO504" s="24" t="n"/>
      <c r="CP504" s="24" t="n"/>
      <c r="CQ504" s="24" t="n"/>
      <c r="CR504" s="24" t="n"/>
      <c r="CS504" s="24" t="inlineStr">
        <is>
          <t>True</t>
        </is>
      </c>
      <c r="CT504" s="24" t="n"/>
      <c r="CU504" s="24" t="n"/>
      <c r="CV504" s="24" t="n"/>
      <c r="CW504" s="24" t="n"/>
      <c r="CX504" s="24" t="n"/>
      <c r="CY504" s="24" t="n"/>
      <c r="CZ504" s="24" t="n"/>
      <c r="DA504" s="24" t="n"/>
      <c r="DB504" s="24" t="n"/>
      <c r="DC504" s="24" t="n"/>
      <c r="DD504" s="24" t="n"/>
      <c r="DE504" s="24" t="n"/>
      <c r="DF504" s="24" t="n"/>
      <c r="DG504" s="24" t="n"/>
      <c r="DH504" s="24" t="n"/>
      <c r="DI504" s="24" t="n"/>
      <c r="DJ504" s="24" t="inlineStr">
        <is>
          <t>0.534884</t>
        </is>
      </c>
      <c r="DK504" s="24" t="n"/>
      <c r="DL504" s="24" t="n"/>
      <c r="DM504" s="24" t="n"/>
      <c r="DN504" s="24" t="n"/>
      <c r="DO504" s="24" t="n"/>
      <c r="DP504" s="24" t="n"/>
      <c r="DQ504" s="24" t="inlineStr">
        <is>
          <t>{"artifact_hash": "1d168f11d221cd3c", "event_id": "401866427", "event_start_utc": "2026-09-26T17:00Z", "features": {"altitude_fatigue_penalty": 0.0, "away_team": "Lindenwood Lions", "efficiency_gap": 0.019, "elo_away": 1337.5, "elo_home": 1339.9, "elo_home_win_prob": 0.5958, "event_id": "401866427", "game_start_utc": "2026-09-26T17:00Z", "home_field_advantage_points": 2.8, "home_team": "Eastern Michigan Eagles", "is_dome": false, "is_fbs_vs_fcs": false, "is_neutral_site": false, "projected_away_points": 24.9, "projected_home_points": 27.7, "projected_margin_home": 2.8,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24.9, "mu_home": 27.7,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77990765330294574263356133283828637761}, "uinteger": 0}, "spread_home_line": -23.5, "total_line": 53.5}, "market_type": "total", "model_version": "cfb-total-v1", "observed_at_utc": "2026-09-26T15:01:01.506546+00:00", "probabilities": {"over": 0.454733, "push": 0.0, "under": 0.545267}, "replay_scope": "Full precision score means, exact engine parameters and original RNG state; upstream feature construction not certified.", "schema": "cfb-joint-replay-v1", "snapshot_hash": "15f463fe84ed1a9e371ff02a512beaf986c2f63a83d005e2cede74c84b245b56", "sport": "NCAAF"}</t>
        </is>
      </c>
    </row>
    <row r="505" ht="36" customHeight="1">
      <c r="A505" s="24" t="inlineStr">
        <is>
          <t>b3eda9090fe44ca7</t>
        </is>
      </c>
      <c r="B505" s="24" t="inlineStr">
        <is>
          <t>2026-09-26T15:01:01.506546Z</t>
        </is>
      </c>
      <c r="C505" s="24" t="inlineStr">
        <is>
          <t>2026-09-26T17:30Z</t>
        </is>
      </c>
      <c r="D505" s="24" t="inlineStr">
        <is>
          <t>401858462</t>
        </is>
      </c>
      <c r="E505" s="24" t="inlineStr">
        <is>
          <t>NCAAF</t>
        </is>
      </c>
      <c r="F505" s="24" t="inlineStr">
        <is>
          <t>UCLA Bruins</t>
        </is>
      </c>
      <c r="G505" s="24" t="inlineStr">
        <is>
          <t>Maryland Terrapins</t>
        </is>
      </c>
      <c r="H505" s="24" t="inlineStr">
        <is>
          <t>moneyline</t>
        </is>
      </c>
      <c r="I505" s="24" t="inlineStr">
        <is>
          <t>away</t>
        </is>
      </c>
      <c r="J505" s="25" t="n"/>
      <c r="K505" s="24" t="inlineStr">
        <is>
          <t>espn_consensus</t>
        </is>
      </c>
      <c r="L505" s="26" t="n">
        <v>-125</v>
      </c>
      <c r="M505" s="27" t="n">
        <v>1.8</v>
      </c>
      <c r="N505" s="28" t="n">
        <v>0.555556</v>
      </c>
      <c r="O505" s="28" t="n">
        <v>0.552243</v>
      </c>
      <c r="P505" s="28" t="n">
        <v>0.18</v>
      </c>
      <c r="Q505" s="28" t="n">
        <v>-0.003313</v>
      </c>
      <c r="R505" s="26" t="n">
        <v>0</v>
      </c>
      <c r="S505" s="29" t="n">
        <v>1</v>
      </c>
      <c r="T505" s="24" t="inlineStr">
        <is>
          <t>college-football-v1</t>
        </is>
      </c>
      <c r="U505" s="24" t="inlineStr">
        <is>
          <t>settled</t>
        </is>
      </c>
      <c r="V505" s="24" t="inlineStr">
        <is>
          <t>win</t>
        </is>
      </c>
      <c r="W505" s="26" t="n">
        <v>54</v>
      </c>
      <c r="X505" s="26" t="n">
        <v>3</v>
      </c>
      <c r="Y505" s="25" t="n"/>
      <c r="Z505" s="26" t="n"/>
      <c r="AA505" s="28" t="n"/>
      <c r="AB505" s="28" t="n"/>
      <c r="AC505" s="30" t="n">
        <v>0.8</v>
      </c>
      <c r="AD505" s="24" t="inlineStr">
        <is>
          <t>2026-09-26T22:00:55.344255Z</t>
        </is>
      </c>
      <c r="AE505" s="31" t="inlineStr">
        <is>
          <t>CFB Joint Model (negative_binomial): proj score UCLA Bruins 29.4 @ Maryland Terrapins 26.6 (Margin -2.8). Possessions: 12.4, HFA: +2.8 pts.</t>
        </is>
      </c>
      <c r="AF505" s="31" t="inlineStr">
        <is>
          <t>College football model; multi-market (moneyline, spread, total).</t>
        </is>
      </c>
      <c r="AG505" s="24" t="inlineStr">
        <is>
          <t>not_applicable</t>
        </is>
      </c>
      <c r="AH505" s="24" t="n"/>
      <c r="AI505" s="31" t="n"/>
      <c r="AJ505" s="31" t="n"/>
      <c r="AK505" s="24" t="inlineStr">
        <is>
          <t>paper_call</t>
        </is>
      </c>
      <c r="AL505" s="26" t="n">
        <v>4</v>
      </c>
      <c r="AM505" s="24" t="inlineStr">
        <is>
          <t>RESEARCH_OBSERVATION</t>
        </is>
      </c>
      <c r="AN505" s="24" t="inlineStr">
        <is>
          <t>CALL</t>
        </is>
      </c>
      <c r="AO505" s="24" t="inlineStr">
        <is>
          <t>PAPER_CALL_LOW_EDGE</t>
        </is>
      </c>
      <c r="AP505" s="24" t="inlineStr">
        <is>
          <t>UCLA Bruins</t>
        </is>
      </c>
      <c r="AQ505" s="24" t="inlineStr">
        <is>
          <t>UCLA Bruins</t>
        </is>
      </c>
      <c r="AR505" s="24" t="inlineStr">
        <is>
          <t>UCLA Bruins</t>
        </is>
      </c>
      <c r="AS505" s="24" t="inlineStr">
        <is>
          <t>Maryland Terrapins</t>
        </is>
      </c>
      <c r="AT505" s="24" t="inlineStr">
        <is>
          <t>Maryland Terrapins</t>
        </is>
      </c>
      <c r="AU505" s="24" t="inlineStr">
        <is>
          <t>Maryland Terrapins</t>
        </is>
      </c>
      <c r="AV505" s="24" t="n"/>
      <c r="AW505" s="24" t="n"/>
      <c r="AX505" s="24" t="inlineStr">
        <is>
          <t>statistical_model</t>
        </is>
      </c>
      <c r="AY505" s="24" t="n"/>
      <c r="AZ505" s="24" t="inlineStr">
        <is>
          <t>shadow_qualified</t>
        </is>
      </c>
      <c r="BA505" s="24" t="inlineStr">
        <is>
          <t>1d168f11d221cd3c</t>
        </is>
      </c>
      <c r="BB505" s="24" t="inlineStr">
        <is>
          <t>cfb_key_number_engine</t>
        </is>
      </c>
      <c r="BC505" s="24" t="inlineStr">
        <is>
          <t>college-football-v1</t>
        </is>
      </c>
      <c r="BD505" s="24" t="inlineStr">
        <is>
          <t>1d168f11d221cd3c</t>
        </is>
      </c>
      <c r="BE505" s="24" t="inlineStr">
        <is>
          <t>cfb-v1</t>
        </is>
      </c>
      <c r="BF505" s="24" t="inlineStr">
        <is>
          <t>1</t>
        </is>
      </c>
      <c r="BG505" s="24" t="inlineStr">
        <is>
          <t>1d168f11d221cd3c</t>
        </is>
      </c>
      <c r="BH505" s="24" t="inlineStr">
        <is>
          <t>2026-09-26T15:01:01.506546+00:00</t>
        </is>
      </c>
      <c r="BI505" s="24" t="inlineStr">
        <is>
          <t>["same_event","same_team_same_day","same_league_same_day"]</t>
        </is>
      </c>
      <c r="BJ505" s="25" t="n"/>
      <c r="BK505" s="26" t="n">
        <v>-125</v>
      </c>
      <c r="BL505" s="27" t="n">
        <v>1.8</v>
      </c>
      <c r="BM505" s="28" t="n">
        <v>0.555556</v>
      </c>
      <c r="BN505" s="28" t="n"/>
      <c r="BO505" s="28" t="n"/>
      <c r="BP505" s="25" t="n"/>
      <c r="BQ505" s="27" t="n"/>
      <c r="BR505" s="28" t="n"/>
      <c r="BS505" s="28" t="n"/>
      <c r="BT505" s="28" t="n"/>
      <c r="BU505" s="25" t="n"/>
      <c r="BV505" s="29" t="n"/>
      <c r="BW505" s="24" t="n"/>
      <c r="BX505" s="30" t="n">
        <v>1</v>
      </c>
      <c r="BY505" s="27" t="n">
        <v>0.8</v>
      </c>
      <c r="BZ505" s="24" t="inlineStr">
        <is>
          <t>2026-09-26T22:00:55.344255Z</t>
        </is>
      </c>
      <c r="CA505" s="31" t="inlineStr">
        <is>
          <t>fixed one-unit hypothetical scoring; no real exposure or execution</t>
        </is>
      </c>
      <c r="CB505" s="24" t="n"/>
      <c r="CC505" s="24" t="n"/>
      <c r="CD505" s="24" t="n"/>
      <c r="CE505" s="24" t="n"/>
      <c r="CF505" s="24" t="n"/>
      <c r="CG505" s="24" t="n"/>
      <c r="CH505" s="24" t="n"/>
      <c r="CI505" s="24" t="n"/>
      <c r="CJ505" s="24" t="n"/>
      <c r="CK505" s="24" t="n"/>
      <c r="CL505" s="24" t="n"/>
      <c r="CM505" s="24" t="n"/>
      <c r="CN505" s="24" t="n"/>
      <c r="CO505" s="24" t="n"/>
      <c r="CP505" s="24" t="n"/>
      <c r="CQ505" s="24" t="n"/>
      <c r="CR505" s="24" t="n"/>
      <c r="CS505" s="24" t="inlineStr">
        <is>
          <t>False</t>
        </is>
      </c>
      <c r="CT505" s="24" t="n"/>
      <c r="CU505" s="24" t="n"/>
      <c r="CV505" s="24" t="n"/>
      <c r="CW505" s="24" t="n"/>
      <c r="CX505" s="24" t="n"/>
      <c r="CY505" s="24" t="n"/>
      <c r="CZ505" s="24" t="n"/>
      <c r="DA505" s="24" t="n"/>
      <c r="DB505" s="24" t="n"/>
      <c r="DC505" s="24" t="n"/>
      <c r="DD505" s="24" t="n"/>
      <c r="DE505" s="24" t="n"/>
      <c r="DF505" s="24" t="n"/>
      <c r="DG505" s="24" t="n"/>
      <c r="DH505" s="24" t="n"/>
      <c r="DI505" s="24" t="n"/>
      <c r="DJ505" s="24" t="inlineStr">
        <is>
          <t>0.555556</t>
        </is>
      </c>
      <c r="DK505" s="24" t="n"/>
      <c r="DL505" s="24" t="n"/>
      <c r="DM505" s="24" t="n"/>
      <c r="DN505" s="24" t="n"/>
      <c r="DO505" s="24" t="n"/>
      <c r="DP505" s="24" t="n"/>
      <c r="DQ505" s="24" t="inlineStr">
        <is>
          <t>{"artifact_hash": "1d168f11d221cd3c", "event_id": "401858462", "event_start_utc": "2026-09-26T17:30Z", "features": {"altitude_fatigue_penalty": 0.0, "away_team": "UCLA Bruins", "efficiency_gap": -0.523, "elo_away": 1359.5, "elo_home": 1224.9, "elo_home_win_prob": 0.4011, "event_id": "401858462", "game_start_utc": "2026-09-26T17:30Z", "home_field_advantage_points": 2.8, "home_team": "Maryland Terrapins", "is_dome": false, "is_fbs_vs_fcs": false, "is_neutral_site": false, "projected_away_points": 29.4, "projected_home_points": 26.6, "projected_margin_home": -2.8, "projected_possessions": 12.4, "projected_total": 56.0, "stadium_elevation_ft": 140, "travel_distance_miles": 2292.0, "uncertainty": 0.18, "weather_total_adjustment": 0.0}, "historical_source_observation_times_verified": false, "inference_inputs": {"engine_source_sha256": "449ba2f0e86fa9c445730076a0e0bf100fb4914620be53c75c6f3bfe24298f3f", "mu_away": 29.4, "mu_home": 26.6,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90123088618303774480100312874994587206}, "uinteger": 0}, "spread_home_line": 1.5, "total_line": 55.5}, "market_type": "moneyline", "model_version": "college-football-v1", "observed_at_utc": "2026-09-26T15:01:01.506546+00:00", "probabilities": {"away": 0.552243, "home": 0.447757}, "replay_scope": "Full precision score means, exact engine parameters and original RNG state; upstream feature construction not certified.", "schema": "cfb-joint-replay-v1", "snapshot_hash": "eb591e9ca3757de48a421adc4854e582877a8a3578b552e057f4030a155f2909", "sport": "NCAAF"}</t>
        </is>
      </c>
    </row>
    <row r="506" ht="36" customHeight="1">
      <c r="A506" s="24" t="inlineStr">
        <is>
          <t>3472c8f36d064ef9</t>
        </is>
      </c>
      <c r="B506" s="24" t="inlineStr">
        <is>
          <t>2026-09-26T15:01:01.506546Z</t>
        </is>
      </c>
      <c r="C506" s="24" t="inlineStr">
        <is>
          <t>2026-09-26T17:30Z</t>
        </is>
      </c>
      <c r="D506" s="24" t="inlineStr">
        <is>
          <t>401858462</t>
        </is>
      </c>
      <c r="E506" s="24" t="inlineStr">
        <is>
          <t>NCAAF</t>
        </is>
      </c>
      <c r="F506" s="24" t="inlineStr">
        <is>
          <t>UCLA Bruins</t>
        </is>
      </c>
      <c r="G506" s="24" t="inlineStr">
        <is>
          <t>Maryland Terrapins</t>
        </is>
      </c>
      <c r="H506" s="24" t="inlineStr">
        <is>
          <t>spread</t>
        </is>
      </c>
      <c r="I506" s="24" t="inlineStr">
        <is>
          <t>away</t>
        </is>
      </c>
      <c r="J506" s="25" t="n">
        <v>-1.5</v>
      </c>
      <c r="K506" s="24" t="inlineStr">
        <is>
          <t>espn_consensus</t>
        </is>
      </c>
      <c r="L506" s="26" t="n">
        <v>-115</v>
      </c>
      <c r="M506" s="27" t="n">
        <v>1.869565</v>
      </c>
      <c r="N506" s="28" t="n">
        <v>0.534884</v>
      </c>
      <c r="O506" s="28" t="n">
        <v>0.5202</v>
      </c>
      <c r="P506" s="28" t="n">
        <v>0.18</v>
      </c>
      <c r="Q506" s="28" t="n">
        <v>-0.014684</v>
      </c>
      <c r="R506" s="26" t="n">
        <v>0</v>
      </c>
      <c r="S506" s="29" t="n">
        <v>1</v>
      </c>
      <c r="T506" s="24" t="inlineStr">
        <is>
          <t>cfb-spread-v1</t>
        </is>
      </c>
      <c r="U506" s="24" t="inlineStr">
        <is>
          <t>settled</t>
        </is>
      </c>
      <c r="V506" s="24" t="inlineStr">
        <is>
          <t>win</t>
        </is>
      </c>
      <c r="W506" s="26" t="n">
        <v>54</v>
      </c>
      <c r="X506" s="26" t="n">
        <v>3</v>
      </c>
      <c r="Y506" s="25" t="n"/>
      <c r="Z506" s="26" t="n"/>
      <c r="AA506" s="28" t="n"/>
      <c r="AB506" s="28" t="n"/>
      <c r="AC506" s="30" t="n">
        <v>0.8696</v>
      </c>
      <c r="AD506" s="24" t="inlineStr">
        <is>
          <t>2026-09-26T22:00:55.836075Z</t>
        </is>
      </c>
      <c r="AE506" s="31" t="inlineStr">
        <is>
          <t>Projected home margin -2.8 pts. Spread: Home +1.5 / Away -1.5 -&gt; P(Away cover)=0.520, P(Home cover)=0.480, P(Push)=0.000.</t>
        </is>
      </c>
      <c r="AF506" s="31" t="inlineStr">
        <is>
          <t>College football model; multi-market (moneyline, spread, total).</t>
        </is>
      </c>
      <c r="AG506" s="24" t="inlineStr">
        <is>
          <t>not_applicable</t>
        </is>
      </c>
      <c r="AH506" s="24" t="n"/>
      <c r="AI506" s="31" t="n"/>
      <c r="AJ506" s="31" t="n"/>
      <c r="AK506" s="24" t="inlineStr">
        <is>
          <t>paper_call</t>
        </is>
      </c>
      <c r="AL506" s="26" t="n">
        <v>4</v>
      </c>
      <c r="AM506" s="24" t="inlineStr">
        <is>
          <t>RESEARCH_OBSERVATION</t>
        </is>
      </c>
      <c r="AN506" s="24" t="inlineStr">
        <is>
          <t>CALL</t>
        </is>
      </c>
      <c r="AO506" s="24" t="inlineStr">
        <is>
          <t>PAPER_CALL_LOW_EDGE</t>
        </is>
      </c>
      <c r="AP506" s="24" t="inlineStr">
        <is>
          <t>UCLA Bruins</t>
        </is>
      </c>
      <c r="AQ506" s="24" t="inlineStr">
        <is>
          <t>UCLA Bruins</t>
        </is>
      </c>
      <c r="AR506" s="24" t="inlineStr">
        <is>
          <t>UCLA Bruins</t>
        </is>
      </c>
      <c r="AS506" s="24" t="inlineStr">
        <is>
          <t>Maryland Terrapins</t>
        </is>
      </c>
      <c r="AT506" s="24" t="inlineStr">
        <is>
          <t>Maryland Terrapins</t>
        </is>
      </c>
      <c r="AU506" s="24" t="inlineStr">
        <is>
          <t>Maryland Terrapins</t>
        </is>
      </c>
      <c r="AV506" s="24" t="n"/>
      <c r="AW506" s="24" t="n"/>
      <c r="AX506" s="24" t="inlineStr">
        <is>
          <t>statistical_model</t>
        </is>
      </c>
      <c r="AY506" s="24" t="n"/>
      <c r="AZ506" s="24" t="inlineStr">
        <is>
          <t>shadow_qualified</t>
        </is>
      </c>
      <c r="BA506" s="24" t="inlineStr">
        <is>
          <t>1d168f11d221cd3c</t>
        </is>
      </c>
      <c r="BB506" s="24" t="inlineStr">
        <is>
          <t>cfb_key_number_engine</t>
        </is>
      </c>
      <c r="BC506" s="24" t="inlineStr">
        <is>
          <t>cfb-spread-v1</t>
        </is>
      </c>
      <c r="BD506" s="24" t="inlineStr">
        <is>
          <t>1d168f11d221cd3c</t>
        </is>
      </c>
      <c r="BE506" s="24" t="inlineStr">
        <is>
          <t>cfb-v1</t>
        </is>
      </c>
      <c r="BF506" s="24" t="inlineStr">
        <is>
          <t>1</t>
        </is>
      </c>
      <c r="BG506" s="24" t="inlineStr">
        <is>
          <t>1d168f11d221cd3c</t>
        </is>
      </c>
      <c r="BH506" s="24" t="inlineStr">
        <is>
          <t>2026-09-26T15:01:01.506546+00:00</t>
        </is>
      </c>
      <c r="BI506" s="24" t="inlineStr">
        <is>
          <t>["same_event","same_team_same_day","same_league_same_day"]</t>
        </is>
      </c>
      <c r="BJ506" s="25" t="n">
        <v>-1.5</v>
      </c>
      <c r="BK506" s="26" t="n">
        <v>-115</v>
      </c>
      <c r="BL506" s="27" t="n">
        <v>1.869565</v>
      </c>
      <c r="BM506" s="28" t="n">
        <v>0.534884</v>
      </c>
      <c r="BN506" s="28" t="n"/>
      <c r="BO506" s="28" t="n"/>
      <c r="BP506" s="25" t="n"/>
      <c r="BQ506" s="27" t="n"/>
      <c r="BR506" s="28" t="n"/>
      <c r="BS506" s="28" t="n"/>
      <c r="BT506" s="28" t="n"/>
      <c r="BU506" s="25" t="n"/>
      <c r="BV506" s="29" t="n"/>
      <c r="BW506" s="24" t="n"/>
      <c r="BX506" s="30" t="n">
        <v>1</v>
      </c>
      <c r="BY506" s="27" t="n">
        <v>0.869565</v>
      </c>
      <c r="BZ506" s="24" t="inlineStr">
        <is>
          <t>2026-09-26T22:00:55.836075Z</t>
        </is>
      </c>
      <c r="CA506" s="31" t="inlineStr">
        <is>
          <t>fixed one-unit hypothetical scoring; no real exposure or execution</t>
        </is>
      </c>
      <c r="CB506" s="24" t="n"/>
      <c r="CC506" s="24" t="n"/>
      <c r="CD506" s="24" t="n"/>
      <c r="CE506" s="24" t="n"/>
      <c r="CF506" s="24" t="n"/>
      <c r="CG506" s="24" t="n"/>
      <c r="CH506" s="24" t="n"/>
      <c r="CI506" s="24" t="n"/>
      <c r="CJ506" s="24" t="n"/>
      <c r="CK506" s="24" t="n"/>
      <c r="CL506" s="24" t="n"/>
      <c r="CM506" s="24" t="n"/>
      <c r="CN506" s="24" t="n"/>
      <c r="CO506" s="24" t="n"/>
      <c r="CP506" s="24" t="n"/>
      <c r="CQ506" s="24" t="n"/>
      <c r="CR506" s="24" t="n"/>
      <c r="CS506" s="24" t="inlineStr">
        <is>
          <t>False</t>
        </is>
      </c>
      <c r="CT506" s="24" t="n"/>
      <c r="CU506" s="24" t="n"/>
      <c r="CV506" s="24" t="n"/>
      <c r="CW506" s="24" t="n"/>
      <c r="CX506" s="24" t="n"/>
      <c r="CY506" s="24" t="n"/>
      <c r="CZ506" s="24" t="n"/>
      <c r="DA506" s="24" t="n"/>
      <c r="DB506" s="24" t="n"/>
      <c r="DC506" s="24" t="n"/>
      <c r="DD506" s="24" t="n"/>
      <c r="DE506" s="24" t="n"/>
      <c r="DF506" s="24" t="n"/>
      <c r="DG506" s="24" t="n"/>
      <c r="DH506" s="24" t="n"/>
      <c r="DI506" s="24" t="n"/>
      <c r="DJ506" s="24" t="inlineStr">
        <is>
          <t>0.534884</t>
        </is>
      </c>
      <c r="DK506" s="24" t="n"/>
      <c r="DL506" s="24" t="n"/>
      <c r="DM506" s="24" t="n"/>
      <c r="DN506" s="24" t="n"/>
      <c r="DO506" s="24" t="n"/>
      <c r="DP506" s="24" t="n"/>
      <c r="DQ506" s="24" t="inlineStr">
        <is>
          <t>{"artifact_hash": "1d168f11d221cd3c", "event_id": "401858462", "event_start_utc": "2026-09-26T17:30Z", "features": {"altitude_fatigue_penalty": 0.0, "away_team": "UCLA Bruins", "efficiency_gap": -0.523, "elo_away": 1359.5, "elo_home": 1224.9, "elo_home_win_prob": 0.4011, "event_id": "401858462", "game_start_utc": "2026-09-26T17:30Z", "home_field_advantage_points": 2.8, "home_team": "Maryland Terrapins", "is_dome": false, "is_fbs_vs_fcs": false, "is_neutral_site": false, "projected_away_points": 29.4, "projected_home_points": 26.6, "projected_margin_home": -2.8, "projected_possessions": 12.4, "projected_total": 56.0, "stadium_elevation_ft": 140, "travel_distance_miles": 2292.0, "uncertainty": 0.18, "weather_total_adjustment": 0.0}, "historical_source_observation_times_verified": false, "inference_inputs": {"engine_source_sha256": "449ba2f0e86fa9c445730076a0e0bf100fb4914620be53c75c6f3bfe24298f3f", "mu_away": 29.4, "mu_home": 26.6,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90123088618303774480100312874994587206}, "uinteger": 0}, "spread_home_line": 1.5, "total_line": 55.5}, "market_type": "spread", "model_version": "cfb-spread-v1", "observed_at_utc": "2026-09-26T15:01:01.506546+00:00", "probabilities": {"away": 0.5202, "home": 0.4798, "push": 0.0}, "replay_scope": "Full precision score means, exact engine parameters and original RNG state; upstream feature construction not certified.", "schema": "cfb-joint-replay-v1", "snapshot_hash": "f7a21383291bfdbc9ee07d15751ddb5ab4e1372781ad83be6d9d329ce2aef0f4", "sport": "NCAAF"}</t>
        </is>
      </c>
    </row>
    <row r="507" ht="36" customHeight="1">
      <c r="A507" s="24" t="inlineStr">
        <is>
          <t>1dc5472603f2436f</t>
        </is>
      </c>
      <c r="B507" s="24" t="inlineStr">
        <is>
          <t>2026-09-26T15:01:01.506546Z</t>
        </is>
      </c>
      <c r="C507" s="24" t="inlineStr">
        <is>
          <t>2026-09-26T17:30Z</t>
        </is>
      </c>
      <c r="D507" s="24" t="inlineStr">
        <is>
          <t>401858462</t>
        </is>
      </c>
      <c r="E507" s="24" t="inlineStr">
        <is>
          <t>NCAAF</t>
        </is>
      </c>
      <c r="F507" s="24" t="inlineStr">
        <is>
          <t>UCLA Bruins</t>
        </is>
      </c>
      <c r="G507" s="24" t="inlineStr">
        <is>
          <t>Maryland Terrapins</t>
        </is>
      </c>
      <c r="H507" s="24" t="inlineStr">
        <is>
          <t>total</t>
        </is>
      </c>
      <c r="I507" s="24" t="inlineStr">
        <is>
          <t>under</t>
        </is>
      </c>
      <c r="J507" s="25" t="n">
        <v>55.5</v>
      </c>
      <c r="K507" s="24" t="inlineStr">
        <is>
          <t>espn_consensus</t>
        </is>
      </c>
      <c r="L507" s="26" t="n">
        <v>-108</v>
      </c>
      <c r="M507" s="27" t="n">
        <v>1.925926</v>
      </c>
      <c r="N507" s="28" t="n">
        <v>0.519231</v>
      </c>
      <c r="O507" s="28" t="n">
        <v>0.524267</v>
      </c>
      <c r="P507" s="28" t="n">
        <v>0.18</v>
      </c>
      <c r="Q507" s="28" t="n">
        <v>0.005036</v>
      </c>
      <c r="R507" s="26" t="n">
        <v>0</v>
      </c>
      <c r="S507" s="29" t="n">
        <v>1</v>
      </c>
      <c r="T507" s="24" t="inlineStr">
        <is>
          <t>cfb-total-v1</t>
        </is>
      </c>
      <c r="U507" s="24" t="inlineStr">
        <is>
          <t>settled</t>
        </is>
      </c>
      <c r="V507" s="24" t="inlineStr">
        <is>
          <t>loss</t>
        </is>
      </c>
      <c r="W507" s="26" t="n">
        <v>54</v>
      </c>
      <c r="X507" s="26" t="n">
        <v>3</v>
      </c>
      <c r="Y507" s="25" t="n"/>
      <c r="Z507" s="26" t="n"/>
      <c r="AA507" s="28" t="n"/>
      <c r="AB507" s="28" t="n"/>
      <c r="AC507" s="30" t="n">
        <v>-1</v>
      </c>
      <c r="AD507" s="24" t="inlineStr">
        <is>
          <t>2026-09-26T22:00:56.456117Z</t>
        </is>
      </c>
      <c r="AE507" s="31" t="inlineStr">
        <is>
          <t>Projected total 56.0 pts (Weather adj: +0.0 pts). Total line 55.5 -&gt; P(Over)=0.476, P(Under)=0.524, P(Push)=0.000.</t>
        </is>
      </c>
      <c r="AF507" s="31" t="inlineStr">
        <is>
          <t>College football model; multi-market (moneyline, spread, total).</t>
        </is>
      </c>
      <c r="AG507" s="24" t="inlineStr">
        <is>
          <t>review_required</t>
        </is>
      </c>
      <c r="AH507" s="24" t="n"/>
      <c r="AI507" s="31" t="n"/>
      <c r="AJ507" s="31" t="n"/>
      <c r="AK507" s="24" t="inlineStr">
        <is>
          <t>paper_call</t>
        </is>
      </c>
      <c r="AL507" s="26" t="n">
        <v>4</v>
      </c>
      <c r="AM507" s="24" t="inlineStr">
        <is>
          <t>RESEARCH_OBSERVATION</t>
        </is>
      </c>
      <c r="AN507" s="24" t="inlineStr">
        <is>
          <t>CALL</t>
        </is>
      </c>
      <c r="AO507" s="24" t="inlineStr">
        <is>
          <t>PAPER_CALL_LOW_EDGE</t>
        </is>
      </c>
      <c r="AP507" s="24" t="inlineStr">
        <is>
          <t>UCLA Bruins</t>
        </is>
      </c>
      <c r="AQ507" s="24" t="inlineStr">
        <is>
          <t>UCLA Bruins</t>
        </is>
      </c>
      <c r="AR507" s="24" t="inlineStr">
        <is>
          <t>UCLA Bruins</t>
        </is>
      </c>
      <c r="AS507" s="24" t="inlineStr">
        <is>
          <t>Maryland Terrapins</t>
        </is>
      </c>
      <c r="AT507" s="24" t="inlineStr">
        <is>
          <t>Maryland Terrapins</t>
        </is>
      </c>
      <c r="AU507" s="24" t="inlineStr">
        <is>
          <t>Maryland Terrapins</t>
        </is>
      </c>
      <c r="AV507" s="24" t="n"/>
      <c r="AW507" s="24" t="n"/>
      <c r="AX507" s="24" t="inlineStr">
        <is>
          <t>statistical_model</t>
        </is>
      </c>
      <c r="AY507" s="24" t="n"/>
      <c r="AZ507" s="24" t="inlineStr">
        <is>
          <t>shadow_qualified</t>
        </is>
      </c>
      <c r="BA507" s="24" t="inlineStr">
        <is>
          <t>1d168f11d221cd3c</t>
        </is>
      </c>
      <c r="BB507" s="24" t="inlineStr">
        <is>
          <t>cfb_key_number_engine</t>
        </is>
      </c>
      <c r="BC507" s="24" t="inlineStr">
        <is>
          <t>cfb-total-v1</t>
        </is>
      </c>
      <c r="BD507" s="24" t="inlineStr">
        <is>
          <t>1d168f11d221cd3c</t>
        </is>
      </c>
      <c r="BE507" s="24" t="inlineStr">
        <is>
          <t>cfb-v1</t>
        </is>
      </c>
      <c r="BF507" s="24" t="inlineStr">
        <is>
          <t>1</t>
        </is>
      </c>
      <c r="BG507" s="24" t="inlineStr">
        <is>
          <t>1d168f11d221cd3c</t>
        </is>
      </c>
      <c r="BH507" s="24" t="inlineStr">
        <is>
          <t>2026-09-26T15:01:01.506546+00:00</t>
        </is>
      </c>
      <c r="BI507" s="24" t="inlineStr">
        <is>
          <t>["same_event","same_team_same_day","same_league_same_day"]</t>
        </is>
      </c>
      <c r="BJ507" s="25" t="n">
        <v>55.5</v>
      </c>
      <c r="BK507" s="26" t="n">
        <v>-108</v>
      </c>
      <c r="BL507" s="27" t="n">
        <v>1.925926</v>
      </c>
      <c r="BM507" s="28" t="n">
        <v>0.519231</v>
      </c>
      <c r="BN507" s="28" t="n"/>
      <c r="BO507" s="28" t="n"/>
      <c r="BP507" s="25" t="n"/>
      <c r="BQ507" s="27" t="n"/>
      <c r="BR507" s="28" t="n"/>
      <c r="BS507" s="28" t="n"/>
      <c r="BT507" s="28" t="n"/>
      <c r="BU507" s="25" t="n"/>
      <c r="BV507" s="29" t="n"/>
      <c r="BW507" s="24" t="n"/>
      <c r="BX507" s="30" t="n">
        <v>1</v>
      </c>
      <c r="BY507" s="27" t="n">
        <v>-1</v>
      </c>
      <c r="BZ507" s="24" t="inlineStr">
        <is>
          <t>2026-09-26T22:00:56.456117Z</t>
        </is>
      </c>
      <c r="CA507" s="31" t="inlineStr">
        <is>
          <t>fixed one-unit hypothetical scoring; no real exposure or execution</t>
        </is>
      </c>
      <c r="CB507" s="24" t="n"/>
      <c r="CC507" s="24" t="n"/>
      <c r="CD507" s="24" t="n"/>
      <c r="CE507" s="24" t="n"/>
      <c r="CF507" s="24" t="n"/>
      <c r="CG507" s="24" t="n"/>
      <c r="CH507" s="24" t="n"/>
      <c r="CI507" s="24" t="n"/>
      <c r="CJ507" s="24" t="n"/>
      <c r="CK507" s="24" t="n"/>
      <c r="CL507" s="24" t="n"/>
      <c r="CM507" s="24" t="n"/>
      <c r="CN507" s="24" t="n"/>
      <c r="CO507" s="24" t="n"/>
      <c r="CP507" s="24" t="n"/>
      <c r="CQ507" s="24" t="n"/>
      <c r="CR507" s="24" t="n"/>
      <c r="CS507" s="24" t="inlineStr">
        <is>
          <t>True</t>
        </is>
      </c>
      <c r="CT507" s="24" t="n"/>
      <c r="CU507" s="24" t="n"/>
      <c r="CV507" s="24" t="n"/>
      <c r="CW507" s="24" t="n"/>
      <c r="CX507" s="24" t="n"/>
      <c r="CY507" s="24" t="n"/>
      <c r="CZ507" s="24" t="n"/>
      <c r="DA507" s="24" t="n"/>
      <c r="DB507" s="24" t="n"/>
      <c r="DC507" s="24" t="n"/>
      <c r="DD507" s="24" t="n"/>
      <c r="DE507" s="24" t="n"/>
      <c r="DF507" s="24" t="n"/>
      <c r="DG507" s="24" t="n"/>
      <c r="DH507" s="24" t="n"/>
      <c r="DI507" s="24" t="n"/>
      <c r="DJ507" s="24" t="inlineStr">
        <is>
          <t>0.519231</t>
        </is>
      </c>
      <c r="DK507" s="24" t="n"/>
      <c r="DL507" s="24" t="n"/>
      <c r="DM507" s="24" t="n"/>
      <c r="DN507" s="24" t="n"/>
      <c r="DO507" s="24" t="n"/>
      <c r="DP507" s="24" t="n"/>
      <c r="DQ507" s="24" t="inlineStr">
        <is>
          <t>{"artifact_hash": "1d168f11d221cd3c", "event_id": "401858462", "event_start_utc": "2026-09-26T17:30Z", "features": {"altitude_fatigue_penalty": 0.0, "away_team": "UCLA Bruins", "efficiency_gap": -0.523, "elo_away": 1359.5, "elo_home": 1224.9, "elo_home_win_prob": 0.4011, "event_id": "401858462", "game_start_utc": "2026-09-26T17:30Z", "home_field_advantage_points": 2.8, "home_team": "Maryland Terrapins", "is_dome": false, "is_fbs_vs_fcs": false, "is_neutral_site": false, "projected_away_points": 29.4, "projected_home_points": 26.6, "projected_margin_home": -2.8, "projected_possessions": 12.4, "projected_total": 56.0, "stadium_elevation_ft": 140, "travel_distance_miles": 2292.0, "uncertainty": 0.18, "weather_total_adjustment": 0.0}, "historical_source_observation_times_verified": false, "inference_inputs": {"engine_source_sha256": "449ba2f0e86fa9c445730076a0e0bf100fb4914620be53c75c6f3bfe24298f3f", "mu_away": 29.4, "mu_home": 26.6,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90123088618303774480100312874994587206}, "uinteger": 0}, "spread_home_line": 1.5, "total_line": 55.5}, "market_type": "total", "model_version": "cfb-total-v1", "observed_at_utc": "2026-09-26T15:01:01.506546+00:00", "probabilities": {"over": 0.475733, "push": 0.0, "under": 0.524267}, "replay_scope": "Full precision score means, exact engine parameters and original RNG state; upstream feature construction not certified.", "schema": "cfb-joint-replay-v1", "snapshot_hash": "924900531b87e7972503952e942c19099e30eb6fbfa3ed64d5edfdea9ad483e2", "sport": "NCAAF"}</t>
        </is>
      </c>
    </row>
    <row r="508" ht="36" customHeight="1">
      <c r="A508" s="24" t="inlineStr">
        <is>
          <t>8aa36fdb9a2142d1</t>
        </is>
      </c>
      <c r="B508" s="24" t="inlineStr">
        <is>
          <t>2026-09-26T15:01:01.506546Z</t>
        </is>
      </c>
      <c r="C508" s="24" t="inlineStr">
        <is>
          <t>2026-09-26T18:00Z</t>
        </is>
      </c>
      <c r="D508" s="24" t="inlineStr">
        <is>
          <t>401858467</t>
        </is>
      </c>
      <c r="E508" s="24" t="inlineStr">
        <is>
          <t>NCAAF</t>
        </is>
      </c>
      <c r="F508" s="24" t="inlineStr">
        <is>
          <t>Notre Dame Fighting Irish</t>
        </is>
      </c>
      <c r="G508" s="24" t="inlineStr">
        <is>
          <t>Purdue Boilermakers</t>
        </is>
      </c>
      <c r="H508" s="24" t="inlineStr">
        <is>
          <t>moneyline</t>
        </is>
      </c>
      <c r="I508" s="24" t="inlineStr">
        <is>
          <t>away</t>
        </is>
      </c>
      <c r="J508" s="25" t="n"/>
      <c r="K508" s="24" t="inlineStr">
        <is>
          <t>espn_consensus</t>
        </is>
      </c>
      <c r="L508" s="26" t="n">
        <v>-4500</v>
      </c>
      <c r="M508" s="27" t="n">
        <v>1.022222</v>
      </c>
      <c r="N508" s="28" t="n">
        <v>0.978261</v>
      </c>
      <c r="O508" s="28" t="n">
        <v>0.952203</v>
      </c>
      <c r="P508" s="28" t="n">
        <v>0.18</v>
      </c>
      <c r="Q508" s="28" t="n">
        <v>-0.026058</v>
      </c>
      <c r="R508" s="26" t="n">
        <v>0</v>
      </c>
      <c r="S508" s="29" t="n">
        <v>1</v>
      </c>
      <c r="T508" s="24" t="inlineStr">
        <is>
          <t>college-football-v1</t>
        </is>
      </c>
      <c r="U508" s="24" t="inlineStr">
        <is>
          <t>settled</t>
        </is>
      </c>
      <c r="V508" s="24" t="inlineStr">
        <is>
          <t>win</t>
        </is>
      </c>
      <c r="W508" s="26" t="n">
        <v>49</v>
      </c>
      <c r="X508" s="26" t="n">
        <v>10</v>
      </c>
      <c r="Y508" s="25" t="n"/>
      <c r="Z508" s="26" t="n"/>
      <c r="AA508" s="28" t="n"/>
      <c r="AB508" s="28" t="n"/>
      <c r="AC508" s="30" t="n">
        <v>0.0222</v>
      </c>
      <c r="AD508" s="24" t="inlineStr">
        <is>
          <t>2026-09-26T22:00:57.015497Z</t>
        </is>
      </c>
      <c r="AE508" s="31" t="inlineStr">
        <is>
          <t>CFB Joint Model (negative_binomial): proj score Notre Dame Fighting Irish 42.3 @ Purdue Boilermakers 13.2 (Margin -29.1). Possessions: 12.4, HFA: +2.8 pts.</t>
        </is>
      </c>
      <c r="AF508" s="31" t="inlineStr">
        <is>
          <t>College football model; multi-market (moneyline, spread, total).</t>
        </is>
      </c>
      <c r="AG508" s="24" t="inlineStr">
        <is>
          <t>not_applicable</t>
        </is>
      </c>
      <c r="AH508" s="24" t="n"/>
      <c r="AI508" s="31" t="n"/>
      <c r="AJ508" s="31" t="n"/>
      <c r="AK508" s="24" t="inlineStr">
        <is>
          <t>paper_call</t>
        </is>
      </c>
      <c r="AL508" s="26" t="n">
        <v>4</v>
      </c>
      <c r="AM508" s="24" t="inlineStr">
        <is>
          <t>RESEARCH_OBSERVATION</t>
        </is>
      </c>
      <c r="AN508" s="24" t="inlineStr">
        <is>
          <t>CALL</t>
        </is>
      </c>
      <c r="AO508" s="24" t="inlineStr">
        <is>
          <t>PAPER_CALL_LOW_EDGE</t>
        </is>
      </c>
      <c r="AP508" s="24" t="inlineStr">
        <is>
          <t>Notre Dame Fighting Irish</t>
        </is>
      </c>
      <c r="AQ508" s="24" t="inlineStr">
        <is>
          <t>Notre Dame Fighting Irish</t>
        </is>
      </c>
      <c r="AR508" s="24" t="inlineStr">
        <is>
          <t>Notre Dame Fighting Irish</t>
        </is>
      </c>
      <c r="AS508" s="24" t="inlineStr">
        <is>
          <t>Purdue Boilermakers</t>
        </is>
      </c>
      <c r="AT508" s="24" t="inlineStr">
        <is>
          <t>Purdue Boilermakers</t>
        </is>
      </c>
      <c r="AU508" s="24" t="inlineStr">
        <is>
          <t>Purdue Boilermakers</t>
        </is>
      </c>
      <c r="AV508" s="24" t="n"/>
      <c r="AW508" s="24" t="n"/>
      <c r="AX508" s="24" t="inlineStr">
        <is>
          <t>statistical_model</t>
        </is>
      </c>
      <c r="AY508" s="24" t="n"/>
      <c r="AZ508" s="24" t="inlineStr">
        <is>
          <t>shadow_qualified</t>
        </is>
      </c>
      <c r="BA508" s="24" t="inlineStr">
        <is>
          <t>1d168f11d221cd3c</t>
        </is>
      </c>
      <c r="BB508" s="24" t="inlineStr">
        <is>
          <t>cfb_key_number_engine</t>
        </is>
      </c>
      <c r="BC508" s="24" t="inlineStr">
        <is>
          <t>college-football-v1</t>
        </is>
      </c>
      <c r="BD508" s="24" t="inlineStr">
        <is>
          <t>1d168f11d221cd3c</t>
        </is>
      </c>
      <c r="BE508" s="24" t="inlineStr">
        <is>
          <t>cfb-v1</t>
        </is>
      </c>
      <c r="BF508" s="24" t="inlineStr">
        <is>
          <t>1</t>
        </is>
      </c>
      <c r="BG508" s="24" t="inlineStr">
        <is>
          <t>1d168f11d221cd3c</t>
        </is>
      </c>
      <c r="BH508" s="24" t="inlineStr">
        <is>
          <t>2026-09-26T15:01:01.506546+00:00</t>
        </is>
      </c>
      <c r="BI508" s="24" t="inlineStr">
        <is>
          <t>["same_event","same_team_same_day","same_league_same_day"]</t>
        </is>
      </c>
      <c r="BJ508" s="25" t="n"/>
      <c r="BK508" s="26" t="n">
        <v>-4500</v>
      </c>
      <c r="BL508" s="27" t="n">
        <v>1.022222</v>
      </c>
      <c r="BM508" s="28" t="n">
        <v>0.978261</v>
      </c>
      <c r="BN508" s="28" t="n"/>
      <c r="BO508" s="28" t="n"/>
      <c r="BP508" s="25" t="n"/>
      <c r="BQ508" s="27" t="n"/>
      <c r="BR508" s="28" t="n"/>
      <c r="BS508" s="28" t="n"/>
      <c r="BT508" s="28" t="n"/>
      <c r="BU508" s="25" t="n"/>
      <c r="BV508" s="29" t="n"/>
      <c r="BW508" s="24" t="n"/>
      <c r="BX508" s="30" t="n">
        <v>1</v>
      </c>
      <c r="BY508" s="27" t="n">
        <v>0.022222</v>
      </c>
      <c r="BZ508" s="24" t="inlineStr">
        <is>
          <t>2026-09-26T22:00:57.015497Z</t>
        </is>
      </c>
      <c r="CA508" s="31" t="inlineStr">
        <is>
          <t>fixed one-unit hypothetical scoring; no real exposure or execution</t>
        </is>
      </c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  <c r="CL508" s="24" t="n"/>
      <c r="CM508" s="24" t="n"/>
      <c r="CN508" s="24" t="n"/>
      <c r="CO508" s="24" t="n"/>
      <c r="CP508" s="24" t="n"/>
      <c r="CQ508" s="24" t="n"/>
      <c r="CR508" s="24" t="n"/>
      <c r="CS508" s="24" t="inlineStr">
        <is>
          <t>False</t>
        </is>
      </c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n"/>
      <c r="DE508" s="24" t="n"/>
      <c r="DF508" s="24" t="n"/>
      <c r="DG508" s="24" t="n"/>
      <c r="DH508" s="24" t="n"/>
      <c r="DI508" s="24" t="n"/>
      <c r="DJ508" s="24" t="inlineStr">
        <is>
          <t>0.978261</t>
        </is>
      </c>
      <c r="DK508" s="24" t="n"/>
      <c r="DL508" s="24" t="n"/>
      <c r="DM508" s="24" t="n"/>
      <c r="DN508" s="24" t="n"/>
      <c r="DO508" s="24" t="n"/>
      <c r="DP508" s="24" t="n"/>
      <c r="DQ508" s="24" t="inlineStr">
        <is>
          <t>{"artifact_hash": "1d168f11d221cd3c", "event_id": "401858467", "event_start_utc": "2026-09-26T18:00Z", "features": {"altitude_fatigue_penalty": 0.0, "away_team": "Notre Dame Fighting Irish", "efficiency_gap": -0.336, "elo_away": 1898.5, "elo_home": 1120.8, "elo_home_win_prob": 0.0163, "event_id": "401858467", "game_start_utc": "2026-09-26T18:00Z", "home_field_advantage_points": 2.8, "home_team": "Purdue Boilermakers", "is_dome": false, "is_fbs_vs_fcs": false, "is_neutral_site": false, "projected_away_points": 42.3, "projected_home_points": 13.2, "projected_margin_home": -29.1, "projected_possessions": 12.4, "projected_total": 55.5, "stadium_elevation_ft": 610, "travel_distance_miles": 94.0, "uncertainty": 0.18, "weather_total_adjustment": 0.0}, "historical_source_observation_times_verified": false, "inference_inputs": {"engine_source_sha256": "449ba2f0e86fa9c445730076a0e0bf100fb4914620be53c75c6f3bfe24298f3f", "mu_away": 42.3, "mu_home": 13.2,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73061498954903153013193665469414504500}, "uinteger": 0}, "spread_home_line": 27.5, "total_line": 57.5}, "market_type": "moneyline", "model_version": "college-football-v1", "observed_at_utc": "2026-09-26T15:01:01.506546+00:00", "probabilities": {"away": 0.952203, "home": 0.047797}, "replay_scope": "Full precision score means, exact engine parameters and original RNG state; upstream feature construction not certified.", "schema": "cfb-joint-replay-v1", "snapshot_hash": "2cb5df816fe1374bfb432848261ddf4ba665931218b769fb4460c6389e9422be", "sport": "NCAAF"}</t>
        </is>
      </c>
    </row>
    <row r="509" ht="36" customHeight="1">
      <c r="A509" s="24" t="inlineStr">
        <is>
          <t>fb93782e3e8d44c7</t>
        </is>
      </c>
      <c r="B509" s="24" t="inlineStr">
        <is>
          <t>2026-09-26T15:01:01.506546Z</t>
        </is>
      </c>
      <c r="C509" s="24" t="inlineStr">
        <is>
          <t>2026-09-26T18:00Z</t>
        </is>
      </c>
      <c r="D509" s="24" t="inlineStr">
        <is>
          <t>401858467</t>
        </is>
      </c>
      <c r="E509" s="24" t="inlineStr">
        <is>
          <t>NCAAF</t>
        </is>
      </c>
      <c r="F509" s="24" t="inlineStr">
        <is>
          <t>Notre Dame Fighting Irish</t>
        </is>
      </c>
      <c r="G509" s="24" t="inlineStr">
        <is>
          <t>Purdue Boilermakers</t>
        </is>
      </c>
      <c r="H509" s="24" t="inlineStr">
        <is>
          <t>spread</t>
        </is>
      </c>
      <c r="I509" s="24" t="inlineStr">
        <is>
          <t>away</t>
        </is>
      </c>
      <c r="J509" s="25" t="n">
        <v>-27.5</v>
      </c>
      <c r="K509" s="24" t="inlineStr">
        <is>
          <t>espn_consensus</t>
        </is>
      </c>
      <c r="L509" s="26" t="n">
        <v>-105</v>
      </c>
      <c r="M509" s="27" t="n">
        <v>1.952381</v>
      </c>
      <c r="N509" s="28" t="n">
        <v>0.512195</v>
      </c>
      <c r="O509" s="28" t="n">
        <v>0.5114</v>
      </c>
      <c r="P509" s="28" t="n">
        <v>0.18</v>
      </c>
      <c r="Q509" s="28" t="n">
        <v>-0.000795</v>
      </c>
      <c r="R509" s="26" t="n">
        <v>0</v>
      </c>
      <c r="S509" s="29" t="n">
        <v>1</v>
      </c>
      <c r="T509" s="24" t="inlineStr">
        <is>
          <t>cfb-spread-v1</t>
        </is>
      </c>
      <c r="U509" s="24" t="inlineStr">
        <is>
          <t>settled</t>
        </is>
      </c>
      <c r="V509" s="24" t="inlineStr">
        <is>
          <t>win</t>
        </is>
      </c>
      <c r="W509" s="26" t="n">
        <v>49</v>
      </c>
      <c r="X509" s="26" t="n">
        <v>10</v>
      </c>
      <c r="Y509" s="25" t="n"/>
      <c r="Z509" s="26" t="n"/>
      <c r="AA509" s="28" t="n"/>
      <c r="AB509" s="28" t="n"/>
      <c r="AC509" s="30" t="n">
        <v>0.9524</v>
      </c>
      <c r="AD509" s="24" t="inlineStr">
        <is>
          <t>2026-09-26T22:00:57.511280Z</t>
        </is>
      </c>
      <c r="AE509" s="31" t="inlineStr">
        <is>
          <t>Projected home margin -29.1 pts. Spread: Home +27.5 / Away -27.5 -&gt; P(Away cover)=0.511, P(Home cover)=0.489, P(Push)=0.000.</t>
        </is>
      </c>
      <c r="AF509" s="31" t="inlineStr">
        <is>
          <t>College football model; multi-market (moneyline, spread, total).</t>
        </is>
      </c>
      <c r="AG509" s="24" t="inlineStr">
        <is>
          <t>not_applicable</t>
        </is>
      </c>
      <c r="AH509" s="24" t="n"/>
      <c r="AI509" s="31" t="n"/>
      <c r="AJ509" s="31" t="n"/>
      <c r="AK509" s="24" t="inlineStr">
        <is>
          <t>paper_call</t>
        </is>
      </c>
      <c r="AL509" s="26" t="n">
        <v>4</v>
      </c>
      <c r="AM509" s="24" t="inlineStr">
        <is>
          <t>RESEARCH_OBSERVATION</t>
        </is>
      </c>
      <c r="AN509" s="24" t="inlineStr">
        <is>
          <t>CALL</t>
        </is>
      </c>
      <c r="AO509" s="24" t="inlineStr">
        <is>
          <t>PAPER_CALL_LOW_EDGE</t>
        </is>
      </c>
      <c r="AP509" s="24" t="inlineStr">
        <is>
          <t>Notre Dame Fighting Irish</t>
        </is>
      </c>
      <c r="AQ509" s="24" t="inlineStr">
        <is>
          <t>Notre Dame Fighting Irish</t>
        </is>
      </c>
      <c r="AR509" s="24" t="inlineStr">
        <is>
          <t>Notre Dame Fighting Irish</t>
        </is>
      </c>
      <c r="AS509" s="24" t="inlineStr">
        <is>
          <t>Purdue Boilermakers</t>
        </is>
      </c>
      <c r="AT509" s="24" t="inlineStr">
        <is>
          <t>Purdue Boilermakers</t>
        </is>
      </c>
      <c r="AU509" s="24" t="inlineStr">
        <is>
          <t>Purdue Boilermakers</t>
        </is>
      </c>
      <c r="AV509" s="24" t="n"/>
      <c r="AW509" s="24" t="n"/>
      <c r="AX509" s="24" t="inlineStr">
        <is>
          <t>statistical_model</t>
        </is>
      </c>
      <c r="AY509" s="24" t="n"/>
      <c r="AZ509" s="24" t="inlineStr">
        <is>
          <t>shadow_qualified</t>
        </is>
      </c>
      <c r="BA509" s="24" t="inlineStr">
        <is>
          <t>1d168f11d221cd3c</t>
        </is>
      </c>
      <c r="BB509" s="24" t="inlineStr">
        <is>
          <t>cfb_key_number_engine</t>
        </is>
      </c>
      <c r="BC509" s="24" t="inlineStr">
        <is>
          <t>cfb-spread-v1</t>
        </is>
      </c>
      <c r="BD509" s="24" t="inlineStr">
        <is>
          <t>1d168f11d221cd3c</t>
        </is>
      </c>
      <c r="BE509" s="24" t="inlineStr">
        <is>
          <t>cfb-v1</t>
        </is>
      </c>
      <c r="BF509" s="24" t="inlineStr">
        <is>
          <t>1</t>
        </is>
      </c>
      <c r="BG509" s="24" t="inlineStr">
        <is>
          <t>1d168f11d221cd3c</t>
        </is>
      </c>
      <c r="BH509" s="24" t="inlineStr">
        <is>
          <t>2026-09-26T15:01:01.506546+00:00</t>
        </is>
      </c>
      <c r="BI509" s="24" t="inlineStr">
        <is>
          <t>["same_event","same_team_same_day","same_league_same_day"]</t>
        </is>
      </c>
      <c r="BJ509" s="25" t="n">
        <v>-27.5</v>
      </c>
      <c r="BK509" s="26" t="n">
        <v>-105</v>
      </c>
      <c r="BL509" s="27" t="n">
        <v>1.952381</v>
      </c>
      <c r="BM509" s="28" t="n">
        <v>0.512195</v>
      </c>
      <c r="BN509" s="28" t="n"/>
      <c r="BO509" s="28" t="n"/>
      <c r="BP509" s="25" t="n"/>
      <c r="BQ509" s="27" t="n"/>
      <c r="BR509" s="28" t="n"/>
      <c r="BS509" s="28" t="n"/>
      <c r="BT509" s="28" t="n"/>
      <c r="BU509" s="25" t="n"/>
      <c r="BV509" s="29" t="n"/>
      <c r="BW509" s="24" t="n"/>
      <c r="BX509" s="30" t="n">
        <v>1</v>
      </c>
      <c r="BY509" s="27" t="n">
        <v>0.952381</v>
      </c>
      <c r="BZ509" s="24" t="inlineStr">
        <is>
          <t>2026-09-26T22:00:57.511280Z</t>
        </is>
      </c>
      <c r="CA509" s="31" t="inlineStr">
        <is>
          <t>fixed one-unit hypothetical scoring; no real exposure or execution</t>
        </is>
      </c>
      <c r="CB509" s="24" t="n"/>
      <c r="CC509" s="24" t="n"/>
      <c r="CD509" s="24" t="n"/>
      <c r="CE509" s="24" t="n"/>
      <c r="CF509" s="24" t="n"/>
      <c r="CG509" s="24" t="n"/>
      <c r="CH509" s="24" t="n"/>
      <c r="CI509" s="24" t="n"/>
      <c r="CJ509" s="24" t="n"/>
      <c r="CK509" s="24" t="n"/>
      <c r="CL509" s="24" t="n"/>
      <c r="CM509" s="24" t="n"/>
      <c r="CN509" s="24" t="n"/>
      <c r="CO509" s="24" t="n"/>
      <c r="CP509" s="24" t="n"/>
      <c r="CQ509" s="24" t="n"/>
      <c r="CR509" s="24" t="n"/>
      <c r="CS509" s="24" t="inlineStr">
        <is>
          <t>False</t>
        </is>
      </c>
      <c r="CT509" s="24" t="n"/>
      <c r="CU509" s="24" t="n"/>
      <c r="CV509" s="24" t="n"/>
      <c r="CW509" s="24" t="n"/>
      <c r="CX509" s="24" t="n"/>
      <c r="CY509" s="24" t="n"/>
      <c r="CZ509" s="24" t="n"/>
      <c r="DA509" s="24" t="n"/>
      <c r="DB509" s="24" t="n"/>
      <c r="DC509" s="24" t="n"/>
      <c r="DD509" s="24" t="n"/>
      <c r="DE509" s="24" t="n"/>
      <c r="DF509" s="24" t="n"/>
      <c r="DG509" s="24" t="n"/>
      <c r="DH509" s="24" t="n"/>
      <c r="DI509" s="24" t="n"/>
      <c r="DJ509" s="24" t="inlineStr">
        <is>
          <t>0.512195</t>
        </is>
      </c>
      <c r="DK509" s="24" t="n"/>
      <c r="DL509" s="24" t="n"/>
      <c r="DM509" s="24" t="n"/>
      <c r="DN509" s="24" t="n"/>
      <c r="DO509" s="24" t="n"/>
      <c r="DP509" s="24" t="n"/>
      <c r="DQ509" s="24" t="inlineStr">
        <is>
          <t>{"artifact_hash": "1d168f11d221cd3c", "event_id": "401858467", "event_start_utc": "2026-09-26T18:00Z", "features": {"altitude_fatigue_penalty": 0.0, "away_team": "Notre Dame Fighting Irish", "efficiency_gap": -0.336, "elo_away": 1898.5, "elo_home": 1120.8, "elo_home_win_prob": 0.0163, "event_id": "401858467", "game_start_utc": "2026-09-26T18:00Z", "home_field_advantage_points": 2.8, "home_team": "Purdue Boilermakers", "is_dome": false, "is_fbs_vs_fcs": false, "is_neutral_site": false, "projected_away_points": 42.3, "projected_home_points": 13.2, "projected_margin_home": -29.1, "projected_possessions": 12.4, "projected_total": 55.5, "stadium_elevation_ft": 610, "travel_distance_miles": 94.0, "uncertainty": 0.18, "weather_total_adjustment": 0.0}, "historical_source_observation_times_verified": false, "inference_inputs": {"engine_source_sha256": "449ba2f0e86fa9c445730076a0e0bf100fb4914620be53c75c6f3bfe24298f3f", "mu_away": 42.3, "mu_home": 13.2,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73061498954903153013193665469414504500}, "uinteger": 0}, "spread_home_line": 27.5, "total_line": 57.5}, "market_type": "spread", "model_version": "cfb-spread-v1", "observed_at_utc": "2026-09-26T15:01:01.506546+00:00", "probabilities": {"away": 0.5114, "home": 0.4886, "push": 0.0}, "replay_scope": "Full precision score means, exact engine parameters and original RNG state; upstream feature construction not certified.", "schema": "cfb-joint-replay-v1", "snapshot_hash": "fe6c6dbda055529c32eaee4351ce1fe03eb564475b8f897bdcc99025d9bc1d43", "sport": "NCAAF"}</t>
        </is>
      </c>
    </row>
    <row r="510" ht="36" customHeight="1">
      <c r="A510" s="24" t="inlineStr">
        <is>
          <t>be212ed00d664f87</t>
        </is>
      </c>
      <c r="B510" s="24" t="inlineStr">
        <is>
          <t>2026-09-26T15:01:01.506546Z</t>
        </is>
      </c>
      <c r="C510" s="24" t="inlineStr">
        <is>
          <t>2026-09-26T18:00Z</t>
        </is>
      </c>
      <c r="D510" s="24" t="inlineStr">
        <is>
          <t>401858467</t>
        </is>
      </c>
      <c r="E510" s="24" t="inlineStr">
        <is>
          <t>NCAAF</t>
        </is>
      </c>
      <c r="F510" s="24" t="inlineStr">
        <is>
          <t>Notre Dame Fighting Irish</t>
        </is>
      </c>
      <c r="G510" s="24" t="inlineStr">
        <is>
          <t>Purdue Boilermakers</t>
        </is>
      </c>
      <c r="H510" s="24" t="inlineStr">
        <is>
          <t>total</t>
        </is>
      </c>
      <c r="I510" s="24" t="inlineStr">
        <is>
          <t>under</t>
        </is>
      </c>
      <c r="J510" s="25" t="n">
        <v>57.5</v>
      </c>
      <c r="K510" s="24" t="inlineStr">
        <is>
          <t>espn_consensus</t>
        </is>
      </c>
      <c r="L510" s="26" t="n">
        <v>-115</v>
      </c>
      <c r="M510" s="27" t="n">
        <v>1.869565</v>
      </c>
      <c r="N510" s="28" t="n">
        <v>0.534884</v>
      </c>
      <c r="O510" s="28" t="n">
        <v>0.564733</v>
      </c>
      <c r="P510" s="28" t="n">
        <v>0.18</v>
      </c>
      <c r="Q510" s="28" t="n">
        <v>0.029849</v>
      </c>
      <c r="R510" s="26" t="n">
        <v>0</v>
      </c>
      <c r="S510" s="29" t="n">
        <v>1</v>
      </c>
      <c r="T510" s="24" t="inlineStr">
        <is>
          <t>cfb-total-v1</t>
        </is>
      </c>
      <c r="U510" s="24" t="inlineStr">
        <is>
          <t>settled</t>
        </is>
      </c>
      <c r="V510" s="24" t="inlineStr">
        <is>
          <t>loss</t>
        </is>
      </c>
      <c r="W510" s="26" t="n">
        <v>49</v>
      </c>
      <c r="X510" s="26" t="n">
        <v>10</v>
      </c>
      <c r="Y510" s="25" t="n"/>
      <c r="Z510" s="26" t="n"/>
      <c r="AA510" s="28" t="n"/>
      <c r="AB510" s="28" t="n"/>
      <c r="AC510" s="30" t="n">
        <v>-1</v>
      </c>
      <c r="AD510" s="24" t="inlineStr">
        <is>
          <t>2026-09-26T22:00:58.066500Z</t>
        </is>
      </c>
      <c r="AE510" s="31" t="inlineStr">
        <is>
          <t>Projected total 55.5 pts (Weather adj: +0.0 pts). Total line 57.5 -&gt; P(Over)=0.435, P(Under)=0.565, P(Push)=0.000.</t>
        </is>
      </c>
      <c r="AF510" s="31" t="inlineStr">
        <is>
          <t>College football model; multi-market (moneyline, spread, total).</t>
        </is>
      </c>
      <c r="AG510" s="24" t="inlineStr">
        <is>
          <t>review_required</t>
        </is>
      </c>
      <c r="AH510" s="24" t="n"/>
      <c r="AI510" s="31" t="n"/>
      <c r="AJ510" s="31" t="n"/>
      <c r="AK510" s="24" t="inlineStr">
        <is>
          <t>paper_call</t>
        </is>
      </c>
      <c r="AL510" s="26" t="n">
        <v>4</v>
      </c>
      <c r="AM510" s="24" t="inlineStr">
        <is>
          <t>RESEARCH_OBSERVATION</t>
        </is>
      </c>
      <c r="AN510" s="24" t="inlineStr">
        <is>
          <t>CALL</t>
        </is>
      </c>
      <c r="AO510" s="24" t="inlineStr">
        <is>
          <t>PAPER_CALL_LOW_EDGE</t>
        </is>
      </c>
      <c r="AP510" s="24" t="inlineStr">
        <is>
          <t>Notre Dame Fighting Irish</t>
        </is>
      </c>
      <c r="AQ510" s="24" t="inlineStr">
        <is>
          <t>Notre Dame Fighting Irish</t>
        </is>
      </c>
      <c r="AR510" s="24" t="inlineStr">
        <is>
          <t>Notre Dame Fighting Irish</t>
        </is>
      </c>
      <c r="AS510" s="24" t="inlineStr">
        <is>
          <t>Purdue Boilermakers</t>
        </is>
      </c>
      <c r="AT510" s="24" t="inlineStr">
        <is>
          <t>Purdue Boilermakers</t>
        </is>
      </c>
      <c r="AU510" s="24" t="inlineStr">
        <is>
          <t>Purdue Boilermakers</t>
        </is>
      </c>
      <c r="AV510" s="24" t="n"/>
      <c r="AW510" s="24" t="n"/>
      <c r="AX510" s="24" t="inlineStr">
        <is>
          <t>statistical_model</t>
        </is>
      </c>
      <c r="AY510" s="24" t="n"/>
      <c r="AZ510" s="24" t="inlineStr">
        <is>
          <t>shadow_qualified</t>
        </is>
      </c>
      <c r="BA510" s="24" t="inlineStr">
        <is>
          <t>1d168f11d221cd3c</t>
        </is>
      </c>
      <c r="BB510" s="24" t="inlineStr">
        <is>
          <t>cfb_key_number_engine</t>
        </is>
      </c>
      <c r="BC510" s="24" t="inlineStr">
        <is>
          <t>cfb-total-v1</t>
        </is>
      </c>
      <c r="BD510" s="24" t="inlineStr">
        <is>
          <t>1d168f11d221cd3c</t>
        </is>
      </c>
      <c r="BE510" s="24" t="inlineStr">
        <is>
          <t>cfb-v1</t>
        </is>
      </c>
      <c r="BF510" s="24" t="inlineStr">
        <is>
          <t>1</t>
        </is>
      </c>
      <c r="BG510" s="24" t="inlineStr">
        <is>
          <t>1d168f11d221cd3c</t>
        </is>
      </c>
      <c r="BH510" s="24" t="inlineStr">
        <is>
          <t>2026-09-26T15:01:01.506546+00:00</t>
        </is>
      </c>
      <c r="BI510" s="24" t="inlineStr">
        <is>
          <t>["same_event","same_team_same_day","same_league_same_day"]</t>
        </is>
      </c>
      <c r="BJ510" s="25" t="n">
        <v>57.5</v>
      </c>
      <c r="BK510" s="26" t="n">
        <v>-115</v>
      </c>
      <c r="BL510" s="27" t="n">
        <v>1.869565</v>
      </c>
      <c r="BM510" s="28" t="n">
        <v>0.534884</v>
      </c>
      <c r="BN510" s="28" t="n"/>
      <c r="BO510" s="28" t="n"/>
      <c r="BP510" s="25" t="n"/>
      <c r="BQ510" s="27" t="n"/>
      <c r="BR510" s="28" t="n"/>
      <c r="BS510" s="28" t="n"/>
      <c r="BT510" s="28" t="n"/>
      <c r="BU510" s="25" t="n"/>
      <c r="BV510" s="29" t="n"/>
      <c r="BW510" s="24" t="n"/>
      <c r="BX510" s="30" t="n">
        <v>1</v>
      </c>
      <c r="BY510" s="27" t="n">
        <v>-1</v>
      </c>
      <c r="BZ510" s="24" t="inlineStr">
        <is>
          <t>2026-09-26T22:00:58.066500Z</t>
        </is>
      </c>
      <c r="CA510" s="31" t="inlineStr">
        <is>
          <t>fixed one-unit hypothetical scoring; no real exposure or execution</t>
        </is>
      </c>
      <c r="CB510" s="24" t="n"/>
      <c r="CC510" s="24" t="n"/>
      <c r="CD510" s="24" t="n"/>
      <c r="CE510" s="24" t="n"/>
      <c r="CF510" s="24" t="n"/>
      <c r="CG510" s="24" t="n"/>
      <c r="CH510" s="24" t="n"/>
      <c r="CI510" s="24" t="n"/>
      <c r="CJ510" s="24" t="n"/>
      <c r="CK510" s="24" t="n"/>
      <c r="CL510" s="24" t="n"/>
      <c r="CM510" s="24" t="n"/>
      <c r="CN510" s="24" t="n"/>
      <c r="CO510" s="24" t="n"/>
      <c r="CP510" s="24" t="n"/>
      <c r="CQ510" s="24" t="n"/>
      <c r="CR510" s="24" t="n"/>
      <c r="CS510" s="24" t="inlineStr">
        <is>
          <t>True</t>
        </is>
      </c>
      <c r="CT510" s="24" t="n"/>
      <c r="CU510" s="24" t="n"/>
      <c r="CV510" s="24" t="n"/>
      <c r="CW510" s="24" t="n"/>
      <c r="CX510" s="24" t="n"/>
      <c r="CY510" s="24" t="n"/>
      <c r="CZ510" s="24" t="n"/>
      <c r="DA510" s="24" t="n"/>
      <c r="DB510" s="24" t="n"/>
      <c r="DC510" s="24" t="n"/>
      <c r="DD510" s="24" t="n"/>
      <c r="DE510" s="24" t="n"/>
      <c r="DF510" s="24" t="n"/>
      <c r="DG510" s="24" t="n"/>
      <c r="DH510" s="24" t="n"/>
      <c r="DI510" s="24" t="n"/>
      <c r="DJ510" s="24" t="inlineStr">
        <is>
          <t>0.534884</t>
        </is>
      </c>
      <c r="DK510" s="24" t="n"/>
      <c r="DL510" s="24" t="n"/>
      <c r="DM510" s="24" t="n"/>
      <c r="DN510" s="24" t="n"/>
      <c r="DO510" s="24" t="n"/>
      <c r="DP510" s="24" t="n"/>
      <c r="DQ510" s="24" t="inlineStr">
        <is>
          <t>{"artifact_hash": "1d168f11d221cd3c", "event_id": "401858467", "event_start_utc": "2026-09-26T18:00Z", "features": {"altitude_fatigue_penalty": 0.0, "away_team": "Notre Dame Fighting Irish", "efficiency_gap": -0.336, "elo_away": 1898.5, "elo_home": 1120.8, "elo_home_win_prob": 0.0163, "event_id": "401858467", "game_start_utc": "2026-09-26T18:00Z", "home_field_advantage_points": 2.8, "home_team": "Purdue Boilermakers", "is_dome": false, "is_fbs_vs_fcs": false, "is_neutral_site": false, "projected_away_points": 42.3, "projected_home_points": 13.2, "projected_margin_home": -29.1, "projected_possessions": 12.4, "projected_total": 55.5, "stadium_elevation_ft": 610, "travel_distance_miles": 94.0, "uncertainty": 0.18, "weather_total_adjustment": 0.0}, "historical_source_observation_times_verified": false, "inference_inputs": {"engine_source_sha256": "449ba2f0e86fa9c445730076a0e0bf100fb4914620be53c75c6f3bfe24298f3f", "mu_away": 42.3, "mu_home": 13.2,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73061498954903153013193665469414504500}, "uinteger": 0}, "spread_home_line": 27.5, "total_line": 57.5}, "market_type": "total", "model_version": "cfb-total-v1", "observed_at_utc": "2026-09-26T15:01:01.506546+00:00", "probabilities": {"over": 0.435267, "push": 0.0, "under": 0.564733}, "replay_scope": "Full precision score means, exact engine parameters and original RNG state; upstream feature construction not certified.", "schema": "cfb-joint-replay-v1", "snapshot_hash": "6fe8ec4db0f8218d1484a309db53cecdda5c32d956dde4cd92c8aed0c961ea01", "sport": "NCAAF"}</t>
        </is>
      </c>
    </row>
    <row r="511" ht="36" customHeight="1">
      <c r="A511" s="24" t="inlineStr">
        <is>
          <t>427ef70843244524</t>
        </is>
      </c>
      <c r="B511" s="24" t="inlineStr">
        <is>
          <t>2026-09-26T15:01:01.506546Z</t>
        </is>
      </c>
      <c r="C511" s="24" t="inlineStr">
        <is>
          <t>2026-09-26T18:00Z</t>
        </is>
      </c>
      <c r="D511" s="24" t="inlineStr">
        <is>
          <t>401864511</t>
        </is>
      </c>
      <c r="E511" s="24" t="inlineStr">
        <is>
          <t>NCAAF</t>
        </is>
      </c>
      <c r="F511" s="24" t="inlineStr">
        <is>
          <t>Northern Illinois Huskies</t>
        </is>
      </c>
      <c r="G511" s="24" t="inlineStr">
        <is>
          <t>Georgia State Panthers</t>
        </is>
      </c>
      <c r="H511" s="24" t="inlineStr">
        <is>
          <t>moneyline</t>
        </is>
      </c>
      <c r="I511" s="24" t="inlineStr">
        <is>
          <t>away</t>
        </is>
      </c>
      <c r="J511" s="25" t="n"/>
      <c r="K511" s="24" t="inlineStr">
        <is>
          <t>espn_consensus</t>
        </is>
      </c>
      <c r="L511" s="26" t="n">
        <v>310</v>
      </c>
      <c r="M511" s="27" t="n">
        <v>4.1</v>
      </c>
      <c r="N511" s="28" t="n">
        <v>0.243902</v>
      </c>
      <c r="O511" s="28" t="n">
        <v>0.635032</v>
      </c>
      <c r="P511" s="28" t="n">
        <v>0.18</v>
      </c>
      <c r="Q511" s="28" t="n">
        <v>0.39113</v>
      </c>
      <c r="R511" s="26" t="n">
        <v>100</v>
      </c>
      <c r="S511" s="29" t="n">
        <v>2</v>
      </c>
      <c r="T511" s="24" t="inlineStr">
        <is>
          <t>college-football-v1</t>
        </is>
      </c>
      <c r="U511" s="24" t="inlineStr">
        <is>
          <t>settled</t>
        </is>
      </c>
      <c r="V511" s="24" t="inlineStr">
        <is>
          <t>loss</t>
        </is>
      </c>
      <c r="W511" s="26" t="n">
        <v>14</v>
      </c>
      <c r="X511" s="26" t="n">
        <v>35</v>
      </c>
      <c r="Y511" s="25" t="n"/>
      <c r="Z511" s="26" t="n"/>
      <c r="AA511" s="28" t="n"/>
      <c r="AB511" s="28" t="n"/>
      <c r="AC511" s="30" t="n">
        <v>-2</v>
      </c>
      <c r="AD511" s="24" t="inlineStr">
        <is>
          <t>2026-09-26T22:00:58.684643Z</t>
        </is>
      </c>
      <c r="AE511" s="31" t="inlineStr">
        <is>
          <t>CFB Joint Model (negative_binomial): proj score Northern Illinois Huskies 29.0 @ Georgia State Panthers 22.8 (Margin -6.2). Possessions: 12.4, HFA: +2.8 pts.</t>
        </is>
      </c>
      <c r="AF511" s="31" t="inlineStr">
        <is>
          <t>College football model; multi-market (moneyline, spread, total).</t>
        </is>
      </c>
      <c r="AG511" s="24" t="inlineStr">
        <is>
          <t>review_required</t>
        </is>
      </c>
      <c r="AH511" s="24" t="n"/>
      <c r="AI511" s="31" t="n"/>
      <c r="AJ511" s="31" t="n"/>
      <c r="AK511" s="24" t="inlineStr">
        <is>
          <t>model_qualified</t>
        </is>
      </c>
      <c r="AL511" s="26" t="n">
        <v>4</v>
      </c>
      <c r="AM511" s="24" t="inlineStr">
        <is>
          <t>QUALIFIED_SHADOW_CALL</t>
        </is>
      </c>
      <c r="AN511" s="24" t="inlineStr">
        <is>
          <t>CALL</t>
        </is>
      </c>
      <c r="AO511" s="24" t="inlineStr">
        <is>
          <t>QUALIFIED</t>
        </is>
      </c>
      <c r="AP511" s="24" t="inlineStr">
        <is>
          <t>Northern Illinois Huskies</t>
        </is>
      </c>
      <c r="AQ511" s="24" t="inlineStr">
        <is>
          <t>Northern Illinois Huskies</t>
        </is>
      </c>
      <c r="AR511" s="24" t="inlineStr">
        <is>
          <t>Northern Illinois Huskies</t>
        </is>
      </c>
      <c r="AS511" s="24" t="inlineStr">
        <is>
          <t>Georgia State Panthers</t>
        </is>
      </c>
      <c r="AT511" s="24" t="inlineStr">
        <is>
          <t>Georgia State Panthers</t>
        </is>
      </c>
      <c r="AU511" s="24" t="inlineStr">
        <is>
          <t>Georgia State Panthers</t>
        </is>
      </c>
      <c r="AV511" s="24" t="n"/>
      <c r="AW511" s="24" t="n"/>
      <c r="AX511" s="24" t="inlineStr">
        <is>
          <t>statistical_model</t>
        </is>
      </c>
      <c r="AY511" s="24" t="n"/>
      <c r="AZ511" s="24" t="inlineStr">
        <is>
          <t>shadow_qualified</t>
        </is>
      </c>
      <c r="BA511" s="24" t="inlineStr">
        <is>
          <t>1d168f11d221cd3c</t>
        </is>
      </c>
      <c r="BB511" s="24" t="inlineStr">
        <is>
          <t>cfb_key_number_engine</t>
        </is>
      </c>
      <c r="BC511" s="24" t="inlineStr">
        <is>
          <t>college-football-v1</t>
        </is>
      </c>
      <c r="BD511" s="24" t="inlineStr">
        <is>
          <t>1d168f11d221cd3c</t>
        </is>
      </c>
      <c r="BE511" s="24" t="inlineStr">
        <is>
          <t>cfb-v1</t>
        </is>
      </c>
      <c r="BF511" s="24" t="inlineStr">
        <is>
          <t>1</t>
        </is>
      </c>
      <c r="BG511" s="24" t="inlineStr">
        <is>
          <t>1d168f11d221cd3c</t>
        </is>
      </c>
      <c r="BH511" s="24" t="inlineStr">
        <is>
          <t>2026-09-26T15:01:01.506546+00:00</t>
        </is>
      </c>
      <c r="BI511" s="24" t="inlineStr">
        <is>
          <t>["same_event","same_team_same_day","same_league_same_day"]</t>
        </is>
      </c>
      <c r="BJ511" s="25" t="n"/>
      <c r="BK511" s="26" t="n">
        <v>310</v>
      </c>
      <c r="BL511" s="27" t="n">
        <v>4.1</v>
      </c>
      <c r="BM511" s="28" t="n">
        <v>0.243902</v>
      </c>
      <c r="BN511" s="28" t="n"/>
      <c r="BO511" s="28" t="n"/>
      <c r="BP511" s="25" t="n"/>
      <c r="BQ511" s="27" t="n"/>
      <c r="BR511" s="28" t="n"/>
      <c r="BS511" s="28" t="n"/>
      <c r="BT511" s="28" t="n"/>
      <c r="BU511" s="25" t="n"/>
      <c r="BV511" s="29" t="n"/>
      <c r="BW511" s="24" t="n"/>
      <c r="BX511" s="30" t="n"/>
      <c r="BY511" s="27" t="n"/>
      <c r="BZ511" s="24" t="n"/>
      <c r="CA511" s="31" t="n"/>
      <c r="CB511" s="24" t="n"/>
      <c r="CC511" s="24" t="n"/>
      <c r="CD511" s="24" t="n"/>
      <c r="CE511" s="24" t="n"/>
      <c r="CF511" s="24" t="n"/>
      <c r="CG511" s="24" t="n"/>
      <c r="CH511" s="24" t="n"/>
      <c r="CI511" s="24" t="n"/>
      <c r="CJ511" s="24" t="n"/>
      <c r="CK511" s="24" t="n"/>
      <c r="CL511" s="24" t="n"/>
      <c r="CM511" s="24" t="n"/>
      <c r="CN511" s="24" t="n"/>
      <c r="CO511" s="24" t="n"/>
      <c r="CP511" s="24" t="n"/>
      <c r="CQ511" s="24" t="n"/>
      <c r="CR511" s="24" t="n"/>
      <c r="CS511" s="24" t="inlineStr">
        <is>
          <t>True</t>
        </is>
      </c>
      <c r="CT511" s="24" t="n"/>
      <c r="CU511" s="24" t="n"/>
      <c r="CV511" s="24" t="n"/>
      <c r="CW511" s="24" t="n"/>
      <c r="CX511" s="24" t="n"/>
      <c r="CY511" s="24" t="n"/>
      <c r="CZ511" s="24" t="n"/>
      <c r="DA511" s="24" t="n"/>
      <c r="DB511" s="24" t="n"/>
      <c r="DC511" s="24" t="n"/>
      <c r="DD511" s="24" t="n"/>
      <c r="DE511" s="24" t="n"/>
      <c r="DF511" s="24" t="n"/>
      <c r="DG511" s="24" t="n"/>
      <c r="DH511" s="24" t="n"/>
      <c r="DI511" s="24" t="n"/>
      <c r="DJ511" s="24" t="inlineStr">
        <is>
          <t>0.243902</t>
        </is>
      </c>
      <c r="DK511" s="24" t="n"/>
      <c r="DL511" s="24" t="n"/>
      <c r="DM511" s="24" t="n"/>
      <c r="DN511" s="24" t="n"/>
      <c r="DO511" s="24" t="n"/>
      <c r="DP511" s="24" t="n"/>
      <c r="DQ511" s="24" t="inlineStr">
        <is>
          <t>{"artifact_hash": "1d168f11d221cd3c", "event_id": "401864511", "event_start_utc": "2026-09-26T18:00Z", "features": {"altitude_fatigue_penalty": 0.0, "away_team": "Northern Illinois Huskies", "efficiency_gap": 1.723, "elo_away": 1300.6, "elo_home": 1083.9, "elo_home_win_prob": 0.2946, "event_id": "401864511", "game_start_utc": "2026-09-26T18:00Z", "home_field_advantage_points": 2.8, "home_team": "Georgia State Panthers", "is_dome": false, "is_fbs_vs_fcs": false, "is_neutral_site": false, "projected_away_points": 29.0, "projected_home_points": 22.8, "projected_margin_home": -6.2, "projected_possessions": 12.4, "projected_total": 51.7, "stadium_elevation_ft": 980, "travel_distance_miles": 615.0, "uncertainty": 0.18, "weather_total_adjustment": 0.0}, "historical_source_observation_times_verified": false, "inference_inputs": {"engine_source_sha256": "449ba2f0e86fa9c445730076a0e0bf100fb4914620be53c75c6f3bfe24298f3f", "mu_away": 29.0, "mu_home": 22.8,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664453506306908290989545201684430993}, "uinteger": 0}, "spread_home_line": -10.5, "total_line": 56.5}, "market_type": "moneyline", "model_version": "college-football-v1", "observed_at_utc": "2026-09-26T15:01:01.506546+00:00", "probabilities": {"away": 0.635032, "home": 0.364968}, "replay_scope": "Full precision score means, exact engine parameters and original RNG state; upstream feature construction not certified.", "schema": "cfb-joint-replay-v1", "snapshot_hash": "3ca62f3dfaa7ed03716c7205be32c6651eb0a4761e43e4fc56376a1b3ad54441", "sport": "NCAAF"}</t>
        </is>
      </c>
    </row>
    <row r="512" ht="36" customHeight="1">
      <c r="A512" s="24" t="inlineStr">
        <is>
          <t>901d6ab3a4c04eb7</t>
        </is>
      </c>
      <c r="B512" s="24" t="inlineStr">
        <is>
          <t>2026-09-26T15:01:01.506546Z</t>
        </is>
      </c>
      <c r="C512" s="24" t="inlineStr">
        <is>
          <t>2026-09-26T18:00Z</t>
        </is>
      </c>
      <c r="D512" s="24" t="inlineStr">
        <is>
          <t>401864511</t>
        </is>
      </c>
      <c r="E512" s="24" t="inlineStr">
        <is>
          <t>NCAAF</t>
        </is>
      </c>
      <c r="F512" s="24" t="inlineStr">
        <is>
          <t>Northern Illinois Huskies</t>
        </is>
      </c>
      <c r="G512" s="24" t="inlineStr">
        <is>
          <t>Georgia State Panthers</t>
        </is>
      </c>
      <c r="H512" s="24" t="inlineStr">
        <is>
          <t>spread</t>
        </is>
      </c>
      <c r="I512" s="24" t="inlineStr">
        <is>
          <t>away</t>
        </is>
      </c>
      <c r="J512" s="25" t="n">
        <v>10.5</v>
      </c>
      <c r="K512" s="24" t="inlineStr">
        <is>
          <t>espn_consensus</t>
        </is>
      </c>
      <c r="L512" s="26" t="n">
        <v>-118</v>
      </c>
      <c r="M512" s="27" t="n">
        <v>1.847458</v>
      </c>
      <c r="N512" s="28" t="n">
        <v>0.541284</v>
      </c>
      <c r="O512" s="28" t="n">
        <v>0.806333</v>
      </c>
      <c r="P512" s="28" t="n">
        <v>0.18</v>
      </c>
      <c r="Q512" s="28" t="n">
        <v>0.265049</v>
      </c>
      <c r="R512" s="26" t="n">
        <v>75</v>
      </c>
      <c r="S512" s="29" t="n">
        <v>1.5</v>
      </c>
      <c r="T512" s="24" t="inlineStr">
        <is>
          <t>cfb-spread-v1</t>
        </is>
      </c>
      <c r="U512" s="24" t="inlineStr">
        <is>
          <t>settled</t>
        </is>
      </c>
      <c r="V512" s="24" t="inlineStr">
        <is>
          <t>loss</t>
        </is>
      </c>
      <c r="W512" s="26" t="n">
        <v>14</v>
      </c>
      <c r="X512" s="26" t="n">
        <v>35</v>
      </c>
      <c r="Y512" s="25" t="n"/>
      <c r="Z512" s="26" t="n"/>
      <c r="AA512" s="28" t="n"/>
      <c r="AB512" s="28" t="n"/>
      <c r="AC512" s="30" t="n">
        <v>-1.5</v>
      </c>
      <c r="AD512" s="24" t="inlineStr">
        <is>
          <t>2026-09-26T22:00:59.268051Z</t>
        </is>
      </c>
      <c r="AE512" s="31" t="inlineStr">
        <is>
          <t>Projected home margin -6.2 pts. Spread: Home -10.5 / Away +10.5 -&gt; P(Away cover)=0.806, P(Home cover)=0.194, P(Push)=0.000.</t>
        </is>
      </c>
      <c r="AF512" s="31" t="inlineStr">
        <is>
          <t>College football model; multi-market (moneyline, spread, total).</t>
        </is>
      </c>
      <c r="AG512" s="24" t="inlineStr">
        <is>
          <t>review_required</t>
        </is>
      </c>
      <c r="AH512" s="24" t="n"/>
      <c r="AI512" s="31" t="n"/>
      <c r="AJ512" s="31" t="n"/>
      <c r="AK512" s="24" t="inlineStr">
        <is>
          <t>model_qualified</t>
        </is>
      </c>
      <c r="AL512" s="26" t="n">
        <v>4</v>
      </c>
      <c r="AM512" s="24" t="inlineStr">
        <is>
          <t>QUALIFIED_SHADOW_CALL</t>
        </is>
      </c>
      <c r="AN512" s="24" t="inlineStr">
        <is>
          <t>CALL</t>
        </is>
      </c>
      <c r="AO512" s="24" t="inlineStr">
        <is>
          <t>QUALIFIED</t>
        </is>
      </c>
      <c r="AP512" s="24" t="inlineStr">
        <is>
          <t>Northern Illinois Huskies</t>
        </is>
      </c>
      <c r="AQ512" s="24" t="inlineStr">
        <is>
          <t>Northern Illinois Huskies</t>
        </is>
      </c>
      <c r="AR512" s="24" t="inlineStr">
        <is>
          <t>Northern Illinois Huskies</t>
        </is>
      </c>
      <c r="AS512" s="24" t="inlineStr">
        <is>
          <t>Georgia State Panthers</t>
        </is>
      </c>
      <c r="AT512" s="24" t="inlineStr">
        <is>
          <t>Georgia State Panthers</t>
        </is>
      </c>
      <c r="AU512" s="24" t="inlineStr">
        <is>
          <t>Georgia State Panthers</t>
        </is>
      </c>
      <c r="AV512" s="24" t="n"/>
      <c r="AW512" s="24" t="n"/>
      <c r="AX512" s="24" t="inlineStr">
        <is>
          <t>statistical_model</t>
        </is>
      </c>
      <c r="AY512" s="24" t="n"/>
      <c r="AZ512" s="24" t="inlineStr">
        <is>
          <t>shadow_qualified</t>
        </is>
      </c>
      <c r="BA512" s="24" t="inlineStr">
        <is>
          <t>1d168f11d221cd3c</t>
        </is>
      </c>
      <c r="BB512" s="24" t="inlineStr">
        <is>
          <t>cfb_key_number_engine</t>
        </is>
      </c>
      <c r="BC512" s="24" t="inlineStr">
        <is>
          <t>cfb-spread-v1</t>
        </is>
      </c>
      <c r="BD512" s="24" t="inlineStr">
        <is>
          <t>1d168f11d221cd3c</t>
        </is>
      </c>
      <c r="BE512" s="24" t="inlineStr">
        <is>
          <t>cfb-v1</t>
        </is>
      </c>
      <c r="BF512" s="24" t="inlineStr">
        <is>
          <t>1</t>
        </is>
      </c>
      <c r="BG512" s="24" t="inlineStr">
        <is>
          <t>1d168f11d221cd3c</t>
        </is>
      </c>
      <c r="BH512" s="24" t="inlineStr">
        <is>
          <t>2026-09-26T15:01:01.506546+00:00</t>
        </is>
      </c>
      <c r="BI512" s="24" t="inlineStr">
        <is>
          <t>["same_event","same_team_same_day","same_league_same_day"]</t>
        </is>
      </c>
      <c r="BJ512" s="25" t="n">
        <v>10.5</v>
      </c>
      <c r="BK512" s="26" t="n">
        <v>-118</v>
      </c>
      <c r="BL512" s="27" t="n">
        <v>1.847458</v>
      </c>
      <c r="BM512" s="28" t="n">
        <v>0.541284</v>
      </c>
      <c r="BN512" s="28" t="n"/>
      <c r="BO512" s="28" t="n"/>
      <c r="BP512" s="25" t="n"/>
      <c r="BQ512" s="27" t="n"/>
      <c r="BR512" s="28" t="n"/>
      <c r="BS512" s="28" t="n"/>
      <c r="BT512" s="28" t="n"/>
      <c r="BU512" s="25" t="n"/>
      <c r="BV512" s="29" t="n"/>
      <c r="BW512" s="24" t="n"/>
      <c r="BX512" s="30" t="n"/>
      <c r="BY512" s="27" t="n"/>
      <c r="BZ512" s="24" t="n"/>
      <c r="CA512" s="31" t="n"/>
      <c r="CB512" s="24" t="n"/>
      <c r="CC512" s="24" t="n"/>
      <c r="CD512" s="24" t="n"/>
      <c r="CE512" s="24" t="n"/>
      <c r="CF512" s="24" t="n"/>
      <c r="CG512" s="24" t="n"/>
      <c r="CH512" s="24" t="n"/>
      <c r="CI512" s="24" t="n"/>
      <c r="CJ512" s="24" t="n"/>
      <c r="CK512" s="24" t="n"/>
      <c r="CL512" s="24" t="n"/>
      <c r="CM512" s="24" t="n"/>
      <c r="CN512" s="24" t="n"/>
      <c r="CO512" s="24" t="n"/>
      <c r="CP512" s="24" t="n"/>
      <c r="CQ512" s="24" t="n"/>
      <c r="CR512" s="24" t="n"/>
      <c r="CS512" s="24" t="inlineStr">
        <is>
          <t>True</t>
        </is>
      </c>
      <c r="CT512" s="24" t="n"/>
      <c r="CU512" s="24" t="n"/>
      <c r="CV512" s="24" t="n"/>
      <c r="CW512" s="24" t="n"/>
      <c r="CX512" s="24" t="n"/>
      <c r="CY512" s="24" t="n"/>
      <c r="CZ512" s="24" t="n"/>
      <c r="DA512" s="24" t="n"/>
      <c r="DB512" s="24" t="n"/>
      <c r="DC512" s="24" t="n"/>
      <c r="DD512" s="24" t="n"/>
      <c r="DE512" s="24" t="n"/>
      <c r="DF512" s="24" t="n"/>
      <c r="DG512" s="24" t="n"/>
      <c r="DH512" s="24" t="n"/>
      <c r="DI512" s="24" t="n"/>
      <c r="DJ512" s="24" t="inlineStr">
        <is>
          <t>0.541284</t>
        </is>
      </c>
      <c r="DK512" s="24" t="n"/>
      <c r="DL512" s="24" t="n"/>
      <c r="DM512" s="24" t="n"/>
      <c r="DN512" s="24" t="n"/>
      <c r="DO512" s="24" t="n"/>
      <c r="DP512" s="24" t="n"/>
      <c r="DQ512" s="24" t="inlineStr">
        <is>
          <t>{"artifact_hash": "1d168f11d221cd3c", "event_id": "401864511", "event_start_utc": "2026-09-26T18:00Z", "features": {"altitude_fatigue_penalty": 0.0, "away_team": "Northern Illinois Huskies", "efficiency_gap": 1.723, "elo_away": 1300.6, "elo_home": 1083.9, "elo_home_win_prob": 0.2946, "event_id": "401864511", "game_start_utc": "2026-09-26T18:00Z", "home_field_advantage_points": 2.8, "home_team": "Georgia State Panthers", "is_dome": false, "is_fbs_vs_fcs": false, "is_neutral_site": false, "projected_away_points": 29.0, "projected_home_points": 22.8, "projected_margin_home": -6.2, "projected_possessions": 12.4, "projected_total": 51.7, "stadium_elevation_ft": 980, "travel_distance_miles": 615.0, "uncertainty": 0.18, "weather_total_adjustment": 0.0}, "historical_source_observation_times_verified": false, "inference_inputs": {"engine_source_sha256": "449ba2f0e86fa9c445730076a0e0bf100fb4914620be53c75c6f3bfe24298f3f", "mu_away": 29.0, "mu_home": 22.8,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664453506306908290989545201684430993}, "uinteger": 0}, "spread_home_line": -10.5, "total_line": 56.5}, "market_type": "spread", "model_version": "cfb-spread-v1", "observed_at_utc": "2026-09-26T15:01:01.506546+00:00", "probabilities": {"away": 0.806333, "home": 0.193667, "push": 0.0}, "replay_scope": "Full precision score means, exact engine parameters and original RNG state; upstream feature construction not certified.", "schema": "cfb-joint-replay-v1", "snapshot_hash": "254f2a84a68667995cd6e3878fa8306a613d431c58cfff8c39ba14d45a38598d", "sport": "NCAAF"}</t>
        </is>
      </c>
    </row>
    <row r="513" ht="36" customHeight="1">
      <c r="A513" s="24" t="inlineStr">
        <is>
          <t>c164ce8e3a2d4259</t>
        </is>
      </c>
      <c r="B513" s="24" t="inlineStr">
        <is>
          <t>2026-09-26T15:01:01.506546Z</t>
        </is>
      </c>
      <c r="C513" s="24" t="inlineStr">
        <is>
          <t>2026-09-26T18:00Z</t>
        </is>
      </c>
      <c r="D513" s="24" t="inlineStr">
        <is>
          <t>401864511</t>
        </is>
      </c>
      <c r="E513" s="24" t="inlineStr">
        <is>
          <t>NCAAF</t>
        </is>
      </c>
      <c r="F513" s="24" t="inlineStr">
        <is>
          <t>Northern Illinois Huskies</t>
        </is>
      </c>
      <c r="G513" s="24" t="inlineStr">
        <is>
          <t>Georgia State Panthers</t>
        </is>
      </c>
      <c r="H513" s="24" t="inlineStr">
        <is>
          <t>total</t>
        </is>
      </c>
      <c r="I513" s="24" t="inlineStr">
        <is>
          <t>under</t>
        </is>
      </c>
      <c r="J513" s="25" t="n">
        <v>56.5</v>
      </c>
      <c r="K513" s="24" t="inlineStr">
        <is>
          <t>espn_consensus</t>
        </is>
      </c>
      <c r="L513" s="26" t="n">
        <v>-110</v>
      </c>
      <c r="M513" s="27" t="n">
        <v>1.909091</v>
      </c>
      <c r="N513" s="28" t="n">
        <v>0.52381</v>
      </c>
      <c r="O513" s="28" t="n">
        <v>0.605533</v>
      </c>
      <c r="P513" s="28" t="n">
        <v>0.18</v>
      </c>
      <c r="Q513" s="28" t="n">
        <v>0.081723</v>
      </c>
      <c r="R513" s="26" t="n">
        <v>0</v>
      </c>
      <c r="S513" s="29" t="n">
        <v>1</v>
      </c>
      <c r="T513" s="24" t="inlineStr">
        <is>
          <t>cfb-total-v1</t>
        </is>
      </c>
      <c r="U513" s="24" t="inlineStr">
        <is>
          <t>settled</t>
        </is>
      </c>
      <c r="V513" s="24" t="inlineStr">
        <is>
          <t>win</t>
        </is>
      </c>
      <c r="W513" s="26" t="n">
        <v>14</v>
      </c>
      <c r="X513" s="26" t="n">
        <v>35</v>
      </c>
      <c r="Y513" s="25" t="n"/>
      <c r="Z513" s="26" t="n"/>
      <c r="AA513" s="28" t="n"/>
      <c r="AB513" s="28" t="n"/>
      <c r="AC513" s="30" t="n">
        <v>0.9091</v>
      </c>
      <c r="AD513" s="24" t="inlineStr">
        <is>
          <t>2026-09-26T22:00:59.886184Z</t>
        </is>
      </c>
      <c r="AE513" s="31" t="inlineStr">
        <is>
          <t>Projected total 51.7 pts (Weather adj: +0.0 pts). Total line 56.5 -&gt; P(Over)=0.394, P(Under)=0.606, P(Push)=0.000.</t>
        </is>
      </c>
      <c r="AF513" s="31" t="inlineStr">
        <is>
          <t>College football model; multi-market (moneyline, spread, total).</t>
        </is>
      </c>
      <c r="AG513" s="24" t="inlineStr">
        <is>
          <t>not_applicable</t>
        </is>
      </c>
      <c r="AH513" s="24" t="n"/>
      <c r="AI513" s="31" t="n"/>
      <c r="AJ513" s="31" t="n"/>
      <c r="AK513" s="24" t="inlineStr">
        <is>
          <t>model_qualified</t>
        </is>
      </c>
      <c r="AL513" s="26" t="n">
        <v>4</v>
      </c>
      <c r="AM513" s="24" t="inlineStr">
        <is>
          <t>QUALIFIED_SHADOW_CALL</t>
        </is>
      </c>
      <c r="AN513" s="24" t="inlineStr">
        <is>
          <t>CALL</t>
        </is>
      </c>
      <c r="AO513" s="24" t="inlineStr">
        <is>
          <t>QUALIFIED</t>
        </is>
      </c>
      <c r="AP513" s="24" t="inlineStr">
        <is>
          <t>Northern Illinois Huskies</t>
        </is>
      </c>
      <c r="AQ513" s="24" t="inlineStr">
        <is>
          <t>Northern Illinois Huskies</t>
        </is>
      </c>
      <c r="AR513" s="24" t="inlineStr">
        <is>
          <t>Northern Illinois Huskies</t>
        </is>
      </c>
      <c r="AS513" s="24" t="inlineStr">
        <is>
          <t>Georgia State Panthers</t>
        </is>
      </c>
      <c r="AT513" s="24" t="inlineStr">
        <is>
          <t>Georgia State Panthers</t>
        </is>
      </c>
      <c r="AU513" s="24" t="inlineStr">
        <is>
          <t>Georgia State Panthers</t>
        </is>
      </c>
      <c r="AV513" s="24" t="n"/>
      <c r="AW513" s="24" t="n"/>
      <c r="AX513" s="24" t="inlineStr">
        <is>
          <t>statistical_model</t>
        </is>
      </c>
      <c r="AY513" s="24" t="n"/>
      <c r="AZ513" s="24" t="inlineStr">
        <is>
          <t>shadow_qualified</t>
        </is>
      </c>
      <c r="BA513" s="24" t="inlineStr">
        <is>
          <t>1d168f11d221cd3c</t>
        </is>
      </c>
      <c r="BB513" s="24" t="inlineStr">
        <is>
          <t>cfb_key_number_engine</t>
        </is>
      </c>
      <c r="BC513" s="24" t="inlineStr">
        <is>
          <t>cfb-total-v1</t>
        </is>
      </c>
      <c r="BD513" s="24" t="inlineStr">
        <is>
          <t>1d168f11d221cd3c</t>
        </is>
      </c>
      <c r="BE513" s="24" t="inlineStr">
        <is>
          <t>cfb-v1</t>
        </is>
      </c>
      <c r="BF513" s="24" t="inlineStr">
        <is>
          <t>1</t>
        </is>
      </c>
      <c r="BG513" s="24" t="inlineStr">
        <is>
          <t>1d168f11d221cd3c</t>
        </is>
      </c>
      <c r="BH513" s="24" t="inlineStr">
        <is>
          <t>2026-09-26T15:01:01.506546+00:00</t>
        </is>
      </c>
      <c r="BI513" s="24" t="inlineStr">
        <is>
          <t>["same_event","same_team_same_day","same_league_same_day"]</t>
        </is>
      </c>
      <c r="BJ513" s="25" t="n">
        <v>56.5</v>
      </c>
      <c r="BK513" s="26" t="n">
        <v>-110</v>
      </c>
      <c r="BL513" s="27" t="n">
        <v>1.909091</v>
      </c>
      <c r="BM513" s="28" t="n">
        <v>0.52381</v>
      </c>
      <c r="BN513" s="28" t="n"/>
      <c r="BO513" s="28" t="n"/>
      <c r="BP513" s="25" t="n"/>
      <c r="BQ513" s="27" t="n"/>
      <c r="BR513" s="28" t="n"/>
      <c r="BS513" s="28" t="n"/>
      <c r="BT513" s="28" t="n"/>
      <c r="BU513" s="25" t="n"/>
      <c r="BV513" s="29" t="n"/>
      <c r="BW513" s="24" t="n"/>
      <c r="BX513" s="30" t="n"/>
      <c r="BY513" s="27" t="n"/>
      <c r="BZ513" s="24" t="n"/>
      <c r="CA513" s="31" t="n"/>
      <c r="CB513" s="24" t="n"/>
      <c r="CC513" s="24" t="n"/>
      <c r="CD513" s="24" t="n"/>
      <c r="CE513" s="24" t="n"/>
      <c r="CF513" s="24" t="n"/>
      <c r="CG513" s="24" t="n"/>
      <c r="CH513" s="24" t="n"/>
      <c r="CI513" s="24" t="n"/>
      <c r="CJ513" s="24" t="n"/>
      <c r="CK513" s="24" t="n"/>
      <c r="CL513" s="24" t="n"/>
      <c r="CM513" s="24" t="n"/>
      <c r="CN513" s="24" t="n"/>
      <c r="CO513" s="24" t="n"/>
      <c r="CP513" s="24" t="n"/>
      <c r="CQ513" s="24" t="n"/>
      <c r="CR513" s="24" t="n"/>
      <c r="CS513" s="24" t="inlineStr">
        <is>
          <t>True</t>
        </is>
      </c>
      <c r="CT513" s="24" t="n"/>
      <c r="CU513" s="24" t="n"/>
      <c r="CV513" s="24" t="n"/>
      <c r="CW513" s="24" t="n"/>
      <c r="CX513" s="24" t="n"/>
      <c r="CY513" s="24" t="n"/>
      <c r="CZ513" s="24" t="n"/>
      <c r="DA513" s="24" t="n"/>
      <c r="DB513" s="24" t="n"/>
      <c r="DC513" s="24" t="n"/>
      <c r="DD513" s="24" t="n"/>
      <c r="DE513" s="24" t="n"/>
      <c r="DF513" s="24" t="n"/>
      <c r="DG513" s="24" t="n"/>
      <c r="DH513" s="24" t="n"/>
      <c r="DI513" s="24" t="n"/>
      <c r="DJ513" s="24" t="inlineStr">
        <is>
          <t>0.52381</t>
        </is>
      </c>
      <c r="DK513" s="24" t="n"/>
      <c r="DL513" s="24" t="n"/>
      <c r="DM513" s="24" t="n"/>
      <c r="DN513" s="24" t="n"/>
      <c r="DO513" s="24" t="n"/>
      <c r="DP513" s="24" t="n"/>
      <c r="DQ513" s="24" t="inlineStr">
        <is>
          <t>{"artifact_hash": "1d168f11d221cd3c", "event_id": "401864511", "event_start_utc": "2026-09-26T18:00Z", "features": {"altitude_fatigue_penalty": 0.0, "away_team": "Northern Illinois Huskies", "efficiency_gap": 1.723, "elo_away": 1300.6, "elo_home": 1083.9, "elo_home_win_prob": 0.2946, "event_id": "401864511", "game_start_utc": "2026-09-26T18:00Z", "home_field_advantage_points": 2.8, "home_team": "Georgia State Panthers", "is_dome": false, "is_fbs_vs_fcs": false, "is_neutral_site": false, "projected_away_points": 29.0, "projected_home_points": 22.8, "projected_margin_home": -6.2, "projected_possessions": 12.4, "projected_total": 51.7, "stadium_elevation_ft": 980, "travel_distance_miles": 615.0, "uncertainty": 0.18, "weather_total_adjustment": 0.0}, "historical_source_observation_times_verified": false, "inference_inputs": {"engine_source_sha256": "449ba2f0e86fa9c445730076a0e0bf100fb4914620be53c75c6f3bfe24298f3f", "mu_away": 29.0, "mu_home": 22.8,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664453506306908290989545201684430993}, "uinteger": 0}, "spread_home_line": -10.5, "total_line": 56.5}, "market_type": "total", "model_version": "cfb-total-v1", "observed_at_utc": "2026-09-26T15:01:01.506546+00:00", "probabilities": {"over": 0.394467, "push": 0.0, "under": 0.605533}, "replay_scope": "Full precision score means, exact engine parameters and original RNG state; upstream feature construction not certified.", "schema": "cfb-joint-replay-v1", "snapshot_hash": "e4e75cd701e814e1e4d51195e441cbde36d28885d3038c46b393ab59cb3538c5", "sport": "NCAAF"}</t>
        </is>
      </c>
    </row>
    <row r="514" ht="36" customHeight="1">
      <c r="A514" s="24" t="inlineStr">
        <is>
          <t>86c05f8829ad445b</t>
        </is>
      </c>
      <c r="B514" s="24" t="inlineStr">
        <is>
          <t>2026-09-26T15:01:01.506546Z</t>
        </is>
      </c>
      <c r="C514" s="24" t="inlineStr">
        <is>
          <t>2026-09-26T19:00Z</t>
        </is>
      </c>
      <c r="D514" s="24" t="inlineStr">
        <is>
          <t>401858237</t>
        </is>
      </c>
      <c r="E514" s="24" t="inlineStr">
        <is>
          <t>NCAAF</t>
        </is>
      </c>
      <c r="F514" s="24" t="inlineStr">
        <is>
          <t>Central Arkansas Bears</t>
        </is>
      </c>
      <c r="G514" s="24" t="inlineStr">
        <is>
          <t>Florida State Seminoles</t>
        </is>
      </c>
      <c r="H514" s="24" t="inlineStr">
        <is>
          <t>spread</t>
        </is>
      </c>
      <c r="I514" s="24" t="inlineStr">
        <is>
          <t>away</t>
        </is>
      </c>
      <c r="J514" s="25" t="n">
        <v>45.5</v>
      </c>
      <c r="K514" s="24" t="inlineStr">
        <is>
          <t>espn_consensus</t>
        </is>
      </c>
      <c r="L514" s="26" t="n">
        <v>-108</v>
      </c>
      <c r="M514" s="27" t="n">
        <v>1.925926</v>
      </c>
      <c r="N514" s="28" t="n">
        <v>0.519231</v>
      </c>
      <c r="O514" s="28" t="n">
        <v>0.9614</v>
      </c>
      <c r="P514" s="28" t="n">
        <v>0.18</v>
      </c>
      <c r="Q514" s="28" t="n">
        <v>0.442169</v>
      </c>
      <c r="R514" s="26" t="n">
        <v>100</v>
      </c>
      <c r="S514" s="29" t="n">
        <v>2</v>
      </c>
      <c r="T514" s="24" t="inlineStr">
        <is>
          <t>cfb-spread-v1</t>
        </is>
      </c>
      <c r="U514" s="24" t="inlineStr">
        <is>
          <t>settled</t>
        </is>
      </c>
      <c r="V514" s="24" t="inlineStr">
        <is>
          <t>win</t>
        </is>
      </c>
      <c r="W514" s="26" t="n">
        <v>7</v>
      </c>
      <c r="X514" s="26" t="n">
        <v>34</v>
      </c>
      <c r="Y514" s="25" t="n"/>
      <c r="Z514" s="26" t="n"/>
      <c r="AA514" s="28" t="n"/>
      <c r="AB514" s="28" t="n"/>
      <c r="AC514" s="30" t="n">
        <v>1.8519</v>
      </c>
      <c r="AD514" s="24" t="inlineStr">
        <is>
          <t>2026-09-27T04:30:26.135268Z</t>
        </is>
      </c>
      <c r="AE514" s="31" t="inlineStr">
        <is>
          <t>Projected home margin +7.6 pts. Spread: Home -45.5 / Away +45.5 -&gt; P(Away cover)=0.961, P(Home cover)=0.039, P(Push)=0.000.</t>
        </is>
      </c>
      <c r="AF514" s="31" t="inlineStr">
        <is>
          <t>College football model; multi-market (moneyline, spread, total).</t>
        </is>
      </c>
      <c r="AG514" s="24" t="inlineStr">
        <is>
          <t>not_applicable</t>
        </is>
      </c>
      <c r="AH514" s="24" t="n"/>
      <c r="AI514" s="31" t="n"/>
      <c r="AJ514" s="31" t="n"/>
      <c r="AK514" s="24" t="inlineStr">
        <is>
          <t>model_qualified</t>
        </is>
      </c>
      <c r="AL514" s="26" t="n">
        <v>4</v>
      </c>
      <c r="AM514" s="24" t="inlineStr">
        <is>
          <t>QUALIFIED_SHADOW_CALL</t>
        </is>
      </c>
      <c r="AN514" s="24" t="inlineStr">
        <is>
          <t>CALL</t>
        </is>
      </c>
      <c r="AO514" s="24" t="inlineStr">
        <is>
          <t>QUALIFIED</t>
        </is>
      </c>
      <c r="AP514" s="24" t="inlineStr">
        <is>
          <t>Central Arkansas Bears</t>
        </is>
      </c>
      <c r="AQ514" s="24" t="inlineStr">
        <is>
          <t>Central Arkansas Bears</t>
        </is>
      </c>
      <c r="AR514" s="24" t="inlineStr">
        <is>
          <t>Central Arkansas Bears</t>
        </is>
      </c>
      <c r="AS514" s="24" t="inlineStr">
        <is>
          <t>Florida State Seminoles</t>
        </is>
      </c>
      <c r="AT514" s="24" t="inlineStr">
        <is>
          <t>Florida State Seminoles</t>
        </is>
      </c>
      <c r="AU514" s="24" t="inlineStr">
        <is>
          <t>Florida State Seminoles</t>
        </is>
      </c>
      <c r="AV514" s="24" t="n"/>
      <c r="AW514" s="24" t="n"/>
      <c r="AX514" s="24" t="inlineStr">
        <is>
          <t>statistical_model</t>
        </is>
      </c>
      <c r="AY514" s="24" t="n"/>
      <c r="AZ514" s="24" t="inlineStr">
        <is>
          <t>shadow_qualified</t>
        </is>
      </c>
      <c r="BA514" s="24" t="inlineStr">
        <is>
          <t>1d168f11d221cd3c</t>
        </is>
      </c>
      <c r="BB514" s="24" t="inlineStr">
        <is>
          <t>cfb_key_number_engine</t>
        </is>
      </c>
      <c r="BC514" s="24" t="inlineStr">
        <is>
          <t>cfb-spread-v1</t>
        </is>
      </c>
      <c r="BD514" s="24" t="inlineStr">
        <is>
          <t>1d168f11d221cd3c</t>
        </is>
      </c>
      <c r="BE514" s="24" t="inlineStr">
        <is>
          <t>cfb-v1</t>
        </is>
      </c>
      <c r="BF514" s="24" t="inlineStr">
        <is>
          <t>1</t>
        </is>
      </c>
      <c r="BG514" s="24" t="inlineStr">
        <is>
          <t>1d168f11d221cd3c</t>
        </is>
      </c>
      <c r="BH514" s="24" t="inlineStr">
        <is>
          <t>2026-09-26T15:01:01.506546+00:00</t>
        </is>
      </c>
      <c r="BI514" s="24" t="inlineStr">
        <is>
          <t>["same_event","same_team_same_day","same_league_same_day"]</t>
        </is>
      </c>
      <c r="BJ514" s="25" t="n">
        <v>45.5</v>
      </c>
      <c r="BK514" s="26" t="n">
        <v>-108</v>
      </c>
      <c r="BL514" s="27" t="n">
        <v>1.925926</v>
      </c>
      <c r="BM514" s="28" t="n">
        <v>0.519231</v>
      </c>
      <c r="BN514" s="28" t="n"/>
      <c r="BO514" s="28" t="n"/>
      <c r="BP514" s="25" t="n"/>
      <c r="BQ514" s="27" t="n"/>
      <c r="BR514" s="28" t="n"/>
      <c r="BS514" s="28" t="n"/>
      <c r="BT514" s="28" t="n"/>
      <c r="BU514" s="25" t="n"/>
      <c r="BV514" s="29" t="n"/>
      <c r="BW514" s="24" t="n"/>
      <c r="BX514" s="30" t="n"/>
      <c r="BY514" s="27" t="n"/>
      <c r="BZ514" s="24" t="n"/>
      <c r="CA514" s="31" t="n"/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  <c r="CL514" s="24" t="n"/>
      <c r="CM514" s="24" t="n"/>
      <c r="CN514" s="24" t="n"/>
      <c r="CO514" s="24" t="n"/>
      <c r="CP514" s="24" t="n"/>
      <c r="CQ514" s="24" t="n"/>
      <c r="CR514" s="24" t="n"/>
      <c r="CS514" s="24" t="inlineStr">
        <is>
          <t>True</t>
        </is>
      </c>
      <c r="CT514" s="24" t="n"/>
      <c r="CU514" s="24" t="n"/>
      <c r="CV514" s="24" t="n"/>
      <c r="CW514" s="24" t="n"/>
      <c r="CX514" s="24" t="n"/>
      <c r="CY514" s="24" t="n"/>
      <c r="CZ514" s="24" t="n"/>
      <c r="DA514" s="24" t="n"/>
      <c r="DB514" s="24" t="n"/>
      <c r="DC514" s="24" t="n"/>
      <c r="DD514" s="24" t="n"/>
      <c r="DE514" s="24" t="n"/>
      <c r="DF514" s="24" t="n"/>
      <c r="DG514" s="24" t="n"/>
      <c r="DH514" s="24" t="n"/>
      <c r="DI514" s="24" t="n"/>
      <c r="DJ514" s="24" t="inlineStr">
        <is>
          <t>0.519231</t>
        </is>
      </c>
      <c r="DK514" s="24" t="n"/>
      <c r="DL514" s="24" t="n"/>
      <c r="DM514" s="24" t="n"/>
      <c r="DN514" s="24" t="n"/>
      <c r="DO514" s="24" t="n"/>
      <c r="DP514" s="24" t="n"/>
      <c r="DQ514" s="24" t="inlineStr">
        <is>
          <t>{"artifact_hash": "1d168f11d221cd3c", "event_id": "401858237", "event_start_utc": "2026-09-26T19:00Z", "features": {"altitude_fatigue_penalty": 0.0, "away_team": "Central Arkansas Bears", "efficiency_gap": 1.7, "elo_away": 1337.5, "elo_home": 1458.5, "elo_home_win_prob": 0.7447, "event_id": "401858237", "game_start_utc": "2026-09-26T19:00Z", "home_field_advantage_points": 2.8, "home_team": "Florida State Seminoles", "is_dome": false, "is_fbs_vs_fcs": false, "is_neutral_site": false, "projected_away_points": 23.2, "projected_home_points": 30.7, "projected_margin_home": 7.6, "projected_possessions": 12.4, "projected_total": 53.9,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23.2, "mu_home": 30.7,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20365977341044354999632938585311278375}, "uinteger": 0}, "spread_home_line": -45.5, "total_line": 62.5}, "market_type": "spread", "model_version": "cfb-spread-v1", "observed_at_utc": "2026-09-26T15:01:01.506546+00:00", "probabilities": {"away": 0.9614, "home": 0.0386, "push": 0.0}, "replay_scope": "Full precision score means, exact engine parameters and original RNG state; upstream feature construction not certified.", "schema": "cfb-joint-replay-v1", "snapshot_hash": "26e4a3e4eb422ade85dcff5ec42fabd9dcb42aaa795ce79179f68c482902fe42", "sport": "NCAAF"}</t>
        </is>
      </c>
    </row>
    <row r="515" ht="36" customHeight="1">
      <c r="A515" s="24" t="inlineStr">
        <is>
          <t>675f695803dc4e1c</t>
        </is>
      </c>
      <c r="B515" s="24" t="inlineStr">
        <is>
          <t>2026-09-26T15:01:01.506546Z</t>
        </is>
      </c>
      <c r="C515" s="24" t="inlineStr">
        <is>
          <t>2026-09-26T19:00Z</t>
        </is>
      </c>
      <c r="D515" s="24" t="inlineStr">
        <is>
          <t>401858237</t>
        </is>
      </c>
      <c r="E515" s="24" t="inlineStr">
        <is>
          <t>NCAAF</t>
        </is>
      </c>
      <c r="F515" s="24" t="inlineStr">
        <is>
          <t>Central Arkansas Bears</t>
        </is>
      </c>
      <c r="G515" s="24" t="inlineStr">
        <is>
          <t>Florida State Seminoles</t>
        </is>
      </c>
      <c r="H515" s="24" t="inlineStr">
        <is>
          <t>total</t>
        </is>
      </c>
      <c r="I515" s="24" t="inlineStr">
        <is>
          <t>under</t>
        </is>
      </c>
      <c r="J515" s="25" t="n">
        <v>62.5</v>
      </c>
      <c r="K515" s="24" t="inlineStr">
        <is>
          <t>espn_consensus</t>
        </is>
      </c>
      <c r="L515" s="26" t="n">
        <v>-105</v>
      </c>
      <c r="M515" s="27" t="n">
        <v>1.952381</v>
      </c>
      <c r="N515" s="28" t="n">
        <v>0.512195</v>
      </c>
      <c r="O515" s="28" t="n">
        <v>0.664533</v>
      </c>
      <c r="P515" s="28" t="n">
        <v>0.18</v>
      </c>
      <c r="Q515" s="28" t="n">
        <v>0.152338</v>
      </c>
      <c r="R515" s="26" t="n">
        <v>18</v>
      </c>
      <c r="S515" s="29" t="n">
        <v>1</v>
      </c>
      <c r="T515" s="24" t="inlineStr">
        <is>
          <t>cfb-total-v1</t>
        </is>
      </c>
      <c r="U515" s="24" t="inlineStr">
        <is>
          <t>settled</t>
        </is>
      </c>
      <c r="V515" s="24" t="inlineStr">
        <is>
          <t>win</t>
        </is>
      </c>
      <c r="W515" s="26" t="n">
        <v>7</v>
      </c>
      <c r="X515" s="26" t="n">
        <v>34</v>
      </c>
      <c r="Y515" s="25" t="n"/>
      <c r="Z515" s="26" t="n"/>
      <c r="AA515" s="28" t="n"/>
      <c r="AB515" s="28" t="n"/>
      <c r="AC515" s="30" t="n">
        <v>0.9524</v>
      </c>
      <c r="AD515" s="24" t="inlineStr">
        <is>
          <t>2026-09-27T04:30:26.717565Z</t>
        </is>
      </c>
      <c r="AE515" s="31" t="inlineStr">
        <is>
          <t>Projected total 53.9 pts (Weather adj: +0.0 pts). Total line 62.5 -&gt; P(Over)=0.335, P(Under)=0.665, P(Push)=0.000.</t>
        </is>
      </c>
      <c r="AF515" s="31" t="inlineStr">
        <is>
          <t>College football model; multi-market (moneyline, spread, total).</t>
        </is>
      </c>
      <c r="AG515" s="24" t="inlineStr">
        <is>
          <t>not_applicable</t>
        </is>
      </c>
      <c r="AH515" s="24" t="n"/>
      <c r="AI515" s="31" t="n"/>
      <c r="AJ515" s="31" t="n"/>
      <c r="AK515" s="24" t="inlineStr">
        <is>
          <t>model_qualified</t>
        </is>
      </c>
      <c r="AL515" s="26" t="n">
        <v>4</v>
      </c>
      <c r="AM515" s="24" t="inlineStr">
        <is>
          <t>QUALIFIED_SHADOW_CALL</t>
        </is>
      </c>
      <c r="AN515" s="24" t="inlineStr">
        <is>
          <t>CALL</t>
        </is>
      </c>
      <c r="AO515" s="24" t="inlineStr">
        <is>
          <t>QUALIFIED</t>
        </is>
      </c>
      <c r="AP515" s="24" t="inlineStr">
        <is>
          <t>Central Arkansas Bears</t>
        </is>
      </c>
      <c r="AQ515" s="24" t="inlineStr">
        <is>
          <t>Central Arkansas Bears</t>
        </is>
      </c>
      <c r="AR515" s="24" t="inlineStr">
        <is>
          <t>Central Arkansas Bears</t>
        </is>
      </c>
      <c r="AS515" s="24" t="inlineStr">
        <is>
          <t>Florida State Seminoles</t>
        </is>
      </c>
      <c r="AT515" s="24" t="inlineStr">
        <is>
          <t>Florida State Seminoles</t>
        </is>
      </c>
      <c r="AU515" s="24" t="inlineStr">
        <is>
          <t>Florida State Seminoles</t>
        </is>
      </c>
      <c r="AV515" s="24" t="n"/>
      <c r="AW515" s="24" t="n"/>
      <c r="AX515" s="24" t="inlineStr">
        <is>
          <t>statistical_model</t>
        </is>
      </c>
      <c r="AY515" s="24" t="n"/>
      <c r="AZ515" s="24" t="inlineStr">
        <is>
          <t>shadow_qualified</t>
        </is>
      </c>
      <c r="BA515" s="24" t="inlineStr">
        <is>
          <t>1d168f11d221cd3c</t>
        </is>
      </c>
      <c r="BB515" s="24" t="inlineStr">
        <is>
          <t>cfb_key_number_engine</t>
        </is>
      </c>
      <c r="BC515" s="24" t="inlineStr">
        <is>
          <t>cfb-total-v1</t>
        </is>
      </c>
      <c r="BD515" s="24" t="inlineStr">
        <is>
          <t>1d168f11d221cd3c</t>
        </is>
      </c>
      <c r="BE515" s="24" t="inlineStr">
        <is>
          <t>cfb-v1</t>
        </is>
      </c>
      <c r="BF515" s="24" t="inlineStr">
        <is>
          <t>1</t>
        </is>
      </c>
      <c r="BG515" s="24" t="inlineStr">
        <is>
          <t>1d168f11d221cd3c</t>
        </is>
      </c>
      <c r="BH515" s="24" t="inlineStr">
        <is>
          <t>2026-09-26T15:01:01.506546+00:00</t>
        </is>
      </c>
      <c r="BI515" s="24" t="inlineStr">
        <is>
          <t>["same_event","same_team_same_day","same_league_same_day"]</t>
        </is>
      </c>
      <c r="BJ515" s="25" t="n">
        <v>62.5</v>
      </c>
      <c r="BK515" s="26" t="n">
        <v>-105</v>
      </c>
      <c r="BL515" s="27" t="n">
        <v>1.952381</v>
      </c>
      <c r="BM515" s="28" t="n">
        <v>0.512195</v>
      </c>
      <c r="BN515" s="28" t="n"/>
      <c r="BO515" s="28" t="n"/>
      <c r="BP515" s="25" t="n"/>
      <c r="BQ515" s="27" t="n"/>
      <c r="BR515" s="28" t="n"/>
      <c r="BS515" s="28" t="n"/>
      <c r="BT515" s="28" t="n"/>
      <c r="BU515" s="25" t="n"/>
      <c r="BV515" s="29" t="n"/>
      <c r="BW515" s="24" t="n"/>
      <c r="BX515" s="30" t="n"/>
      <c r="BY515" s="27" t="n"/>
      <c r="BZ515" s="24" t="n"/>
      <c r="CA515" s="31" t="n"/>
      <c r="CB515" s="24" t="n"/>
      <c r="CC515" s="24" t="n"/>
      <c r="CD515" s="24" t="n"/>
      <c r="CE515" s="24" t="n"/>
      <c r="CF515" s="24" t="n"/>
      <c r="CG515" s="24" t="n"/>
      <c r="CH515" s="24" t="n"/>
      <c r="CI515" s="24" t="n"/>
      <c r="CJ515" s="24" t="n"/>
      <c r="CK515" s="24" t="n"/>
      <c r="CL515" s="24" t="n"/>
      <c r="CM515" s="24" t="n"/>
      <c r="CN515" s="24" t="n"/>
      <c r="CO515" s="24" t="n"/>
      <c r="CP515" s="24" t="n"/>
      <c r="CQ515" s="24" t="n"/>
      <c r="CR515" s="24" t="n"/>
      <c r="CS515" s="24" t="inlineStr">
        <is>
          <t>True</t>
        </is>
      </c>
      <c r="CT515" s="24" t="n"/>
      <c r="CU515" s="24" t="n"/>
      <c r="CV515" s="24" t="n"/>
      <c r="CW515" s="24" t="n"/>
      <c r="CX515" s="24" t="n"/>
      <c r="CY515" s="24" t="n"/>
      <c r="CZ515" s="24" t="n"/>
      <c r="DA515" s="24" t="n"/>
      <c r="DB515" s="24" t="n"/>
      <c r="DC515" s="24" t="n"/>
      <c r="DD515" s="24" t="n"/>
      <c r="DE515" s="24" t="n"/>
      <c r="DF515" s="24" t="n"/>
      <c r="DG515" s="24" t="n"/>
      <c r="DH515" s="24" t="n"/>
      <c r="DI515" s="24" t="n"/>
      <c r="DJ515" s="24" t="inlineStr">
        <is>
          <t>0.512195</t>
        </is>
      </c>
      <c r="DK515" s="24" t="n"/>
      <c r="DL515" s="24" t="n"/>
      <c r="DM515" s="24" t="n"/>
      <c r="DN515" s="24" t="n"/>
      <c r="DO515" s="24" t="n"/>
      <c r="DP515" s="24" t="n"/>
      <c r="DQ515" s="24" t="inlineStr">
        <is>
          <t>{"artifact_hash": "1d168f11d221cd3c", "event_id": "401858237", "event_start_utc": "2026-09-26T19:00Z", "features": {"altitude_fatigue_penalty": 0.0, "away_team": "Central Arkansas Bears", "efficiency_gap": 1.7, "elo_away": 1337.5, "elo_home": 1458.5, "elo_home_win_prob": 0.7447, "event_id": "401858237", "game_start_utc": "2026-09-26T19:00Z", "home_field_advantage_points": 2.8, "home_team": "Florida State Seminoles", "is_dome": false, "is_fbs_vs_fcs": false, "is_neutral_site": false, "projected_away_points": 23.2, "projected_home_points": 30.7, "projected_margin_home": 7.6, "projected_possessions": 12.4, "projected_total": 53.9,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23.2, "mu_home": 30.7,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20365977341044354999632938585311278375}, "uinteger": 0}, "spread_home_line": -45.5, "total_line": 62.5}, "market_type": "total", "model_version": "cfb-total-v1", "observed_at_utc": "2026-09-26T15:01:01.506546+00:00", "probabilities": {"over": 0.335467, "push": 0.0, "under": 0.664533}, "replay_scope": "Full precision score means, exact engine parameters and original RNG state; upstream feature construction not certified.", "schema": "cfb-joint-replay-v1", "snapshot_hash": "342bf3b146e823362016e32b456e13f1fd0db9aeed7c154bb338384a36befd9a", "sport": "NCAAF"}</t>
        </is>
      </c>
    </row>
    <row r="516" ht="36" customHeight="1">
      <c r="A516" s="24" t="inlineStr">
        <is>
          <t>1f347c6340e141e4</t>
        </is>
      </c>
      <c r="B516" s="24" t="inlineStr">
        <is>
          <t>2026-09-26T15:01:01.506546Z</t>
        </is>
      </c>
      <c r="C516" s="24" t="inlineStr">
        <is>
          <t>2026-09-26T19:00Z</t>
        </is>
      </c>
      <c r="D516" s="24" t="inlineStr">
        <is>
          <t>401864510</t>
        </is>
      </c>
      <c r="E516" s="24" t="inlineStr">
        <is>
          <t>NCAAF</t>
        </is>
      </c>
      <c r="F516" s="24" t="inlineStr">
        <is>
          <t>Hawai'i Rainbow Warriors</t>
        </is>
      </c>
      <c r="G516" s="24" t="inlineStr">
        <is>
          <t>Wyoming Cowboys</t>
        </is>
      </c>
      <c r="H516" s="24" t="inlineStr">
        <is>
          <t>moneyline</t>
        </is>
      </c>
      <c r="I516" s="24" t="inlineStr">
        <is>
          <t>away</t>
        </is>
      </c>
      <c r="J516" s="25" t="n"/>
      <c r="K516" s="24" t="inlineStr">
        <is>
          <t>espn_consensus</t>
        </is>
      </c>
      <c r="L516" s="26" t="n">
        <v>-130</v>
      </c>
      <c r="M516" s="27" t="n">
        <v>1.769231</v>
      </c>
      <c r="N516" s="28" t="n">
        <v>0.565217</v>
      </c>
      <c r="O516" s="28" t="n">
        <v>0.6027709999999999</v>
      </c>
      <c r="P516" s="28" t="n">
        <v>0.18</v>
      </c>
      <c r="Q516" s="28" t="n">
        <v>0.037554</v>
      </c>
      <c r="R516" s="26" t="n">
        <v>0</v>
      </c>
      <c r="S516" s="29" t="n">
        <v>1</v>
      </c>
      <c r="T516" s="24" t="inlineStr">
        <is>
          <t>college-football-v1</t>
        </is>
      </c>
      <c r="U516" s="24" t="inlineStr">
        <is>
          <t>settled</t>
        </is>
      </c>
      <c r="V516" s="24" t="inlineStr">
        <is>
          <t>loss</t>
        </is>
      </c>
      <c r="W516" s="26" t="n">
        <v>10</v>
      </c>
      <c r="X516" s="26" t="n">
        <v>27</v>
      </c>
      <c r="Y516" s="25" t="n"/>
      <c r="Z516" s="26" t="n"/>
      <c r="AA516" s="28" t="n"/>
      <c r="AB516" s="28" t="n"/>
      <c r="AC516" s="30" t="n">
        <v>-1</v>
      </c>
      <c r="AD516" s="24" t="inlineStr">
        <is>
          <t>2026-09-27T04:30:27.289088Z</t>
        </is>
      </c>
      <c r="AE516" s="31" t="inlineStr">
        <is>
          <t>CFB Joint Model (negative_binomial): proj score Hawai'i Rainbow Warriors 28.9 @ Wyoming Cowboys 23.8 (Margin -5.1). Possessions: 12.4, HFA: +2.8 pts.</t>
        </is>
      </c>
      <c r="AF516" s="31" t="inlineStr">
        <is>
          <t>College football model; multi-market (moneyline, spread, total).</t>
        </is>
      </c>
      <c r="AG516" s="24" t="inlineStr">
        <is>
          <t>review_required</t>
        </is>
      </c>
      <c r="AH516" s="24" t="n"/>
      <c r="AI516" s="31" t="n"/>
      <c r="AJ516" s="31" t="n"/>
      <c r="AK516" s="24" t="inlineStr">
        <is>
          <t>model_qualified</t>
        </is>
      </c>
      <c r="AL516" s="26" t="n">
        <v>4</v>
      </c>
      <c r="AM516" s="24" t="inlineStr">
        <is>
          <t>QUALIFIED_SHADOW_CALL</t>
        </is>
      </c>
      <c r="AN516" s="24" t="inlineStr">
        <is>
          <t>CALL</t>
        </is>
      </c>
      <c r="AO516" s="24" t="inlineStr">
        <is>
          <t>QUALIFIED</t>
        </is>
      </c>
      <c r="AP516" s="24" t="inlineStr">
        <is>
          <t>Hawai'i Rainbow Warriors</t>
        </is>
      </c>
      <c r="AQ516" s="24" t="inlineStr">
        <is>
          <t>Hawai'i Rainbow Warriors</t>
        </is>
      </c>
      <c r="AR516" s="24" t="inlineStr">
        <is>
          <t>Hawai'i Rainbow Warriors</t>
        </is>
      </c>
      <c r="AS516" s="24" t="inlineStr">
        <is>
          <t>Wyoming Cowboys</t>
        </is>
      </c>
      <c r="AT516" s="24" t="inlineStr">
        <is>
          <t>Wyoming Cowboys</t>
        </is>
      </c>
      <c r="AU516" s="24" t="inlineStr">
        <is>
          <t>Wyoming Cowboys</t>
        </is>
      </c>
      <c r="AV516" s="24" t="n"/>
      <c r="AW516" s="24" t="n"/>
      <c r="AX516" s="24" t="inlineStr">
        <is>
          <t>statistical_model</t>
        </is>
      </c>
      <c r="AY516" s="24" t="n"/>
      <c r="AZ516" s="24" t="inlineStr">
        <is>
          <t>shadow_qualified</t>
        </is>
      </c>
      <c r="BA516" s="24" t="inlineStr">
        <is>
          <t>1d168f11d221cd3c</t>
        </is>
      </c>
      <c r="BB516" s="24" t="inlineStr">
        <is>
          <t>cfb_key_number_engine</t>
        </is>
      </c>
      <c r="BC516" s="24" t="inlineStr">
        <is>
          <t>college-football-v1</t>
        </is>
      </c>
      <c r="BD516" s="24" t="inlineStr">
        <is>
          <t>1d168f11d221cd3c</t>
        </is>
      </c>
      <c r="BE516" s="24" t="inlineStr">
        <is>
          <t>cfb-v1</t>
        </is>
      </c>
      <c r="BF516" s="24" t="inlineStr">
        <is>
          <t>1</t>
        </is>
      </c>
      <c r="BG516" s="24" t="inlineStr">
        <is>
          <t>1d168f11d221cd3c</t>
        </is>
      </c>
      <c r="BH516" s="24" t="inlineStr">
        <is>
          <t>2026-09-26T15:01:01.506546+00:00</t>
        </is>
      </c>
      <c r="BI516" s="24" t="inlineStr">
        <is>
          <t>["same_event","same_team_same_day","same_league_same_day"]</t>
        </is>
      </c>
      <c r="BJ516" s="25" t="n"/>
      <c r="BK516" s="26" t="n">
        <v>-130</v>
      </c>
      <c r="BL516" s="27" t="n">
        <v>1.769231</v>
      </c>
      <c r="BM516" s="28" t="n">
        <v>0.565217</v>
      </c>
      <c r="BN516" s="28" t="n"/>
      <c r="BO516" s="28" t="n"/>
      <c r="BP516" s="25" t="n"/>
      <c r="BQ516" s="27" t="n"/>
      <c r="BR516" s="28" t="n"/>
      <c r="BS516" s="28" t="n"/>
      <c r="BT516" s="28" t="n"/>
      <c r="BU516" s="25" t="n"/>
      <c r="BV516" s="29" t="n"/>
      <c r="BW516" s="24" t="n"/>
      <c r="BX516" s="30" t="n"/>
      <c r="BY516" s="27" t="n"/>
      <c r="BZ516" s="24" t="n"/>
      <c r="CA516" s="31" t="n"/>
      <c r="CB516" s="24" t="n"/>
      <c r="CC516" s="24" t="n"/>
      <c r="CD516" s="24" t="n"/>
      <c r="CE516" s="24" t="n"/>
      <c r="CF516" s="24" t="n"/>
      <c r="CG516" s="24" t="n"/>
      <c r="CH516" s="24" t="n"/>
      <c r="CI516" s="24" t="n"/>
      <c r="CJ516" s="24" t="n"/>
      <c r="CK516" s="24" t="n"/>
      <c r="CL516" s="24" t="n"/>
      <c r="CM516" s="24" t="n"/>
      <c r="CN516" s="24" t="n"/>
      <c r="CO516" s="24" t="n"/>
      <c r="CP516" s="24" t="n"/>
      <c r="CQ516" s="24" t="n"/>
      <c r="CR516" s="24" t="n"/>
      <c r="CS516" s="24" t="inlineStr">
        <is>
          <t>True</t>
        </is>
      </c>
      <c r="CT516" s="24" t="n"/>
      <c r="CU516" s="24" t="n"/>
      <c r="CV516" s="24" t="n"/>
      <c r="CW516" s="24" t="n"/>
      <c r="CX516" s="24" t="n"/>
      <c r="CY516" s="24" t="n"/>
      <c r="CZ516" s="24" t="n"/>
      <c r="DA516" s="24" t="n"/>
      <c r="DB516" s="24" t="n"/>
      <c r="DC516" s="24" t="n"/>
      <c r="DD516" s="24" t="n"/>
      <c r="DE516" s="24" t="n"/>
      <c r="DF516" s="24" t="n"/>
      <c r="DG516" s="24" t="n"/>
      <c r="DH516" s="24" t="n"/>
      <c r="DI516" s="24" t="n"/>
      <c r="DJ516" s="24" t="inlineStr">
        <is>
          <t>0.565217</t>
        </is>
      </c>
      <c r="DK516" s="24" t="n"/>
      <c r="DL516" s="24" t="n"/>
      <c r="DM516" s="24" t="n"/>
      <c r="DN516" s="24" t="n"/>
      <c r="DO516" s="24" t="n"/>
      <c r="DP516" s="24" t="n"/>
      <c r="DQ516" s="24" t="inlineStr">
        <is>
          <t>{"artifact_hash": "1d168f11d221cd3c", "event_id": "401864510", "event_start_utc": "2026-09-26T19:00Z", "features": {"altitude_fatigue_penalty": 1.86, "away_team": "Hawai'i Rainbow Warriors", "efficiency_gap": -0.755, "elo_away": 1437.5, "elo_home": 1247.4, "elo_home_win_prob": 0.3274, "event_id": "401864510", "game_start_utc": "2026-09-26T19:00Z", "home_field_advantage_points": 2.8, "home_team": "Wyoming Cowboys", "is_dome": false, "is_fbs_vs_fcs": false, "is_neutral_site": false, "projected_away_points": 28.9, "projected_home_points": 23.8, "projected_margin_home": -5.1, "projected_possessions": 12.4, "projected_total": 52.8, "stadium_elevation_ft": 7220, "travel_distance_miles": 3321.0, "uncertainty": 0.18, "weather_total_adjustment": 0.0}, "historical_source_observation_times_verified": false, "inference_inputs": {"engine_source_sha256": "449ba2f0e86fa9c445730076a0e0bf100fb4914620be53c75c6f3bfe24298f3f", "mu_away": 28.9, "mu_home": 23.8,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21105234643632711266969433290226903493}, "uinteger": 0}, "spread_home_line": 2.5, "total_line": 43.5}, "market_type": "moneyline", "model_version": "college-football-v1", "observed_at_utc": "2026-09-26T15:01:01.506546+00:00", "probabilities": {"away": 0.602771, "home": 0.397229}, "replay_scope": "Full precision score means, exact engine parameters and original RNG state; upstream feature construction not certified.", "schema": "cfb-joint-replay-v1", "snapshot_hash": "6883b7429932295ed0d7641a3343951820b409db8c926b1d7d0653aedd2768fa", "sport": "NCAAF"}</t>
        </is>
      </c>
    </row>
    <row r="517" ht="36" customHeight="1">
      <c r="A517" s="24" t="inlineStr">
        <is>
          <t>26c3ddcbace64e5c</t>
        </is>
      </c>
      <c r="B517" s="24" t="inlineStr">
        <is>
          <t>2026-09-26T15:01:01.506546Z</t>
        </is>
      </c>
      <c r="C517" s="24" t="inlineStr">
        <is>
          <t>2026-09-26T19:00Z</t>
        </is>
      </c>
      <c r="D517" s="24" t="inlineStr">
        <is>
          <t>401864510</t>
        </is>
      </c>
      <c r="E517" s="24" t="inlineStr">
        <is>
          <t>NCAAF</t>
        </is>
      </c>
      <c r="F517" s="24" t="inlineStr">
        <is>
          <t>Hawai'i Rainbow Warriors</t>
        </is>
      </c>
      <c r="G517" s="24" t="inlineStr">
        <is>
          <t>Wyoming Cowboys</t>
        </is>
      </c>
      <c r="H517" s="24" t="inlineStr">
        <is>
          <t>spread</t>
        </is>
      </c>
      <c r="I517" s="24" t="inlineStr">
        <is>
          <t>away</t>
        </is>
      </c>
      <c r="J517" s="25" t="n">
        <v>-2.5</v>
      </c>
      <c r="K517" s="24" t="inlineStr">
        <is>
          <t>espn_consensus</t>
        </is>
      </c>
      <c r="L517" s="26" t="n">
        <v>-110</v>
      </c>
      <c r="M517" s="27" t="n">
        <v>1.909091</v>
      </c>
      <c r="N517" s="28" t="n">
        <v>0.52381</v>
      </c>
      <c r="O517" s="28" t="n">
        <v>0.5482</v>
      </c>
      <c r="P517" s="28" t="n">
        <v>0.18</v>
      </c>
      <c r="Q517" s="28" t="n">
        <v>0.02439</v>
      </c>
      <c r="R517" s="26" t="n">
        <v>0</v>
      </c>
      <c r="S517" s="29" t="n">
        <v>1</v>
      </c>
      <c r="T517" s="24" t="inlineStr">
        <is>
          <t>cfb-spread-v1</t>
        </is>
      </c>
      <c r="U517" s="24" t="inlineStr">
        <is>
          <t>settled</t>
        </is>
      </c>
      <c r="V517" s="24" t="inlineStr">
        <is>
          <t>loss</t>
        </is>
      </c>
      <c r="W517" s="26" t="n">
        <v>10</v>
      </c>
      <c r="X517" s="26" t="n">
        <v>27</v>
      </c>
      <c r="Y517" s="25" t="n"/>
      <c r="Z517" s="26" t="n"/>
      <c r="AA517" s="28" t="n"/>
      <c r="AB517" s="28" t="n"/>
      <c r="AC517" s="30" t="n">
        <v>-1</v>
      </c>
      <c r="AD517" s="24" t="inlineStr">
        <is>
          <t>2026-09-27T04:30:27.866209Z</t>
        </is>
      </c>
      <c r="AE517" s="31" t="inlineStr">
        <is>
          <t>Projected home margin -5.1 pts. Spread: Home +2.5 / Away -2.5 -&gt; P(Away cover)=0.548, P(Home cover)=0.452, P(Push)=0.000.</t>
        </is>
      </c>
      <c r="AF517" s="31" t="inlineStr">
        <is>
          <t>College football model; multi-market (moneyline, spread, total).</t>
        </is>
      </c>
      <c r="AG517" s="24" t="inlineStr">
        <is>
          <t>review_required</t>
        </is>
      </c>
      <c r="AH517" s="24" t="n"/>
      <c r="AI517" s="31" t="n"/>
      <c r="AJ517" s="31" t="n"/>
      <c r="AK517" s="24" t="inlineStr">
        <is>
          <t>paper_call</t>
        </is>
      </c>
      <c r="AL517" s="26" t="n">
        <v>4</v>
      </c>
      <c r="AM517" s="24" t="inlineStr">
        <is>
          <t>RESEARCH_OBSERVATION</t>
        </is>
      </c>
      <c r="AN517" s="24" t="inlineStr">
        <is>
          <t>CALL</t>
        </is>
      </c>
      <c r="AO517" s="24" t="inlineStr">
        <is>
          <t>PAPER_CALL_LOW_EDGE</t>
        </is>
      </c>
      <c r="AP517" s="24" t="inlineStr">
        <is>
          <t>Hawai'i Rainbow Warriors</t>
        </is>
      </c>
      <c r="AQ517" s="24" t="inlineStr">
        <is>
          <t>Hawai'i Rainbow Warriors</t>
        </is>
      </c>
      <c r="AR517" s="24" t="inlineStr">
        <is>
          <t>Hawai'i Rainbow Warriors</t>
        </is>
      </c>
      <c r="AS517" s="24" t="inlineStr">
        <is>
          <t>Wyoming Cowboys</t>
        </is>
      </c>
      <c r="AT517" s="24" t="inlineStr">
        <is>
          <t>Wyoming Cowboys</t>
        </is>
      </c>
      <c r="AU517" s="24" t="inlineStr">
        <is>
          <t>Wyoming Cowboys</t>
        </is>
      </c>
      <c r="AV517" s="24" t="n"/>
      <c r="AW517" s="24" t="n"/>
      <c r="AX517" s="24" t="inlineStr">
        <is>
          <t>statistical_model</t>
        </is>
      </c>
      <c r="AY517" s="24" t="n"/>
      <c r="AZ517" s="24" t="inlineStr">
        <is>
          <t>shadow_qualified</t>
        </is>
      </c>
      <c r="BA517" s="24" t="inlineStr">
        <is>
          <t>1d168f11d221cd3c</t>
        </is>
      </c>
      <c r="BB517" s="24" t="inlineStr">
        <is>
          <t>cfb_key_number_engine</t>
        </is>
      </c>
      <c r="BC517" s="24" t="inlineStr">
        <is>
          <t>cfb-spread-v1</t>
        </is>
      </c>
      <c r="BD517" s="24" t="inlineStr">
        <is>
          <t>1d168f11d221cd3c</t>
        </is>
      </c>
      <c r="BE517" s="24" t="inlineStr">
        <is>
          <t>cfb-v1</t>
        </is>
      </c>
      <c r="BF517" s="24" t="inlineStr">
        <is>
          <t>1</t>
        </is>
      </c>
      <c r="BG517" s="24" t="inlineStr">
        <is>
          <t>1d168f11d221cd3c</t>
        </is>
      </c>
      <c r="BH517" s="24" t="inlineStr">
        <is>
          <t>2026-09-26T15:01:01.506546+00:00</t>
        </is>
      </c>
      <c r="BI517" s="24" t="inlineStr">
        <is>
          <t>["same_event","same_team_same_day","same_league_same_day"]</t>
        </is>
      </c>
      <c r="BJ517" s="25" t="n">
        <v>-2.5</v>
      </c>
      <c r="BK517" s="26" t="n">
        <v>-110</v>
      </c>
      <c r="BL517" s="27" t="n">
        <v>1.909091</v>
      </c>
      <c r="BM517" s="28" t="n">
        <v>0.52381</v>
      </c>
      <c r="BN517" s="28" t="n"/>
      <c r="BO517" s="28" t="n"/>
      <c r="BP517" s="25" t="n"/>
      <c r="BQ517" s="27" t="n"/>
      <c r="BR517" s="28" t="n"/>
      <c r="BS517" s="28" t="n"/>
      <c r="BT517" s="28" t="n"/>
      <c r="BU517" s="25" t="n"/>
      <c r="BV517" s="29" t="n"/>
      <c r="BW517" s="24" t="n"/>
      <c r="BX517" s="30" t="n">
        <v>1</v>
      </c>
      <c r="BY517" s="27" t="n">
        <v>-1</v>
      </c>
      <c r="BZ517" s="24" t="inlineStr">
        <is>
          <t>2026-09-27T04:30:27.866209Z</t>
        </is>
      </c>
      <c r="CA517" s="31" t="inlineStr">
        <is>
          <t>fixed one-unit hypothetical scoring; no real exposure or execution</t>
        </is>
      </c>
      <c r="CB517" s="24" t="n"/>
      <c r="CC517" s="24" t="n"/>
      <c r="CD517" s="24" t="n"/>
      <c r="CE517" s="24" t="n"/>
      <c r="CF517" s="24" t="n"/>
      <c r="CG517" s="24" t="n"/>
      <c r="CH517" s="24" t="n"/>
      <c r="CI517" s="24" t="n"/>
      <c r="CJ517" s="24" t="n"/>
      <c r="CK517" s="24" t="n"/>
      <c r="CL517" s="24" t="n"/>
      <c r="CM517" s="24" t="n"/>
      <c r="CN517" s="24" t="n"/>
      <c r="CO517" s="24" t="n"/>
      <c r="CP517" s="24" t="n"/>
      <c r="CQ517" s="24" t="n"/>
      <c r="CR517" s="24" t="n"/>
      <c r="CS517" s="24" t="inlineStr">
        <is>
          <t>True</t>
        </is>
      </c>
      <c r="CT517" s="24" t="n"/>
      <c r="CU517" s="24" t="n"/>
      <c r="CV517" s="24" t="n"/>
      <c r="CW517" s="24" t="n"/>
      <c r="CX517" s="24" t="n"/>
      <c r="CY517" s="24" t="n"/>
      <c r="CZ517" s="24" t="n"/>
      <c r="DA517" s="24" t="n"/>
      <c r="DB517" s="24" t="n"/>
      <c r="DC517" s="24" t="n"/>
      <c r="DD517" s="24" t="n"/>
      <c r="DE517" s="24" t="n"/>
      <c r="DF517" s="24" t="n"/>
      <c r="DG517" s="24" t="n"/>
      <c r="DH517" s="24" t="n"/>
      <c r="DI517" s="24" t="n"/>
      <c r="DJ517" s="24" t="inlineStr">
        <is>
          <t>0.52381</t>
        </is>
      </c>
      <c r="DK517" s="24" t="n"/>
      <c r="DL517" s="24" t="n"/>
      <c r="DM517" s="24" t="n"/>
      <c r="DN517" s="24" t="n"/>
      <c r="DO517" s="24" t="n"/>
      <c r="DP517" s="24" t="n"/>
      <c r="DQ517" s="24" t="inlineStr">
        <is>
          <t>{"artifact_hash": "1d168f11d221cd3c", "event_id": "401864510", "event_start_utc": "2026-09-26T19:00Z", "features": {"altitude_fatigue_penalty": 1.86, "away_team": "Hawai'i Rainbow Warriors", "efficiency_gap": -0.755, "elo_away": 1437.5, "elo_home": 1247.4, "elo_home_win_prob": 0.3274, "event_id": "401864510", "game_start_utc": "2026-09-26T19:00Z", "home_field_advantage_points": 2.8, "home_team": "Wyoming Cowboys", "is_dome": false, "is_fbs_vs_fcs": false, "is_neutral_site": false, "projected_away_points": 28.9, "projected_home_points": 23.8, "projected_margin_home": -5.1, "projected_possessions": 12.4, "projected_total": 52.8, "stadium_elevation_ft": 7220, "travel_distance_miles": 3321.0, "uncertainty": 0.18, "weather_total_adjustment": 0.0}, "historical_source_observation_times_verified": false, "inference_inputs": {"engine_source_sha256": "449ba2f0e86fa9c445730076a0e0bf100fb4914620be53c75c6f3bfe24298f3f", "mu_away": 28.9, "mu_home": 23.8,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21105234643632711266969433290226903493}, "uinteger": 0}, "spread_home_line": 2.5, "total_line": 43.5}, "market_type": "spread", "model_version": "cfb-spread-v1", "observed_at_utc": "2026-09-26T15:01:01.506546+00:00", "probabilities": {"away": 0.5482, "home": 0.4518, "push": 0.0}, "replay_scope": "Full precision score means, exact engine parameters and original RNG state; upstream feature construction not certified.", "schema": "cfb-joint-replay-v1", "snapshot_hash": "89d8e741bae3c55c8a052bf34500e827ecac755a422cadafdd091e730a33e694", "sport": "NCAAF"}</t>
        </is>
      </c>
    </row>
    <row r="518" ht="36" customHeight="1">
      <c r="A518" s="24" t="inlineStr">
        <is>
          <t>33c9eaa184194fd5</t>
        </is>
      </c>
      <c r="B518" s="24" t="inlineStr">
        <is>
          <t>2026-09-26T15:01:01.506546Z</t>
        </is>
      </c>
      <c r="C518" s="24" t="inlineStr">
        <is>
          <t>2026-09-26T19:00Z</t>
        </is>
      </c>
      <c r="D518" s="24" t="inlineStr">
        <is>
          <t>401864510</t>
        </is>
      </c>
      <c r="E518" s="24" t="inlineStr">
        <is>
          <t>NCAAF</t>
        </is>
      </c>
      <c r="F518" s="24" t="inlineStr">
        <is>
          <t>Hawai'i Rainbow Warriors</t>
        </is>
      </c>
      <c r="G518" s="24" t="inlineStr">
        <is>
          <t>Wyoming Cowboys</t>
        </is>
      </c>
      <c r="H518" s="24" t="inlineStr">
        <is>
          <t>total</t>
        </is>
      </c>
      <c r="I518" s="24" t="inlineStr">
        <is>
          <t>over</t>
        </is>
      </c>
      <c r="J518" s="25" t="n">
        <v>43.5</v>
      </c>
      <c r="K518" s="24" t="inlineStr">
        <is>
          <t>espn_consensus</t>
        </is>
      </c>
      <c r="L518" s="26" t="n">
        <v>-112</v>
      </c>
      <c r="M518" s="27" t="n">
        <v>1.892857</v>
      </c>
      <c r="N518" s="28" t="n">
        <v>0.528302</v>
      </c>
      <c r="O518" s="28" t="n">
        <v>0.620467</v>
      </c>
      <c r="P518" s="28" t="n">
        <v>0.18</v>
      </c>
      <c r="Q518" s="28" t="n">
        <v>0.092165</v>
      </c>
      <c r="R518" s="26" t="n">
        <v>0</v>
      </c>
      <c r="S518" s="29" t="n">
        <v>1</v>
      </c>
      <c r="T518" s="24" t="inlineStr">
        <is>
          <t>cfb-total-v1</t>
        </is>
      </c>
      <c r="U518" s="24" t="inlineStr">
        <is>
          <t>settled</t>
        </is>
      </c>
      <c r="V518" s="24" t="inlineStr">
        <is>
          <t>loss</t>
        </is>
      </c>
      <c r="W518" s="26" t="n">
        <v>10</v>
      </c>
      <c r="X518" s="26" t="n">
        <v>27</v>
      </c>
      <c r="Y518" s="25" t="n"/>
      <c r="Z518" s="26" t="n"/>
      <c r="AA518" s="28" t="n"/>
      <c r="AB518" s="28" t="n"/>
      <c r="AC518" s="30" t="n">
        <v>-1</v>
      </c>
      <c r="AD518" s="24" t="inlineStr">
        <is>
          <t>2026-09-27T04:30:28.494177Z</t>
        </is>
      </c>
      <c r="AE518" s="31" t="inlineStr">
        <is>
          <t>Projected total 52.8 pts (Weather adj: +0.0 pts). Total line 43.5 -&gt; P(Over)=0.620, P(Under)=0.380, P(Push)=0.000.</t>
        </is>
      </c>
      <c r="AF518" s="31" t="inlineStr">
        <is>
          <t>College football model; multi-market (moneyline, spread, total).</t>
        </is>
      </c>
      <c r="AG518" s="24" t="inlineStr">
        <is>
          <t>review_required</t>
        </is>
      </c>
      <c r="AH518" s="24" t="n"/>
      <c r="AI518" s="31" t="n"/>
      <c r="AJ518" s="31" t="n"/>
      <c r="AK518" s="24" t="inlineStr">
        <is>
          <t>model_qualified</t>
        </is>
      </c>
      <c r="AL518" s="26" t="n">
        <v>4</v>
      </c>
      <c r="AM518" s="24" t="inlineStr">
        <is>
          <t>QUALIFIED_SHADOW_CALL</t>
        </is>
      </c>
      <c r="AN518" s="24" t="inlineStr">
        <is>
          <t>CALL</t>
        </is>
      </c>
      <c r="AO518" s="24" t="inlineStr">
        <is>
          <t>QUALIFIED</t>
        </is>
      </c>
      <c r="AP518" s="24" t="inlineStr">
        <is>
          <t>Hawai'i Rainbow Warriors</t>
        </is>
      </c>
      <c r="AQ518" s="24" t="inlineStr">
        <is>
          <t>Hawai'i Rainbow Warriors</t>
        </is>
      </c>
      <c r="AR518" s="24" t="inlineStr">
        <is>
          <t>Hawai'i Rainbow Warriors</t>
        </is>
      </c>
      <c r="AS518" s="24" t="inlineStr">
        <is>
          <t>Wyoming Cowboys</t>
        </is>
      </c>
      <c r="AT518" s="24" t="inlineStr">
        <is>
          <t>Wyoming Cowboys</t>
        </is>
      </c>
      <c r="AU518" s="24" t="inlineStr">
        <is>
          <t>Wyoming Cowboys</t>
        </is>
      </c>
      <c r="AV518" s="24" t="n"/>
      <c r="AW518" s="24" t="n"/>
      <c r="AX518" s="24" t="inlineStr">
        <is>
          <t>statistical_model</t>
        </is>
      </c>
      <c r="AY518" s="24" t="n"/>
      <c r="AZ518" s="24" t="inlineStr">
        <is>
          <t>shadow_qualified</t>
        </is>
      </c>
      <c r="BA518" s="24" t="inlineStr">
        <is>
          <t>1d168f11d221cd3c</t>
        </is>
      </c>
      <c r="BB518" s="24" t="inlineStr">
        <is>
          <t>cfb_key_number_engine</t>
        </is>
      </c>
      <c r="BC518" s="24" t="inlineStr">
        <is>
          <t>cfb-total-v1</t>
        </is>
      </c>
      <c r="BD518" s="24" t="inlineStr">
        <is>
          <t>1d168f11d221cd3c</t>
        </is>
      </c>
      <c r="BE518" s="24" t="inlineStr">
        <is>
          <t>cfb-v1</t>
        </is>
      </c>
      <c r="BF518" s="24" t="inlineStr">
        <is>
          <t>1</t>
        </is>
      </c>
      <c r="BG518" s="24" t="inlineStr">
        <is>
          <t>1d168f11d221cd3c</t>
        </is>
      </c>
      <c r="BH518" s="24" t="inlineStr">
        <is>
          <t>2026-09-26T15:01:01.506546+00:00</t>
        </is>
      </c>
      <c r="BI518" s="24" t="inlineStr">
        <is>
          <t>["same_event","same_team_same_day","same_league_same_day"]</t>
        </is>
      </c>
      <c r="BJ518" s="25" t="n">
        <v>43.5</v>
      </c>
      <c r="BK518" s="26" t="n">
        <v>-112</v>
      </c>
      <c r="BL518" s="27" t="n">
        <v>1.892857</v>
      </c>
      <c r="BM518" s="28" t="n">
        <v>0.528302</v>
      </c>
      <c r="BN518" s="28" t="n"/>
      <c r="BO518" s="28" t="n"/>
      <c r="BP518" s="25" t="n"/>
      <c r="BQ518" s="27" t="n"/>
      <c r="BR518" s="28" t="n"/>
      <c r="BS518" s="28" t="n"/>
      <c r="BT518" s="28" t="n"/>
      <c r="BU518" s="25" t="n"/>
      <c r="BV518" s="29" t="n"/>
      <c r="BW518" s="24" t="n"/>
      <c r="BX518" s="30" t="n"/>
      <c r="BY518" s="27" t="n"/>
      <c r="BZ518" s="24" t="n"/>
      <c r="CA518" s="31" t="n"/>
      <c r="CB518" s="24" t="n"/>
      <c r="CC518" s="24" t="n"/>
      <c r="CD518" s="24" t="n"/>
      <c r="CE518" s="24" t="n"/>
      <c r="CF518" s="24" t="n"/>
      <c r="CG518" s="24" t="n"/>
      <c r="CH518" s="24" t="n"/>
      <c r="CI518" s="24" t="n"/>
      <c r="CJ518" s="24" t="n"/>
      <c r="CK518" s="24" t="n"/>
      <c r="CL518" s="24" t="n"/>
      <c r="CM518" s="24" t="n"/>
      <c r="CN518" s="24" t="n"/>
      <c r="CO518" s="24" t="n"/>
      <c r="CP518" s="24" t="n"/>
      <c r="CQ518" s="24" t="n"/>
      <c r="CR518" s="24" t="n"/>
      <c r="CS518" s="24" t="inlineStr">
        <is>
          <t>True</t>
        </is>
      </c>
      <c r="CT518" s="24" t="n"/>
      <c r="CU518" s="24" t="n"/>
      <c r="CV518" s="24" t="n"/>
      <c r="CW518" s="24" t="n"/>
      <c r="CX518" s="24" t="n"/>
      <c r="CY518" s="24" t="n"/>
      <c r="CZ518" s="24" t="n"/>
      <c r="DA518" s="24" t="n"/>
      <c r="DB518" s="24" t="n"/>
      <c r="DC518" s="24" t="n"/>
      <c r="DD518" s="24" t="n"/>
      <c r="DE518" s="24" t="n"/>
      <c r="DF518" s="24" t="n"/>
      <c r="DG518" s="24" t="n"/>
      <c r="DH518" s="24" t="n"/>
      <c r="DI518" s="24" t="n"/>
      <c r="DJ518" s="24" t="inlineStr">
        <is>
          <t>0.528302</t>
        </is>
      </c>
      <c r="DK518" s="24" t="n"/>
      <c r="DL518" s="24" t="n"/>
      <c r="DM518" s="24" t="n"/>
      <c r="DN518" s="24" t="n"/>
      <c r="DO518" s="24" t="n"/>
      <c r="DP518" s="24" t="n"/>
      <c r="DQ518" s="24" t="inlineStr">
        <is>
          <t>{"artifact_hash": "1d168f11d221cd3c", "event_id": "401864510", "event_start_utc": "2026-09-26T19:00Z", "features": {"altitude_fatigue_penalty": 1.86, "away_team": "Hawai'i Rainbow Warriors", "efficiency_gap": -0.755, "elo_away": 1437.5, "elo_home": 1247.4, "elo_home_win_prob": 0.3274, "event_id": "401864510", "game_start_utc": "2026-09-26T19:00Z", "home_field_advantage_points": 2.8, "home_team": "Wyoming Cowboys", "is_dome": false, "is_fbs_vs_fcs": false, "is_neutral_site": false, "projected_away_points": 28.9, "projected_home_points": 23.8, "projected_margin_home": -5.1, "projected_possessions": 12.4, "projected_total": 52.8, "stadium_elevation_ft": 7220, "travel_distance_miles": 3321.0, "uncertainty": 0.18, "weather_total_adjustment": 0.0}, "historical_source_observation_times_verified": false, "inference_inputs": {"engine_source_sha256": "449ba2f0e86fa9c445730076a0e0bf100fb4914620be53c75c6f3bfe24298f3f", "mu_away": 28.9, "mu_home": 23.8,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21105234643632711266969433290226903493}, "uinteger": 0}, "spread_home_line": 2.5, "total_line": 43.5}, "market_type": "total", "model_version": "cfb-total-v1", "observed_at_utc": "2026-09-26T15:01:01.506546+00:00", "probabilities": {"over": 0.620467, "push": 0.0, "under": 0.379533}, "replay_scope": "Full precision score means, exact engine parameters and original RNG state; upstream feature construction not certified.", "schema": "cfb-joint-replay-v1", "snapshot_hash": "7cc5f6a0ad6afd9a8223b4cf411503edfd88c2f59a16e6486fd6e2778b936394", "sport": "NCAAF"}</t>
        </is>
      </c>
    </row>
    <row r="519" ht="36" customHeight="1">
      <c r="A519" s="24" t="inlineStr">
        <is>
          <t>f959510a15604962</t>
        </is>
      </c>
      <c r="B519" s="24" t="inlineStr">
        <is>
          <t>2026-09-26T15:01:01.506546Z</t>
        </is>
      </c>
      <c r="C519" s="24" t="inlineStr">
        <is>
          <t>2026-09-26T19:30Z</t>
        </is>
      </c>
      <c r="D519" s="24" t="inlineStr">
        <is>
          <t>401856700</t>
        </is>
      </c>
      <c r="E519" s="24" t="inlineStr">
        <is>
          <t>NCAAF</t>
        </is>
      </c>
      <c r="F519" s="24" t="inlineStr">
        <is>
          <t>Oklahoma Sooners</t>
        </is>
      </c>
      <c r="G519" s="24" t="inlineStr">
        <is>
          <t>Georgia Bulldogs</t>
        </is>
      </c>
      <c r="H519" s="24" t="inlineStr">
        <is>
          <t>moneyline</t>
        </is>
      </c>
      <c r="I519" s="24" t="inlineStr">
        <is>
          <t>home</t>
        </is>
      </c>
      <c r="J519" s="25" t="n"/>
      <c r="K519" s="24" t="inlineStr">
        <is>
          <t>espn_consensus</t>
        </is>
      </c>
      <c r="L519" s="26" t="n">
        <v>-550</v>
      </c>
      <c r="M519" s="27" t="n">
        <v>1.181818</v>
      </c>
      <c r="N519" s="28" t="n">
        <v>0.846154</v>
      </c>
      <c r="O519" s="28" t="n">
        <v>0.651352</v>
      </c>
      <c r="P519" s="28" t="n">
        <v>0.18</v>
      </c>
      <c r="Q519" s="28" t="n">
        <v>-0.194802</v>
      </c>
      <c r="R519" s="26" t="n">
        <v>0</v>
      </c>
      <c r="S519" s="29" t="n">
        <v>1</v>
      </c>
      <c r="T519" s="24" t="inlineStr">
        <is>
          <t>college-football-v1</t>
        </is>
      </c>
      <c r="U519" s="24" t="inlineStr">
        <is>
          <t>settled</t>
        </is>
      </c>
      <c r="V519" s="24" t="inlineStr">
        <is>
          <t>win</t>
        </is>
      </c>
      <c r="W519" s="26" t="n">
        <v>13</v>
      </c>
      <c r="X519" s="26" t="n">
        <v>41</v>
      </c>
      <c r="Y519" s="25" t="n"/>
      <c r="Z519" s="26" t="n"/>
      <c r="AA519" s="28" t="n"/>
      <c r="AB519" s="28" t="n"/>
      <c r="AC519" s="30" t="n">
        <v>0.1818</v>
      </c>
      <c r="AD519" s="24" t="inlineStr">
        <is>
          <t>2026-09-27T04:30:29.068744Z</t>
        </is>
      </c>
      <c r="AE519" s="31" t="inlineStr">
        <is>
          <t>CFB Joint Model (negative_binomial): proj score Oklahoma Sooners 24.4 @ Georgia Bulldogs 32.1 (Margin +7.6). Possessions: 12.4, HFA: +2.8 pts.</t>
        </is>
      </c>
      <c r="AF519" s="31" t="inlineStr">
        <is>
          <t>College football model; multi-market (moneyline, spread, total).</t>
        </is>
      </c>
      <c r="AG519" s="24" t="inlineStr">
        <is>
          <t>not_applicable</t>
        </is>
      </c>
      <c r="AH519" s="24" t="n"/>
      <c r="AI519" s="31" t="n"/>
      <c r="AJ519" s="31" t="n"/>
      <c r="AK519" s="24" t="inlineStr">
        <is>
          <t>paper_call</t>
        </is>
      </c>
      <c r="AL519" s="26" t="n">
        <v>4</v>
      </c>
      <c r="AM519" s="24" t="inlineStr">
        <is>
          <t>RESEARCH_OBSERVATION</t>
        </is>
      </c>
      <c r="AN519" s="24" t="inlineStr">
        <is>
          <t>CALL</t>
        </is>
      </c>
      <c r="AO519" s="24" t="inlineStr">
        <is>
          <t>PAPER_CALL_LOW_EDGE</t>
        </is>
      </c>
      <c r="AP519" s="24" t="inlineStr">
        <is>
          <t>Oklahoma Sooners</t>
        </is>
      </c>
      <c r="AQ519" s="24" t="inlineStr">
        <is>
          <t>Oklahoma Sooners</t>
        </is>
      </c>
      <c r="AR519" s="24" t="inlineStr">
        <is>
          <t>Oklahoma Sooners</t>
        </is>
      </c>
      <c r="AS519" s="24" t="inlineStr">
        <is>
          <t>Georgia Bulldogs</t>
        </is>
      </c>
      <c r="AT519" s="24" t="inlineStr">
        <is>
          <t>Georgia Bulldogs</t>
        </is>
      </c>
      <c r="AU519" s="24" t="inlineStr">
        <is>
          <t>Georgia Bulldogs</t>
        </is>
      </c>
      <c r="AV519" s="24" t="n"/>
      <c r="AW519" s="24" t="n"/>
      <c r="AX519" s="24" t="inlineStr">
        <is>
          <t>statistical_model</t>
        </is>
      </c>
      <c r="AY519" s="24" t="n"/>
      <c r="AZ519" s="24" t="inlineStr">
        <is>
          <t>shadow_qualified</t>
        </is>
      </c>
      <c r="BA519" s="24" t="inlineStr">
        <is>
          <t>1d168f11d221cd3c</t>
        </is>
      </c>
      <c r="BB519" s="24" t="inlineStr">
        <is>
          <t>cfb_key_number_engine</t>
        </is>
      </c>
      <c r="BC519" s="24" t="inlineStr">
        <is>
          <t>college-football-v1</t>
        </is>
      </c>
      <c r="BD519" s="24" t="inlineStr">
        <is>
          <t>1d168f11d221cd3c</t>
        </is>
      </c>
      <c r="BE519" s="24" t="inlineStr">
        <is>
          <t>cfb-v1</t>
        </is>
      </c>
      <c r="BF519" s="24" t="inlineStr">
        <is>
          <t>1</t>
        </is>
      </c>
      <c r="BG519" s="24" t="inlineStr">
        <is>
          <t>1d168f11d221cd3c</t>
        </is>
      </c>
      <c r="BH519" s="24" t="inlineStr">
        <is>
          <t>2026-09-26T15:01:01.506546+00:00</t>
        </is>
      </c>
      <c r="BI519" s="24" t="inlineStr">
        <is>
          <t>["same_event","same_team_same_day","same_league_same_day"]</t>
        </is>
      </c>
      <c r="BJ519" s="25" t="n"/>
      <c r="BK519" s="26" t="n">
        <v>-550</v>
      </c>
      <c r="BL519" s="27" t="n">
        <v>1.181818</v>
      </c>
      <c r="BM519" s="28" t="n">
        <v>0.846154</v>
      </c>
      <c r="BN519" s="28" t="n"/>
      <c r="BO519" s="28" t="n"/>
      <c r="BP519" s="25" t="n"/>
      <c r="BQ519" s="27" t="n"/>
      <c r="BR519" s="28" t="n"/>
      <c r="BS519" s="28" t="n"/>
      <c r="BT519" s="28" t="n"/>
      <c r="BU519" s="25" t="n"/>
      <c r="BV519" s="29" t="n"/>
      <c r="BW519" s="24" t="n"/>
      <c r="BX519" s="30" t="n">
        <v>1</v>
      </c>
      <c r="BY519" s="27" t="n">
        <v>0.181818</v>
      </c>
      <c r="BZ519" s="24" t="inlineStr">
        <is>
          <t>2026-09-27T04:30:29.068744Z</t>
        </is>
      </c>
      <c r="CA519" s="31" t="inlineStr">
        <is>
          <t>fixed one-unit hypothetical scoring; no real exposure or execution</t>
        </is>
      </c>
      <c r="CB519" s="24" t="n"/>
      <c r="CC519" s="24" t="n"/>
      <c r="CD519" s="24" t="n"/>
      <c r="CE519" s="24" t="n"/>
      <c r="CF519" s="24" t="n"/>
      <c r="CG519" s="24" t="n"/>
      <c r="CH519" s="24" t="n"/>
      <c r="CI519" s="24" t="n"/>
      <c r="CJ519" s="24" t="n"/>
      <c r="CK519" s="24" t="n"/>
      <c r="CL519" s="24" t="n"/>
      <c r="CM519" s="24" t="n"/>
      <c r="CN519" s="24" t="n"/>
      <c r="CO519" s="24" t="n"/>
      <c r="CP519" s="24" t="n"/>
      <c r="CQ519" s="24" t="n"/>
      <c r="CR519" s="24" t="n"/>
      <c r="CS519" s="24" t="inlineStr">
        <is>
          <t>False</t>
        </is>
      </c>
      <c r="CT519" s="24" t="n"/>
      <c r="CU519" s="24" t="n"/>
      <c r="CV519" s="24" t="n"/>
      <c r="CW519" s="24" t="n"/>
      <c r="CX519" s="24" t="n"/>
      <c r="CY519" s="24" t="n"/>
      <c r="CZ519" s="24" t="n"/>
      <c r="DA519" s="24" t="n"/>
      <c r="DB519" s="24" t="n"/>
      <c r="DC519" s="24" t="n"/>
      <c r="DD519" s="24" t="n"/>
      <c r="DE519" s="24" t="n"/>
      <c r="DF519" s="24" t="n"/>
      <c r="DG519" s="24" t="n"/>
      <c r="DH519" s="24" t="n"/>
      <c r="DI519" s="24" t="n"/>
      <c r="DJ519" s="24" t="inlineStr">
        <is>
          <t>0.846154</t>
        </is>
      </c>
      <c r="DK519" s="24" t="n"/>
      <c r="DL519" s="24" t="n"/>
      <c r="DM519" s="24" t="n"/>
      <c r="DN519" s="24" t="n"/>
      <c r="DO519" s="24" t="n"/>
      <c r="DP519" s="24" t="n"/>
      <c r="DQ519" s="24" t="inlineStr">
        <is>
          <t>{"artifact_hash": "1d168f11d221cd3c", "event_id": "401856700", "event_start_utc": "2026-09-26T19:30Z", "features": {"altitude_fatigue_penalty": 0.0, "away_team": "Oklahoma Sooners", "efficiency_gap": -1.645, "elo_away": 1674.1, "elo_home": 1795.8, "elo_home_win_prob": 0.7454, "event_id": "401856700", "game_start_utc": "2026-09-26T19:30Z", "home_field_advantage_points": 2.8, "home_team": "Georgia Bulldogs", "is_dome": false, "is_fbs_vs_fcs": false, "is_neutral_site": false, "projected_away_points": 24.4, "projected_home_points": 32.1, "projected_margin_home": 7.6, "projected_possessions": 12.4, "projected_total": 56.5, "stadium_elevation_ft": 760, "travel_distance_miles": 804.0, "uncertainty": 0.18, "weather_total_adjustment": 0.0}, "historical_source_observation_times_verified": false, "inference_inputs": {"engine_source_sha256": "449ba2f0e86fa9c445730076a0e0bf100fb4914620be53c75c6f3bfe24298f3f", "mu_away": 24.4, "mu_home": 32.1,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27576668568248103689765776067613734042}, "uinteger": 0}, "spread_home_line": -13.5, "total_line": 44.5}, "market_type": "moneyline", "model_version": "college-football-v1", "observed_at_utc": "2026-09-26T15:01:01.506546+00:00", "probabilities": {"away": 0.348648, "home": 0.651352}, "replay_scope": "Full precision score means, exact engine parameters and original RNG state; upstream feature construction not certified.", "schema": "cfb-joint-replay-v1", "snapshot_hash": "37b9c5e73ae7a4e9b9740d9787a62307fb269c91eeeb2c006f9352e966e205d3", "sport": "NCAAF"}</t>
        </is>
      </c>
    </row>
    <row r="520" ht="36" customHeight="1">
      <c r="A520" s="24" t="inlineStr">
        <is>
          <t>37e1b43201c6423e</t>
        </is>
      </c>
      <c r="B520" s="24" t="inlineStr">
        <is>
          <t>2026-09-26T15:01:01.506546Z</t>
        </is>
      </c>
      <c r="C520" s="24" t="inlineStr">
        <is>
          <t>2026-09-26T19:30Z</t>
        </is>
      </c>
      <c r="D520" s="24" t="inlineStr">
        <is>
          <t>401856700</t>
        </is>
      </c>
      <c r="E520" s="24" t="inlineStr">
        <is>
          <t>NCAAF</t>
        </is>
      </c>
      <c r="F520" s="24" t="inlineStr">
        <is>
          <t>Oklahoma Sooners</t>
        </is>
      </c>
      <c r="G520" s="24" t="inlineStr">
        <is>
          <t>Georgia Bulldogs</t>
        </is>
      </c>
      <c r="H520" s="24" t="inlineStr">
        <is>
          <t>spread</t>
        </is>
      </c>
      <c r="I520" s="24" t="inlineStr">
        <is>
          <t>away</t>
        </is>
      </c>
      <c r="J520" s="25" t="n">
        <v>13.5</v>
      </c>
      <c r="K520" s="24" t="inlineStr">
        <is>
          <t>espn_consensus</t>
        </is>
      </c>
      <c r="L520" s="26" t="n">
        <v>-110</v>
      </c>
      <c r="M520" s="27" t="n">
        <v>1.909091</v>
      </c>
      <c r="N520" s="28" t="n">
        <v>0.52381</v>
      </c>
      <c r="O520" s="28" t="n">
        <v>0.617667</v>
      </c>
      <c r="P520" s="28" t="n">
        <v>0.18</v>
      </c>
      <c r="Q520" s="28" t="n">
        <v>0.093857</v>
      </c>
      <c r="R520" s="26" t="n">
        <v>0</v>
      </c>
      <c r="S520" s="29" t="n">
        <v>1</v>
      </c>
      <c r="T520" s="24" t="inlineStr">
        <is>
          <t>cfb-spread-v1</t>
        </is>
      </c>
      <c r="U520" s="24" t="inlineStr">
        <is>
          <t>settled</t>
        </is>
      </c>
      <c r="V520" s="24" t="inlineStr">
        <is>
          <t>loss</t>
        </is>
      </c>
      <c r="W520" s="26" t="n">
        <v>13</v>
      </c>
      <c r="X520" s="26" t="n">
        <v>41</v>
      </c>
      <c r="Y520" s="25" t="n"/>
      <c r="Z520" s="26" t="n"/>
      <c r="AA520" s="28" t="n"/>
      <c r="AB520" s="28" t="n"/>
      <c r="AC520" s="30" t="n">
        <v>-1</v>
      </c>
      <c r="AD520" s="24" t="inlineStr">
        <is>
          <t>2026-09-27T04:30:29.633206Z</t>
        </is>
      </c>
      <c r="AE520" s="31" t="inlineStr">
        <is>
          <t>Projected home margin +7.6 pts. Spread: Home -13.5 / Away +13.5 -&gt; P(Away cover)=0.618, P(Home cover)=0.382, P(Push)=0.000.</t>
        </is>
      </c>
      <c r="AF520" s="31" t="inlineStr">
        <is>
          <t>College football model; multi-market (moneyline, spread, total).</t>
        </is>
      </c>
      <c r="AG520" s="24" t="inlineStr">
        <is>
          <t>review_required</t>
        </is>
      </c>
      <c r="AH520" s="24" t="n"/>
      <c r="AI520" s="31" t="n"/>
      <c r="AJ520" s="31" t="n"/>
      <c r="AK520" s="24" t="inlineStr">
        <is>
          <t>model_qualified</t>
        </is>
      </c>
      <c r="AL520" s="26" t="n">
        <v>4</v>
      </c>
      <c r="AM520" s="24" t="inlineStr">
        <is>
          <t>QUALIFIED_SHADOW_CALL</t>
        </is>
      </c>
      <c r="AN520" s="24" t="inlineStr">
        <is>
          <t>CALL</t>
        </is>
      </c>
      <c r="AO520" s="24" t="inlineStr">
        <is>
          <t>QUALIFIED</t>
        </is>
      </c>
      <c r="AP520" s="24" t="inlineStr">
        <is>
          <t>Oklahoma Sooners</t>
        </is>
      </c>
      <c r="AQ520" s="24" t="inlineStr">
        <is>
          <t>Oklahoma Sooners</t>
        </is>
      </c>
      <c r="AR520" s="24" t="inlineStr">
        <is>
          <t>Oklahoma Sooners</t>
        </is>
      </c>
      <c r="AS520" s="24" t="inlineStr">
        <is>
          <t>Georgia Bulldogs</t>
        </is>
      </c>
      <c r="AT520" s="24" t="inlineStr">
        <is>
          <t>Georgia Bulldogs</t>
        </is>
      </c>
      <c r="AU520" s="24" t="inlineStr">
        <is>
          <t>Georgia Bulldogs</t>
        </is>
      </c>
      <c r="AV520" s="24" t="n"/>
      <c r="AW520" s="24" t="n"/>
      <c r="AX520" s="24" t="inlineStr">
        <is>
          <t>statistical_model</t>
        </is>
      </c>
      <c r="AY520" s="24" t="n"/>
      <c r="AZ520" s="24" t="inlineStr">
        <is>
          <t>shadow_qualified</t>
        </is>
      </c>
      <c r="BA520" s="24" t="inlineStr">
        <is>
          <t>1d168f11d221cd3c</t>
        </is>
      </c>
      <c r="BB520" s="24" t="inlineStr">
        <is>
          <t>cfb_key_number_engine</t>
        </is>
      </c>
      <c r="BC520" s="24" t="inlineStr">
        <is>
          <t>cfb-spread-v1</t>
        </is>
      </c>
      <c r="BD520" s="24" t="inlineStr">
        <is>
          <t>1d168f11d221cd3c</t>
        </is>
      </c>
      <c r="BE520" s="24" t="inlineStr">
        <is>
          <t>cfb-v1</t>
        </is>
      </c>
      <c r="BF520" s="24" t="inlineStr">
        <is>
          <t>1</t>
        </is>
      </c>
      <c r="BG520" s="24" t="inlineStr">
        <is>
          <t>1d168f11d221cd3c</t>
        </is>
      </c>
      <c r="BH520" s="24" t="inlineStr">
        <is>
          <t>2026-09-26T15:01:01.506546+00:00</t>
        </is>
      </c>
      <c r="BI520" s="24" t="inlineStr">
        <is>
          <t>["same_event","same_team_same_day","same_league_same_day"]</t>
        </is>
      </c>
      <c r="BJ520" s="25" t="n">
        <v>13.5</v>
      </c>
      <c r="BK520" s="26" t="n">
        <v>-110</v>
      </c>
      <c r="BL520" s="27" t="n">
        <v>1.909091</v>
      </c>
      <c r="BM520" s="28" t="n">
        <v>0.52381</v>
      </c>
      <c r="BN520" s="28" t="n"/>
      <c r="BO520" s="28" t="n"/>
      <c r="BP520" s="25" t="n"/>
      <c r="BQ520" s="27" t="n"/>
      <c r="BR520" s="28" t="n"/>
      <c r="BS520" s="28" t="n"/>
      <c r="BT520" s="28" t="n"/>
      <c r="BU520" s="25" t="n"/>
      <c r="BV520" s="29" t="n"/>
      <c r="BW520" s="24" t="n"/>
      <c r="BX520" s="30" t="n"/>
      <c r="BY520" s="27" t="n"/>
      <c r="BZ520" s="24" t="n"/>
      <c r="CA520" s="31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inlineStr">
        <is>
          <t>True</t>
        </is>
      </c>
      <c r="CT520" s="24" t="n"/>
      <c r="CU520" s="24" t="n"/>
      <c r="CV520" s="24" t="n"/>
      <c r="CW520" s="24" t="n"/>
      <c r="CX520" s="24" t="n"/>
      <c r="CY520" s="24" t="n"/>
      <c r="CZ520" s="24" t="n"/>
      <c r="DA520" s="24" t="n"/>
      <c r="DB520" s="24" t="n"/>
      <c r="DC520" s="24" t="n"/>
      <c r="DD520" s="24" t="n"/>
      <c r="DE520" s="24" t="n"/>
      <c r="DF520" s="24" t="n"/>
      <c r="DG520" s="24" t="n"/>
      <c r="DH520" s="24" t="n"/>
      <c r="DI520" s="24" t="n"/>
      <c r="DJ520" s="24" t="inlineStr">
        <is>
          <t>0.52381</t>
        </is>
      </c>
      <c r="DK520" s="24" t="n"/>
      <c r="DL520" s="24" t="n"/>
      <c r="DM520" s="24" t="n"/>
      <c r="DN520" s="24" t="n"/>
      <c r="DO520" s="24" t="n"/>
      <c r="DP520" s="24" t="n"/>
      <c r="DQ520" s="24" t="inlineStr">
        <is>
          <t>{"artifact_hash": "1d168f11d221cd3c", "event_id": "401856700", "event_start_utc": "2026-09-26T19:30Z", "features": {"altitude_fatigue_penalty": 0.0, "away_team": "Oklahoma Sooners", "efficiency_gap": -1.645, "elo_away": 1674.1, "elo_home": 1795.8, "elo_home_win_prob": 0.7454, "event_id": "401856700", "game_start_utc": "2026-09-26T19:30Z", "home_field_advantage_points": 2.8, "home_team": "Georgia Bulldogs", "is_dome": false, "is_fbs_vs_fcs": false, "is_neutral_site": false, "projected_away_points": 24.4, "projected_home_points": 32.1, "projected_margin_home": 7.6, "projected_possessions": 12.4, "projected_total": 56.5, "stadium_elevation_ft": 760, "travel_distance_miles": 804.0, "uncertainty": 0.18, "weather_total_adjustment": 0.0}, "historical_source_observation_times_verified": false, "inference_inputs": {"engine_source_sha256": "449ba2f0e86fa9c445730076a0e0bf100fb4914620be53c75c6f3bfe24298f3f", "mu_away": 24.4, "mu_home": 32.1,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27576668568248103689765776067613734042}, "uinteger": 0}, "spread_home_line": -13.5, "total_line": 44.5}, "market_type": "spread", "model_version": "cfb-spread-v1", "observed_at_utc": "2026-09-26T15:01:01.506546+00:00", "probabilities": {"away": 0.617667, "home": 0.382333, "push": 0.0}, "replay_scope": "Full precision score means, exact engine parameters and original RNG state; upstream feature construction not certified.", "schema": "cfb-joint-replay-v1", "snapshot_hash": "3abbbccc8edffd9ef2abac643ebfb1cc91945725ef0fb0c9b7bac92e55b3a570", "sport": "NCAAF"}</t>
        </is>
      </c>
    </row>
    <row r="521" ht="36" customHeight="1">
      <c r="A521" s="24" t="inlineStr">
        <is>
          <t>d2e69969aab64574</t>
        </is>
      </c>
      <c r="B521" s="24" t="inlineStr">
        <is>
          <t>2026-09-26T15:01:01.506546Z</t>
        </is>
      </c>
      <c r="C521" s="24" t="inlineStr">
        <is>
          <t>2026-09-26T19:30Z</t>
        </is>
      </c>
      <c r="D521" s="24" t="inlineStr">
        <is>
          <t>401856700</t>
        </is>
      </c>
      <c r="E521" s="24" t="inlineStr">
        <is>
          <t>NCAAF</t>
        </is>
      </c>
      <c r="F521" s="24" t="inlineStr">
        <is>
          <t>Oklahoma Sooners</t>
        </is>
      </c>
      <c r="G521" s="24" t="inlineStr">
        <is>
          <t>Georgia Bulldogs</t>
        </is>
      </c>
      <c r="H521" s="24" t="inlineStr">
        <is>
          <t>total</t>
        </is>
      </c>
      <c r="I521" s="24" t="inlineStr">
        <is>
          <t>over</t>
        </is>
      </c>
      <c r="J521" s="25" t="n">
        <v>44.5</v>
      </c>
      <c r="K521" s="24" t="inlineStr">
        <is>
          <t>espn_consensus</t>
        </is>
      </c>
      <c r="L521" s="26" t="n">
        <v>-102</v>
      </c>
      <c r="M521" s="27" t="n">
        <v>1.980392</v>
      </c>
      <c r="N521" s="28" t="n">
        <v>0.50495</v>
      </c>
      <c r="O521" s="28" t="n">
        <v>0.662133</v>
      </c>
      <c r="P521" s="28" t="n">
        <v>0.18</v>
      </c>
      <c r="Q521" s="28" t="n">
        <v>0.157183</v>
      </c>
      <c r="R521" s="26" t="n">
        <v>21</v>
      </c>
      <c r="S521" s="29" t="n">
        <v>1</v>
      </c>
      <c r="T521" s="24" t="inlineStr">
        <is>
          <t>cfb-total-v1</t>
        </is>
      </c>
      <c r="U521" s="24" t="inlineStr">
        <is>
          <t>settled</t>
        </is>
      </c>
      <c r="V521" s="24" t="inlineStr">
        <is>
          <t>win</t>
        </is>
      </c>
      <c r="W521" s="26" t="n">
        <v>13</v>
      </c>
      <c r="X521" s="26" t="n">
        <v>41</v>
      </c>
      <c r="Y521" s="25" t="n"/>
      <c r="Z521" s="26" t="n"/>
      <c r="AA521" s="28" t="n"/>
      <c r="AB521" s="28" t="n"/>
      <c r="AC521" s="30" t="n">
        <v>0.9804</v>
      </c>
      <c r="AD521" s="24" t="inlineStr">
        <is>
          <t>2026-09-27T04:30:30.205250Z</t>
        </is>
      </c>
      <c r="AE521" s="31" t="inlineStr">
        <is>
          <t>Projected total 56.5 pts (Weather adj: +0.0 pts). Total line 44.5 -&gt; P(Over)=0.662, P(Under)=0.338, P(Push)=0.000.</t>
        </is>
      </c>
      <c r="AF521" s="31" t="inlineStr">
        <is>
          <t>College football model; multi-market (moneyline, spread, total).</t>
        </is>
      </c>
      <c r="AG521" s="24" t="inlineStr">
        <is>
          <t>not_applicable</t>
        </is>
      </c>
      <c r="AH521" s="24" t="n"/>
      <c r="AI521" s="31" t="n"/>
      <c r="AJ521" s="31" t="n"/>
      <c r="AK521" s="24" t="inlineStr">
        <is>
          <t>model_qualified</t>
        </is>
      </c>
      <c r="AL521" s="26" t="n">
        <v>4</v>
      </c>
      <c r="AM521" s="24" t="inlineStr">
        <is>
          <t>QUALIFIED_SHADOW_CALL</t>
        </is>
      </c>
      <c r="AN521" s="24" t="inlineStr">
        <is>
          <t>CALL</t>
        </is>
      </c>
      <c r="AO521" s="24" t="inlineStr">
        <is>
          <t>QUALIFIED</t>
        </is>
      </c>
      <c r="AP521" s="24" t="inlineStr">
        <is>
          <t>Oklahoma Sooners</t>
        </is>
      </c>
      <c r="AQ521" s="24" t="inlineStr">
        <is>
          <t>Oklahoma Sooners</t>
        </is>
      </c>
      <c r="AR521" s="24" t="inlineStr">
        <is>
          <t>Oklahoma Sooners</t>
        </is>
      </c>
      <c r="AS521" s="24" t="inlineStr">
        <is>
          <t>Georgia Bulldogs</t>
        </is>
      </c>
      <c r="AT521" s="24" t="inlineStr">
        <is>
          <t>Georgia Bulldogs</t>
        </is>
      </c>
      <c r="AU521" s="24" t="inlineStr">
        <is>
          <t>Georgia Bulldogs</t>
        </is>
      </c>
      <c r="AV521" s="24" t="n"/>
      <c r="AW521" s="24" t="n"/>
      <c r="AX521" s="24" t="inlineStr">
        <is>
          <t>statistical_model</t>
        </is>
      </c>
      <c r="AY521" s="24" t="n"/>
      <c r="AZ521" s="24" t="inlineStr">
        <is>
          <t>shadow_qualified</t>
        </is>
      </c>
      <c r="BA521" s="24" t="inlineStr">
        <is>
          <t>1d168f11d221cd3c</t>
        </is>
      </c>
      <c r="BB521" s="24" t="inlineStr">
        <is>
          <t>cfb_key_number_engine</t>
        </is>
      </c>
      <c r="BC521" s="24" t="inlineStr">
        <is>
          <t>cfb-total-v1</t>
        </is>
      </c>
      <c r="BD521" s="24" t="inlineStr">
        <is>
          <t>1d168f11d221cd3c</t>
        </is>
      </c>
      <c r="BE521" s="24" t="inlineStr">
        <is>
          <t>cfb-v1</t>
        </is>
      </c>
      <c r="BF521" s="24" t="inlineStr">
        <is>
          <t>1</t>
        </is>
      </c>
      <c r="BG521" s="24" t="inlineStr">
        <is>
          <t>1d168f11d221cd3c</t>
        </is>
      </c>
      <c r="BH521" s="24" t="inlineStr">
        <is>
          <t>2026-09-26T15:01:01.506546+00:00</t>
        </is>
      </c>
      <c r="BI521" s="24" t="inlineStr">
        <is>
          <t>["same_event","same_team_same_day","same_league_same_day"]</t>
        </is>
      </c>
      <c r="BJ521" s="25" t="n">
        <v>44.5</v>
      </c>
      <c r="BK521" s="26" t="n">
        <v>-102</v>
      </c>
      <c r="BL521" s="27" t="n">
        <v>1.980392</v>
      </c>
      <c r="BM521" s="28" t="n">
        <v>0.50495</v>
      </c>
      <c r="BN521" s="28" t="n"/>
      <c r="BO521" s="28" t="n"/>
      <c r="BP521" s="25" t="n"/>
      <c r="BQ521" s="27" t="n"/>
      <c r="BR521" s="28" t="n"/>
      <c r="BS521" s="28" t="n"/>
      <c r="BT521" s="28" t="n"/>
      <c r="BU521" s="25" t="n"/>
      <c r="BV521" s="29" t="n"/>
      <c r="BW521" s="24" t="n"/>
      <c r="BX521" s="30" t="n"/>
      <c r="BY521" s="27" t="n"/>
      <c r="BZ521" s="24" t="n"/>
      <c r="CA521" s="31" t="n"/>
      <c r="CB521" s="24" t="n"/>
      <c r="CC521" s="24" t="n"/>
      <c r="CD521" s="24" t="n"/>
      <c r="CE521" s="24" t="n"/>
      <c r="CF521" s="24" t="n"/>
      <c r="CG521" s="24" t="n"/>
      <c r="CH521" s="24" t="n"/>
      <c r="CI521" s="24" t="n"/>
      <c r="CJ521" s="24" t="n"/>
      <c r="CK521" s="24" t="n"/>
      <c r="CL521" s="24" t="n"/>
      <c r="CM521" s="24" t="n"/>
      <c r="CN521" s="24" t="n"/>
      <c r="CO521" s="24" t="n"/>
      <c r="CP521" s="24" t="n"/>
      <c r="CQ521" s="24" t="n"/>
      <c r="CR521" s="24" t="n"/>
      <c r="CS521" s="24" t="inlineStr">
        <is>
          <t>True</t>
        </is>
      </c>
      <c r="CT521" s="24" t="n"/>
      <c r="CU521" s="24" t="n"/>
      <c r="CV521" s="24" t="n"/>
      <c r="CW521" s="24" t="n"/>
      <c r="CX521" s="24" t="n"/>
      <c r="CY521" s="24" t="n"/>
      <c r="CZ521" s="24" t="n"/>
      <c r="DA521" s="24" t="n"/>
      <c r="DB521" s="24" t="n"/>
      <c r="DC521" s="24" t="n"/>
      <c r="DD521" s="24" t="n"/>
      <c r="DE521" s="24" t="n"/>
      <c r="DF521" s="24" t="n"/>
      <c r="DG521" s="24" t="n"/>
      <c r="DH521" s="24" t="n"/>
      <c r="DI521" s="24" t="n"/>
      <c r="DJ521" s="24" t="inlineStr">
        <is>
          <t>0.50495</t>
        </is>
      </c>
      <c r="DK521" s="24" t="n"/>
      <c r="DL521" s="24" t="n"/>
      <c r="DM521" s="24" t="n"/>
      <c r="DN521" s="24" t="n"/>
      <c r="DO521" s="24" t="n"/>
      <c r="DP521" s="24" t="n"/>
      <c r="DQ521" s="24" t="inlineStr">
        <is>
          <t>{"artifact_hash": "1d168f11d221cd3c", "event_id": "401856700", "event_start_utc": "2026-09-26T19:30Z", "features": {"altitude_fatigue_penalty": 0.0, "away_team": "Oklahoma Sooners", "efficiency_gap": -1.645, "elo_away": 1674.1, "elo_home": 1795.8, "elo_home_win_prob": 0.7454, "event_id": "401856700", "game_start_utc": "2026-09-26T19:30Z", "home_field_advantage_points": 2.8, "home_team": "Georgia Bulldogs", "is_dome": false, "is_fbs_vs_fcs": false, "is_neutral_site": false, "projected_away_points": 24.4, "projected_home_points": 32.1, "projected_margin_home": 7.6, "projected_possessions": 12.4, "projected_total": 56.5, "stadium_elevation_ft": 760, "travel_distance_miles": 804.0, "uncertainty": 0.18, "weather_total_adjustment": 0.0}, "historical_source_observation_times_verified": false, "inference_inputs": {"engine_source_sha256": "449ba2f0e86fa9c445730076a0e0bf100fb4914620be53c75c6f3bfe24298f3f", "mu_away": 24.4, "mu_home": 32.1,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27576668568248103689765776067613734042}, "uinteger": 0}, "spread_home_line": -13.5, "total_line": 44.5}, "market_type": "total", "model_version": "cfb-total-v1", "observed_at_utc": "2026-09-26T15:01:01.506546+00:00", "probabilities": {"over": 0.662133, "push": 0.0, "under": 0.337867}, "replay_scope": "Full precision score means, exact engine parameters and original RNG state; upstream feature construction not certified.", "schema": "cfb-joint-replay-v1", "snapshot_hash": "2af3a3496b4efe47a96b6570d122626ea656147fc2a37d7ce9ede6653d0049f8", "sport": "NCAAF"}</t>
        </is>
      </c>
    </row>
    <row r="522" ht="36" customHeight="1">
      <c r="A522" s="24" t="inlineStr">
        <is>
          <t>d954eef600e54cb7</t>
        </is>
      </c>
      <c r="B522" s="24" t="inlineStr">
        <is>
          <t>2026-09-26T15:01:01.506546Z</t>
        </is>
      </c>
      <c r="C522" s="24" t="inlineStr">
        <is>
          <t>2026-09-26T19:30Z</t>
        </is>
      </c>
      <c r="D522" s="24" t="inlineStr">
        <is>
          <t>401856699</t>
        </is>
      </c>
      <c r="E522" s="24" t="inlineStr">
        <is>
          <t>NCAAF</t>
        </is>
      </c>
      <c r="F522" s="24" t="inlineStr">
        <is>
          <t>Ole Miss Rebels</t>
        </is>
      </c>
      <c r="G522" s="24" t="inlineStr">
        <is>
          <t>Florida Gators</t>
        </is>
      </c>
      <c r="H522" s="24" t="inlineStr">
        <is>
          <t>moneyline</t>
        </is>
      </c>
      <c r="I522" s="24" t="inlineStr">
        <is>
          <t>away</t>
        </is>
      </c>
      <c r="J522" s="25" t="n"/>
      <c r="K522" s="24" t="inlineStr">
        <is>
          <t>espn_consensus</t>
        </is>
      </c>
      <c r="L522" s="26" t="n">
        <v>142</v>
      </c>
      <c r="M522" s="27" t="n">
        <v>2.42</v>
      </c>
      <c r="N522" s="28" t="n">
        <v>0.413223</v>
      </c>
      <c r="O522" s="28" t="n">
        <v>0.675027</v>
      </c>
      <c r="P522" s="28" t="n">
        <v>0.165</v>
      </c>
      <c r="Q522" s="28" t="n">
        <v>0.261804</v>
      </c>
      <c r="R522" s="26" t="n">
        <v>82</v>
      </c>
      <c r="S522" s="29" t="n">
        <v>1.75</v>
      </c>
      <c r="T522" s="24" t="inlineStr">
        <is>
          <t>college-football-v1</t>
        </is>
      </c>
      <c r="U522" s="24" t="inlineStr">
        <is>
          <t>settled</t>
        </is>
      </c>
      <c r="V522" s="24" t="inlineStr">
        <is>
          <t>loss</t>
        </is>
      </c>
      <c r="W522" s="26" t="n">
        <v>28</v>
      </c>
      <c r="X522" s="26" t="n">
        <v>52</v>
      </c>
      <c r="Y522" s="25" t="n"/>
      <c r="Z522" s="26" t="n"/>
      <c r="AA522" s="28" t="n"/>
      <c r="AB522" s="28" t="n"/>
      <c r="AC522" s="30" t="n">
        <v>-1.75</v>
      </c>
      <c r="AD522" s="24" t="inlineStr">
        <is>
          <t>2026-09-27T04:30:30.776171Z</t>
        </is>
      </c>
      <c r="AE522" s="31" t="inlineStr">
        <is>
          <t>CFB Joint Model (negative_binomial): proj score Ole Miss Rebels 33.2 @ Florida Gators 24.7 (Margin -8.5). Possessions: 12.4, HFA: +2.8 pts.</t>
        </is>
      </c>
      <c r="AF522" s="31" t="inlineStr">
        <is>
          <t>College football model; multi-market (moneyline, spread, total).</t>
        </is>
      </c>
      <c r="AG522" s="24" t="inlineStr">
        <is>
          <t>review_required</t>
        </is>
      </c>
      <c r="AH522" s="24" t="n"/>
      <c r="AI522" s="31" t="n"/>
      <c r="AJ522" s="31" t="n"/>
      <c r="AK522" s="24" t="inlineStr">
        <is>
          <t>model_qualified</t>
        </is>
      </c>
      <c r="AL522" s="26" t="n">
        <v>4</v>
      </c>
      <c r="AM522" s="24" t="inlineStr">
        <is>
          <t>QUALIFIED_SHADOW_CALL</t>
        </is>
      </c>
      <c r="AN522" s="24" t="inlineStr">
        <is>
          <t>CALL</t>
        </is>
      </c>
      <c r="AO522" s="24" t="inlineStr">
        <is>
          <t>QUALIFIED</t>
        </is>
      </c>
      <c r="AP522" s="24" t="inlineStr">
        <is>
          <t>Ole Miss Rebels</t>
        </is>
      </c>
      <c r="AQ522" s="24" t="inlineStr">
        <is>
          <t>Ole Miss Rebels</t>
        </is>
      </c>
      <c r="AR522" s="24" t="inlineStr">
        <is>
          <t>Ole Miss Rebels</t>
        </is>
      </c>
      <c r="AS522" s="24" t="inlineStr">
        <is>
          <t>Florida Gators</t>
        </is>
      </c>
      <c r="AT522" s="24" t="inlineStr">
        <is>
          <t>Florida Gators</t>
        </is>
      </c>
      <c r="AU522" s="24" t="inlineStr">
        <is>
          <t>Florida Gators</t>
        </is>
      </c>
      <c r="AV522" s="24" t="n"/>
      <c r="AW522" s="24" t="n"/>
      <c r="AX522" s="24" t="inlineStr">
        <is>
          <t>statistical_model</t>
        </is>
      </c>
      <c r="AY522" s="24" t="n"/>
      <c r="AZ522" s="24" t="inlineStr">
        <is>
          <t>shadow_qualified</t>
        </is>
      </c>
      <c r="BA522" s="24" t="inlineStr">
        <is>
          <t>1d168f11d221cd3c</t>
        </is>
      </c>
      <c r="BB522" s="24" t="inlineStr">
        <is>
          <t>cfb_key_number_engine</t>
        </is>
      </c>
      <c r="BC522" s="24" t="inlineStr">
        <is>
          <t>college-football-v1</t>
        </is>
      </c>
      <c r="BD522" s="24" t="inlineStr">
        <is>
          <t>1d168f11d221cd3c</t>
        </is>
      </c>
      <c r="BE522" s="24" t="inlineStr">
        <is>
          <t>cfb-v1</t>
        </is>
      </c>
      <c r="BF522" s="24" t="inlineStr">
        <is>
          <t>1</t>
        </is>
      </c>
      <c r="BG522" s="24" t="inlineStr">
        <is>
          <t>1d168f11d221cd3c</t>
        </is>
      </c>
      <c r="BH522" s="24" t="inlineStr">
        <is>
          <t>2026-09-26T15:01:01.506546+00:00</t>
        </is>
      </c>
      <c r="BI522" s="24" t="inlineStr">
        <is>
          <t>["same_event","same_team_same_day","same_league_same_day"]</t>
        </is>
      </c>
      <c r="BJ522" s="25" t="n"/>
      <c r="BK522" s="26" t="n">
        <v>142</v>
      </c>
      <c r="BL522" s="27" t="n">
        <v>2.42</v>
      </c>
      <c r="BM522" s="28" t="n">
        <v>0.413223</v>
      </c>
      <c r="BN522" s="28" t="n"/>
      <c r="BO522" s="28" t="n"/>
      <c r="BP522" s="25" t="n"/>
      <c r="BQ522" s="27" t="n"/>
      <c r="BR522" s="28" t="n"/>
      <c r="BS522" s="28" t="n"/>
      <c r="BT522" s="28" t="n"/>
      <c r="BU522" s="25" t="n"/>
      <c r="BV522" s="29" t="n"/>
      <c r="BW522" s="24" t="n"/>
      <c r="BX522" s="30" t="n"/>
      <c r="BY522" s="27" t="n"/>
      <c r="BZ522" s="24" t="n"/>
      <c r="CA522" s="31" t="n"/>
      <c r="CB522" s="24" t="n"/>
      <c r="CC522" s="24" t="n"/>
      <c r="CD522" s="24" t="n"/>
      <c r="CE522" s="24" t="n"/>
      <c r="CF522" s="24" t="n"/>
      <c r="CG522" s="24" t="n"/>
      <c r="CH522" s="24" t="n"/>
      <c r="CI522" s="24" t="n"/>
      <c r="CJ522" s="24" t="n"/>
      <c r="CK522" s="24" t="n"/>
      <c r="CL522" s="24" t="n"/>
      <c r="CM522" s="24" t="n"/>
      <c r="CN522" s="24" t="n"/>
      <c r="CO522" s="24" t="n"/>
      <c r="CP522" s="24" t="n"/>
      <c r="CQ522" s="24" t="n"/>
      <c r="CR522" s="24" t="n"/>
      <c r="CS522" s="24" t="inlineStr">
        <is>
          <t>True</t>
        </is>
      </c>
      <c r="CT522" s="24" t="n"/>
      <c r="CU522" s="24" t="n"/>
      <c r="CV522" s="24" t="n"/>
      <c r="CW522" s="24" t="n"/>
      <c r="CX522" s="24" t="n"/>
      <c r="CY522" s="24" t="n"/>
      <c r="CZ522" s="24" t="n"/>
      <c r="DA522" s="24" t="n"/>
      <c r="DB522" s="24" t="n"/>
      <c r="DC522" s="24" t="n"/>
      <c r="DD522" s="24" t="n"/>
      <c r="DE522" s="24" t="n"/>
      <c r="DF522" s="24" t="n"/>
      <c r="DG522" s="24" t="n"/>
      <c r="DH522" s="24" t="n"/>
      <c r="DI522" s="24" t="n"/>
      <c r="DJ522" s="24" t="inlineStr">
        <is>
          <t>0.413223</t>
        </is>
      </c>
      <c r="DK522" s="24" t="n"/>
      <c r="DL522" s="24" t="n"/>
      <c r="DM522" s="24" t="n"/>
      <c r="DN522" s="24" t="n"/>
      <c r="DO522" s="24" t="n"/>
      <c r="DP522" s="24" t="n"/>
      <c r="DQ522" s="24" t="inlineStr">
        <is>
          <t>{"artifact_hash": "1d168f11d221cd3c", "event_id": "401856699", "event_start_utc": "2026-09-26T19:30Z", "features": {"altitude_fatigue_penalty": 0.0, "away_team": "Ole Miss Rebels", "efficiency_gap": 1.626, "elo_away": 1818.2, "elo_home": 1522.4, "elo_home_win_prob": 0.2094, "event_id": "401856699", "game_start_utc": "2026-09-26T19:30Z", "home_field_advantage_points": 2.8, "home_team": "Florida Gators", "is_dome": false, "is_fbs_vs_fcs": false, "is_neutral_site": false, "projected_away_points": 33.2, "projected_home_points": 24.7, "projected_margin_home": -8.5, "projected_possessions": 12.4, "projected_total": 57.9, "stadium_elevation_ft": 150, "travel_distance_miles": 532.0, "uncertainty": 0.165, "weather_total_adjustment": 0.0}, "historical_source_observation_times_verified": false, "inference_inputs": {"engine_source_sha256": "449ba2f0e86fa9c445730076a0e0bf100fb4914620be53c75c6f3bfe24298f3f", "mu_away": 33.2, "mu_home": 24.7,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44098174028967593413666473412370705241}, "uinteger": 0}, "spread_home_line": -3.5, "total_line": 58.5}, "market_type": "moneyline", "model_version": "college-football-v1", "observed_at_utc": "2026-09-26T15:01:01.506546+00:00", "probabilities": {"away": 0.675027, "home": 0.324973}, "replay_scope": "Full precision score means, exact engine parameters and original RNG state; upstream feature construction not certified.", "schema": "cfb-joint-replay-v1", "snapshot_hash": "1e6de836d999b41ee01c62c063f38eaedc0836249372513bc65a1a246291d682", "sport": "NCAAF"}</t>
        </is>
      </c>
    </row>
    <row r="523" ht="36" customHeight="1">
      <c r="A523" s="24" t="inlineStr">
        <is>
          <t>d15a469d09604cb2</t>
        </is>
      </c>
      <c r="B523" s="24" t="inlineStr">
        <is>
          <t>2026-09-26T15:01:01.506546Z</t>
        </is>
      </c>
      <c r="C523" s="24" t="inlineStr">
        <is>
          <t>2026-09-26T19:30Z</t>
        </is>
      </c>
      <c r="D523" s="24" t="inlineStr">
        <is>
          <t>401856699</t>
        </is>
      </c>
      <c r="E523" s="24" t="inlineStr">
        <is>
          <t>NCAAF</t>
        </is>
      </c>
      <c r="F523" s="24" t="inlineStr">
        <is>
          <t>Ole Miss Rebels</t>
        </is>
      </c>
      <c r="G523" s="24" t="inlineStr">
        <is>
          <t>Florida Gators</t>
        </is>
      </c>
      <c r="H523" s="24" t="inlineStr">
        <is>
          <t>spread</t>
        </is>
      </c>
      <c r="I523" s="24" t="inlineStr">
        <is>
          <t>away</t>
        </is>
      </c>
      <c r="J523" s="25" t="n">
        <v>3.5</v>
      </c>
      <c r="K523" s="24" t="inlineStr">
        <is>
          <t>espn_consensus</t>
        </is>
      </c>
      <c r="L523" s="26" t="n">
        <v>-110</v>
      </c>
      <c r="M523" s="27" t="n">
        <v>1.909091</v>
      </c>
      <c r="N523" s="28" t="n">
        <v>0.52381</v>
      </c>
      <c r="O523" s="28" t="n">
        <v>0.736733</v>
      </c>
      <c r="P523" s="28" t="n">
        <v>0.165</v>
      </c>
      <c r="Q523" s="28" t="n">
        <v>0.212923</v>
      </c>
      <c r="R523" s="26" t="n">
        <v>57</v>
      </c>
      <c r="S523" s="29" t="n">
        <v>1.25</v>
      </c>
      <c r="T523" s="24" t="inlineStr">
        <is>
          <t>cfb-spread-v1</t>
        </is>
      </c>
      <c r="U523" s="24" t="inlineStr">
        <is>
          <t>settled</t>
        </is>
      </c>
      <c r="V523" s="24" t="inlineStr">
        <is>
          <t>loss</t>
        </is>
      </c>
      <c r="W523" s="26" t="n">
        <v>28</v>
      </c>
      <c r="X523" s="26" t="n">
        <v>52</v>
      </c>
      <c r="Y523" s="25" t="n"/>
      <c r="Z523" s="26" t="n"/>
      <c r="AA523" s="28" t="n"/>
      <c r="AB523" s="28" t="n"/>
      <c r="AC523" s="30" t="n">
        <v>-1.25</v>
      </c>
      <c r="AD523" s="24" t="inlineStr">
        <is>
          <t>2026-09-27T04:30:31.284256Z</t>
        </is>
      </c>
      <c r="AE523" s="31" t="inlineStr">
        <is>
          <t>Projected home margin -8.5 pts. Spread: Home -3.5 / Away +3.5 -&gt; P(Away cover)=0.737, P(Home cover)=0.263, P(Push)=0.000.</t>
        </is>
      </c>
      <c r="AF523" s="31" t="inlineStr">
        <is>
          <t>College football model; multi-market (moneyline, spread, total).</t>
        </is>
      </c>
      <c r="AG523" s="24" t="inlineStr">
        <is>
          <t>review_required</t>
        </is>
      </c>
      <c r="AH523" s="24" t="n"/>
      <c r="AI523" s="31" t="n"/>
      <c r="AJ523" s="31" t="n"/>
      <c r="AK523" s="24" t="inlineStr">
        <is>
          <t>model_qualified</t>
        </is>
      </c>
      <c r="AL523" s="26" t="n">
        <v>4</v>
      </c>
      <c r="AM523" s="24" t="inlineStr">
        <is>
          <t>QUALIFIED_SHADOW_CALL</t>
        </is>
      </c>
      <c r="AN523" s="24" t="inlineStr">
        <is>
          <t>CALL</t>
        </is>
      </c>
      <c r="AO523" s="24" t="inlineStr">
        <is>
          <t>QUALIFIED</t>
        </is>
      </c>
      <c r="AP523" s="24" t="inlineStr">
        <is>
          <t>Ole Miss Rebels</t>
        </is>
      </c>
      <c r="AQ523" s="24" t="inlineStr">
        <is>
          <t>Ole Miss Rebels</t>
        </is>
      </c>
      <c r="AR523" s="24" t="inlineStr">
        <is>
          <t>Ole Miss Rebels</t>
        </is>
      </c>
      <c r="AS523" s="24" t="inlineStr">
        <is>
          <t>Florida Gators</t>
        </is>
      </c>
      <c r="AT523" s="24" t="inlineStr">
        <is>
          <t>Florida Gators</t>
        </is>
      </c>
      <c r="AU523" s="24" t="inlineStr">
        <is>
          <t>Florida Gators</t>
        </is>
      </c>
      <c r="AV523" s="24" t="n"/>
      <c r="AW523" s="24" t="n"/>
      <c r="AX523" s="24" t="inlineStr">
        <is>
          <t>statistical_model</t>
        </is>
      </c>
      <c r="AY523" s="24" t="n"/>
      <c r="AZ523" s="24" t="inlineStr">
        <is>
          <t>shadow_qualified</t>
        </is>
      </c>
      <c r="BA523" s="24" t="inlineStr">
        <is>
          <t>1d168f11d221cd3c</t>
        </is>
      </c>
      <c r="BB523" s="24" t="inlineStr">
        <is>
          <t>cfb_key_number_engine</t>
        </is>
      </c>
      <c r="BC523" s="24" t="inlineStr">
        <is>
          <t>cfb-spread-v1</t>
        </is>
      </c>
      <c r="BD523" s="24" t="inlineStr">
        <is>
          <t>1d168f11d221cd3c</t>
        </is>
      </c>
      <c r="BE523" s="24" t="inlineStr">
        <is>
          <t>cfb-v1</t>
        </is>
      </c>
      <c r="BF523" s="24" t="inlineStr">
        <is>
          <t>1</t>
        </is>
      </c>
      <c r="BG523" s="24" t="inlineStr">
        <is>
          <t>1d168f11d221cd3c</t>
        </is>
      </c>
      <c r="BH523" s="24" t="inlineStr">
        <is>
          <t>2026-09-26T15:01:01.506546+00:00</t>
        </is>
      </c>
      <c r="BI523" s="24" t="inlineStr">
        <is>
          <t>["same_event","same_team_same_day","same_league_same_day"]</t>
        </is>
      </c>
      <c r="BJ523" s="25" t="n">
        <v>3.5</v>
      </c>
      <c r="BK523" s="26" t="n">
        <v>-110</v>
      </c>
      <c r="BL523" s="27" t="n">
        <v>1.909091</v>
      </c>
      <c r="BM523" s="28" t="n">
        <v>0.52381</v>
      </c>
      <c r="BN523" s="28" t="n"/>
      <c r="BO523" s="28" t="n"/>
      <c r="BP523" s="25" t="n"/>
      <c r="BQ523" s="27" t="n"/>
      <c r="BR523" s="28" t="n"/>
      <c r="BS523" s="28" t="n"/>
      <c r="BT523" s="28" t="n"/>
      <c r="BU523" s="25" t="n"/>
      <c r="BV523" s="29" t="n"/>
      <c r="BW523" s="24" t="n"/>
      <c r="BX523" s="30" t="n"/>
      <c r="BY523" s="27" t="n"/>
      <c r="BZ523" s="24" t="n"/>
      <c r="CA523" s="31" t="n"/>
      <c r="CB523" s="24" t="n"/>
      <c r="CC523" s="24" t="n"/>
      <c r="CD523" s="24" t="n"/>
      <c r="CE523" s="24" t="n"/>
      <c r="CF523" s="24" t="n"/>
      <c r="CG523" s="24" t="n"/>
      <c r="CH523" s="24" t="n"/>
      <c r="CI523" s="24" t="n"/>
      <c r="CJ523" s="24" t="n"/>
      <c r="CK523" s="24" t="n"/>
      <c r="CL523" s="24" t="n"/>
      <c r="CM523" s="24" t="n"/>
      <c r="CN523" s="24" t="n"/>
      <c r="CO523" s="24" t="n"/>
      <c r="CP523" s="24" t="n"/>
      <c r="CQ523" s="24" t="n"/>
      <c r="CR523" s="24" t="n"/>
      <c r="CS523" s="24" t="inlineStr">
        <is>
          <t>True</t>
        </is>
      </c>
      <c r="CT523" s="24" t="n"/>
      <c r="CU523" s="24" t="n"/>
      <c r="CV523" s="24" t="n"/>
      <c r="CW523" s="24" t="n"/>
      <c r="CX523" s="24" t="n"/>
      <c r="CY523" s="24" t="n"/>
      <c r="CZ523" s="24" t="n"/>
      <c r="DA523" s="24" t="n"/>
      <c r="DB523" s="24" t="n"/>
      <c r="DC523" s="24" t="n"/>
      <c r="DD523" s="24" t="n"/>
      <c r="DE523" s="24" t="n"/>
      <c r="DF523" s="24" t="n"/>
      <c r="DG523" s="24" t="n"/>
      <c r="DH523" s="24" t="n"/>
      <c r="DI523" s="24" t="n"/>
      <c r="DJ523" s="24" t="inlineStr">
        <is>
          <t>0.52381</t>
        </is>
      </c>
      <c r="DK523" s="24" t="n"/>
      <c r="DL523" s="24" t="n"/>
      <c r="DM523" s="24" t="n"/>
      <c r="DN523" s="24" t="n"/>
      <c r="DO523" s="24" t="n"/>
      <c r="DP523" s="24" t="n"/>
      <c r="DQ523" s="24" t="inlineStr">
        <is>
          <t>{"artifact_hash": "1d168f11d221cd3c", "event_id": "401856699", "event_start_utc": "2026-09-26T19:30Z", "features": {"altitude_fatigue_penalty": 0.0, "away_team": "Ole Miss Rebels", "efficiency_gap": 1.626, "elo_away": 1818.2, "elo_home": 1522.4, "elo_home_win_prob": 0.2094, "event_id": "401856699", "game_start_utc": "2026-09-26T19:30Z", "home_field_advantage_points": 2.8, "home_team": "Florida Gators", "is_dome": false, "is_fbs_vs_fcs": false, "is_neutral_site": false, "projected_away_points": 33.2, "projected_home_points": 24.7, "projected_margin_home": -8.5, "projected_possessions": 12.4, "projected_total": 57.9, "stadium_elevation_ft": 150, "travel_distance_miles": 532.0, "uncertainty": 0.165, "weather_total_adjustment": 0.0}, "historical_source_observation_times_verified": false, "inference_inputs": {"engine_source_sha256": "449ba2f0e86fa9c445730076a0e0bf100fb4914620be53c75c6f3bfe24298f3f", "mu_away": 33.2, "mu_home": 24.7,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44098174028967593413666473412370705241}, "uinteger": 0}, "spread_home_line": -3.5, "total_line": 58.5}, "market_type": "spread", "model_version": "cfb-spread-v1", "observed_at_utc": "2026-09-26T15:01:01.506546+00:00", "probabilities": {"away": 0.736733, "home": 0.263267, "push": 0.0}, "replay_scope": "Full precision score means, exact engine parameters and original RNG state; upstream feature construction not certified.", "schema": "cfb-joint-replay-v1", "snapshot_hash": "bd4e2c04a471488bddc468ef3250ee6a4abee7d48ba9a37ff690bf2e9da77a65", "sport": "NCAAF"}</t>
        </is>
      </c>
    </row>
    <row r="524" ht="36" customHeight="1">
      <c r="A524" s="24" t="inlineStr">
        <is>
          <t>158c5541d7ed455c</t>
        </is>
      </c>
      <c r="B524" s="24" t="inlineStr">
        <is>
          <t>2026-09-26T15:01:01.506546Z</t>
        </is>
      </c>
      <c r="C524" s="24" t="inlineStr">
        <is>
          <t>2026-09-26T19:30Z</t>
        </is>
      </c>
      <c r="D524" s="24" t="inlineStr">
        <is>
          <t>401856699</t>
        </is>
      </c>
      <c r="E524" s="24" t="inlineStr">
        <is>
          <t>NCAAF</t>
        </is>
      </c>
      <c r="F524" s="24" t="inlineStr">
        <is>
          <t>Ole Miss Rebels</t>
        </is>
      </c>
      <c r="G524" s="24" t="inlineStr">
        <is>
          <t>Florida Gators</t>
        </is>
      </c>
      <c r="H524" s="24" t="inlineStr">
        <is>
          <t>total</t>
        </is>
      </c>
      <c r="I524" s="24" t="inlineStr">
        <is>
          <t>under</t>
        </is>
      </c>
      <c r="J524" s="25" t="n">
        <v>58.5</v>
      </c>
      <c r="K524" s="24" t="inlineStr">
        <is>
          <t>espn_consensus</t>
        </is>
      </c>
      <c r="L524" s="26" t="n">
        <v>-105</v>
      </c>
      <c r="M524" s="27" t="n">
        <v>1.952381</v>
      </c>
      <c r="N524" s="28" t="n">
        <v>0.512195</v>
      </c>
      <c r="O524" s="28" t="n">
        <v>0.5486</v>
      </c>
      <c r="P524" s="28" t="n">
        <v>0.165</v>
      </c>
      <c r="Q524" s="28" t="n">
        <v>0.036405</v>
      </c>
      <c r="R524" s="26" t="n">
        <v>0</v>
      </c>
      <c r="S524" s="29" t="n">
        <v>1</v>
      </c>
      <c r="T524" s="24" t="inlineStr">
        <is>
          <t>cfb-total-v1</t>
        </is>
      </c>
      <c r="U524" s="24" t="inlineStr">
        <is>
          <t>settled</t>
        </is>
      </c>
      <c r="V524" s="24" t="inlineStr">
        <is>
          <t>loss</t>
        </is>
      </c>
      <c r="W524" s="26" t="n">
        <v>28</v>
      </c>
      <c r="X524" s="26" t="n">
        <v>52</v>
      </c>
      <c r="Y524" s="25" t="n"/>
      <c r="Z524" s="26" t="n"/>
      <c r="AA524" s="28" t="n"/>
      <c r="AB524" s="28" t="n"/>
      <c r="AC524" s="30" t="n">
        <v>-1</v>
      </c>
      <c r="AD524" s="24" t="inlineStr">
        <is>
          <t>2026-09-27T04:30:31.937226Z</t>
        </is>
      </c>
      <c r="AE524" s="31" t="inlineStr">
        <is>
          <t>Projected total 57.9 pts (Weather adj: +0.0 pts). Total line 58.5 -&gt; P(Over)=0.451, P(Under)=0.549, P(Push)=0.000.</t>
        </is>
      </c>
      <c r="AF524" s="31" t="inlineStr">
        <is>
          <t>College football model; multi-market (moneyline, spread, total).</t>
        </is>
      </c>
      <c r="AG524" s="24" t="inlineStr">
        <is>
          <t>review_required</t>
        </is>
      </c>
      <c r="AH524" s="24" t="n"/>
      <c r="AI524" s="31" t="n"/>
      <c r="AJ524" s="31" t="n"/>
      <c r="AK524" s="24" t="inlineStr">
        <is>
          <t>model_qualified</t>
        </is>
      </c>
      <c r="AL524" s="26" t="n">
        <v>4</v>
      </c>
      <c r="AM524" s="24" t="inlineStr">
        <is>
          <t>QUALIFIED_SHADOW_CALL</t>
        </is>
      </c>
      <c r="AN524" s="24" t="inlineStr">
        <is>
          <t>CALL</t>
        </is>
      </c>
      <c r="AO524" s="24" t="inlineStr">
        <is>
          <t>QUALIFIED</t>
        </is>
      </c>
      <c r="AP524" s="24" t="inlineStr">
        <is>
          <t>Ole Miss Rebels</t>
        </is>
      </c>
      <c r="AQ524" s="24" t="inlineStr">
        <is>
          <t>Ole Miss Rebels</t>
        </is>
      </c>
      <c r="AR524" s="24" t="inlineStr">
        <is>
          <t>Ole Miss Rebels</t>
        </is>
      </c>
      <c r="AS524" s="24" t="inlineStr">
        <is>
          <t>Florida Gators</t>
        </is>
      </c>
      <c r="AT524" s="24" t="inlineStr">
        <is>
          <t>Florida Gators</t>
        </is>
      </c>
      <c r="AU524" s="24" t="inlineStr">
        <is>
          <t>Florida Gators</t>
        </is>
      </c>
      <c r="AV524" s="24" t="n"/>
      <c r="AW524" s="24" t="n"/>
      <c r="AX524" s="24" t="inlineStr">
        <is>
          <t>statistical_model</t>
        </is>
      </c>
      <c r="AY524" s="24" t="n"/>
      <c r="AZ524" s="24" t="inlineStr">
        <is>
          <t>shadow_qualified</t>
        </is>
      </c>
      <c r="BA524" s="24" t="inlineStr">
        <is>
          <t>1d168f11d221cd3c</t>
        </is>
      </c>
      <c r="BB524" s="24" t="inlineStr">
        <is>
          <t>cfb_key_number_engine</t>
        </is>
      </c>
      <c r="BC524" s="24" t="inlineStr">
        <is>
          <t>cfb-total-v1</t>
        </is>
      </c>
      <c r="BD524" s="24" t="inlineStr">
        <is>
          <t>1d168f11d221cd3c</t>
        </is>
      </c>
      <c r="BE524" s="24" t="inlineStr">
        <is>
          <t>cfb-v1</t>
        </is>
      </c>
      <c r="BF524" s="24" t="inlineStr">
        <is>
          <t>1</t>
        </is>
      </c>
      <c r="BG524" s="24" t="inlineStr">
        <is>
          <t>1d168f11d221cd3c</t>
        </is>
      </c>
      <c r="BH524" s="24" t="inlineStr">
        <is>
          <t>2026-09-26T15:01:01.506546+00:00</t>
        </is>
      </c>
      <c r="BI524" s="24" t="inlineStr">
        <is>
          <t>["same_event","same_team_same_day","same_league_same_day"]</t>
        </is>
      </c>
      <c r="BJ524" s="25" t="n">
        <v>58.5</v>
      </c>
      <c r="BK524" s="26" t="n">
        <v>-105</v>
      </c>
      <c r="BL524" s="27" t="n">
        <v>1.952381</v>
      </c>
      <c r="BM524" s="28" t="n">
        <v>0.512195</v>
      </c>
      <c r="BN524" s="28" t="n"/>
      <c r="BO524" s="28" t="n"/>
      <c r="BP524" s="25" t="n"/>
      <c r="BQ524" s="27" t="n"/>
      <c r="BR524" s="28" t="n"/>
      <c r="BS524" s="28" t="n"/>
      <c r="BT524" s="28" t="n"/>
      <c r="BU524" s="25" t="n"/>
      <c r="BV524" s="29" t="n"/>
      <c r="BW524" s="24" t="n"/>
      <c r="BX524" s="30" t="n"/>
      <c r="BY524" s="27" t="n"/>
      <c r="BZ524" s="24" t="n"/>
      <c r="CA524" s="31" t="n"/>
      <c r="CB524" s="24" t="n"/>
      <c r="CC524" s="24" t="n"/>
      <c r="CD524" s="24" t="n"/>
      <c r="CE524" s="24" t="n"/>
      <c r="CF524" s="24" t="n"/>
      <c r="CG524" s="24" t="n"/>
      <c r="CH524" s="24" t="n"/>
      <c r="CI524" s="24" t="n"/>
      <c r="CJ524" s="24" t="n"/>
      <c r="CK524" s="24" t="n"/>
      <c r="CL524" s="24" t="n"/>
      <c r="CM524" s="24" t="n"/>
      <c r="CN524" s="24" t="n"/>
      <c r="CO524" s="24" t="n"/>
      <c r="CP524" s="24" t="n"/>
      <c r="CQ524" s="24" t="n"/>
      <c r="CR524" s="24" t="n"/>
      <c r="CS524" s="24" t="inlineStr">
        <is>
          <t>True</t>
        </is>
      </c>
      <c r="CT524" s="24" t="n"/>
      <c r="CU524" s="24" t="n"/>
      <c r="CV524" s="24" t="n"/>
      <c r="CW524" s="24" t="n"/>
      <c r="CX524" s="24" t="n"/>
      <c r="CY524" s="24" t="n"/>
      <c r="CZ524" s="24" t="n"/>
      <c r="DA524" s="24" t="n"/>
      <c r="DB524" s="24" t="n"/>
      <c r="DC524" s="24" t="n"/>
      <c r="DD524" s="24" t="n"/>
      <c r="DE524" s="24" t="n"/>
      <c r="DF524" s="24" t="n"/>
      <c r="DG524" s="24" t="n"/>
      <c r="DH524" s="24" t="n"/>
      <c r="DI524" s="24" t="n"/>
      <c r="DJ524" s="24" t="inlineStr">
        <is>
          <t>0.512195</t>
        </is>
      </c>
      <c r="DK524" s="24" t="n"/>
      <c r="DL524" s="24" t="n"/>
      <c r="DM524" s="24" t="n"/>
      <c r="DN524" s="24" t="n"/>
      <c r="DO524" s="24" t="n"/>
      <c r="DP524" s="24" t="n"/>
      <c r="DQ524" s="24" t="inlineStr">
        <is>
          <t>{"artifact_hash": "1d168f11d221cd3c", "event_id": "401856699", "event_start_utc": "2026-09-26T19:30Z", "features": {"altitude_fatigue_penalty": 0.0, "away_team": "Ole Miss Rebels", "efficiency_gap": 1.626, "elo_away": 1818.2, "elo_home": 1522.4, "elo_home_win_prob": 0.2094, "event_id": "401856699", "game_start_utc": "2026-09-26T19:30Z", "home_field_advantage_points": 2.8, "home_team": "Florida Gators", "is_dome": false, "is_fbs_vs_fcs": false, "is_neutral_site": false, "projected_away_points": 33.2, "projected_home_points": 24.7, "projected_margin_home": -8.5, "projected_possessions": 12.4, "projected_total": 57.9, "stadium_elevation_ft": 150, "travel_distance_miles": 532.0, "uncertainty": 0.165, "weather_total_adjustment": 0.0}, "historical_source_observation_times_verified": false, "inference_inputs": {"engine_source_sha256": "449ba2f0e86fa9c445730076a0e0bf100fb4914620be53c75c6f3bfe24298f3f", "mu_away": 33.2, "mu_home": 24.7,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44098174028967593413666473412370705241}, "uinteger": 0}, "spread_home_line": -3.5, "total_line": 58.5}, "market_type": "total", "model_version": "cfb-total-v1", "observed_at_utc": "2026-09-26T15:01:01.506546+00:00", "probabilities": {"over": 0.4514, "push": 0.0, "under": 0.5486}, "replay_scope": "Full precision score means, exact engine parameters and original RNG state; upstream feature construction not certified.", "schema": "cfb-joint-replay-v1", "snapshot_hash": "0cf23d65b3042607679f9d43d2dde5552fcd147ea7f2577ab63bf66e0a1efea3", "sport": "NCAAF"}</t>
        </is>
      </c>
    </row>
    <row r="525" ht="36" customHeight="1">
      <c r="A525" s="24" t="inlineStr">
        <is>
          <t>c024ada333554876</t>
        </is>
      </c>
      <c r="B525" s="24" t="inlineStr">
        <is>
          <t>2026-09-26T15:01:01.506546Z</t>
        </is>
      </c>
      <c r="C525" s="24" t="inlineStr">
        <is>
          <t>2026-09-26T19:30Z</t>
        </is>
      </c>
      <c r="D525" s="24" t="inlineStr">
        <is>
          <t>401856816</t>
        </is>
      </c>
      <c r="E525" s="24" t="inlineStr">
        <is>
          <t>NCAAF</t>
        </is>
      </c>
      <c r="F525" s="24" t="inlineStr">
        <is>
          <t>Utah Utes</t>
        </is>
      </c>
      <c r="G525" s="24" t="inlineStr">
        <is>
          <t>Iowa State Cyclones</t>
        </is>
      </c>
      <c r="H525" s="24" t="inlineStr">
        <is>
          <t>moneyline</t>
        </is>
      </c>
      <c r="I525" s="24" t="inlineStr">
        <is>
          <t>away</t>
        </is>
      </c>
      <c r="J525" s="25" t="n"/>
      <c r="K525" s="24" t="inlineStr">
        <is>
          <t>espn_consensus</t>
        </is>
      </c>
      <c r="L525" s="26" t="n">
        <v>-325</v>
      </c>
      <c r="M525" s="27" t="n">
        <v>1.307692</v>
      </c>
      <c r="N525" s="28" t="n">
        <v>0.764706</v>
      </c>
      <c r="O525" s="28" t="n">
        <v>0.630973</v>
      </c>
      <c r="P525" s="28" t="n">
        <v>0.18</v>
      </c>
      <c r="Q525" s="28" t="n">
        <v>-0.133733</v>
      </c>
      <c r="R525" s="26" t="n">
        <v>0</v>
      </c>
      <c r="S525" s="29" t="n">
        <v>1</v>
      </c>
      <c r="T525" s="24" t="inlineStr">
        <is>
          <t>college-football-v1</t>
        </is>
      </c>
      <c r="U525" s="24" t="inlineStr">
        <is>
          <t>settled</t>
        </is>
      </c>
      <c r="V525" s="24" t="inlineStr">
        <is>
          <t>win</t>
        </is>
      </c>
      <c r="W525" s="26" t="n">
        <v>31</v>
      </c>
      <c r="X525" s="26" t="n">
        <v>17</v>
      </c>
      <c r="Y525" s="25" t="n"/>
      <c r="Z525" s="26" t="n"/>
      <c r="AA525" s="28" t="n"/>
      <c r="AB525" s="28" t="n"/>
      <c r="AC525" s="30" t="n">
        <v>0.3077</v>
      </c>
      <c r="AD525" s="24" t="inlineStr">
        <is>
          <t>2026-09-27T04:30:32.501555Z</t>
        </is>
      </c>
      <c r="AE525" s="31" t="inlineStr">
        <is>
          <t>CFB Joint Model (negative_binomial): proj score Utah Utes 31.5 @ Iowa State Cyclones 25.1 (Margin -6.4). Possessions: 12.4, HFA: +2.8 pts.</t>
        </is>
      </c>
      <c r="AF525" s="31" t="inlineStr">
        <is>
          <t>College football model; multi-market (moneyline, spread, total).</t>
        </is>
      </c>
      <c r="AG525" s="24" t="inlineStr">
        <is>
          <t>not_applicable</t>
        </is>
      </c>
      <c r="AH525" s="24" t="n"/>
      <c r="AI525" s="31" t="n"/>
      <c r="AJ525" s="31" t="n"/>
      <c r="AK525" s="24" t="inlineStr">
        <is>
          <t>paper_call</t>
        </is>
      </c>
      <c r="AL525" s="26" t="n">
        <v>4</v>
      </c>
      <c r="AM525" s="24" t="inlineStr">
        <is>
          <t>RESEARCH_OBSERVATION</t>
        </is>
      </c>
      <c r="AN525" s="24" t="inlineStr">
        <is>
          <t>CALL</t>
        </is>
      </c>
      <c r="AO525" s="24" t="inlineStr">
        <is>
          <t>PAPER_CALL_LOW_EDGE</t>
        </is>
      </c>
      <c r="AP525" s="24" t="inlineStr">
        <is>
          <t>Utah Utes</t>
        </is>
      </c>
      <c r="AQ525" s="24" t="inlineStr">
        <is>
          <t>Utah Utes</t>
        </is>
      </c>
      <c r="AR525" s="24" t="inlineStr">
        <is>
          <t>Utah Utes</t>
        </is>
      </c>
      <c r="AS525" s="24" t="inlineStr">
        <is>
          <t>Iowa State Cyclones</t>
        </is>
      </c>
      <c r="AT525" s="24" t="inlineStr">
        <is>
          <t>Iowa State Cyclones</t>
        </is>
      </c>
      <c r="AU525" s="24" t="inlineStr">
        <is>
          <t>Iowa State Cyclones</t>
        </is>
      </c>
      <c r="AV525" s="24" t="n"/>
      <c r="AW525" s="24" t="n"/>
      <c r="AX525" s="24" t="inlineStr">
        <is>
          <t>statistical_model</t>
        </is>
      </c>
      <c r="AY525" s="24" t="n"/>
      <c r="AZ525" s="24" t="inlineStr">
        <is>
          <t>shadow_qualified</t>
        </is>
      </c>
      <c r="BA525" s="24" t="inlineStr">
        <is>
          <t>1d168f11d221cd3c</t>
        </is>
      </c>
      <c r="BB525" s="24" t="inlineStr">
        <is>
          <t>cfb_key_number_engine</t>
        </is>
      </c>
      <c r="BC525" s="24" t="inlineStr">
        <is>
          <t>college-football-v1</t>
        </is>
      </c>
      <c r="BD525" s="24" t="inlineStr">
        <is>
          <t>1d168f11d221cd3c</t>
        </is>
      </c>
      <c r="BE525" s="24" t="inlineStr">
        <is>
          <t>cfb-v1</t>
        </is>
      </c>
      <c r="BF525" s="24" t="inlineStr">
        <is>
          <t>1</t>
        </is>
      </c>
      <c r="BG525" s="24" t="inlineStr">
        <is>
          <t>1d168f11d221cd3c</t>
        </is>
      </c>
      <c r="BH525" s="24" t="inlineStr">
        <is>
          <t>2026-09-26T15:01:01.506546+00:00</t>
        </is>
      </c>
      <c r="BI525" s="24" t="inlineStr">
        <is>
          <t>["same_event","same_team_same_day","same_league_same_day"]</t>
        </is>
      </c>
      <c r="BJ525" s="25" t="n"/>
      <c r="BK525" s="26" t="n">
        <v>-325</v>
      </c>
      <c r="BL525" s="27" t="n">
        <v>1.307692</v>
      </c>
      <c r="BM525" s="28" t="n">
        <v>0.764706</v>
      </c>
      <c r="BN525" s="28" t="n"/>
      <c r="BO525" s="28" t="n"/>
      <c r="BP525" s="25" t="n"/>
      <c r="BQ525" s="27" t="n"/>
      <c r="BR525" s="28" t="n"/>
      <c r="BS525" s="28" t="n"/>
      <c r="BT525" s="28" t="n"/>
      <c r="BU525" s="25" t="n"/>
      <c r="BV525" s="29" t="n"/>
      <c r="BW525" s="24" t="n"/>
      <c r="BX525" s="30" t="n">
        <v>1</v>
      </c>
      <c r="BY525" s="27" t="n">
        <v>0.307692</v>
      </c>
      <c r="BZ525" s="24" t="inlineStr">
        <is>
          <t>2026-09-27T04:30:32.501555Z</t>
        </is>
      </c>
      <c r="CA525" s="31" t="inlineStr">
        <is>
          <t>fixed one-unit hypothetical scoring; no real exposure or execution</t>
        </is>
      </c>
      <c r="CB525" s="24" t="n"/>
      <c r="CC525" s="24" t="n"/>
      <c r="CD525" s="24" t="n"/>
      <c r="CE525" s="24" t="n"/>
      <c r="CF525" s="24" t="n"/>
      <c r="CG525" s="24" t="n"/>
      <c r="CH525" s="24" t="n"/>
      <c r="CI525" s="24" t="n"/>
      <c r="CJ525" s="24" t="n"/>
      <c r="CK525" s="24" t="n"/>
      <c r="CL525" s="24" t="n"/>
      <c r="CM525" s="24" t="n"/>
      <c r="CN525" s="24" t="n"/>
      <c r="CO525" s="24" t="n"/>
      <c r="CP525" s="24" t="n"/>
      <c r="CQ525" s="24" t="n"/>
      <c r="CR525" s="24" t="n"/>
      <c r="CS525" s="24" t="inlineStr">
        <is>
          <t>False</t>
        </is>
      </c>
      <c r="CT525" s="24" t="n"/>
      <c r="CU525" s="24" t="n"/>
      <c r="CV525" s="24" t="n"/>
      <c r="CW525" s="24" t="n"/>
      <c r="CX525" s="24" t="n"/>
      <c r="CY525" s="24" t="n"/>
      <c r="CZ525" s="24" t="n"/>
      <c r="DA525" s="24" t="n"/>
      <c r="DB525" s="24" t="n"/>
      <c r="DC525" s="24" t="n"/>
      <c r="DD525" s="24" t="n"/>
      <c r="DE525" s="24" t="n"/>
      <c r="DF525" s="24" t="n"/>
      <c r="DG525" s="24" t="n"/>
      <c r="DH525" s="24" t="n"/>
      <c r="DI525" s="24" t="n"/>
      <c r="DJ525" s="24" t="inlineStr">
        <is>
          <t>0.764706</t>
        </is>
      </c>
      <c r="DK525" s="24" t="n"/>
      <c r="DL525" s="24" t="n"/>
      <c r="DM525" s="24" t="n"/>
      <c r="DN525" s="24" t="n"/>
      <c r="DO525" s="24" t="n"/>
      <c r="DP525" s="24" t="n"/>
      <c r="DQ525" s="24" t="inlineStr">
        <is>
          <t>{"artifact_hash": "1d168f11d221cd3c", "event_id": "401856816", "event_start_utc": "2026-09-26T19:30Z", "features": {"altitude_fatigue_penalty": 0.0, "away_team": "Utah Utes", "efficiency_gap": -1.877, "elo_away": 1832.9, "elo_home": 1611.6, "elo_home_win_prob": 0.289, "event_id": "401856816", "game_start_utc": "2026-09-26T19:30Z", "home_field_advantage_points": 2.8, "home_team": "Iowa State Cyclones", "is_dome": false, "is_fbs_vs_fcs": false, "is_neutral_site": false, "projected_away_points": 31.5, "projected_home_points": 25.1, "projected_margin_home": -6.4, "projected_possessions": 12.4, "projected_total": 56.6, "stadium_elevation_ft": 920, "travel_distance_miles": 946.0, "uncertainty": 0.18, "weather_total_adjustment": 0.0}, "historical_source_observation_times_verified": false, "inference_inputs": {"engine_source_sha256": "449ba2f0e86fa9c445730076a0e0bf100fb4914620be53c75c6f3bfe24298f3f", "mu_away": 31.5, "mu_home": 25.1,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5883215823540666125264946670243244540}, "uinteger": 0}, "spread_home_line": 7.5, "total_line": 47.5}, "market_type": "moneyline", "model_version": "college-football-v1", "observed_at_utc": "2026-09-26T15:01:01.506546+00:00", "probabilities": {"away": 0.630973, "home": 0.369027}, "replay_scope": "Full precision score means, exact engine parameters and original RNG state; upstream feature construction not certified.", "schema": "cfb-joint-replay-v1", "snapshot_hash": "3d625364cc8a8eff1c6bf7ceb3bdc47fe6acbd68fb0acb59437e7fbbcbef7cb9", "sport": "NCAAF"}</t>
        </is>
      </c>
    </row>
    <row r="526" ht="36" customHeight="1">
      <c r="A526" s="24" t="inlineStr">
        <is>
          <t>b08035b1685b44dd</t>
        </is>
      </c>
      <c r="B526" s="24" t="inlineStr">
        <is>
          <t>2026-09-26T15:01:01.506546Z</t>
        </is>
      </c>
      <c r="C526" s="24" t="inlineStr">
        <is>
          <t>2026-09-26T19:30Z</t>
        </is>
      </c>
      <c r="D526" s="24" t="inlineStr">
        <is>
          <t>401856816</t>
        </is>
      </c>
      <c r="E526" s="24" t="inlineStr">
        <is>
          <t>NCAAF</t>
        </is>
      </c>
      <c r="F526" s="24" t="inlineStr">
        <is>
          <t>Utah Utes</t>
        </is>
      </c>
      <c r="G526" s="24" t="inlineStr">
        <is>
          <t>Iowa State Cyclones</t>
        </is>
      </c>
      <c r="H526" s="24" t="inlineStr">
        <is>
          <t>spread</t>
        </is>
      </c>
      <c r="I526" s="24" t="inlineStr">
        <is>
          <t>home</t>
        </is>
      </c>
      <c r="J526" s="25" t="n">
        <v>7.5</v>
      </c>
      <c r="K526" s="24" t="inlineStr">
        <is>
          <t>espn_consensus</t>
        </is>
      </c>
      <c r="L526" s="26" t="n">
        <v>-112</v>
      </c>
      <c r="M526" s="27" t="n">
        <v>1.892857</v>
      </c>
      <c r="N526" s="28" t="n">
        <v>0.528302</v>
      </c>
      <c r="O526" s="28" t="n">
        <v>0.521133</v>
      </c>
      <c r="P526" s="28" t="n">
        <v>0.18</v>
      </c>
      <c r="Q526" s="28" t="n">
        <v>-0.007169</v>
      </c>
      <c r="R526" s="26" t="n">
        <v>0</v>
      </c>
      <c r="S526" s="29" t="n">
        <v>1</v>
      </c>
      <c r="T526" s="24" t="inlineStr">
        <is>
          <t>cfb-spread-v1</t>
        </is>
      </c>
      <c r="U526" s="24" t="inlineStr">
        <is>
          <t>settled</t>
        </is>
      </c>
      <c r="V526" s="24" t="inlineStr">
        <is>
          <t>loss</t>
        </is>
      </c>
      <c r="W526" s="26" t="n">
        <v>31</v>
      </c>
      <c r="X526" s="26" t="n">
        <v>17</v>
      </c>
      <c r="Y526" s="25" t="n"/>
      <c r="Z526" s="26" t="n"/>
      <c r="AA526" s="28" t="n"/>
      <c r="AB526" s="28" t="n"/>
      <c r="AC526" s="30" t="n">
        <v>-1</v>
      </c>
      <c r="AD526" s="24" t="inlineStr">
        <is>
          <t>2026-09-27T04:30:33.004730Z</t>
        </is>
      </c>
      <c r="AE526" s="31" t="inlineStr">
        <is>
          <t>Projected home margin -6.4 pts. Spread: Home +7.5 / Away -7.5 -&gt; P(Away cover)=0.479, P(Home cover)=0.521, P(Push)=0.000.</t>
        </is>
      </c>
      <c r="AF526" s="31" t="inlineStr">
        <is>
          <t>College football model; multi-market (moneyline, spread, total).</t>
        </is>
      </c>
      <c r="AG526" s="24" t="inlineStr">
        <is>
          <t>review_required</t>
        </is>
      </c>
      <c r="AH526" s="24" t="n"/>
      <c r="AI526" s="31" t="n"/>
      <c r="AJ526" s="31" t="n"/>
      <c r="AK526" s="24" t="inlineStr">
        <is>
          <t>paper_call</t>
        </is>
      </c>
      <c r="AL526" s="26" t="n">
        <v>4</v>
      </c>
      <c r="AM526" s="24" t="inlineStr">
        <is>
          <t>RESEARCH_OBSERVATION</t>
        </is>
      </c>
      <c r="AN526" s="24" t="inlineStr">
        <is>
          <t>CALL</t>
        </is>
      </c>
      <c r="AO526" s="24" t="inlineStr">
        <is>
          <t>PAPER_CALL_LOW_EDGE</t>
        </is>
      </c>
      <c r="AP526" s="24" t="inlineStr">
        <is>
          <t>Utah Utes</t>
        </is>
      </c>
      <c r="AQ526" s="24" t="inlineStr">
        <is>
          <t>Utah Utes</t>
        </is>
      </c>
      <c r="AR526" s="24" t="inlineStr">
        <is>
          <t>Utah Utes</t>
        </is>
      </c>
      <c r="AS526" s="24" t="inlineStr">
        <is>
          <t>Iowa State Cyclones</t>
        </is>
      </c>
      <c r="AT526" s="24" t="inlineStr">
        <is>
          <t>Iowa State Cyclones</t>
        </is>
      </c>
      <c r="AU526" s="24" t="inlineStr">
        <is>
          <t>Iowa State Cyclones</t>
        </is>
      </c>
      <c r="AV526" s="24" t="n"/>
      <c r="AW526" s="24" t="n"/>
      <c r="AX526" s="24" t="inlineStr">
        <is>
          <t>statistical_model</t>
        </is>
      </c>
      <c r="AY526" s="24" t="n"/>
      <c r="AZ526" s="24" t="inlineStr">
        <is>
          <t>shadow_qualified</t>
        </is>
      </c>
      <c r="BA526" s="24" t="inlineStr">
        <is>
          <t>1d168f11d221cd3c</t>
        </is>
      </c>
      <c r="BB526" s="24" t="inlineStr">
        <is>
          <t>cfb_key_number_engine</t>
        </is>
      </c>
      <c r="BC526" s="24" t="inlineStr">
        <is>
          <t>cfb-spread-v1</t>
        </is>
      </c>
      <c r="BD526" s="24" t="inlineStr">
        <is>
          <t>1d168f11d221cd3c</t>
        </is>
      </c>
      <c r="BE526" s="24" t="inlineStr">
        <is>
          <t>cfb-v1</t>
        </is>
      </c>
      <c r="BF526" s="24" t="inlineStr">
        <is>
          <t>1</t>
        </is>
      </c>
      <c r="BG526" s="24" t="inlineStr">
        <is>
          <t>1d168f11d221cd3c</t>
        </is>
      </c>
      <c r="BH526" s="24" t="inlineStr">
        <is>
          <t>2026-09-26T15:01:01.506546+00:00</t>
        </is>
      </c>
      <c r="BI526" s="24" t="inlineStr">
        <is>
          <t>["same_event","same_team_same_day","same_league_same_day"]</t>
        </is>
      </c>
      <c r="BJ526" s="25" t="n">
        <v>7.5</v>
      </c>
      <c r="BK526" s="26" t="n">
        <v>-112</v>
      </c>
      <c r="BL526" s="27" t="n">
        <v>1.892857</v>
      </c>
      <c r="BM526" s="28" t="n">
        <v>0.528302</v>
      </c>
      <c r="BN526" s="28" t="n"/>
      <c r="BO526" s="28" t="n"/>
      <c r="BP526" s="25" t="n"/>
      <c r="BQ526" s="27" t="n"/>
      <c r="BR526" s="28" t="n"/>
      <c r="BS526" s="28" t="n"/>
      <c r="BT526" s="28" t="n"/>
      <c r="BU526" s="25" t="n"/>
      <c r="BV526" s="29" t="n"/>
      <c r="BW526" s="24" t="n"/>
      <c r="BX526" s="30" t="n">
        <v>1</v>
      </c>
      <c r="BY526" s="27" t="n">
        <v>-1</v>
      </c>
      <c r="BZ526" s="24" t="inlineStr">
        <is>
          <t>2026-09-27T04:30:33.004730Z</t>
        </is>
      </c>
      <c r="CA526" s="31" t="inlineStr">
        <is>
          <t>fixed one-unit hypothetical scoring; no real exposure or execution</t>
        </is>
      </c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inlineStr">
        <is>
          <t>False</t>
        </is>
      </c>
      <c r="CT526" s="24" t="n"/>
      <c r="CU526" s="24" t="n"/>
      <c r="CV526" s="24" t="n"/>
      <c r="CW526" s="24" t="n"/>
      <c r="CX526" s="24" t="n"/>
      <c r="CY526" s="24" t="n"/>
      <c r="CZ526" s="24" t="n"/>
      <c r="DA526" s="24" t="n"/>
      <c r="DB526" s="24" t="n"/>
      <c r="DC526" s="24" t="n"/>
      <c r="DD526" s="24" t="n"/>
      <c r="DE526" s="24" t="n"/>
      <c r="DF526" s="24" t="n"/>
      <c r="DG526" s="24" t="n"/>
      <c r="DH526" s="24" t="n"/>
      <c r="DI526" s="24" t="n"/>
      <c r="DJ526" s="24" t="inlineStr">
        <is>
          <t>0.528302</t>
        </is>
      </c>
      <c r="DK526" s="24" t="n"/>
      <c r="DL526" s="24" t="n"/>
      <c r="DM526" s="24" t="n"/>
      <c r="DN526" s="24" t="n"/>
      <c r="DO526" s="24" t="n"/>
      <c r="DP526" s="24" t="n"/>
      <c r="DQ526" s="24" t="inlineStr">
        <is>
          <t>{"artifact_hash": "1d168f11d221cd3c", "event_id": "401856816", "event_start_utc": "2026-09-26T19:30Z", "features": {"altitude_fatigue_penalty": 0.0, "away_team": "Utah Utes", "efficiency_gap": -1.877, "elo_away": 1832.9, "elo_home": 1611.6, "elo_home_win_prob": 0.289, "event_id": "401856816", "game_start_utc": "2026-09-26T19:30Z", "home_field_advantage_points": 2.8, "home_team": "Iowa State Cyclones", "is_dome": false, "is_fbs_vs_fcs": false, "is_neutral_site": false, "projected_away_points": 31.5, "projected_home_points": 25.1, "projected_margin_home": -6.4, "projected_possessions": 12.4, "projected_total": 56.6, "stadium_elevation_ft": 920, "travel_distance_miles": 946.0, "uncertainty": 0.18, "weather_total_adjustment": 0.0}, "historical_source_observation_times_verified": false, "inference_inputs": {"engine_source_sha256": "449ba2f0e86fa9c445730076a0e0bf100fb4914620be53c75c6f3bfe24298f3f", "mu_away": 31.5, "mu_home": 25.1,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5883215823540666125264946670243244540}, "uinteger": 0}, "spread_home_line": 7.5, "total_line": 47.5}, "market_type": "spread", "model_version": "cfb-spread-v1", "observed_at_utc": "2026-09-26T15:01:01.506546+00:00", "probabilities": {"away": 0.478867, "home": 0.521133, "push": 0.0}, "replay_scope": "Full precision score means, exact engine parameters and original RNG state; upstream feature construction not certified.", "schema": "cfb-joint-replay-v1", "snapshot_hash": "1cff879799e11da4cf60fe5d5f51d670ca2af93d72e26160016f5edd35ab260f", "sport": "NCAAF"}</t>
        </is>
      </c>
    </row>
    <row r="527" ht="36" customHeight="1">
      <c r="A527" s="24" t="inlineStr">
        <is>
          <t>8fc0dfe6c8204ba1</t>
        </is>
      </c>
      <c r="B527" s="24" t="inlineStr">
        <is>
          <t>2026-09-26T15:01:01.506546Z</t>
        </is>
      </c>
      <c r="C527" s="24" t="inlineStr">
        <is>
          <t>2026-09-26T19:30Z</t>
        </is>
      </c>
      <c r="D527" s="24" t="inlineStr">
        <is>
          <t>401856816</t>
        </is>
      </c>
      <c r="E527" s="24" t="inlineStr">
        <is>
          <t>NCAAF</t>
        </is>
      </c>
      <c r="F527" s="24" t="inlineStr">
        <is>
          <t>Utah Utes</t>
        </is>
      </c>
      <c r="G527" s="24" t="inlineStr">
        <is>
          <t>Iowa State Cyclones</t>
        </is>
      </c>
      <c r="H527" s="24" t="inlineStr">
        <is>
          <t>total</t>
        </is>
      </c>
      <c r="I527" s="24" t="inlineStr">
        <is>
          <t>over</t>
        </is>
      </c>
      <c r="J527" s="25" t="n">
        <v>47.5</v>
      </c>
      <c r="K527" s="24" t="inlineStr">
        <is>
          <t>espn_consensus</t>
        </is>
      </c>
      <c r="L527" s="26" t="n">
        <v>-110</v>
      </c>
      <c r="M527" s="27" t="n">
        <v>1.909091</v>
      </c>
      <c r="N527" s="28" t="n">
        <v>0.52381</v>
      </c>
      <c r="O527" s="28" t="n">
        <v>0.6128</v>
      </c>
      <c r="P527" s="28" t="n">
        <v>0.18</v>
      </c>
      <c r="Q527" s="28" t="n">
        <v>0.08899</v>
      </c>
      <c r="R527" s="26" t="n">
        <v>0</v>
      </c>
      <c r="S527" s="29" t="n">
        <v>1</v>
      </c>
      <c r="T527" s="24" t="inlineStr">
        <is>
          <t>cfb-total-v1</t>
        </is>
      </c>
      <c r="U527" s="24" t="inlineStr">
        <is>
          <t>settled</t>
        </is>
      </c>
      <c r="V527" s="24" t="inlineStr">
        <is>
          <t>win</t>
        </is>
      </c>
      <c r="W527" s="26" t="n">
        <v>31</v>
      </c>
      <c r="X527" s="26" t="n">
        <v>17</v>
      </c>
      <c r="Y527" s="25" t="n"/>
      <c r="Z527" s="26" t="n"/>
      <c r="AA527" s="28" t="n"/>
      <c r="AB527" s="28" t="n"/>
      <c r="AC527" s="30" t="n">
        <v>0.9091</v>
      </c>
      <c r="AD527" s="24" t="inlineStr">
        <is>
          <t>2026-09-27T04:30:33.634892Z</t>
        </is>
      </c>
      <c r="AE527" s="31" t="inlineStr">
        <is>
          <t>Projected total 56.6 pts (Weather adj: +0.0 pts). Total line 47.5 -&gt; P(Over)=0.613, P(Under)=0.387, P(Push)=0.000.</t>
        </is>
      </c>
      <c r="AF527" s="31" t="inlineStr">
        <is>
          <t>College football model; multi-market (moneyline, spread, total).</t>
        </is>
      </c>
      <c r="AG527" s="24" t="inlineStr">
        <is>
          <t>not_applicable</t>
        </is>
      </c>
      <c r="AH527" s="24" t="n"/>
      <c r="AI527" s="31" t="n"/>
      <c r="AJ527" s="31" t="n"/>
      <c r="AK527" s="24" t="inlineStr">
        <is>
          <t>model_qualified</t>
        </is>
      </c>
      <c r="AL527" s="26" t="n">
        <v>4</v>
      </c>
      <c r="AM527" s="24" t="inlineStr">
        <is>
          <t>QUALIFIED_SHADOW_CALL</t>
        </is>
      </c>
      <c r="AN527" s="24" t="inlineStr">
        <is>
          <t>CALL</t>
        </is>
      </c>
      <c r="AO527" s="24" t="inlineStr">
        <is>
          <t>QUALIFIED</t>
        </is>
      </c>
      <c r="AP527" s="24" t="inlineStr">
        <is>
          <t>Utah Utes</t>
        </is>
      </c>
      <c r="AQ527" s="24" t="inlineStr">
        <is>
          <t>Utah Utes</t>
        </is>
      </c>
      <c r="AR527" s="24" t="inlineStr">
        <is>
          <t>Utah Utes</t>
        </is>
      </c>
      <c r="AS527" s="24" t="inlineStr">
        <is>
          <t>Iowa State Cyclones</t>
        </is>
      </c>
      <c r="AT527" s="24" t="inlineStr">
        <is>
          <t>Iowa State Cyclones</t>
        </is>
      </c>
      <c r="AU527" s="24" t="inlineStr">
        <is>
          <t>Iowa State Cyclones</t>
        </is>
      </c>
      <c r="AV527" s="24" t="n"/>
      <c r="AW527" s="24" t="n"/>
      <c r="AX527" s="24" t="inlineStr">
        <is>
          <t>statistical_model</t>
        </is>
      </c>
      <c r="AY527" s="24" t="n"/>
      <c r="AZ527" s="24" t="inlineStr">
        <is>
          <t>shadow_qualified</t>
        </is>
      </c>
      <c r="BA527" s="24" t="inlineStr">
        <is>
          <t>1d168f11d221cd3c</t>
        </is>
      </c>
      <c r="BB527" s="24" t="inlineStr">
        <is>
          <t>cfb_key_number_engine</t>
        </is>
      </c>
      <c r="BC527" s="24" t="inlineStr">
        <is>
          <t>cfb-total-v1</t>
        </is>
      </c>
      <c r="BD527" s="24" t="inlineStr">
        <is>
          <t>1d168f11d221cd3c</t>
        </is>
      </c>
      <c r="BE527" s="24" t="inlineStr">
        <is>
          <t>cfb-v1</t>
        </is>
      </c>
      <c r="BF527" s="24" t="inlineStr">
        <is>
          <t>1</t>
        </is>
      </c>
      <c r="BG527" s="24" t="inlineStr">
        <is>
          <t>1d168f11d221cd3c</t>
        </is>
      </c>
      <c r="BH527" s="24" t="inlineStr">
        <is>
          <t>2026-09-26T15:01:01.506546+00:00</t>
        </is>
      </c>
      <c r="BI527" s="24" t="inlineStr">
        <is>
          <t>["same_event","same_team_same_day","same_league_same_day"]</t>
        </is>
      </c>
      <c r="BJ527" s="25" t="n">
        <v>47.5</v>
      </c>
      <c r="BK527" s="26" t="n">
        <v>-110</v>
      </c>
      <c r="BL527" s="27" t="n">
        <v>1.909091</v>
      </c>
      <c r="BM527" s="28" t="n">
        <v>0.52381</v>
      </c>
      <c r="BN527" s="28" t="n"/>
      <c r="BO527" s="28" t="n"/>
      <c r="BP527" s="25" t="n"/>
      <c r="BQ527" s="27" t="n"/>
      <c r="BR527" s="28" t="n"/>
      <c r="BS527" s="28" t="n"/>
      <c r="BT527" s="28" t="n"/>
      <c r="BU527" s="25" t="n"/>
      <c r="BV527" s="29" t="n"/>
      <c r="BW527" s="24" t="n"/>
      <c r="BX527" s="30" t="n"/>
      <c r="BY527" s="27" t="n"/>
      <c r="BZ527" s="24" t="n"/>
      <c r="CA527" s="31" t="n"/>
      <c r="CB527" s="24" t="n"/>
      <c r="CC527" s="24" t="n"/>
      <c r="CD527" s="24" t="n"/>
      <c r="CE527" s="24" t="n"/>
      <c r="CF527" s="24" t="n"/>
      <c r="CG527" s="24" t="n"/>
      <c r="CH527" s="24" t="n"/>
      <c r="CI527" s="24" t="n"/>
      <c r="CJ527" s="24" t="n"/>
      <c r="CK527" s="24" t="n"/>
      <c r="CL527" s="24" t="n"/>
      <c r="CM527" s="24" t="n"/>
      <c r="CN527" s="24" t="n"/>
      <c r="CO527" s="24" t="n"/>
      <c r="CP527" s="24" t="n"/>
      <c r="CQ527" s="24" t="n"/>
      <c r="CR527" s="24" t="n"/>
      <c r="CS527" s="24" t="inlineStr">
        <is>
          <t>True</t>
        </is>
      </c>
      <c r="CT527" s="24" t="n"/>
      <c r="CU527" s="24" t="n"/>
      <c r="CV527" s="24" t="n"/>
      <c r="CW527" s="24" t="n"/>
      <c r="CX527" s="24" t="n"/>
      <c r="CY527" s="24" t="n"/>
      <c r="CZ527" s="24" t="n"/>
      <c r="DA527" s="24" t="n"/>
      <c r="DB527" s="24" t="n"/>
      <c r="DC527" s="24" t="n"/>
      <c r="DD527" s="24" t="n"/>
      <c r="DE527" s="24" t="n"/>
      <c r="DF527" s="24" t="n"/>
      <c r="DG527" s="24" t="n"/>
      <c r="DH527" s="24" t="n"/>
      <c r="DI527" s="24" t="n"/>
      <c r="DJ527" s="24" t="inlineStr">
        <is>
          <t>0.52381</t>
        </is>
      </c>
      <c r="DK527" s="24" t="n"/>
      <c r="DL527" s="24" t="n"/>
      <c r="DM527" s="24" t="n"/>
      <c r="DN527" s="24" t="n"/>
      <c r="DO527" s="24" t="n"/>
      <c r="DP527" s="24" t="n"/>
      <c r="DQ527" s="24" t="inlineStr">
        <is>
          <t>{"artifact_hash": "1d168f11d221cd3c", "event_id": "401856816", "event_start_utc": "2026-09-26T19:30Z", "features": {"altitude_fatigue_penalty": 0.0, "away_team": "Utah Utes", "efficiency_gap": -1.877, "elo_away": 1832.9, "elo_home": 1611.6, "elo_home_win_prob": 0.289, "event_id": "401856816", "game_start_utc": "2026-09-26T19:30Z", "home_field_advantage_points": 2.8, "home_team": "Iowa State Cyclones", "is_dome": false, "is_fbs_vs_fcs": false, "is_neutral_site": false, "projected_away_points": 31.5, "projected_home_points": 25.1, "projected_margin_home": -6.4, "projected_possessions": 12.4, "projected_total": 56.6, "stadium_elevation_ft": 920, "travel_distance_miles": 946.0, "uncertainty": 0.18, "weather_total_adjustment": 0.0}, "historical_source_observation_times_verified": false, "inference_inputs": {"engine_source_sha256": "449ba2f0e86fa9c445730076a0e0bf100fb4914620be53c75c6f3bfe24298f3f", "mu_away": 31.5, "mu_home": 25.1,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5883215823540666125264946670243244540}, "uinteger": 0}, "spread_home_line": 7.5, "total_line": 47.5}, "market_type": "total", "model_version": "cfb-total-v1", "observed_at_utc": "2026-09-26T15:01:01.506546+00:00", "probabilities": {"over": 0.6128, "push": 0.0, "under": 0.3872}, "replay_scope": "Full precision score means, exact engine parameters and original RNG state; upstream feature construction not certified.", "schema": "cfb-joint-replay-v1", "snapshot_hash": "900307ea2d93e23dd1cd3adfc190b20b1f617932502d268bcafd37f1924a03fb", "sport": "NCAAF"}</t>
        </is>
      </c>
    </row>
    <row r="528" ht="36" customHeight="1">
      <c r="A528" s="24" t="inlineStr">
        <is>
          <t>ec0eb38f9e074c8a</t>
        </is>
      </c>
      <c r="B528" s="24" t="inlineStr">
        <is>
          <t>2026-09-26T15:01:01.506546Z</t>
        </is>
      </c>
      <c r="C528" s="24" t="inlineStr">
        <is>
          <t>2026-09-26T19:30Z</t>
        </is>
      </c>
      <c r="D528" s="24" t="inlineStr">
        <is>
          <t>401858463</t>
        </is>
      </c>
      <c r="E528" s="24" t="inlineStr">
        <is>
          <t>NCAAF</t>
        </is>
      </c>
      <c r="F528" s="24" t="inlineStr">
        <is>
          <t>Iowa Hawkeyes</t>
        </is>
      </c>
      <c r="G528" s="24" t="inlineStr">
        <is>
          <t>Michigan Wolverines</t>
        </is>
      </c>
      <c r="H528" s="24" t="inlineStr">
        <is>
          <t>moneyline</t>
        </is>
      </c>
      <c r="I528" s="24" t="inlineStr">
        <is>
          <t>away</t>
        </is>
      </c>
      <c r="J528" s="25" t="n"/>
      <c r="K528" s="24" t="inlineStr">
        <is>
          <t>espn_consensus</t>
        </is>
      </c>
      <c r="L528" s="26" t="n">
        <v>180</v>
      </c>
      <c r="M528" s="27" t="n">
        <v>2.8</v>
      </c>
      <c r="N528" s="28" t="n">
        <v>0.357143</v>
      </c>
      <c r="O528" s="28" t="n">
        <v>0.595072</v>
      </c>
      <c r="P528" s="28" t="n">
        <v>0.165</v>
      </c>
      <c r="Q528" s="28" t="n">
        <v>0.237929</v>
      </c>
      <c r="R528" s="26" t="n">
        <v>70</v>
      </c>
      <c r="S528" s="29" t="n">
        <v>1.5</v>
      </c>
      <c r="T528" s="24" t="inlineStr">
        <is>
          <t>college-football-v1</t>
        </is>
      </c>
      <c r="U528" s="24" t="inlineStr">
        <is>
          <t>settled</t>
        </is>
      </c>
      <c r="V528" s="24" t="inlineStr">
        <is>
          <t>win</t>
        </is>
      </c>
      <c r="W528" s="26" t="n">
        <v>20</v>
      </c>
      <c r="X528" s="26" t="n">
        <v>19</v>
      </c>
      <c r="Y528" s="25" t="n"/>
      <c r="Z528" s="26" t="n"/>
      <c r="AA528" s="28" t="n"/>
      <c r="AB528" s="28" t="n"/>
      <c r="AC528" s="30" t="n">
        <v>2.7</v>
      </c>
      <c r="AD528" s="24" t="inlineStr">
        <is>
          <t>2026-09-27T04:30:34.251651Z</t>
        </is>
      </c>
      <c r="AE528" s="31" t="inlineStr">
        <is>
          <t>CFB Joint Model (negative_binomial): proj score Iowa Hawkeyes 29.7 @ Michigan Wolverines 25.0 (Margin -4.7). Possessions: 12.4, HFA: +2.8 pts.</t>
        </is>
      </c>
      <c r="AF528" s="31" t="inlineStr">
        <is>
          <t>College football model; multi-market (moneyline, spread, total).</t>
        </is>
      </c>
      <c r="AG528" s="24" t="inlineStr">
        <is>
          <t>not_applicable</t>
        </is>
      </c>
      <c r="AH528" s="24" t="n"/>
      <c r="AI528" s="31" t="n"/>
      <c r="AJ528" s="31" t="n"/>
      <c r="AK528" s="24" t="inlineStr">
        <is>
          <t>model_qualified</t>
        </is>
      </c>
      <c r="AL528" s="26" t="n">
        <v>4</v>
      </c>
      <c r="AM528" s="24" t="inlineStr">
        <is>
          <t>QUALIFIED_SHADOW_CALL</t>
        </is>
      </c>
      <c r="AN528" s="24" t="inlineStr">
        <is>
          <t>CALL</t>
        </is>
      </c>
      <c r="AO528" s="24" t="inlineStr">
        <is>
          <t>QUALIFIED</t>
        </is>
      </c>
      <c r="AP528" s="24" t="inlineStr">
        <is>
          <t>Iowa Hawkeyes</t>
        </is>
      </c>
      <c r="AQ528" s="24" t="inlineStr">
        <is>
          <t>Iowa Hawkeyes</t>
        </is>
      </c>
      <c r="AR528" s="24" t="inlineStr">
        <is>
          <t>Iowa Hawkeyes</t>
        </is>
      </c>
      <c r="AS528" s="24" t="inlineStr">
        <is>
          <t>Michigan Wolverines</t>
        </is>
      </c>
      <c r="AT528" s="24" t="inlineStr">
        <is>
          <t>Michigan Wolverines</t>
        </is>
      </c>
      <c r="AU528" s="24" t="inlineStr">
        <is>
          <t>Michigan Wolverines</t>
        </is>
      </c>
      <c r="AV528" s="24" t="n"/>
      <c r="AW528" s="24" t="n"/>
      <c r="AX528" s="24" t="inlineStr">
        <is>
          <t>statistical_model</t>
        </is>
      </c>
      <c r="AY528" s="24" t="n"/>
      <c r="AZ528" s="24" t="inlineStr">
        <is>
          <t>shadow_qualified</t>
        </is>
      </c>
      <c r="BA528" s="24" t="inlineStr">
        <is>
          <t>1d168f11d221cd3c</t>
        </is>
      </c>
      <c r="BB528" s="24" t="inlineStr">
        <is>
          <t>cfb_key_number_engine</t>
        </is>
      </c>
      <c r="BC528" s="24" t="inlineStr">
        <is>
          <t>college-football-v1</t>
        </is>
      </c>
      <c r="BD528" s="24" t="inlineStr">
        <is>
          <t>1d168f11d221cd3c</t>
        </is>
      </c>
      <c r="BE528" s="24" t="inlineStr">
        <is>
          <t>cfb-v1</t>
        </is>
      </c>
      <c r="BF528" s="24" t="inlineStr">
        <is>
          <t>1</t>
        </is>
      </c>
      <c r="BG528" s="24" t="inlineStr">
        <is>
          <t>1d168f11d221cd3c</t>
        </is>
      </c>
      <c r="BH528" s="24" t="inlineStr">
        <is>
          <t>2026-09-26T15:01:01.506546+00:00</t>
        </is>
      </c>
      <c r="BI528" s="24" t="inlineStr">
        <is>
          <t>["same_event","same_team_same_day","same_league_same_day"]</t>
        </is>
      </c>
      <c r="BJ528" s="25" t="n"/>
      <c r="BK528" s="26" t="n">
        <v>180</v>
      </c>
      <c r="BL528" s="27" t="n">
        <v>2.8</v>
      </c>
      <c r="BM528" s="28" t="n">
        <v>0.357143</v>
      </c>
      <c r="BN528" s="28" t="n"/>
      <c r="BO528" s="28" t="n"/>
      <c r="BP528" s="25" t="n"/>
      <c r="BQ528" s="27" t="n"/>
      <c r="BR528" s="28" t="n"/>
      <c r="BS528" s="28" t="n"/>
      <c r="BT528" s="28" t="n"/>
      <c r="BU528" s="25" t="n"/>
      <c r="BV528" s="29" t="n"/>
      <c r="BW528" s="24" t="n"/>
      <c r="BX528" s="30" t="n"/>
      <c r="BY528" s="27" t="n"/>
      <c r="BZ528" s="24" t="n"/>
      <c r="CA528" s="31" t="n"/>
      <c r="CB528" s="24" t="n"/>
      <c r="CC528" s="24" t="n"/>
      <c r="CD528" s="24" t="n"/>
      <c r="CE528" s="24" t="n"/>
      <c r="CF528" s="24" t="n"/>
      <c r="CG528" s="24" t="n"/>
      <c r="CH528" s="24" t="n"/>
      <c r="CI528" s="24" t="n"/>
      <c r="CJ528" s="24" t="n"/>
      <c r="CK528" s="24" t="n"/>
      <c r="CL528" s="24" t="n"/>
      <c r="CM528" s="24" t="n"/>
      <c r="CN528" s="24" t="n"/>
      <c r="CO528" s="24" t="n"/>
      <c r="CP528" s="24" t="n"/>
      <c r="CQ528" s="24" t="n"/>
      <c r="CR528" s="24" t="n"/>
      <c r="CS528" s="24" t="inlineStr">
        <is>
          <t>True</t>
        </is>
      </c>
      <c r="CT528" s="24" t="n"/>
      <c r="CU528" s="24" t="n"/>
      <c r="CV528" s="24" t="n"/>
      <c r="CW528" s="24" t="n"/>
      <c r="CX528" s="24" t="n"/>
      <c r="CY528" s="24" t="n"/>
      <c r="CZ528" s="24" t="n"/>
      <c r="DA528" s="24" t="n"/>
      <c r="DB528" s="24" t="n"/>
      <c r="DC528" s="24" t="n"/>
      <c r="DD528" s="24" t="n"/>
      <c r="DE528" s="24" t="n"/>
      <c r="DF528" s="24" t="n"/>
      <c r="DG528" s="24" t="n"/>
      <c r="DH528" s="24" t="n"/>
      <c r="DI528" s="24" t="n"/>
      <c r="DJ528" s="24" t="inlineStr">
        <is>
          <t>0.357143</t>
        </is>
      </c>
      <c r="DK528" s="24" t="n"/>
      <c r="DL528" s="24" t="n"/>
      <c r="DM528" s="24" t="n"/>
      <c r="DN528" s="24" t="n"/>
      <c r="DO528" s="24" t="n"/>
      <c r="DP528" s="24" t="n"/>
      <c r="DQ528" s="24" t="inlineStr">
        <is>
          <t>{"artifact_hash": "1d168f11d221cd3c", "event_id": "401858463", "event_start_utc": "2026-09-26T19:30Z", "features": {"altitude_fatigue_penalty": 0.0, "away_team": "Iowa Hawkeyes", "efficiency_gap": -1.51, "elo_away": 1763.6, "elo_home": 1584.3, "elo_home_win_prob": 0.3413, "event_id": "401858463", "game_start_utc": "2026-09-26T19:30Z", "home_field_advantage_points": 2.8, "home_team": "Michigan Wolverines", "is_dome": false, "is_fbs_vs_fcs": false, "is_neutral_site": false, "projected_away_points": 29.7, "projected_home_points": 25.0, "projected_margin_home": -4.7, "projected_possessions": 12.4, "projected_total": 54.7, "stadium_elevation_ft": 840, "travel_distance_miles": 403.0, "uncertainty": 0.165, "weather_total_adjustment": 0.0}, "historical_source_observation_times_verified": false, "inference_inputs": {"engine_source_sha256": "449ba2f0e86fa9c445730076a0e0bf100fb4914620be53c75c6f3bfe24298f3f", "mu_away": 29.7, "mu_home": 25.0,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162656995924369723776792924879827637077}, "uinteger": 0}, "spread_home_line": -5.5, "total_line": 38.5}, "market_type": "moneyline", "model_version": "college-football-v1", "observed_at_utc": "2026-09-26T15:01:01.506546+00:00", "probabilities": {"away": 0.595072, "home": 0.404928}, "replay_scope": "Full precision score means, exact engine parameters and original RNG state; upstream feature construction not certified.", "schema": "cfb-joint-replay-v1", "snapshot_hash": "ac59f00712bec4e142c7413193ce49a6d0fd904d0603b14026de48686712889e", "sport": "NCAAF"}</t>
        </is>
      </c>
    </row>
    <row r="529" ht="36" customHeight="1">
      <c r="A529" s="24" t="inlineStr">
        <is>
          <t>0871b183180442e3</t>
        </is>
      </c>
      <c r="B529" s="24" t="inlineStr">
        <is>
          <t>2026-09-26T15:01:01.506546Z</t>
        </is>
      </c>
      <c r="C529" s="24" t="inlineStr">
        <is>
          <t>2026-09-26T19:30Z</t>
        </is>
      </c>
      <c r="D529" s="24" t="inlineStr">
        <is>
          <t>401858463</t>
        </is>
      </c>
      <c r="E529" s="24" t="inlineStr">
        <is>
          <t>NCAAF</t>
        </is>
      </c>
      <c r="F529" s="24" t="inlineStr">
        <is>
          <t>Iowa Hawkeyes</t>
        </is>
      </c>
      <c r="G529" s="24" t="inlineStr">
        <is>
          <t>Michigan Wolverines</t>
        </is>
      </c>
      <c r="H529" s="24" t="inlineStr">
        <is>
          <t>spread</t>
        </is>
      </c>
      <c r="I529" s="24" t="inlineStr">
        <is>
          <t>away</t>
        </is>
      </c>
      <c r="J529" s="25" t="n">
        <v>5.5</v>
      </c>
      <c r="K529" s="24" t="inlineStr">
        <is>
          <t>espn_consensus</t>
        </is>
      </c>
      <c r="L529" s="26" t="n">
        <v>-115</v>
      </c>
      <c r="M529" s="27" t="n">
        <v>1.869565</v>
      </c>
      <c r="N529" s="28" t="n">
        <v>0.534884</v>
      </c>
      <c r="O529" s="28" t="n">
        <v>0.706467</v>
      </c>
      <c r="P529" s="28" t="n">
        <v>0.165</v>
      </c>
      <c r="Q529" s="28" t="n">
        <v>0.171583</v>
      </c>
      <c r="R529" s="26" t="n">
        <v>37</v>
      </c>
      <c r="S529" s="29" t="n">
        <v>1</v>
      </c>
      <c r="T529" s="24" t="inlineStr">
        <is>
          <t>cfb-spread-v1</t>
        </is>
      </c>
      <c r="U529" s="24" t="inlineStr">
        <is>
          <t>settled</t>
        </is>
      </c>
      <c r="V529" s="24" t="inlineStr">
        <is>
          <t>win</t>
        </is>
      </c>
      <c r="W529" s="26" t="n">
        <v>20</v>
      </c>
      <c r="X529" s="26" t="n">
        <v>19</v>
      </c>
      <c r="Y529" s="25" t="n"/>
      <c r="Z529" s="26" t="n"/>
      <c r="AA529" s="28" t="n"/>
      <c r="AB529" s="28" t="n"/>
      <c r="AC529" s="30" t="n">
        <v>0.8696</v>
      </c>
      <c r="AD529" s="24" t="inlineStr">
        <is>
          <t>2026-09-27T04:30:34.755053Z</t>
        </is>
      </c>
      <c r="AE529" s="31" t="inlineStr">
        <is>
          <t>Projected home margin -4.7 pts. Spread: Home -5.5 / Away +5.5 -&gt; P(Away cover)=0.706, P(Home cover)=0.294, P(Push)=0.000.</t>
        </is>
      </c>
      <c r="AF529" s="31" t="inlineStr">
        <is>
          <t>College football model; multi-market (moneyline, spread, total).</t>
        </is>
      </c>
      <c r="AG529" s="24" t="inlineStr">
        <is>
          <t>not_applicable</t>
        </is>
      </c>
      <c r="AH529" s="24" t="n"/>
      <c r="AI529" s="31" t="n"/>
      <c r="AJ529" s="31" t="n"/>
      <c r="AK529" s="24" t="inlineStr">
        <is>
          <t>model_qualified</t>
        </is>
      </c>
      <c r="AL529" s="26" t="n">
        <v>4</v>
      </c>
      <c r="AM529" s="24" t="inlineStr">
        <is>
          <t>QUALIFIED_SHADOW_CALL</t>
        </is>
      </c>
      <c r="AN529" s="24" t="inlineStr">
        <is>
          <t>CALL</t>
        </is>
      </c>
      <c r="AO529" s="24" t="inlineStr">
        <is>
          <t>QUALIFIED</t>
        </is>
      </c>
      <c r="AP529" s="24" t="inlineStr">
        <is>
          <t>Iowa Hawkeyes</t>
        </is>
      </c>
      <c r="AQ529" s="24" t="inlineStr">
        <is>
          <t>Iowa Hawkeyes</t>
        </is>
      </c>
      <c r="AR529" s="24" t="inlineStr">
        <is>
          <t>Iowa Hawkeyes</t>
        </is>
      </c>
      <c r="AS529" s="24" t="inlineStr">
        <is>
          <t>Michigan Wolverines</t>
        </is>
      </c>
      <c r="AT529" s="24" t="inlineStr">
        <is>
          <t>Michigan Wolverines</t>
        </is>
      </c>
      <c r="AU529" s="24" t="inlineStr">
        <is>
          <t>Michigan Wolverines</t>
        </is>
      </c>
      <c r="AV529" s="24" t="n"/>
      <c r="AW529" s="24" t="n"/>
      <c r="AX529" s="24" t="inlineStr">
        <is>
          <t>statistical_model</t>
        </is>
      </c>
      <c r="AY529" s="24" t="n"/>
      <c r="AZ529" s="24" t="inlineStr">
        <is>
          <t>shadow_qualified</t>
        </is>
      </c>
      <c r="BA529" s="24" t="inlineStr">
        <is>
          <t>1d168f11d221cd3c</t>
        </is>
      </c>
      <c r="BB529" s="24" t="inlineStr">
        <is>
          <t>cfb_key_number_engine</t>
        </is>
      </c>
      <c r="BC529" s="24" t="inlineStr">
        <is>
          <t>cfb-spread-v1</t>
        </is>
      </c>
      <c r="BD529" s="24" t="inlineStr">
        <is>
          <t>1d168f11d221cd3c</t>
        </is>
      </c>
      <c r="BE529" s="24" t="inlineStr">
        <is>
          <t>cfb-v1</t>
        </is>
      </c>
      <c r="BF529" s="24" t="inlineStr">
        <is>
          <t>1</t>
        </is>
      </c>
      <c r="BG529" s="24" t="inlineStr">
        <is>
          <t>1d168f11d221cd3c</t>
        </is>
      </c>
      <c r="BH529" s="24" t="inlineStr">
        <is>
          <t>2026-09-26T15:01:01.506546+00:00</t>
        </is>
      </c>
      <c r="BI529" s="24" t="inlineStr">
        <is>
          <t>["same_event","same_team_same_day","same_league_same_day"]</t>
        </is>
      </c>
      <c r="BJ529" s="25" t="n">
        <v>5.5</v>
      </c>
      <c r="BK529" s="26" t="n">
        <v>-115</v>
      </c>
      <c r="BL529" s="27" t="n">
        <v>1.869565</v>
      </c>
      <c r="BM529" s="28" t="n">
        <v>0.534884</v>
      </c>
      <c r="BN529" s="28" t="n"/>
      <c r="BO529" s="28" t="n"/>
      <c r="BP529" s="25" t="n"/>
      <c r="BQ529" s="27" t="n"/>
      <c r="BR529" s="28" t="n"/>
      <c r="BS529" s="28" t="n"/>
      <c r="BT529" s="28" t="n"/>
      <c r="BU529" s="25" t="n"/>
      <c r="BV529" s="29" t="n"/>
      <c r="BW529" s="24" t="n"/>
      <c r="BX529" s="30" t="n"/>
      <c r="BY529" s="27" t="n"/>
      <c r="BZ529" s="24" t="n"/>
      <c r="CA529" s="31" t="n"/>
      <c r="CB529" s="24" t="n"/>
      <c r="CC529" s="24" t="n"/>
      <c r="CD529" s="24" t="n"/>
      <c r="CE529" s="24" t="n"/>
      <c r="CF529" s="24" t="n"/>
      <c r="CG529" s="24" t="n"/>
      <c r="CH529" s="24" t="n"/>
      <c r="CI529" s="24" t="n"/>
      <c r="CJ529" s="24" t="n"/>
      <c r="CK529" s="24" t="n"/>
      <c r="CL529" s="24" t="n"/>
      <c r="CM529" s="24" t="n"/>
      <c r="CN529" s="24" t="n"/>
      <c r="CO529" s="24" t="n"/>
      <c r="CP529" s="24" t="n"/>
      <c r="CQ529" s="24" t="n"/>
      <c r="CR529" s="24" t="n"/>
      <c r="CS529" s="24" t="inlineStr">
        <is>
          <t>True</t>
        </is>
      </c>
      <c r="CT529" s="24" t="n"/>
      <c r="CU529" s="24" t="n"/>
      <c r="CV529" s="24" t="n"/>
      <c r="CW529" s="24" t="n"/>
      <c r="CX529" s="24" t="n"/>
      <c r="CY529" s="24" t="n"/>
      <c r="CZ529" s="24" t="n"/>
      <c r="DA529" s="24" t="n"/>
      <c r="DB529" s="24" t="n"/>
      <c r="DC529" s="24" t="n"/>
      <c r="DD529" s="24" t="n"/>
      <c r="DE529" s="24" t="n"/>
      <c r="DF529" s="24" t="n"/>
      <c r="DG529" s="24" t="n"/>
      <c r="DH529" s="24" t="n"/>
      <c r="DI529" s="24" t="n"/>
      <c r="DJ529" s="24" t="inlineStr">
        <is>
          <t>0.534884</t>
        </is>
      </c>
      <c r="DK529" s="24" t="n"/>
      <c r="DL529" s="24" t="n"/>
      <c r="DM529" s="24" t="n"/>
      <c r="DN529" s="24" t="n"/>
      <c r="DO529" s="24" t="n"/>
      <c r="DP529" s="24" t="n"/>
      <c r="DQ529" s="24" t="inlineStr">
        <is>
          <t>{"artifact_hash": "1d168f11d221cd3c", "event_id": "401858463", "event_start_utc": "2026-09-26T19:30Z", "features": {"altitude_fatigue_penalty": 0.0, "away_team": "Iowa Hawkeyes", "efficiency_gap": -1.51, "elo_away": 1763.6, "elo_home": 1584.3, "elo_home_win_prob": 0.3413, "event_id": "401858463", "game_start_utc": "2026-09-26T19:30Z", "home_field_advantage_points": 2.8, "home_team": "Michigan Wolverines", "is_dome": false, "is_fbs_vs_fcs": false, "is_neutral_site": false, "projected_away_points": 29.7, "projected_home_points": 25.0, "projected_margin_home": -4.7, "projected_possessions": 12.4, "projected_total": 54.7, "stadium_elevation_ft": 840, "travel_distance_miles": 403.0, "uncertainty": 0.165, "weather_total_adjustment": 0.0}, "historical_source_observation_times_verified": false, "inference_inputs": {"engine_source_sha256": "449ba2f0e86fa9c445730076a0e0bf100fb4914620be53c75c6f3bfe24298f3f", "mu_away": 29.7, "mu_home": 25.0,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162656995924369723776792924879827637077}, "uinteger": 0}, "spread_home_line": -5.5, "total_line": 38.5}, "market_type": "spread", "model_version": "cfb-spread-v1", "observed_at_utc": "2026-09-26T15:01:01.506546+00:00", "probabilities": {"away": 0.706467, "home": 0.293533, "push": 0.0}, "replay_scope": "Full precision score means, exact engine parameters and original RNG state; upstream feature construction not certified.", "schema": "cfb-joint-replay-v1", "snapshot_hash": "c40beb5ca73a4cc6f974dd2536dc4625a5747e96d44c3f3f222f86b83f23f42f", "sport": "NCAAF"}</t>
        </is>
      </c>
    </row>
    <row r="530" ht="36" customHeight="1">
      <c r="A530" s="24" t="inlineStr">
        <is>
          <t>ea898d32bb254318</t>
        </is>
      </c>
      <c r="B530" s="24" t="inlineStr">
        <is>
          <t>2026-09-26T15:01:01.506546Z</t>
        </is>
      </c>
      <c r="C530" s="24" t="inlineStr">
        <is>
          <t>2026-09-26T19:30Z</t>
        </is>
      </c>
      <c r="D530" s="24" t="inlineStr">
        <is>
          <t>401858463</t>
        </is>
      </c>
      <c r="E530" s="24" t="inlineStr">
        <is>
          <t>NCAAF</t>
        </is>
      </c>
      <c r="F530" s="24" t="inlineStr">
        <is>
          <t>Iowa Hawkeyes</t>
        </is>
      </c>
      <c r="G530" s="24" t="inlineStr">
        <is>
          <t>Michigan Wolverines</t>
        </is>
      </c>
      <c r="H530" s="24" t="inlineStr">
        <is>
          <t>total</t>
        </is>
      </c>
      <c r="I530" s="24" t="inlineStr">
        <is>
          <t>over</t>
        </is>
      </c>
      <c r="J530" s="25" t="n">
        <v>38.5</v>
      </c>
      <c r="K530" s="24" t="inlineStr">
        <is>
          <t>espn_consensus</t>
        </is>
      </c>
      <c r="L530" s="26" t="n">
        <v>-112</v>
      </c>
      <c r="M530" s="27" t="n">
        <v>1.892857</v>
      </c>
      <c r="N530" s="28" t="n">
        <v>0.528302</v>
      </c>
      <c r="O530" s="28" t="n">
        <v>0.725533</v>
      </c>
      <c r="P530" s="28" t="n">
        <v>0.165</v>
      </c>
      <c r="Q530" s="28" t="n">
        <v>0.197231</v>
      </c>
      <c r="R530" s="26" t="n">
        <v>50</v>
      </c>
      <c r="S530" s="29" t="n">
        <v>1.25</v>
      </c>
      <c r="T530" s="24" t="inlineStr">
        <is>
          <t>cfb-total-v1</t>
        </is>
      </c>
      <c r="U530" s="24" t="inlineStr">
        <is>
          <t>settled</t>
        </is>
      </c>
      <c r="V530" s="24" t="inlineStr">
        <is>
          <t>win</t>
        </is>
      </c>
      <c r="W530" s="26" t="n">
        <v>20</v>
      </c>
      <c r="X530" s="26" t="n">
        <v>19</v>
      </c>
      <c r="Y530" s="25" t="n"/>
      <c r="Z530" s="26" t="n"/>
      <c r="AA530" s="28" t="n"/>
      <c r="AB530" s="28" t="n"/>
      <c r="AC530" s="30" t="n">
        <v>1.1161</v>
      </c>
      <c r="AD530" s="24" t="inlineStr">
        <is>
          <t>2026-09-27T04:30:35.385284Z</t>
        </is>
      </c>
      <c r="AE530" s="31" t="inlineStr">
        <is>
          <t>Projected total 54.7 pts (Weather adj: +0.0 pts). Total line 38.5 -&gt; P(Over)=0.726, P(Under)=0.274, P(Push)=0.000.</t>
        </is>
      </c>
      <c r="AF530" s="31" t="inlineStr">
        <is>
          <t>College football model; multi-market (moneyline, spread, total).</t>
        </is>
      </c>
      <c r="AG530" s="24" t="inlineStr">
        <is>
          <t>not_applicable</t>
        </is>
      </c>
      <c r="AH530" s="24" t="n"/>
      <c r="AI530" s="31" t="n"/>
      <c r="AJ530" s="31" t="n"/>
      <c r="AK530" s="24" t="inlineStr">
        <is>
          <t>model_qualified</t>
        </is>
      </c>
      <c r="AL530" s="26" t="n">
        <v>4</v>
      </c>
      <c r="AM530" s="24" t="inlineStr">
        <is>
          <t>QUALIFIED_SHADOW_CALL</t>
        </is>
      </c>
      <c r="AN530" s="24" t="inlineStr">
        <is>
          <t>CALL</t>
        </is>
      </c>
      <c r="AO530" s="24" t="inlineStr">
        <is>
          <t>QUALIFIED</t>
        </is>
      </c>
      <c r="AP530" s="24" t="inlineStr">
        <is>
          <t>Iowa Hawkeyes</t>
        </is>
      </c>
      <c r="AQ530" s="24" t="inlineStr">
        <is>
          <t>Iowa Hawkeyes</t>
        </is>
      </c>
      <c r="AR530" s="24" t="inlineStr">
        <is>
          <t>Iowa Hawkeyes</t>
        </is>
      </c>
      <c r="AS530" s="24" t="inlineStr">
        <is>
          <t>Michigan Wolverines</t>
        </is>
      </c>
      <c r="AT530" s="24" t="inlineStr">
        <is>
          <t>Michigan Wolverines</t>
        </is>
      </c>
      <c r="AU530" s="24" t="inlineStr">
        <is>
          <t>Michigan Wolverines</t>
        </is>
      </c>
      <c r="AV530" s="24" t="n"/>
      <c r="AW530" s="24" t="n"/>
      <c r="AX530" s="24" t="inlineStr">
        <is>
          <t>statistical_model</t>
        </is>
      </c>
      <c r="AY530" s="24" t="n"/>
      <c r="AZ530" s="24" t="inlineStr">
        <is>
          <t>shadow_qualified</t>
        </is>
      </c>
      <c r="BA530" s="24" t="inlineStr">
        <is>
          <t>1d168f11d221cd3c</t>
        </is>
      </c>
      <c r="BB530" s="24" t="inlineStr">
        <is>
          <t>cfb_key_number_engine</t>
        </is>
      </c>
      <c r="BC530" s="24" t="inlineStr">
        <is>
          <t>cfb-total-v1</t>
        </is>
      </c>
      <c r="BD530" s="24" t="inlineStr">
        <is>
          <t>1d168f11d221cd3c</t>
        </is>
      </c>
      <c r="BE530" s="24" t="inlineStr">
        <is>
          <t>cfb-v1</t>
        </is>
      </c>
      <c r="BF530" s="24" t="inlineStr">
        <is>
          <t>1</t>
        </is>
      </c>
      <c r="BG530" s="24" t="inlineStr">
        <is>
          <t>1d168f11d221cd3c</t>
        </is>
      </c>
      <c r="BH530" s="24" t="inlineStr">
        <is>
          <t>2026-09-26T15:01:01.506546+00:00</t>
        </is>
      </c>
      <c r="BI530" s="24" t="inlineStr">
        <is>
          <t>["same_event","same_team_same_day","same_league_same_day"]</t>
        </is>
      </c>
      <c r="BJ530" s="25" t="n">
        <v>38.5</v>
      </c>
      <c r="BK530" s="26" t="n">
        <v>-112</v>
      </c>
      <c r="BL530" s="27" t="n">
        <v>1.892857</v>
      </c>
      <c r="BM530" s="28" t="n">
        <v>0.528302</v>
      </c>
      <c r="BN530" s="28" t="n"/>
      <c r="BO530" s="28" t="n"/>
      <c r="BP530" s="25" t="n"/>
      <c r="BQ530" s="27" t="n"/>
      <c r="BR530" s="28" t="n"/>
      <c r="BS530" s="28" t="n"/>
      <c r="BT530" s="28" t="n"/>
      <c r="BU530" s="25" t="n"/>
      <c r="BV530" s="29" t="n"/>
      <c r="BW530" s="24" t="n"/>
      <c r="BX530" s="30" t="n"/>
      <c r="BY530" s="27" t="n"/>
      <c r="BZ530" s="24" t="n"/>
      <c r="CA530" s="31" t="n"/>
      <c r="CB530" s="24" t="n"/>
      <c r="CC530" s="24" t="n"/>
      <c r="CD530" s="24" t="n"/>
      <c r="CE530" s="24" t="n"/>
      <c r="CF530" s="24" t="n"/>
      <c r="CG530" s="24" t="n"/>
      <c r="CH530" s="24" t="n"/>
      <c r="CI530" s="24" t="n"/>
      <c r="CJ530" s="24" t="n"/>
      <c r="CK530" s="24" t="n"/>
      <c r="CL530" s="24" t="n"/>
      <c r="CM530" s="24" t="n"/>
      <c r="CN530" s="24" t="n"/>
      <c r="CO530" s="24" t="n"/>
      <c r="CP530" s="24" t="n"/>
      <c r="CQ530" s="24" t="n"/>
      <c r="CR530" s="24" t="n"/>
      <c r="CS530" s="24" t="inlineStr">
        <is>
          <t>True</t>
        </is>
      </c>
      <c r="CT530" s="24" t="n"/>
      <c r="CU530" s="24" t="n"/>
      <c r="CV530" s="24" t="n"/>
      <c r="CW530" s="24" t="n"/>
      <c r="CX530" s="24" t="n"/>
      <c r="CY530" s="24" t="n"/>
      <c r="CZ530" s="24" t="n"/>
      <c r="DA530" s="24" t="n"/>
      <c r="DB530" s="24" t="n"/>
      <c r="DC530" s="24" t="n"/>
      <c r="DD530" s="24" t="n"/>
      <c r="DE530" s="24" t="n"/>
      <c r="DF530" s="24" t="n"/>
      <c r="DG530" s="24" t="n"/>
      <c r="DH530" s="24" t="n"/>
      <c r="DI530" s="24" t="n"/>
      <c r="DJ530" s="24" t="inlineStr">
        <is>
          <t>0.528302</t>
        </is>
      </c>
      <c r="DK530" s="24" t="n"/>
      <c r="DL530" s="24" t="n"/>
      <c r="DM530" s="24" t="n"/>
      <c r="DN530" s="24" t="n"/>
      <c r="DO530" s="24" t="n"/>
      <c r="DP530" s="24" t="n"/>
      <c r="DQ530" s="24" t="inlineStr">
        <is>
          <t>{"artifact_hash": "1d168f11d221cd3c", "event_id": "401858463", "event_start_utc": "2026-09-26T19:30Z", "features": {"altitude_fatigue_penalty": 0.0, "away_team": "Iowa Hawkeyes", "efficiency_gap": -1.51, "elo_away": 1763.6, "elo_home": 1584.3, "elo_home_win_prob": 0.3413, "event_id": "401858463", "game_start_utc": "2026-09-26T19:30Z", "home_field_advantage_points": 2.8, "home_team": "Michigan Wolverines", "is_dome": false, "is_fbs_vs_fcs": false, "is_neutral_site": false, "projected_away_points": 29.7, "projected_home_points": 25.0, "projected_margin_home": -4.7, "projected_possessions": 12.4, "projected_total": 54.7, "stadium_elevation_ft": 840, "travel_distance_miles": 403.0, "uncertainty": 0.165, "weather_total_adjustment": 0.0}, "historical_source_observation_times_verified": false, "inference_inputs": {"engine_source_sha256": "449ba2f0e86fa9c445730076a0e0bf100fb4914620be53c75c6f3bfe24298f3f", "mu_away": 29.7, "mu_home": 25.0,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162656995924369723776792924879827637077}, "uinteger": 0}, "spread_home_line": -5.5, "total_line": 38.5}, "market_type": "total", "model_version": "cfb-total-v1", "observed_at_utc": "2026-09-26T15:01:01.506546+00:00", "probabilities": {"over": 0.725533, "push": 0.0, "under": 0.274467}, "replay_scope": "Full precision score means, exact engine parameters and original RNG state; upstream feature construction not certified.", "schema": "cfb-joint-replay-v1", "snapshot_hash": "dfe385322c4fe6df8bdf6981d6a20fe2513b9942b8680e8040f42a2caa4175c1", "sport": "NCAAF"}</t>
        </is>
      </c>
    </row>
    <row r="531" ht="36" customHeight="1">
      <c r="A531" s="24" t="inlineStr">
        <is>
          <t>601e73349fc14dbf</t>
        </is>
      </c>
      <c r="B531" s="24" t="inlineStr">
        <is>
          <t>2026-09-26T15:01:01.506546Z</t>
        </is>
      </c>
      <c r="C531" s="24" t="inlineStr">
        <is>
          <t>2026-09-26T19:30Z</t>
        </is>
      </c>
      <c r="D531" s="24" t="inlineStr">
        <is>
          <t>401856815</t>
        </is>
      </c>
      <c r="E531" s="24" t="inlineStr">
        <is>
          <t>NCAAF</t>
        </is>
      </c>
      <c r="F531" s="24" t="inlineStr">
        <is>
          <t>TCU Horned Frogs</t>
        </is>
      </c>
      <c r="G531" s="24" t="inlineStr">
        <is>
          <t>UCF Knights</t>
        </is>
      </c>
      <c r="H531" s="24" t="inlineStr">
        <is>
          <t>moneyline</t>
        </is>
      </c>
      <c r="I531" s="24" t="inlineStr">
        <is>
          <t>away</t>
        </is>
      </c>
      <c r="J531" s="25" t="n"/>
      <c r="K531" s="24" t="inlineStr">
        <is>
          <t>espn_consensus</t>
        </is>
      </c>
      <c r="L531" s="26" t="n">
        <v>-162</v>
      </c>
      <c r="M531" s="27" t="n">
        <v>1.617284</v>
      </c>
      <c r="N531" s="28" t="n">
        <v>0.618321</v>
      </c>
      <c r="O531" s="28" t="n">
        <v>0.686563</v>
      </c>
      <c r="P531" s="28" t="n">
        <v>0.18</v>
      </c>
      <c r="Q531" s="28" t="n">
        <v>0.068242</v>
      </c>
      <c r="R531" s="26" t="n">
        <v>0</v>
      </c>
      <c r="S531" s="29" t="n">
        <v>1</v>
      </c>
      <c r="T531" s="24" t="inlineStr">
        <is>
          <t>college-football-v1</t>
        </is>
      </c>
      <c r="U531" s="24" t="inlineStr">
        <is>
          <t>settled</t>
        </is>
      </c>
      <c r="V531" s="24" t="inlineStr">
        <is>
          <t>loss</t>
        </is>
      </c>
      <c r="W531" s="26" t="n">
        <v>13</v>
      </c>
      <c r="X531" s="26" t="n">
        <v>21</v>
      </c>
      <c r="Y531" s="25" t="n"/>
      <c r="Z531" s="26" t="n"/>
      <c r="AA531" s="28" t="n"/>
      <c r="AB531" s="28" t="n"/>
      <c r="AC531" s="30" t="n">
        <v>-1</v>
      </c>
      <c r="AD531" s="24" t="inlineStr">
        <is>
          <t>2026-09-27T04:30:35.962642Z</t>
        </is>
      </c>
      <c r="AE531" s="31" t="inlineStr">
        <is>
          <t>CFB Joint Model (negative_binomial): proj score TCU Horned Frogs 31.2 @ UCF Knights 22.2 (Margin -9.0). Possessions: 12.4, HFA: +2.8 pts.</t>
        </is>
      </c>
      <c r="AF531" s="31" t="inlineStr">
        <is>
          <t>College football model; multi-market (moneyline, spread, total).</t>
        </is>
      </c>
      <c r="AG531" s="24" t="inlineStr">
        <is>
          <t>review_required</t>
        </is>
      </c>
      <c r="AH531" s="24" t="n"/>
      <c r="AI531" s="31" t="n"/>
      <c r="AJ531" s="31" t="n"/>
      <c r="AK531" s="24" t="inlineStr">
        <is>
          <t>model_qualified</t>
        </is>
      </c>
      <c r="AL531" s="26" t="n">
        <v>4</v>
      </c>
      <c r="AM531" s="24" t="inlineStr">
        <is>
          <t>QUALIFIED_SHADOW_CALL</t>
        </is>
      </c>
      <c r="AN531" s="24" t="inlineStr">
        <is>
          <t>CALL</t>
        </is>
      </c>
      <c r="AO531" s="24" t="inlineStr">
        <is>
          <t>QUALIFIED</t>
        </is>
      </c>
      <c r="AP531" s="24" t="inlineStr">
        <is>
          <t>TCU Horned Frogs</t>
        </is>
      </c>
      <c r="AQ531" s="24" t="inlineStr">
        <is>
          <t>TCU Horned Frogs</t>
        </is>
      </c>
      <c r="AR531" s="24" t="inlineStr">
        <is>
          <t>TCU Horned Frogs</t>
        </is>
      </c>
      <c r="AS531" s="24" t="inlineStr">
        <is>
          <t>UCF Knights</t>
        </is>
      </c>
      <c r="AT531" s="24" t="inlineStr">
        <is>
          <t>UCF Knights</t>
        </is>
      </c>
      <c r="AU531" s="24" t="inlineStr">
        <is>
          <t>UCF Knights</t>
        </is>
      </c>
      <c r="AV531" s="24" t="n"/>
      <c r="AW531" s="24" t="n"/>
      <c r="AX531" s="24" t="inlineStr">
        <is>
          <t>statistical_model</t>
        </is>
      </c>
      <c r="AY531" s="24" t="n"/>
      <c r="AZ531" s="24" t="inlineStr">
        <is>
          <t>shadow_qualified</t>
        </is>
      </c>
      <c r="BA531" s="24" t="inlineStr">
        <is>
          <t>1d168f11d221cd3c</t>
        </is>
      </c>
      <c r="BB531" s="24" t="inlineStr">
        <is>
          <t>cfb_key_number_engine</t>
        </is>
      </c>
      <c r="BC531" s="24" t="inlineStr">
        <is>
          <t>college-football-v1</t>
        </is>
      </c>
      <c r="BD531" s="24" t="inlineStr">
        <is>
          <t>1d168f11d221cd3c</t>
        </is>
      </c>
      <c r="BE531" s="24" t="inlineStr">
        <is>
          <t>cfb-v1</t>
        </is>
      </c>
      <c r="BF531" s="24" t="inlineStr">
        <is>
          <t>1</t>
        </is>
      </c>
      <c r="BG531" s="24" t="inlineStr">
        <is>
          <t>1d168f11d221cd3c</t>
        </is>
      </c>
      <c r="BH531" s="24" t="inlineStr">
        <is>
          <t>2026-09-26T15:01:01.506546+00:00</t>
        </is>
      </c>
      <c r="BI531" s="24" t="inlineStr">
        <is>
          <t>["same_event","same_team_same_day","same_league_same_day"]</t>
        </is>
      </c>
      <c r="BJ531" s="25" t="n"/>
      <c r="BK531" s="26" t="n">
        <v>-162</v>
      </c>
      <c r="BL531" s="27" t="n">
        <v>1.617284</v>
      </c>
      <c r="BM531" s="28" t="n">
        <v>0.618321</v>
      </c>
      <c r="BN531" s="28" t="n"/>
      <c r="BO531" s="28" t="n"/>
      <c r="BP531" s="25" t="n"/>
      <c r="BQ531" s="27" t="n"/>
      <c r="BR531" s="28" t="n"/>
      <c r="BS531" s="28" t="n"/>
      <c r="BT531" s="28" t="n"/>
      <c r="BU531" s="25" t="n"/>
      <c r="BV531" s="29" t="n"/>
      <c r="BW531" s="24" t="n"/>
      <c r="BX531" s="30" t="n"/>
      <c r="BY531" s="27" t="n"/>
      <c r="BZ531" s="24" t="n"/>
      <c r="CA531" s="31" t="n"/>
      <c r="CB531" s="24" t="n"/>
      <c r="CC531" s="24" t="n"/>
      <c r="CD531" s="24" t="n"/>
      <c r="CE531" s="24" t="n"/>
      <c r="CF531" s="24" t="n"/>
      <c r="CG531" s="24" t="n"/>
      <c r="CH531" s="24" t="n"/>
      <c r="CI531" s="24" t="n"/>
      <c r="CJ531" s="24" t="n"/>
      <c r="CK531" s="24" t="n"/>
      <c r="CL531" s="24" t="n"/>
      <c r="CM531" s="24" t="n"/>
      <c r="CN531" s="24" t="n"/>
      <c r="CO531" s="24" t="n"/>
      <c r="CP531" s="24" t="n"/>
      <c r="CQ531" s="24" t="n"/>
      <c r="CR531" s="24" t="n"/>
      <c r="CS531" s="24" t="inlineStr">
        <is>
          <t>True</t>
        </is>
      </c>
      <c r="CT531" s="24" t="n"/>
      <c r="CU531" s="24" t="n"/>
      <c r="CV531" s="24" t="n"/>
      <c r="CW531" s="24" t="n"/>
      <c r="CX531" s="24" t="n"/>
      <c r="CY531" s="24" t="n"/>
      <c r="CZ531" s="24" t="n"/>
      <c r="DA531" s="24" t="n"/>
      <c r="DB531" s="24" t="n"/>
      <c r="DC531" s="24" t="n"/>
      <c r="DD531" s="24" t="n"/>
      <c r="DE531" s="24" t="n"/>
      <c r="DF531" s="24" t="n"/>
      <c r="DG531" s="24" t="n"/>
      <c r="DH531" s="24" t="n"/>
      <c r="DI531" s="24" t="n"/>
      <c r="DJ531" s="24" t="inlineStr">
        <is>
          <t>0.618321</t>
        </is>
      </c>
      <c r="DK531" s="24" t="n"/>
      <c r="DL531" s="24" t="n"/>
      <c r="DM531" s="24" t="n"/>
      <c r="DN531" s="24" t="n"/>
      <c r="DO531" s="24" t="n"/>
      <c r="DP531" s="24" t="n"/>
      <c r="DQ531" s="24" t="inlineStr">
        <is>
          <t>{"artifact_hash": "1d168f11d221cd3c", "event_id": "401856815", "event_start_utc": "2026-09-26T19:30Z", "features": {"altitude_fatigue_penalty": 0.0, "away_team": "TCU Horned Frogs", "efficiency_gap": 0.329, "elo_away": 1596.1, "elo_home": 1310.2, "elo_home_win_prob": 0.219, "event_id": "401856815", "game_start_utc": "2026-09-26T19:30Z", "home_field_advantage_points": 2.8, "home_team": "UCF Knights", "is_dome": false, "is_fbs_vs_fcs": false, "is_neutral_site": false, "projected_away_points": 31.2, "projected_home_points": 22.2, "projected_margin_home": -9.0, "projected_possessions": 12.4, "projected_total": 53.5, "stadium_elevation_ft": 70, "travel_distance_miles": 1001.0, "uncertainty": 0.18, "weather_total_adjustment": 0.0}, "historical_source_observation_times_verified": false, "inference_inputs": {"engine_source_sha256": "449ba2f0e86fa9c445730076a0e0bf100fb4914620be53c75c6f3bfe24298f3f", "mu_away": 31.2, "mu_home": 22.2,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68604870889043602571503611490977253462}, "uinteger": 0}, "spread_home_line": 3.0, "total_line": 48.5}, "market_type": "moneyline", "model_version": "college-football-v1", "observed_at_utc": "2026-09-26T15:01:01.506546+00:00", "probabilities": {"away": 0.686563, "home": 0.313437}, "replay_scope": "Full precision score means, exact engine parameters and original RNG state; upstream feature construction not certified.", "schema": "cfb-joint-replay-v1", "snapshot_hash": "f1636e38fbef593ed6d0d8df513476a54fd763f7511a57138ccdbc6aa3c14053", "sport": "NCAAF"}</t>
        </is>
      </c>
    </row>
    <row r="532" ht="36" customHeight="1">
      <c r="A532" s="24" t="inlineStr">
        <is>
          <t>8c141dfdcfb643a6</t>
        </is>
      </c>
      <c r="B532" s="24" t="inlineStr">
        <is>
          <t>2026-09-26T15:01:01.506546Z</t>
        </is>
      </c>
      <c r="C532" s="24" t="inlineStr">
        <is>
          <t>2026-09-26T19:30Z</t>
        </is>
      </c>
      <c r="D532" s="24" t="inlineStr">
        <is>
          <t>401856815</t>
        </is>
      </c>
      <c r="E532" s="24" t="inlineStr">
        <is>
          <t>NCAAF</t>
        </is>
      </c>
      <c r="F532" s="24" t="inlineStr">
        <is>
          <t>TCU Horned Frogs</t>
        </is>
      </c>
      <c r="G532" s="24" t="inlineStr">
        <is>
          <t>UCF Knights</t>
        </is>
      </c>
      <c r="H532" s="24" t="inlineStr">
        <is>
          <t>spread</t>
        </is>
      </c>
      <c r="I532" s="24" t="inlineStr">
        <is>
          <t>away</t>
        </is>
      </c>
      <c r="J532" s="25" t="n">
        <v>-3</v>
      </c>
      <c r="K532" s="24" t="inlineStr">
        <is>
          <t>espn_consensus</t>
        </is>
      </c>
      <c r="L532" s="26" t="n">
        <v>-112</v>
      </c>
      <c r="M532" s="27" t="n">
        <v>1.892857</v>
      </c>
      <c r="N532" s="28" t="n">
        <v>0.528302</v>
      </c>
      <c r="O532" s="28" t="n">
        <v>0.620067</v>
      </c>
      <c r="P532" s="28" t="n">
        <v>0.18</v>
      </c>
      <c r="Q532" s="28" t="n">
        <v>0.091765</v>
      </c>
      <c r="R532" s="26" t="n">
        <v>0</v>
      </c>
      <c r="S532" s="29" t="n">
        <v>1</v>
      </c>
      <c r="T532" s="24" t="inlineStr">
        <is>
          <t>cfb-spread-v1</t>
        </is>
      </c>
      <c r="U532" s="24" t="inlineStr">
        <is>
          <t>settled</t>
        </is>
      </c>
      <c r="V532" s="24" t="inlineStr">
        <is>
          <t>loss</t>
        </is>
      </c>
      <c r="W532" s="26" t="n">
        <v>13</v>
      </c>
      <c r="X532" s="26" t="n">
        <v>21</v>
      </c>
      <c r="Y532" s="25" t="n"/>
      <c r="Z532" s="26" t="n"/>
      <c r="AA532" s="28" t="n"/>
      <c r="AB532" s="28" t="n"/>
      <c r="AC532" s="30" t="n">
        <v>-1</v>
      </c>
      <c r="AD532" s="24" t="inlineStr">
        <is>
          <t>2026-09-27T04:30:36.536498Z</t>
        </is>
      </c>
      <c r="AE532" s="31" t="inlineStr">
        <is>
          <t>Projected home margin -9.0 pts. Spread: Home +3.0 / Away -3.0 -&gt; P(Away cover)=0.620, P(Home cover)=0.360, P(Push)=0.020.</t>
        </is>
      </c>
      <c r="AF532" s="31" t="inlineStr">
        <is>
          <t>College football model; multi-market (moneyline, spread, total).</t>
        </is>
      </c>
      <c r="AG532" s="24" t="inlineStr">
        <is>
          <t>review_required</t>
        </is>
      </c>
      <c r="AH532" s="24" t="n"/>
      <c r="AI532" s="31" t="n"/>
      <c r="AJ532" s="31" t="n"/>
      <c r="AK532" s="24" t="inlineStr">
        <is>
          <t>model_qualified</t>
        </is>
      </c>
      <c r="AL532" s="26" t="n">
        <v>4</v>
      </c>
      <c r="AM532" s="24" t="inlineStr">
        <is>
          <t>QUALIFIED_SHADOW_CALL</t>
        </is>
      </c>
      <c r="AN532" s="24" t="inlineStr">
        <is>
          <t>CALL</t>
        </is>
      </c>
      <c r="AO532" s="24" t="inlineStr">
        <is>
          <t>QUALIFIED</t>
        </is>
      </c>
      <c r="AP532" s="24" t="inlineStr">
        <is>
          <t>TCU Horned Frogs</t>
        </is>
      </c>
      <c r="AQ532" s="24" t="inlineStr">
        <is>
          <t>TCU Horned Frogs</t>
        </is>
      </c>
      <c r="AR532" s="24" t="inlineStr">
        <is>
          <t>TCU Horned Frogs</t>
        </is>
      </c>
      <c r="AS532" s="24" t="inlineStr">
        <is>
          <t>UCF Knights</t>
        </is>
      </c>
      <c r="AT532" s="24" t="inlineStr">
        <is>
          <t>UCF Knights</t>
        </is>
      </c>
      <c r="AU532" s="24" t="inlineStr">
        <is>
          <t>UCF Knights</t>
        </is>
      </c>
      <c r="AV532" s="24" t="n"/>
      <c r="AW532" s="24" t="n"/>
      <c r="AX532" s="24" t="inlineStr">
        <is>
          <t>statistical_model</t>
        </is>
      </c>
      <c r="AY532" s="24" t="n"/>
      <c r="AZ532" s="24" t="inlineStr">
        <is>
          <t>shadow_qualified</t>
        </is>
      </c>
      <c r="BA532" s="24" t="inlineStr">
        <is>
          <t>1d168f11d221cd3c</t>
        </is>
      </c>
      <c r="BB532" s="24" t="inlineStr">
        <is>
          <t>cfb_key_number_engine</t>
        </is>
      </c>
      <c r="BC532" s="24" t="inlineStr">
        <is>
          <t>cfb-spread-v1</t>
        </is>
      </c>
      <c r="BD532" s="24" t="inlineStr">
        <is>
          <t>1d168f11d221cd3c</t>
        </is>
      </c>
      <c r="BE532" s="24" t="inlineStr">
        <is>
          <t>cfb-v1</t>
        </is>
      </c>
      <c r="BF532" s="24" t="inlineStr">
        <is>
          <t>1</t>
        </is>
      </c>
      <c r="BG532" s="24" t="inlineStr">
        <is>
          <t>1d168f11d221cd3c</t>
        </is>
      </c>
      <c r="BH532" s="24" t="inlineStr">
        <is>
          <t>2026-09-26T15:01:01.506546+00:00</t>
        </is>
      </c>
      <c r="BI532" s="24" t="inlineStr">
        <is>
          <t>["same_event","same_team_same_day","same_league_same_day"]</t>
        </is>
      </c>
      <c r="BJ532" s="25" t="n">
        <v>-3</v>
      </c>
      <c r="BK532" s="26" t="n">
        <v>-112</v>
      </c>
      <c r="BL532" s="27" t="n">
        <v>1.892857</v>
      </c>
      <c r="BM532" s="28" t="n">
        <v>0.528302</v>
      </c>
      <c r="BN532" s="28" t="n"/>
      <c r="BO532" s="28" t="n"/>
      <c r="BP532" s="25" t="n"/>
      <c r="BQ532" s="27" t="n"/>
      <c r="BR532" s="28" t="n"/>
      <c r="BS532" s="28" t="n"/>
      <c r="BT532" s="28" t="n"/>
      <c r="BU532" s="25" t="n"/>
      <c r="BV532" s="29" t="n"/>
      <c r="BW532" s="24" t="n"/>
      <c r="BX532" s="30" t="n"/>
      <c r="BY532" s="27" t="n"/>
      <c r="BZ532" s="24" t="n"/>
      <c r="CA532" s="31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inlineStr">
        <is>
          <t>True</t>
        </is>
      </c>
      <c r="CT532" s="24" t="n"/>
      <c r="CU532" s="24" t="n"/>
      <c r="CV532" s="24" t="n"/>
      <c r="CW532" s="24" t="n"/>
      <c r="CX532" s="24" t="n"/>
      <c r="CY532" s="24" t="n"/>
      <c r="CZ532" s="24" t="n"/>
      <c r="DA532" s="24" t="n"/>
      <c r="DB532" s="24" t="n"/>
      <c r="DC532" s="24" t="n"/>
      <c r="DD532" s="24" t="n"/>
      <c r="DE532" s="24" t="n"/>
      <c r="DF532" s="24" t="n"/>
      <c r="DG532" s="24" t="n"/>
      <c r="DH532" s="24" t="n"/>
      <c r="DI532" s="24" t="n"/>
      <c r="DJ532" s="24" t="inlineStr">
        <is>
          <t>0.528302</t>
        </is>
      </c>
      <c r="DK532" s="24" t="n"/>
      <c r="DL532" s="24" t="n"/>
      <c r="DM532" s="24" t="n"/>
      <c r="DN532" s="24" t="n"/>
      <c r="DO532" s="24" t="n"/>
      <c r="DP532" s="24" t="n"/>
      <c r="DQ532" s="24" t="inlineStr">
        <is>
          <t>{"artifact_hash": "1d168f11d221cd3c", "event_id": "401856815", "event_start_utc": "2026-09-26T19:30Z", "features": {"altitude_fatigue_penalty": 0.0, "away_team": "TCU Horned Frogs", "efficiency_gap": 0.329, "elo_away": 1596.1, "elo_home": 1310.2, "elo_home_win_prob": 0.219, "event_id": "401856815", "game_start_utc": "2026-09-26T19:30Z", "home_field_advantage_points": 2.8, "home_team": "UCF Knights", "is_dome": false, "is_fbs_vs_fcs": false, "is_neutral_site": false, "projected_away_points": 31.2, "projected_home_points": 22.2, "projected_margin_home": -9.0, "projected_possessions": 12.4, "projected_total": 53.5, "stadium_elevation_ft": 70, "travel_distance_miles": 1001.0, "uncertainty": 0.18, "weather_total_adjustment": 0.0}, "historical_source_observation_times_verified": false, "inference_inputs": {"engine_source_sha256": "449ba2f0e86fa9c445730076a0e0bf100fb4914620be53c75c6f3bfe24298f3f", "mu_away": 31.2, "mu_home": 22.2,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68604870889043602571503611490977253462}, "uinteger": 0}, "spread_home_line": 3.0, "total_line": 48.5}, "market_type": "spread", "model_version": "cfb-spread-v1", "observed_at_utc": "2026-09-26T15:01:01.506546+00:00", "probabilities": {"away": 0.620067, "home": 0.360133, "push": 0.0198}, "replay_scope": "Full precision score means, exact engine parameters and original RNG state; upstream feature construction not certified.", "schema": "cfb-joint-replay-v1", "snapshot_hash": "67fb19c2a20d1e2313c3136cbc787bcfd7a771427674fb7e3d3a2d9e56f7fe9c", "sport": "NCAAF"}</t>
        </is>
      </c>
    </row>
    <row r="533" ht="36" customHeight="1">
      <c r="A533" s="24" t="inlineStr">
        <is>
          <t>af4eab25c3f54a1d</t>
        </is>
      </c>
      <c r="B533" s="24" t="inlineStr">
        <is>
          <t>2026-09-26T15:01:01.506546Z</t>
        </is>
      </c>
      <c r="C533" s="24" t="inlineStr">
        <is>
          <t>2026-09-26T19:30Z</t>
        </is>
      </c>
      <c r="D533" s="24" t="inlineStr">
        <is>
          <t>401856815</t>
        </is>
      </c>
      <c r="E533" s="24" t="inlineStr">
        <is>
          <t>NCAAF</t>
        </is>
      </c>
      <c r="F533" s="24" t="inlineStr">
        <is>
          <t>TCU Horned Frogs</t>
        </is>
      </c>
      <c r="G533" s="24" t="inlineStr">
        <is>
          <t>UCF Knights</t>
        </is>
      </c>
      <c r="H533" s="24" t="inlineStr">
        <is>
          <t>total</t>
        </is>
      </c>
      <c r="I533" s="24" t="inlineStr">
        <is>
          <t>over</t>
        </is>
      </c>
      <c r="J533" s="25" t="n">
        <v>48.5</v>
      </c>
      <c r="K533" s="24" t="inlineStr">
        <is>
          <t>espn_consensus</t>
        </is>
      </c>
      <c r="L533" s="26" t="n">
        <v>-108</v>
      </c>
      <c r="M533" s="27" t="n">
        <v>1.925926</v>
      </c>
      <c r="N533" s="28" t="n">
        <v>0.519231</v>
      </c>
      <c r="O533" s="28" t="n">
        <v>0.5438</v>
      </c>
      <c r="P533" s="28" t="n">
        <v>0.18</v>
      </c>
      <c r="Q533" s="28" t="n">
        <v>0.024569</v>
      </c>
      <c r="R533" s="26" t="n">
        <v>0</v>
      </c>
      <c r="S533" s="29" t="n">
        <v>1</v>
      </c>
      <c r="T533" s="24" t="inlineStr">
        <is>
          <t>cfb-total-v1</t>
        </is>
      </c>
      <c r="U533" s="24" t="inlineStr">
        <is>
          <t>settled</t>
        </is>
      </c>
      <c r="V533" s="24" t="inlineStr">
        <is>
          <t>loss</t>
        </is>
      </c>
      <c r="W533" s="26" t="n">
        <v>13</v>
      </c>
      <c r="X533" s="26" t="n">
        <v>21</v>
      </c>
      <c r="Y533" s="25" t="n"/>
      <c r="Z533" s="26" t="n"/>
      <c r="AA533" s="28" t="n"/>
      <c r="AB533" s="28" t="n"/>
      <c r="AC533" s="30" t="n">
        <v>-1</v>
      </c>
      <c r="AD533" s="24" t="inlineStr">
        <is>
          <t>2026-09-27T04:30:37.210105Z</t>
        </is>
      </c>
      <c r="AE533" s="31" t="inlineStr">
        <is>
          <t>Projected total 53.5 pts (Weather adj: +0.0 pts). Total line 48.5 -&gt; P(Over)=0.544, P(Under)=0.456, P(Push)=0.000.</t>
        </is>
      </c>
      <c r="AF533" s="31" t="inlineStr">
        <is>
          <t>College football model; multi-market (moneyline, spread, total).</t>
        </is>
      </c>
      <c r="AG533" s="24" t="inlineStr">
        <is>
          <t>review_required</t>
        </is>
      </c>
      <c r="AH533" s="24" t="n"/>
      <c r="AI533" s="31" t="n"/>
      <c r="AJ533" s="31" t="n"/>
      <c r="AK533" s="24" t="inlineStr">
        <is>
          <t>paper_call</t>
        </is>
      </c>
      <c r="AL533" s="26" t="n">
        <v>4</v>
      </c>
      <c r="AM533" s="24" t="inlineStr">
        <is>
          <t>RESEARCH_OBSERVATION</t>
        </is>
      </c>
      <c r="AN533" s="24" t="inlineStr">
        <is>
          <t>CALL</t>
        </is>
      </c>
      <c r="AO533" s="24" t="inlineStr">
        <is>
          <t>PAPER_CALL_LOW_EDGE</t>
        </is>
      </c>
      <c r="AP533" s="24" t="inlineStr">
        <is>
          <t>TCU Horned Frogs</t>
        </is>
      </c>
      <c r="AQ533" s="24" t="inlineStr">
        <is>
          <t>TCU Horned Frogs</t>
        </is>
      </c>
      <c r="AR533" s="24" t="inlineStr">
        <is>
          <t>TCU Horned Frogs</t>
        </is>
      </c>
      <c r="AS533" s="24" t="inlineStr">
        <is>
          <t>UCF Knights</t>
        </is>
      </c>
      <c r="AT533" s="24" t="inlineStr">
        <is>
          <t>UCF Knights</t>
        </is>
      </c>
      <c r="AU533" s="24" t="inlineStr">
        <is>
          <t>UCF Knights</t>
        </is>
      </c>
      <c r="AV533" s="24" t="n"/>
      <c r="AW533" s="24" t="n"/>
      <c r="AX533" s="24" t="inlineStr">
        <is>
          <t>statistical_model</t>
        </is>
      </c>
      <c r="AY533" s="24" t="n"/>
      <c r="AZ533" s="24" t="inlineStr">
        <is>
          <t>shadow_qualified</t>
        </is>
      </c>
      <c r="BA533" s="24" t="inlineStr">
        <is>
          <t>1d168f11d221cd3c</t>
        </is>
      </c>
      <c r="BB533" s="24" t="inlineStr">
        <is>
          <t>cfb_key_number_engine</t>
        </is>
      </c>
      <c r="BC533" s="24" t="inlineStr">
        <is>
          <t>cfb-total-v1</t>
        </is>
      </c>
      <c r="BD533" s="24" t="inlineStr">
        <is>
          <t>1d168f11d221cd3c</t>
        </is>
      </c>
      <c r="BE533" s="24" t="inlineStr">
        <is>
          <t>cfb-v1</t>
        </is>
      </c>
      <c r="BF533" s="24" t="inlineStr">
        <is>
          <t>1</t>
        </is>
      </c>
      <c r="BG533" s="24" t="inlineStr">
        <is>
          <t>1d168f11d221cd3c</t>
        </is>
      </c>
      <c r="BH533" s="24" t="inlineStr">
        <is>
          <t>2026-09-26T15:01:01.506546+00:00</t>
        </is>
      </c>
      <c r="BI533" s="24" t="inlineStr">
        <is>
          <t>["same_event","same_team_same_day","same_league_same_day"]</t>
        </is>
      </c>
      <c r="BJ533" s="25" t="n">
        <v>48.5</v>
      </c>
      <c r="BK533" s="26" t="n">
        <v>-108</v>
      </c>
      <c r="BL533" s="27" t="n">
        <v>1.925926</v>
      </c>
      <c r="BM533" s="28" t="n">
        <v>0.519231</v>
      </c>
      <c r="BN533" s="28" t="n"/>
      <c r="BO533" s="28" t="n"/>
      <c r="BP533" s="25" t="n"/>
      <c r="BQ533" s="27" t="n"/>
      <c r="BR533" s="28" t="n"/>
      <c r="BS533" s="28" t="n"/>
      <c r="BT533" s="28" t="n"/>
      <c r="BU533" s="25" t="n"/>
      <c r="BV533" s="29" t="n"/>
      <c r="BW533" s="24" t="n"/>
      <c r="BX533" s="30" t="n">
        <v>1</v>
      </c>
      <c r="BY533" s="27" t="n">
        <v>-1</v>
      </c>
      <c r="BZ533" s="24" t="inlineStr">
        <is>
          <t>2026-09-27T04:30:37.210105Z</t>
        </is>
      </c>
      <c r="CA533" s="31" t="inlineStr">
        <is>
          <t>fixed one-unit hypothetical scoring; no real exposure or execution</t>
        </is>
      </c>
      <c r="CB533" s="24" t="n"/>
      <c r="CC533" s="24" t="n"/>
      <c r="CD533" s="24" t="n"/>
      <c r="CE533" s="24" t="n"/>
      <c r="CF533" s="24" t="n"/>
      <c r="CG533" s="24" t="n"/>
      <c r="CH533" s="24" t="n"/>
      <c r="CI533" s="24" t="n"/>
      <c r="CJ533" s="24" t="n"/>
      <c r="CK533" s="24" t="n"/>
      <c r="CL533" s="24" t="n"/>
      <c r="CM533" s="24" t="n"/>
      <c r="CN533" s="24" t="n"/>
      <c r="CO533" s="24" t="n"/>
      <c r="CP533" s="24" t="n"/>
      <c r="CQ533" s="24" t="n"/>
      <c r="CR533" s="24" t="n"/>
      <c r="CS533" s="24" t="inlineStr">
        <is>
          <t>True</t>
        </is>
      </c>
      <c r="CT533" s="24" t="n"/>
      <c r="CU533" s="24" t="n"/>
      <c r="CV533" s="24" t="n"/>
      <c r="CW533" s="24" t="n"/>
      <c r="CX533" s="24" t="n"/>
      <c r="CY533" s="24" t="n"/>
      <c r="CZ533" s="24" t="n"/>
      <c r="DA533" s="24" t="n"/>
      <c r="DB533" s="24" t="n"/>
      <c r="DC533" s="24" t="n"/>
      <c r="DD533" s="24" t="n"/>
      <c r="DE533" s="24" t="n"/>
      <c r="DF533" s="24" t="n"/>
      <c r="DG533" s="24" t="n"/>
      <c r="DH533" s="24" t="n"/>
      <c r="DI533" s="24" t="n"/>
      <c r="DJ533" s="24" t="inlineStr">
        <is>
          <t>0.519231</t>
        </is>
      </c>
      <c r="DK533" s="24" t="n"/>
      <c r="DL533" s="24" t="n"/>
      <c r="DM533" s="24" t="n"/>
      <c r="DN533" s="24" t="n"/>
      <c r="DO533" s="24" t="n"/>
      <c r="DP533" s="24" t="n"/>
      <c r="DQ533" s="24" t="inlineStr">
        <is>
          <t>{"artifact_hash": "1d168f11d221cd3c", "event_id": "401856815", "event_start_utc": "2026-09-26T19:30Z", "features": {"altitude_fatigue_penalty": 0.0, "away_team": "TCU Horned Frogs", "efficiency_gap": 0.329, "elo_away": 1596.1, "elo_home": 1310.2, "elo_home_win_prob": 0.219, "event_id": "401856815", "game_start_utc": "2026-09-26T19:30Z", "home_field_advantage_points": 2.8, "home_team": "UCF Knights", "is_dome": false, "is_fbs_vs_fcs": false, "is_neutral_site": false, "projected_away_points": 31.2, "projected_home_points": 22.2, "projected_margin_home": -9.0, "projected_possessions": 12.4, "projected_total": 53.5, "stadium_elevation_ft": 70, "travel_distance_miles": 1001.0, "uncertainty": 0.18, "weather_total_adjustment": 0.0}, "historical_source_observation_times_verified": false, "inference_inputs": {"engine_source_sha256": "449ba2f0e86fa9c445730076a0e0bf100fb4914620be53c75c6f3bfe24298f3f", "mu_away": 31.2, "mu_home": 22.2,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68604870889043602571503611490977253462}, "uinteger": 0}, "spread_home_line": 3.0, "total_line": 48.5}, "market_type": "total", "model_version": "cfb-total-v1", "observed_at_utc": "2026-09-26T15:01:01.506546+00:00", "probabilities": {"over": 0.5438, "push": 0.0, "under": 0.4562}, "replay_scope": "Full precision score means, exact engine parameters and original RNG state; upstream feature construction not certified.", "schema": "cfb-joint-replay-v1", "snapshot_hash": "0c6fa03a9d87fe233768041a3b8b2a1956f29e4279ab10d540b9fbe0e1f6b87f", "sport": "NCAAF"}</t>
        </is>
      </c>
    </row>
    <row r="534" ht="36" customHeight="1">
      <c r="A534" s="24" t="inlineStr">
        <is>
          <t>30924be732f94de8</t>
        </is>
      </c>
      <c r="B534" s="24" t="inlineStr">
        <is>
          <t>2026-09-26T15:01:01.506546Z</t>
        </is>
      </c>
      <c r="C534" s="24" t="inlineStr">
        <is>
          <t>2026-09-26T19:30Z</t>
        </is>
      </c>
      <c r="D534" s="24" t="inlineStr">
        <is>
          <t>401858244</t>
        </is>
      </c>
      <c r="E534" s="24" t="inlineStr">
        <is>
          <t>NCAAF</t>
        </is>
      </c>
      <c r="F534" s="24" t="inlineStr">
        <is>
          <t>William &amp; Mary Tribe</t>
        </is>
      </c>
      <c r="G534" s="24" t="inlineStr">
        <is>
          <t>Duke Blue Devils</t>
        </is>
      </c>
      <c r="H534" s="24" t="inlineStr">
        <is>
          <t>spread</t>
        </is>
      </c>
      <c r="I534" s="24" t="inlineStr">
        <is>
          <t>away</t>
        </is>
      </c>
      <c r="J534" s="25" t="n">
        <v>43.5</v>
      </c>
      <c r="K534" s="24" t="inlineStr">
        <is>
          <t>espn_consensus</t>
        </is>
      </c>
      <c r="L534" s="26" t="n">
        <v>-105</v>
      </c>
      <c r="M534" s="27" t="n">
        <v>1.952381</v>
      </c>
      <c r="N534" s="28" t="n">
        <v>0.512195</v>
      </c>
      <c r="O534" s="28" t="n">
        <v>0.911467</v>
      </c>
      <c r="P534" s="28" t="n">
        <v>0.18</v>
      </c>
      <c r="Q534" s="28" t="n">
        <v>0.399272</v>
      </c>
      <c r="R534" s="26" t="n">
        <v>100</v>
      </c>
      <c r="S534" s="29" t="n">
        <v>2</v>
      </c>
      <c r="T534" s="24" t="inlineStr">
        <is>
          <t>cfb-spread-v1</t>
        </is>
      </c>
      <c r="U534" s="24" t="inlineStr">
        <is>
          <t>settled</t>
        </is>
      </c>
      <c r="V534" s="24" t="inlineStr">
        <is>
          <t>loss</t>
        </is>
      </c>
      <c r="W534" s="26" t="n">
        <v>7</v>
      </c>
      <c r="X534" s="26" t="n">
        <v>62</v>
      </c>
      <c r="Y534" s="25" t="n"/>
      <c r="Z534" s="26" t="n"/>
      <c r="AA534" s="28" t="n"/>
      <c r="AB534" s="28" t="n"/>
      <c r="AC534" s="30" t="n">
        <v>-2</v>
      </c>
      <c r="AD534" s="24" t="inlineStr">
        <is>
          <t>2026-09-27T04:30:37.783994Z</t>
        </is>
      </c>
      <c r="AE534" s="31" t="inlineStr">
        <is>
          <t>Projected home margin +16.8 pts. Spread: Home -43.5 / Away +43.5 -&gt; P(Away cover)=0.911, P(Home cover)=0.089, P(Push)=0.000.</t>
        </is>
      </c>
      <c r="AF534" s="31" t="inlineStr">
        <is>
          <t>College football model; multi-market (moneyline, spread, total).</t>
        </is>
      </c>
      <c r="AG534" s="24" t="inlineStr">
        <is>
          <t>review_required</t>
        </is>
      </c>
      <c r="AH534" s="24" t="n"/>
      <c r="AI534" s="31" t="n"/>
      <c r="AJ534" s="31" t="n"/>
      <c r="AK534" s="24" t="inlineStr">
        <is>
          <t>model_qualified</t>
        </is>
      </c>
      <c r="AL534" s="26" t="n">
        <v>4</v>
      </c>
      <c r="AM534" s="24" t="inlineStr">
        <is>
          <t>QUALIFIED_SHADOW_CALL</t>
        </is>
      </c>
      <c r="AN534" s="24" t="inlineStr">
        <is>
          <t>CALL</t>
        </is>
      </c>
      <c r="AO534" s="24" t="inlineStr">
        <is>
          <t>QUALIFIED</t>
        </is>
      </c>
      <c r="AP534" s="24" t="inlineStr">
        <is>
          <t>William &amp; Mary Tribe</t>
        </is>
      </c>
      <c r="AQ534" s="24" t="inlineStr">
        <is>
          <t>William &amp; Mary Tribe</t>
        </is>
      </c>
      <c r="AR534" s="24" t="inlineStr">
        <is>
          <t>William &amp; Mary Tribe</t>
        </is>
      </c>
      <c r="AS534" s="24" t="inlineStr">
        <is>
          <t>Duke Blue Devils</t>
        </is>
      </c>
      <c r="AT534" s="24" t="inlineStr">
        <is>
          <t>Duke Blue Devils</t>
        </is>
      </c>
      <c r="AU534" s="24" t="inlineStr">
        <is>
          <t>Duke Blue Devils</t>
        </is>
      </c>
      <c r="AV534" s="24" t="n"/>
      <c r="AW534" s="24" t="n"/>
      <c r="AX534" s="24" t="inlineStr">
        <is>
          <t>statistical_model</t>
        </is>
      </c>
      <c r="AY534" s="24" t="n"/>
      <c r="AZ534" s="24" t="inlineStr">
        <is>
          <t>shadow_qualified</t>
        </is>
      </c>
      <c r="BA534" s="24" t="inlineStr">
        <is>
          <t>1d168f11d221cd3c</t>
        </is>
      </c>
      <c r="BB534" s="24" t="inlineStr">
        <is>
          <t>cfb_key_number_engine</t>
        </is>
      </c>
      <c r="BC534" s="24" t="inlineStr">
        <is>
          <t>cfb-spread-v1</t>
        </is>
      </c>
      <c r="BD534" s="24" t="inlineStr">
        <is>
          <t>1d168f11d221cd3c</t>
        </is>
      </c>
      <c r="BE534" s="24" t="inlineStr">
        <is>
          <t>cfb-v1</t>
        </is>
      </c>
      <c r="BF534" s="24" t="inlineStr">
        <is>
          <t>1</t>
        </is>
      </c>
      <c r="BG534" s="24" t="inlineStr">
        <is>
          <t>1d168f11d221cd3c</t>
        </is>
      </c>
      <c r="BH534" s="24" t="inlineStr">
        <is>
          <t>2026-09-26T15:01:01.506546+00:00</t>
        </is>
      </c>
      <c r="BI534" s="24" t="inlineStr">
        <is>
          <t>["same_event","same_team_same_day","same_league_same_day"]</t>
        </is>
      </c>
      <c r="BJ534" s="25" t="n">
        <v>43.5</v>
      </c>
      <c r="BK534" s="26" t="n">
        <v>-105</v>
      </c>
      <c r="BL534" s="27" t="n">
        <v>1.952381</v>
      </c>
      <c r="BM534" s="28" t="n">
        <v>0.512195</v>
      </c>
      <c r="BN534" s="28" t="n"/>
      <c r="BO534" s="28" t="n"/>
      <c r="BP534" s="25" t="n"/>
      <c r="BQ534" s="27" t="n"/>
      <c r="BR534" s="28" t="n"/>
      <c r="BS534" s="28" t="n"/>
      <c r="BT534" s="28" t="n"/>
      <c r="BU534" s="25" t="n"/>
      <c r="BV534" s="29" t="n"/>
      <c r="BW534" s="24" t="n"/>
      <c r="BX534" s="30" t="n"/>
      <c r="BY534" s="27" t="n"/>
      <c r="BZ534" s="24" t="n"/>
      <c r="CA534" s="31" t="n"/>
      <c r="CB534" s="24" t="n"/>
      <c r="CC534" s="24" t="n"/>
      <c r="CD534" s="24" t="n"/>
      <c r="CE534" s="24" t="n"/>
      <c r="CF534" s="24" t="n"/>
      <c r="CG534" s="24" t="n"/>
      <c r="CH534" s="24" t="n"/>
      <c r="CI534" s="24" t="n"/>
      <c r="CJ534" s="24" t="n"/>
      <c r="CK534" s="24" t="n"/>
      <c r="CL534" s="24" t="n"/>
      <c r="CM534" s="24" t="n"/>
      <c r="CN534" s="24" t="n"/>
      <c r="CO534" s="24" t="n"/>
      <c r="CP534" s="24" t="n"/>
      <c r="CQ534" s="24" t="n"/>
      <c r="CR534" s="24" t="n"/>
      <c r="CS534" s="24" t="inlineStr">
        <is>
          <t>True</t>
        </is>
      </c>
      <c r="CT534" s="24" t="n"/>
      <c r="CU534" s="24" t="n"/>
      <c r="CV534" s="24" t="n"/>
      <c r="CW534" s="24" t="n"/>
      <c r="CX534" s="24" t="n"/>
      <c r="CY534" s="24" t="n"/>
      <c r="CZ534" s="24" t="n"/>
      <c r="DA534" s="24" t="n"/>
      <c r="DB534" s="24" t="n"/>
      <c r="DC534" s="24" t="n"/>
      <c r="DD534" s="24" t="n"/>
      <c r="DE534" s="24" t="n"/>
      <c r="DF534" s="24" t="n"/>
      <c r="DG534" s="24" t="n"/>
      <c r="DH534" s="24" t="n"/>
      <c r="DI534" s="24" t="n"/>
      <c r="DJ534" s="24" t="inlineStr">
        <is>
          <t>0.512195</t>
        </is>
      </c>
      <c r="DK534" s="24" t="n"/>
      <c r="DL534" s="24" t="n"/>
      <c r="DM534" s="24" t="n"/>
      <c r="DN534" s="24" t="n"/>
      <c r="DO534" s="24" t="n"/>
      <c r="DP534" s="24" t="n"/>
      <c r="DQ534" s="24" t="inlineStr">
        <is>
          <t>{"artifact_hash": "1d168f11d221cd3c", "event_id": "401858244", "event_start_utc": "2026-09-26T19:30Z", "features": {"altitude_fatigue_penalty": 0.0, "away_team": "William &amp; Mary Tribe", "efficiency_gap": 1.584, "elo_away": 1337.5, "elo_home": 1684.9, "elo_home_win_prob": 0.9148, "event_id": "401858244", "game_start_utc": "2026-09-26T19:30Z", "home_field_advantage_points": 2.8, "home_team": "Duke Blue Devils", "is_dome": false, "is_fbs_vs_fcs": false, "is_neutral_site": false, "projected_away_points": 18.1, "projected_home_points": 34.9, "projected_margin_home": 16.8,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18.1, "mu_home": 34.9,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50959509970673663399941678241340241742}, "uinteger": 0}, "spread_home_line": -43.5, "total_line": 62.5}, "market_type": "spread", "model_version": "cfb-spread-v1", "observed_at_utc": "2026-09-26T15:01:01.506546+00:00", "probabilities": {"away": 0.911467, "home": 0.088533, "push": 0.0}, "replay_scope": "Full precision score means, exact engine parameters and original RNG state; upstream feature construction not certified.", "schema": "cfb-joint-replay-v1", "snapshot_hash": "9b18fe0428e90bdb770d742c4852854ef92316a2255bef601a29b334d8b13d17", "sport": "NCAAF"}</t>
        </is>
      </c>
    </row>
    <row r="535" ht="36" customHeight="1">
      <c r="A535" s="24" t="inlineStr">
        <is>
          <t>1f042802a0b34abe</t>
        </is>
      </c>
      <c r="B535" s="24" t="inlineStr">
        <is>
          <t>2026-09-26T15:01:01.506546Z</t>
        </is>
      </c>
      <c r="C535" s="24" t="inlineStr">
        <is>
          <t>2026-09-26T19:30Z</t>
        </is>
      </c>
      <c r="D535" s="24" t="inlineStr">
        <is>
          <t>401858244</t>
        </is>
      </c>
      <c r="E535" s="24" t="inlineStr">
        <is>
          <t>NCAAF</t>
        </is>
      </c>
      <c r="F535" s="24" t="inlineStr">
        <is>
          <t>William &amp; Mary Tribe</t>
        </is>
      </c>
      <c r="G535" s="24" t="inlineStr">
        <is>
          <t>Duke Blue Devils</t>
        </is>
      </c>
      <c r="H535" s="24" t="inlineStr">
        <is>
          <t>total</t>
        </is>
      </c>
      <c r="I535" s="24" t="inlineStr">
        <is>
          <t>under</t>
        </is>
      </c>
      <c r="J535" s="25" t="n">
        <v>62.5</v>
      </c>
      <c r="K535" s="24" t="inlineStr">
        <is>
          <t>espn_consensus</t>
        </is>
      </c>
      <c r="L535" s="26" t="n">
        <v>-112</v>
      </c>
      <c r="M535" s="27" t="n">
        <v>1.892857</v>
      </c>
      <c r="N535" s="28" t="n">
        <v>0.528302</v>
      </c>
      <c r="O535" s="28" t="n">
        <v>0.673067</v>
      </c>
      <c r="P535" s="28" t="n">
        <v>0.18</v>
      </c>
      <c r="Q535" s="28" t="n">
        <v>0.144765</v>
      </c>
      <c r="R535" s="26" t="n">
        <v>14</v>
      </c>
      <c r="S535" s="29" t="n">
        <v>1</v>
      </c>
      <c r="T535" s="24" t="inlineStr">
        <is>
          <t>cfb-total-v1</t>
        </is>
      </c>
      <c r="U535" s="24" t="inlineStr">
        <is>
          <t>settled</t>
        </is>
      </c>
      <c r="V535" s="24" t="inlineStr">
        <is>
          <t>loss</t>
        </is>
      </c>
      <c r="W535" s="26" t="n">
        <v>7</v>
      </c>
      <c r="X535" s="26" t="n">
        <v>62</v>
      </c>
      <c r="Y535" s="25" t="n"/>
      <c r="Z535" s="26" t="n"/>
      <c r="AA535" s="28" t="n"/>
      <c r="AB535" s="28" t="n"/>
      <c r="AC535" s="30" t="n">
        <v>-1</v>
      </c>
      <c r="AD535" s="24" t="inlineStr">
        <is>
          <t>2026-09-27T04:30:38.360213Z</t>
        </is>
      </c>
      <c r="AE535" s="31" t="inlineStr">
        <is>
          <t>Projected total 53.0 pts (Weather adj: +0.0 pts). Total line 62.5 -&gt; P(Over)=0.327, P(Under)=0.673, P(Push)=0.000.</t>
        </is>
      </c>
      <c r="AF535" s="31" t="inlineStr">
        <is>
          <t>College football model; multi-market (moneyline, spread, total).</t>
        </is>
      </c>
      <c r="AG535" s="24" t="inlineStr">
        <is>
          <t>review_required</t>
        </is>
      </c>
      <c r="AH535" s="24" t="n"/>
      <c r="AI535" s="31" t="n"/>
      <c r="AJ535" s="31" t="n"/>
      <c r="AK535" s="24" t="inlineStr">
        <is>
          <t>model_qualified</t>
        </is>
      </c>
      <c r="AL535" s="26" t="n">
        <v>4</v>
      </c>
      <c r="AM535" s="24" t="inlineStr">
        <is>
          <t>QUALIFIED_SHADOW_CALL</t>
        </is>
      </c>
      <c r="AN535" s="24" t="inlineStr">
        <is>
          <t>CALL</t>
        </is>
      </c>
      <c r="AO535" s="24" t="inlineStr">
        <is>
          <t>QUALIFIED</t>
        </is>
      </c>
      <c r="AP535" s="24" t="inlineStr">
        <is>
          <t>William &amp; Mary Tribe</t>
        </is>
      </c>
      <c r="AQ535" s="24" t="inlineStr">
        <is>
          <t>William &amp; Mary Tribe</t>
        </is>
      </c>
      <c r="AR535" s="24" t="inlineStr">
        <is>
          <t>William &amp; Mary Tribe</t>
        </is>
      </c>
      <c r="AS535" s="24" t="inlineStr">
        <is>
          <t>Duke Blue Devils</t>
        </is>
      </c>
      <c r="AT535" s="24" t="inlineStr">
        <is>
          <t>Duke Blue Devils</t>
        </is>
      </c>
      <c r="AU535" s="24" t="inlineStr">
        <is>
          <t>Duke Blue Devils</t>
        </is>
      </c>
      <c r="AV535" s="24" t="n"/>
      <c r="AW535" s="24" t="n"/>
      <c r="AX535" s="24" t="inlineStr">
        <is>
          <t>statistical_model</t>
        </is>
      </c>
      <c r="AY535" s="24" t="n"/>
      <c r="AZ535" s="24" t="inlineStr">
        <is>
          <t>shadow_qualified</t>
        </is>
      </c>
      <c r="BA535" s="24" t="inlineStr">
        <is>
          <t>1d168f11d221cd3c</t>
        </is>
      </c>
      <c r="BB535" s="24" t="inlineStr">
        <is>
          <t>cfb_key_number_engine</t>
        </is>
      </c>
      <c r="BC535" s="24" t="inlineStr">
        <is>
          <t>cfb-total-v1</t>
        </is>
      </c>
      <c r="BD535" s="24" t="inlineStr">
        <is>
          <t>1d168f11d221cd3c</t>
        </is>
      </c>
      <c r="BE535" s="24" t="inlineStr">
        <is>
          <t>cfb-v1</t>
        </is>
      </c>
      <c r="BF535" s="24" t="inlineStr">
        <is>
          <t>1</t>
        </is>
      </c>
      <c r="BG535" s="24" t="inlineStr">
        <is>
          <t>1d168f11d221cd3c</t>
        </is>
      </c>
      <c r="BH535" s="24" t="inlineStr">
        <is>
          <t>2026-09-26T15:01:01.506546+00:00</t>
        </is>
      </c>
      <c r="BI535" s="24" t="inlineStr">
        <is>
          <t>["same_event","same_team_same_day","same_league_same_day"]</t>
        </is>
      </c>
      <c r="BJ535" s="25" t="n">
        <v>62.5</v>
      </c>
      <c r="BK535" s="26" t="n">
        <v>-112</v>
      </c>
      <c r="BL535" s="27" t="n">
        <v>1.892857</v>
      </c>
      <c r="BM535" s="28" t="n">
        <v>0.528302</v>
      </c>
      <c r="BN535" s="28" t="n"/>
      <c r="BO535" s="28" t="n"/>
      <c r="BP535" s="25" t="n"/>
      <c r="BQ535" s="27" t="n"/>
      <c r="BR535" s="28" t="n"/>
      <c r="BS535" s="28" t="n"/>
      <c r="BT535" s="28" t="n"/>
      <c r="BU535" s="25" t="n"/>
      <c r="BV535" s="29" t="n"/>
      <c r="BW535" s="24" t="n"/>
      <c r="BX535" s="30" t="n"/>
      <c r="BY535" s="27" t="n"/>
      <c r="BZ535" s="24" t="n"/>
      <c r="CA535" s="31" t="n"/>
      <c r="CB535" s="24" t="n"/>
      <c r="CC535" s="24" t="n"/>
      <c r="CD535" s="24" t="n"/>
      <c r="CE535" s="24" t="n"/>
      <c r="CF535" s="24" t="n"/>
      <c r="CG535" s="24" t="n"/>
      <c r="CH535" s="24" t="n"/>
      <c r="CI535" s="24" t="n"/>
      <c r="CJ535" s="24" t="n"/>
      <c r="CK535" s="24" t="n"/>
      <c r="CL535" s="24" t="n"/>
      <c r="CM535" s="24" t="n"/>
      <c r="CN535" s="24" t="n"/>
      <c r="CO535" s="24" t="n"/>
      <c r="CP535" s="24" t="n"/>
      <c r="CQ535" s="24" t="n"/>
      <c r="CR535" s="24" t="n"/>
      <c r="CS535" s="24" t="inlineStr">
        <is>
          <t>True</t>
        </is>
      </c>
      <c r="CT535" s="24" t="n"/>
      <c r="CU535" s="24" t="n"/>
      <c r="CV535" s="24" t="n"/>
      <c r="CW535" s="24" t="n"/>
      <c r="CX535" s="24" t="n"/>
      <c r="CY535" s="24" t="n"/>
      <c r="CZ535" s="24" t="n"/>
      <c r="DA535" s="24" t="n"/>
      <c r="DB535" s="24" t="n"/>
      <c r="DC535" s="24" t="n"/>
      <c r="DD535" s="24" t="n"/>
      <c r="DE535" s="24" t="n"/>
      <c r="DF535" s="24" t="n"/>
      <c r="DG535" s="24" t="n"/>
      <c r="DH535" s="24" t="n"/>
      <c r="DI535" s="24" t="n"/>
      <c r="DJ535" s="24" t="inlineStr">
        <is>
          <t>0.528302</t>
        </is>
      </c>
      <c r="DK535" s="24" t="n"/>
      <c r="DL535" s="24" t="n"/>
      <c r="DM535" s="24" t="n"/>
      <c r="DN535" s="24" t="n"/>
      <c r="DO535" s="24" t="n"/>
      <c r="DP535" s="24" t="n"/>
      <c r="DQ535" s="24" t="inlineStr">
        <is>
          <t>{"artifact_hash": "1d168f11d221cd3c", "event_id": "401858244", "event_start_utc": "2026-09-26T19:30Z", "features": {"altitude_fatigue_penalty": 0.0, "away_team": "William &amp; Mary Tribe", "efficiency_gap": 1.584, "elo_away": 1337.5, "elo_home": 1684.9, "elo_home_win_prob": 0.9148, "event_id": "401858244", "game_start_utc": "2026-09-26T19:30Z", "home_field_advantage_points": 2.8, "home_team": "Duke Blue Devils", "is_dome": false, "is_fbs_vs_fcs": false, "is_neutral_site": false, "projected_away_points": 18.1, "projected_home_points": 34.9, "projected_margin_home": 16.8,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18.1, "mu_home": 34.9,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50959509970673663399941678241340241742}, "uinteger": 0}, "spread_home_line": -43.5, "total_line": 62.5}, "market_type": "total", "model_version": "cfb-total-v1", "observed_at_utc": "2026-09-26T15:01:01.506546+00:00", "probabilities": {"over": 0.326933, "push": 0.0, "under": 0.673067}, "replay_scope": "Full precision score means, exact engine parameters and original RNG state; upstream feature construction not certified.", "schema": "cfb-joint-replay-v1", "snapshot_hash": "cf9f1dc526bee042fab5646760a6b3978bbb82ca525b2e3cd209144a50e4ead0", "sport": "NCAAF"}</t>
        </is>
      </c>
    </row>
    <row r="536" ht="36" customHeight="1">
      <c r="A536" s="24" t="inlineStr">
        <is>
          <t>5a1bb2626fb84f66</t>
        </is>
      </c>
      <c r="B536" s="24" t="inlineStr">
        <is>
          <t>2026-09-26T15:01:01.506546Z</t>
        </is>
      </c>
      <c r="C536" s="24" t="inlineStr">
        <is>
          <t>2026-09-26T19:30Z</t>
        </is>
      </c>
      <c r="D536" s="24" t="inlineStr">
        <is>
          <t>401860897</t>
        </is>
      </c>
      <c r="E536" s="24" t="inlineStr">
        <is>
          <t>NCAAF</t>
        </is>
      </c>
      <c r="F536" s="24" t="inlineStr">
        <is>
          <t>Boise State Broncos</t>
        </is>
      </c>
      <c r="G536" s="24" t="inlineStr">
        <is>
          <t>Western Michigan Broncos</t>
        </is>
      </c>
      <c r="H536" s="24" t="inlineStr">
        <is>
          <t>moneyline</t>
        </is>
      </c>
      <c r="I536" s="24" t="inlineStr">
        <is>
          <t>home</t>
        </is>
      </c>
      <c r="J536" s="25" t="n"/>
      <c r="K536" s="24" t="inlineStr">
        <is>
          <t>espn_consensus</t>
        </is>
      </c>
      <c r="L536" s="26" t="n">
        <v>230</v>
      </c>
      <c r="M536" s="27" t="n">
        <v>3.3</v>
      </c>
      <c r="N536" s="28" t="n">
        <v>0.30303</v>
      </c>
      <c r="O536" s="28" t="n">
        <v>0.719485</v>
      </c>
      <c r="P536" s="28" t="n">
        <v>0.165</v>
      </c>
      <c r="Q536" s="28" t="n">
        <v>0.416455</v>
      </c>
      <c r="R536" s="26" t="n">
        <v>100</v>
      </c>
      <c r="S536" s="29" t="n">
        <v>2</v>
      </c>
      <c r="T536" s="24" t="inlineStr">
        <is>
          <t>college-football-v1</t>
        </is>
      </c>
      <c r="U536" s="24" t="inlineStr">
        <is>
          <t>settled</t>
        </is>
      </c>
      <c r="V536" s="24" t="inlineStr">
        <is>
          <t>loss</t>
        </is>
      </c>
      <c r="W536" s="26" t="n">
        <v>32</v>
      </c>
      <c r="X536" s="26" t="n">
        <v>7</v>
      </c>
      <c r="Y536" s="25" t="n"/>
      <c r="Z536" s="26" t="n"/>
      <c r="AA536" s="28" t="n"/>
      <c r="AB536" s="28" t="n"/>
      <c r="AC536" s="30" t="n">
        <v>-2</v>
      </c>
      <c r="AD536" s="24" t="inlineStr">
        <is>
          <t>2026-09-27T04:30:38.945808Z</t>
        </is>
      </c>
      <c r="AE536" s="31" t="inlineStr">
        <is>
          <t>CFB Joint Model (negative_binomial): proj score Boise State Broncos 20.8 @ Western Michigan Broncos 31.7 (Margin +10.9). Possessions: 12.4, HFA: +2.8 pts.</t>
        </is>
      </c>
      <c r="AF536" s="31" t="inlineStr">
        <is>
          <t>College football model; multi-market (moneyline, spread, total).</t>
        </is>
      </c>
      <c r="AG536" s="24" t="inlineStr">
        <is>
          <t>review_required</t>
        </is>
      </c>
      <c r="AH536" s="24" t="n"/>
      <c r="AI536" s="31" t="n"/>
      <c r="AJ536" s="31" t="n"/>
      <c r="AK536" s="24" t="inlineStr">
        <is>
          <t>model_qualified</t>
        </is>
      </c>
      <c r="AL536" s="26" t="n">
        <v>4</v>
      </c>
      <c r="AM536" s="24" t="inlineStr">
        <is>
          <t>QUALIFIED_SHADOW_CALL</t>
        </is>
      </c>
      <c r="AN536" s="24" t="inlineStr">
        <is>
          <t>CALL</t>
        </is>
      </c>
      <c r="AO536" s="24" t="inlineStr">
        <is>
          <t>QUALIFIED</t>
        </is>
      </c>
      <c r="AP536" s="24" t="inlineStr">
        <is>
          <t>Boise State Broncos</t>
        </is>
      </c>
      <c r="AQ536" s="24" t="inlineStr">
        <is>
          <t>Boise State Broncos</t>
        </is>
      </c>
      <c r="AR536" s="24" t="inlineStr">
        <is>
          <t>Boise State Broncos</t>
        </is>
      </c>
      <c r="AS536" s="24" t="inlineStr">
        <is>
          <t>Western Michigan Broncos</t>
        </is>
      </c>
      <c r="AT536" s="24" t="inlineStr">
        <is>
          <t>Western Michigan Broncos</t>
        </is>
      </c>
      <c r="AU536" s="24" t="inlineStr">
        <is>
          <t>Western Michigan Broncos</t>
        </is>
      </c>
      <c r="AV536" s="24" t="n"/>
      <c r="AW536" s="24" t="n"/>
      <c r="AX536" s="24" t="inlineStr">
        <is>
          <t>statistical_model</t>
        </is>
      </c>
      <c r="AY536" s="24" t="n"/>
      <c r="AZ536" s="24" t="inlineStr">
        <is>
          <t>shadow_qualified</t>
        </is>
      </c>
      <c r="BA536" s="24" t="inlineStr">
        <is>
          <t>1d168f11d221cd3c</t>
        </is>
      </c>
      <c r="BB536" s="24" t="inlineStr">
        <is>
          <t>cfb_key_number_engine</t>
        </is>
      </c>
      <c r="BC536" s="24" t="inlineStr">
        <is>
          <t>college-football-v1</t>
        </is>
      </c>
      <c r="BD536" s="24" t="inlineStr">
        <is>
          <t>1d168f11d221cd3c</t>
        </is>
      </c>
      <c r="BE536" s="24" t="inlineStr">
        <is>
          <t>cfb-v1</t>
        </is>
      </c>
      <c r="BF536" s="24" t="inlineStr">
        <is>
          <t>1</t>
        </is>
      </c>
      <c r="BG536" s="24" t="inlineStr">
        <is>
          <t>1d168f11d221cd3c</t>
        </is>
      </c>
      <c r="BH536" s="24" t="inlineStr">
        <is>
          <t>2026-09-26T15:01:01.506546+00:00</t>
        </is>
      </c>
      <c r="BI536" s="24" t="inlineStr">
        <is>
          <t>["same_event","same_team_same_day","same_league_same_day"]</t>
        </is>
      </c>
      <c r="BJ536" s="25" t="n"/>
      <c r="BK536" s="26" t="n">
        <v>230</v>
      </c>
      <c r="BL536" s="27" t="n">
        <v>3.3</v>
      </c>
      <c r="BM536" s="28" t="n">
        <v>0.30303</v>
      </c>
      <c r="BN536" s="28" t="n"/>
      <c r="BO536" s="28" t="n"/>
      <c r="BP536" s="25" t="n"/>
      <c r="BQ536" s="27" t="n"/>
      <c r="BR536" s="28" t="n"/>
      <c r="BS536" s="28" t="n"/>
      <c r="BT536" s="28" t="n"/>
      <c r="BU536" s="25" t="n"/>
      <c r="BV536" s="29" t="n"/>
      <c r="BW536" s="24" t="n"/>
      <c r="BX536" s="30" t="n"/>
      <c r="BY536" s="27" t="n"/>
      <c r="BZ536" s="24" t="n"/>
      <c r="CA536" s="31" t="n"/>
      <c r="CB536" s="24" t="n"/>
      <c r="CC536" s="24" t="n"/>
      <c r="CD536" s="24" t="n"/>
      <c r="CE536" s="24" t="n"/>
      <c r="CF536" s="24" t="n"/>
      <c r="CG536" s="24" t="n"/>
      <c r="CH536" s="24" t="n"/>
      <c r="CI536" s="24" t="n"/>
      <c r="CJ536" s="24" t="n"/>
      <c r="CK536" s="24" t="n"/>
      <c r="CL536" s="24" t="n"/>
      <c r="CM536" s="24" t="n"/>
      <c r="CN536" s="24" t="n"/>
      <c r="CO536" s="24" t="n"/>
      <c r="CP536" s="24" t="n"/>
      <c r="CQ536" s="24" t="n"/>
      <c r="CR536" s="24" t="n"/>
      <c r="CS536" s="24" t="inlineStr">
        <is>
          <t>True</t>
        </is>
      </c>
      <c r="CT536" s="24" t="n"/>
      <c r="CU536" s="24" t="n"/>
      <c r="CV536" s="24" t="n"/>
      <c r="CW536" s="24" t="n"/>
      <c r="CX536" s="24" t="n"/>
      <c r="CY536" s="24" t="n"/>
      <c r="CZ536" s="24" t="n"/>
      <c r="DA536" s="24" t="n"/>
      <c r="DB536" s="24" t="n"/>
      <c r="DC536" s="24" t="n"/>
      <c r="DD536" s="24" t="n"/>
      <c r="DE536" s="24" t="n"/>
      <c r="DF536" s="24" t="n"/>
      <c r="DG536" s="24" t="n"/>
      <c r="DH536" s="24" t="n"/>
      <c r="DI536" s="24" t="n"/>
      <c r="DJ536" s="24" t="inlineStr">
        <is>
          <t>0.30303</t>
        </is>
      </c>
      <c r="DK536" s="24" t="n"/>
      <c r="DL536" s="24" t="n"/>
      <c r="DM536" s="24" t="n"/>
      <c r="DN536" s="24" t="n"/>
      <c r="DO536" s="24" t="n"/>
      <c r="DP536" s="24" t="n"/>
      <c r="DQ536" s="24" t="inlineStr">
        <is>
          <t>{"artifact_hash": "1d168f11d221cd3c", "event_id": "401860897", "event_start_utc": "2026-09-26T19:30Z", "features": {"altitude_fatigue_penalty": 0.0, "away_team": "Boise State Broncos", "efficiency_gap": -0.101, "elo_away": 1486.9, "elo_home": 1696.6, "elo_home_win_prob": 0.8294, "event_id": "401860897", "game_start_utc": "2026-09-26T19:30Z", "home_field_advantage_points": 2.8, "home_team": "Western Michigan Broncos", "is_dome": false, "is_fbs_vs_fcs": false, "is_neutral_site": false, "projected_away_points": 20.8, "projected_home_points": 31.7, "projected_margin_home": 10.9, "projected_possessions": 12.4, "projected_total": 52.5, "stadium_elevation_ft": 780, "travel_distance_miles": 1541.0, "uncertainty": 0.165, "weather_total_adjustment": 0.0}, "historical_source_observation_times_verified": false, "inference_inputs": {"engine_source_sha256": "449ba2f0e86fa9c445730076a0e0bf100fb4914620be53c75c6f3bfe24298f3f", "mu_away": 20.8, "mu_home": 31.7,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46774634517019853613065279328753332330}, "uinteger": 0}, "spread_home_line": 7.5, "total_line": 50.5}, "market_type": "moneyline", "model_version": "college-football-v1", "observed_at_utc": "2026-09-26T15:01:01.506546+00:00", "probabilities": {"away": 0.280515, "home": 0.719485}, "replay_scope": "Full precision score means, exact engine parameters and original RNG state; upstream feature construction not certified.", "schema": "cfb-joint-replay-v1", "snapshot_hash": "a79ebab1d6f13755807b152281fabcd358aa58e1120f61713cb3cf48b7c6748c", "sport": "NCAAF"}</t>
        </is>
      </c>
    </row>
    <row r="537" ht="36" customHeight="1">
      <c r="A537" s="24" t="inlineStr">
        <is>
          <t>236ca84ecf074efa</t>
        </is>
      </c>
      <c r="B537" s="24" t="inlineStr">
        <is>
          <t>2026-09-26T15:01:01.506546Z</t>
        </is>
      </c>
      <c r="C537" s="24" t="inlineStr">
        <is>
          <t>2026-09-26T19:30Z</t>
        </is>
      </c>
      <c r="D537" s="24" t="inlineStr">
        <is>
          <t>401860897</t>
        </is>
      </c>
      <c r="E537" s="24" t="inlineStr">
        <is>
          <t>NCAAF</t>
        </is>
      </c>
      <c r="F537" s="24" t="inlineStr">
        <is>
          <t>Boise State Broncos</t>
        </is>
      </c>
      <c r="G537" s="24" t="inlineStr">
        <is>
          <t>Western Michigan Broncos</t>
        </is>
      </c>
      <c r="H537" s="24" t="inlineStr">
        <is>
          <t>spread</t>
        </is>
      </c>
      <c r="I537" s="24" t="inlineStr">
        <is>
          <t>home</t>
        </is>
      </c>
      <c r="J537" s="25" t="n">
        <v>7.5</v>
      </c>
      <c r="K537" s="24" t="inlineStr">
        <is>
          <t>espn_consensus</t>
        </is>
      </c>
      <c r="L537" s="26" t="n">
        <v>-118</v>
      </c>
      <c r="M537" s="27" t="n">
        <v>1.847458</v>
      </c>
      <c r="N537" s="28" t="n">
        <v>0.541284</v>
      </c>
      <c r="O537" s="28" t="n">
        <v>0.826867</v>
      </c>
      <c r="P537" s="28" t="n">
        <v>0.165</v>
      </c>
      <c r="Q537" s="28" t="n">
        <v>0.285583</v>
      </c>
      <c r="R537" s="26" t="n">
        <v>94</v>
      </c>
      <c r="S537" s="29" t="n">
        <v>1.75</v>
      </c>
      <c r="T537" s="24" t="inlineStr">
        <is>
          <t>cfb-spread-v1</t>
        </is>
      </c>
      <c r="U537" s="24" t="inlineStr">
        <is>
          <t>settled</t>
        </is>
      </c>
      <c r="V537" s="24" t="inlineStr">
        <is>
          <t>loss</t>
        </is>
      </c>
      <c r="W537" s="26" t="n">
        <v>32</v>
      </c>
      <c r="X537" s="26" t="n">
        <v>7</v>
      </c>
      <c r="Y537" s="25" t="n"/>
      <c r="Z537" s="26" t="n"/>
      <c r="AA537" s="28" t="n"/>
      <c r="AB537" s="28" t="n"/>
      <c r="AC537" s="30" t="n">
        <v>-1.75</v>
      </c>
      <c r="AD537" s="24" t="inlineStr">
        <is>
          <t>2026-09-27T04:30:39.515618Z</t>
        </is>
      </c>
      <c r="AE537" s="31" t="inlineStr">
        <is>
          <t>Projected home margin +10.9 pts. Spread: Home +7.5 / Away -7.5 -&gt; P(Away cover)=0.173, P(Home cover)=0.827, P(Push)=0.000.</t>
        </is>
      </c>
      <c r="AF537" s="31" t="inlineStr">
        <is>
          <t>College football model; multi-market (moneyline, spread, total).</t>
        </is>
      </c>
      <c r="AG537" s="24" t="inlineStr">
        <is>
          <t>review_required</t>
        </is>
      </c>
      <c r="AH537" s="24" t="n"/>
      <c r="AI537" s="31" t="n"/>
      <c r="AJ537" s="31" t="n"/>
      <c r="AK537" s="24" t="inlineStr">
        <is>
          <t>model_qualified</t>
        </is>
      </c>
      <c r="AL537" s="26" t="n">
        <v>4</v>
      </c>
      <c r="AM537" s="24" t="inlineStr">
        <is>
          <t>QUALIFIED_SHADOW_CALL</t>
        </is>
      </c>
      <c r="AN537" s="24" t="inlineStr">
        <is>
          <t>CALL</t>
        </is>
      </c>
      <c r="AO537" s="24" t="inlineStr">
        <is>
          <t>QUALIFIED</t>
        </is>
      </c>
      <c r="AP537" s="24" t="inlineStr">
        <is>
          <t>Boise State Broncos</t>
        </is>
      </c>
      <c r="AQ537" s="24" t="inlineStr">
        <is>
          <t>Boise State Broncos</t>
        </is>
      </c>
      <c r="AR537" s="24" t="inlineStr">
        <is>
          <t>Boise State Broncos</t>
        </is>
      </c>
      <c r="AS537" s="24" t="inlineStr">
        <is>
          <t>Western Michigan Broncos</t>
        </is>
      </c>
      <c r="AT537" s="24" t="inlineStr">
        <is>
          <t>Western Michigan Broncos</t>
        </is>
      </c>
      <c r="AU537" s="24" t="inlineStr">
        <is>
          <t>Western Michigan Broncos</t>
        </is>
      </c>
      <c r="AV537" s="24" t="n"/>
      <c r="AW537" s="24" t="n"/>
      <c r="AX537" s="24" t="inlineStr">
        <is>
          <t>statistical_model</t>
        </is>
      </c>
      <c r="AY537" s="24" t="n"/>
      <c r="AZ537" s="24" t="inlineStr">
        <is>
          <t>shadow_qualified</t>
        </is>
      </c>
      <c r="BA537" s="24" t="inlineStr">
        <is>
          <t>1d168f11d221cd3c</t>
        </is>
      </c>
      <c r="BB537" s="24" t="inlineStr">
        <is>
          <t>cfb_key_number_engine</t>
        </is>
      </c>
      <c r="BC537" s="24" t="inlineStr">
        <is>
          <t>cfb-spread-v1</t>
        </is>
      </c>
      <c r="BD537" s="24" t="inlineStr">
        <is>
          <t>1d168f11d221cd3c</t>
        </is>
      </c>
      <c r="BE537" s="24" t="inlineStr">
        <is>
          <t>cfb-v1</t>
        </is>
      </c>
      <c r="BF537" s="24" t="inlineStr">
        <is>
          <t>1</t>
        </is>
      </c>
      <c r="BG537" s="24" t="inlineStr">
        <is>
          <t>1d168f11d221cd3c</t>
        </is>
      </c>
      <c r="BH537" s="24" t="inlineStr">
        <is>
          <t>2026-09-26T15:01:01.506546+00:00</t>
        </is>
      </c>
      <c r="BI537" s="24" t="inlineStr">
        <is>
          <t>["same_event","same_team_same_day","same_league_same_day"]</t>
        </is>
      </c>
      <c r="BJ537" s="25" t="n">
        <v>7.5</v>
      </c>
      <c r="BK537" s="26" t="n">
        <v>-118</v>
      </c>
      <c r="BL537" s="27" t="n">
        <v>1.847458</v>
      </c>
      <c r="BM537" s="28" t="n">
        <v>0.541284</v>
      </c>
      <c r="BN537" s="28" t="n"/>
      <c r="BO537" s="28" t="n"/>
      <c r="BP537" s="25" t="n"/>
      <c r="BQ537" s="27" t="n"/>
      <c r="BR537" s="28" t="n"/>
      <c r="BS537" s="28" t="n"/>
      <c r="BT537" s="28" t="n"/>
      <c r="BU537" s="25" t="n"/>
      <c r="BV537" s="29" t="n"/>
      <c r="BW537" s="24" t="n"/>
      <c r="BX537" s="30" t="n"/>
      <c r="BY537" s="27" t="n"/>
      <c r="BZ537" s="24" t="n"/>
      <c r="CA537" s="31" t="n"/>
      <c r="CB537" s="24" t="n"/>
      <c r="CC537" s="24" t="n"/>
      <c r="CD537" s="24" t="n"/>
      <c r="CE537" s="24" t="n"/>
      <c r="CF537" s="24" t="n"/>
      <c r="CG537" s="24" t="n"/>
      <c r="CH537" s="24" t="n"/>
      <c r="CI537" s="24" t="n"/>
      <c r="CJ537" s="24" t="n"/>
      <c r="CK537" s="24" t="n"/>
      <c r="CL537" s="24" t="n"/>
      <c r="CM537" s="24" t="n"/>
      <c r="CN537" s="24" t="n"/>
      <c r="CO537" s="24" t="n"/>
      <c r="CP537" s="24" t="n"/>
      <c r="CQ537" s="24" t="n"/>
      <c r="CR537" s="24" t="n"/>
      <c r="CS537" s="24" t="inlineStr">
        <is>
          <t>True</t>
        </is>
      </c>
      <c r="CT537" s="24" t="n"/>
      <c r="CU537" s="24" t="n"/>
      <c r="CV537" s="24" t="n"/>
      <c r="CW537" s="24" t="n"/>
      <c r="CX537" s="24" t="n"/>
      <c r="CY537" s="24" t="n"/>
      <c r="CZ537" s="24" t="n"/>
      <c r="DA537" s="24" t="n"/>
      <c r="DB537" s="24" t="n"/>
      <c r="DC537" s="24" t="n"/>
      <c r="DD537" s="24" t="n"/>
      <c r="DE537" s="24" t="n"/>
      <c r="DF537" s="24" t="n"/>
      <c r="DG537" s="24" t="n"/>
      <c r="DH537" s="24" t="n"/>
      <c r="DI537" s="24" t="n"/>
      <c r="DJ537" s="24" t="inlineStr">
        <is>
          <t>0.541284</t>
        </is>
      </c>
      <c r="DK537" s="24" t="n"/>
      <c r="DL537" s="24" t="n"/>
      <c r="DM537" s="24" t="n"/>
      <c r="DN537" s="24" t="n"/>
      <c r="DO537" s="24" t="n"/>
      <c r="DP537" s="24" t="n"/>
      <c r="DQ537" s="24" t="inlineStr">
        <is>
          <t>{"artifact_hash": "1d168f11d221cd3c", "event_id": "401860897", "event_start_utc": "2026-09-26T19:30Z", "features": {"altitude_fatigue_penalty": 0.0, "away_team": "Boise State Broncos", "efficiency_gap": -0.101, "elo_away": 1486.9, "elo_home": 1696.6, "elo_home_win_prob": 0.8294, "event_id": "401860897", "game_start_utc": "2026-09-26T19:30Z", "home_field_advantage_points": 2.8, "home_team": "Western Michigan Broncos", "is_dome": false, "is_fbs_vs_fcs": false, "is_neutral_site": false, "projected_away_points": 20.8, "projected_home_points": 31.7, "projected_margin_home": 10.9, "projected_possessions": 12.4, "projected_total": 52.5, "stadium_elevation_ft": 780, "travel_distance_miles": 1541.0, "uncertainty": 0.165, "weather_total_adjustment": 0.0}, "historical_source_observation_times_verified": false, "inference_inputs": {"engine_source_sha256": "449ba2f0e86fa9c445730076a0e0bf100fb4914620be53c75c6f3bfe24298f3f", "mu_away": 20.8, "mu_home": 31.7,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46774634517019853613065279328753332330}, "uinteger": 0}, "spread_home_line": 7.5, "total_line": 50.5}, "market_type": "spread", "model_version": "cfb-spread-v1", "observed_at_utc": "2026-09-26T15:01:01.506546+00:00", "probabilities": {"away": 0.173133, "home": 0.826867, "push": 0.0}, "replay_scope": "Full precision score means, exact engine parameters and original RNG state; upstream feature construction not certified.", "schema": "cfb-joint-replay-v1", "snapshot_hash": "82a0816373f92f34e4644eaeef7fb54b6c06f9e3abfb090587c57e88e69d0b9c", "sport": "NCAAF"}</t>
        </is>
      </c>
    </row>
    <row r="538" ht="36" customHeight="1">
      <c r="A538" s="24" t="inlineStr">
        <is>
          <t>70695afd9d264542</t>
        </is>
      </c>
      <c r="B538" s="24" t="inlineStr">
        <is>
          <t>2026-09-26T15:01:01.506546Z</t>
        </is>
      </c>
      <c r="C538" s="24" t="inlineStr">
        <is>
          <t>2026-09-26T19:30Z</t>
        </is>
      </c>
      <c r="D538" s="24" t="inlineStr">
        <is>
          <t>401860897</t>
        </is>
      </c>
      <c r="E538" s="24" t="inlineStr">
        <is>
          <t>NCAAF</t>
        </is>
      </c>
      <c r="F538" s="24" t="inlineStr">
        <is>
          <t>Boise State Broncos</t>
        </is>
      </c>
      <c r="G538" s="24" t="inlineStr">
        <is>
          <t>Western Michigan Broncos</t>
        </is>
      </c>
      <c r="H538" s="24" t="inlineStr">
        <is>
          <t>total</t>
        </is>
      </c>
      <c r="I538" s="24" t="inlineStr">
        <is>
          <t>over</t>
        </is>
      </c>
      <c r="J538" s="25" t="n">
        <v>50.5</v>
      </c>
      <c r="K538" s="24" t="inlineStr">
        <is>
          <t>espn_consensus</t>
        </is>
      </c>
      <c r="L538" s="26" t="n">
        <v>-112</v>
      </c>
      <c r="M538" s="27" t="n">
        <v>1.892857</v>
      </c>
      <c r="N538" s="28" t="n">
        <v>0.528302</v>
      </c>
      <c r="O538" s="28" t="n">
        <v>0.5072</v>
      </c>
      <c r="P538" s="28" t="n">
        <v>0.165</v>
      </c>
      <c r="Q538" s="28" t="n">
        <v>-0.021102</v>
      </c>
      <c r="R538" s="26" t="n">
        <v>0</v>
      </c>
      <c r="S538" s="29" t="n">
        <v>1</v>
      </c>
      <c r="T538" s="24" t="inlineStr">
        <is>
          <t>cfb-total-v1</t>
        </is>
      </c>
      <c r="U538" s="24" t="inlineStr">
        <is>
          <t>settled</t>
        </is>
      </c>
      <c r="V538" s="24" t="inlineStr">
        <is>
          <t>loss</t>
        </is>
      </c>
      <c r="W538" s="26" t="n">
        <v>32</v>
      </c>
      <c r="X538" s="26" t="n">
        <v>7</v>
      </c>
      <c r="Y538" s="25" t="n"/>
      <c r="Z538" s="26" t="n"/>
      <c r="AA538" s="28" t="n"/>
      <c r="AB538" s="28" t="n"/>
      <c r="AC538" s="30" t="n">
        <v>-1</v>
      </c>
      <c r="AD538" s="24" t="inlineStr">
        <is>
          <t>2026-09-27T04:30:40.092426Z</t>
        </is>
      </c>
      <c r="AE538" s="31" t="inlineStr">
        <is>
          <t>Projected total 52.5 pts (Weather adj: +0.0 pts). Total line 50.5 -&gt; P(Over)=0.507, P(Under)=0.493, P(Push)=0.000.</t>
        </is>
      </c>
      <c r="AF538" s="31" t="inlineStr">
        <is>
          <t>College football model; multi-market (moneyline, spread, total).</t>
        </is>
      </c>
      <c r="AG538" s="24" t="inlineStr">
        <is>
          <t>review_required</t>
        </is>
      </c>
      <c r="AH538" s="24" t="n"/>
      <c r="AI538" s="31" t="n"/>
      <c r="AJ538" s="31" t="n"/>
      <c r="AK538" s="24" t="inlineStr">
        <is>
          <t>paper_call</t>
        </is>
      </c>
      <c r="AL538" s="26" t="n">
        <v>4</v>
      </c>
      <c r="AM538" s="24" t="inlineStr">
        <is>
          <t>RESEARCH_OBSERVATION</t>
        </is>
      </c>
      <c r="AN538" s="24" t="inlineStr">
        <is>
          <t>CALL</t>
        </is>
      </c>
      <c r="AO538" s="24" t="inlineStr">
        <is>
          <t>PAPER_CALL_LOW_EDGE</t>
        </is>
      </c>
      <c r="AP538" s="24" t="inlineStr">
        <is>
          <t>Boise State Broncos</t>
        </is>
      </c>
      <c r="AQ538" s="24" t="inlineStr">
        <is>
          <t>Boise State Broncos</t>
        </is>
      </c>
      <c r="AR538" s="24" t="inlineStr">
        <is>
          <t>Boise State Broncos</t>
        </is>
      </c>
      <c r="AS538" s="24" t="inlineStr">
        <is>
          <t>Western Michigan Broncos</t>
        </is>
      </c>
      <c r="AT538" s="24" t="inlineStr">
        <is>
          <t>Western Michigan Broncos</t>
        </is>
      </c>
      <c r="AU538" s="24" t="inlineStr">
        <is>
          <t>Western Michigan Broncos</t>
        </is>
      </c>
      <c r="AV538" s="24" t="n"/>
      <c r="AW538" s="24" t="n"/>
      <c r="AX538" s="24" t="inlineStr">
        <is>
          <t>statistical_model</t>
        </is>
      </c>
      <c r="AY538" s="24" t="n"/>
      <c r="AZ538" s="24" t="inlineStr">
        <is>
          <t>shadow_qualified</t>
        </is>
      </c>
      <c r="BA538" s="24" t="inlineStr">
        <is>
          <t>1d168f11d221cd3c</t>
        </is>
      </c>
      <c r="BB538" s="24" t="inlineStr">
        <is>
          <t>cfb_key_number_engine</t>
        </is>
      </c>
      <c r="BC538" s="24" t="inlineStr">
        <is>
          <t>cfb-total-v1</t>
        </is>
      </c>
      <c r="BD538" s="24" t="inlineStr">
        <is>
          <t>1d168f11d221cd3c</t>
        </is>
      </c>
      <c r="BE538" s="24" t="inlineStr">
        <is>
          <t>cfb-v1</t>
        </is>
      </c>
      <c r="BF538" s="24" t="inlineStr">
        <is>
          <t>1</t>
        </is>
      </c>
      <c r="BG538" s="24" t="inlineStr">
        <is>
          <t>1d168f11d221cd3c</t>
        </is>
      </c>
      <c r="BH538" s="24" t="inlineStr">
        <is>
          <t>2026-09-26T15:01:01.506546+00:00</t>
        </is>
      </c>
      <c r="BI538" s="24" t="inlineStr">
        <is>
          <t>["same_event","same_team_same_day","same_league_same_day"]</t>
        </is>
      </c>
      <c r="BJ538" s="25" t="n">
        <v>50.5</v>
      </c>
      <c r="BK538" s="26" t="n">
        <v>-112</v>
      </c>
      <c r="BL538" s="27" t="n">
        <v>1.892857</v>
      </c>
      <c r="BM538" s="28" t="n">
        <v>0.528302</v>
      </c>
      <c r="BN538" s="28" t="n"/>
      <c r="BO538" s="28" t="n"/>
      <c r="BP538" s="25" t="n"/>
      <c r="BQ538" s="27" t="n"/>
      <c r="BR538" s="28" t="n"/>
      <c r="BS538" s="28" t="n"/>
      <c r="BT538" s="28" t="n"/>
      <c r="BU538" s="25" t="n"/>
      <c r="BV538" s="29" t="n"/>
      <c r="BW538" s="24" t="n"/>
      <c r="BX538" s="30" t="n">
        <v>1</v>
      </c>
      <c r="BY538" s="27" t="n">
        <v>-1</v>
      </c>
      <c r="BZ538" s="24" t="inlineStr">
        <is>
          <t>2026-09-27T04:30:40.092426Z</t>
        </is>
      </c>
      <c r="CA538" s="31" t="inlineStr">
        <is>
          <t>fixed one-unit hypothetical scoring; no real exposure or execution</t>
        </is>
      </c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inlineStr">
        <is>
          <t>False</t>
        </is>
      </c>
      <c r="CT538" s="24" t="n"/>
      <c r="CU538" s="24" t="n"/>
      <c r="CV538" s="24" t="n"/>
      <c r="CW538" s="24" t="n"/>
      <c r="CX538" s="24" t="n"/>
      <c r="CY538" s="24" t="n"/>
      <c r="CZ538" s="24" t="n"/>
      <c r="DA538" s="24" t="n"/>
      <c r="DB538" s="24" t="n"/>
      <c r="DC538" s="24" t="n"/>
      <c r="DD538" s="24" t="n"/>
      <c r="DE538" s="24" t="n"/>
      <c r="DF538" s="24" t="n"/>
      <c r="DG538" s="24" t="n"/>
      <c r="DH538" s="24" t="n"/>
      <c r="DI538" s="24" t="n"/>
      <c r="DJ538" s="24" t="inlineStr">
        <is>
          <t>0.528302</t>
        </is>
      </c>
      <c r="DK538" s="24" t="n"/>
      <c r="DL538" s="24" t="n"/>
      <c r="DM538" s="24" t="n"/>
      <c r="DN538" s="24" t="n"/>
      <c r="DO538" s="24" t="n"/>
      <c r="DP538" s="24" t="n"/>
      <c r="DQ538" s="24" t="inlineStr">
        <is>
          <t>{"artifact_hash": "1d168f11d221cd3c", "event_id": "401860897", "event_start_utc": "2026-09-26T19:30Z", "features": {"altitude_fatigue_penalty": 0.0, "away_team": "Boise State Broncos", "efficiency_gap": -0.101, "elo_away": 1486.9, "elo_home": 1696.6, "elo_home_win_prob": 0.8294, "event_id": "401860897", "game_start_utc": "2026-09-26T19:30Z", "home_field_advantage_points": 2.8, "home_team": "Western Michigan Broncos", "is_dome": false, "is_fbs_vs_fcs": false, "is_neutral_site": false, "projected_away_points": 20.8, "projected_home_points": 31.7, "projected_margin_home": 10.9, "projected_possessions": 12.4, "projected_total": 52.5, "stadium_elevation_ft": 780, "travel_distance_miles": 1541.0, "uncertainty": 0.165, "weather_total_adjustment": 0.0}, "historical_source_observation_times_verified": false, "inference_inputs": {"engine_source_sha256": "449ba2f0e86fa9c445730076a0e0bf100fb4914620be53c75c6f3bfe24298f3f", "mu_away": 20.8, "mu_home": 31.7,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46774634517019853613065279328753332330}, "uinteger": 0}, "spread_home_line": 7.5, "total_line": 50.5}, "market_type": "total", "model_version": "cfb-total-v1", "observed_at_utc": "2026-09-26T15:01:01.506546+00:00", "probabilities": {"over": 0.5072, "push": 0.0, "under": 0.4928}, "replay_scope": "Full precision score means, exact engine parameters and original RNG state; upstream feature construction not certified.", "schema": "cfb-joint-replay-v1", "snapshot_hash": "57efff39b65e8327270c7f8e35b9efb58b3919bddb05997be4590d13876bd607", "sport": "NCAAF"}</t>
        </is>
      </c>
    </row>
    <row r="539" ht="36" customHeight="1">
      <c r="A539" s="24" t="inlineStr">
        <is>
          <t>2a1614a80fcf4542</t>
        </is>
      </c>
      <c r="B539" s="24" t="inlineStr">
        <is>
          <t>2026-09-26T15:01:01.506546Z</t>
        </is>
      </c>
      <c r="C539" s="24" t="inlineStr">
        <is>
          <t>2026-09-26T19:30Z</t>
        </is>
      </c>
      <c r="D539" s="24" t="inlineStr">
        <is>
          <t>401861970</t>
        </is>
      </c>
      <c r="E539" s="24" t="inlineStr">
        <is>
          <t>NCAAF</t>
        </is>
      </c>
      <c r="F539" s="24" t="inlineStr">
        <is>
          <t>UConn Huskies</t>
        </is>
      </c>
      <c r="G539" s="24" t="inlineStr">
        <is>
          <t>Miami (OH) RedHawks</t>
        </is>
      </c>
      <c r="H539" s="24" t="inlineStr">
        <is>
          <t>moneyline</t>
        </is>
      </c>
      <c r="I539" s="24" t="inlineStr">
        <is>
          <t>away</t>
        </is>
      </c>
      <c r="J539" s="25" t="n"/>
      <c r="K539" s="24" t="inlineStr">
        <is>
          <t>espn_consensus</t>
        </is>
      </c>
      <c r="L539" s="26" t="n">
        <v>124</v>
      </c>
      <c r="M539" s="27" t="n">
        <v>2.24</v>
      </c>
      <c r="N539" s="28" t="n">
        <v>0.446429</v>
      </c>
      <c r="O539" s="28" t="n">
        <v>0.656888</v>
      </c>
      <c r="P539" s="28" t="n">
        <v>0.18</v>
      </c>
      <c r="Q539" s="28" t="n">
        <v>0.210459</v>
      </c>
      <c r="R539" s="26" t="n">
        <v>47</v>
      </c>
      <c r="S539" s="29" t="n">
        <v>1.25</v>
      </c>
      <c r="T539" s="24" t="inlineStr">
        <is>
          <t>college-football-v1</t>
        </is>
      </c>
      <c r="U539" s="24" t="inlineStr">
        <is>
          <t>settled</t>
        </is>
      </c>
      <c r="V539" s="24" t="inlineStr">
        <is>
          <t>loss</t>
        </is>
      </c>
      <c r="W539" s="26" t="n">
        <v>21</v>
      </c>
      <c r="X539" s="26" t="n">
        <v>24</v>
      </c>
      <c r="Y539" s="25" t="n"/>
      <c r="Z539" s="26" t="n"/>
      <c r="AA539" s="28" t="n"/>
      <c r="AB539" s="28" t="n"/>
      <c r="AC539" s="30" t="n">
        <v>-1.25</v>
      </c>
      <c r="AD539" s="24" t="inlineStr">
        <is>
          <t>2026-09-27T04:30:40.674199Z</t>
        </is>
      </c>
      <c r="AE539" s="31" t="inlineStr">
        <is>
          <t>CFB Joint Model (negative_binomial): proj score UConn Huskies 30.1 @ Miami (OH) RedHawks 22.8 (Margin -7.3). Possessions: 12.4, HFA: +2.8 pts.</t>
        </is>
      </c>
      <c r="AF539" s="31" t="inlineStr">
        <is>
          <t>College football model; multi-market (moneyline, spread, total).</t>
        </is>
      </c>
      <c r="AG539" s="24" t="inlineStr">
        <is>
          <t>review_required</t>
        </is>
      </c>
      <c r="AH539" s="24" t="n"/>
      <c r="AI539" s="31" t="n"/>
      <c r="AJ539" s="31" t="n"/>
      <c r="AK539" s="24" t="inlineStr">
        <is>
          <t>model_qualified</t>
        </is>
      </c>
      <c r="AL539" s="26" t="n">
        <v>4</v>
      </c>
      <c r="AM539" s="24" t="inlineStr">
        <is>
          <t>QUALIFIED_SHADOW_CALL</t>
        </is>
      </c>
      <c r="AN539" s="24" t="inlineStr">
        <is>
          <t>CALL</t>
        </is>
      </c>
      <c r="AO539" s="24" t="inlineStr">
        <is>
          <t>QUALIFIED</t>
        </is>
      </c>
      <c r="AP539" s="24" t="inlineStr">
        <is>
          <t>UConn Huskies</t>
        </is>
      </c>
      <c r="AQ539" s="24" t="inlineStr">
        <is>
          <t>UConn Huskies</t>
        </is>
      </c>
      <c r="AR539" s="24" t="inlineStr">
        <is>
          <t>UConn Huskies</t>
        </is>
      </c>
      <c r="AS539" s="24" t="inlineStr">
        <is>
          <t>Miami (OH) RedHawks</t>
        </is>
      </c>
      <c r="AT539" s="24" t="inlineStr">
        <is>
          <t>Miami (OH) RedHawks</t>
        </is>
      </c>
      <c r="AU539" s="24" t="inlineStr">
        <is>
          <t>Miami (OH) RedHawks</t>
        </is>
      </c>
      <c r="AV539" s="24" t="n"/>
      <c r="AW539" s="24" t="n"/>
      <c r="AX539" s="24" t="inlineStr">
        <is>
          <t>statistical_model</t>
        </is>
      </c>
      <c r="AY539" s="24" t="n"/>
      <c r="AZ539" s="24" t="inlineStr">
        <is>
          <t>shadow_qualified</t>
        </is>
      </c>
      <c r="BA539" s="24" t="inlineStr">
        <is>
          <t>1d168f11d221cd3c</t>
        </is>
      </c>
      <c r="BB539" s="24" t="inlineStr">
        <is>
          <t>cfb_key_number_engine</t>
        </is>
      </c>
      <c r="BC539" s="24" t="inlineStr">
        <is>
          <t>college-football-v1</t>
        </is>
      </c>
      <c r="BD539" s="24" t="inlineStr">
        <is>
          <t>1d168f11d221cd3c</t>
        </is>
      </c>
      <c r="BE539" s="24" t="inlineStr">
        <is>
          <t>cfb-v1</t>
        </is>
      </c>
      <c r="BF539" s="24" t="inlineStr">
        <is>
          <t>1</t>
        </is>
      </c>
      <c r="BG539" s="24" t="inlineStr">
        <is>
          <t>1d168f11d221cd3c</t>
        </is>
      </c>
      <c r="BH539" s="24" t="inlineStr">
        <is>
          <t>2026-09-26T15:01:01.506546+00:00</t>
        </is>
      </c>
      <c r="BI539" s="24" t="inlineStr">
        <is>
          <t>["same_event","same_team_same_day","same_league_same_day"]</t>
        </is>
      </c>
      <c r="BJ539" s="25" t="n"/>
      <c r="BK539" s="26" t="n">
        <v>124</v>
      </c>
      <c r="BL539" s="27" t="n">
        <v>2.24</v>
      </c>
      <c r="BM539" s="28" t="n">
        <v>0.446429</v>
      </c>
      <c r="BN539" s="28" t="n"/>
      <c r="BO539" s="28" t="n"/>
      <c r="BP539" s="25" t="n"/>
      <c r="BQ539" s="27" t="n"/>
      <c r="BR539" s="28" t="n"/>
      <c r="BS539" s="28" t="n"/>
      <c r="BT539" s="28" t="n"/>
      <c r="BU539" s="25" t="n"/>
      <c r="BV539" s="29" t="n"/>
      <c r="BW539" s="24" t="n"/>
      <c r="BX539" s="30" t="n"/>
      <c r="BY539" s="27" t="n"/>
      <c r="BZ539" s="24" t="n"/>
      <c r="CA539" s="31" t="n"/>
      <c r="CB539" s="24" t="n"/>
      <c r="CC539" s="24" t="n"/>
      <c r="CD539" s="24" t="n"/>
      <c r="CE539" s="24" t="n"/>
      <c r="CF539" s="24" t="n"/>
      <c r="CG539" s="24" t="n"/>
      <c r="CH539" s="24" t="n"/>
      <c r="CI539" s="24" t="n"/>
      <c r="CJ539" s="24" t="n"/>
      <c r="CK539" s="24" t="n"/>
      <c r="CL539" s="24" t="n"/>
      <c r="CM539" s="24" t="n"/>
      <c r="CN539" s="24" t="n"/>
      <c r="CO539" s="24" t="n"/>
      <c r="CP539" s="24" t="n"/>
      <c r="CQ539" s="24" t="n"/>
      <c r="CR539" s="24" t="n"/>
      <c r="CS539" s="24" t="inlineStr">
        <is>
          <t>True</t>
        </is>
      </c>
      <c r="CT539" s="24" t="n"/>
      <c r="CU539" s="24" t="n"/>
      <c r="CV539" s="24" t="n"/>
      <c r="CW539" s="24" t="n"/>
      <c r="CX539" s="24" t="n"/>
      <c r="CY539" s="24" t="n"/>
      <c r="CZ539" s="24" t="n"/>
      <c r="DA539" s="24" t="n"/>
      <c r="DB539" s="24" t="n"/>
      <c r="DC539" s="24" t="n"/>
      <c r="DD539" s="24" t="n"/>
      <c r="DE539" s="24" t="n"/>
      <c r="DF539" s="24" t="n"/>
      <c r="DG539" s="24" t="n"/>
      <c r="DH539" s="24" t="n"/>
      <c r="DI539" s="24" t="n"/>
      <c r="DJ539" s="24" t="inlineStr">
        <is>
          <t>0.446429</t>
        </is>
      </c>
      <c r="DK539" s="24" t="n"/>
      <c r="DL539" s="24" t="n"/>
      <c r="DM539" s="24" t="n"/>
      <c r="DN539" s="24" t="n"/>
      <c r="DO539" s="24" t="n"/>
      <c r="DP539" s="24" t="n"/>
      <c r="DQ539" s="24" t="inlineStr">
        <is>
          <t>{"artifact_hash": "1d168f11d221cd3c", "event_id": "401861970", "event_start_utc": "2026-09-26T19:30Z", "features": {"altitude_fatigue_penalty": 0.0, "away_team": "UConn Huskies", "efficiency_gap": -2.527, "elo_away": 1622.7, "elo_home": 1378.8, "elo_home_win_prob": 0.2631, "event_id": "401861970", "game_start_utc": "2026-09-26T19:30Z", "home_field_advantage_points": 2.8, "home_team": "Miami (OH) RedHawks", "is_dome": false, "is_fbs_vs_fcs": false, "is_neutral_site": false, "projected_away_points": 30.1, "projected_home_points": 22.8, "projected_margin_home": -7.3, "projected_possessions": 12.4, "projected_total": 53.0, "stadium_elevation_ft": 920, "travel_distance_miles": 653.0, "uncertainty": 0.18, "weather_total_adjustment": 0.0}, "historical_source_observation_times_verified": false, "inference_inputs": {"engine_source_sha256": "449ba2f0e86fa9c445730076a0e0bf100fb4914620be53c75c6f3bfe24298f3f", "mu_away": 30.1, "mu_home": 22.8,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310785886394416729562866805861864363724}, "uinteger": 0}, "spread_home_line": -3.0, "total_line": 51.5}, "market_type": "moneyline", "model_version": "college-football-v1", "observed_at_utc": "2026-09-26T15:01:01.506546+00:00", "probabilities": {"away": 0.656888, "home": 0.343112}, "replay_scope": "Full precision score means, exact engine parameters and original RNG state; upstream feature construction not certified.", "schema": "cfb-joint-replay-v1", "snapshot_hash": "a733de9b4d53f92d46c4e0fe0288c8380f6cdd9fbb467a7c9f39bc83e7607bfb", "sport": "NCAAF"}</t>
        </is>
      </c>
    </row>
    <row r="540" ht="36" customHeight="1">
      <c r="A540" s="24" t="inlineStr">
        <is>
          <t>ac1e1d4929b74e05</t>
        </is>
      </c>
      <c r="B540" s="24" t="inlineStr">
        <is>
          <t>2026-09-26T15:01:01.506546Z</t>
        </is>
      </c>
      <c r="C540" s="24" t="inlineStr">
        <is>
          <t>2026-09-26T19:30Z</t>
        </is>
      </c>
      <c r="D540" s="24" t="inlineStr">
        <is>
          <t>401861970</t>
        </is>
      </c>
      <c r="E540" s="24" t="inlineStr">
        <is>
          <t>NCAAF</t>
        </is>
      </c>
      <c r="F540" s="24" t="inlineStr">
        <is>
          <t>UConn Huskies</t>
        </is>
      </c>
      <c r="G540" s="24" t="inlineStr">
        <is>
          <t>Miami (OH) RedHawks</t>
        </is>
      </c>
      <c r="H540" s="24" t="inlineStr">
        <is>
          <t>spread</t>
        </is>
      </c>
      <c r="I540" s="24" t="inlineStr">
        <is>
          <t>away</t>
        </is>
      </c>
      <c r="J540" s="25" t="n">
        <v>3</v>
      </c>
      <c r="K540" s="24" t="inlineStr">
        <is>
          <t>espn_consensus</t>
        </is>
      </c>
      <c r="L540" s="26" t="n">
        <v>-112</v>
      </c>
      <c r="M540" s="27" t="n">
        <v>1.892857</v>
      </c>
      <c r="N540" s="28" t="n">
        <v>0.528302</v>
      </c>
      <c r="O540" s="28" t="n">
        <v>0.705867</v>
      </c>
      <c r="P540" s="28" t="n">
        <v>0.18</v>
      </c>
      <c r="Q540" s="28" t="n">
        <v>0.177565</v>
      </c>
      <c r="R540" s="26" t="n">
        <v>31</v>
      </c>
      <c r="S540" s="29" t="n">
        <v>1</v>
      </c>
      <c r="T540" s="24" t="inlineStr">
        <is>
          <t>cfb-spread-v1</t>
        </is>
      </c>
      <c r="U540" s="24" t="inlineStr">
        <is>
          <t>settled</t>
        </is>
      </c>
      <c r="V540" s="24" t="inlineStr">
        <is>
          <t>push</t>
        </is>
      </c>
      <c r="W540" s="26" t="n">
        <v>21</v>
      </c>
      <c r="X540" s="26" t="n">
        <v>24</v>
      </c>
      <c r="Y540" s="25" t="n"/>
      <c r="Z540" s="26" t="n"/>
      <c r="AA540" s="28" t="n"/>
      <c r="AB540" s="28" t="n"/>
      <c r="AC540" s="30" t="n">
        <v>0</v>
      </c>
      <c r="AD540" s="24" t="inlineStr">
        <is>
          <t>2026-09-27T04:30:41.238893Z</t>
        </is>
      </c>
      <c r="AE540" s="31" t="inlineStr">
        <is>
          <t>Projected home margin -7.3 pts. Spread: Home -3.0 / Away +3.0 -&gt; P(Away cover)=0.706, P(Home cover)=0.276, P(Push)=0.018.</t>
        </is>
      </c>
      <c r="AF540" s="31" t="inlineStr">
        <is>
          <t>College football model; multi-market (moneyline, spread, total).</t>
        </is>
      </c>
      <c r="AG540" s="24" t="inlineStr">
        <is>
          <t>not_applicable</t>
        </is>
      </c>
      <c r="AH540" s="24" t="n"/>
      <c r="AI540" s="31" t="n"/>
      <c r="AJ540" s="31" t="n"/>
      <c r="AK540" s="24" t="inlineStr">
        <is>
          <t>model_qualified</t>
        </is>
      </c>
      <c r="AL540" s="26" t="n">
        <v>4</v>
      </c>
      <c r="AM540" s="24" t="inlineStr">
        <is>
          <t>QUALIFIED_SHADOW_CALL</t>
        </is>
      </c>
      <c r="AN540" s="24" t="inlineStr">
        <is>
          <t>CALL</t>
        </is>
      </c>
      <c r="AO540" s="24" t="inlineStr">
        <is>
          <t>QUALIFIED</t>
        </is>
      </c>
      <c r="AP540" s="24" t="inlineStr">
        <is>
          <t>UConn Huskies</t>
        </is>
      </c>
      <c r="AQ540" s="24" t="inlineStr">
        <is>
          <t>UConn Huskies</t>
        </is>
      </c>
      <c r="AR540" s="24" t="inlineStr">
        <is>
          <t>UConn Huskies</t>
        </is>
      </c>
      <c r="AS540" s="24" t="inlineStr">
        <is>
          <t>Miami (OH) RedHawks</t>
        </is>
      </c>
      <c r="AT540" s="24" t="inlineStr">
        <is>
          <t>Miami (OH) RedHawks</t>
        </is>
      </c>
      <c r="AU540" s="24" t="inlineStr">
        <is>
          <t>Miami (OH) RedHawks</t>
        </is>
      </c>
      <c r="AV540" s="24" t="n"/>
      <c r="AW540" s="24" t="n"/>
      <c r="AX540" s="24" t="inlineStr">
        <is>
          <t>statistical_model</t>
        </is>
      </c>
      <c r="AY540" s="24" t="n"/>
      <c r="AZ540" s="24" t="inlineStr">
        <is>
          <t>shadow_qualified</t>
        </is>
      </c>
      <c r="BA540" s="24" t="inlineStr">
        <is>
          <t>1d168f11d221cd3c</t>
        </is>
      </c>
      <c r="BB540" s="24" t="inlineStr">
        <is>
          <t>cfb_key_number_engine</t>
        </is>
      </c>
      <c r="BC540" s="24" t="inlineStr">
        <is>
          <t>cfb-spread-v1</t>
        </is>
      </c>
      <c r="BD540" s="24" t="inlineStr">
        <is>
          <t>1d168f11d221cd3c</t>
        </is>
      </c>
      <c r="BE540" s="24" t="inlineStr">
        <is>
          <t>cfb-v1</t>
        </is>
      </c>
      <c r="BF540" s="24" t="inlineStr">
        <is>
          <t>1</t>
        </is>
      </c>
      <c r="BG540" s="24" t="inlineStr">
        <is>
          <t>1d168f11d221cd3c</t>
        </is>
      </c>
      <c r="BH540" s="24" t="inlineStr">
        <is>
          <t>2026-09-26T15:01:01.506546+00:00</t>
        </is>
      </c>
      <c r="BI540" s="24" t="inlineStr">
        <is>
          <t>["same_event","same_team_same_day","same_league_same_day"]</t>
        </is>
      </c>
      <c r="BJ540" s="25" t="n">
        <v>3</v>
      </c>
      <c r="BK540" s="26" t="n">
        <v>-112</v>
      </c>
      <c r="BL540" s="27" t="n">
        <v>1.892857</v>
      </c>
      <c r="BM540" s="28" t="n">
        <v>0.528302</v>
      </c>
      <c r="BN540" s="28" t="n"/>
      <c r="BO540" s="28" t="n"/>
      <c r="BP540" s="25" t="n"/>
      <c r="BQ540" s="27" t="n"/>
      <c r="BR540" s="28" t="n"/>
      <c r="BS540" s="28" t="n"/>
      <c r="BT540" s="28" t="n"/>
      <c r="BU540" s="25" t="n"/>
      <c r="BV540" s="29" t="n"/>
      <c r="BW540" s="24" t="n"/>
      <c r="BX540" s="30" t="n"/>
      <c r="BY540" s="27" t="n"/>
      <c r="BZ540" s="24" t="n"/>
      <c r="CA540" s="31" t="n"/>
      <c r="CB540" s="24" t="n"/>
      <c r="CC540" s="24" t="n"/>
      <c r="CD540" s="24" t="n"/>
      <c r="CE540" s="24" t="n"/>
      <c r="CF540" s="24" t="n"/>
      <c r="CG540" s="24" t="n"/>
      <c r="CH540" s="24" t="n"/>
      <c r="CI540" s="24" t="n"/>
      <c r="CJ540" s="24" t="n"/>
      <c r="CK540" s="24" t="n"/>
      <c r="CL540" s="24" t="n"/>
      <c r="CM540" s="24" t="n"/>
      <c r="CN540" s="24" t="n"/>
      <c r="CO540" s="24" t="n"/>
      <c r="CP540" s="24" t="n"/>
      <c r="CQ540" s="24" t="n"/>
      <c r="CR540" s="24" t="n"/>
      <c r="CS540" s="24" t="inlineStr">
        <is>
          <t>True</t>
        </is>
      </c>
      <c r="CT540" s="24" t="n"/>
      <c r="CU540" s="24" t="n"/>
      <c r="CV540" s="24" t="n"/>
      <c r="CW540" s="24" t="n"/>
      <c r="CX540" s="24" t="n"/>
      <c r="CY540" s="24" t="n"/>
      <c r="CZ540" s="24" t="n"/>
      <c r="DA540" s="24" t="n"/>
      <c r="DB540" s="24" t="n"/>
      <c r="DC540" s="24" t="n"/>
      <c r="DD540" s="24" t="n"/>
      <c r="DE540" s="24" t="n"/>
      <c r="DF540" s="24" t="n"/>
      <c r="DG540" s="24" t="n"/>
      <c r="DH540" s="24" t="n"/>
      <c r="DI540" s="24" t="n"/>
      <c r="DJ540" s="24" t="inlineStr">
        <is>
          <t>0.528302</t>
        </is>
      </c>
      <c r="DK540" s="24" t="n"/>
      <c r="DL540" s="24" t="n"/>
      <c r="DM540" s="24" t="n"/>
      <c r="DN540" s="24" t="n"/>
      <c r="DO540" s="24" t="n"/>
      <c r="DP540" s="24" t="n"/>
      <c r="DQ540" s="24" t="inlineStr">
        <is>
          <t>{"artifact_hash": "1d168f11d221cd3c", "event_id": "401861970", "event_start_utc": "2026-09-26T19:30Z", "features": {"altitude_fatigue_penalty": 0.0, "away_team": "UConn Huskies", "efficiency_gap": -2.527, "elo_away": 1622.7, "elo_home": 1378.8, "elo_home_win_prob": 0.2631, "event_id": "401861970", "game_start_utc": "2026-09-26T19:30Z", "home_field_advantage_points": 2.8, "home_team": "Miami (OH) RedHawks", "is_dome": false, "is_fbs_vs_fcs": false, "is_neutral_site": false, "projected_away_points": 30.1, "projected_home_points": 22.8, "projected_margin_home": -7.3, "projected_possessions": 12.4, "projected_total": 53.0, "stadium_elevation_ft": 920, "travel_distance_miles": 653.0, "uncertainty": 0.18, "weather_total_adjustment": 0.0}, "historical_source_observation_times_verified": false, "inference_inputs": {"engine_source_sha256": "449ba2f0e86fa9c445730076a0e0bf100fb4914620be53c75c6f3bfe24298f3f", "mu_away": 30.1, "mu_home": 22.8,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310785886394416729562866805861864363724}, "uinteger": 0}, "spread_home_line": -3.0, "total_line": 51.5}, "market_type": "spread", "model_version": "cfb-spread-v1", "observed_at_utc": "2026-09-26T15:01:01.506546+00:00", "probabilities": {"away": 0.705867, "home": 0.2764, "push": 0.017733}, "replay_scope": "Full precision score means, exact engine parameters and original RNG state; upstream feature construction not certified.", "schema": "cfb-joint-replay-v1", "snapshot_hash": "b33b7196c2086c53c46272e427f3c886e433586e2d3e0e141a0c043a98a3f0b6", "sport": "NCAAF"}</t>
        </is>
      </c>
    </row>
    <row r="541" ht="36" customHeight="1">
      <c r="A541" s="24" t="inlineStr">
        <is>
          <t>6ff4d1a726c34b57</t>
        </is>
      </c>
      <c r="B541" s="24" t="inlineStr">
        <is>
          <t>2026-09-26T15:01:01.506546Z</t>
        </is>
      </c>
      <c r="C541" s="24" t="inlineStr">
        <is>
          <t>2026-09-26T19:30Z</t>
        </is>
      </c>
      <c r="D541" s="24" t="inlineStr">
        <is>
          <t>401861970</t>
        </is>
      </c>
      <c r="E541" s="24" t="inlineStr">
        <is>
          <t>NCAAF</t>
        </is>
      </c>
      <c r="F541" s="24" t="inlineStr">
        <is>
          <t>UConn Huskies</t>
        </is>
      </c>
      <c r="G541" s="24" t="inlineStr">
        <is>
          <t>Miami (OH) RedHawks</t>
        </is>
      </c>
      <c r="H541" s="24" t="inlineStr">
        <is>
          <t>total</t>
        </is>
      </c>
      <c r="I541" s="24" t="inlineStr">
        <is>
          <t>under</t>
        </is>
      </c>
      <c r="J541" s="25" t="n">
        <v>51.5</v>
      </c>
      <c r="K541" s="24" t="inlineStr">
        <is>
          <t>espn_consensus</t>
        </is>
      </c>
      <c r="L541" s="26" t="n">
        <v>-105</v>
      </c>
      <c r="M541" s="27" t="n">
        <v>1.952381</v>
      </c>
      <c r="N541" s="28" t="n">
        <v>0.512195</v>
      </c>
      <c r="O541" s="28" t="n">
        <v>0.520867</v>
      </c>
      <c r="P541" s="28" t="n">
        <v>0.18</v>
      </c>
      <c r="Q541" s="28" t="n">
        <v>0.008671999999999999</v>
      </c>
      <c r="R541" s="26" t="n">
        <v>0</v>
      </c>
      <c r="S541" s="29" t="n">
        <v>1</v>
      </c>
      <c r="T541" s="24" t="inlineStr">
        <is>
          <t>cfb-total-v1</t>
        </is>
      </c>
      <c r="U541" s="24" t="inlineStr">
        <is>
          <t>settled</t>
        </is>
      </c>
      <c r="V541" s="24" t="inlineStr">
        <is>
          <t>win</t>
        </is>
      </c>
      <c r="W541" s="26" t="n">
        <v>21</v>
      </c>
      <c r="X541" s="26" t="n">
        <v>24</v>
      </c>
      <c r="Y541" s="25" t="n"/>
      <c r="Z541" s="26" t="n"/>
      <c r="AA541" s="28" t="n"/>
      <c r="AB541" s="28" t="n"/>
      <c r="AC541" s="30" t="n">
        <v>0.9524</v>
      </c>
      <c r="AD541" s="24" t="inlineStr">
        <is>
          <t>2026-09-27T04:30:41.809365Z</t>
        </is>
      </c>
      <c r="AE541" s="31" t="inlineStr">
        <is>
          <t>Projected total 53.0 pts (Weather adj: +0.0 pts). Total line 51.5 -&gt; P(Over)=0.479, P(Under)=0.521, P(Push)=0.000.</t>
        </is>
      </c>
      <c r="AF541" s="31" t="inlineStr">
        <is>
          <t>College football model; multi-market (moneyline, spread, total).</t>
        </is>
      </c>
      <c r="AG541" s="24" t="inlineStr">
        <is>
          <t>not_applicable</t>
        </is>
      </c>
      <c r="AH541" s="24" t="n"/>
      <c r="AI541" s="31" t="n"/>
      <c r="AJ541" s="31" t="n"/>
      <c r="AK541" s="24" t="inlineStr">
        <is>
          <t>paper_call</t>
        </is>
      </c>
      <c r="AL541" s="26" t="n">
        <v>4</v>
      </c>
      <c r="AM541" s="24" t="inlineStr">
        <is>
          <t>RESEARCH_OBSERVATION</t>
        </is>
      </c>
      <c r="AN541" s="24" t="inlineStr">
        <is>
          <t>CALL</t>
        </is>
      </c>
      <c r="AO541" s="24" t="inlineStr">
        <is>
          <t>PAPER_CALL_LOW_EDGE</t>
        </is>
      </c>
      <c r="AP541" s="24" t="inlineStr">
        <is>
          <t>UConn Huskies</t>
        </is>
      </c>
      <c r="AQ541" s="24" t="inlineStr">
        <is>
          <t>UConn Huskies</t>
        </is>
      </c>
      <c r="AR541" s="24" t="inlineStr">
        <is>
          <t>UConn Huskies</t>
        </is>
      </c>
      <c r="AS541" s="24" t="inlineStr">
        <is>
          <t>Miami (OH) RedHawks</t>
        </is>
      </c>
      <c r="AT541" s="24" t="inlineStr">
        <is>
          <t>Miami (OH) RedHawks</t>
        </is>
      </c>
      <c r="AU541" s="24" t="inlineStr">
        <is>
          <t>Miami (OH) RedHawks</t>
        </is>
      </c>
      <c r="AV541" s="24" t="n"/>
      <c r="AW541" s="24" t="n"/>
      <c r="AX541" s="24" t="inlineStr">
        <is>
          <t>statistical_model</t>
        </is>
      </c>
      <c r="AY541" s="24" t="n"/>
      <c r="AZ541" s="24" t="inlineStr">
        <is>
          <t>shadow_qualified</t>
        </is>
      </c>
      <c r="BA541" s="24" t="inlineStr">
        <is>
          <t>1d168f11d221cd3c</t>
        </is>
      </c>
      <c r="BB541" s="24" t="inlineStr">
        <is>
          <t>cfb_key_number_engine</t>
        </is>
      </c>
      <c r="BC541" s="24" t="inlineStr">
        <is>
          <t>cfb-total-v1</t>
        </is>
      </c>
      <c r="BD541" s="24" t="inlineStr">
        <is>
          <t>1d168f11d221cd3c</t>
        </is>
      </c>
      <c r="BE541" s="24" t="inlineStr">
        <is>
          <t>cfb-v1</t>
        </is>
      </c>
      <c r="BF541" s="24" t="inlineStr">
        <is>
          <t>1</t>
        </is>
      </c>
      <c r="BG541" s="24" t="inlineStr">
        <is>
          <t>1d168f11d221cd3c</t>
        </is>
      </c>
      <c r="BH541" s="24" t="inlineStr">
        <is>
          <t>2026-09-26T15:01:01.506546+00:00</t>
        </is>
      </c>
      <c r="BI541" s="24" t="inlineStr">
        <is>
          <t>["same_event","same_team_same_day","same_league_same_day"]</t>
        </is>
      </c>
      <c r="BJ541" s="25" t="n">
        <v>51.5</v>
      </c>
      <c r="BK541" s="26" t="n">
        <v>-105</v>
      </c>
      <c r="BL541" s="27" t="n">
        <v>1.952381</v>
      </c>
      <c r="BM541" s="28" t="n">
        <v>0.512195</v>
      </c>
      <c r="BN541" s="28" t="n"/>
      <c r="BO541" s="28" t="n"/>
      <c r="BP541" s="25" t="n"/>
      <c r="BQ541" s="27" t="n"/>
      <c r="BR541" s="28" t="n"/>
      <c r="BS541" s="28" t="n"/>
      <c r="BT541" s="28" t="n"/>
      <c r="BU541" s="25" t="n"/>
      <c r="BV541" s="29" t="n"/>
      <c r="BW541" s="24" t="n"/>
      <c r="BX541" s="30" t="n">
        <v>1</v>
      </c>
      <c r="BY541" s="27" t="n">
        <v>0.952381</v>
      </c>
      <c r="BZ541" s="24" t="inlineStr">
        <is>
          <t>2026-09-27T04:30:41.809365Z</t>
        </is>
      </c>
      <c r="CA541" s="31" t="inlineStr">
        <is>
          <t>fixed one-unit hypothetical scoring; no real exposure or execution</t>
        </is>
      </c>
      <c r="CB541" s="24" t="n"/>
      <c r="CC541" s="24" t="n"/>
      <c r="CD541" s="24" t="n"/>
      <c r="CE541" s="24" t="n"/>
      <c r="CF541" s="24" t="n"/>
      <c r="CG541" s="24" t="n"/>
      <c r="CH541" s="24" t="n"/>
      <c r="CI541" s="24" t="n"/>
      <c r="CJ541" s="24" t="n"/>
      <c r="CK541" s="24" t="n"/>
      <c r="CL541" s="24" t="n"/>
      <c r="CM541" s="24" t="n"/>
      <c r="CN541" s="24" t="n"/>
      <c r="CO541" s="24" t="n"/>
      <c r="CP541" s="24" t="n"/>
      <c r="CQ541" s="24" t="n"/>
      <c r="CR541" s="24" t="n"/>
      <c r="CS541" s="24" t="inlineStr">
        <is>
          <t>True</t>
        </is>
      </c>
      <c r="CT541" s="24" t="n"/>
      <c r="CU541" s="24" t="n"/>
      <c r="CV541" s="24" t="n"/>
      <c r="CW541" s="24" t="n"/>
      <c r="CX541" s="24" t="n"/>
      <c r="CY541" s="24" t="n"/>
      <c r="CZ541" s="24" t="n"/>
      <c r="DA541" s="24" t="n"/>
      <c r="DB541" s="24" t="n"/>
      <c r="DC541" s="24" t="n"/>
      <c r="DD541" s="24" t="n"/>
      <c r="DE541" s="24" t="n"/>
      <c r="DF541" s="24" t="n"/>
      <c r="DG541" s="24" t="n"/>
      <c r="DH541" s="24" t="n"/>
      <c r="DI541" s="24" t="n"/>
      <c r="DJ541" s="24" t="inlineStr">
        <is>
          <t>0.512195</t>
        </is>
      </c>
      <c r="DK541" s="24" t="n"/>
      <c r="DL541" s="24" t="n"/>
      <c r="DM541" s="24" t="n"/>
      <c r="DN541" s="24" t="n"/>
      <c r="DO541" s="24" t="n"/>
      <c r="DP541" s="24" t="n"/>
      <c r="DQ541" s="24" t="inlineStr">
        <is>
          <t>{"artifact_hash": "1d168f11d221cd3c", "event_id": "401861970", "event_start_utc": "2026-09-26T19:30Z", "features": {"altitude_fatigue_penalty": 0.0, "away_team": "UConn Huskies", "efficiency_gap": -2.527, "elo_away": 1622.7, "elo_home": 1378.8, "elo_home_win_prob": 0.2631, "event_id": "401861970", "game_start_utc": "2026-09-26T19:30Z", "home_field_advantage_points": 2.8, "home_team": "Miami (OH) RedHawks", "is_dome": false, "is_fbs_vs_fcs": false, "is_neutral_site": false, "projected_away_points": 30.1, "projected_home_points": 22.8, "projected_margin_home": -7.3, "projected_possessions": 12.4, "projected_total": 53.0, "stadium_elevation_ft": 920, "travel_distance_miles": 653.0, "uncertainty": 0.18, "weather_total_adjustment": 0.0}, "historical_source_observation_times_verified": false, "inference_inputs": {"engine_source_sha256": "449ba2f0e86fa9c445730076a0e0bf100fb4914620be53c75c6f3bfe24298f3f", "mu_away": 30.1, "mu_home": 22.8,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310785886394416729562866805861864363724}, "uinteger": 0}, "spread_home_line": -3.0, "total_line": 51.5}, "market_type": "total", "model_version": "cfb-total-v1", "observed_at_utc": "2026-09-26T15:01:01.506546+00:00", "probabilities": {"over": 0.479133, "push": 0.0, "under": 0.520867}, "replay_scope": "Full precision score means, exact engine parameters and original RNG state; upstream feature construction not certified.", "schema": "cfb-joint-replay-v1", "snapshot_hash": "fad813dd3a1f4a3060b8fa6015991432df92d229a8837130b20ba7a13a8df75e", "sport": "NCAAF"}</t>
        </is>
      </c>
    </row>
    <row r="542" ht="36" customHeight="1">
      <c r="A542" s="24" t="inlineStr">
        <is>
          <t>46fd934996c04eed</t>
        </is>
      </c>
      <c r="B542" s="24" t="inlineStr">
        <is>
          <t>2026-09-26T15:01:01.506546Z</t>
        </is>
      </c>
      <c r="C542" s="24" t="inlineStr">
        <is>
          <t>2026-09-26T19:30Z</t>
        </is>
      </c>
      <c r="D542" s="24" t="inlineStr">
        <is>
          <t>401864579</t>
        </is>
      </c>
      <c r="E542" s="24" t="inlineStr">
        <is>
          <t>NCAAF</t>
        </is>
      </c>
      <c r="F542" s="24" t="inlineStr">
        <is>
          <t>New Mexico Lobos</t>
        </is>
      </c>
      <c r="G542" s="24" t="inlineStr">
        <is>
          <t>New Mexico State Aggies</t>
        </is>
      </c>
      <c r="H542" s="24" t="inlineStr">
        <is>
          <t>moneyline</t>
        </is>
      </c>
      <c r="I542" s="24" t="inlineStr">
        <is>
          <t>away</t>
        </is>
      </c>
      <c r="J542" s="25" t="n"/>
      <c r="K542" s="24" t="inlineStr">
        <is>
          <t>espn_consensus</t>
        </is>
      </c>
      <c r="L542" s="26" t="n">
        <v>-455</v>
      </c>
      <c r="M542" s="27" t="n">
        <v>1.21978</v>
      </c>
      <c r="N542" s="28" t="n">
        <v>0.81982</v>
      </c>
      <c r="O542" s="28" t="n">
        <v>0.7908269999999999</v>
      </c>
      <c r="P542" s="28" t="n">
        <v>0.165</v>
      </c>
      <c r="Q542" s="28" t="n">
        <v>-0.028993</v>
      </c>
      <c r="R542" s="26" t="n">
        <v>0</v>
      </c>
      <c r="S542" s="29" t="n">
        <v>1</v>
      </c>
      <c r="T542" s="24" t="inlineStr">
        <is>
          <t>college-football-v1</t>
        </is>
      </c>
      <c r="U542" s="24" t="inlineStr">
        <is>
          <t>settled</t>
        </is>
      </c>
      <c r="V542" s="24" t="inlineStr">
        <is>
          <t>win</t>
        </is>
      </c>
      <c r="W542" s="26" t="n">
        <v>42</v>
      </c>
      <c r="X542" s="26" t="n">
        <v>18</v>
      </c>
      <c r="Y542" s="25" t="n"/>
      <c r="Z542" s="26" t="n"/>
      <c r="AA542" s="28" t="n"/>
      <c r="AB542" s="28" t="n"/>
      <c r="AC542" s="30" t="n">
        <v>0.2198</v>
      </c>
      <c r="AD542" s="24" t="inlineStr">
        <is>
          <t>2026-09-27T04:30:42.385384Z</t>
        </is>
      </c>
      <c r="AE542" s="31" t="inlineStr">
        <is>
          <t>CFB Joint Model (negative_binomial): proj score New Mexico Lobos 34.3 @ New Mexico State Aggies 19.1 (Margin -15.1). Possessions: 12.4, HFA: +2.8 pts.</t>
        </is>
      </c>
      <c r="AF542" s="31" t="inlineStr">
        <is>
          <t>College football model; multi-market (moneyline, spread, total).</t>
        </is>
      </c>
      <c r="AG542" s="24" t="inlineStr">
        <is>
          <t>not_applicable</t>
        </is>
      </c>
      <c r="AH542" s="24" t="n"/>
      <c r="AI542" s="31" t="n"/>
      <c r="AJ542" s="31" t="n"/>
      <c r="AK542" s="24" t="inlineStr">
        <is>
          <t>paper_call</t>
        </is>
      </c>
      <c r="AL542" s="26" t="n">
        <v>4</v>
      </c>
      <c r="AM542" s="24" t="inlineStr">
        <is>
          <t>RESEARCH_OBSERVATION</t>
        </is>
      </c>
      <c r="AN542" s="24" t="inlineStr">
        <is>
          <t>CALL</t>
        </is>
      </c>
      <c r="AO542" s="24" t="inlineStr">
        <is>
          <t>PAPER_CALL_LOW_EDGE</t>
        </is>
      </c>
      <c r="AP542" s="24" t="inlineStr">
        <is>
          <t>New Mexico Lobos</t>
        </is>
      </c>
      <c r="AQ542" s="24" t="inlineStr">
        <is>
          <t>New Mexico Lobos</t>
        </is>
      </c>
      <c r="AR542" s="24" t="inlineStr">
        <is>
          <t>New Mexico Lobos</t>
        </is>
      </c>
      <c r="AS542" s="24" t="inlineStr">
        <is>
          <t>New Mexico State Aggies</t>
        </is>
      </c>
      <c r="AT542" s="24" t="inlineStr">
        <is>
          <t>New Mexico State Aggies</t>
        </is>
      </c>
      <c r="AU542" s="24" t="inlineStr">
        <is>
          <t>New Mexico State Aggies</t>
        </is>
      </c>
      <c r="AV542" s="24" t="n"/>
      <c r="AW542" s="24" t="n"/>
      <c r="AX542" s="24" t="inlineStr">
        <is>
          <t>statistical_model</t>
        </is>
      </c>
      <c r="AY542" s="24" t="n"/>
      <c r="AZ542" s="24" t="inlineStr">
        <is>
          <t>shadow_qualified</t>
        </is>
      </c>
      <c r="BA542" s="24" t="inlineStr">
        <is>
          <t>1d168f11d221cd3c</t>
        </is>
      </c>
      <c r="BB542" s="24" t="inlineStr">
        <is>
          <t>cfb_key_number_engine</t>
        </is>
      </c>
      <c r="BC542" s="24" t="inlineStr">
        <is>
          <t>college-football-v1</t>
        </is>
      </c>
      <c r="BD542" s="24" t="inlineStr">
        <is>
          <t>1d168f11d221cd3c</t>
        </is>
      </c>
      <c r="BE542" s="24" t="inlineStr">
        <is>
          <t>cfb-v1</t>
        </is>
      </c>
      <c r="BF542" s="24" t="inlineStr">
        <is>
          <t>1</t>
        </is>
      </c>
      <c r="BG542" s="24" t="inlineStr">
        <is>
          <t>1d168f11d221cd3c</t>
        </is>
      </c>
      <c r="BH542" s="24" t="inlineStr">
        <is>
          <t>2026-09-26T15:01:01.506546+00:00</t>
        </is>
      </c>
      <c r="BI542" s="24" t="inlineStr">
        <is>
          <t>["same_event","same_team_same_day","same_league_same_day"]</t>
        </is>
      </c>
      <c r="BJ542" s="25" t="n"/>
      <c r="BK542" s="26" t="n">
        <v>-455</v>
      </c>
      <c r="BL542" s="27" t="n">
        <v>1.21978</v>
      </c>
      <c r="BM542" s="28" t="n">
        <v>0.81982</v>
      </c>
      <c r="BN542" s="28" t="n"/>
      <c r="BO542" s="28" t="n"/>
      <c r="BP542" s="25" t="n"/>
      <c r="BQ542" s="27" t="n"/>
      <c r="BR542" s="28" t="n"/>
      <c r="BS542" s="28" t="n"/>
      <c r="BT542" s="28" t="n"/>
      <c r="BU542" s="25" t="n"/>
      <c r="BV542" s="29" t="n"/>
      <c r="BW542" s="24" t="n"/>
      <c r="BX542" s="30" t="n">
        <v>1</v>
      </c>
      <c r="BY542" s="27" t="n">
        <v>0.21978</v>
      </c>
      <c r="BZ542" s="24" t="inlineStr">
        <is>
          <t>2026-09-27T04:30:42.385384Z</t>
        </is>
      </c>
      <c r="CA542" s="31" t="inlineStr">
        <is>
          <t>fixed one-unit hypothetical scoring; no real exposure or execution</t>
        </is>
      </c>
      <c r="CB542" s="24" t="n"/>
      <c r="CC542" s="24" t="n"/>
      <c r="CD542" s="24" t="n"/>
      <c r="CE542" s="24" t="n"/>
      <c r="CF542" s="24" t="n"/>
      <c r="CG542" s="24" t="n"/>
      <c r="CH542" s="24" t="n"/>
      <c r="CI542" s="24" t="n"/>
      <c r="CJ542" s="24" t="n"/>
      <c r="CK542" s="24" t="n"/>
      <c r="CL542" s="24" t="n"/>
      <c r="CM542" s="24" t="n"/>
      <c r="CN542" s="24" t="n"/>
      <c r="CO542" s="24" t="n"/>
      <c r="CP542" s="24" t="n"/>
      <c r="CQ542" s="24" t="n"/>
      <c r="CR542" s="24" t="n"/>
      <c r="CS542" s="24" t="inlineStr">
        <is>
          <t>False</t>
        </is>
      </c>
      <c r="CT542" s="24" t="n"/>
      <c r="CU542" s="24" t="n"/>
      <c r="CV542" s="24" t="n"/>
      <c r="CW542" s="24" t="n"/>
      <c r="CX542" s="24" t="n"/>
      <c r="CY542" s="24" t="n"/>
      <c r="CZ542" s="24" t="n"/>
      <c r="DA542" s="24" t="n"/>
      <c r="DB542" s="24" t="n"/>
      <c r="DC542" s="24" t="n"/>
      <c r="DD542" s="24" t="n"/>
      <c r="DE542" s="24" t="n"/>
      <c r="DF542" s="24" t="n"/>
      <c r="DG542" s="24" t="n"/>
      <c r="DH542" s="24" t="n"/>
      <c r="DI542" s="24" t="n"/>
      <c r="DJ542" s="24" t="inlineStr">
        <is>
          <t>0.81982</t>
        </is>
      </c>
      <c r="DK542" s="24" t="n"/>
      <c r="DL542" s="24" t="n"/>
      <c r="DM542" s="24" t="n"/>
      <c r="DN542" s="24" t="n"/>
      <c r="DO542" s="24" t="n"/>
      <c r="DP542" s="24" t="n"/>
      <c r="DQ542" s="24" t="inlineStr">
        <is>
          <t>{"artifact_hash": "1d168f11d221cd3c", "event_id": "401864579", "event_start_utc": "2026-09-26T19:30Z", "features": {"altitude_fatigue_penalty": 0.0, "away_team": "New Mexico Lobos", "efficiency_gap": -2.232, "elo_away": 1696.7, "elo_home": 1256.5, "elo_home_win_prob": 0.1034, "event_id": "401864579", "game_start_utc": "2026-09-26T19:30Z", "home_field_advantage_points": 2.8, "home_team": "New Mexico State Aggies", "is_dome": false, "is_fbs_vs_fcs": false, "is_neutral_site": false, "projected_away_points": 34.3, "projected_home_points": 19.1, "projected_margin_home": -15.1, "projected_possessions": 12.4, "projected_total": 53.4, "stadium_elevation_ft": 3980, "travel_distance_miles": 193.0, "uncertainty": 0.165, "weather_total_adjustment": 0.0}, "historical_source_observation_times_verified": false, "inference_inputs": {"engine_source_sha256": "449ba2f0e86fa9c445730076a0e0bf100fb4914620be53c75c6f3bfe24298f3f", "mu_away": 34.3, "mu_home": 19.1,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207242330255692747283407826150783732115}, "uinteger": 0}, "spread_home_line": 11.5, "total_line": 47.5}, "market_type": "moneyline", "model_version": "college-football-v1", "observed_at_utc": "2026-09-26T15:01:01.506546+00:00", "probabilities": {"away": 0.790827, "home": 0.209173}, "replay_scope": "Full precision score means, exact engine parameters and original RNG state; upstream feature construction not certified.", "schema": "cfb-joint-replay-v1", "snapshot_hash": "85ac973a1a5750e0377f2dd09f4f3c3b72b4baea0a6879be0aefb703d67843d2", "sport": "NCAAF"}</t>
        </is>
      </c>
    </row>
    <row r="543" ht="36" customHeight="1">
      <c r="A543" s="24" t="inlineStr">
        <is>
          <t>d88feaa4c6124525</t>
        </is>
      </c>
      <c r="B543" s="24" t="inlineStr">
        <is>
          <t>2026-09-26T15:01:01.506546Z</t>
        </is>
      </c>
      <c r="C543" s="24" t="inlineStr">
        <is>
          <t>2026-09-26T19:30Z</t>
        </is>
      </c>
      <c r="D543" s="24" t="inlineStr">
        <is>
          <t>401864579</t>
        </is>
      </c>
      <c r="E543" s="24" t="inlineStr">
        <is>
          <t>NCAAF</t>
        </is>
      </c>
      <c r="F543" s="24" t="inlineStr">
        <is>
          <t>New Mexico Lobos</t>
        </is>
      </c>
      <c r="G543" s="24" t="inlineStr">
        <is>
          <t>New Mexico State Aggies</t>
        </is>
      </c>
      <c r="H543" s="24" t="inlineStr">
        <is>
          <t>spread</t>
        </is>
      </c>
      <c r="I543" s="24" t="inlineStr">
        <is>
          <t>away</t>
        </is>
      </c>
      <c r="J543" s="25" t="n">
        <v>-11.5</v>
      </c>
      <c r="K543" s="24" t="inlineStr">
        <is>
          <t>espn_consensus</t>
        </is>
      </c>
      <c r="L543" s="26" t="n">
        <v>-110</v>
      </c>
      <c r="M543" s="27" t="n">
        <v>1.909091</v>
      </c>
      <c r="N543" s="28" t="n">
        <v>0.52381</v>
      </c>
      <c r="O543" s="28" t="n">
        <v>0.5848</v>
      </c>
      <c r="P543" s="28" t="n">
        <v>0.165</v>
      </c>
      <c r="Q543" s="28" t="n">
        <v>0.06099</v>
      </c>
      <c r="R543" s="26" t="n">
        <v>0</v>
      </c>
      <c r="S543" s="29" t="n">
        <v>1</v>
      </c>
      <c r="T543" s="24" t="inlineStr">
        <is>
          <t>cfb-spread-v1</t>
        </is>
      </c>
      <c r="U543" s="24" t="inlineStr">
        <is>
          <t>settled</t>
        </is>
      </c>
      <c r="V543" s="24" t="inlineStr">
        <is>
          <t>win</t>
        </is>
      </c>
      <c r="W543" s="26" t="n">
        <v>42</v>
      </c>
      <c r="X543" s="26" t="n">
        <v>18</v>
      </c>
      <c r="Y543" s="25" t="n"/>
      <c r="Z543" s="26" t="n"/>
      <c r="AA543" s="28" t="n"/>
      <c r="AB543" s="28" t="n"/>
      <c r="AC543" s="30" t="n">
        <v>0.9091</v>
      </c>
      <c r="AD543" s="24" t="inlineStr">
        <is>
          <t>2026-09-27T04:30:42.952260Z</t>
        </is>
      </c>
      <c r="AE543" s="31" t="inlineStr">
        <is>
          <t>Projected home margin -15.1 pts. Spread: Home +11.5 / Away -11.5 -&gt; P(Away cover)=0.585, P(Home cover)=0.415, P(Push)=0.000.</t>
        </is>
      </c>
      <c r="AF543" s="31" t="inlineStr">
        <is>
          <t>College football model; multi-market (moneyline, spread, total).</t>
        </is>
      </c>
      <c r="AG543" s="24" t="inlineStr">
        <is>
          <t>not_applicable</t>
        </is>
      </c>
      <c r="AH543" s="24" t="n"/>
      <c r="AI543" s="31" t="n"/>
      <c r="AJ543" s="31" t="n"/>
      <c r="AK543" s="24" t="inlineStr">
        <is>
          <t>model_qualified</t>
        </is>
      </c>
      <c r="AL543" s="26" t="n">
        <v>4</v>
      </c>
      <c r="AM543" s="24" t="inlineStr">
        <is>
          <t>QUALIFIED_SHADOW_CALL</t>
        </is>
      </c>
      <c r="AN543" s="24" t="inlineStr">
        <is>
          <t>CALL</t>
        </is>
      </c>
      <c r="AO543" s="24" t="inlineStr">
        <is>
          <t>QUALIFIED</t>
        </is>
      </c>
      <c r="AP543" s="24" t="inlineStr">
        <is>
          <t>New Mexico Lobos</t>
        </is>
      </c>
      <c r="AQ543" s="24" t="inlineStr">
        <is>
          <t>New Mexico Lobos</t>
        </is>
      </c>
      <c r="AR543" s="24" t="inlineStr">
        <is>
          <t>New Mexico Lobos</t>
        </is>
      </c>
      <c r="AS543" s="24" t="inlineStr">
        <is>
          <t>New Mexico State Aggies</t>
        </is>
      </c>
      <c r="AT543" s="24" t="inlineStr">
        <is>
          <t>New Mexico State Aggies</t>
        </is>
      </c>
      <c r="AU543" s="24" t="inlineStr">
        <is>
          <t>New Mexico State Aggies</t>
        </is>
      </c>
      <c r="AV543" s="24" t="n"/>
      <c r="AW543" s="24" t="n"/>
      <c r="AX543" s="24" t="inlineStr">
        <is>
          <t>statistical_model</t>
        </is>
      </c>
      <c r="AY543" s="24" t="n"/>
      <c r="AZ543" s="24" t="inlineStr">
        <is>
          <t>shadow_qualified</t>
        </is>
      </c>
      <c r="BA543" s="24" t="inlineStr">
        <is>
          <t>1d168f11d221cd3c</t>
        </is>
      </c>
      <c r="BB543" s="24" t="inlineStr">
        <is>
          <t>cfb_key_number_engine</t>
        </is>
      </c>
      <c r="BC543" s="24" t="inlineStr">
        <is>
          <t>cfb-spread-v1</t>
        </is>
      </c>
      <c r="BD543" s="24" t="inlineStr">
        <is>
          <t>1d168f11d221cd3c</t>
        </is>
      </c>
      <c r="BE543" s="24" t="inlineStr">
        <is>
          <t>cfb-v1</t>
        </is>
      </c>
      <c r="BF543" s="24" t="inlineStr">
        <is>
          <t>1</t>
        </is>
      </c>
      <c r="BG543" s="24" t="inlineStr">
        <is>
          <t>1d168f11d221cd3c</t>
        </is>
      </c>
      <c r="BH543" s="24" t="inlineStr">
        <is>
          <t>2026-09-26T15:01:01.506546+00:00</t>
        </is>
      </c>
      <c r="BI543" s="24" t="inlineStr">
        <is>
          <t>["same_event","same_team_same_day","same_league_same_day"]</t>
        </is>
      </c>
      <c r="BJ543" s="25" t="n">
        <v>-11.5</v>
      </c>
      <c r="BK543" s="26" t="n">
        <v>-110</v>
      </c>
      <c r="BL543" s="27" t="n">
        <v>1.909091</v>
      </c>
      <c r="BM543" s="28" t="n">
        <v>0.52381</v>
      </c>
      <c r="BN543" s="28" t="n"/>
      <c r="BO543" s="28" t="n"/>
      <c r="BP543" s="25" t="n"/>
      <c r="BQ543" s="27" t="n"/>
      <c r="BR543" s="28" t="n"/>
      <c r="BS543" s="28" t="n"/>
      <c r="BT543" s="28" t="n"/>
      <c r="BU543" s="25" t="n"/>
      <c r="BV543" s="29" t="n"/>
      <c r="BW543" s="24" t="n"/>
      <c r="BX543" s="30" t="n"/>
      <c r="BY543" s="27" t="n"/>
      <c r="BZ543" s="24" t="n"/>
      <c r="CA543" s="31" t="n"/>
      <c r="CB543" s="24" t="n"/>
      <c r="CC543" s="24" t="n"/>
      <c r="CD543" s="24" t="n"/>
      <c r="CE543" s="24" t="n"/>
      <c r="CF543" s="24" t="n"/>
      <c r="CG543" s="24" t="n"/>
      <c r="CH543" s="24" t="n"/>
      <c r="CI543" s="24" t="n"/>
      <c r="CJ543" s="24" t="n"/>
      <c r="CK543" s="24" t="n"/>
      <c r="CL543" s="24" t="n"/>
      <c r="CM543" s="24" t="n"/>
      <c r="CN543" s="24" t="n"/>
      <c r="CO543" s="24" t="n"/>
      <c r="CP543" s="24" t="n"/>
      <c r="CQ543" s="24" t="n"/>
      <c r="CR543" s="24" t="n"/>
      <c r="CS543" s="24" t="inlineStr">
        <is>
          <t>True</t>
        </is>
      </c>
      <c r="CT543" s="24" t="n"/>
      <c r="CU543" s="24" t="n"/>
      <c r="CV543" s="24" t="n"/>
      <c r="CW543" s="24" t="n"/>
      <c r="CX543" s="24" t="n"/>
      <c r="CY543" s="24" t="n"/>
      <c r="CZ543" s="24" t="n"/>
      <c r="DA543" s="24" t="n"/>
      <c r="DB543" s="24" t="n"/>
      <c r="DC543" s="24" t="n"/>
      <c r="DD543" s="24" t="n"/>
      <c r="DE543" s="24" t="n"/>
      <c r="DF543" s="24" t="n"/>
      <c r="DG543" s="24" t="n"/>
      <c r="DH543" s="24" t="n"/>
      <c r="DI543" s="24" t="n"/>
      <c r="DJ543" s="24" t="inlineStr">
        <is>
          <t>0.52381</t>
        </is>
      </c>
      <c r="DK543" s="24" t="n"/>
      <c r="DL543" s="24" t="n"/>
      <c r="DM543" s="24" t="n"/>
      <c r="DN543" s="24" t="n"/>
      <c r="DO543" s="24" t="n"/>
      <c r="DP543" s="24" t="n"/>
      <c r="DQ543" s="24" t="inlineStr">
        <is>
          <t>{"artifact_hash": "1d168f11d221cd3c", "event_id": "401864579", "event_start_utc": "2026-09-26T19:30Z", "features": {"altitude_fatigue_penalty": 0.0, "away_team": "New Mexico Lobos", "efficiency_gap": -2.232, "elo_away": 1696.7, "elo_home": 1256.5, "elo_home_win_prob": 0.1034, "event_id": "401864579", "game_start_utc": "2026-09-26T19:30Z", "home_field_advantage_points": 2.8, "home_team": "New Mexico State Aggies", "is_dome": false, "is_fbs_vs_fcs": false, "is_neutral_site": false, "projected_away_points": 34.3, "projected_home_points": 19.1, "projected_margin_home": -15.1, "projected_possessions": 12.4, "projected_total": 53.4, "stadium_elevation_ft": 3980, "travel_distance_miles": 193.0, "uncertainty": 0.165, "weather_total_adjustment": 0.0}, "historical_source_observation_times_verified": false, "inference_inputs": {"engine_source_sha256": "449ba2f0e86fa9c445730076a0e0bf100fb4914620be53c75c6f3bfe24298f3f", "mu_away": 34.3, "mu_home": 19.1,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207242330255692747283407826150783732115}, "uinteger": 0}, "spread_home_line": 11.5, "total_line": 47.5}, "market_type": "spread", "model_version": "cfb-spread-v1", "observed_at_utc": "2026-09-26T15:01:01.506546+00:00", "probabilities": {"away": 0.5848, "home": 0.4152, "push": 0.0}, "replay_scope": "Full precision score means, exact engine parameters and original RNG state; upstream feature construction not certified.", "schema": "cfb-joint-replay-v1", "snapshot_hash": "f723fdbcb334b3f1f568293daec0a01fbee7d0374c0cbadcf0214ffce6fadeb7", "sport": "NCAAF"}</t>
        </is>
      </c>
    </row>
    <row r="544" ht="36" customHeight="1">
      <c r="A544" s="24" t="inlineStr">
        <is>
          <t>2e24a8a663544e5e</t>
        </is>
      </c>
      <c r="B544" s="24" t="inlineStr">
        <is>
          <t>2026-09-26T15:01:01.506546Z</t>
        </is>
      </c>
      <c r="C544" s="24" t="inlineStr">
        <is>
          <t>2026-09-26T19:30Z</t>
        </is>
      </c>
      <c r="D544" s="24" t="inlineStr">
        <is>
          <t>401864579</t>
        </is>
      </c>
      <c r="E544" s="24" t="inlineStr">
        <is>
          <t>NCAAF</t>
        </is>
      </c>
      <c r="F544" s="24" t="inlineStr">
        <is>
          <t>New Mexico Lobos</t>
        </is>
      </c>
      <c r="G544" s="24" t="inlineStr">
        <is>
          <t>New Mexico State Aggies</t>
        </is>
      </c>
      <c r="H544" s="24" t="inlineStr">
        <is>
          <t>total</t>
        </is>
      </c>
      <c r="I544" s="24" t="inlineStr">
        <is>
          <t>over</t>
        </is>
      </c>
      <c r="J544" s="25" t="n">
        <v>47.5</v>
      </c>
      <c r="K544" s="24" t="inlineStr">
        <is>
          <t>espn_consensus</t>
        </is>
      </c>
      <c r="L544" s="26" t="n">
        <v>-112</v>
      </c>
      <c r="M544" s="27" t="n">
        <v>1.892857</v>
      </c>
      <c r="N544" s="28" t="n">
        <v>0.528302</v>
      </c>
      <c r="O544" s="28" t="n">
        <v>0.572267</v>
      </c>
      <c r="P544" s="28" t="n">
        <v>0.165</v>
      </c>
      <c r="Q544" s="28" t="n">
        <v>0.043965</v>
      </c>
      <c r="R544" s="26" t="n">
        <v>0</v>
      </c>
      <c r="S544" s="29" t="n">
        <v>1</v>
      </c>
      <c r="T544" s="24" t="inlineStr">
        <is>
          <t>cfb-total-v1</t>
        </is>
      </c>
      <c r="U544" s="24" t="inlineStr">
        <is>
          <t>settled</t>
        </is>
      </c>
      <c r="V544" s="24" t="inlineStr">
        <is>
          <t>win</t>
        </is>
      </c>
      <c r="W544" s="26" t="n">
        <v>42</v>
      </c>
      <c r="X544" s="26" t="n">
        <v>18</v>
      </c>
      <c r="Y544" s="25" t="n"/>
      <c r="Z544" s="26" t="n"/>
      <c r="AA544" s="28" t="n"/>
      <c r="AB544" s="28" t="n"/>
      <c r="AC544" s="30" t="n">
        <v>0.8929</v>
      </c>
      <c r="AD544" s="24" t="inlineStr">
        <is>
          <t>2026-09-27T04:30:43.523926Z</t>
        </is>
      </c>
      <c r="AE544" s="31" t="inlineStr">
        <is>
          <t>Projected total 53.4 pts (Weather adj: +0.0 pts). Total line 47.5 -&gt; P(Over)=0.572, P(Under)=0.428, P(Push)=0.000.</t>
        </is>
      </c>
      <c r="AF544" s="31" t="inlineStr">
        <is>
          <t>College football model; multi-market (moneyline, spread, total).</t>
        </is>
      </c>
      <c r="AG544" s="24" t="inlineStr">
        <is>
          <t>not_applicable</t>
        </is>
      </c>
      <c r="AH544" s="24" t="n"/>
      <c r="AI544" s="31" t="n"/>
      <c r="AJ544" s="31" t="n"/>
      <c r="AK544" s="24" t="inlineStr">
        <is>
          <t>model_qualified</t>
        </is>
      </c>
      <c r="AL544" s="26" t="n">
        <v>4</v>
      </c>
      <c r="AM544" s="24" t="inlineStr">
        <is>
          <t>QUALIFIED_SHADOW_CALL</t>
        </is>
      </c>
      <c r="AN544" s="24" t="inlineStr">
        <is>
          <t>CALL</t>
        </is>
      </c>
      <c r="AO544" s="24" t="inlineStr">
        <is>
          <t>QUALIFIED</t>
        </is>
      </c>
      <c r="AP544" s="24" t="inlineStr">
        <is>
          <t>New Mexico Lobos</t>
        </is>
      </c>
      <c r="AQ544" s="24" t="inlineStr">
        <is>
          <t>New Mexico Lobos</t>
        </is>
      </c>
      <c r="AR544" s="24" t="inlineStr">
        <is>
          <t>New Mexico Lobos</t>
        </is>
      </c>
      <c r="AS544" s="24" t="inlineStr">
        <is>
          <t>New Mexico State Aggies</t>
        </is>
      </c>
      <c r="AT544" s="24" t="inlineStr">
        <is>
          <t>New Mexico State Aggies</t>
        </is>
      </c>
      <c r="AU544" s="24" t="inlineStr">
        <is>
          <t>New Mexico State Aggies</t>
        </is>
      </c>
      <c r="AV544" s="24" t="n"/>
      <c r="AW544" s="24" t="n"/>
      <c r="AX544" s="24" t="inlineStr">
        <is>
          <t>statistical_model</t>
        </is>
      </c>
      <c r="AY544" s="24" t="n"/>
      <c r="AZ544" s="24" t="inlineStr">
        <is>
          <t>shadow_qualified</t>
        </is>
      </c>
      <c r="BA544" s="24" t="inlineStr">
        <is>
          <t>1d168f11d221cd3c</t>
        </is>
      </c>
      <c r="BB544" s="24" t="inlineStr">
        <is>
          <t>cfb_key_number_engine</t>
        </is>
      </c>
      <c r="BC544" s="24" t="inlineStr">
        <is>
          <t>cfb-total-v1</t>
        </is>
      </c>
      <c r="BD544" s="24" t="inlineStr">
        <is>
          <t>1d168f11d221cd3c</t>
        </is>
      </c>
      <c r="BE544" s="24" t="inlineStr">
        <is>
          <t>cfb-v1</t>
        </is>
      </c>
      <c r="BF544" s="24" t="inlineStr">
        <is>
          <t>1</t>
        </is>
      </c>
      <c r="BG544" s="24" t="inlineStr">
        <is>
          <t>1d168f11d221cd3c</t>
        </is>
      </c>
      <c r="BH544" s="24" t="inlineStr">
        <is>
          <t>2026-09-26T15:01:01.506546+00:00</t>
        </is>
      </c>
      <c r="BI544" s="24" t="inlineStr">
        <is>
          <t>["same_event","same_team_same_day","same_league_same_day"]</t>
        </is>
      </c>
      <c r="BJ544" s="25" t="n">
        <v>47.5</v>
      </c>
      <c r="BK544" s="26" t="n">
        <v>-112</v>
      </c>
      <c r="BL544" s="27" t="n">
        <v>1.892857</v>
      </c>
      <c r="BM544" s="28" t="n">
        <v>0.528302</v>
      </c>
      <c r="BN544" s="28" t="n"/>
      <c r="BO544" s="28" t="n"/>
      <c r="BP544" s="25" t="n"/>
      <c r="BQ544" s="27" t="n"/>
      <c r="BR544" s="28" t="n"/>
      <c r="BS544" s="28" t="n"/>
      <c r="BT544" s="28" t="n"/>
      <c r="BU544" s="25" t="n"/>
      <c r="BV544" s="29" t="n"/>
      <c r="BW544" s="24" t="n"/>
      <c r="BX544" s="30" t="n"/>
      <c r="BY544" s="27" t="n"/>
      <c r="BZ544" s="24" t="n"/>
      <c r="CA544" s="31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inlineStr">
        <is>
          <t>True</t>
        </is>
      </c>
      <c r="CT544" s="24" t="n"/>
      <c r="CU544" s="24" t="n"/>
      <c r="CV544" s="24" t="n"/>
      <c r="CW544" s="24" t="n"/>
      <c r="CX544" s="24" t="n"/>
      <c r="CY544" s="24" t="n"/>
      <c r="CZ544" s="24" t="n"/>
      <c r="DA544" s="24" t="n"/>
      <c r="DB544" s="24" t="n"/>
      <c r="DC544" s="24" t="n"/>
      <c r="DD544" s="24" t="n"/>
      <c r="DE544" s="24" t="n"/>
      <c r="DF544" s="24" t="n"/>
      <c r="DG544" s="24" t="n"/>
      <c r="DH544" s="24" t="n"/>
      <c r="DI544" s="24" t="n"/>
      <c r="DJ544" s="24" t="inlineStr">
        <is>
          <t>0.528302</t>
        </is>
      </c>
      <c r="DK544" s="24" t="n"/>
      <c r="DL544" s="24" t="n"/>
      <c r="DM544" s="24" t="n"/>
      <c r="DN544" s="24" t="n"/>
      <c r="DO544" s="24" t="n"/>
      <c r="DP544" s="24" t="n"/>
      <c r="DQ544" s="24" t="inlineStr">
        <is>
          <t>{"artifact_hash": "1d168f11d221cd3c", "event_id": "401864579", "event_start_utc": "2026-09-26T19:30Z", "features": {"altitude_fatigue_penalty": 0.0, "away_team": "New Mexico Lobos", "efficiency_gap": -2.232, "elo_away": 1696.7, "elo_home": 1256.5, "elo_home_win_prob": 0.1034, "event_id": "401864579", "game_start_utc": "2026-09-26T19:30Z", "home_field_advantage_points": 2.8, "home_team": "New Mexico State Aggies", "is_dome": false, "is_fbs_vs_fcs": false, "is_neutral_site": false, "projected_away_points": 34.3, "projected_home_points": 19.1, "projected_margin_home": -15.1, "projected_possessions": 12.4, "projected_total": 53.4, "stadium_elevation_ft": 3980, "travel_distance_miles": 193.0, "uncertainty": 0.165, "weather_total_adjustment": 0.0}, "historical_source_observation_times_verified": false, "inference_inputs": {"engine_source_sha256": "449ba2f0e86fa9c445730076a0e0bf100fb4914620be53c75c6f3bfe24298f3f", "mu_away": 34.3, "mu_home": 19.1,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207242330255692747283407826150783732115}, "uinteger": 0}, "spread_home_line": 11.5, "total_line": 47.5}, "market_type": "total", "model_version": "cfb-total-v1", "observed_at_utc": "2026-09-26T15:01:01.506546+00:00", "probabilities": {"over": 0.572267, "push": 0.0, "under": 0.427733}, "replay_scope": "Full precision score means, exact engine parameters and original RNG state; upstream feature construction not certified.", "schema": "cfb-joint-replay-v1", "snapshot_hash": "7060f8a339b70e96d3ea41f45b5a266687a2ff859f543cc78914ee0c7614ffbc", "sport": "NCAAF"}</t>
        </is>
      </c>
    </row>
    <row r="545" ht="36" customHeight="1">
      <c r="A545" s="24" t="inlineStr">
        <is>
          <t>4c72fe3d429644cb</t>
        </is>
      </c>
      <c r="B545" s="24" t="inlineStr">
        <is>
          <t>2026-09-26T15:01:01.506546Z</t>
        </is>
      </c>
      <c r="C545" s="24" t="inlineStr">
        <is>
          <t>2026-09-26T19:30Z</t>
        </is>
      </c>
      <c r="D545" s="24" t="inlineStr">
        <is>
          <t>401866426</t>
        </is>
      </c>
      <c r="E545" s="24" t="inlineStr">
        <is>
          <t>NCAAF</t>
        </is>
      </c>
      <c r="F545" s="24" t="inlineStr">
        <is>
          <t>Robert Morris Colonials</t>
        </is>
      </c>
      <c r="G545" s="24" t="inlineStr">
        <is>
          <t>Buffalo Bulls</t>
        </is>
      </c>
      <c r="H545" s="24" t="inlineStr">
        <is>
          <t>moneyline</t>
        </is>
      </c>
      <c r="I545" s="24" t="inlineStr">
        <is>
          <t>home</t>
        </is>
      </c>
      <c r="J545" s="25" t="n"/>
      <c r="K545" s="24" t="inlineStr">
        <is>
          <t>espn_consensus</t>
        </is>
      </c>
      <c r="L545" s="26" t="n">
        <v>-3600</v>
      </c>
      <c r="M545" s="27" t="n">
        <v>1.027778</v>
      </c>
      <c r="N545" s="28" t="n">
        <v>0.972973</v>
      </c>
      <c r="O545" s="28" t="n">
        <v>0.598808</v>
      </c>
      <c r="P545" s="28" t="n">
        <v>0.18</v>
      </c>
      <c r="Q545" s="28" t="n">
        <v>-0.374165</v>
      </c>
      <c r="R545" s="26" t="n">
        <v>0</v>
      </c>
      <c r="S545" s="29" t="n">
        <v>1</v>
      </c>
      <c r="T545" s="24" t="inlineStr">
        <is>
          <t>college-football-v1</t>
        </is>
      </c>
      <c r="U545" s="24" t="inlineStr">
        <is>
          <t>settled</t>
        </is>
      </c>
      <c r="V545" s="24" t="inlineStr">
        <is>
          <t>win</t>
        </is>
      </c>
      <c r="W545" s="26" t="n">
        <v>28</v>
      </c>
      <c r="X545" s="26" t="n">
        <v>31</v>
      </c>
      <c r="Y545" s="25" t="n"/>
      <c r="Z545" s="26" t="n"/>
      <c r="AA545" s="28" t="n"/>
      <c r="AB545" s="28" t="n"/>
      <c r="AC545" s="30" t="n">
        <v>0.0278</v>
      </c>
      <c r="AD545" s="24" t="inlineStr">
        <is>
          <t>2026-09-27T04:30:44.149453Z</t>
        </is>
      </c>
      <c r="AE545" s="31" t="inlineStr">
        <is>
          <t>CFB Joint Model (negative_binomial): proj score Robert Morris Colonials 24.1 @ Buffalo Bulls 28.7 (Margin +4.6). Possessions: 12.4, HFA: +2.8 pts.</t>
        </is>
      </c>
      <c r="AF545" s="31" t="inlineStr">
        <is>
          <t>College football model; multi-market (moneyline, spread, total).</t>
        </is>
      </c>
      <c r="AG545" s="24" t="inlineStr">
        <is>
          <t>not_applicable</t>
        </is>
      </c>
      <c r="AH545" s="24" t="n"/>
      <c r="AI545" s="31" t="n"/>
      <c r="AJ545" s="31" t="n"/>
      <c r="AK545" s="24" t="inlineStr">
        <is>
          <t>paper_call</t>
        </is>
      </c>
      <c r="AL545" s="26" t="n">
        <v>4</v>
      </c>
      <c r="AM545" s="24" t="inlineStr">
        <is>
          <t>RESEARCH_OBSERVATION</t>
        </is>
      </c>
      <c r="AN545" s="24" t="inlineStr">
        <is>
          <t>CALL</t>
        </is>
      </c>
      <c r="AO545" s="24" t="inlineStr">
        <is>
          <t>PAPER_CALL_LOW_EDGE</t>
        </is>
      </c>
      <c r="AP545" s="24" t="inlineStr">
        <is>
          <t>Robert Morris Colonials</t>
        </is>
      </c>
      <c r="AQ545" s="24" t="inlineStr">
        <is>
          <t>Robert Morris Colonials</t>
        </is>
      </c>
      <c r="AR545" s="24" t="inlineStr">
        <is>
          <t>Robert Morris Colonials</t>
        </is>
      </c>
      <c r="AS545" s="24" t="inlineStr">
        <is>
          <t>Buffalo Bulls</t>
        </is>
      </c>
      <c r="AT545" s="24" t="inlineStr">
        <is>
          <t>Buffalo Bulls</t>
        </is>
      </c>
      <c r="AU545" s="24" t="inlineStr">
        <is>
          <t>Buffalo Bulls</t>
        </is>
      </c>
      <c r="AV545" s="24" t="n"/>
      <c r="AW545" s="24" t="n"/>
      <c r="AX545" s="24" t="inlineStr">
        <is>
          <t>statistical_model</t>
        </is>
      </c>
      <c r="AY545" s="24" t="n"/>
      <c r="AZ545" s="24" t="inlineStr">
        <is>
          <t>shadow_qualified</t>
        </is>
      </c>
      <c r="BA545" s="24" t="inlineStr">
        <is>
          <t>1d168f11d221cd3c</t>
        </is>
      </c>
      <c r="BB545" s="24" t="inlineStr">
        <is>
          <t>cfb_key_number_engine</t>
        </is>
      </c>
      <c r="BC545" s="24" t="inlineStr">
        <is>
          <t>college-football-v1</t>
        </is>
      </c>
      <c r="BD545" s="24" t="inlineStr">
        <is>
          <t>1d168f11d221cd3c</t>
        </is>
      </c>
      <c r="BE545" s="24" t="inlineStr">
        <is>
          <t>cfb-v1</t>
        </is>
      </c>
      <c r="BF545" s="24" t="inlineStr">
        <is>
          <t>1</t>
        </is>
      </c>
      <c r="BG545" s="24" t="inlineStr">
        <is>
          <t>1d168f11d221cd3c</t>
        </is>
      </c>
      <c r="BH545" s="24" t="inlineStr">
        <is>
          <t>2026-09-26T15:01:01.506546+00:00</t>
        </is>
      </c>
      <c r="BI545" s="24" t="inlineStr">
        <is>
          <t>["same_event","same_team_same_day","same_league_same_day"]</t>
        </is>
      </c>
      <c r="BJ545" s="25" t="n"/>
      <c r="BK545" s="26" t="n">
        <v>-3600</v>
      </c>
      <c r="BL545" s="27" t="n">
        <v>1.027778</v>
      </c>
      <c r="BM545" s="28" t="n">
        <v>0.972973</v>
      </c>
      <c r="BN545" s="28" t="n"/>
      <c r="BO545" s="28" t="n"/>
      <c r="BP545" s="25" t="n"/>
      <c r="BQ545" s="27" t="n"/>
      <c r="BR545" s="28" t="n"/>
      <c r="BS545" s="28" t="n"/>
      <c r="BT545" s="28" t="n"/>
      <c r="BU545" s="25" t="n"/>
      <c r="BV545" s="29" t="n"/>
      <c r="BW545" s="24" t="n"/>
      <c r="BX545" s="30" t="n">
        <v>1</v>
      </c>
      <c r="BY545" s="27" t="n">
        <v>0.027778</v>
      </c>
      <c r="BZ545" s="24" t="inlineStr">
        <is>
          <t>2026-09-27T04:30:44.149453Z</t>
        </is>
      </c>
      <c r="CA545" s="31" t="inlineStr">
        <is>
          <t>fixed one-unit hypothetical scoring; no real exposure or execution</t>
        </is>
      </c>
      <c r="CB545" s="24" t="n"/>
      <c r="CC545" s="24" t="n"/>
      <c r="CD545" s="24" t="n"/>
      <c r="CE545" s="24" t="n"/>
      <c r="CF545" s="24" t="n"/>
      <c r="CG545" s="24" t="n"/>
      <c r="CH545" s="24" t="n"/>
      <c r="CI545" s="24" t="n"/>
      <c r="CJ545" s="24" t="n"/>
      <c r="CK545" s="24" t="n"/>
      <c r="CL545" s="24" t="n"/>
      <c r="CM545" s="24" t="n"/>
      <c r="CN545" s="24" t="n"/>
      <c r="CO545" s="24" t="n"/>
      <c r="CP545" s="24" t="n"/>
      <c r="CQ545" s="24" t="n"/>
      <c r="CR545" s="24" t="n"/>
      <c r="CS545" s="24" t="inlineStr">
        <is>
          <t>False</t>
        </is>
      </c>
      <c r="CT545" s="24" t="n"/>
      <c r="CU545" s="24" t="n"/>
      <c r="CV545" s="24" t="n"/>
      <c r="CW545" s="24" t="n"/>
      <c r="CX545" s="24" t="n"/>
      <c r="CY545" s="24" t="n"/>
      <c r="CZ545" s="24" t="n"/>
      <c r="DA545" s="24" t="n"/>
      <c r="DB545" s="24" t="n"/>
      <c r="DC545" s="24" t="n"/>
      <c r="DD545" s="24" t="n"/>
      <c r="DE545" s="24" t="n"/>
      <c r="DF545" s="24" t="n"/>
      <c r="DG545" s="24" t="n"/>
      <c r="DH545" s="24" t="n"/>
      <c r="DI545" s="24" t="n"/>
      <c r="DJ545" s="24" t="inlineStr">
        <is>
          <t>0.972973</t>
        </is>
      </c>
      <c r="DK545" s="24" t="n"/>
      <c r="DL545" s="24" t="n"/>
      <c r="DM545" s="24" t="n"/>
      <c r="DN545" s="24" t="n"/>
      <c r="DO545" s="24" t="n"/>
      <c r="DP545" s="24" t="n"/>
      <c r="DQ545" s="24" t="inlineStr">
        <is>
          <t>{"artifact_hash": "1d168f11d221cd3c", "event_id": "401866426", "event_start_utc": "2026-09-26T19:30Z", "features": {"altitude_fatigue_penalty": 0.0, "away_team": "Robert Morris Colonials", "efficiency_gap": 0.0, "elo_away": 1337.5, "elo_home": 1385.6, "elo_home_win_prob": 0.6572, "event_id": "401866426", "game_start_utc": "2026-09-26T19:30Z", "home_field_advantage_points": 2.8, "home_team": "Buffalo Bulls", "is_dome": false, "is_fbs_vs_fcs": false, "is_neutral_site": false, "projected_away_points": 24.1, "projected_home_points": 28.7, "projected_margin_home": 4.6,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24.1, "mu_home": 28.7,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322642203360423295643679043026790182840}, "uinteger": 0}, "spread_home_line": -28.5, "total_line": 46.5}, "market_type": "moneyline", "model_version": "college-football-v1", "observed_at_utc": "2026-09-26T15:01:01.506546+00:00", "probabilities": {"away": 0.401192, "home": 0.598808}, "replay_scope": "Full precision score means, exact engine parameters and original RNG state; upstream feature construction not certified.", "schema": "cfb-joint-replay-v1", "snapshot_hash": "e68989f7e9186684c41fd9e5f6d9da533b60700b7297201f5a6523f49f3dd8f0", "sport": "NCAAF"}</t>
        </is>
      </c>
    </row>
    <row r="546" ht="36" customHeight="1">
      <c r="A546" s="24" t="inlineStr">
        <is>
          <t>49940e57d16d43ed</t>
        </is>
      </c>
      <c r="B546" s="24" t="inlineStr">
        <is>
          <t>2026-09-26T15:01:01.506546Z</t>
        </is>
      </c>
      <c r="C546" s="24" t="inlineStr">
        <is>
          <t>2026-09-26T19:30Z</t>
        </is>
      </c>
      <c r="D546" s="24" t="inlineStr">
        <is>
          <t>401866426</t>
        </is>
      </c>
      <c r="E546" s="24" t="inlineStr">
        <is>
          <t>NCAAF</t>
        </is>
      </c>
      <c r="F546" s="24" t="inlineStr">
        <is>
          <t>Robert Morris Colonials</t>
        </is>
      </c>
      <c r="G546" s="24" t="inlineStr">
        <is>
          <t>Buffalo Bulls</t>
        </is>
      </c>
      <c r="H546" s="24" t="inlineStr">
        <is>
          <t>spread</t>
        </is>
      </c>
      <c r="I546" s="24" t="inlineStr">
        <is>
          <t>away</t>
        </is>
      </c>
      <c r="J546" s="25" t="n">
        <v>28.5</v>
      </c>
      <c r="K546" s="24" t="inlineStr">
        <is>
          <t>espn_consensus</t>
        </is>
      </c>
      <c r="L546" s="26" t="n">
        <v>-110</v>
      </c>
      <c r="M546" s="27" t="n">
        <v>1.909091</v>
      </c>
      <c r="N546" s="28" t="n">
        <v>0.52381</v>
      </c>
      <c r="O546" s="28" t="n">
        <v>0.877533</v>
      </c>
      <c r="P546" s="28" t="n">
        <v>0.18</v>
      </c>
      <c r="Q546" s="28" t="n">
        <v>0.353723</v>
      </c>
      <c r="R546" s="26" t="n">
        <v>100</v>
      </c>
      <c r="S546" s="29" t="n">
        <v>2</v>
      </c>
      <c r="T546" s="24" t="inlineStr">
        <is>
          <t>cfb-spread-v1</t>
        </is>
      </c>
      <c r="U546" s="24" t="inlineStr">
        <is>
          <t>settled</t>
        </is>
      </c>
      <c r="V546" s="24" t="inlineStr">
        <is>
          <t>win</t>
        </is>
      </c>
      <c r="W546" s="26" t="n">
        <v>28</v>
      </c>
      <c r="X546" s="26" t="n">
        <v>31</v>
      </c>
      <c r="Y546" s="25" t="n"/>
      <c r="Z546" s="26" t="n"/>
      <c r="AA546" s="28" t="n"/>
      <c r="AB546" s="28" t="n"/>
      <c r="AC546" s="30" t="n">
        <v>1.8182</v>
      </c>
      <c r="AD546" s="24" t="inlineStr">
        <is>
          <t>2026-09-27T04:30:44.659422Z</t>
        </is>
      </c>
      <c r="AE546" s="31" t="inlineStr">
        <is>
          <t>Projected home margin +4.6 pts. Spread: Home -28.5 / Away +28.5 -&gt; P(Away cover)=0.878, P(Home cover)=0.122, P(Push)=0.000.</t>
        </is>
      </c>
      <c r="AF546" s="31" t="inlineStr">
        <is>
          <t>College football model; multi-market (moneyline, spread, total).</t>
        </is>
      </c>
      <c r="AG546" s="24" t="inlineStr">
        <is>
          <t>not_applicable</t>
        </is>
      </c>
      <c r="AH546" s="24" t="n"/>
      <c r="AI546" s="31" t="n"/>
      <c r="AJ546" s="31" t="n"/>
      <c r="AK546" s="24" t="inlineStr">
        <is>
          <t>model_qualified</t>
        </is>
      </c>
      <c r="AL546" s="26" t="n">
        <v>4</v>
      </c>
      <c r="AM546" s="24" t="inlineStr">
        <is>
          <t>QUALIFIED_SHADOW_CALL</t>
        </is>
      </c>
      <c r="AN546" s="24" t="inlineStr">
        <is>
          <t>CALL</t>
        </is>
      </c>
      <c r="AO546" s="24" t="inlineStr">
        <is>
          <t>QUALIFIED</t>
        </is>
      </c>
      <c r="AP546" s="24" t="inlineStr">
        <is>
          <t>Robert Morris Colonials</t>
        </is>
      </c>
      <c r="AQ546" s="24" t="inlineStr">
        <is>
          <t>Robert Morris Colonials</t>
        </is>
      </c>
      <c r="AR546" s="24" t="inlineStr">
        <is>
          <t>Robert Morris Colonials</t>
        </is>
      </c>
      <c r="AS546" s="24" t="inlineStr">
        <is>
          <t>Buffalo Bulls</t>
        </is>
      </c>
      <c r="AT546" s="24" t="inlineStr">
        <is>
          <t>Buffalo Bulls</t>
        </is>
      </c>
      <c r="AU546" s="24" t="inlineStr">
        <is>
          <t>Buffalo Bulls</t>
        </is>
      </c>
      <c r="AV546" s="24" t="n"/>
      <c r="AW546" s="24" t="n"/>
      <c r="AX546" s="24" t="inlineStr">
        <is>
          <t>statistical_model</t>
        </is>
      </c>
      <c r="AY546" s="24" t="n"/>
      <c r="AZ546" s="24" t="inlineStr">
        <is>
          <t>shadow_qualified</t>
        </is>
      </c>
      <c r="BA546" s="24" t="inlineStr">
        <is>
          <t>1d168f11d221cd3c</t>
        </is>
      </c>
      <c r="BB546" s="24" t="inlineStr">
        <is>
          <t>cfb_key_number_engine</t>
        </is>
      </c>
      <c r="BC546" s="24" t="inlineStr">
        <is>
          <t>cfb-spread-v1</t>
        </is>
      </c>
      <c r="BD546" s="24" t="inlineStr">
        <is>
          <t>1d168f11d221cd3c</t>
        </is>
      </c>
      <c r="BE546" s="24" t="inlineStr">
        <is>
          <t>cfb-v1</t>
        </is>
      </c>
      <c r="BF546" s="24" t="inlineStr">
        <is>
          <t>1</t>
        </is>
      </c>
      <c r="BG546" s="24" t="inlineStr">
        <is>
          <t>1d168f11d221cd3c</t>
        </is>
      </c>
      <c r="BH546" s="24" t="inlineStr">
        <is>
          <t>2026-09-26T15:01:01.506546+00:00</t>
        </is>
      </c>
      <c r="BI546" s="24" t="inlineStr">
        <is>
          <t>["same_event","same_team_same_day","same_league_same_day"]</t>
        </is>
      </c>
      <c r="BJ546" s="25" t="n">
        <v>28.5</v>
      </c>
      <c r="BK546" s="26" t="n">
        <v>-110</v>
      </c>
      <c r="BL546" s="27" t="n">
        <v>1.909091</v>
      </c>
      <c r="BM546" s="28" t="n">
        <v>0.52381</v>
      </c>
      <c r="BN546" s="28" t="n"/>
      <c r="BO546" s="28" t="n"/>
      <c r="BP546" s="25" t="n"/>
      <c r="BQ546" s="27" t="n"/>
      <c r="BR546" s="28" t="n"/>
      <c r="BS546" s="28" t="n"/>
      <c r="BT546" s="28" t="n"/>
      <c r="BU546" s="25" t="n"/>
      <c r="BV546" s="29" t="n"/>
      <c r="BW546" s="24" t="n"/>
      <c r="BX546" s="30" t="n"/>
      <c r="BY546" s="27" t="n"/>
      <c r="BZ546" s="24" t="n"/>
      <c r="CA546" s="31" t="n"/>
      <c r="CB546" s="24" t="n"/>
      <c r="CC546" s="24" t="n"/>
      <c r="CD546" s="24" t="n"/>
      <c r="CE546" s="24" t="n"/>
      <c r="CF546" s="24" t="n"/>
      <c r="CG546" s="24" t="n"/>
      <c r="CH546" s="24" t="n"/>
      <c r="CI546" s="24" t="n"/>
      <c r="CJ546" s="24" t="n"/>
      <c r="CK546" s="24" t="n"/>
      <c r="CL546" s="24" t="n"/>
      <c r="CM546" s="24" t="n"/>
      <c r="CN546" s="24" t="n"/>
      <c r="CO546" s="24" t="n"/>
      <c r="CP546" s="24" t="n"/>
      <c r="CQ546" s="24" t="n"/>
      <c r="CR546" s="24" t="n"/>
      <c r="CS546" s="24" t="inlineStr">
        <is>
          <t>True</t>
        </is>
      </c>
      <c r="CT546" s="24" t="n"/>
      <c r="CU546" s="24" t="n"/>
      <c r="CV546" s="24" t="n"/>
      <c r="CW546" s="24" t="n"/>
      <c r="CX546" s="24" t="n"/>
      <c r="CY546" s="24" t="n"/>
      <c r="CZ546" s="24" t="n"/>
      <c r="DA546" s="24" t="n"/>
      <c r="DB546" s="24" t="n"/>
      <c r="DC546" s="24" t="n"/>
      <c r="DD546" s="24" t="n"/>
      <c r="DE546" s="24" t="n"/>
      <c r="DF546" s="24" t="n"/>
      <c r="DG546" s="24" t="n"/>
      <c r="DH546" s="24" t="n"/>
      <c r="DI546" s="24" t="n"/>
      <c r="DJ546" s="24" t="inlineStr">
        <is>
          <t>0.52381</t>
        </is>
      </c>
      <c r="DK546" s="24" t="n"/>
      <c r="DL546" s="24" t="n"/>
      <c r="DM546" s="24" t="n"/>
      <c r="DN546" s="24" t="n"/>
      <c r="DO546" s="24" t="n"/>
      <c r="DP546" s="24" t="n"/>
      <c r="DQ546" s="24" t="inlineStr">
        <is>
          <t>{"artifact_hash": "1d168f11d221cd3c", "event_id": "401866426", "event_start_utc": "2026-09-26T19:30Z", "features": {"altitude_fatigue_penalty": 0.0, "away_team": "Robert Morris Colonials", "efficiency_gap": 0.0, "elo_away": 1337.5, "elo_home": 1385.6, "elo_home_win_prob": 0.6572, "event_id": "401866426", "game_start_utc": "2026-09-26T19:30Z", "home_field_advantage_points": 2.8, "home_team": "Buffalo Bulls", "is_dome": false, "is_fbs_vs_fcs": false, "is_neutral_site": false, "projected_away_points": 24.1, "projected_home_points": 28.7, "projected_margin_home": 4.6,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24.1, "mu_home": 28.7,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322642203360423295643679043026790182840}, "uinteger": 0}, "spread_home_line": -28.5, "total_line": 46.5}, "market_type": "spread", "model_version": "cfb-spread-v1", "observed_at_utc": "2026-09-26T15:01:01.506546+00:00", "probabilities": {"away": 0.877533, "home": 0.122467, "push": 0.0}, "replay_scope": "Full precision score means, exact engine parameters and original RNG state; upstream feature construction not certified.", "schema": "cfb-joint-replay-v1", "snapshot_hash": "ff4a72e7e578247a8b728ada48c35b394c5bf9c6725077c6ca5ca4273f400bfd", "sport": "NCAAF"}</t>
        </is>
      </c>
    </row>
    <row r="547" ht="36" customHeight="1">
      <c r="A547" s="24" t="inlineStr">
        <is>
          <t>820d29479b87433e</t>
        </is>
      </c>
      <c r="B547" s="24" t="inlineStr">
        <is>
          <t>2026-09-26T15:01:01.506546Z</t>
        </is>
      </c>
      <c r="C547" s="24" t="inlineStr">
        <is>
          <t>2026-09-26T19:30Z</t>
        </is>
      </c>
      <c r="D547" s="24" t="inlineStr">
        <is>
          <t>401866426</t>
        </is>
      </c>
      <c r="E547" s="24" t="inlineStr">
        <is>
          <t>NCAAF</t>
        </is>
      </c>
      <c r="F547" s="24" t="inlineStr">
        <is>
          <t>Robert Morris Colonials</t>
        </is>
      </c>
      <c r="G547" s="24" t="inlineStr">
        <is>
          <t>Buffalo Bulls</t>
        </is>
      </c>
      <c r="H547" s="24" t="inlineStr">
        <is>
          <t>total</t>
        </is>
      </c>
      <c r="I547" s="24" t="inlineStr">
        <is>
          <t>over</t>
        </is>
      </c>
      <c r="J547" s="25" t="n">
        <v>46.5</v>
      </c>
      <c r="K547" s="24" t="inlineStr">
        <is>
          <t>espn_consensus</t>
        </is>
      </c>
      <c r="L547" s="26" t="n">
        <v>-112</v>
      </c>
      <c r="M547" s="27" t="n">
        <v>1.892857</v>
      </c>
      <c r="N547" s="28" t="n">
        <v>0.528302</v>
      </c>
      <c r="O547" s="28" t="n">
        <v>0.5692</v>
      </c>
      <c r="P547" s="28" t="n">
        <v>0.18</v>
      </c>
      <c r="Q547" s="28" t="n">
        <v>0.040898</v>
      </c>
      <c r="R547" s="26" t="n">
        <v>0</v>
      </c>
      <c r="S547" s="29" t="n">
        <v>1</v>
      </c>
      <c r="T547" s="24" t="inlineStr">
        <is>
          <t>cfb-total-v1</t>
        </is>
      </c>
      <c r="U547" s="24" t="inlineStr">
        <is>
          <t>settled</t>
        </is>
      </c>
      <c r="V547" s="24" t="inlineStr">
        <is>
          <t>win</t>
        </is>
      </c>
      <c r="W547" s="26" t="n">
        <v>28</v>
      </c>
      <c r="X547" s="26" t="n">
        <v>31</v>
      </c>
      <c r="Y547" s="25" t="n"/>
      <c r="Z547" s="26" t="n"/>
      <c r="AA547" s="28" t="n"/>
      <c r="AB547" s="28" t="n"/>
      <c r="AC547" s="30" t="n">
        <v>0.8929</v>
      </c>
      <c r="AD547" s="24" t="inlineStr">
        <is>
          <t>2026-09-27T04:30:45.300742Z</t>
        </is>
      </c>
      <c r="AE547" s="31" t="inlineStr">
        <is>
          <t>Projected total 52.8 pts (Weather adj: +0.0 pts). Total line 46.5 -&gt; P(Over)=0.569, P(Under)=0.431, P(Push)=0.000.</t>
        </is>
      </c>
      <c r="AF547" s="31" t="inlineStr">
        <is>
          <t>College football model; multi-market (moneyline, spread, total).</t>
        </is>
      </c>
      <c r="AG547" s="24" t="inlineStr">
        <is>
          <t>not_applicable</t>
        </is>
      </c>
      <c r="AH547" s="24" t="n"/>
      <c r="AI547" s="31" t="n"/>
      <c r="AJ547" s="31" t="n"/>
      <c r="AK547" s="24" t="inlineStr">
        <is>
          <t>model_qualified</t>
        </is>
      </c>
      <c r="AL547" s="26" t="n">
        <v>4</v>
      </c>
      <c r="AM547" s="24" t="inlineStr">
        <is>
          <t>QUALIFIED_SHADOW_CALL</t>
        </is>
      </c>
      <c r="AN547" s="24" t="inlineStr">
        <is>
          <t>CALL</t>
        </is>
      </c>
      <c r="AO547" s="24" t="inlineStr">
        <is>
          <t>QUALIFIED</t>
        </is>
      </c>
      <c r="AP547" s="24" t="inlineStr">
        <is>
          <t>Robert Morris Colonials</t>
        </is>
      </c>
      <c r="AQ547" s="24" t="inlineStr">
        <is>
          <t>Robert Morris Colonials</t>
        </is>
      </c>
      <c r="AR547" s="24" t="inlineStr">
        <is>
          <t>Robert Morris Colonials</t>
        </is>
      </c>
      <c r="AS547" s="24" t="inlineStr">
        <is>
          <t>Buffalo Bulls</t>
        </is>
      </c>
      <c r="AT547" s="24" t="inlineStr">
        <is>
          <t>Buffalo Bulls</t>
        </is>
      </c>
      <c r="AU547" s="24" t="inlineStr">
        <is>
          <t>Buffalo Bulls</t>
        </is>
      </c>
      <c r="AV547" s="24" t="n"/>
      <c r="AW547" s="24" t="n"/>
      <c r="AX547" s="24" t="inlineStr">
        <is>
          <t>statistical_model</t>
        </is>
      </c>
      <c r="AY547" s="24" t="n"/>
      <c r="AZ547" s="24" t="inlineStr">
        <is>
          <t>shadow_qualified</t>
        </is>
      </c>
      <c r="BA547" s="24" t="inlineStr">
        <is>
          <t>1d168f11d221cd3c</t>
        </is>
      </c>
      <c r="BB547" s="24" t="inlineStr">
        <is>
          <t>cfb_key_number_engine</t>
        </is>
      </c>
      <c r="BC547" s="24" t="inlineStr">
        <is>
          <t>cfb-total-v1</t>
        </is>
      </c>
      <c r="BD547" s="24" t="inlineStr">
        <is>
          <t>1d168f11d221cd3c</t>
        </is>
      </c>
      <c r="BE547" s="24" t="inlineStr">
        <is>
          <t>cfb-v1</t>
        </is>
      </c>
      <c r="BF547" s="24" t="inlineStr">
        <is>
          <t>1</t>
        </is>
      </c>
      <c r="BG547" s="24" t="inlineStr">
        <is>
          <t>1d168f11d221cd3c</t>
        </is>
      </c>
      <c r="BH547" s="24" t="inlineStr">
        <is>
          <t>2026-09-26T15:01:01.506546+00:00</t>
        </is>
      </c>
      <c r="BI547" s="24" t="inlineStr">
        <is>
          <t>["same_event","same_team_same_day","same_league_same_day"]</t>
        </is>
      </c>
      <c r="BJ547" s="25" t="n">
        <v>46.5</v>
      </c>
      <c r="BK547" s="26" t="n">
        <v>-112</v>
      </c>
      <c r="BL547" s="27" t="n">
        <v>1.892857</v>
      </c>
      <c r="BM547" s="28" t="n">
        <v>0.528302</v>
      </c>
      <c r="BN547" s="28" t="n"/>
      <c r="BO547" s="28" t="n"/>
      <c r="BP547" s="25" t="n"/>
      <c r="BQ547" s="27" t="n"/>
      <c r="BR547" s="28" t="n"/>
      <c r="BS547" s="28" t="n"/>
      <c r="BT547" s="28" t="n"/>
      <c r="BU547" s="25" t="n"/>
      <c r="BV547" s="29" t="n"/>
      <c r="BW547" s="24" t="n"/>
      <c r="BX547" s="30" t="n"/>
      <c r="BY547" s="27" t="n"/>
      <c r="BZ547" s="24" t="n"/>
      <c r="CA547" s="31" t="n"/>
      <c r="CB547" s="24" t="n"/>
      <c r="CC547" s="24" t="n"/>
      <c r="CD547" s="24" t="n"/>
      <c r="CE547" s="24" t="n"/>
      <c r="CF547" s="24" t="n"/>
      <c r="CG547" s="24" t="n"/>
      <c r="CH547" s="24" t="n"/>
      <c r="CI547" s="24" t="n"/>
      <c r="CJ547" s="24" t="n"/>
      <c r="CK547" s="24" t="n"/>
      <c r="CL547" s="24" t="n"/>
      <c r="CM547" s="24" t="n"/>
      <c r="CN547" s="24" t="n"/>
      <c r="CO547" s="24" t="n"/>
      <c r="CP547" s="24" t="n"/>
      <c r="CQ547" s="24" t="n"/>
      <c r="CR547" s="24" t="n"/>
      <c r="CS547" s="24" t="inlineStr">
        <is>
          <t>True</t>
        </is>
      </c>
      <c r="CT547" s="24" t="n"/>
      <c r="CU547" s="24" t="n"/>
      <c r="CV547" s="24" t="n"/>
      <c r="CW547" s="24" t="n"/>
      <c r="CX547" s="24" t="n"/>
      <c r="CY547" s="24" t="n"/>
      <c r="CZ547" s="24" t="n"/>
      <c r="DA547" s="24" t="n"/>
      <c r="DB547" s="24" t="n"/>
      <c r="DC547" s="24" t="n"/>
      <c r="DD547" s="24" t="n"/>
      <c r="DE547" s="24" t="n"/>
      <c r="DF547" s="24" t="n"/>
      <c r="DG547" s="24" t="n"/>
      <c r="DH547" s="24" t="n"/>
      <c r="DI547" s="24" t="n"/>
      <c r="DJ547" s="24" t="inlineStr">
        <is>
          <t>0.528302</t>
        </is>
      </c>
      <c r="DK547" s="24" t="n"/>
      <c r="DL547" s="24" t="n"/>
      <c r="DM547" s="24" t="n"/>
      <c r="DN547" s="24" t="n"/>
      <c r="DO547" s="24" t="n"/>
      <c r="DP547" s="24" t="n"/>
      <c r="DQ547" s="24" t="inlineStr">
        <is>
          <t>{"artifact_hash": "1d168f11d221cd3c", "event_id": "401866426", "event_start_utc": "2026-09-26T19:30Z", "features": {"altitude_fatigue_penalty": 0.0, "away_team": "Robert Morris Colonials", "efficiency_gap": 0.0, "elo_away": 1337.5, "elo_home": 1385.6, "elo_home_win_prob": 0.6572, "event_id": "401866426", "game_start_utc": "2026-09-26T19:30Z", "home_field_advantage_points": 2.8, "home_team": "Buffalo Bulls", "is_dome": false, "is_fbs_vs_fcs": false, "is_neutral_site": false, "projected_away_points": 24.1, "projected_home_points": 28.7, "projected_margin_home": 4.6,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24.1, "mu_home": 28.7,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322642203360423295643679043026790182840}, "uinteger": 0}, "spread_home_line": -28.5, "total_line": 46.5}, "market_type": "total", "model_version": "cfb-total-v1", "observed_at_utc": "2026-09-26T15:01:01.506546+00:00", "probabilities": {"over": 0.5692, "push": 0.0, "under": 0.4308}, "replay_scope": "Full precision score means, exact engine parameters and original RNG state; upstream feature construction not certified.", "schema": "cfb-joint-replay-v1", "snapshot_hash": "640f4a44c635369bc32c18dd49b9d176f5992d428afd87c4dc41d4598b40ddb6", "sport": "NCAAF"}</t>
        </is>
      </c>
    </row>
    <row r="548" ht="36" customHeight="1">
      <c r="A548" s="24" t="inlineStr">
        <is>
          <t>00a60f0736ef4fc3</t>
        </is>
      </c>
      <c r="B548" s="24" t="inlineStr">
        <is>
          <t>2026-09-26T15:01:01.506546Z</t>
        </is>
      </c>
      <c r="C548" s="24" t="inlineStr">
        <is>
          <t>2026-09-26T19:30Z</t>
        </is>
      </c>
      <c r="D548" s="24" t="inlineStr">
        <is>
          <t>401866428</t>
        </is>
      </c>
      <c r="E548" s="24" t="inlineStr">
        <is>
          <t>NCAAF</t>
        </is>
      </c>
      <c r="F548" s="24" t="inlineStr">
        <is>
          <t>Stonehill Skyhawks</t>
        </is>
      </c>
      <c r="G548" s="24" t="inlineStr">
        <is>
          <t>Ohio Bobcats</t>
        </is>
      </c>
      <c r="H548" s="24" t="inlineStr">
        <is>
          <t>moneyline</t>
        </is>
      </c>
      <c r="I548" s="24" t="inlineStr">
        <is>
          <t>home</t>
        </is>
      </c>
      <c r="J548" s="25" t="n"/>
      <c r="K548" s="24" t="inlineStr">
        <is>
          <t>espn_consensus</t>
        </is>
      </c>
      <c r="L548" s="26" t="n">
        <v>-5000</v>
      </c>
      <c r="M548" s="27" t="n">
        <v>1.02</v>
      </c>
      <c r="N548" s="28" t="n">
        <v>0.980392</v>
      </c>
      <c r="O548" s="28" t="n">
        <v>0.772464</v>
      </c>
      <c r="P548" s="28" t="n">
        <v>0.18</v>
      </c>
      <c r="Q548" s="28" t="n">
        <v>-0.207928</v>
      </c>
      <c r="R548" s="26" t="n">
        <v>0</v>
      </c>
      <c r="S548" s="29" t="n">
        <v>1</v>
      </c>
      <c r="T548" s="24" t="inlineStr">
        <is>
          <t>college-football-v1</t>
        </is>
      </c>
      <c r="U548" s="24" t="inlineStr">
        <is>
          <t>settled</t>
        </is>
      </c>
      <c r="V548" s="24" t="inlineStr">
        <is>
          <t>win</t>
        </is>
      </c>
      <c r="W548" s="26" t="n">
        <v>7</v>
      </c>
      <c r="X548" s="26" t="n">
        <v>35</v>
      </c>
      <c r="Y548" s="25" t="n"/>
      <c r="Z548" s="26" t="n"/>
      <c r="AA548" s="28" t="n"/>
      <c r="AB548" s="28" t="n"/>
      <c r="AC548" s="30" t="n">
        <v>0.02</v>
      </c>
      <c r="AD548" s="24" t="inlineStr">
        <is>
          <t>2026-09-27T04:30:45.905897Z</t>
        </is>
      </c>
      <c r="AE548" s="31" t="inlineStr">
        <is>
          <t>CFB Joint Model (negative_binomial): proj score Stonehill Skyhawks 19.2 @ Ohio Bobcats 33.4 (Margin +14.1). Possessions: 12.4, HFA: +2.8 pts.</t>
        </is>
      </c>
      <c r="AF548" s="31" t="inlineStr">
        <is>
          <t>College football model; multi-market (moneyline, spread, total).</t>
        </is>
      </c>
      <c r="AG548" s="24" t="inlineStr">
        <is>
          <t>not_applicable</t>
        </is>
      </c>
      <c r="AH548" s="24" t="n"/>
      <c r="AI548" s="31" t="n"/>
      <c r="AJ548" s="31" t="n"/>
      <c r="AK548" s="24" t="inlineStr">
        <is>
          <t>paper_call</t>
        </is>
      </c>
      <c r="AL548" s="26" t="n">
        <v>4</v>
      </c>
      <c r="AM548" s="24" t="inlineStr">
        <is>
          <t>RESEARCH_OBSERVATION</t>
        </is>
      </c>
      <c r="AN548" s="24" t="inlineStr">
        <is>
          <t>CALL</t>
        </is>
      </c>
      <c r="AO548" s="24" t="inlineStr">
        <is>
          <t>PAPER_CALL_LOW_EDGE</t>
        </is>
      </c>
      <c r="AP548" s="24" t="inlineStr">
        <is>
          <t>Stonehill Skyhawks</t>
        </is>
      </c>
      <c r="AQ548" s="24" t="inlineStr">
        <is>
          <t>Stonehill Skyhawks</t>
        </is>
      </c>
      <c r="AR548" s="24" t="inlineStr">
        <is>
          <t>Stonehill Skyhawks</t>
        </is>
      </c>
      <c r="AS548" s="24" t="inlineStr">
        <is>
          <t>Ohio Bobcats</t>
        </is>
      </c>
      <c r="AT548" s="24" t="inlineStr">
        <is>
          <t>Ohio Bobcats</t>
        </is>
      </c>
      <c r="AU548" s="24" t="inlineStr">
        <is>
          <t>Ohio Bobcats</t>
        </is>
      </c>
      <c r="AV548" s="24" t="n"/>
      <c r="AW548" s="24" t="n"/>
      <c r="AX548" s="24" t="inlineStr">
        <is>
          <t>statistical_model</t>
        </is>
      </c>
      <c r="AY548" s="24" t="n"/>
      <c r="AZ548" s="24" t="inlineStr">
        <is>
          <t>shadow_qualified</t>
        </is>
      </c>
      <c r="BA548" s="24" t="inlineStr">
        <is>
          <t>1d168f11d221cd3c</t>
        </is>
      </c>
      <c r="BB548" s="24" t="inlineStr">
        <is>
          <t>cfb_key_number_engine</t>
        </is>
      </c>
      <c r="BC548" s="24" t="inlineStr">
        <is>
          <t>college-football-v1</t>
        </is>
      </c>
      <c r="BD548" s="24" t="inlineStr">
        <is>
          <t>1d168f11d221cd3c</t>
        </is>
      </c>
      <c r="BE548" s="24" t="inlineStr">
        <is>
          <t>cfb-v1</t>
        </is>
      </c>
      <c r="BF548" s="24" t="inlineStr">
        <is>
          <t>1</t>
        </is>
      </c>
      <c r="BG548" s="24" t="inlineStr">
        <is>
          <t>1d168f11d221cd3c</t>
        </is>
      </c>
      <c r="BH548" s="24" t="inlineStr">
        <is>
          <t>2026-09-26T15:01:01.506546+00:00</t>
        </is>
      </c>
      <c r="BI548" s="24" t="inlineStr">
        <is>
          <t>["same_event","same_team_same_day","same_league_same_day"]</t>
        </is>
      </c>
      <c r="BJ548" s="25" t="n"/>
      <c r="BK548" s="26" t="n">
        <v>-5000</v>
      </c>
      <c r="BL548" s="27" t="n">
        <v>1.02</v>
      </c>
      <c r="BM548" s="28" t="n">
        <v>0.980392</v>
      </c>
      <c r="BN548" s="28" t="n"/>
      <c r="BO548" s="28" t="n"/>
      <c r="BP548" s="25" t="n"/>
      <c r="BQ548" s="27" t="n"/>
      <c r="BR548" s="28" t="n"/>
      <c r="BS548" s="28" t="n"/>
      <c r="BT548" s="28" t="n"/>
      <c r="BU548" s="25" t="n"/>
      <c r="BV548" s="29" t="n"/>
      <c r="BW548" s="24" t="n"/>
      <c r="BX548" s="30" t="n">
        <v>1</v>
      </c>
      <c r="BY548" s="27" t="n">
        <v>0.02</v>
      </c>
      <c r="BZ548" s="24" t="inlineStr">
        <is>
          <t>2026-09-27T04:30:45.905897Z</t>
        </is>
      </c>
      <c r="CA548" s="31" t="inlineStr">
        <is>
          <t>fixed one-unit hypothetical scoring; no real exposure or execution</t>
        </is>
      </c>
      <c r="CB548" s="24" t="n"/>
      <c r="CC548" s="24" t="n"/>
      <c r="CD548" s="24" t="n"/>
      <c r="CE548" s="24" t="n"/>
      <c r="CF548" s="24" t="n"/>
      <c r="CG548" s="24" t="n"/>
      <c r="CH548" s="24" t="n"/>
      <c r="CI548" s="24" t="n"/>
      <c r="CJ548" s="24" t="n"/>
      <c r="CK548" s="24" t="n"/>
      <c r="CL548" s="24" t="n"/>
      <c r="CM548" s="24" t="n"/>
      <c r="CN548" s="24" t="n"/>
      <c r="CO548" s="24" t="n"/>
      <c r="CP548" s="24" t="n"/>
      <c r="CQ548" s="24" t="n"/>
      <c r="CR548" s="24" t="n"/>
      <c r="CS548" s="24" t="inlineStr">
        <is>
          <t>False</t>
        </is>
      </c>
      <c r="CT548" s="24" t="n"/>
      <c r="CU548" s="24" t="n"/>
      <c r="CV548" s="24" t="n"/>
      <c r="CW548" s="24" t="n"/>
      <c r="CX548" s="24" t="n"/>
      <c r="CY548" s="24" t="n"/>
      <c r="CZ548" s="24" t="n"/>
      <c r="DA548" s="24" t="n"/>
      <c r="DB548" s="24" t="n"/>
      <c r="DC548" s="24" t="n"/>
      <c r="DD548" s="24" t="n"/>
      <c r="DE548" s="24" t="n"/>
      <c r="DF548" s="24" t="n"/>
      <c r="DG548" s="24" t="n"/>
      <c r="DH548" s="24" t="n"/>
      <c r="DI548" s="24" t="n"/>
      <c r="DJ548" s="24" t="inlineStr">
        <is>
          <t>0.980392</t>
        </is>
      </c>
      <c r="DK548" s="24" t="n"/>
      <c r="DL548" s="24" t="n"/>
      <c r="DM548" s="24" t="n"/>
      <c r="DN548" s="24" t="n"/>
      <c r="DO548" s="24" t="n"/>
      <c r="DP548" s="24" t="n"/>
      <c r="DQ548" s="24" t="inlineStr">
        <is>
          <t>{"artifact_hash": "1d168f11d221cd3c", "event_id": "401866428", "event_start_utc": "2026-09-26T19:30Z", "features": {"altitude_fatigue_penalty": 0.0, "away_team": "Stonehill Skyhawks", "efficiency_gap": -0.832, "elo_away": 1337.5, "elo_home": 1618.6, "elo_home_win_prob": 0.88, "event_id": "401866428", "game_start_utc": "2026-09-26T19:30Z", "home_field_advantage_points": 2.8, "home_team": "Ohio Bobcats", "is_dome": false, "is_fbs_vs_fcs": false, "is_neutral_site": false, "projected_away_points": 19.2, "projected_home_points": 33.4, "projected_margin_home": 14.1,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19.2,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263521933870925910034573086699059787194}, "uinteger": 0}, "spread_home_line": -32.5, "total_line": 53.5}, "market_type": "moneyline", "model_version": "college-football-v1", "observed_at_utc": "2026-09-26T15:01:01.506546+00:00", "probabilities": {"away": 0.227536, "home": 0.772464}, "replay_scope": "Full precision score means, exact engine parameters and original RNG state; upstream feature construction not certified.", "schema": "cfb-joint-replay-v1", "snapshot_hash": "832911fdc9530f42735b087409996d3a2bb3486e28661bb50ef093126179cdc9", "sport": "NCAAF"}</t>
        </is>
      </c>
    </row>
    <row r="549" ht="36" customHeight="1">
      <c r="A549" s="24" t="inlineStr">
        <is>
          <t>10c772cd1df84feb</t>
        </is>
      </c>
      <c r="B549" s="24" t="inlineStr">
        <is>
          <t>2026-09-26T15:01:01.506546Z</t>
        </is>
      </c>
      <c r="C549" s="24" t="inlineStr">
        <is>
          <t>2026-09-26T19:30Z</t>
        </is>
      </c>
      <c r="D549" s="24" t="inlineStr">
        <is>
          <t>401866428</t>
        </is>
      </c>
      <c r="E549" s="24" t="inlineStr">
        <is>
          <t>NCAAF</t>
        </is>
      </c>
      <c r="F549" s="24" t="inlineStr">
        <is>
          <t>Stonehill Skyhawks</t>
        </is>
      </c>
      <c r="G549" s="24" t="inlineStr">
        <is>
          <t>Ohio Bobcats</t>
        </is>
      </c>
      <c r="H549" s="24" t="inlineStr">
        <is>
          <t>spread</t>
        </is>
      </c>
      <c r="I549" s="24" t="inlineStr">
        <is>
          <t>away</t>
        </is>
      </c>
      <c r="J549" s="25" t="n">
        <v>32.5</v>
      </c>
      <c r="K549" s="24" t="inlineStr">
        <is>
          <t>espn_consensus</t>
        </is>
      </c>
      <c r="L549" s="26" t="n">
        <v>-108</v>
      </c>
      <c r="M549" s="27" t="n">
        <v>1.925926</v>
      </c>
      <c r="N549" s="28" t="n">
        <v>0.519231</v>
      </c>
      <c r="O549" s="28" t="n">
        <v>0.824867</v>
      </c>
      <c r="P549" s="28" t="n">
        <v>0.18</v>
      </c>
      <c r="Q549" s="28" t="n">
        <v>0.305636</v>
      </c>
      <c r="R549" s="26" t="n">
        <v>95</v>
      </c>
      <c r="S549" s="29" t="n">
        <v>1.75</v>
      </c>
      <c r="T549" s="24" t="inlineStr">
        <is>
          <t>cfb-spread-v1</t>
        </is>
      </c>
      <c r="U549" s="24" t="inlineStr">
        <is>
          <t>settled</t>
        </is>
      </c>
      <c r="V549" s="24" t="inlineStr">
        <is>
          <t>win</t>
        </is>
      </c>
      <c r="W549" s="26" t="n">
        <v>7</v>
      </c>
      <c r="X549" s="26" t="n">
        <v>35</v>
      </c>
      <c r="Y549" s="25" t="n"/>
      <c r="Z549" s="26" t="n"/>
      <c r="AA549" s="28" t="n"/>
      <c r="AB549" s="28" t="n"/>
      <c r="AC549" s="30" t="n">
        <v>1.6204</v>
      </c>
      <c r="AD549" s="24" t="inlineStr">
        <is>
          <t>2026-09-27T04:30:46.413648Z</t>
        </is>
      </c>
      <c r="AE549" s="31" t="inlineStr">
        <is>
          <t>Projected home margin +14.1 pts. Spread: Home -32.5 / Away +32.5 -&gt; P(Away cover)=0.825, P(Home cover)=0.175, P(Push)=0.000.</t>
        </is>
      </c>
      <c r="AF549" s="31" t="inlineStr">
        <is>
          <t>College football model; multi-market (moneyline, spread, total).</t>
        </is>
      </c>
      <c r="AG549" s="24" t="inlineStr">
        <is>
          <t>not_applicable</t>
        </is>
      </c>
      <c r="AH549" s="24" t="n"/>
      <c r="AI549" s="31" t="n"/>
      <c r="AJ549" s="31" t="n"/>
      <c r="AK549" s="24" t="inlineStr">
        <is>
          <t>model_qualified</t>
        </is>
      </c>
      <c r="AL549" s="26" t="n">
        <v>4</v>
      </c>
      <c r="AM549" s="24" t="inlineStr">
        <is>
          <t>QUALIFIED_SHADOW_CALL</t>
        </is>
      </c>
      <c r="AN549" s="24" t="inlineStr">
        <is>
          <t>CALL</t>
        </is>
      </c>
      <c r="AO549" s="24" t="inlineStr">
        <is>
          <t>QUALIFIED</t>
        </is>
      </c>
      <c r="AP549" s="24" t="inlineStr">
        <is>
          <t>Stonehill Skyhawks</t>
        </is>
      </c>
      <c r="AQ549" s="24" t="inlineStr">
        <is>
          <t>Stonehill Skyhawks</t>
        </is>
      </c>
      <c r="AR549" s="24" t="inlineStr">
        <is>
          <t>Stonehill Skyhawks</t>
        </is>
      </c>
      <c r="AS549" s="24" t="inlineStr">
        <is>
          <t>Ohio Bobcats</t>
        </is>
      </c>
      <c r="AT549" s="24" t="inlineStr">
        <is>
          <t>Ohio Bobcats</t>
        </is>
      </c>
      <c r="AU549" s="24" t="inlineStr">
        <is>
          <t>Ohio Bobcats</t>
        </is>
      </c>
      <c r="AV549" s="24" t="n"/>
      <c r="AW549" s="24" t="n"/>
      <c r="AX549" s="24" t="inlineStr">
        <is>
          <t>statistical_model</t>
        </is>
      </c>
      <c r="AY549" s="24" t="n"/>
      <c r="AZ549" s="24" t="inlineStr">
        <is>
          <t>shadow_qualified</t>
        </is>
      </c>
      <c r="BA549" s="24" t="inlineStr">
        <is>
          <t>1d168f11d221cd3c</t>
        </is>
      </c>
      <c r="BB549" s="24" t="inlineStr">
        <is>
          <t>cfb_key_number_engine</t>
        </is>
      </c>
      <c r="BC549" s="24" t="inlineStr">
        <is>
          <t>cfb-spread-v1</t>
        </is>
      </c>
      <c r="BD549" s="24" t="inlineStr">
        <is>
          <t>1d168f11d221cd3c</t>
        </is>
      </c>
      <c r="BE549" s="24" t="inlineStr">
        <is>
          <t>cfb-v1</t>
        </is>
      </c>
      <c r="BF549" s="24" t="inlineStr">
        <is>
          <t>1</t>
        </is>
      </c>
      <c r="BG549" s="24" t="inlineStr">
        <is>
          <t>1d168f11d221cd3c</t>
        </is>
      </c>
      <c r="BH549" s="24" t="inlineStr">
        <is>
          <t>2026-09-26T15:01:01.506546+00:00</t>
        </is>
      </c>
      <c r="BI549" s="24" t="inlineStr">
        <is>
          <t>["same_event","same_team_same_day","same_league_same_day"]</t>
        </is>
      </c>
      <c r="BJ549" s="25" t="n">
        <v>32.5</v>
      </c>
      <c r="BK549" s="26" t="n">
        <v>-108</v>
      </c>
      <c r="BL549" s="27" t="n">
        <v>1.925926</v>
      </c>
      <c r="BM549" s="28" t="n">
        <v>0.519231</v>
      </c>
      <c r="BN549" s="28" t="n"/>
      <c r="BO549" s="28" t="n"/>
      <c r="BP549" s="25" t="n"/>
      <c r="BQ549" s="27" t="n"/>
      <c r="BR549" s="28" t="n"/>
      <c r="BS549" s="28" t="n"/>
      <c r="BT549" s="28" t="n"/>
      <c r="BU549" s="25" t="n"/>
      <c r="BV549" s="29" t="n"/>
      <c r="BW549" s="24" t="n"/>
      <c r="BX549" s="30" t="n"/>
      <c r="BY549" s="27" t="n"/>
      <c r="BZ549" s="24" t="n"/>
      <c r="CA549" s="31" t="n"/>
      <c r="CB549" s="24" t="n"/>
      <c r="CC549" s="24" t="n"/>
      <c r="CD549" s="24" t="n"/>
      <c r="CE549" s="24" t="n"/>
      <c r="CF549" s="24" t="n"/>
      <c r="CG549" s="24" t="n"/>
      <c r="CH549" s="24" t="n"/>
      <c r="CI549" s="24" t="n"/>
      <c r="CJ549" s="24" t="n"/>
      <c r="CK549" s="24" t="n"/>
      <c r="CL549" s="24" t="n"/>
      <c r="CM549" s="24" t="n"/>
      <c r="CN549" s="24" t="n"/>
      <c r="CO549" s="24" t="n"/>
      <c r="CP549" s="24" t="n"/>
      <c r="CQ549" s="24" t="n"/>
      <c r="CR549" s="24" t="n"/>
      <c r="CS549" s="24" t="inlineStr">
        <is>
          <t>True</t>
        </is>
      </c>
      <c r="CT549" s="24" t="n"/>
      <c r="CU549" s="24" t="n"/>
      <c r="CV549" s="24" t="n"/>
      <c r="CW549" s="24" t="n"/>
      <c r="CX549" s="24" t="n"/>
      <c r="CY549" s="24" t="n"/>
      <c r="CZ549" s="24" t="n"/>
      <c r="DA549" s="24" t="n"/>
      <c r="DB549" s="24" t="n"/>
      <c r="DC549" s="24" t="n"/>
      <c r="DD549" s="24" t="n"/>
      <c r="DE549" s="24" t="n"/>
      <c r="DF549" s="24" t="n"/>
      <c r="DG549" s="24" t="n"/>
      <c r="DH549" s="24" t="n"/>
      <c r="DI549" s="24" t="n"/>
      <c r="DJ549" s="24" t="inlineStr">
        <is>
          <t>0.519231</t>
        </is>
      </c>
      <c r="DK549" s="24" t="n"/>
      <c r="DL549" s="24" t="n"/>
      <c r="DM549" s="24" t="n"/>
      <c r="DN549" s="24" t="n"/>
      <c r="DO549" s="24" t="n"/>
      <c r="DP549" s="24" t="n"/>
      <c r="DQ549" s="24" t="inlineStr">
        <is>
          <t>{"artifact_hash": "1d168f11d221cd3c", "event_id": "401866428", "event_start_utc": "2026-09-26T19:30Z", "features": {"altitude_fatigue_penalty": 0.0, "away_team": "Stonehill Skyhawks", "efficiency_gap": -0.832, "elo_away": 1337.5, "elo_home": 1618.6, "elo_home_win_prob": 0.88, "event_id": "401866428", "game_start_utc": "2026-09-26T19:30Z", "home_field_advantage_points": 2.8, "home_team": "Ohio Bobcats", "is_dome": false, "is_fbs_vs_fcs": false, "is_neutral_site": false, "projected_away_points": 19.2, "projected_home_points": 33.4, "projected_margin_home": 14.1,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19.2,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263521933870925910034573086699059787194}, "uinteger": 0}, "spread_home_line": -32.5, "total_line": 53.5}, "market_type": "spread", "model_version": "cfb-spread-v1", "observed_at_utc": "2026-09-26T15:01:01.506546+00:00", "probabilities": {"away": 0.824867, "home": 0.175133, "push": 0.0}, "replay_scope": "Full precision score means, exact engine parameters and original RNG state; upstream feature construction not certified.", "schema": "cfb-joint-replay-v1", "snapshot_hash": "2ea554be1112930dc29deacb4406abf3e0b4a88419da0721335ce50492e0c399", "sport": "NCAAF"}</t>
        </is>
      </c>
    </row>
    <row r="550" ht="36" customHeight="1">
      <c r="A550" s="24" t="inlineStr">
        <is>
          <t>4cb95f27d9a941a3</t>
        </is>
      </c>
      <c r="B550" s="24" t="inlineStr">
        <is>
          <t>2026-09-26T15:01:01.506546Z</t>
        </is>
      </c>
      <c r="C550" s="24" t="inlineStr">
        <is>
          <t>2026-09-26T19:30Z</t>
        </is>
      </c>
      <c r="D550" s="24" t="inlineStr">
        <is>
          <t>401866428</t>
        </is>
      </c>
      <c r="E550" s="24" t="inlineStr">
        <is>
          <t>NCAAF</t>
        </is>
      </c>
      <c r="F550" s="24" t="inlineStr">
        <is>
          <t>Stonehill Skyhawks</t>
        </is>
      </c>
      <c r="G550" s="24" t="inlineStr">
        <is>
          <t>Ohio Bobcats</t>
        </is>
      </c>
      <c r="H550" s="24" t="inlineStr">
        <is>
          <t>total</t>
        </is>
      </c>
      <c r="I550" s="24" t="inlineStr">
        <is>
          <t>under</t>
        </is>
      </c>
      <c r="J550" s="25" t="n">
        <v>53.5</v>
      </c>
      <c r="K550" s="24" t="inlineStr">
        <is>
          <t>espn_consensus</t>
        </is>
      </c>
      <c r="L550" s="26" t="n">
        <v>-110</v>
      </c>
      <c r="M550" s="27" t="n">
        <v>1.909091</v>
      </c>
      <c r="N550" s="28" t="n">
        <v>0.52381</v>
      </c>
      <c r="O550" s="28" t="n">
        <v>0.540733</v>
      </c>
      <c r="P550" s="28" t="n">
        <v>0.18</v>
      </c>
      <c r="Q550" s="28" t="n">
        <v>0.016923</v>
      </c>
      <c r="R550" s="26" t="n">
        <v>0</v>
      </c>
      <c r="S550" s="29" t="n">
        <v>1</v>
      </c>
      <c r="T550" s="24" t="inlineStr">
        <is>
          <t>cfb-total-v1</t>
        </is>
      </c>
      <c r="U550" s="24" t="inlineStr">
        <is>
          <t>settled</t>
        </is>
      </c>
      <c r="V550" s="24" t="inlineStr">
        <is>
          <t>win</t>
        </is>
      </c>
      <c r="W550" s="26" t="n">
        <v>7</v>
      </c>
      <c r="X550" s="26" t="n">
        <v>35</v>
      </c>
      <c r="Y550" s="25" t="n"/>
      <c r="Z550" s="26" t="n"/>
      <c r="AA550" s="28" t="n"/>
      <c r="AB550" s="28" t="n"/>
      <c r="AC550" s="30" t="n">
        <v>0.9091</v>
      </c>
      <c r="AD550" s="24" t="inlineStr">
        <is>
          <t>2026-09-27T04:30:47.045038Z</t>
        </is>
      </c>
      <c r="AE550" s="31" t="inlineStr">
        <is>
          <t>Projected total 52.6 pts (Weather adj: +0.0 pts). Total line 53.5 -&gt; P(Over)=0.459, P(Under)=0.541, P(Push)=0.000.</t>
        </is>
      </c>
      <c r="AF550" s="31" t="inlineStr">
        <is>
          <t>College football model; multi-market (moneyline, spread, total).</t>
        </is>
      </c>
      <c r="AG550" s="24" t="inlineStr">
        <is>
          <t>not_applicable</t>
        </is>
      </c>
      <c r="AH550" s="24" t="n"/>
      <c r="AI550" s="31" t="n"/>
      <c r="AJ550" s="31" t="n"/>
      <c r="AK550" s="24" t="inlineStr">
        <is>
          <t>paper_call</t>
        </is>
      </c>
      <c r="AL550" s="26" t="n">
        <v>4</v>
      </c>
      <c r="AM550" s="24" t="inlineStr">
        <is>
          <t>RESEARCH_OBSERVATION</t>
        </is>
      </c>
      <c r="AN550" s="24" t="inlineStr">
        <is>
          <t>CALL</t>
        </is>
      </c>
      <c r="AO550" s="24" t="inlineStr">
        <is>
          <t>PAPER_CALL_LOW_EDGE</t>
        </is>
      </c>
      <c r="AP550" s="24" t="inlineStr">
        <is>
          <t>Stonehill Skyhawks</t>
        </is>
      </c>
      <c r="AQ550" s="24" t="inlineStr">
        <is>
          <t>Stonehill Skyhawks</t>
        </is>
      </c>
      <c r="AR550" s="24" t="inlineStr">
        <is>
          <t>Stonehill Skyhawks</t>
        </is>
      </c>
      <c r="AS550" s="24" t="inlineStr">
        <is>
          <t>Ohio Bobcats</t>
        </is>
      </c>
      <c r="AT550" s="24" t="inlineStr">
        <is>
          <t>Ohio Bobcats</t>
        </is>
      </c>
      <c r="AU550" s="24" t="inlineStr">
        <is>
          <t>Ohio Bobcats</t>
        </is>
      </c>
      <c r="AV550" s="24" t="n"/>
      <c r="AW550" s="24" t="n"/>
      <c r="AX550" s="24" t="inlineStr">
        <is>
          <t>statistical_model</t>
        </is>
      </c>
      <c r="AY550" s="24" t="n"/>
      <c r="AZ550" s="24" t="inlineStr">
        <is>
          <t>shadow_qualified</t>
        </is>
      </c>
      <c r="BA550" s="24" t="inlineStr">
        <is>
          <t>1d168f11d221cd3c</t>
        </is>
      </c>
      <c r="BB550" s="24" t="inlineStr">
        <is>
          <t>cfb_key_number_engine</t>
        </is>
      </c>
      <c r="BC550" s="24" t="inlineStr">
        <is>
          <t>cfb-total-v1</t>
        </is>
      </c>
      <c r="BD550" s="24" t="inlineStr">
        <is>
          <t>1d168f11d221cd3c</t>
        </is>
      </c>
      <c r="BE550" s="24" t="inlineStr">
        <is>
          <t>cfb-v1</t>
        </is>
      </c>
      <c r="BF550" s="24" t="inlineStr">
        <is>
          <t>1</t>
        </is>
      </c>
      <c r="BG550" s="24" t="inlineStr">
        <is>
          <t>1d168f11d221cd3c</t>
        </is>
      </c>
      <c r="BH550" s="24" t="inlineStr">
        <is>
          <t>2026-09-26T15:01:01.506546+00:00</t>
        </is>
      </c>
      <c r="BI550" s="24" t="inlineStr">
        <is>
          <t>["same_event","same_team_same_day","same_league_same_day"]</t>
        </is>
      </c>
      <c r="BJ550" s="25" t="n">
        <v>53.5</v>
      </c>
      <c r="BK550" s="26" t="n">
        <v>-110</v>
      </c>
      <c r="BL550" s="27" t="n">
        <v>1.909091</v>
      </c>
      <c r="BM550" s="28" t="n">
        <v>0.52381</v>
      </c>
      <c r="BN550" s="28" t="n"/>
      <c r="BO550" s="28" t="n"/>
      <c r="BP550" s="25" t="n"/>
      <c r="BQ550" s="27" t="n"/>
      <c r="BR550" s="28" t="n"/>
      <c r="BS550" s="28" t="n"/>
      <c r="BT550" s="28" t="n"/>
      <c r="BU550" s="25" t="n"/>
      <c r="BV550" s="29" t="n"/>
      <c r="BW550" s="24" t="n"/>
      <c r="BX550" s="30" t="n">
        <v>1</v>
      </c>
      <c r="BY550" s="27" t="n">
        <v>0.909091</v>
      </c>
      <c r="BZ550" s="24" t="inlineStr">
        <is>
          <t>2026-09-27T04:30:47.045038Z</t>
        </is>
      </c>
      <c r="CA550" s="31" t="inlineStr">
        <is>
          <t>fixed one-unit hypothetical scoring; no real exposure or execution</t>
        </is>
      </c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inlineStr">
        <is>
          <t>True</t>
        </is>
      </c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n"/>
      <c r="DE550" s="24" t="n"/>
      <c r="DF550" s="24" t="n"/>
      <c r="DG550" s="24" t="n"/>
      <c r="DH550" s="24" t="n"/>
      <c r="DI550" s="24" t="n"/>
      <c r="DJ550" s="24" t="inlineStr">
        <is>
          <t>0.52381</t>
        </is>
      </c>
      <c r="DK550" s="24" t="n"/>
      <c r="DL550" s="24" t="n"/>
      <c r="DM550" s="24" t="n"/>
      <c r="DN550" s="24" t="n"/>
      <c r="DO550" s="24" t="n"/>
      <c r="DP550" s="24" t="n"/>
      <c r="DQ550" s="24" t="inlineStr">
        <is>
          <t>{"artifact_hash": "1d168f11d221cd3c", "event_id": "401866428", "event_start_utc": "2026-09-26T19:30Z", "features": {"altitude_fatigue_penalty": 0.0, "away_team": "Stonehill Skyhawks", "efficiency_gap": -0.832, "elo_away": 1337.5, "elo_home": 1618.6, "elo_home_win_prob": 0.88, "event_id": "401866428", "game_start_utc": "2026-09-26T19:30Z", "home_field_advantage_points": 2.8, "home_team": "Ohio Bobcats", "is_dome": false, "is_fbs_vs_fcs": false, "is_neutral_site": false, "projected_away_points": 19.2, "projected_home_points": 33.4, "projected_margin_home": 14.1, "projected_possessions": 12.4, "projected_total": 52.6,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19.2,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263521933870925910034573086699059787194}, "uinteger": 0}, "spread_home_line": -32.5, "total_line": 53.5}, "market_type": "total", "model_version": "cfb-total-v1", "observed_at_utc": "2026-09-26T15:01:01.506546+00:00", "probabilities": {"over": 0.459267, "push": 0.0, "under": 0.540733}, "replay_scope": "Full precision score means, exact engine parameters and original RNG state; upstream feature construction not certified.", "schema": "cfb-joint-replay-v1", "snapshot_hash": "75c4bc74cfcc29dae953d7bee17dc05fb6c67a19aa4f1f56659fc678ab8b9ca1", "sport": "NCAAF"}</t>
        </is>
      </c>
    </row>
    <row r="551" ht="36" customHeight="1">
      <c r="A551" s="24" t="inlineStr">
        <is>
          <t>d4562ba805cb4e32</t>
        </is>
      </c>
      <c r="B551" s="24" t="inlineStr">
        <is>
          <t>2026-09-26T15:01:01.506546Z</t>
        </is>
      </c>
      <c r="C551" s="24" t="inlineStr">
        <is>
          <t>2026-09-26T19:30Z</t>
        </is>
      </c>
      <c r="D551" s="24" t="inlineStr">
        <is>
          <t>401868188</t>
        </is>
      </c>
      <c r="E551" s="24" t="inlineStr">
        <is>
          <t>NCAAF</t>
        </is>
      </c>
      <c r="F551" s="24" t="inlineStr">
        <is>
          <t>Gardner-Webb Runnin' Bulldogs</t>
        </is>
      </c>
      <c r="G551" s="24" t="inlineStr">
        <is>
          <t>Marshall Thundering Herd</t>
        </is>
      </c>
      <c r="H551" s="24" t="inlineStr">
        <is>
          <t>moneyline</t>
        </is>
      </c>
      <c r="I551" s="24" t="inlineStr">
        <is>
          <t>home</t>
        </is>
      </c>
      <c r="J551" s="25" t="n"/>
      <c r="K551" s="24" t="inlineStr">
        <is>
          <t>espn_consensus</t>
        </is>
      </c>
      <c r="L551" s="26" t="n">
        <v>-2100</v>
      </c>
      <c r="M551" s="27" t="n">
        <v>1.047619</v>
      </c>
      <c r="N551" s="28" t="n">
        <v>0.954545</v>
      </c>
      <c r="O551" s="28" t="n">
        <v>0.600712</v>
      </c>
      <c r="P551" s="28" t="n">
        <v>0.18</v>
      </c>
      <c r="Q551" s="28" t="n">
        <v>-0.353833</v>
      </c>
      <c r="R551" s="26" t="n">
        <v>0</v>
      </c>
      <c r="S551" s="29" t="n">
        <v>1</v>
      </c>
      <c r="T551" s="24" t="inlineStr">
        <is>
          <t>college-football-v1</t>
        </is>
      </c>
      <c r="U551" s="24" t="inlineStr">
        <is>
          <t>settled</t>
        </is>
      </c>
      <c r="V551" s="24" t="inlineStr">
        <is>
          <t>win</t>
        </is>
      </c>
      <c r="W551" s="26" t="n">
        <v>35</v>
      </c>
      <c r="X551" s="26" t="n">
        <v>36</v>
      </c>
      <c r="Y551" s="25" t="n"/>
      <c r="Z551" s="26" t="n"/>
      <c r="AA551" s="28" t="n"/>
      <c r="AB551" s="28" t="n"/>
      <c r="AC551" s="30" t="n">
        <v>0.0476</v>
      </c>
      <c r="AD551" s="24" t="inlineStr">
        <is>
          <t>2026-09-27T04:30:47.621622Z</t>
        </is>
      </c>
      <c r="AE551" s="31" t="inlineStr">
        <is>
          <t>CFB Joint Model (negative_binomial): proj score Gardner-Webb Runnin' Bulldogs 23.4 @ Marshall Thundering Herd 28.2 (Margin +4.8). Possessions: 12.4, HFA: +2.8 pts.</t>
        </is>
      </c>
      <c r="AF551" s="31" t="inlineStr">
        <is>
          <t>College football model; multi-market (moneyline, spread, total).</t>
        </is>
      </c>
      <c r="AG551" s="24" t="inlineStr">
        <is>
          <t>not_applicable</t>
        </is>
      </c>
      <c r="AH551" s="24" t="n"/>
      <c r="AI551" s="31" t="n"/>
      <c r="AJ551" s="31" t="n"/>
      <c r="AK551" s="24" t="inlineStr">
        <is>
          <t>paper_call</t>
        </is>
      </c>
      <c r="AL551" s="26" t="n">
        <v>4</v>
      </c>
      <c r="AM551" s="24" t="inlineStr">
        <is>
          <t>RESEARCH_OBSERVATION</t>
        </is>
      </c>
      <c r="AN551" s="24" t="inlineStr">
        <is>
          <t>CALL</t>
        </is>
      </c>
      <c r="AO551" s="24" t="inlineStr">
        <is>
          <t>PAPER_CALL_LOW_EDGE</t>
        </is>
      </c>
      <c r="AP551" s="24" t="inlineStr">
        <is>
          <t>Gardner-Webb Runnin' Bulldogs</t>
        </is>
      </c>
      <c r="AQ551" s="24" t="inlineStr">
        <is>
          <t>Gardner-Webb Runnin' Bulldogs</t>
        </is>
      </c>
      <c r="AR551" s="24" t="inlineStr">
        <is>
          <t>Gardner-Webb Runnin' Bulldogs</t>
        </is>
      </c>
      <c r="AS551" s="24" t="inlineStr">
        <is>
          <t>Marshall Thundering Herd</t>
        </is>
      </c>
      <c r="AT551" s="24" t="inlineStr">
        <is>
          <t>Marshall Thundering Herd</t>
        </is>
      </c>
      <c r="AU551" s="24" t="inlineStr">
        <is>
          <t>Marshall Thundering Herd</t>
        </is>
      </c>
      <c r="AV551" s="24" t="n"/>
      <c r="AW551" s="24" t="n"/>
      <c r="AX551" s="24" t="inlineStr">
        <is>
          <t>statistical_model</t>
        </is>
      </c>
      <c r="AY551" s="24" t="n"/>
      <c r="AZ551" s="24" t="inlineStr">
        <is>
          <t>shadow_qualified</t>
        </is>
      </c>
      <c r="BA551" s="24" t="inlineStr">
        <is>
          <t>1d168f11d221cd3c</t>
        </is>
      </c>
      <c r="BB551" s="24" t="inlineStr">
        <is>
          <t>cfb_key_number_engine</t>
        </is>
      </c>
      <c r="BC551" s="24" t="inlineStr">
        <is>
          <t>college-football-v1</t>
        </is>
      </c>
      <c r="BD551" s="24" t="inlineStr">
        <is>
          <t>1d168f11d221cd3c</t>
        </is>
      </c>
      <c r="BE551" s="24" t="inlineStr">
        <is>
          <t>cfb-v1</t>
        </is>
      </c>
      <c r="BF551" s="24" t="inlineStr">
        <is>
          <t>1</t>
        </is>
      </c>
      <c r="BG551" s="24" t="inlineStr">
        <is>
          <t>1d168f11d221cd3c</t>
        </is>
      </c>
      <c r="BH551" s="24" t="inlineStr">
        <is>
          <t>2026-09-26T15:01:01.506546+00:00</t>
        </is>
      </c>
      <c r="BI551" s="24" t="inlineStr">
        <is>
          <t>["same_event","same_team_same_day","same_league_same_day"]</t>
        </is>
      </c>
      <c r="BJ551" s="25" t="n"/>
      <c r="BK551" s="26" t="n">
        <v>-2100</v>
      </c>
      <c r="BL551" s="27" t="n">
        <v>1.047619</v>
      </c>
      <c r="BM551" s="28" t="n">
        <v>0.954545</v>
      </c>
      <c r="BN551" s="28" t="n"/>
      <c r="BO551" s="28" t="n"/>
      <c r="BP551" s="25" t="n"/>
      <c r="BQ551" s="27" t="n"/>
      <c r="BR551" s="28" t="n"/>
      <c r="BS551" s="28" t="n"/>
      <c r="BT551" s="28" t="n"/>
      <c r="BU551" s="25" t="n"/>
      <c r="BV551" s="29" t="n"/>
      <c r="BW551" s="24" t="n"/>
      <c r="BX551" s="30" t="n">
        <v>1</v>
      </c>
      <c r="BY551" s="27" t="n">
        <v>0.047619</v>
      </c>
      <c r="BZ551" s="24" t="inlineStr">
        <is>
          <t>2026-09-27T04:30:47.621622Z</t>
        </is>
      </c>
      <c r="CA551" s="31" t="inlineStr">
        <is>
          <t>fixed one-unit hypothetical scoring; no real exposure or execution</t>
        </is>
      </c>
      <c r="CB551" s="24" t="n"/>
      <c r="CC551" s="24" t="n"/>
      <c r="CD551" s="24" t="n"/>
      <c r="CE551" s="24" t="n"/>
      <c r="CF551" s="24" t="n"/>
      <c r="CG551" s="24" t="n"/>
      <c r="CH551" s="24" t="n"/>
      <c r="CI551" s="24" t="n"/>
      <c r="CJ551" s="24" t="n"/>
      <c r="CK551" s="24" t="n"/>
      <c r="CL551" s="24" t="n"/>
      <c r="CM551" s="24" t="n"/>
      <c r="CN551" s="24" t="n"/>
      <c r="CO551" s="24" t="n"/>
      <c r="CP551" s="24" t="n"/>
      <c r="CQ551" s="24" t="n"/>
      <c r="CR551" s="24" t="n"/>
      <c r="CS551" s="24" t="inlineStr">
        <is>
          <t>False</t>
        </is>
      </c>
      <c r="CT551" s="24" t="n"/>
      <c r="CU551" s="24" t="n"/>
      <c r="CV551" s="24" t="n"/>
      <c r="CW551" s="24" t="n"/>
      <c r="CX551" s="24" t="n"/>
      <c r="CY551" s="24" t="n"/>
      <c r="CZ551" s="24" t="n"/>
      <c r="DA551" s="24" t="n"/>
      <c r="DB551" s="24" t="n"/>
      <c r="DC551" s="24" t="n"/>
      <c r="DD551" s="24" t="n"/>
      <c r="DE551" s="24" t="n"/>
      <c r="DF551" s="24" t="n"/>
      <c r="DG551" s="24" t="n"/>
      <c r="DH551" s="24" t="n"/>
      <c r="DI551" s="24" t="n"/>
      <c r="DJ551" s="24" t="inlineStr">
        <is>
          <t>0.954545</t>
        </is>
      </c>
      <c r="DK551" s="24" t="n"/>
      <c r="DL551" s="24" t="n"/>
      <c r="DM551" s="24" t="n"/>
      <c r="DN551" s="24" t="n"/>
      <c r="DO551" s="24" t="n"/>
      <c r="DP551" s="24" t="n"/>
      <c r="DQ551" s="24" t="inlineStr">
        <is>
          <t>{"artifact_hash": "1d168f11d221cd3c", "event_id": "401868188", "event_start_utc": "2026-09-26T19:30Z", "features": {"altitude_fatigue_penalty": 0.0, "away_team": "Gardner-Webb Runnin' Bulldogs", "efficiency_gap": -1.199, "elo_away": 1337.5, "elo_home": 1390.7, "elo_home_win_prob": 0.6638, "event_id": "401868188", "game_start_utc": "2026-09-26T19:30Z", "home_field_advantage_points": 2.8, "home_team": "Marshall Thundering Herd", "is_dome": false, "is_fbs_vs_fcs": false, "is_neutral_site": false, "projected_away_points": 23.4, "projected_home_points": 28.2, "projected_margin_home": 4.8, "projected_possessions": 12.4, "projected_total": 51.6,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23.4, "mu_home": 28.2,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176522766709388998815592665181639563111}, "uinteger": 0}, "spread_home_line": -25.5, "total_line": 54.5}, "market_type": "moneyline", "model_version": "college-football-v1", "observed_at_utc": "2026-09-26T15:01:01.506546+00:00", "probabilities": {"away": 0.399288, "home": 0.600712}, "replay_scope": "Full precision score means, exact engine parameters and original RNG state; upstream feature construction not certified.", "schema": "cfb-joint-replay-v1", "snapshot_hash": "9b161b2d3e708e3be3531f1a15cb829b508d7799ac0d111e99f1d738ef5c1379", "sport": "NCAAF"}</t>
        </is>
      </c>
    </row>
    <row r="552" ht="36" customHeight="1">
      <c r="A552" s="24" t="inlineStr">
        <is>
          <t>1b53d3bfc8c54c17</t>
        </is>
      </c>
      <c r="B552" s="24" t="inlineStr">
        <is>
          <t>2026-09-26T15:01:01.506546Z</t>
        </is>
      </c>
      <c r="C552" s="24" t="inlineStr">
        <is>
          <t>2026-09-26T19:30Z</t>
        </is>
      </c>
      <c r="D552" s="24" t="inlineStr">
        <is>
          <t>401868188</t>
        </is>
      </c>
      <c r="E552" s="24" t="inlineStr">
        <is>
          <t>NCAAF</t>
        </is>
      </c>
      <c r="F552" s="24" t="inlineStr">
        <is>
          <t>Gardner-Webb Runnin' Bulldogs</t>
        </is>
      </c>
      <c r="G552" s="24" t="inlineStr">
        <is>
          <t>Marshall Thundering Herd</t>
        </is>
      </c>
      <c r="H552" s="24" t="inlineStr">
        <is>
          <t>spread</t>
        </is>
      </c>
      <c r="I552" s="24" t="inlineStr">
        <is>
          <t>away</t>
        </is>
      </c>
      <c r="J552" s="25" t="n">
        <v>25.5</v>
      </c>
      <c r="K552" s="24" t="inlineStr">
        <is>
          <t>espn_consensus</t>
        </is>
      </c>
      <c r="L552" s="26" t="n">
        <v>-115</v>
      </c>
      <c r="M552" s="27" t="n">
        <v>1.869565</v>
      </c>
      <c r="N552" s="28" t="n">
        <v>0.534884</v>
      </c>
      <c r="O552" s="28" t="n">
        <v>0.8506</v>
      </c>
      <c r="P552" s="28" t="n">
        <v>0.18</v>
      </c>
      <c r="Q552" s="28" t="n">
        <v>0.315716</v>
      </c>
      <c r="R552" s="26" t="n">
        <v>100</v>
      </c>
      <c r="S552" s="29" t="n">
        <v>2</v>
      </c>
      <c r="T552" s="24" t="inlineStr">
        <is>
          <t>cfb-spread-v1</t>
        </is>
      </c>
      <c r="U552" s="24" t="inlineStr">
        <is>
          <t>settled</t>
        </is>
      </c>
      <c r="V552" s="24" t="inlineStr">
        <is>
          <t>win</t>
        </is>
      </c>
      <c r="W552" s="26" t="n">
        <v>35</v>
      </c>
      <c r="X552" s="26" t="n">
        <v>36</v>
      </c>
      <c r="Y552" s="25" t="n"/>
      <c r="Z552" s="26" t="n"/>
      <c r="AA552" s="28" t="n"/>
      <c r="AB552" s="28" t="n"/>
      <c r="AC552" s="30" t="n">
        <v>1.7391</v>
      </c>
      <c r="AD552" s="24" t="inlineStr">
        <is>
          <t>2026-09-27T04:30:48.132076Z</t>
        </is>
      </c>
      <c r="AE552" s="31" t="inlineStr">
        <is>
          <t>Projected home margin +4.8 pts. Spread: Home -25.5 / Away +25.5 -&gt; P(Away cover)=0.851, P(Home cover)=0.149, P(Push)=0.000.</t>
        </is>
      </c>
      <c r="AF552" s="31" t="inlineStr">
        <is>
          <t>College football model; multi-market (moneyline, spread, total).</t>
        </is>
      </c>
      <c r="AG552" s="24" t="inlineStr">
        <is>
          <t>not_applicable</t>
        </is>
      </c>
      <c r="AH552" s="24" t="n"/>
      <c r="AI552" s="31" t="n"/>
      <c r="AJ552" s="31" t="n"/>
      <c r="AK552" s="24" t="inlineStr">
        <is>
          <t>model_qualified</t>
        </is>
      </c>
      <c r="AL552" s="26" t="n">
        <v>4</v>
      </c>
      <c r="AM552" s="24" t="inlineStr">
        <is>
          <t>QUALIFIED_SHADOW_CALL</t>
        </is>
      </c>
      <c r="AN552" s="24" t="inlineStr">
        <is>
          <t>CALL</t>
        </is>
      </c>
      <c r="AO552" s="24" t="inlineStr">
        <is>
          <t>QUALIFIED</t>
        </is>
      </c>
      <c r="AP552" s="24" t="inlineStr">
        <is>
          <t>Gardner-Webb Runnin' Bulldogs</t>
        </is>
      </c>
      <c r="AQ552" s="24" t="inlineStr">
        <is>
          <t>Gardner-Webb Runnin' Bulldogs</t>
        </is>
      </c>
      <c r="AR552" s="24" t="inlineStr">
        <is>
          <t>Gardner-Webb Runnin' Bulldogs</t>
        </is>
      </c>
      <c r="AS552" s="24" t="inlineStr">
        <is>
          <t>Marshall Thundering Herd</t>
        </is>
      </c>
      <c r="AT552" s="24" t="inlineStr">
        <is>
          <t>Marshall Thundering Herd</t>
        </is>
      </c>
      <c r="AU552" s="24" t="inlineStr">
        <is>
          <t>Marshall Thundering Herd</t>
        </is>
      </c>
      <c r="AV552" s="24" t="n"/>
      <c r="AW552" s="24" t="n"/>
      <c r="AX552" s="24" t="inlineStr">
        <is>
          <t>statistical_model</t>
        </is>
      </c>
      <c r="AY552" s="24" t="n"/>
      <c r="AZ552" s="24" t="inlineStr">
        <is>
          <t>shadow_qualified</t>
        </is>
      </c>
      <c r="BA552" s="24" t="inlineStr">
        <is>
          <t>1d168f11d221cd3c</t>
        </is>
      </c>
      <c r="BB552" s="24" t="inlineStr">
        <is>
          <t>cfb_key_number_engine</t>
        </is>
      </c>
      <c r="BC552" s="24" t="inlineStr">
        <is>
          <t>cfb-spread-v1</t>
        </is>
      </c>
      <c r="BD552" s="24" t="inlineStr">
        <is>
          <t>1d168f11d221cd3c</t>
        </is>
      </c>
      <c r="BE552" s="24" t="inlineStr">
        <is>
          <t>cfb-v1</t>
        </is>
      </c>
      <c r="BF552" s="24" t="inlineStr">
        <is>
          <t>1</t>
        </is>
      </c>
      <c r="BG552" s="24" t="inlineStr">
        <is>
          <t>1d168f11d221cd3c</t>
        </is>
      </c>
      <c r="BH552" s="24" t="inlineStr">
        <is>
          <t>2026-09-26T15:01:01.506546+00:00</t>
        </is>
      </c>
      <c r="BI552" s="24" t="inlineStr">
        <is>
          <t>["same_event","same_team_same_day","same_league_same_day"]</t>
        </is>
      </c>
      <c r="BJ552" s="25" t="n">
        <v>25.5</v>
      </c>
      <c r="BK552" s="26" t="n">
        <v>-115</v>
      </c>
      <c r="BL552" s="27" t="n">
        <v>1.869565</v>
      </c>
      <c r="BM552" s="28" t="n">
        <v>0.534884</v>
      </c>
      <c r="BN552" s="28" t="n"/>
      <c r="BO552" s="28" t="n"/>
      <c r="BP552" s="25" t="n"/>
      <c r="BQ552" s="27" t="n"/>
      <c r="BR552" s="28" t="n"/>
      <c r="BS552" s="28" t="n"/>
      <c r="BT552" s="28" t="n"/>
      <c r="BU552" s="25" t="n"/>
      <c r="BV552" s="29" t="n"/>
      <c r="BW552" s="24" t="n"/>
      <c r="BX552" s="30" t="n"/>
      <c r="BY552" s="27" t="n"/>
      <c r="BZ552" s="24" t="n"/>
      <c r="CA552" s="31" t="n"/>
      <c r="CB552" s="24" t="n"/>
      <c r="CC552" s="24" t="n"/>
      <c r="CD552" s="24" t="n"/>
      <c r="CE552" s="24" t="n"/>
      <c r="CF552" s="24" t="n"/>
      <c r="CG552" s="24" t="n"/>
      <c r="CH552" s="24" t="n"/>
      <c r="CI552" s="24" t="n"/>
      <c r="CJ552" s="24" t="n"/>
      <c r="CK552" s="24" t="n"/>
      <c r="CL552" s="24" t="n"/>
      <c r="CM552" s="24" t="n"/>
      <c r="CN552" s="24" t="n"/>
      <c r="CO552" s="24" t="n"/>
      <c r="CP552" s="24" t="n"/>
      <c r="CQ552" s="24" t="n"/>
      <c r="CR552" s="24" t="n"/>
      <c r="CS552" s="24" t="inlineStr">
        <is>
          <t>True</t>
        </is>
      </c>
      <c r="CT552" s="24" t="n"/>
      <c r="CU552" s="24" t="n"/>
      <c r="CV552" s="24" t="n"/>
      <c r="CW552" s="24" t="n"/>
      <c r="CX552" s="24" t="n"/>
      <c r="CY552" s="24" t="n"/>
      <c r="CZ552" s="24" t="n"/>
      <c r="DA552" s="24" t="n"/>
      <c r="DB552" s="24" t="n"/>
      <c r="DC552" s="24" t="n"/>
      <c r="DD552" s="24" t="n"/>
      <c r="DE552" s="24" t="n"/>
      <c r="DF552" s="24" t="n"/>
      <c r="DG552" s="24" t="n"/>
      <c r="DH552" s="24" t="n"/>
      <c r="DI552" s="24" t="n"/>
      <c r="DJ552" s="24" t="inlineStr">
        <is>
          <t>0.534884</t>
        </is>
      </c>
      <c r="DK552" s="24" t="n"/>
      <c r="DL552" s="24" t="n"/>
      <c r="DM552" s="24" t="n"/>
      <c r="DN552" s="24" t="n"/>
      <c r="DO552" s="24" t="n"/>
      <c r="DP552" s="24" t="n"/>
      <c r="DQ552" s="24" t="inlineStr">
        <is>
          <t>{"artifact_hash": "1d168f11d221cd3c", "event_id": "401868188", "event_start_utc": "2026-09-26T19:30Z", "features": {"altitude_fatigue_penalty": 0.0, "away_team": "Gardner-Webb Runnin' Bulldogs", "efficiency_gap": -1.199, "elo_away": 1337.5, "elo_home": 1390.7, "elo_home_win_prob": 0.6638, "event_id": "401868188", "game_start_utc": "2026-09-26T19:30Z", "home_field_advantage_points": 2.8, "home_team": "Marshall Thundering Herd", "is_dome": false, "is_fbs_vs_fcs": false, "is_neutral_site": false, "projected_away_points": 23.4, "projected_home_points": 28.2, "projected_margin_home": 4.8, "projected_possessions": 12.4, "projected_total": 51.6,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23.4, "mu_home": 28.2,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176522766709388998815592665181639563111}, "uinteger": 0}, "spread_home_line": -25.5, "total_line": 54.5}, "market_type": "spread", "model_version": "cfb-spread-v1", "observed_at_utc": "2026-09-26T15:01:01.506546+00:00", "probabilities": {"away": 0.8506, "home": 0.1494, "push": 0.0}, "replay_scope": "Full precision score means, exact engine parameters and original RNG state; upstream feature construction not certified.", "schema": "cfb-joint-replay-v1", "snapshot_hash": "d6b2e57dfb8ab26921d119f0d423564ae56a9f69767cc3d2aa2527cb56a740ad", "sport": "NCAAF"}</t>
        </is>
      </c>
    </row>
    <row r="553" ht="36" customHeight="1">
      <c r="A553" s="24" t="inlineStr">
        <is>
          <t>ace88f2cb9b7445c</t>
        </is>
      </c>
      <c r="B553" s="24" t="inlineStr">
        <is>
          <t>2026-09-26T15:01:01.506546Z</t>
        </is>
      </c>
      <c r="C553" s="24" t="inlineStr">
        <is>
          <t>2026-09-26T19:30Z</t>
        </is>
      </c>
      <c r="D553" s="24" t="inlineStr">
        <is>
          <t>401868188</t>
        </is>
      </c>
      <c r="E553" s="24" t="inlineStr">
        <is>
          <t>NCAAF</t>
        </is>
      </c>
      <c r="F553" s="24" t="inlineStr">
        <is>
          <t>Gardner-Webb Runnin' Bulldogs</t>
        </is>
      </c>
      <c r="G553" s="24" t="inlineStr">
        <is>
          <t>Marshall Thundering Herd</t>
        </is>
      </c>
      <c r="H553" s="24" t="inlineStr">
        <is>
          <t>total</t>
        </is>
      </c>
      <c r="I553" s="24" t="inlineStr">
        <is>
          <t>under</t>
        </is>
      </c>
      <c r="J553" s="25" t="n">
        <v>54.5</v>
      </c>
      <c r="K553" s="24" t="inlineStr">
        <is>
          <t>espn_consensus</t>
        </is>
      </c>
      <c r="L553" s="26" t="n">
        <v>-108</v>
      </c>
      <c r="M553" s="27" t="n">
        <v>1.925926</v>
      </c>
      <c r="N553" s="28" t="n">
        <v>0.519231</v>
      </c>
      <c r="O553" s="28" t="n">
        <v>0.5807330000000001</v>
      </c>
      <c r="P553" s="28" t="n">
        <v>0.18</v>
      </c>
      <c r="Q553" s="28" t="n">
        <v>0.061502</v>
      </c>
      <c r="R553" s="26" t="n">
        <v>0</v>
      </c>
      <c r="S553" s="29" t="n">
        <v>1</v>
      </c>
      <c r="T553" s="24" t="inlineStr">
        <is>
          <t>cfb-total-v1</t>
        </is>
      </c>
      <c r="U553" s="24" t="inlineStr">
        <is>
          <t>settled</t>
        </is>
      </c>
      <c r="V553" s="24" t="inlineStr">
        <is>
          <t>loss</t>
        </is>
      </c>
      <c r="W553" s="26" t="n">
        <v>35</v>
      </c>
      <c r="X553" s="26" t="n">
        <v>36</v>
      </c>
      <c r="Y553" s="25" t="n"/>
      <c r="Z553" s="26" t="n"/>
      <c r="AA553" s="28" t="n"/>
      <c r="AB553" s="28" t="n"/>
      <c r="AC553" s="30" t="n">
        <v>-1</v>
      </c>
      <c r="AD553" s="24" t="inlineStr">
        <is>
          <t>2026-09-27T04:30:48.763554Z</t>
        </is>
      </c>
      <c r="AE553" s="31" t="inlineStr">
        <is>
          <t>Projected total 51.6 pts (Weather adj: +0.0 pts). Total line 54.5 -&gt; P(Over)=0.419, P(Under)=0.581, P(Push)=0.000.</t>
        </is>
      </c>
      <c r="AF553" s="31" t="inlineStr">
        <is>
          <t>College football model; multi-market (moneyline, spread, total).</t>
        </is>
      </c>
      <c r="AG553" s="24" t="inlineStr">
        <is>
          <t>review_required</t>
        </is>
      </c>
      <c r="AH553" s="24" t="n"/>
      <c r="AI553" s="31" t="n"/>
      <c r="AJ553" s="31" t="n"/>
      <c r="AK553" s="24" t="inlineStr">
        <is>
          <t>model_qualified</t>
        </is>
      </c>
      <c r="AL553" s="26" t="n">
        <v>4</v>
      </c>
      <c r="AM553" s="24" t="inlineStr">
        <is>
          <t>QUALIFIED_SHADOW_CALL</t>
        </is>
      </c>
      <c r="AN553" s="24" t="inlineStr">
        <is>
          <t>CALL</t>
        </is>
      </c>
      <c r="AO553" s="24" t="inlineStr">
        <is>
          <t>QUALIFIED</t>
        </is>
      </c>
      <c r="AP553" s="24" t="inlineStr">
        <is>
          <t>Gardner-Webb Runnin' Bulldogs</t>
        </is>
      </c>
      <c r="AQ553" s="24" t="inlineStr">
        <is>
          <t>Gardner-Webb Runnin' Bulldogs</t>
        </is>
      </c>
      <c r="AR553" s="24" t="inlineStr">
        <is>
          <t>Gardner-Webb Runnin' Bulldogs</t>
        </is>
      </c>
      <c r="AS553" s="24" t="inlineStr">
        <is>
          <t>Marshall Thundering Herd</t>
        </is>
      </c>
      <c r="AT553" s="24" t="inlineStr">
        <is>
          <t>Marshall Thundering Herd</t>
        </is>
      </c>
      <c r="AU553" s="24" t="inlineStr">
        <is>
          <t>Marshall Thundering Herd</t>
        </is>
      </c>
      <c r="AV553" s="24" t="n"/>
      <c r="AW553" s="24" t="n"/>
      <c r="AX553" s="24" t="inlineStr">
        <is>
          <t>statistical_model</t>
        </is>
      </c>
      <c r="AY553" s="24" t="n"/>
      <c r="AZ553" s="24" t="inlineStr">
        <is>
          <t>shadow_qualified</t>
        </is>
      </c>
      <c r="BA553" s="24" t="inlineStr">
        <is>
          <t>1d168f11d221cd3c</t>
        </is>
      </c>
      <c r="BB553" s="24" t="inlineStr">
        <is>
          <t>cfb_key_number_engine</t>
        </is>
      </c>
      <c r="BC553" s="24" t="inlineStr">
        <is>
          <t>cfb-total-v1</t>
        </is>
      </c>
      <c r="BD553" s="24" t="inlineStr">
        <is>
          <t>1d168f11d221cd3c</t>
        </is>
      </c>
      <c r="BE553" s="24" t="inlineStr">
        <is>
          <t>cfb-v1</t>
        </is>
      </c>
      <c r="BF553" s="24" t="inlineStr">
        <is>
          <t>1</t>
        </is>
      </c>
      <c r="BG553" s="24" t="inlineStr">
        <is>
          <t>1d168f11d221cd3c</t>
        </is>
      </c>
      <c r="BH553" s="24" t="inlineStr">
        <is>
          <t>2026-09-26T15:01:01.506546+00:00</t>
        </is>
      </c>
      <c r="BI553" s="24" t="inlineStr">
        <is>
          <t>["same_event","same_team_same_day","same_league_same_day"]</t>
        </is>
      </c>
      <c r="BJ553" s="25" t="n">
        <v>54.5</v>
      </c>
      <c r="BK553" s="26" t="n">
        <v>-108</v>
      </c>
      <c r="BL553" s="27" t="n">
        <v>1.925926</v>
      </c>
      <c r="BM553" s="28" t="n">
        <v>0.519231</v>
      </c>
      <c r="BN553" s="28" t="n"/>
      <c r="BO553" s="28" t="n"/>
      <c r="BP553" s="25" t="n"/>
      <c r="BQ553" s="27" t="n"/>
      <c r="BR553" s="28" t="n"/>
      <c r="BS553" s="28" t="n"/>
      <c r="BT553" s="28" t="n"/>
      <c r="BU553" s="25" t="n"/>
      <c r="BV553" s="29" t="n"/>
      <c r="BW553" s="24" t="n"/>
      <c r="BX553" s="30" t="n"/>
      <c r="BY553" s="27" t="n"/>
      <c r="BZ553" s="24" t="n"/>
      <c r="CA553" s="31" t="n"/>
      <c r="CB553" s="24" t="n"/>
      <c r="CC553" s="24" t="n"/>
      <c r="CD553" s="24" t="n"/>
      <c r="CE553" s="24" t="n"/>
      <c r="CF553" s="24" t="n"/>
      <c r="CG553" s="24" t="n"/>
      <c r="CH553" s="24" t="n"/>
      <c r="CI553" s="24" t="n"/>
      <c r="CJ553" s="24" t="n"/>
      <c r="CK553" s="24" t="n"/>
      <c r="CL553" s="24" t="n"/>
      <c r="CM553" s="24" t="n"/>
      <c r="CN553" s="24" t="n"/>
      <c r="CO553" s="24" t="n"/>
      <c r="CP553" s="24" t="n"/>
      <c r="CQ553" s="24" t="n"/>
      <c r="CR553" s="24" t="n"/>
      <c r="CS553" s="24" t="inlineStr">
        <is>
          <t>True</t>
        </is>
      </c>
      <c r="CT553" s="24" t="n"/>
      <c r="CU553" s="24" t="n"/>
      <c r="CV553" s="24" t="n"/>
      <c r="CW553" s="24" t="n"/>
      <c r="CX553" s="24" t="n"/>
      <c r="CY553" s="24" t="n"/>
      <c r="CZ553" s="24" t="n"/>
      <c r="DA553" s="24" t="n"/>
      <c r="DB553" s="24" t="n"/>
      <c r="DC553" s="24" t="n"/>
      <c r="DD553" s="24" t="n"/>
      <c r="DE553" s="24" t="n"/>
      <c r="DF553" s="24" t="n"/>
      <c r="DG553" s="24" t="n"/>
      <c r="DH553" s="24" t="n"/>
      <c r="DI553" s="24" t="n"/>
      <c r="DJ553" s="24" t="inlineStr">
        <is>
          <t>0.519231</t>
        </is>
      </c>
      <c r="DK553" s="24" t="n"/>
      <c r="DL553" s="24" t="n"/>
      <c r="DM553" s="24" t="n"/>
      <c r="DN553" s="24" t="n"/>
      <c r="DO553" s="24" t="n"/>
      <c r="DP553" s="24" t="n"/>
      <c r="DQ553" s="24" t="inlineStr">
        <is>
          <t>{"artifact_hash": "1d168f11d221cd3c", "event_id": "401868188", "event_start_utc": "2026-09-26T19:30Z", "features": {"altitude_fatigue_penalty": 0.0, "away_team": "Gardner-Webb Runnin' Bulldogs", "efficiency_gap": -1.199, "elo_away": 1337.5, "elo_home": 1390.7, "elo_home_win_prob": 0.6638, "event_id": "401868188", "game_start_utc": "2026-09-26T19:30Z", "home_field_advantage_points": 2.8, "home_team": "Marshall Thundering Herd", "is_dome": false, "is_fbs_vs_fcs": false, "is_neutral_site": false, "projected_away_points": 23.4, "projected_home_points": 28.2, "projected_margin_home": 4.8, "projected_possessions": 12.4, "projected_total": 51.6,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23.4, "mu_home": 28.2,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176522766709388998815592665181639563111}, "uinteger": 0}, "spread_home_line": -25.5, "total_line": 54.5}, "market_type": "total", "model_version": "cfb-total-v1", "observed_at_utc": "2026-09-26T15:01:01.506546+00:00", "probabilities": {"over": 0.419267, "push": 0.0, "under": 0.580733}, "replay_scope": "Full precision score means, exact engine parameters and original RNG state; upstream feature construction not certified.", "schema": "cfb-joint-replay-v1", "snapshot_hash": "2466b84d27455decdcbe31d4b817f12b2c0e6c164822902db9a8e6921d7f6650", "sport": "NCAAF"}</t>
        </is>
      </c>
    </row>
    <row r="554" ht="36" customHeight="1">
      <c r="A554" s="24" t="inlineStr">
        <is>
          <t>5026b8901286444d</t>
        </is>
      </c>
      <c r="B554" s="24" t="inlineStr">
        <is>
          <t>2026-09-26T15:01:01.506546Z</t>
        </is>
      </c>
      <c r="C554" s="24" t="inlineStr">
        <is>
          <t>2026-09-26T20:00Z</t>
        </is>
      </c>
      <c r="D554" s="24" t="inlineStr">
        <is>
          <t>401856806</t>
        </is>
      </c>
      <c r="E554" s="24" t="inlineStr">
        <is>
          <t>NCAAF</t>
        </is>
      </c>
      <c r="F554" s="24" t="inlineStr">
        <is>
          <t>Houston Cougars</t>
        </is>
      </c>
      <c r="G554" s="24" t="inlineStr">
        <is>
          <t>Georgia Southern Eagles</t>
        </is>
      </c>
      <c r="H554" s="24" t="inlineStr">
        <is>
          <t>moneyline</t>
        </is>
      </c>
      <c r="I554" s="24" t="inlineStr">
        <is>
          <t>away</t>
        </is>
      </c>
      <c r="J554" s="25" t="n"/>
      <c r="K554" s="24" t="inlineStr">
        <is>
          <t>espn_consensus</t>
        </is>
      </c>
      <c r="L554" s="26" t="n">
        <v>-950</v>
      </c>
      <c r="M554" s="27" t="n">
        <v>1.105263</v>
      </c>
      <c r="N554" s="28" t="n">
        <v>0.904762</v>
      </c>
      <c r="O554" s="28" t="n">
        <v>0.554451</v>
      </c>
      <c r="P554" s="28" t="n">
        <v>0.18</v>
      </c>
      <c r="Q554" s="28" t="n">
        <v>-0.350311</v>
      </c>
      <c r="R554" s="26" t="n">
        <v>0</v>
      </c>
      <c r="S554" s="29" t="n">
        <v>1</v>
      </c>
      <c r="T554" s="24" t="inlineStr">
        <is>
          <t>college-football-v1</t>
        </is>
      </c>
      <c r="U554" s="24" t="inlineStr">
        <is>
          <t>settled</t>
        </is>
      </c>
      <c r="V554" s="24" t="inlineStr">
        <is>
          <t>win</t>
        </is>
      </c>
      <c r="W554" s="26" t="n">
        <v>42</v>
      </c>
      <c r="X554" s="26" t="n">
        <v>28</v>
      </c>
      <c r="Y554" s="25" t="n"/>
      <c r="Z554" s="26" t="n"/>
      <c r="AA554" s="28" t="n"/>
      <c r="AB554" s="28" t="n"/>
      <c r="AC554" s="30" t="n">
        <v>0.1053</v>
      </c>
      <c r="AD554" s="24" t="inlineStr">
        <is>
          <t>2026-09-27T04:30:49.343039Z</t>
        </is>
      </c>
      <c r="AE554" s="31" t="inlineStr">
        <is>
          <t>CFB Joint Model (negative_binomial): proj score Houston Cougars 28.4 @ Georgia Southern Eagles 25.8 (Margin -2.6). Possessions: 12.4, HFA: +2.8 pts.</t>
        </is>
      </c>
      <c r="AF554" s="31" t="inlineStr">
        <is>
          <t>College football model; multi-market (moneyline, spread, total).</t>
        </is>
      </c>
      <c r="AG554" s="24" t="inlineStr">
        <is>
          <t>not_applicable</t>
        </is>
      </c>
      <c r="AH554" s="24" t="n"/>
      <c r="AI554" s="31" t="n"/>
      <c r="AJ554" s="31" t="n"/>
      <c r="AK554" s="24" t="inlineStr">
        <is>
          <t>paper_call</t>
        </is>
      </c>
      <c r="AL554" s="26" t="n">
        <v>4</v>
      </c>
      <c r="AM554" s="24" t="inlineStr">
        <is>
          <t>RESEARCH_OBSERVATION</t>
        </is>
      </c>
      <c r="AN554" s="24" t="inlineStr">
        <is>
          <t>CALL</t>
        </is>
      </c>
      <c r="AO554" s="24" t="inlineStr">
        <is>
          <t>PAPER_CALL_LOW_EDGE</t>
        </is>
      </c>
      <c r="AP554" s="24" t="inlineStr">
        <is>
          <t>Houston Cougars</t>
        </is>
      </c>
      <c r="AQ554" s="24" t="inlineStr">
        <is>
          <t>Houston Cougars</t>
        </is>
      </c>
      <c r="AR554" s="24" t="inlineStr">
        <is>
          <t>Houston Cougars</t>
        </is>
      </c>
      <c r="AS554" s="24" t="inlineStr">
        <is>
          <t>Georgia Southern Eagles</t>
        </is>
      </c>
      <c r="AT554" s="24" t="inlineStr">
        <is>
          <t>Georgia Southern Eagles</t>
        </is>
      </c>
      <c r="AU554" s="24" t="inlineStr">
        <is>
          <t>Georgia Southern Eagles</t>
        </is>
      </c>
      <c r="AV554" s="24" t="n"/>
      <c r="AW554" s="24" t="n"/>
      <c r="AX554" s="24" t="inlineStr">
        <is>
          <t>statistical_model</t>
        </is>
      </c>
      <c r="AY554" s="24" t="n"/>
      <c r="AZ554" s="24" t="inlineStr">
        <is>
          <t>shadow_qualified</t>
        </is>
      </c>
      <c r="BA554" s="24" t="inlineStr">
        <is>
          <t>1d168f11d221cd3c</t>
        </is>
      </c>
      <c r="BB554" s="24" t="inlineStr">
        <is>
          <t>cfb_key_number_engine</t>
        </is>
      </c>
      <c r="BC554" s="24" t="inlineStr">
        <is>
          <t>college-football-v1</t>
        </is>
      </c>
      <c r="BD554" s="24" t="inlineStr">
        <is>
          <t>1d168f11d221cd3c</t>
        </is>
      </c>
      <c r="BE554" s="24" t="inlineStr">
        <is>
          <t>cfb-v1</t>
        </is>
      </c>
      <c r="BF554" s="24" t="inlineStr">
        <is>
          <t>1</t>
        </is>
      </c>
      <c r="BG554" s="24" t="inlineStr">
        <is>
          <t>1d168f11d221cd3c</t>
        </is>
      </c>
      <c r="BH554" s="24" t="inlineStr">
        <is>
          <t>2026-09-26T15:01:01.506546+00:00</t>
        </is>
      </c>
      <c r="BI554" s="24" t="inlineStr">
        <is>
          <t>["same_event","same_team_same_day","same_league_same_day"]</t>
        </is>
      </c>
      <c r="BJ554" s="25" t="n"/>
      <c r="BK554" s="26" t="n">
        <v>-950</v>
      </c>
      <c r="BL554" s="27" t="n">
        <v>1.105263</v>
      </c>
      <c r="BM554" s="28" t="n">
        <v>0.904762</v>
      </c>
      <c r="BN554" s="28" t="n"/>
      <c r="BO554" s="28" t="n"/>
      <c r="BP554" s="25" t="n"/>
      <c r="BQ554" s="27" t="n"/>
      <c r="BR554" s="28" t="n"/>
      <c r="BS554" s="28" t="n"/>
      <c r="BT554" s="28" t="n"/>
      <c r="BU554" s="25" t="n"/>
      <c r="BV554" s="29" t="n"/>
      <c r="BW554" s="24" t="n"/>
      <c r="BX554" s="30" t="n">
        <v>1</v>
      </c>
      <c r="BY554" s="27" t="n">
        <v>0.105263</v>
      </c>
      <c r="BZ554" s="24" t="inlineStr">
        <is>
          <t>2026-09-27T04:30:49.343039Z</t>
        </is>
      </c>
      <c r="CA554" s="31" t="inlineStr">
        <is>
          <t>fixed one-unit hypothetical scoring; no real exposure or execution</t>
        </is>
      </c>
      <c r="CB554" s="24" t="n"/>
      <c r="CC554" s="24" t="n"/>
      <c r="CD554" s="24" t="n"/>
      <c r="CE554" s="24" t="n"/>
      <c r="CF554" s="24" t="n"/>
      <c r="CG554" s="24" t="n"/>
      <c r="CH554" s="24" t="n"/>
      <c r="CI554" s="24" t="n"/>
      <c r="CJ554" s="24" t="n"/>
      <c r="CK554" s="24" t="n"/>
      <c r="CL554" s="24" t="n"/>
      <c r="CM554" s="24" t="n"/>
      <c r="CN554" s="24" t="n"/>
      <c r="CO554" s="24" t="n"/>
      <c r="CP554" s="24" t="n"/>
      <c r="CQ554" s="24" t="n"/>
      <c r="CR554" s="24" t="n"/>
      <c r="CS554" s="24" t="inlineStr">
        <is>
          <t>False</t>
        </is>
      </c>
      <c r="CT554" s="24" t="n"/>
      <c r="CU554" s="24" t="n"/>
      <c r="CV554" s="24" t="n"/>
      <c r="CW554" s="24" t="n"/>
      <c r="CX554" s="24" t="n"/>
      <c r="CY554" s="24" t="n"/>
      <c r="CZ554" s="24" t="n"/>
      <c r="DA554" s="24" t="n"/>
      <c r="DB554" s="24" t="n"/>
      <c r="DC554" s="24" t="n"/>
      <c r="DD554" s="24" t="n"/>
      <c r="DE554" s="24" t="n"/>
      <c r="DF554" s="24" t="n"/>
      <c r="DG554" s="24" t="n"/>
      <c r="DH554" s="24" t="n"/>
      <c r="DI554" s="24" t="n"/>
      <c r="DJ554" s="24" t="inlineStr">
        <is>
          <t>0.904762</t>
        </is>
      </c>
      <c r="DK554" s="24" t="n"/>
      <c r="DL554" s="24" t="n"/>
      <c r="DM554" s="24" t="n"/>
      <c r="DN554" s="24" t="n"/>
      <c r="DO554" s="24" t="n"/>
      <c r="DP554" s="24" t="n"/>
      <c r="DQ554" s="24" t="inlineStr">
        <is>
          <t>{"artifact_hash": "1d168f11d221cd3c", "event_id": "401856806", "event_start_utc": "2026-09-26T20:00Z", "features": {"altitude_fatigue_penalty": 0.0, "away_team": "Houston Cougars", "efficiency_gap": -1.16, "elo_away": 1664.9, "elo_home": 1535.0, "elo_home_win_prob": 0.4077, "event_id": "401856806", "game_start_utc": "2026-09-26T20:00Z", "home_field_advantage_points": 2.8, "home_team": "Georgia Southern Eagles", "is_dome": false, "is_fbs_vs_fcs": false, "is_neutral_site": false, "projected_away_points": 28.4, "projected_home_points": 25.8, "projected_margin_home": -2.6, "projected_possessions": 12.4, "projected_total": 54.2, "stadium_elevation_ft": 220, "travel_distance_miles": 824.0, "uncertainty": 0.18, "weather_total_adjustment": 0.0}, "historical_source_observation_times_verified": false, "inference_inputs": {"engine_source_sha256": "449ba2f0e86fa9c445730076a0e0bf100fb4914620be53c75c6f3bfe24298f3f", "mu_away": 28.4, "mu_home": 25.8,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40986016585941917173218533220771546449}, "uinteger": 0}, "spread_home_line": 17.5, "total_line": 56.5}, "market_type": "moneyline", "model_version": "college-football-v1", "observed_at_utc": "2026-09-26T15:01:01.506546+00:00", "probabilities": {"away": 0.554451, "home": 0.445549}, "replay_scope": "Full precision score means, exact engine parameters and original RNG state; upstream feature construction not certified.", "schema": "cfb-joint-replay-v1", "snapshot_hash": "825d49483ae3a527b58d77820c5a2cc3a151f08a99136c8acfe3f5391f24b05c", "sport": "NCAAF"}</t>
        </is>
      </c>
    </row>
    <row r="555" ht="36" customHeight="1">
      <c r="A555" s="24" t="inlineStr">
        <is>
          <t>d6520bf732124018</t>
        </is>
      </c>
      <c r="B555" s="24" t="inlineStr">
        <is>
          <t>2026-09-26T15:01:01.506546Z</t>
        </is>
      </c>
      <c r="C555" s="24" t="inlineStr">
        <is>
          <t>2026-09-26T20:00Z</t>
        </is>
      </c>
      <c r="D555" s="24" t="inlineStr">
        <is>
          <t>401856806</t>
        </is>
      </c>
      <c r="E555" s="24" t="inlineStr">
        <is>
          <t>NCAAF</t>
        </is>
      </c>
      <c r="F555" s="24" t="inlineStr">
        <is>
          <t>Houston Cougars</t>
        </is>
      </c>
      <c r="G555" s="24" t="inlineStr">
        <is>
          <t>Georgia Southern Eagles</t>
        </is>
      </c>
      <c r="H555" s="24" t="inlineStr">
        <is>
          <t>spread</t>
        </is>
      </c>
      <c r="I555" s="24" t="inlineStr">
        <is>
          <t>home</t>
        </is>
      </c>
      <c r="J555" s="25" t="n">
        <v>17.5</v>
      </c>
      <c r="K555" s="24" t="inlineStr">
        <is>
          <t>espn_consensus</t>
        </is>
      </c>
      <c r="L555" s="26" t="n">
        <v>-112</v>
      </c>
      <c r="M555" s="27" t="n">
        <v>1.892857</v>
      </c>
      <c r="N555" s="28" t="n">
        <v>0.528302</v>
      </c>
      <c r="O555" s="28" t="n">
        <v>0.774867</v>
      </c>
      <c r="P555" s="28" t="n">
        <v>0.18</v>
      </c>
      <c r="Q555" s="28" t="n">
        <v>0.246565</v>
      </c>
      <c r="R555" s="26" t="n">
        <v>65</v>
      </c>
      <c r="S555" s="29" t="n">
        <v>1.5</v>
      </c>
      <c r="T555" s="24" t="inlineStr">
        <is>
          <t>cfb-spread-v1</t>
        </is>
      </c>
      <c r="U555" s="24" t="inlineStr">
        <is>
          <t>settled</t>
        </is>
      </c>
      <c r="V555" s="24" t="inlineStr">
        <is>
          <t>win</t>
        </is>
      </c>
      <c r="W555" s="26" t="n">
        <v>42</v>
      </c>
      <c r="X555" s="26" t="n">
        <v>28</v>
      </c>
      <c r="Y555" s="25" t="n"/>
      <c r="Z555" s="26" t="n"/>
      <c r="AA555" s="28" t="n"/>
      <c r="AB555" s="28" t="n"/>
      <c r="AC555" s="30" t="n">
        <v>1.3393</v>
      </c>
      <c r="AD555" s="24" t="inlineStr">
        <is>
          <t>2026-09-27T04:30:49.862997Z</t>
        </is>
      </c>
      <c r="AE555" s="31" t="inlineStr">
        <is>
          <t>Projected home margin -2.6 pts. Spread: Home +17.5 / Away -17.5 -&gt; P(Away cover)=0.225, P(Home cover)=0.775, P(Push)=0.000.</t>
        </is>
      </c>
      <c r="AF555" s="31" t="inlineStr">
        <is>
          <t>College football model; multi-market (moneyline, spread, total).</t>
        </is>
      </c>
      <c r="AG555" s="24" t="inlineStr">
        <is>
          <t>not_applicable</t>
        </is>
      </c>
      <c r="AH555" s="24" t="n"/>
      <c r="AI555" s="31" t="n"/>
      <c r="AJ555" s="31" t="n"/>
      <c r="AK555" s="24" t="inlineStr">
        <is>
          <t>model_qualified</t>
        </is>
      </c>
      <c r="AL555" s="26" t="n">
        <v>4</v>
      </c>
      <c r="AM555" s="24" t="inlineStr">
        <is>
          <t>QUALIFIED_SHADOW_CALL</t>
        </is>
      </c>
      <c r="AN555" s="24" t="inlineStr">
        <is>
          <t>CALL</t>
        </is>
      </c>
      <c r="AO555" s="24" t="inlineStr">
        <is>
          <t>QUALIFIED</t>
        </is>
      </c>
      <c r="AP555" s="24" t="inlineStr">
        <is>
          <t>Houston Cougars</t>
        </is>
      </c>
      <c r="AQ555" s="24" t="inlineStr">
        <is>
          <t>Houston Cougars</t>
        </is>
      </c>
      <c r="AR555" s="24" t="inlineStr">
        <is>
          <t>Houston Cougars</t>
        </is>
      </c>
      <c r="AS555" s="24" t="inlineStr">
        <is>
          <t>Georgia Southern Eagles</t>
        </is>
      </c>
      <c r="AT555" s="24" t="inlineStr">
        <is>
          <t>Georgia Southern Eagles</t>
        </is>
      </c>
      <c r="AU555" s="24" t="inlineStr">
        <is>
          <t>Georgia Southern Eagles</t>
        </is>
      </c>
      <c r="AV555" s="24" t="n"/>
      <c r="AW555" s="24" t="n"/>
      <c r="AX555" s="24" t="inlineStr">
        <is>
          <t>statistical_model</t>
        </is>
      </c>
      <c r="AY555" s="24" t="n"/>
      <c r="AZ555" s="24" t="inlineStr">
        <is>
          <t>shadow_qualified</t>
        </is>
      </c>
      <c r="BA555" s="24" t="inlineStr">
        <is>
          <t>1d168f11d221cd3c</t>
        </is>
      </c>
      <c r="BB555" s="24" t="inlineStr">
        <is>
          <t>cfb_key_number_engine</t>
        </is>
      </c>
      <c r="BC555" s="24" t="inlineStr">
        <is>
          <t>cfb-spread-v1</t>
        </is>
      </c>
      <c r="BD555" s="24" t="inlineStr">
        <is>
          <t>1d168f11d221cd3c</t>
        </is>
      </c>
      <c r="BE555" s="24" t="inlineStr">
        <is>
          <t>cfb-v1</t>
        </is>
      </c>
      <c r="BF555" s="24" t="inlineStr">
        <is>
          <t>1</t>
        </is>
      </c>
      <c r="BG555" s="24" t="inlineStr">
        <is>
          <t>1d168f11d221cd3c</t>
        </is>
      </c>
      <c r="BH555" s="24" t="inlineStr">
        <is>
          <t>2026-09-26T15:01:01.506546+00:00</t>
        </is>
      </c>
      <c r="BI555" s="24" t="inlineStr">
        <is>
          <t>["same_event","same_team_same_day","same_league_same_day"]</t>
        </is>
      </c>
      <c r="BJ555" s="25" t="n">
        <v>17.5</v>
      </c>
      <c r="BK555" s="26" t="n">
        <v>-112</v>
      </c>
      <c r="BL555" s="27" t="n">
        <v>1.892857</v>
      </c>
      <c r="BM555" s="28" t="n">
        <v>0.528302</v>
      </c>
      <c r="BN555" s="28" t="n"/>
      <c r="BO555" s="28" t="n"/>
      <c r="BP555" s="25" t="n"/>
      <c r="BQ555" s="27" t="n"/>
      <c r="BR555" s="28" t="n"/>
      <c r="BS555" s="28" t="n"/>
      <c r="BT555" s="28" t="n"/>
      <c r="BU555" s="25" t="n"/>
      <c r="BV555" s="29" t="n"/>
      <c r="BW555" s="24" t="n"/>
      <c r="BX555" s="30" t="n"/>
      <c r="BY555" s="27" t="n"/>
      <c r="BZ555" s="24" t="n"/>
      <c r="CA555" s="31" t="n"/>
      <c r="CB555" s="24" t="n"/>
      <c r="CC555" s="24" t="n"/>
      <c r="CD555" s="24" t="n"/>
      <c r="CE555" s="24" t="n"/>
      <c r="CF555" s="24" t="n"/>
      <c r="CG555" s="24" t="n"/>
      <c r="CH555" s="24" t="n"/>
      <c r="CI555" s="24" t="n"/>
      <c r="CJ555" s="24" t="n"/>
      <c r="CK555" s="24" t="n"/>
      <c r="CL555" s="24" t="n"/>
      <c r="CM555" s="24" t="n"/>
      <c r="CN555" s="24" t="n"/>
      <c r="CO555" s="24" t="n"/>
      <c r="CP555" s="24" t="n"/>
      <c r="CQ555" s="24" t="n"/>
      <c r="CR555" s="24" t="n"/>
      <c r="CS555" s="24" t="inlineStr">
        <is>
          <t>True</t>
        </is>
      </c>
      <c r="CT555" s="24" t="n"/>
      <c r="CU555" s="24" t="n"/>
      <c r="CV555" s="24" t="n"/>
      <c r="CW555" s="24" t="n"/>
      <c r="CX555" s="24" t="n"/>
      <c r="CY555" s="24" t="n"/>
      <c r="CZ555" s="24" t="n"/>
      <c r="DA555" s="24" t="n"/>
      <c r="DB555" s="24" t="n"/>
      <c r="DC555" s="24" t="n"/>
      <c r="DD555" s="24" t="n"/>
      <c r="DE555" s="24" t="n"/>
      <c r="DF555" s="24" t="n"/>
      <c r="DG555" s="24" t="n"/>
      <c r="DH555" s="24" t="n"/>
      <c r="DI555" s="24" t="n"/>
      <c r="DJ555" s="24" t="inlineStr">
        <is>
          <t>0.528302</t>
        </is>
      </c>
      <c r="DK555" s="24" t="n"/>
      <c r="DL555" s="24" t="n"/>
      <c r="DM555" s="24" t="n"/>
      <c r="DN555" s="24" t="n"/>
      <c r="DO555" s="24" t="n"/>
      <c r="DP555" s="24" t="n"/>
      <c r="DQ555" s="24" t="inlineStr">
        <is>
          <t>{"artifact_hash": "1d168f11d221cd3c", "event_id": "401856806", "event_start_utc": "2026-09-26T20:00Z", "features": {"altitude_fatigue_penalty": 0.0, "away_team": "Houston Cougars", "efficiency_gap": -1.16, "elo_away": 1664.9, "elo_home": 1535.0, "elo_home_win_prob": 0.4077, "event_id": "401856806", "game_start_utc": "2026-09-26T20:00Z", "home_field_advantage_points": 2.8, "home_team": "Georgia Southern Eagles", "is_dome": false, "is_fbs_vs_fcs": false, "is_neutral_site": false, "projected_away_points": 28.4, "projected_home_points": 25.8, "projected_margin_home": -2.6, "projected_possessions": 12.4, "projected_total": 54.2, "stadium_elevation_ft": 220, "travel_distance_miles": 824.0, "uncertainty": 0.18, "weather_total_adjustment": 0.0}, "historical_source_observation_times_verified": false, "inference_inputs": {"engine_source_sha256": "449ba2f0e86fa9c445730076a0e0bf100fb4914620be53c75c6f3bfe24298f3f", "mu_away": 28.4, "mu_home": 25.8,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40986016585941917173218533220771546449}, "uinteger": 0}, "spread_home_line": 17.5, "total_line": 56.5}, "market_type": "spread", "model_version": "cfb-spread-v1", "observed_at_utc": "2026-09-26T15:01:01.506546+00:00", "probabilities": {"away": 0.225133, "home": 0.774867, "push": 0.0}, "replay_scope": "Full precision score means, exact engine parameters and original RNG state; upstream feature construction not certified.", "schema": "cfb-joint-replay-v1", "snapshot_hash": "363e302da901b5f62916e69ef4547da835609aa1022fde0a8f3a18c320946ad1", "sport": "NCAAF"}</t>
        </is>
      </c>
    </row>
    <row r="556" ht="36" customHeight="1">
      <c r="A556" s="24" t="inlineStr">
        <is>
          <t>f62ea3457bc140ea</t>
        </is>
      </c>
      <c r="B556" s="24" t="inlineStr">
        <is>
          <t>2026-09-26T15:01:01.506546Z</t>
        </is>
      </c>
      <c r="C556" s="24" t="inlineStr">
        <is>
          <t>2026-09-26T20:00Z</t>
        </is>
      </c>
      <c r="D556" s="24" t="inlineStr">
        <is>
          <t>401856806</t>
        </is>
      </c>
      <c r="E556" s="24" t="inlineStr">
        <is>
          <t>NCAAF</t>
        </is>
      </c>
      <c r="F556" s="24" t="inlineStr">
        <is>
          <t>Houston Cougars</t>
        </is>
      </c>
      <c r="G556" s="24" t="inlineStr">
        <is>
          <t>Georgia Southern Eagles</t>
        </is>
      </c>
      <c r="H556" s="24" t="inlineStr">
        <is>
          <t>total</t>
        </is>
      </c>
      <c r="I556" s="24" t="inlineStr">
        <is>
          <t>under</t>
        </is>
      </c>
      <c r="J556" s="25" t="n">
        <v>56.5</v>
      </c>
      <c r="K556" s="24" t="inlineStr">
        <is>
          <t>espn_consensus</t>
        </is>
      </c>
      <c r="L556" s="26" t="n">
        <v>-110</v>
      </c>
      <c r="M556" s="27" t="n">
        <v>1.909091</v>
      </c>
      <c r="N556" s="28" t="n">
        <v>0.52381</v>
      </c>
      <c r="O556" s="28" t="n">
        <v>0.5604</v>
      </c>
      <c r="P556" s="28" t="n">
        <v>0.18</v>
      </c>
      <c r="Q556" s="28" t="n">
        <v>0.03659</v>
      </c>
      <c r="R556" s="26" t="n">
        <v>0</v>
      </c>
      <c r="S556" s="29" t="n">
        <v>1</v>
      </c>
      <c r="T556" s="24" t="inlineStr">
        <is>
          <t>cfb-total-v1</t>
        </is>
      </c>
      <c r="U556" s="24" t="inlineStr">
        <is>
          <t>settled</t>
        </is>
      </c>
      <c r="V556" s="24" t="inlineStr">
        <is>
          <t>loss</t>
        </is>
      </c>
      <c r="W556" s="26" t="n">
        <v>42</v>
      </c>
      <c r="X556" s="26" t="n">
        <v>28</v>
      </c>
      <c r="Y556" s="25" t="n"/>
      <c r="Z556" s="26" t="n"/>
      <c r="AA556" s="28" t="n"/>
      <c r="AB556" s="28" t="n"/>
      <c r="AC556" s="30" t="n">
        <v>-1</v>
      </c>
      <c r="AD556" s="24" t="inlineStr">
        <is>
          <t>2026-09-27T04:30:50.432610Z</t>
        </is>
      </c>
      <c r="AE556" s="31" t="inlineStr">
        <is>
          <t>Projected total 54.2 pts (Weather adj: +0.0 pts). Total line 56.5 -&gt; P(Over)=0.440, P(Under)=0.560, P(Push)=0.000.</t>
        </is>
      </c>
      <c r="AF556" s="31" t="inlineStr">
        <is>
          <t>College football model; multi-market (moneyline, spread, total).</t>
        </is>
      </c>
      <c r="AG556" s="24" t="inlineStr">
        <is>
          <t>review_required</t>
        </is>
      </c>
      <c r="AH556" s="24" t="n"/>
      <c r="AI556" s="31" t="n"/>
      <c r="AJ556" s="31" t="n"/>
      <c r="AK556" s="24" t="inlineStr">
        <is>
          <t>model_qualified</t>
        </is>
      </c>
      <c r="AL556" s="26" t="n">
        <v>4</v>
      </c>
      <c r="AM556" s="24" t="inlineStr">
        <is>
          <t>QUALIFIED_SHADOW_CALL</t>
        </is>
      </c>
      <c r="AN556" s="24" t="inlineStr">
        <is>
          <t>CALL</t>
        </is>
      </c>
      <c r="AO556" s="24" t="inlineStr">
        <is>
          <t>QUALIFIED</t>
        </is>
      </c>
      <c r="AP556" s="24" t="inlineStr">
        <is>
          <t>Houston Cougars</t>
        </is>
      </c>
      <c r="AQ556" s="24" t="inlineStr">
        <is>
          <t>Houston Cougars</t>
        </is>
      </c>
      <c r="AR556" s="24" t="inlineStr">
        <is>
          <t>Houston Cougars</t>
        </is>
      </c>
      <c r="AS556" s="24" t="inlineStr">
        <is>
          <t>Georgia Southern Eagles</t>
        </is>
      </c>
      <c r="AT556" s="24" t="inlineStr">
        <is>
          <t>Georgia Southern Eagles</t>
        </is>
      </c>
      <c r="AU556" s="24" t="inlineStr">
        <is>
          <t>Georgia Southern Eagles</t>
        </is>
      </c>
      <c r="AV556" s="24" t="n"/>
      <c r="AW556" s="24" t="n"/>
      <c r="AX556" s="24" t="inlineStr">
        <is>
          <t>statistical_model</t>
        </is>
      </c>
      <c r="AY556" s="24" t="n"/>
      <c r="AZ556" s="24" t="inlineStr">
        <is>
          <t>shadow_qualified</t>
        </is>
      </c>
      <c r="BA556" s="24" t="inlineStr">
        <is>
          <t>1d168f11d221cd3c</t>
        </is>
      </c>
      <c r="BB556" s="24" t="inlineStr">
        <is>
          <t>cfb_key_number_engine</t>
        </is>
      </c>
      <c r="BC556" s="24" t="inlineStr">
        <is>
          <t>cfb-total-v1</t>
        </is>
      </c>
      <c r="BD556" s="24" t="inlineStr">
        <is>
          <t>1d168f11d221cd3c</t>
        </is>
      </c>
      <c r="BE556" s="24" t="inlineStr">
        <is>
          <t>cfb-v1</t>
        </is>
      </c>
      <c r="BF556" s="24" t="inlineStr">
        <is>
          <t>1</t>
        </is>
      </c>
      <c r="BG556" s="24" t="inlineStr">
        <is>
          <t>1d168f11d221cd3c</t>
        </is>
      </c>
      <c r="BH556" s="24" t="inlineStr">
        <is>
          <t>2026-09-26T15:01:01.506546+00:00</t>
        </is>
      </c>
      <c r="BI556" s="24" t="inlineStr">
        <is>
          <t>["same_event","same_team_same_day","same_league_same_day"]</t>
        </is>
      </c>
      <c r="BJ556" s="25" t="n">
        <v>56.5</v>
      </c>
      <c r="BK556" s="26" t="n">
        <v>-110</v>
      </c>
      <c r="BL556" s="27" t="n">
        <v>1.909091</v>
      </c>
      <c r="BM556" s="28" t="n">
        <v>0.52381</v>
      </c>
      <c r="BN556" s="28" t="n"/>
      <c r="BO556" s="28" t="n"/>
      <c r="BP556" s="25" t="n"/>
      <c r="BQ556" s="27" t="n"/>
      <c r="BR556" s="28" t="n"/>
      <c r="BS556" s="28" t="n"/>
      <c r="BT556" s="28" t="n"/>
      <c r="BU556" s="25" t="n"/>
      <c r="BV556" s="29" t="n"/>
      <c r="BW556" s="24" t="n"/>
      <c r="BX556" s="30" t="n"/>
      <c r="BY556" s="27" t="n"/>
      <c r="BZ556" s="24" t="n"/>
      <c r="CA556" s="31" t="n"/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inlineStr">
        <is>
          <t>True</t>
        </is>
      </c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n"/>
      <c r="DE556" s="24" t="n"/>
      <c r="DF556" s="24" t="n"/>
      <c r="DG556" s="24" t="n"/>
      <c r="DH556" s="24" t="n"/>
      <c r="DI556" s="24" t="n"/>
      <c r="DJ556" s="24" t="inlineStr">
        <is>
          <t>0.52381</t>
        </is>
      </c>
      <c r="DK556" s="24" t="n"/>
      <c r="DL556" s="24" t="n"/>
      <c r="DM556" s="24" t="n"/>
      <c r="DN556" s="24" t="n"/>
      <c r="DO556" s="24" t="n"/>
      <c r="DP556" s="24" t="n"/>
      <c r="DQ556" s="24" t="inlineStr">
        <is>
          <t>{"artifact_hash": "1d168f11d221cd3c", "event_id": "401856806", "event_start_utc": "2026-09-26T20:00Z", "features": {"altitude_fatigue_penalty": 0.0, "away_team": "Houston Cougars", "efficiency_gap": -1.16, "elo_away": 1664.9, "elo_home": 1535.0, "elo_home_win_prob": 0.4077, "event_id": "401856806", "game_start_utc": "2026-09-26T20:00Z", "home_field_advantage_points": 2.8, "home_team": "Georgia Southern Eagles", "is_dome": false, "is_fbs_vs_fcs": false, "is_neutral_site": false, "projected_away_points": 28.4, "projected_home_points": 25.8, "projected_margin_home": -2.6, "projected_possessions": 12.4, "projected_total": 54.2, "stadium_elevation_ft": 220, "travel_distance_miles": 824.0, "uncertainty": 0.18, "weather_total_adjustment": 0.0}, "historical_source_observation_times_verified": false, "inference_inputs": {"engine_source_sha256": "449ba2f0e86fa9c445730076a0e0bf100fb4914620be53c75c6f3bfe24298f3f", "mu_away": 28.4, "mu_home": 25.8,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40986016585941917173218533220771546449}, "uinteger": 0}, "spread_home_line": 17.5, "total_line": 56.5}, "market_type": "total", "model_version": "cfb-total-v1", "observed_at_utc": "2026-09-26T15:01:01.506546+00:00", "probabilities": {"over": 0.4396, "push": 0.0, "under": 0.5604}, "replay_scope": "Full precision score means, exact engine parameters and original RNG state; upstream feature construction not certified.", "schema": "cfb-joint-replay-v1", "snapshot_hash": "2f153e4678d4d3dc2b1bfbce0328ae1af93ff0c9926c0842cdaa27570b3ee777", "sport": "NCAAF"}</t>
        </is>
      </c>
    </row>
    <row r="557" ht="36" customHeight="1">
      <c r="A557" s="24" t="inlineStr">
        <is>
          <t>645c1981d825426c</t>
        </is>
      </c>
      <c r="B557" s="24" t="inlineStr">
        <is>
          <t>2026-09-26T15:01:01.506546Z</t>
        </is>
      </c>
      <c r="C557" s="24" t="inlineStr">
        <is>
          <t>2026-09-26T20:00Z</t>
        </is>
      </c>
      <c r="D557" s="24" t="inlineStr">
        <is>
          <t>401862781</t>
        </is>
      </c>
      <c r="E557" s="24" t="inlineStr">
        <is>
          <t>NCAAF</t>
        </is>
      </c>
      <c r="F557" s="24" t="inlineStr">
        <is>
          <t>North Carolina Central Eagles</t>
        </is>
      </c>
      <c r="G557" s="24" t="inlineStr">
        <is>
          <t>East Carolina Pirates</t>
        </is>
      </c>
      <c r="H557" s="24" t="inlineStr">
        <is>
          <t>moneyline</t>
        </is>
      </c>
      <c r="I557" s="24" t="inlineStr">
        <is>
          <t>home</t>
        </is>
      </c>
      <c r="J557" s="25" t="n"/>
      <c r="K557" s="24" t="inlineStr">
        <is>
          <t>espn_consensus</t>
        </is>
      </c>
      <c r="L557" s="26" t="n">
        <v>-4500</v>
      </c>
      <c r="M557" s="27" t="n">
        <v>1.022222</v>
      </c>
      <c r="N557" s="28" t="n">
        <v>0.978261</v>
      </c>
      <c r="O557" s="28" t="n">
        <v>0.739496</v>
      </c>
      <c r="P557" s="28" t="n">
        <v>0.18</v>
      </c>
      <c r="Q557" s="28" t="n">
        <v>-0.238765</v>
      </c>
      <c r="R557" s="26" t="n">
        <v>0</v>
      </c>
      <c r="S557" s="29" t="n">
        <v>1</v>
      </c>
      <c r="T557" s="24" t="inlineStr">
        <is>
          <t>college-football-v1</t>
        </is>
      </c>
      <c r="U557" s="24" t="inlineStr">
        <is>
          <t>settled</t>
        </is>
      </c>
      <c r="V557" s="24" t="inlineStr">
        <is>
          <t>win</t>
        </is>
      </c>
      <c r="W557" s="26" t="n">
        <v>9</v>
      </c>
      <c r="X557" s="26" t="n">
        <v>42</v>
      </c>
      <c r="Y557" s="25" t="n"/>
      <c r="Z557" s="26" t="n"/>
      <c r="AA557" s="28" t="n"/>
      <c r="AB557" s="28" t="n"/>
      <c r="AC557" s="30" t="n">
        <v>0.0222</v>
      </c>
      <c r="AD557" s="24" t="inlineStr">
        <is>
          <t>2026-09-27T04:30:51.123297Z</t>
        </is>
      </c>
      <c r="AE557" s="31" t="inlineStr">
        <is>
          <t>CFB Joint Model (negative_binomial): proj score North Carolina Central Eagles 20.2 @ East Carolina Pirates 32.1 (Margin +11.9). Possessions: 12.4, HFA: +2.8 pts.</t>
        </is>
      </c>
      <c r="AF557" s="31" t="inlineStr">
        <is>
          <t>College football model; multi-market (moneyline, spread, total).</t>
        </is>
      </c>
      <c r="AG557" s="24" t="inlineStr">
        <is>
          <t>not_applicable</t>
        </is>
      </c>
      <c r="AH557" s="24" t="n"/>
      <c r="AI557" s="31" t="n"/>
      <c r="AJ557" s="31" t="n"/>
      <c r="AK557" s="24" t="inlineStr">
        <is>
          <t>paper_call</t>
        </is>
      </c>
      <c r="AL557" s="26" t="n">
        <v>4</v>
      </c>
      <c r="AM557" s="24" t="inlineStr">
        <is>
          <t>RESEARCH_OBSERVATION</t>
        </is>
      </c>
      <c r="AN557" s="24" t="inlineStr">
        <is>
          <t>CALL</t>
        </is>
      </c>
      <c r="AO557" s="24" t="inlineStr">
        <is>
          <t>PAPER_CALL_LOW_EDGE</t>
        </is>
      </c>
      <c r="AP557" s="24" t="inlineStr">
        <is>
          <t>North Carolina Central Eagles</t>
        </is>
      </c>
      <c r="AQ557" s="24" t="inlineStr">
        <is>
          <t>North Carolina Central Eagles</t>
        </is>
      </c>
      <c r="AR557" s="24" t="inlineStr">
        <is>
          <t>North Carolina Central Eagles</t>
        </is>
      </c>
      <c r="AS557" s="24" t="inlineStr">
        <is>
          <t>East Carolina Pirates</t>
        </is>
      </c>
      <c r="AT557" s="24" t="inlineStr">
        <is>
          <t>East Carolina Pirates</t>
        </is>
      </c>
      <c r="AU557" s="24" t="inlineStr">
        <is>
          <t>East Carolina Pirates</t>
        </is>
      </c>
      <c r="AV557" s="24" t="n"/>
      <c r="AW557" s="24" t="n"/>
      <c r="AX557" s="24" t="inlineStr">
        <is>
          <t>statistical_model</t>
        </is>
      </c>
      <c r="AY557" s="24" t="n"/>
      <c r="AZ557" s="24" t="inlineStr">
        <is>
          <t>shadow_qualified</t>
        </is>
      </c>
      <c r="BA557" s="24" t="inlineStr">
        <is>
          <t>1d168f11d221cd3c</t>
        </is>
      </c>
      <c r="BB557" s="24" t="inlineStr">
        <is>
          <t>cfb_key_number_engine</t>
        </is>
      </c>
      <c r="BC557" s="24" t="inlineStr">
        <is>
          <t>college-football-v1</t>
        </is>
      </c>
      <c r="BD557" s="24" t="inlineStr">
        <is>
          <t>1d168f11d221cd3c</t>
        </is>
      </c>
      <c r="BE557" s="24" t="inlineStr">
        <is>
          <t>cfb-v1</t>
        </is>
      </c>
      <c r="BF557" s="24" t="inlineStr">
        <is>
          <t>1</t>
        </is>
      </c>
      <c r="BG557" s="24" t="inlineStr">
        <is>
          <t>1d168f11d221cd3c</t>
        </is>
      </c>
      <c r="BH557" s="24" t="inlineStr">
        <is>
          <t>2026-09-26T15:01:01.506546+00:00</t>
        </is>
      </c>
      <c r="BI557" s="24" t="inlineStr">
        <is>
          <t>["same_event","same_team_same_day","same_league_same_day"]</t>
        </is>
      </c>
      <c r="BJ557" s="25" t="n"/>
      <c r="BK557" s="26" t="n">
        <v>-4500</v>
      </c>
      <c r="BL557" s="27" t="n">
        <v>1.022222</v>
      </c>
      <c r="BM557" s="28" t="n">
        <v>0.978261</v>
      </c>
      <c r="BN557" s="28" t="n"/>
      <c r="BO557" s="28" t="n"/>
      <c r="BP557" s="25" t="n"/>
      <c r="BQ557" s="27" t="n"/>
      <c r="BR557" s="28" t="n"/>
      <c r="BS557" s="28" t="n"/>
      <c r="BT557" s="28" t="n"/>
      <c r="BU557" s="25" t="n"/>
      <c r="BV557" s="29" t="n"/>
      <c r="BW557" s="24" t="n"/>
      <c r="BX557" s="30" t="n">
        <v>1</v>
      </c>
      <c r="BY557" s="27" t="n">
        <v>0.022222</v>
      </c>
      <c r="BZ557" s="24" t="inlineStr">
        <is>
          <t>2026-09-27T04:30:51.123297Z</t>
        </is>
      </c>
      <c r="CA557" s="31" t="inlineStr">
        <is>
          <t>fixed one-unit hypothetical scoring; no real exposure or execution</t>
        </is>
      </c>
      <c r="CB557" s="24" t="n"/>
      <c r="CC557" s="24" t="n"/>
      <c r="CD557" s="24" t="n"/>
      <c r="CE557" s="24" t="n"/>
      <c r="CF557" s="24" t="n"/>
      <c r="CG557" s="24" t="n"/>
      <c r="CH557" s="24" t="n"/>
      <c r="CI557" s="24" t="n"/>
      <c r="CJ557" s="24" t="n"/>
      <c r="CK557" s="24" t="n"/>
      <c r="CL557" s="24" t="n"/>
      <c r="CM557" s="24" t="n"/>
      <c r="CN557" s="24" t="n"/>
      <c r="CO557" s="24" t="n"/>
      <c r="CP557" s="24" t="n"/>
      <c r="CQ557" s="24" t="n"/>
      <c r="CR557" s="24" t="n"/>
      <c r="CS557" s="24" t="inlineStr">
        <is>
          <t>False</t>
        </is>
      </c>
      <c r="CT557" s="24" t="n"/>
      <c r="CU557" s="24" t="n"/>
      <c r="CV557" s="24" t="n"/>
      <c r="CW557" s="24" t="n"/>
      <c r="CX557" s="24" t="n"/>
      <c r="CY557" s="24" t="n"/>
      <c r="CZ557" s="24" t="n"/>
      <c r="DA557" s="24" t="n"/>
      <c r="DB557" s="24" t="n"/>
      <c r="DC557" s="24" t="n"/>
      <c r="DD557" s="24" t="n"/>
      <c r="DE557" s="24" t="n"/>
      <c r="DF557" s="24" t="n"/>
      <c r="DG557" s="24" t="n"/>
      <c r="DH557" s="24" t="n"/>
      <c r="DI557" s="24" t="n"/>
      <c r="DJ557" s="24" t="inlineStr">
        <is>
          <t>0.978261</t>
        </is>
      </c>
      <c r="DK557" s="24" t="n"/>
      <c r="DL557" s="24" t="n"/>
      <c r="DM557" s="24" t="n"/>
      <c r="DN557" s="24" t="n"/>
      <c r="DO557" s="24" t="n"/>
      <c r="DP557" s="24" t="n"/>
      <c r="DQ557" s="24" t="inlineStr">
        <is>
          <t>{"artifact_hash": "1d168f11d221cd3c", "event_id": "401862781", "event_start_utc": "2026-09-26T20:00Z", "features": {"altitude_fatigue_penalty": 0.0, "away_team": "North Carolina Central Eagles", "efficiency_gap": -0.762, "elo_away": 1337.5, "elo_home": 1564.7, "elo_home_win_prob": 0.8432, "event_id": "401862781", "game_start_utc": "2026-09-26T20:00Z", "home_field_advantage_points": 2.8, "home_team": "East Carolina Pirates", "is_dome": false, "is_fbs_vs_fcs": false, "is_neutral_site": false, "projected_away_points": 20.2, "projected_home_points": 32.1, "projected_margin_home": 11.9,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20.2, "mu_home": 32.1,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223076293952108810326243579967432114702}, "uinteger": 0}, "spread_home_line": -37.5, "total_line": 57.5}, "market_type": "moneyline", "model_version": "college-football-v1", "observed_at_utc": "2026-09-26T15:01:01.506546+00:00", "probabilities": {"away": 0.260504, "home": 0.739496}, "replay_scope": "Full precision score means, exact engine parameters and original RNG state; upstream feature construction not certified.", "schema": "cfb-joint-replay-v1", "snapshot_hash": "177432ec6e81eb69e0220439e8f44cac72ce8730f59d45315eaa8aeb747a6372", "sport": "NCAAF"}</t>
        </is>
      </c>
    </row>
    <row r="558" ht="36" customHeight="1">
      <c r="A558" s="24" t="inlineStr">
        <is>
          <t>0cd9ed2a4ac64114</t>
        </is>
      </c>
      <c r="B558" s="24" t="inlineStr">
        <is>
          <t>2026-09-26T15:01:01.506546Z</t>
        </is>
      </c>
      <c r="C558" s="24" t="inlineStr">
        <is>
          <t>2026-09-26T20:00Z</t>
        </is>
      </c>
      <c r="D558" s="24" t="inlineStr">
        <is>
          <t>401862781</t>
        </is>
      </c>
      <c r="E558" s="24" t="inlineStr">
        <is>
          <t>NCAAF</t>
        </is>
      </c>
      <c r="F558" s="24" t="inlineStr">
        <is>
          <t>North Carolina Central Eagles</t>
        </is>
      </c>
      <c r="G558" s="24" t="inlineStr">
        <is>
          <t>East Carolina Pirates</t>
        </is>
      </c>
      <c r="H558" s="24" t="inlineStr">
        <is>
          <t>spread</t>
        </is>
      </c>
      <c r="I558" s="24" t="inlineStr">
        <is>
          <t>away</t>
        </is>
      </c>
      <c r="J558" s="25" t="n">
        <v>37.5</v>
      </c>
      <c r="K558" s="24" t="inlineStr">
        <is>
          <t>espn_consensus</t>
        </is>
      </c>
      <c r="L558" s="26" t="n">
        <v>-110</v>
      </c>
      <c r="M558" s="27" t="n">
        <v>1.909091</v>
      </c>
      <c r="N558" s="28" t="n">
        <v>0.52381</v>
      </c>
      <c r="O558" s="28" t="n">
        <v>0.899467</v>
      </c>
      <c r="P558" s="28" t="n">
        <v>0.18</v>
      </c>
      <c r="Q558" s="28" t="n">
        <v>0.375657</v>
      </c>
      <c r="R558" s="26" t="n">
        <v>100</v>
      </c>
      <c r="S558" s="29" t="n">
        <v>2</v>
      </c>
      <c r="T558" s="24" t="inlineStr">
        <is>
          <t>cfb-spread-v1</t>
        </is>
      </c>
      <c r="U558" s="24" t="inlineStr">
        <is>
          <t>settled</t>
        </is>
      </c>
      <c r="V558" s="24" t="inlineStr">
        <is>
          <t>win</t>
        </is>
      </c>
      <c r="W558" s="26" t="n">
        <v>9</v>
      </c>
      <c r="X558" s="26" t="n">
        <v>42</v>
      </c>
      <c r="Y558" s="25" t="n"/>
      <c r="Z558" s="26" t="n"/>
      <c r="AA558" s="28" t="n"/>
      <c r="AB558" s="28" t="n"/>
      <c r="AC558" s="30" t="n">
        <v>1.8182</v>
      </c>
      <c r="AD558" s="24" t="inlineStr">
        <is>
          <t>2026-09-27T04:30:51.632845Z</t>
        </is>
      </c>
      <c r="AE558" s="31" t="inlineStr">
        <is>
          <t>Projected home margin +11.9 pts. Spread: Home -37.5 / Away +37.5 -&gt; P(Away cover)=0.899, P(Home cover)=0.101, P(Push)=0.000.</t>
        </is>
      </c>
      <c r="AF558" s="31" t="inlineStr">
        <is>
          <t>College football model; multi-market (moneyline, spread, total).</t>
        </is>
      </c>
      <c r="AG558" s="24" t="inlineStr">
        <is>
          <t>not_applicable</t>
        </is>
      </c>
      <c r="AH558" s="24" t="n"/>
      <c r="AI558" s="31" t="n"/>
      <c r="AJ558" s="31" t="n"/>
      <c r="AK558" s="24" t="inlineStr">
        <is>
          <t>model_qualified</t>
        </is>
      </c>
      <c r="AL558" s="26" t="n">
        <v>4</v>
      </c>
      <c r="AM558" s="24" t="inlineStr">
        <is>
          <t>QUALIFIED_SHADOW_CALL</t>
        </is>
      </c>
      <c r="AN558" s="24" t="inlineStr">
        <is>
          <t>CALL</t>
        </is>
      </c>
      <c r="AO558" s="24" t="inlineStr">
        <is>
          <t>QUALIFIED</t>
        </is>
      </c>
      <c r="AP558" s="24" t="inlineStr">
        <is>
          <t>North Carolina Central Eagles</t>
        </is>
      </c>
      <c r="AQ558" s="24" t="inlineStr">
        <is>
          <t>North Carolina Central Eagles</t>
        </is>
      </c>
      <c r="AR558" s="24" t="inlineStr">
        <is>
          <t>North Carolina Central Eagles</t>
        </is>
      </c>
      <c r="AS558" s="24" t="inlineStr">
        <is>
          <t>East Carolina Pirates</t>
        </is>
      </c>
      <c r="AT558" s="24" t="inlineStr">
        <is>
          <t>East Carolina Pirates</t>
        </is>
      </c>
      <c r="AU558" s="24" t="inlineStr">
        <is>
          <t>East Carolina Pirates</t>
        </is>
      </c>
      <c r="AV558" s="24" t="n"/>
      <c r="AW558" s="24" t="n"/>
      <c r="AX558" s="24" t="inlineStr">
        <is>
          <t>statistical_model</t>
        </is>
      </c>
      <c r="AY558" s="24" t="n"/>
      <c r="AZ558" s="24" t="inlineStr">
        <is>
          <t>shadow_qualified</t>
        </is>
      </c>
      <c r="BA558" s="24" t="inlineStr">
        <is>
          <t>1d168f11d221cd3c</t>
        </is>
      </c>
      <c r="BB558" s="24" t="inlineStr">
        <is>
          <t>cfb_key_number_engine</t>
        </is>
      </c>
      <c r="BC558" s="24" t="inlineStr">
        <is>
          <t>cfb-spread-v1</t>
        </is>
      </c>
      <c r="BD558" s="24" t="inlineStr">
        <is>
          <t>1d168f11d221cd3c</t>
        </is>
      </c>
      <c r="BE558" s="24" t="inlineStr">
        <is>
          <t>cfb-v1</t>
        </is>
      </c>
      <c r="BF558" s="24" t="inlineStr">
        <is>
          <t>1</t>
        </is>
      </c>
      <c r="BG558" s="24" t="inlineStr">
        <is>
          <t>1d168f11d221cd3c</t>
        </is>
      </c>
      <c r="BH558" s="24" t="inlineStr">
        <is>
          <t>2026-09-26T15:01:01.506546+00:00</t>
        </is>
      </c>
      <c r="BI558" s="24" t="inlineStr">
        <is>
          <t>["same_event","same_team_same_day","same_league_same_day"]</t>
        </is>
      </c>
      <c r="BJ558" s="25" t="n">
        <v>37.5</v>
      </c>
      <c r="BK558" s="26" t="n">
        <v>-110</v>
      </c>
      <c r="BL558" s="27" t="n">
        <v>1.909091</v>
      </c>
      <c r="BM558" s="28" t="n">
        <v>0.52381</v>
      </c>
      <c r="BN558" s="28" t="n"/>
      <c r="BO558" s="28" t="n"/>
      <c r="BP558" s="25" t="n"/>
      <c r="BQ558" s="27" t="n"/>
      <c r="BR558" s="28" t="n"/>
      <c r="BS558" s="28" t="n"/>
      <c r="BT558" s="28" t="n"/>
      <c r="BU558" s="25" t="n"/>
      <c r="BV558" s="29" t="n"/>
      <c r="BW558" s="24" t="n"/>
      <c r="BX558" s="30" t="n"/>
      <c r="BY558" s="27" t="n"/>
      <c r="BZ558" s="24" t="n"/>
      <c r="CA558" s="31" t="n"/>
      <c r="CB558" s="24" t="n"/>
      <c r="CC558" s="24" t="n"/>
      <c r="CD558" s="24" t="n"/>
      <c r="CE558" s="24" t="n"/>
      <c r="CF558" s="24" t="n"/>
      <c r="CG558" s="24" t="n"/>
      <c r="CH558" s="24" t="n"/>
      <c r="CI558" s="24" t="n"/>
      <c r="CJ558" s="24" t="n"/>
      <c r="CK558" s="24" t="n"/>
      <c r="CL558" s="24" t="n"/>
      <c r="CM558" s="24" t="n"/>
      <c r="CN558" s="24" t="n"/>
      <c r="CO558" s="24" t="n"/>
      <c r="CP558" s="24" t="n"/>
      <c r="CQ558" s="24" t="n"/>
      <c r="CR558" s="24" t="n"/>
      <c r="CS558" s="24" t="inlineStr">
        <is>
          <t>True</t>
        </is>
      </c>
      <c r="CT558" s="24" t="n"/>
      <c r="CU558" s="24" t="n"/>
      <c r="CV558" s="24" t="n"/>
      <c r="CW558" s="24" t="n"/>
      <c r="CX558" s="24" t="n"/>
      <c r="CY558" s="24" t="n"/>
      <c r="CZ558" s="24" t="n"/>
      <c r="DA558" s="24" t="n"/>
      <c r="DB558" s="24" t="n"/>
      <c r="DC558" s="24" t="n"/>
      <c r="DD558" s="24" t="n"/>
      <c r="DE558" s="24" t="n"/>
      <c r="DF558" s="24" t="n"/>
      <c r="DG558" s="24" t="n"/>
      <c r="DH558" s="24" t="n"/>
      <c r="DI558" s="24" t="n"/>
      <c r="DJ558" s="24" t="inlineStr">
        <is>
          <t>0.52381</t>
        </is>
      </c>
      <c r="DK558" s="24" t="n"/>
      <c r="DL558" s="24" t="n"/>
      <c r="DM558" s="24" t="n"/>
      <c r="DN558" s="24" t="n"/>
      <c r="DO558" s="24" t="n"/>
      <c r="DP558" s="24" t="n"/>
      <c r="DQ558" s="24" t="inlineStr">
        <is>
          <t>{"artifact_hash": "1d168f11d221cd3c", "event_id": "401862781", "event_start_utc": "2026-09-26T20:00Z", "features": {"altitude_fatigue_penalty": 0.0, "away_team": "North Carolina Central Eagles", "efficiency_gap": -0.762, "elo_away": 1337.5, "elo_home": 1564.7, "elo_home_win_prob": 0.8432, "event_id": "401862781", "game_start_utc": "2026-09-26T20:00Z", "home_field_advantage_points": 2.8, "home_team": "East Carolina Pirates", "is_dome": false, "is_fbs_vs_fcs": false, "is_neutral_site": false, "projected_away_points": 20.2, "projected_home_points": 32.1, "projected_margin_home": 11.9,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20.2, "mu_home": 32.1,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223076293952108810326243579967432114702}, "uinteger": 0}, "spread_home_line": -37.5, "total_line": 57.5}, "market_type": "spread", "model_version": "cfb-spread-v1", "observed_at_utc": "2026-09-26T15:01:01.506546+00:00", "probabilities": {"away": 0.899467, "home": 0.100533, "push": 0.0}, "replay_scope": "Full precision score means, exact engine parameters and original RNG state; upstream feature construction not certified.", "schema": "cfb-joint-replay-v1", "snapshot_hash": "77d5226d2c13713e5d129032fe88982e7f05966ab4b60b9338edbac64b8c216f", "sport": "NCAAF"}</t>
        </is>
      </c>
    </row>
    <row r="559" ht="36" customHeight="1">
      <c r="A559" s="24" t="inlineStr">
        <is>
          <t>2279f3c352d64380</t>
        </is>
      </c>
      <c r="B559" s="24" t="inlineStr">
        <is>
          <t>2026-09-26T15:01:01.506546Z</t>
        </is>
      </c>
      <c r="C559" s="24" t="inlineStr">
        <is>
          <t>2026-09-26T20:00Z</t>
        </is>
      </c>
      <c r="D559" s="24" t="inlineStr">
        <is>
          <t>401862781</t>
        </is>
      </c>
      <c r="E559" s="24" t="inlineStr">
        <is>
          <t>NCAAF</t>
        </is>
      </c>
      <c r="F559" s="24" t="inlineStr">
        <is>
          <t>North Carolina Central Eagles</t>
        </is>
      </c>
      <c r="G559" s="24" t="inlineStr">
        <is>
          <t>East Carolina Pirates</t>
        </is>
      </c>
      <c r="H559" s="24" t="inlineStr">
        <is>
          <t>total</t>
        </is>
      </c>
      <c r="I559" s="24" t="inlineStr">
        <is>
          <t>under</t>
        </is>
      </c>
      <c r="J559" s="25" t="n">
        <v>57.5</v>
      </c>
      <c r="K559" s="24" t="inlineStr">
        <is>
          <t>espn_consensus</t>
        </is>
      </c>
      <c r="L559" s="26" t="n">
        <v>-110</v>
      </c>
      <c r="M559" s="27" t="n">
        <v>1.909091</v>
      </c>
      <c r="N559" s="28" t="n">
        <v>0.52381</v>
      </c>
      <c r="O559" s="28" t="n">
        <v>0.614067</v>
      </c>
      <c r="P559" s="28" t="n">
        <v>0.18</v>
      </c>
      <c r="Q559" s="28" t="n">
        <v>0.090257</v>
      </c>
      <c r="R559" s="26" t="n">
        <v>0</v>
      </c>
      <c r="S559" s="29" t="n">
        <v>1</v>
      </c>
      <c r="T559" s="24" t="inlineStr">
        <is>
          <t>cfb-total-v1</t>
        </is>
      </c>
      <c r="U559" s="24" t="inlineStr">
        <is>
          <t>settled</t>
        </is>
      </c>
      <c r="V559" s="24" t="inlineStr">
        <is>
          <t>win</t>
        </is>
      </c>
      <c r="W559" s="26" t="n">
        <v>9</v>
      </c>
      <c r="X559" s="26" t="n">
        <v>42</v>
      </c>
      <c r="Y559" s="25" t="n"/>
      <c r="Z559" s="26" t="n"/>
      <c r="AA559" s="28" t="n"/>
      <c r="AB559" s="28" t="n"/>
      <c r="AC559" s="30" t="n">
        <v>0.9091</v>
      </c>
      <c r="AD559" s="24" t="inlineStr">
        <is>
          <t>2026-09-27T04:30:52.208180Z</t>
        </is>
      </c>
      <c r="AE559" s="31" t="inlineStr">
        <is>
          <t>Projected total 52.3 pts (Weather adj: +0.0 pts). Total line 57.5 -&gt; P(Over)=0.386, P(Under)=0.614, P(Push)=0.000.</t>
        </is>
      </c>
      <c r="AF559" s="31" t="inlineStr">
        <is>
          <t>College football model; multi-market (moneyline, spread, total).</t>
        </is>
      </c>
      <c r="AG559" s="24" t="inlineStr">
        <is>
          <t>not_applicable</t>
        </is>
      </c>
      <c r="AH559" s="24" t="n"/>
      <c r="AI559" s="31" t="n"/>
      <c r="AJ559" s="31" t="n"/>
      <c r="AK559" s="24" t="inlineStr">
        <is>
          <t>model_qualified</t>
        </is>
      </c>
      <c r="AL559" s="26" t="n">
        <v>4</v>
      </c>
      <c r="AM559" s="24" t="inlineStr">
        <is>
          <t>QUALIFIED_SHADOW_CALL</t>
        </is>
      </c>
      <c r="AN559" s="24" t="inlineStr">
        <is>
          <t>CALL</t>
        </is>
      </c>
      <c r="AO559" s="24" t="inlineStr">
        <is>
          <t>QUALIFIED</t>
        </is>
      </c>
      <c r="AP559" s="24" t="inlineStr">
        <is>
          <t>North Carolina Central Eagles</t>
        </is>
      </c>
      <c r="AQ559" s="24" t="inlineStr">
        <is>
          <t>North Carolina Central Eagles</t>
        </is>
      </c>
      <c r="AR559" s="24" t="inlineStr">
        <is>
          <t>North Carolina Central Eagles</t>
        </is>
      </c>
      <c r="AS559" s="24" t="inlineStr">
        <is>
          <t>East Carolina Pirates</t>
        </is>
      </c>
      <c r="AT559" s="24" t="inlineStr">
        <is>
          <t>East Carolina Pirates</t>
        </is>
      </c>
      <c r="AU559" s="24" t="inlineStr">
        <is>
          <t>East Carolina Pirates</t>
        </is>
      </c>
      <c r="AV559" s="24" t="n"/>
      <c r="AW559" s="24" t="n"/>
      <c r="AX559" s="24" t="inlineStr">
        <is>
          <t>statistical_model</t>
        </is>
      </c>
      <c r="AY559" s="24" t="n"/>
      <c r="AZ559" s="24" t="inlineStr">
        <is>
          <t>shadow_qualified</t>
        </is>
      </c>
      <c r="BA559" s="24" t="inlineStr">
        <is>
          <t>1d168f11d221cd3c</t>
        </is>
      </c>
      <c r="BB559" s="24" t="inlineStr">
        <is>
          <t>cfb_key_number_engine</t>
        </is>
      </c>
      <c r="BC559" s="24" t="inlineStr">
        <is>
          <t>cfb-total-v1</t>
        </is>
      </c>
      <c r="BD559" s="24" t="inlineStr">
        <is>
          <t>1d168f11d221cd3c</t>
        </is>
      </c>
      <c r="BE559" s="24" t="inlineStr">
        <is>
          <t>cfb-v1</t>
        </is>
      </c>
      <c r="BF559" s="24" t="inlineStr">
        <is>
          <t>1</t>
        </is>
      </c>
      <c r="BG559" s="24" t="inlineStr">
        <is>
          <t>1d168f11d221cd3c</t>
        </is>
      </c>
      <c r="BH559" s="24" t="inlineStr">
        <is>
          <t>2026-09-26T15:01:01.506546+00:00</t>
        </is>
      </c>
      <c r="BI559" s="24" t="inlineStr">
        <is>
          <t>["same_event","same_team_same_day","same_league_same_day"]</t>
        </is>
      </c>
      <c r="BJ559" s="25" t="n">
        <v>57.5</v>
      </c>
      <c r="BK559" s="26" t="n">
        <v>-110</v>
      </c>
      <c r="BL559" s="27" t="n">
        <v>1.909091</v>
      </c>
      <c r="BM559" s="28" t="n">
        <v>0.52381</v>
      </c>
      <c r="BN559" s="28" t="n"/>
      <c r="BO559" s="28" t="n"/>
      <c r="BP559" s="25" t="n"/>
      <c r="BQ559" s="27" t="n"/>
      <c r="BR559" s="28" t="n"/>
      <c r="BS559" s="28" t="n"/>
      <c r="BT559" s="28" t="n"/>
      <c r="BU559" s="25" t="n"/>
      <c r="BV559" s="29" t="n"/>
      <c r="BW559" s="24" t="n"/>
      <c r="BX559" s="30" t="n"/>
      <c r="BY559" s="27" t="n"/>
      <c r="BZ559" s="24" t="n"/>
      <c r="CA559" s="31" t="n"/>
      <c r="CB559" s="24" t="n"/>
      <c r="CC559" s="24" t="n"/>
      <c r="CD559" s="24" t="n"/>
      <c r="CE559" s="24" t="n"/>
      <c r="CF559" s="24" t="n"/>
      <c r="CG559" s="24" t="n"/>
      <c r="CH559" s="24" t="n"/>
      <c r="CI559" s="24" t="n"/>
      <c r="CJ559" s="24" t="n"/>
      <c r="CK559" s="24" t="n"/>
      <c r="CL559" s="24" t="n"/>
      <c r="CM559" s="24" t="n"/>
      <c r="CN559" s="24" t="n"/>
      <c r="CO559" s="24" t="n"/>
      <c r="CP559" s="24" t="n"/>
      <c r="CQ559" s="24" t="n"/>
      <c r="CR559" s="24" t="n"/>
      <c r="CS559" s="24" t="inlineStr">
        <is>
          <t>True</t>
        </is>
      </c>
      <c r="CT559" s="24" t="n"/>
      <c r="CU559" s="24" t="n"/>
      <c r="CV559" s="24" t="n"/>
      <c r="CW559" s="24" t="n"/>
      <c r="CX559" s="24" t="n"/>
      <c r="CY559" s="24" t="n"/>
      <c r="CZ559" s="24" t="n"/>
      <c r="DA559" s="24" t="n"/>
      <c r="DB559" s="24" t="n"/>
      <c r="DC559" s="24" t="n"/>
      <c r="DD559" s="24" t="n"/>
      <c r="DE559" s="24" t="n"/>
      <c r="DF559" s="24" t="n"/>
      <c r="DG559" s="24" t="n"/>
      <c r="DH559" s="24" t="n"/>
      <c r="DI559" s="24" t="n"/>
      <c r="DJ559" s="24" t="inlineStr">
        <is>
          <t>0.52381</t>
        </is>
      </c>
      <c r="DK559" s="24" t="n"/>
      <c r="DL559" s="24" t="n"/>
      <c r="DM559" s="24" t="n"/>
      <c r="DN559" s="24" t="n"/>
      <c r="DO559" s="24" t="n"/>
      <c r="DP559" s="24" t="n"/>
      <c r="DQ559" s="24" t="inlineStr">
        <is>
          <t>{"artifact_hash": "1d168f11d221cd3c", "event_id": "401862781", "event_start_utc": "2026-09-26T20:00Z", "features": {"altitude_fatigue_penalty": 0.0, "away_team": "North Carolina Central Eagles", "efficiency_gap": -0.762, "elo_away": 1337.5, "elo_home": 1564.7, "elo_home_win_prob": 0.8432, "event_id": "401862781", "game_start_utc": "2026-09-26T20:00Z", "home_field_advantage_points": 2.8, "home_team": "East Carolina Pirates", "is_dome": false, "is_fbs_vs_fcs": false, "is_neutral_site": false, "projected_away_points": 20.2, "projected_home_points": 32.1, "projected_margin_home": 11.9, "projected_possessions": 12.4, "projected_total": 52.3,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20.2, "mu_home": 32.1,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223076293952108810326243579967432114702}, "uinteger": 0}, "spread_home_line": -37.5, "total_line": 57.5}, "market_type": "total", "model_version": "cfb-total-v1", "observed_at_utc": "2026-09-26T15:01:01.506546+00:00", "probabilities": {"over": 0.385933, "push": 0.0, "under": 0.614067}, "replay_scope": "Full precision score means, exact engine parameters and original RNG state; upstream feature construction not certified.", "schema": "cfb-joint-replay-v1", "snapshot_hash": "86ae86900f50cd4909cdadcecb0f411d7ec8f5dd583c546b4734fa4b934ab459", "sport": "NCAAF"}</t>
        </is>
      </c>
    </row>
    <row r="560" ht="36" customHeight="1">
      <c r="A560" s="24" t="inlineStr">
        <is>
          <t>6c6462342a064d31</t>
        </is>
      </c>
      <c r="B560" s="24" t="inlineStr">
        <is>
          <t>2026-09-26T15:01:01.506546Z</t>
        </is>
      </c>
      <c r="C560" s="24" t="inlineStr">
        <is>
          <t>2026-09-26T20:15Z</t>
        </is>
      </c>
      <c r="D560" s="24" t="inlineStr">
        <is>
          <t>401856698</t>
        </is>
      </c>
      <c r="E560" s="24" t="inlineStr">
        <is>
          <t>NCAAF</t>
        </is>
      </c>
      <c r="F560" s="24" t="inlineStr">
        <is>
          <t>Vanderbilt Commodores</t>
        </is>
      </c>
      <c r="G560" s="24" t="inlineStr">
        <is>
          <t>Auburn Tigers</t>
        </is>
      </c>
      <c r="H560" s="24" t="inlineStr">
        <is>
          <t>moneyline</t>
        </is>
      </c>
      <c r="I560" s="24" t="inlineStr">
        <is>
          <t>away</t>
        </is>
      </c>
      <c r="J560" s="25" t="n"/>
      <c r="K560" s="24" t="inlineStr">
        <is>
          <t>espn_consensus</t>
        </is>
      </c>
      <c r="L560" s="26" t="n">
        <v>295</v>
      </c>
      <c r="M560" s="27" t="n">
        <v>3.95</v>
      </c>
      <c r="N560" s="28" t="n">
        <v>0.253165</v>
      </c>
      <c r="O560" s="28" t="n">
        <v>0.682581</v>
      </c>
      <c r="P560" s="28" t="n">
        <v>0.18</v>
      </c>
      <c r="Q560" s="28" t="n">
        <v>0.429416</v>
      </c>
      <c r="R560" s="26" t="n">
        <v>100</v>
      </c>
      <c r="S560" s="29" t="n">
        <v>2</v>
      </c>
      <c r="T560" s="24" t="inlineStr">
        <is>
          <t>college-football-v1</t>
        </is>
      </c>
      <c r="U560" s="24" t="inlineStr">
        <is>
          <t>settled</t>
        </is>
      </c>
      <c r="V560" s="24" t="inlineStr">
        <is>
          <t>loss</t>
        </is>
      </c>
      <c r="W560" s="26" t="n">
        <v>15</v>
      </c>
      <c r="X560" s="26" t="n">
        <v>21</v>
      </c>
      <c r="Y560" s="25" t="n"/>
      <c r="Z560" s="26" t="n"/>
      <c r="AA560" s="28" t="n"/>
      <c r="AB560" s="28" t="n"/>
      <c r="AC560" s="30" t="n">
        <v>-2</v>
      </c>
      <c r="AD560" s="24" t="inlineStr">
        <is>
          <t>2026-09-27T04:30:52.853135Z</t>
        </is>
      </c>
      <c r="AE560" s="31" t="inlineStr">
        <is>
          <t>CFB Joint Model (negative_binomial): proj score Vanderbilt Commodores 31.9 @ Auburn Tigers 22.7 (Margin -9.2). Possessions: 12.4, HFA: +2.8 pts.</t>
        </is>
      </c>
      <c r="AF560" s="31" t="inlineStr">
        <is>
          <t>College football model; multi-market (moneyline, spread, total).</t>
        </is>
      </c>
      <c r="AG560" s="24" t="inlineStr">
        <is>
          <t>review_required</t>
        </is>
      </c>
      <c r="AH560" s="24" t="n"/>
      <c r="AI560" s="31" t="n"/>
      <c r="AJ560" s="31" t="n"/>
      <c r="AK560" s="24" t="inlineStr">
        <is>
          <t>model_qualified</t>
        </is>
      </c>
      <c r="AL560" s="26" t="n">
        <v>4</v>
      </c>
      <c r="AM560" s="24" t="inlineStr">
        <is>
          <t>QUALIFIED_SHADOW_CALL</t>
        </is>
      </c>
      <c r="AN560" s="24" t="inlineStr">
        <is>
          <t>CALL</t>
        </is>
      </c>
      <c r="AO560" s="24" t="inlineStr">
        <is>
          <t>QUALIFIED</t>
        </is>
      </c>
      <c r="AP560" s="24" t="inlineStr">
        <is>
          <t>Vanderbilt Commodores</t>
        </is>
      </c>
      <c r="AQ560" s="24" t="inlineStr">
        <is>
          <t>Vanderbilt Commodores</t>
        </is>
      </c>
      <c r="AR560" s="24" t="inlineStr">
        <is>
          <t>Vanderbilt Commodores</t>
        </is>
      </c>
      <c r="AS560" s="24" t="inlineStr">
        <is>
          <t>Auburn Tigers</t>
        </is>
      </c>
      <c r="AT560" s="24" t="inlineStr">
        <is>
          <t>Auburn Tigers</t>
        </is>
      </c>
      <c r="AU560" s="24" t="inlineStr">
        <is>
          <t>Auburn Tigers</t>
        </is>
      </c>
      <c r="AV560" s="24" t="n"/>
      <c r="AW560" s="24" t="n"/>
      <c r="AX560" s="24" t="inlineStr">
        <is>
          <t>statistical_model</t>
        </is>
      </c>
      <c r="AY560" s="24" t="n"/>
      <c r="AZ560" s="24" t="inlineStr">
        <is>
          <t>shadow_qualified</t>
        </is>
      </c>
      <c r="BA560" s="24" t="inlineStr">
        <is>
          <t>1d168f11d221cd3c</t>
        </is>
      </c>
      <c r="BB560" s="24" t="inlineStr">
        <is>
          <t>cfb_key_number_engine</t>
        </is>
      </c>
      <c r="BC560" s="24" t="inlineStr">
        <is>
          <t>college-football-v1</t>
        </is>
      </c>
      <c r="BD560" s="24" t="inlineStr">
        <is>
          <t>1d168f11d221cd3c</t>
        </is>
      </c>
      <c r="BE560" s="24" t="inlineStr">
        <is>
          <t>cfb-v1</t>
        </is>
      </c>
      <c r="BF560" s="24" t="inlineStr">
        <is>
          <t>1</t>
        </is>
      </c>
      <c r="BG560" s="24" t="inlineStr">
        <is>
          <t>1d168f11d221cd3c</t>
        </is>
      </c>
      <c r="BH560" s="24" t="inlineStr">
        <is>
          <t>2026-09-26T15:01:01.506546+00:00</t>
        </is>
      </c>
      <c r="BI560" s="24" t="inlineStr">
        <is>
          <t>["same_event","same_team_same_day","same_league_same_day"]</t>
        </is>
      </c>
      <c r="BJ560" s="25" t="n"/>
      <c r="BK560" s="26" t="n">
        <v>295</v>
      </c>
      <c r="BL560" s="27" t="n">
        <v>3.95</v>
      </c>
      <c r="BM560" s="28" t="n">
        <v>0.253165</v>
      </c>
      <c r="BN560" s="28" t="n"/>
      <c r="BO560" s="28" t="n"/>
      <c r="BP560" s="25" t="n"/>
      <c r="BQ560" s="27" t="n"/>
      <c r="BR560" s="28" t="n"/>
      <c r="BS560" s="28" t="n"/>
      <c r="BT560" s="28" t="n"/>
      <c r="BU560" s="25" t="n"/>
      <c r="BV560" s="29" t="n"/>
      <c r="BW560" s="24" t="n"/>
      <c r="BX560" s="30" t="n"/>
      <c r="BY560" s="27" t="n"/>
      <c r="BZ560" s="24" t="n"/>
      <c r="CA560" s="31" t="n"/>
      <c r="CB560" s="24" t="n"/>
      <c r="CC560" s="24" t="n"/>
      <c r="CD560" s="24" t="n"/>
      <c r="CE560" s="24" t="n"/>
      <c r="CF560" s="24" t="n"/>
      <c r="CG560" s="24" t="n"/>
      <c r="CH560" s="24" t="n"/>
      <c r="CI560" s="24" t="n"/>
      <c r="CJ560" s="24" t="n"/>
      <c r="CK560" s="24" t="n"/>
      <c r="CL560" s="24" t="n"/>
      <c r="CM560" s="24" t="n"/>
      <c r="CN560" s="24" t="n"/>
      <c r="CO560" s="24" t="n"/>
      <c r="CP560" s="24" t="n"/>
      <c r="CQ560" s="24" t="n"/>
      <c r="CR560" s="24" t="n"/>
      <c r="CS560" s="24" t="inlineStr">
        <is>
          <t>True</t>
        </is>
      </c>
      <c r="CT560" s="24" t="n"/>
      <c r="CU560" s="24" t="n"/>
      <c r="CV560" s="24" t="n"/>
      <c r="CW560" s="24" t="n"/>
      <c r="CX560" s="24" t="n"/>
      <c r="CY560" s="24" t="n"/>
      <c r="CZ560" s="24" t="n"/>
      <c r="DA560" s="24" t="n"/>
      <c r="DB560" s="24" t="n"/>
      <c r="DC560" s="24" t="n"/>
      <c r="DD560" s="24" t="n"/>
      <c r="DE560" s="24" t="n"/>
      <c r="DF560" s="24" t="n"/>
      <c r="DG560" s="24" t="n"/>
      <c r="DH560" s="24" t="n"/>
      <c r="DI560" s="24" t="n"/>
      <c r="DJ560" s="24" t="inlineStr">
        <is>
          <t>0.253165</t>
        </is>
      </c>
      <c r="DK560" s="24" t="n"/>
      <c r="DL560" s="24" t="n"/>
      <c r="DM560" s="24" t="n"/>
      <c r="DN560" s="24" t="n"/>
      <c r="DO560" s="24" t="n"/>
      <c r="DP560" s="24" t="n"/>
      <c r="DQ560" s="24" t="inlineStr">
        <is>
          <t>{"artifact_hash": "1d168f11d221cd3c", "event_id": "401856698", "event_start_utc": "2026-09-26T20:15Z", "features": {"altitude_fatigue_penalty": 0.0, "away_team": "Vanderbilt Commodores", "efficiency_gap": -0.29, "elo_away": 1680.3, "elo_home": 1389.0, "elo_home_win_prob": 0.2136, "event_id": "401856698", "game_start_utc": "2026-09-26T20:15Z", "home_field_advantage_points": 2.8, "home_team": "Auburn Tigers", "is_dome": false, "is_fbs_vs_fcs": false, "is_neutral_site": false, "projected_away_points": 31.9, "projected_home_points": 22.7, "projected_margin_home": -9.2, "projected_possessions": 12.4, "projected_total": 54.6, "stadium_elevation_ft": 700, "travel_distance_miles": 256.0, "uncertainty": 0.18, "weather_total_adjustment": 0.0}, "historical_source_observation_times_verified": false, "inference_inputs": {"engine_source_sha256": "449ba2f0e86fa9c445730076a0e0bf100fb4914620be53c75c6f3bfe24298f3f", "mu_away": 31.9, "mu_home": 22.7,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277904273062697564587142704131339841429}, "uinteger": 0}, "spread_home_line": -10.0, "total_line": 55.5}, "market_type": "moneyline", "model_version": "college-football-v1", "observed_at_utc": "2026-09-26T15:01:01.506546+00:00", "probabilities": {"away": 0.682581, "home": 0.317419}, "replay_scope": "Full precision score means, exact engine parameters and original RNG state; upstream feature construction not certified.", "schema": "cfb-joint-replay-v1", "snapshot_hash": "48cba380ac11e443d1197e2add94d61f31a9fbc54357e8fdf643d70cfb67f63c", "sport": "NCAAF"}</t>
        </is>
      </c>
    </row>
    <row r="561" ht="36" customHeight="1">
      <c r="A561" s="24" t="inlineStr">
        <is>
          <t>3e3690980cfa454a</t>
        </is>
      </c>
      <c r="B561" s="24" t="inlineStr">
        <is>
          <t>2026-09-26T15:01:01.506546Z</t>
        </is>
      </c>
      <c r="C561" s="24" t="inlineStr">
        <is>
          <t>2026-09-26T20:15Z</t>
        </is>
      </c>
      <c r="D561" s="24" t="inlineStr">
        <is>
          <t>401856698</t>
        </is>
      </c>
      <c r="E561" s="24" t="inlineStr">
        <is>
          <t>NCAAF</t>
        </is>
      </c>
      <c r="F561" s="24" t="inlineStr">
        <is>
          <t>Vanderbilt Commodores</t>
        </is>
      </c>
      <c r="G561" s="24" t="inlineStr">
        <is>
          <t>Auburn Tigers</t>
        </is>
      </c>
      <c r="H561" s="24" t="inlineStr">
        <is>
          <t>spread</t>
        </is>
      </c>
      <c r="I561" s="24" t="inlineStr">
        <is>
          <t>away</t>
        </is>
      </c>
      <c r="J561" s="25" t="n">
        <v>10</v>
      </c>
      <c r="K561" s="24" t="inlineStr">
        <is>
          <t>espn_consensus</t>
        </is>
      </c>
      <c r="L561" s="26" t="n">
        <v>-112</v>
      </c>
      <c r="M561" s="27" t="n">
        <v>1.892857</v>
      </c>
      <c r="N561" s="28" t="n">
        <v>0.528302</v>
      </c>
      <c r="O561" s="28" t="n">
        <v>0.825867</v>
      </c>
      <c r="P561" s="28" t="n">
        <v>0.18</v>
      </c>
      <c r="Q561" s="28" t="n">
        <v>0.297565</v>
      </c>
      <c r="R561" s="26" t="n">
        <v>91</v>
      </c>
      <c r="S561" s="29" t="n">
        <v>1.75</v>
      </c>
      <c r="T561" s="24" t="inlineStr">
        <is>
          <t>cfb-spread-v1</t>
        </is>
      </c>
      <c r="U561" s="24" t="inlineStr">
        <is>
          <t>settled</t>
        </is>
      </c>
      <c r="V561" s="24" t="inlineStr">
        <is>
          <t>win</t>
        </is>
      </c>
      <c r="W561" s="26" t="n">
        <v>15</v>
      </c>
      <c r="X561" s="26" t="n">
        <v>21</v>
      </c>
      <c r="Y561" s="25" t="n"/>
      <c r="Z561" s="26" t="n"/>
      <c r="AA561" s="28" t="n"/>
      <c r="AB561" s="28" t="n"/>
      <c r="AC561" s="30" t="n">
        <v>1.5625</v>
      </c>
      <c r="AD561" s="24" t="inlineStr">
        <is>
          <t>2026-09-27T04:30:53.359092Z</t>
        </is>
      </c>
      <c r="AE561" s="31" t="inlineStr">
        <is>
          <t>Projected home margin -9.2 pts. Spread: Home -10.0 / Away +10.0 -&gt; P(Away cover)=0.826, P(Home cover)=0.163, P(Push)=0.011.</t>
        </is>
      </c>
      <c r="AF561" s="31" t="inlineStr">
        <is>
          <t>College football model; multi-market (moneyline, spread, total).</t>
        </is>
      </c>
      <c r="AG561" s="24" t="inlineStr">
        <is>
          <t>not_applicable</t>
        </is>
      </c>
      <c r="AH561" s="24" t="n"/>
      <c r="AI561" s="31" t="n"/>
      <c r="AJ561" s="31" t="n"/>
      <c r="AK561" s="24" t="inlineStr">
        <is>
          <t>model_qualified</t>
        </is>
      </c>
      <c r="AL561" s="26" t="n">
        <v>4</v>
      </c>
      <c r="AM561" s="24" t="inlineStr">
        <is>
          <t>QUALIFIED_SHADOW_CALL</t>
        </is>
      </c>
      <c r="AN561" s="24" t="inlineStr">
        <is>
          <t>CALL</t>
        </is>
      </c>
      <c r="AO561" s="24" t="inlineStr">
        <is>
          <t>QUALIFIED</t>
        </is>
      </c>
      <c r="AP561" s="24" t="inlineStr">
        <is>
          <t>Vanderbilt Commodores</t>
        </is>
      </c>
      <c r="AQ561" s="24" t="inlineStr">
        <is>
          <t>Vanderbilt Commodores</t>
        </is>
      </c>
      <c r="AR561" s="24" t="inlineStr">
        <is>
          <t>Vanderbilt Commodores</t>
        </is>
      </c>
      <c r="AS561" s="24" t="inlineStr">
        <is>
          <t>Auburn Tigers</t>
        </is>
      </c>
      <c r="AT561" s="24" t="inlineStr">
        <is>
          <t>Auburn Tigers</t>
        </is>
      </c>
      <c r="AU561" s="24" t="inlineStr">
        <is>
          <t>Auburn Tigers</t>
        </is>
      </c>
      <c r="AV561" s="24" t="n"/>
      <c r="AW561" s="24" t="n"/>
      <c r="AX561" s="24" t="inlineStr">
        <is>
          <t>statistical_model</t>
        </is>
      </c>
      <c r="AY561" s="24" t="n"/>
      <c r="AZ561" s="24" t="inlineStr">
        <is>
          <t>shadow_qualified</t>
        </is>
      </c>
      <c r="BA561" s="24" t="inlineStr">
        <is>
          <t>1d168f11d221cd3c</t>
        </is>
      </c>
      <c r="BB561" s="24" t="inlineStr">
        <is>
          <t>cfb_key_number_engine</t>
        </is>
      </c>
      <c r="BC561" s="24" t="inlineStr">
        <is>
          <t>cfb-spread-v1</t>
        </is>
      </c>
      <c r="BD561" s="24" t="inlineStr">
        <is>
          <t>1d168f11d221cd3c</t>
        </is>
      </c>
      <c r="BE561" s="24" t="inlineStr">
        <is>
          <t>cfb-v1</t>
        </is>
      </c>
      <c r="BF561" s="24" t="inlineStr">
        <is>
          <t>1</t>
        </is>
      </c>
      <c r="BG561" s="24" t="inlineStr">
        <is>
          <t>1d168f11d221cd3c</t>
        </is>
      </c>
      <c r="BH561" s="24" t="inlineStr">
        <is>
          <t>2026-09-26T15:01:01.506546+00:00</t>
        </is>
      </c>
      <c r="BI561" s="24" t="inlineStr">
        <is>
          <t>["same_event","same_team_same_day","same_league_same_day"]</t>
        </is>
      </c>
      <c r="BJ561" s="25" t="n">
        <v>10</v>
      </c>
      <c r="BK561" s="26" t="n">
        <v>-112</v>
      </c>
      <c r="BL561" s="27" t="n">
        <v>1.892857</v>
      </c>
      <c r="BM561" s="28" t="n">
        <v>0.528302</v>
      </c>
      <c r="BN561" s="28" t="n"/>
      <c r="BO561" s="28" t="n"/>
      <c r="BP561" s="25" t="n"/>
      <c r="BQ561" s="27" t="n"/>
      <c r="BR561" s="28" t="n"/>
      <c r="BS561" s="28" t="n"/>
      <c r="BT561" s="28" t="n"/>
      <c r="BU561" s="25" t="n"/>
      <c r="BV561" s="29" t="n"/>
      <c r="BW561" s="24" t="n"/>
      <c r="BX561" s="30" t="n"/>
      <c r="BY561" s="27" t="n"/>
      <c r="BZ561" s="24" t="n"/>
      <c r="CA561" s="31" t="n"/>
      <c r="CB561" s="24" t="n"/>
      <c r="CC561" s="24" t="n"/>
      <c r="CD561" s="24" t="n"/>
      <c r="CE561" s="24" t="n"/>
      <c r="CF561" s="24" t="n"/>
      <c r="CG561" s="24" t="n"/>
      <c r="CH561" s="24" t="n"/>
      <c r="CI561" s="24" t="n"/>
      <c r="CJ561" s="24" t="n"/>
      <c r="CK561" s="24" t="n"/>
      <c r="CL561" s="24" t="n"/>
      <c r="CM561" s="24" t="n"/>
      <c r="CN561" s="24" t="n"/>
      <c r="CO561" s="24" t="n"/>
      <c r="CP561" s="24" t="n"/>
      <c r="CQ561" s="24" t="n"/>
      <c r="CR561" s="24" t="n"/>
      <c r="CS561" s="24" t="inlineStr">
        <is>
          <t>True</t>
        </is>
      </c>
      <c r="CT561" s="24" t="n"/>
      <c r="CU561" s="24" t="n"/>
      <c r="CV561" s="24" t="n"/>
      <c r="CW561" s="24" t="n"/>
      <c r="CX561" s="24" t="n"/>
      <c r="CY561" s="24" t="n"/>
      <c r="CZ561" s="24" t="n"/>
      <c r="DA561" s="24" t="n"/>
      <c r="DB561" s="24" t="n"/>
      <c r="DC561" s="24" t="n"/>
      <c r="DD561" s="24" t="n"/>
      <c r="DE561" s="24" t="n"/>
      <c r="DF561" s="24" t="n"/>
      <c r="DG561" s="24" t="n"/>
      <c r="DH561" s="24" t="n"/>
      <c r="DI561" s="24" t="n"/>
      <c r="DJ561" s="24" t="inlineStr">
        <is>
          <t>0.528302</t>
        </is>
      </c>
      <c r="DK561" s="24" t="n"/>
      <c r="DL561" s="24" t="n"/>
      <c r="DM561" s="24" t="n"/>
      <c r="DN561" s="24" t="n"/>
      <c r="DO561" s="24" t="n"/>
      <c r="DP561" s="24" t="n"/>
      <c r="DQ561" s="24" t="inlineStr">
        <is>
          <t>{"artifact_hash": "1d168f11d221cd3c", "event_id": "401856698", "event_start_utc": "2026-09-26T20:15Z", "features": {"altitude_fatigue_penalty": 0.0, "away_team": "Vanderbilt Commodores", "efficiency_gap": -0.29, "elo_away": 1680.3, "elo_home": 1389.0, "elo_home_win_prob": 0.2136, "event_id": "401856698", "game_start_utc": "2026-09-26T20:15Z", "home_field_advantage_points": 2.8, "home_team": "Auburn Tigers", "is_dome": false, "is_fbs_vs_fcs": false, "is_neutral_site": false, "projected_away_points": 31.9, "projected_home_points": 22.7, "projected_margin_home": -9.2, "projected_possessions": 12.4, "projected_total": 54.6, "stadium_elevation_ft": 700, "travel_distance_miles": 256.0, "uncertainty": 0.18, "weather_total_adjustment": 0.0}, "historical_source_observation_times_verified": false, "inference_inputs": {"engine_source_sha256": "449ba2f0e86fa9c445730076a0e0bf100fb4914620be53c75c6f3bfe24298f3f", "mu_away": 31.9, "mu_home": 22.7,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277904273062697564587142704131339841429}, "uinteger": 0}, "spread_home_line": -10.0, "total_line": 55.5}, "market_type": "spread", "model_version": "cfb-spread-v1", "observed_at_utc": "2026-09-26T15:01:01.506546+00:00", "probabilities": {"away": 0.825867, "home": 0.163067, "push": 0.011067}, "replay_scope": "Full precision score means, exact engine parameters and original RNG state; upstream feature construction not certified.", "schema": "cfb-joint-replay-v1", "snapshot_hash": "bccf88a5147c8232bf2f83697c9b4f98d64c3fadf3b922cbf8c36e4534d2800c", "sport": "NCAAF"}</t>
        </is>
      </c>
    </row>
    <row r="562" ht="36" customHeight="1">
      <c r="A562" s="24" t="inlineStr">
        <is>
          <t>11416e488da74d10</t>
        </is>
      </c>
      <c r="B562" s="24" t="inlineStr">
        <is>
          <t>2026-09-26T15:01:01.506546Z</t>
        </is>
      </c>
      <c r="C562" s="24" t="inlineStr">
        <is>
          <t>2026-09-26T20:15Z</t>
        </is>
      </c>
      <c r="D562" s="24" t="inlineStr">
        <is>
          <t>401856698</t>
        </is>
      </c>
      <c r="E562" s="24" t="inlineStr">
        <is>
          <t>NCAAF</t>
        </is>
      </c>
      <c r="F562" s="24" t="inlineStr">
        <is>
          <t>Vanderbilt Commodores</t>
        </is>
      </c>
      <c r="G562" s="24" t="inlineStr">
        <is>
          <t>Auburn Tigers</t>
        </is>
      </c>
      <c r="H562" s="24" t="inlineStr">
        <is>
          <t>total</t>
        </is>
      </c>
      <c r="I562" s="24" t="inlineStr">
        <is>
          <t>under</t>
        </is>
      </c>
      <c r="J562" s="25" t="n">
        <v>55.5</v>
      </c>
      <c r="K562" s="24" t="inlineStr">
        <is>
          <t>espn_consensus</t>
        </is>
      </c>
      <c r="L562" s="26" t="n">
        <v>-110</v>
      </c>
      <c r="M562" s="27" t="n">
        <v>1.909091</v>
      </c>
      <c r="N562" s="28" t="n">
        <v>0.52381</v>
      </c>
      <c r="O562" s="28" t="n">
        <v>0.5505330000000001</v>
      </c>
      <c r="P562" s="28" t="n">
        <v>0.18</v>
      </c>
      <c r="Q562" s="28" t="n">
        <v>0.026723</v>
      </c>
      <c r="R562" s="26" t="n">
        <v>0</v>
      </c>
      <c r="S562" s="29" t="n">
        <v>1</v>
      </c>
      <c r="T562" s="24" t="inlineStr">
        <is>
          <t>cfb-total-v1</t>
        </is>
      </c>
      <c r="U562" s="24" t="inlineStr">
        <is>
          <t>settled</t>
        </is>
      </c>
      <c r="V562" s="24" t="inlineStr">
        <is>
          <t>win</t>
        </is>
      </c>
      <c r="W562" s="26" t="n">
        <v>15</v>
      </c>
      <c r="X562" s="26" t="n">
        <v>21</v>
      </c>
      <c r="Y562" s="25" t="n"/>
      <c r="Z562" s="26" t="n"/>
      <c r="AA562" s="28" t="n"/>
      <c r="AB562" s="28" t="n"/>
      <c r="AC562" s="30" t="n">
        <v>0.9091</v>
      </c>
      <c r="AD562" s="24" t="inlineStr">
        <is>
          <t>2026-09-27T04:30:53.977040Z</t>
        </is>
      </c>
      <c r="AE562" s="31" t="inlineStr">
        <is>
          <t>Projected total 54.6 pts (Weather adj: +0.0 pts). Total line 55.5 -&gt; P(Over)=0.449, P(Under)=0.551, P(Push)=0.000.</t>
        </is>
      </c>
      <c r="AF562" s="31" t="inlineStr">
        <is>
          <t>College football model; multi-market (moneyline, spread, total).</t>
        </is>
      </c>
      <c r="AG562" s="24" t="inlineStr">
        <is>
          <t>not_applicable</t>
        </is>
      </c>
      <c r="AH562" s="24" t="n"/>
      <c r="AI562" s="31" t="n"/>
      <c r="AJ562" s="31" t="n"/>
      <c r="AK562" s="24" t="inlineStr">
        <is>
          <t>paper_call</t>
        </is>
      </c>
      <c r="AL562" s="26" t="n">
        <v>4</v>
      </c>
      <c r="AM562" s="24" t="inlineStr">
        <is>
          <t>RESEARCH_OBSERVATION</t>
        </is>
      </c>
      <c r="AN562" s="24" t="inlineStr">
        <is>
          <t>CALL</t>
        </is>
      </c>
      <c r="AO562" s="24" t="inlineStr">
        <is>
          <t>PAPER_CALL_LOW_EDGE</t>
        </is>
      </c>
      <c r="AP562" s="24" t="inlineStr">
        <is>
          <t>Vanderbilt Commodores</t>
        </is>
      </c>
      <c r="AQ562" s="24" t="inlineStr">
        <is>
          <t>Vanderbilt Commodores</t>
        </is>
      </c>
      <c r="AR562" s="24" t="inlineStr">
        <is>
          <t>Vanderbilt Commodores</t>
        </is>
      </c>
      <c r="AS562" s="24" t="inlineStr">
        <is>
          <t>Auburn Tigers</t>
        </is>
      </c>
      <c r="AT562" s="24" t="inlineStr">
        <is>
          <t>Auburn Tigers</t>
        </is>
      </c>
      <c r="AU562" s="24" t="inlineStr">
        <is>
          <t>Auburn Tigers</t>
        </is>
      </c>
      <c r="AV562" s="24" t="n"/>
      <c r="AW562" s="24" t="n"/>
      <c r="AX562" s="24" t="inlineStr">
        <is>
          <t>statistical_model</t>
        </is>
      </c>
      <c r="AY562" s="24" t="n"/>
      <c r="AZ562" s="24" t="inlineStr">
        <is>
          <t>shadow_qualified</t>
        </is>
      </c>
      <c r="BA562" s="24" t="inlineStr">
        <is>
          <t>1d168f11d221cd3c</t>
        </is>
      </c>
      <c r="BB562" s="24" t="inlineStr">
        <is>
          <t>cfb_key_number_engine</t>
        </is>
      </c>
      <c r="BC562" s="24" t="inlineStr">
        <is>
          <t>cfb-total-v1</t>
        </is>
      </c>
      <c r="BD562" s="24" t="inlineStr">
        <is>
          <t>1d168f11d221cd3c</t>
        </is>
      </c>
      <c r="BE562" s="24" t="inlineStr">
        <is>
          <t>cfb-v1</t>
        </is>
      </c>
      <c r="BF562" s="24" t="inlineStr">
        <is>
          <t>1</t>
        </is>
      </c>
      <c r="BG562" s="24" t="inlineStr">
        <is>
          <t>1d168f11d221cd3c</t>
        </is>
      </c>
      <c r="BH562" s="24" t="inlineStr">
        <is>
          <t>2026-09-26T15:01:01.506546+00:00</t>
        </is>
      </c>
      <c r="BI562" s="24" t="inlineStr">
        <is>
          <t>["same_event","same_team_same_day","same_league_same_day"]</t>
        </is>
      </c>
      <c r="BJ562" s="25" t="n">
        <v>55.5</v>
      </c>
      <c r="BK562" s="26" t="n">
        <v>-110</v>
      </c>
      <c r="BL562" s="27" t="n">
        <v>1.909091</v>
      </c>
      <c r="BM562" s="28" t="n">
        <v>0.52381</v>
      </c>
      <c r="BN562" s="28" t="n"/>
      <c r="BO562" s="28" t="n"/>
      <c r="BP562" s="25" t="n"/>
      <c r="BQ562" s="27" t="n"/>
      <c r="BR562" s="28" t="n"/>
      <c r="BS562" s="28" t="n"/>
      <c r="BT562" s="28" t="n"/>
      <c r="BU562" s="25" t="n"/>
      <c r="BV562" s="29" t="n"/>
      <c r="BW562" s="24" t="n"/>
      <c r="BX562" s="30" t="n">
        <v>1</v>
      </c>
      <c r="BY562" s="27" t="n">
        <v>0.909091</v>
      </c>
      <c r="BZ562" s="24" t="inlineStr">
        <is>
          <t>2026-09-27T04:30:53.977040Z</t>
        </is>
      </c>
      <c r="CA562" s="31" t="inlineStr">
        <is>
          <t>fixed one-unit hypothetical scoring; no real exposure or execution</t>
        </is>
      </c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inlineStr">
        <is>
          <t>True</t>
        </is>
      </c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n"/>
      <c r="DE562" s="24" t="n"/>
      <c r="DF562" s="24" t="n"/>
      <c r="DG562" s="24" t="n"/>
      <c r="DH562" s="24" t="n"/>
      <c r="DI562" s="24" t="n"/>
      <c r="DJ562" s="24" t="inlineStr">
        <is>
          <t>0.52381</t>
        </is>
      </c>
      <c r="DK562" s="24" t="n"/>
      <c r="DL562" s="24" t="n"/>
      <c r="DM562" s="24" t="n"/>
      <c r="DN562" s="24" t="n"/>
      <c r="DO562" s="24" t="n"/>
      <c r="DP562" s="24" t="n"/>
      <c r="DQ562" s="24" t="inlineStr">
        <is>
          <t>{"artifact_hash": "1d168f11d221cd3c", "event_id": "401856698", "event_start_utc": "2026-09-26T20:15Z", "features": {"altitude_fatigue_penalty": 0.0, "away_team": "Vanderbilt Commodores", "efficiency_gap": -0.29, "elo_away": 1680.3, "elo_home": 1389.0, "elo_home_win_prob": 0.2136, "event_id": "401856698", "game_start_utc": "2026-09-26T20:15Z", "home_field_advantage_points": 2.8, "home_team": "Auburn Tigers", "is_dome": false, "is_fbs_vs_fcs": false, "is_neutral_site": false, "projected_away_points": 31.9, "projected_home_points": 22.7, "projected_margin_home": -9.2, "projected_possessions": 12.4, "projected_total": 54.6, "stadium_elevation_ft": 700, "travel_distance_miles": 256.0, "uncertainty": 0.18, "weather_total_adjustment": 0.0}, "historical_source_observation_times_verified": false, "inference_inputs": {"engine_source_sha256": "449ba2f0e86fa9c445730076a0e0bf100fb4914620be53c75c6f3bfe24298f3f", "mu_away": 31.9, "mu_home": 22.7,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277904273062697564587142704131339841429}, "uinteger": 0}, "spread_home_line": -10.0, "total_line": 55.5}, "market_type": "total", "model_version": "cfb-total-v1", "observed_at_utc": "2026-09-26T15:01:01.506546+00:00", "probabilities": {"over": 0.449467, "push": 0.0, "under": 0.550533}, "replay_scope": "Full precision score means, exact engine parameters and original RNG state; upstream feature construction not certified.", "schema": "cfb-joint-replay-v1", "snapshot_hash": "6619bae24073b5bcd23e5a2949c5619bf410cc58e8fb73a837a40db040877133", "sport": "NCAAF"}</t>
        </is>
      </c>
    </row>
    <row r="563" ht="36" customHeight="1">
      <c r="A563" s="24" t="inlineStr">
        <is>
          <t>a5dcf23d97cd4325</t>
        </is>
      </c>
      <c r="B563" s="24" t="inlineStr">
        <is>
          <t>2026-09-26T15:01:01.506546Z</t>
        </is>
      </c>
      <c r="C563" s="24" t="inlineStr">
        <is>
          <t>2026-09-26T21:00Z</t>
        </is>
      </c>
      <c r="D563" s="24" t="inlineStr">
        <is>
          <t>401858466</t>
        </is>
      </c>
      <c r="E563" s="24" t="inlineStr">
        <is>
          <t>NCAAF</t>
        </is>
      </c>
      <c r="F563" s="24" t="inlineStr">
        <is>
          <t>Wisconsin Badgers</t>
        </is>
      </c>
      <c r="G563" s="24" t="inlineStr">
        <is>
          <t>Penn State Nittany Lions</t>
        </is>
      </c>
      <c r="H563" s="24" t="inlineStr">
        <is>
          <t>moneyline</t>
        </is>
      </c>
      <c r="I563" s="24" t="inlineStr">
        <is>
          <t>home</t>
        </is>
      </c>
      <c r="J563" s="25" t="n"/>
      <c r="K563" s="24" t="inlineStr">
        <is>
          <t>espn_consensus</t>
        </is>
      </c>
      <c r="L563" s="26" t="n">
        <v>-380</v>
      </c>
      <c r="M563" s="27" t="n">
        <v>1.263158</v>
      </c>
      <c r="N563" s="28" t="n">
        <v>0.791667</v>
      </c>
      <c r="O563" s="28" t="n">
        <v>0.868376</v>
      </c>
      <c r="P563" s="28" t="n">
        <v>0.165</v>
      </c>
      <c r="Q563" s="28" t="n">
        <v>0.076709</v>
      </c>
      <c r="R563" s="26" t="n">
        <v>0</v>
      </c>
      <c r="S563" s="29" t="n">
        <v>1</v>
      </c>
      <c r="T563" s="24" t="inlineStr">
        <is>
          <t>college-football-v1</t>
        </is>
      </c>
      <c r="U563" s="24" t="inlineStr">
        <is>
          <t>settled</t>
        </is>
      </c>
      <c r="V563" s="24" t="inlineStr">
        <is>
          <t>loss</t>
        </is>
      </c>
      <c r="W563" s="26" t="n">
        <v>24</v>
      </c>
      <c r="X563" s="26" t="n">
        <v>20</v>
      </c>
      <c r="Y563" s="25" t="n"/>
      <c r="Z563" s="26" t="n"/>
      <c r="AA563" s="28" t="n"/>
      <c r="AB563" s="28" t="n"/>
      <c r="AC563" s="30" t="n">
        <v>-1</v>
      </c>
      <c r="AD563" s="24" t="inlineStr">
        <is>
          <t>2026-09-27T04:30:54.671887Z</t>
        </is>
      </c>
      <c r="AE563" s="31" t="inlineStr">
        <is>
          <t>CFB Joint Model (negative_binomial): proj score Wisconsin Badgers 17.0 @ Penn State Nittany Lions 38.1 (Margin +21.1). Possessions: 12.4, HFA: +2.8 pts.</t>
        </is>
      </c>
      <c r="AF563" s="31" t="inlineStr">
        <is>
          <t>College football model; multi-market (moneyline, spread, total).</t>
        </is>
      </c>
      <c r="AG563" s="24" t="inlineStr">
        <is>
          <t>review_required</t>
        </is>
      </c>
      <c r="AH563" s="24" t="n"/>
      <c r="AI563" s="31" t="n"/>
      <c r="AJ563" s="31" t="n"/>
      <c r="AK563" s="24" t="inlineStr">
        <is>
          <t>model_qualified</t>
        </is>
      </c>
      <c r="AL563" s="26" t="n">
        <v>4</v>
      </c>
      <c r="AM563" s="24" t="inlineStr">
        <is>
          <t>QUALIFIED_SHADOW_CALL</t>
        </is>
      </c>
      <c r="AN563" s="24" t="inlineStr">
        <is>
          <t>CALL</t>
        </is>
      </c>
      <c r="AO563" s="24" t="inlineStr">
        <is>
          <t>QUALIFIED</t>
        </is>
      </c>
      <c r="AP563" s="24" t="inlineStr">
        <is>
          <t>Wisconsin Badgers</t>
        </is>
      </c>
      <c r="AQ563" s="24" t="inlineStr">
        <is>
          <t>Wisconsin Badgers</t>
        </is>
      </c>
      <c r="AR563" s="24" t="inlineStr">
        <is>
          <t>Wisconsin Badgers</t>
        </is>
      </c>
      <c r="AS563" s="24" t="inlineStr">
        <is>
          <t>Penn State Nittany Lions</t>
        </is>
      </c>
      <c r="AT563" s="24" t="inlineStr">
        <is>
          <t>Penn State Nittany Lions</t>
        </is>
      </c>
      <c r="AU563" s="24" t="inlineStr">
        <is>
          <t>Penn State Nittany Lions</t>
        </is>
      </c>
      <c r="AV563" s="24" t="n"/>
      <c r="AW563" s="24" t="n"/>
      <c r="AX563" s="24" t="inlineStr">
        <is>
          <t>statistical_model</t>
        </is>
      </c>
      <c r="AY563" s="24" t="n"/>
      <c r="AZ563" s="24" t="inlineStr">
        <is>
          <t>shadow_qualified</t>
        </is>
      </c>
      <c r="BA563" s="24" t="inlineStr">
        <is>
          <t>1d168f11d221cd3c</t>
        </is>
      </c>
      <c r="BB563" s="24" t="inlineStr">
        <is>
          <t>cfb_key_number_engine</t>
        </is>
      </c>
      <c r="BC563" s="24" t="inlineStr">
        <is>
          <t>college-football-v1</t>
        </is>
      </c>
      <c r="BD563" s="24" t="inlineStr">
        <is>
          <t>1d168f11d221cd3c</t>
        </is>
      </c>
      <c r="BE563" s="24" t="inlineStr">
        <is>
          <t>cfb-v1</t>
        </is>
      </c>
      <c r="BF563" s="24" t="inlineStr">
        <is>
          <t>1</t>
        </is>
      </c>
      <c r="BG563" s="24" t="inlineStr">
        <is>
          <t>1d168f11d221cd3c</t>
        </is>
      </c>
      <c r="BH563" s="24" t="inlineStr">
        <is>
          <t>2026-09-26T15:01:01.506546+00:00</t>
        </is>
      </c>
      <c r="BI563" s="24" t="inlineStr">
        <is>
          <t>["same_event","same_team_same_day","same_league_same_day"]</t>
        </is>
      </c>
      <c r="BJ563" s="25" t="n"/>
      <c r="BK563" s="26" t="n">
        <v>-380</v>
      </c>
      <c r="BL563" s="27" t="n">
        <v>1.263158</v>
      </c>
      <c r="BM563" s="28" t="n">
        <v>0.791667</v>
      </c>
      <c r="BN563" s="28" t="n"/>
      <c r="BO563" s="28" t="n"/>
      <c r="BP563" s="25" t="n"/>
      <c r="BQ563" s="27" t="n"/>
      <c r="BR563" s="28" t="n"/>
      <c r="BS563" s="28" t="n"/>
      <c r="BT563" s="28" t="n"/>
      <c r="BU563" s="25" t="n"/>
      <c r="BV563" s="29" t="n"/>
      <c r="BW563" s="24" t="n"/>
      <c r="BX563" s="30" t="n"/>
      <c r="BY563" s="27" t="n"/>
      <c r="BZ563" s="24" t="n"/>
      <c r="CA563" s="31" t="n"/>
      <c r="CB563" s="24" t="n"/>
      <c r="CC563" s="24" t="n"/>
      <c r="CD563" s="24" t="n"/>
      <c r="CE563" s="24" t="n"/>
      <c r="CF563" s="24" t="n"/>
      <c r="CG563" s="24" t="n"/>
      <c r="CH563" s="24" t="n"/>
      <c r="CI563" s="24" t="n"/>
      <c r="CJ563" s="24" t="n"/>
      <c r="CK563" s="24" t="n"/>
      <c r="CL563" s="24" t="n"/>
      <c r="CM563" s="24" t="n"/>
      <c r="CN563" s="24" t="n"/>
      <c r="CO563" s="24" t="n"/>
      <c r="CP563" s="24" t="n"/>
      <c r="CQ563" s="24" t="n"/>
      <c r="CR563" s="24" t="n"/>
      <c r="CS563" s="24" t="inlineStr">
        <is>
          <t>True</t>
        </is>
      </c>
      <c r="CT563" s="24" t="n"/>
      <c r="CU563" s="24" t="n"/>
      <c r="CV563" s="24" t="n"/>
      <c r="CW563" s="24" t="n"/>
      <c r="CX563" s="24" t="n"/>
      <c r="CY563" s="24" t="n"/>
      <c r="CZ563" s="24" t="n"/>
      <c r="DA563" s="24" t="n"/>
      <c r="DB563" s="24" t="n"/>
      <c r="DC563" s="24" t="n"/>
      <c r="DD563" s="24" t="n"/>
      <c r="DE563" s="24" t="n"/>
      <c r="DF563" s="24" t="n"/>
      <c r="DG563" s="24" t="n"/>
      <c r="DH563" s="24" t="n"/>
      <c r="DI563" s="24" t="n"/>
      <c r="DJ563" s="24" t="inlineStr">
        <is>
          <t>0.791667</t>
        </is>
      </c>
      <c r="DK563" s="24" t="n"/>
      <c r="DL563" s="24" t="n"/>
      <c r="DM563" s="24" t="n"/>
      <c r="DN563" s="24" t="n"/>
      <c r="DO563" s="24" t="n"/>
      <c r="DP563" s="24" t="n"/>
      <c r="DQ563" s="24" t="inlineStr">
        <is>
          <t>{"artifact_hash": "1d168f11d221cd3c", "event_id": "401858466", "event_start_utc": "2026-09-26T21:00Z", "features": {"altitude_fatigue_penalty": 0.0, "away_team": "Wisconsin Badgers", "efficiency_gap": 2.826, "elo_away": 1278.2, "elo_home": 1730.7, "elo_home_win_prob": 0.9516, "event_id": "401858466", "game_start_utc": "2026-09-26T21:00Z", "home_field_advantage_points": 2.8, "home_team": "Penn State Nittany Lions", "is_dome": false, "is_fbs_vs_fcs": false, "is_neutral_site": false, "projected_away_points": 17.0, "projected_home_points": 38.1, "projected_margin_home": 21.1, "projected_possessions": 12.4, "projected_total": 55.0, "stadium_elevation_ft": 1150, "travel_distance_miles": 614.0, "uncertainty": 0.165, "weather_total_adjustment": 0.0}, "historical_source_observation_times_verified": false, "inference_inputs": {"engine_source_sha256": "449ba2f0e86fa9c445730076a0e0bf100fb4914620be53c75c6f3bfe24298f3f", "mu_away": 17.0, "mu_home": 38.1,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256438507959805493527613134709474882824}, "uinteger": 0}, "spread_home_line": -10.0, "total_line": 44.5}, "market_type": "moneyline", "model_version": "college-football-v1", "observed_at_utc": "2026-09-26T15:01:01.506546+00:00", "probabilities": {"away": 0.131624, "home": 0.868376}, "replay_scope": "Full precision score means, exact engine parameters and original RNG state; upstream feature construction not certified.", "schema": "cfb-joint-replay-v1", "snapshot_hash": "dc56c73088d61b4603193dc02e727402bfa68cb92ea963bc5380ed868d016c4d", "sport": "NCAAF"}</t>
        </is>
      </c>
    </row>
    <row r="564" ht="36" customHeight="1">
      <c r="A564" s="24" t="inlineStr">
        <is>
          <t>0378399eebf442ae</t>
        </is>
      </c>
      <c r="B564" s="24" t="inlineStr">
        <is>
          <t>2026-09-26T15:01:01.506546Z</t>
        </is>
      </c>
      <c r="C564" s="24" t="inlineStr">
        <is>
          <t>2026-09-26T21:00Z</t>
        </is>
      </c>
      <c r="D564" s="24" t="inlineStr">
        <is>
          <t>401858466</t>
        </is>
      </c>
      <c r="E564" s="24" t="inlineStr">
        <is>
          <t>NCAAF</t>
        </is>
      </c>
      <c r="F564" s="24" t="inlineStr">
        <is>
          <t>Wisconsin Badgers</t>
        </is>
      </c>
      <c r="G564" s="24" t="inlineStr">
        <is>
          <t>Penn State Nittany Lions</t>
        </is>
      </c>
      <c r="H564" s="24" t="inlineStr">
        <is>
          <t>spread</t>
        </is>
      </c>
      <c r="I564" s="24" t="inlineStr">
        <is>
          <t>home</t>
        </is>
      </c>
      <c r="J564" s="25" t="n">
        <v>-10</v>
      </c>
      <c r="K564" s="24" t="inlineStr">
        <is>
          <t>espn_consensus</t>
        </is>
      </c>
      <c r="L564" s="26" t="n">
        <v>-112</v>
      </c>
      <c r="M564" s="27" t="n">
        <v>1.892857</v>
      </c>
      <c r="N564" s="28" t="n">
        <v>0.528302</v>
      </c>
      <c r="O564" s="28" t="n">
        <v>0.716067</v>
      </c>
      <c r="P564" s="28" t="n">
        <v>0.165</v>
      </c>
      <c r="Q564" s="28" t="n">
        <v>0.187765</v>
      </c>
      <c r="R564" s="26" t="n">
        <v>45</v>
      </c>
      <c r="S564" s="29" t="n">
        <v>1.25</v>
      </c>
      <c r="T564" s="24" t="inlineStr">
        <is>
          <t>cfb-spread-v1</t>
        </is>
      </c>
      <c r="U564" s="24" t="inlineStr">
        <is>
          <t>settled</t>
        </is>
      </c>
      <c r="V564" s="24" t="inlineStr">
        <is>
          <t>loss</t>
        </is>
      </c>
      <c r="W564" s="26" t="n">
        <v>24</v>
      </c>
      <c r="X564" s="26" t="n">
        <v>20</v>
      </c>
      <c r="Y564" s="25" t="n"/>
      <c r="Z564" s="26" t="n"/>
      <c r="AA564" s="28" t="n"/>
      <c r="AB564" s="28" t="n"/>
      <c r="AC564" s="30" t="n">
        <v>-1.25</v>
      </c>
      <c r="AD564" s="24" t="inlineStr">
        <is>
          <t>2026-09-27T04:30:55.195369Z</t>
        </is>
      </c>
      <c r="AE564" s="31" t="inlineStr">
        <is>
          <t>Projected home margin +21.1 pts. Spread: Home -10.0 / Away +10.0 -&gt; P(Away cover)=0.266, P(Home cover)=0.716, P(Push)=0.018.</t>
        </is>
      </c>
      <c r="AF564" s="31" t="inlineStr">
        <is>
          <t>College football model; multi-market (moneyline, spread, total).</t>
        </is>
      </c>
      <c r="AG564" s="24" t="inlineStr">
        <is>
          <t>review_required</t>
        </is>
      </c>
      <c r="AH564" s="24" t="n"/>
      <c r="AI564" s="31" t="n"/>
      <c r="AJ564" s="31" t="n"/>
      <c r="AK564" s="24" t="inlineStr">
        <is>
          <t>model_qualified</t>
        </is>
      </c>
      <c r="AL564" s="26" t="n">
        <v>4</v>
      </c>
      <c r="AM564" s="24" t="inlineStr">
        <is>
          <t>QUALIFIED_SHADOW_CALL</t>
        </is>
      </c>
      <c r="AN564" s="24" t="inlineStr">
        <is>
          <t>CALL</t>
        </is>
      </c>
      <c r="AO564" s="24" t="inlineStr">
        <is>
          <t>QUALIFIED</t>
        </is>
      </c>
      <c r="AP564" s="24" t="inlineStr">
        <is>
          <t>Wisconsin Badgers</t>
        </is>
      </c>
      <c r="AQ564" s="24" t="inlineStr">
        <is>
          <t>Wisconsin Badgers</t>
        </is>
      </c>
      <c r="AR564" s="24" t="inlineStr">
        <is>
          <t>Wisconsin Badgers</t>
        </is>
      </c>
      <c r="AS564" s="24" t="inlineStr">
        <is>
          <t>Penn State Nittany Lions</t>
        </is>
      </c>
      <c r="AT564" s="24" t="inlineStr">
        <is>
          <t>Penn State Nittany Lions</t>
        </is>
      </c>
      <c r="AU564" s="24" t="inlineStr">
        <is>
          <t>Penn State Nittany Lions</t>
        </is>
      </c>
      <c r="AV564" s="24" t="n"/>
      <c r="AW564" s="24" t="n"/>
      <c r="AX564" s="24" t="inlineStr">
        <is>
          <t>statistical_model</t>
        </is>
      </c>
      <c r="AY564" s="24" t="n"/>
      <c r="AZ564" s="24" t="inlineStr">
        <is>
          <t>shadow_qualified</t>
        </is>
      </c>
      <c r="BA564" s="24" t="inlineStr">
        <is>
          <t>1d168f11d221cd3c</t>
        </is>
      </c>
      <c r="BB564" s="24" t="inlineStr">
        <is>
          <t>cfb_key_number_engine</t>
        </is>
      </c>
      <c r="BC564" s="24" t="inlineStr">
        <is>
          <t>cfb-spread-v1</t>
        </is>
      </c>
      <c r="BD564" s="24" t="inlineStr">
        <is>
          <t>1d168f11d221cd3c</t>
        </is>
      </c>
      <c r="BE564" s="24" t="inlineStr">
        <is>
          <t>cfb-v1</t>
        </is>
      </c>
      <c r="BF564" s="24" t="inlineStr">
        <is>
          <t>1</t>
        </is>
      </c>
      <c r="BG564" s="24" t="inlineStr">
        <is>
          <t>1d168f11d221cd3c</t>
        </is>
      </c>
      <c r="BH564" s="24" t="inlineStr">
        <is>
          <t>2026-09-26T15:01:01.506546+00:00</t>
        </is>
      </c>
      <c r="BI564" s="24" t="inlineStr">
        <is>
          <t>["same_event","same_team_same_day","same_league_same_day"]</t>
        </is>
      </c>
      <c r="BJ564" s="25" t="n">
        <v>-10</v>
      </c>
      <c r="BK564" s="26" t="n">
        <v>-112</v>
      </c>
      <c r="BL564" s="27" t="n">
        <v>1.892857</v>
      </c>
      <c r="BM564" s="28" t="n">
        <v>0.528302</v>
      </c>
      <c r="BN564" s="28" t="n"/>
      <c r="BO564" s="28" t="n"/>
      <c r="BP564" s="25" t="n"/>
      <c r="BQ564" s="27" t="n"/>
      <c r="BR564" s="28" t="n"/>
      <c r="BS564" s="28" t="n"/>
      <c r="BT564" s="28" t="n"/>
      <c r="BU564" s="25" t="n"/>
      <c r="BV564" s="29" t="n"/>
      <c r="BW564" s="24" t="n"/>
      <c r="BX564" s="30" t="n"/>
      <c r="BY564" s="27" t="n"/>
      <c r="BZ564" s="24" t="n"/>
      <c r="CA564" s="31" t="n"/>
      <c r="CB564" s="24" t="n"/>
      <c r="CC564" s="24" t="n"/>
      <c r="CD564" s="24" t="n"/>
      <c r="CE564" s="24" t="n"/>
      <c r="CF564" s="24" t="n"/>
      <c r="CG564" s="24" t="n"/>
      <c r="CH564" s="24" t="n"/>
      <c r="CI564" s="24" t="n"/>
      <c r="CJ564" s="24" t="n"/>
      <c r="CK564" s="24" t="n"/>
      <c r="CL564" s="24" t="n"/>
      <c r="CM564" s="24" t="n"/>
      <c r="CN564" s="24" t="n"/>
      <c r="CO564" s="24" t="n"/>
      <c r="CP564" s="24" t="n"/>
      <c r="CQ564" s="24" t="n"/>
      <c r="CR564" s="24" t="n"/>
      <c r="CS564" s="24" t="inlineStr">
        <is>
          <t>True</t>
        </is>
      </c>
      <c r="CT564" s="24" t="n"/>
      <c r="CU564" s="24" t="n"/>
      <c r="CV564" s="24" t="n"/>
      <c r="CW564" s="24" t="n"/>
      <c r="CX564" s="24" t="n"/>
      <c r="CY564" s="24" t="n"/>
      <c r="CZ564" s="24" t="n"/>
      <c r="DA564" s="24" t="n"/>
      <c r="DB564" s="24" t="n"/>
      <c r="DC564" s="24" t="n"/>
      <c r="DD564" s="24" t="n"/>
      <c r="DE564" s="24" t="n"/>
      <c r="DF564" s="24" t="n"/>
      <c r="DG564" s="24" t="n"/>
      <c r="DH564" s="24" t="n"/>
      <c r="DI564" s="24" t="n"/>
      <c r="DJ564" s="24" t="inlineStr">
        <is>
          <t>0.528302</t>
        </is>
      </c>
      <c r="DK564" s="24" t="n"/>
      <c r="DL564" s="24" t="n"/>
      <c r="DM564" s="24" t="n"/>
      <c r="DN564" s="24" t="n"/>
      <c r="DO564" s="24" t="n"/>
      <c r="DP564" s="24" t="n"/>
      <c r="DQ564" s="24" t="inlineStr">
        <is>
          <t>{"artifact_hash": "1d168f11d221cd3c", "event_id": "401858466", "event_start_utc": "2026-09-26T21:00Z", "features": {"altitude_fatigue_penalty": 0.0, "away_team": "Wisconsin Badgers", "efficiency_gap": 2.826, "elo_away": 1278.2, "elo_home": 1730.7, "elo_home_win_prob": 0.9516, "event_id": "401858466", "game_start_utc": "2026-09-26T21:00Z", "home_field_advantage_points": 2.8, "home_team": "Penn State Nittany Lions", "is_dome": false, "is_fbs_vs_fcs": false, "is_neutral_site": false, "projected_away_points": 17.0, "projected_home_points": 38.1, "projected_margin_home": 21.1, "projected_possessions": 12.4, "projected_total": 55.0, "stadium_elevation_ft": 1150, "travel_distance_miles": 614.0, "uncertainty": 0.165, "weather_total_adjustment": 0.0}, "historical_source_observation_times_verified": false, "inference_inputs": {"engine_source_sha256": "449ba2f0e86fa9c445730076a0e0bf100fb4914620be53c75c6f3bfe24298f3f", "mu_away": 17.0, "mu_home": 38.1,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256438507959805493527613134709474882824}, "uinteger": 0}, "spread_home_line": -10.0, "total_line": 44.5}, "market_type": "spread", "model_version": "cfb-spread-v1", "observed_at_utc": "2026-09-26T15:01:01.506546+00:00", "probabilities": {"away": 0.265533, "home": 0.716067, "push": 0.0184}, "replay_scope": "Full precision score means, exact engine parameters and original RNG state; upstream feature construction not certified.", "schema": "cfb-joint-replay-v1", "snapshot_hash": "b9d6287be4362385241dfa1c902adcfbc7000f48d6d5ee8121f0d327975798ae", "sport": "NCAAF"}</t>
        </is>
      </c>
    </row>
    <row r="565" ht="36" customHeight="1">
      <c r="A565" s="24" t="inlineStr">
        <is>
          <t>2875083bad3946b4</t>
        </is>
      </c>
      <c r="B565" s="24" t="inlineStr">
        <is>
          <t>2026-09-26T15:01:01.506546Z</t>
        </is>
      </c>
      <c r="C565" s="24" t="inlineStr">
        <is>
          <t>2026-09-26T21:00Z</t>
        </is>
      </c>
      <c r="D565" s="24" t="inlineStr">
        <is>
          <t>401858466</t>
        </is>
      </c>
      <c r="E565" s="24" t="inlineStr">
        <is>
          <t>NCAAF</t>
        </is>
      </c>
      <c r="F565" s="24" t="inlineStr">
        <is>
          <t>Wisconsin Badgers</t>
        </is>
      </c>
      <c r="G565" s="24" t="inlineStr">
        <is>
          <t>Penn State Nittany Lions</t>
        </is>
      </c>
      <c r="H565" s="24" t="inlineStr">
        <is>
          <t>total</t>
        </is>
      </c>
      <c r="I565" s="24" t="inlineStr">
        <is>
          <t>over</t>
        </is>
      </c>
      <c r="J565" s="25" t="n">
        <v>44.5</v>
      </c>
      <c r="K565" s="24" t="inlineStr">
        <is>
          <t>espn_consensus</t>
        </is>
      </c>
      <c r="L565" s="26" t="n">
        <v>-105</v>
      </c>
      <c r="M565" s="27" t="n">
        <v>1.952381</v>
      </c>
      <c r="N565" s="28" t="n">
        <v>0.512195</v>
      </c>
      <c r="O565" s="28" t="n">
        <v>0.664467</v>
      </c>
      <c r="P565" s="28" t="n">
        <v>0.165</v>
      </c>
      <c r="Q565" s="28" t="n">
        <v>0.152272</v>
      </c>
      <c r="R565" s="26" t="n">
        <v>27</v>
      </c>
      <c r="S565" s="29" t="n">
        <v>1</v>
      </c>
      <c r="T565" s="24" t="inlineStr">
        <is>
          <t>cfb-total-v1</t>
        </is>
      </c>
      <c r="U565" s="24" t="inlineStr">
        <is>
          <t>settled</t>
        </is>
      </c>
      <c r="V565" s="24" t="inlineStr">
        <is>
          <t>loss</t>
        </is>
      </c>
      <c r="W565" s="26" t="n">
        <v>24</v>
      </c>
      <c r="X565" s="26" t="n">
        <v>20</v>
      </c>
      <c r="Y565" s="25" t="n"/>
      <c r="Z565" s="26" t="n"/>
      <c r="AA565" s="28" t="n"/>
      <c r="AB565" s="28" t="n"/>
      <c r="AC565" s="30" t="n">
        <v>-1</v>
      </c>
      <c r="AD565" s="24" t="inlineStr">
        <is>
          <t>2026-09-27T04:30:55.768626Z</t>
        </is>
      </c>
      <c r="AE565" s="31" t="inlineStr">
        <is>
          <t>Projected total 55.0 pts (Weather adj: +0.0 pts). Total line 44.5 -&gt; P(Over)=0.664, P(Under)=0.336, P(Push)=0.000.</t>
        </is>
      </c>
      <c r="AF565" s="31" t="inlineStr">
        <is>
          <t>College football model; multi-market (moneyline, spread, total).</t>
        </is>
      </c>
      <c r="AG565" s="24" t="inlineStr">
        <is>
          <t>review_required</t>
        </is>
      </c>
      <c r="AH565" s="24" t="n"/>
      <c r="AI565" s="31" t="n"/>
      <c r="AJ565" s="31" t="n"/>
      <c r="AK565" s="24" t="inlineStr">
        <is>
          <t>model_qualified</t>
        </is>
      </c>
      <c r="AL565" s="26" t="n">
        <v>4</v>
      </c>
      <c r="AM565" s="24" t="inlineStr">
        <is>
          <t>QUALIFIED_SHADOW_CALL</t>
        </is>
      </c>
      <c r="AN565" s="24" t="inlineStr">
        <is>
          <t>CALL</t>
        </is>
      </c>
      <c r="AO565" s="24" t="inlineStr">
        <is>
          <t>QUALIFIED</t>
        </is>
      </c>
      <c r="AP565" s="24" t="inlineStr">
        <is>
          <t>Wisconsin Badgers</t>
        </is>
      </c>
      <c r="AQ565" s="24" t="inlineStr">
        <is>
          <t>Wisconsin Badgers</t>
        </is>
      </c>
      <c r="AR565" s="24" t="inlineStr">
        <is>
          <t>Wisconsin Badgers</t>
        </is>
      </c>
      <c r="AS565" s="24" t="inlineStr">
        <is>
          <t>Penn State Nittany Lions</t>
        </is>
      </c>
      <c r="AT565" s="24" t="inlineStr">
        <is>
          <t>Penn State Nittany Lions</t>
        </is>
      </c>
      <c r="AU565" s="24" t="inlineStr">
        <is>
          <t>Penn State Nittany Lions</t>
        </is>
      </c>
      <c r="AV565" s="24" t="n"/>
      <c r="AW565" s="24" t="n"/>
      <c r="AX565" s="24" t="inlineStr">
        <is>
          <t>statistical_model</t>
        </is>
      </c>
      <c r="AY565" s="24" t="n"/>
      <c r="AZ565" s="24" t="inlineStr">
        <is>
          <t>shadow_qualified</t>
        </is>
      </c>
      <c r="BA565" s="24" t="inlineStr">
        <is>
          <t>1d168f11d221cd3c</t>
        </is>
      </c>
      <c r="BB565" s="24" t="inlineStr">
        <is>
          <t>cfb_key_number_engine</t>
        </is>
      </c>
      <c r="BC565" s="24" t="inlineStr">
        <is>
          <t>cfb-total-v1</t>
        </is>
      </c>
      <c r="BD565" s="24" t="inlineStr">
        <is>
          <t>1d168f11d221cd3c</t>
        </is>
      </c>
      <c r="BE565" s="24" t="inlineStr">
        <is>
          <t>cfb-v1</t>
        </is>
      </c>
      <c r="BF565" s="24" t="inlineStr">
        <is>
          <t>1</t>
        </is>
      </c>
      <c r="BG565" s="24" t="inlineStr">
        <is>
          <t>1d168f11d221cd3c</t>
        </is>
      </c>
      <c r="BH565" s="24" t="inlineStr">
        <is>
          <t>2026-09-26T15:01:01.506546+00:00</t>
        </is>
      </c>
      <c r="BI565" s="24" t="inlineStr">
        <is>
          <t>["same_event","same_team_same_day","same_league_same_day"]</t>
        </is>
      </c>
      <c r="BJ565" s="25" t="n">
        <v>44.5</v>
      </c>
      <c r="BK565" s="26" t="n">
        <v>-105</v>
      </c>
      <c r="BL565" s="27" t="n">
        <v>1.952381</v>
      </c>
      <c r="BM565" s="28" t="n">
        <v>0.512195</v>
      </c>
      <c r="BN565" s="28" t="n"/>
      <c r="BO565" s="28" t="n"/>
      <c r="BP565" s="25" t="n"/>
      <c r="BQ565" s="27" t="n"/>
      <c r="BR565" s="28" t="n"/>
      <c r="BS565" s="28" t="n"/>
      <c r="BT565" s="28" t="n"/>
      <c r="BU565" s="25" t="n"/>
      <c r="BV565" s="29" t="n"/>
      <c r="BW565" s="24" t="n"/>
      <c r="BX565" s="30" t="n"/>
      <c r="BY565" s="27" t="n"/>
      <c r="BZ565" s="24" t="n"/>
      <c r="CA565" s="31" t="n"/>
      <c r="CB565" s="24" t="n"/>
      <c r="CC565" s="24" t="n"/>
      <c r="CD565" s="24" t="n"/>
      <c r="CE565" s="24" t="n"/>
      <c r="CF565" s="24" t="n"/>
      <c r="CG565" s="24" t="n"/>
      <c r="CH565" s="24" t="n"/>
      <c r="CI565" s="24" t="n"/>
      <c r="CJ565" s="24" t="n"/>
      <c r="CK565" s="24" t="n"/>
      <c r="CL565" s="24" t="n"/>
      <c r="CM565" s="24" t="n"/>
      <c r="CN565" s="24" t="n"/>
      <c r="CO565" s="24" t="n"/>
      <c r="CP565" s="24" t="n"/>
      <c r="CQ565" s="24" t="n"/>
      <c r="CR565" s="24" t="n"/>
      <c r="CS565" s="24" t="inlineStr">
        <is>
          <t>True</t>
        </is>
      </c>
      <c r="CT565" s="24" t="n"/>
      <c r="CU565" s="24" t="n"/>
      <c r="CV565" s="24" t="n"/>
      <c r="CW565" s="24" t="n"/>
      <c r="CX565" s="24" t="n"/>
      <c r="CY565" s="24" t="n"/>
      <c r="CZ565" s="24" t="n"/>
      <c r="DA565" s="24" t="n"/>
      <c r="DB565" s="24" t="n"/>
      <c r="DC565" s="24" t="n"/>
      <c r="DD565" s="24" t="n"/>
      <c r="DE565" s="24" t="n"/>
      <c r="DF565" s="24" t="n"/>
      <c r="DG565" s="24" t="n"/>
      <c r="DH565" s="24" t="n"/>
      <c r="DI565" s="24" t="n"/>
      <c r="DJ565" s="24" t="inlineStr">
        <is>
          <t>0.512195</t>
        </is>
      </c>
      <c r="DK565" s="24" t="n"/>
      <c r="DL565" s="24" t="n"/>
      <c r="DM565" s="24" t="n"/>
      <c r="DN565" s="24" t="n"/>
      <c r="DO565" s="24" t="n"/>
      <c r="DP565" s="24" t="n"/>
      <c r="DQ565" s="24" t="inlineStr">
        <is>
          <t>{"artifact_hash": "1d168f11d221cd3c", "event_id": "401858466", "event_start_utc": "2026-09-26T21:00Z", "features": {"altitude_fatigue_penalty": 0.0, "away_team": "Wisconsin Badgers", "efficiency_gap": 2.826, "elo_away": 1278.2, "elo_home": 1730.7, "elo_home_win_prob": 0.9516, "event_id": "401858466", "game_start_utc": "2026-09-26T21:00Z", "home_field_advantage_points": 2.8, "home_team": "Penn State Nittany Lions", "is_dome": false, "is_fbs_vs_fcs": false, "is_neutral_site": false, "projected_away_points": 17.0, "projected_home_points": 38.1, "projected_margin_home": 21.1, "projected_possessions": 12.4, "projected_total": 55.0, "stadium_elevation_ft": 1150, "travel_distance_miles": 614.0, "uncertainty": 0.165, "weather_total_adjustment": 0.0}, "historical_source_observation_times_verified": false, "inference_inputs": {"engine_source_sha256": "449ba2f0e86fa9c445730076a0e0bf100fb4914620be53c75c6f3bfe24298f3f", "mu_away": 17.0, "mu_home": 38.1,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256438507959805493527613134709474882824}, "uinteger": 0}, "spread_home_line": -10.0, "total_line": 44.5}, "market_type": "total", "model_version": "cfb-total-v1", "observed_at_utc": "2026-09-26T15:01:01.506546+00:00", "probabilities": {"over": 0.664467, "push": 0.0, "under": 0.335533}, "replay_scope": "Full precision score means, exact engine parameters and original RNG state; upstream feature construction not certified.", "schema": "cfb-joint-replay-v1", "snapshot_hash": "57856283f054d965023d2f9af9454b6ac852fed1b637d39128d7e394c31929a0", "sport": "NCAAF"}</t>
        </is>
      </c>
    </row>
    <row r="566" ht="36" customHeight="1">
      <c r="A566" s="24" t="inlineStr">
        <is>
          <t>836591d4b3f840da</t>
        </is>
      </c>
      <c r="B566" s="24" t="inlineStr">
        <is>
          <t>2026-09-26T15:01:01.506546Z</t>
        </is>
      </c>
      <c r="C566" s="24" t="inlineStr">
        <is>
          <t>2026-09-26T21:00Z</t>
        </is>
      </c>
      <c r="D566" s="24" t="inlineStr">
        <is>
          <t>401858464</t>
        </is>
      </c>
      <c r="E566" s="24" t="inlineStr">
        <is>
          <t>NCAAF</t>
        </is>
      </c>
      <c r="F566" s="24" t="inlineStr">
        <is>
          <t>Nebraska Cornhuskers</t>
        </is>
      </c>
      <c r="G566" s="24" t="inlineStr">
        <is>
          <t>Michigan State Spartans</t>
        </is>
      </c>
      <c r="H566" s="24" t="inlineStr">
        <is>
          <t>moneyline</t>
        </is>
      </c>
      <c r="I566" s="24" t="inlineStr">
        <is>
          <t>away</t>
        </is>
      </c>
      <c r="J566" s="25" t="n"/>
      <c r="K566" s="24" t="inlineStr">
        <is>
          <t>espn_consensus</t>
        </is>
      </c>
      <c r="L566" s="26" t="n">
        <v>-225</v>
      </c>
      <c r="M566" s="27" t="n">
        <v>1.444444</v>
      </c>
      <c r="N566" s="28" t="n">
        <v>0.692308</v>
      </c>
      <c r="O566" s="28" t="n">
        <v>0.512941</v>
      </c>
      <c r="P566" s="28" t="n">
        <v>0.165</v>
      </c>
      <c r="Q566" s="28" t="n">
        <v>-0.179367</v>
      </c>
      <c r="R566" s="26" t="n">
        <v>0</v>
      </c>
      <c r="S566" s="29" t="n">
        <v>1</v>
      </c>
      <c r="T566" s="24" t="inlineStr">
        <is>
          <t>college-football-v1</t>
        </is>
      </c>
      <c r="U566" s="24" t="inlineStr">
        <is>
          <t>settled</t>
        </is>
      </c>
      <c r="V566" s="24" t="inlineStr">
        <is>
          <t>win</t>
        </is>
      </c>
      <c r="W566" s="26" t="n">
        <v>31</v>
      </c>
      <c r="X566" s="26" t="n">
        <v>13</v>
      </c>
      <c r="Y566" s="25" t="n"/>
      <c r="Z566" s="26" t="n"/>
      <c r="AA566" s="28" t="n"/>
      <c r="AB566" s="28" t="n"/>
      <c r="AC566" s="30" t="n">
        <v>0.4444</v>
      </c>
      <c r="AD566" s="24" t="inlineStr">
        <is>
          <t>2026-09-27T04:30:56.413523Z</t>
        </is>
      </c>
      <c r="AE566" s="31" t="inlineStr">
        <is>
          <t>CFB Joint Model (negative_binomial): proj score Nebraska Cornhuskers 28.5 @ Michigan State Spartans 27.7 (Margin -0.9). Possessions: 12.4, HFA: +2.8 pts.</t>
        </is>
      </c>
      <c r="AF566" s="31" t="inlineStr">
        <is>
          <t>College football model; multi-market (moneyline, spread, total).</t>
        </is>
      </c>
      <c r="AG566" s="24" t="inlineStr">
        <is>
          <t>not_applicable</t>
        </is>
      </c>
      <c r="AH566" s="24" t="n"/>
      <c r="AI566" s="31" t="n"/>
      <c r="AJ566" s="31" t="n"/>
      <c r="AK566" s="24" t="inlineStr">
        <is>
          <t>paper_call</t>
        </is>
      </c>
      <c r="AL566" s="26" t="n">
        <v>4</v>
      </c>
      <c r="AM566" s="24" t="inlineStr">
        <is>
          <t>RESEARCH_OBSERVATION</t>
        </is>
      </c>
      <c r="AN566" s="24" t="inlineStr">
        <is>
          <t>CALL</t>
        </is>
      </c>
      <c r="AO566" s="24" t="inlineStr">
        <is>
          <t>PAPER_CALL_LOW_EDGE</t>
        </is>
      </c>
      <c r="AP566" s="24" t="inlineStr">
        <is>
          <t>Nebraska Cornhuskers</t>
        </is>
      </c>
      <c r="AQ566" s="24" t="inlineStr">
        <is>
          <t>Nebraska Cornhuskers</t>
        </is>
      </c>
      <c r="AR566" s="24" t="inlineStr">
        <is>
          <t>Nebraska Cornhuskers</t>
        </is>
      </c>
      <c r="AS566" s="24" t="inlineStr">
        <is>
          <t>Michigan State Spartans</t>
        </is>
      </c>
      <c r="AT566" s="24" t="inlineStr">
        <is>
          <t>Michigan State Spartans</t>
        </is>
      </c>
      <c r="AU566" s="24" t="inlineStr">
        <is>
          <t>Michigan State Spartans</t>
        </is>
      </c>
      <c r="AV566" s="24" t="n"/>
      <c r="AW566" s="24" t="n"/>
      <c r="AX566" s="24" t="inlineStr">
        <is>
          <t>statistical_model</t>
        </is>
      </c>
      <c r="AY566" s="24" t="n"/>
      <c r="AZ566" s="24" t="inlineStr">
        <is>
          <t>shadow_qualified</t>
        </is>
      </c>
      <c r="BA566" s="24" t="inlineStr">
        <is>
          <t>1d168f11d221cd3c</t>
        </is>
      </c>
      <c r="BB566" s="24" t="inlineStr">
        <is>
          <t>cfb_key_number_engine</t>
        </is>
      </c>
      <c r="BC566" s="24" t="inlineStr">
        <is>
          <t>college-football-v1</t>
        </is>
      </c>
      <c r="BD566" s="24" t="inlineStr">
        <is>
          <t>1d168f11d221cd3c</t>
        </is>
      </c>
      <c r="BE566" s="24" t="inlineStr">
        <is>
          <t>cfb-v1</t>
        </is>
      </c>
      <c r="BF566" s="24" t="inlineStr">
        <is>
          <t>1</t>
        </is>
      </c>
      <c r="BG566" s="24" t="inlineStr">
        <is>
          <t>1d168f11d221cd3c</t>
        </is>
      </c>
      <c r="BH566" s="24" t="inlineStr">
        <is>
          <t>2026-09-26T15:01:01.506546+00:00</t>
        </is>
      </c>
      <c r="BI566" s="24" t="inlineStr">
        <is>
          <t>["same_event","same_team_same_day","same_league_same_day"]</t>
        </is>
      </c>
      <c r="BJ566" s="25" t="n"/>
      <c r="BK566" s="26" t="n">
        <v>-225</v>
      </c>
      <c r="BL566" s="27" t="n">
        <v>1.444444</v>
      </c>
      <c r="BM566" s="28" t="n">
        <v>0.692308</v>
      </c>
      <c r="BN566" s="28" t="n"/>
      <c r="BO566" s="28" t="n"/>
      <c r="BP566" s="25" t="n"/>
      <c r="BQ566" s="27" t="n"/>
      <c r="BR566" s="28" t="n"/>
      <c r="BS566" s="28" t="n"/>
      <c r="BT566" s="28" t="n"/>
      <c r="BU566" s="25" t="n"/>
      <c r="BV566" s="29" t="n"/>
      <c r="BW566" s="24" t="n"/>
      <c r="BX566" s="30" t="n">
        <v>1</v>
      </c>
      <c r="BY566" s="27" t="n">
        <v>0.444444</v>
      </c>
      <c r="BZ566" s="24" t="inlineStr">
        <is>
          <t>2026-09-27T04:30:56.413523Z</t>
        </is>
      </c>
      <c r="CA566" s="31" t="inlineStr">
        <is>
          <t>fixed one-unit hypothetical scoring; no real exposure or execution</t>
        </is>
      </c>
      <c r="CB566" s="24" t="n"/>
      <c r="CC566" s="24" t="n"/>
      <c r="CD566" s="24" t="n"/>
      <c r="CE566" s="24" t="n"/>
      <c r="CF566" s="24" t="n"/>
      <c r="CG566" s="24" t="n"/>
      <c r="CH566" s="24" t="n"/>
      <c r="CI566" s="24" t="n"/>
      <c r="CJ566" s="24" t="n"/>
      <c r="CK566" s="24" t="n"/>
      <c r="CL566" s="24" t="n"/>
      <c r="CM566" s="24" t="n"/>
      <c r="CN566" s="24" t="n"/>
      <c r="CO566" s="24" t="n"/>
      <c r="CP566" s="24" t="n"/>
      <c r="CQ566" s="24" t="n"/>
      <c r="CR566" s="24" t="n"/>
      <c r="CS566" s="24" t="inlineStr">
        <is>
          <t>False</t>
        </is>
      </c>
      <c r="CT566" s="24" t="n"/>
      <c r="CU566" s="24" t="n"/>
      <c r="CV566" s="24" t="n"/>
      <c r="CW566" s="24" t="n"/>
      <c r="CX566" s="24" t="n"/>
      <c r="CY566" s="24" t="n"/>
      <c r="CZ566" s="24" t="n"/>
      <c r="DA566" s="24" t="n"/>
      <c r="DB566" s="24" t="n"/>
      <c r="DC566" s="24" t="n"/>
      <c r="DD566" s="24" t="n"/>
      <c r="DE566" s="24" t="n"/>
      <c r="DF566" s="24" t="n"/>
      <c r="DG566" s="24" t="n"/>
      <c r="DH566" s="24" t="n"/>
      <c r="DI566" s="24" t="n"/>
      <c r="DJ566" s="24" t="inlineStr">
        <is>
          <t>0.692308</t>
        </is>
      </c>
      <c r="DK566" s="24" t="n"/>
      <c r="DL566" s="24" t="n"/>
      <c r="DM566" s="24" t="n"/>
      <c r="DN566" s="24" t="n"/>
      <c r="DO566" s="24" t="n"/>
      <c r="DP566" s="24" t="n"/>
      <c r="DQ566" s="24" t="inlineStr">
        <is>
          <t>{"artifact_hash": "1d168f11d221cd3c", "event_id": "401858464", "event_start_utc": "2026-09-26T21:00Z", "features": {"altitude_fatigue_penalty": 0.0, "away_team": "Nebraska Cornhuskers", "efficiency_gap": -0.697, "elo_away": 1462.4, "elo_home": 1375.8, "elo_home_win_prob": 0.469, "event_id": "401858464", "game_start_utc": "2026-09-26T21:00Z", "home_field_advantage_points": 2.8, "home_team": "Michigan State Spartans", "is_dome": false, "is_fbs_vs_fcs": false, "is_neutral_site": false, "projected_away_points": 28.5, "projected_home_points": 27.7, "projected_margin_home": -0.9, "projected_possessions": 12.4, "projected_total": 56.2, "stadium_elevation_ft": 850, "travel_distance_miles": 643.0, "uncertainty": 0.165, "weather_total_adjustment": 0.0}, "historical_source_observation_times_verified": false, "inference_inputs": {"engine_source_sha256": "449ba2f0e86fa9c445730076a0e0bf100fb4914620be53c75c6f3bfe24298f3f", "mu_away": 28.5, "mu_home": 27.7,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119536161589759530115786968358663578539}, "uinteger": 0}, "spread_home_line": 5.5, "total_line": 49.5}, "market_type": "moneyline", "model_version": "college-football-v1", "observed_at_utc": "2026-09-26T15:01:01.506546+00:00", "probabilities": {"away": 0.512941, "home": 0.487059}, "replay_scope": "Full precision score means, exact engine parameters and original RNG state; upstream feature construction not certified.", "schema": "cfb-joint-replay-v1", "snapshot_hash": "9b554d2df88886e2ee6c9ff633c3ff2ebc0bbb72be0d3b4a7a7683228bc33568", "sport": "NCAAF"}</t>
        </is>
      </c>
    </row>
    <row r="567" ht="36" customHeight="1">
      <c r="A567" s="24" t="inlineStr">
        <is>
          <t>cfc9e91f75234e3a</t>
        </is>
      </c>
      <c r="B567" s="24" t="inlineStr">
        <is>
          <t>2026-09-26T15:01:01.506546Z</t>
        </is>
      </c>
      <c r="C567" s="24" t="inlineStr">
        <is>
          <t>2026-09-26T21:00Z</t>
        </is>
      </c>
      <c r="D567" s="24" t="inlineStr">
        <is>
          <t>401858464</t>
        </is>
      </c>
      <c r="E567" s="24" t="inlineStr">
        <is>
          <t>NCAAF</t>
        </is>
      </c>
      <c r="F567" s="24" t="inlineStr">
        <is>
          <t>Nebraska Cornhuskers</t>
        </is>
      </c>
      <c r="G567" s="24" t="inlineStr">
        <is>
          <t>Michigan State Spartans</t>
        </is>
      </c>
      <c r="H567" s="24" t="inlineStr">
        <is>
          <t>spread</t>
        </is>
      </c>
      <c r="I567" s="24" t="inlineStr">
        <is>
          <t>home</t>
        </is>
      </c>
      <c r="J567" s="25" t="n">
        <v>5.5</v>
      </c>
      <c r="K567" s="24" t="inlineStr">
        <is>
          <t>espn_consensus</t>
        </is>
      </c>
      <c r="L567" s="26" t="n">
        <v>-108</v>
      </c>
      <c r="M567" s="27" t="n">
        <v>1.925926</v>
      </c>
      <c r="N567" s="28" t="n">
        <v>0.519231</v>
      </c>
      <c r="O567" s="28" t="n">
        <v>0.600133</v>
      </c>
      <c r="P567" s="28" t="n">
        <v>0.165</v>
      </c>
      <c r="Q567" s="28" t="n">
        <v>0.080902</v>
      </c>
      <c r="R567" s="26" t="n">
        <v>0</v>
      </c>
      <c r="S567" s="29" t="n">
        <v>1</v>
      </c>
      <c r="T567" s="24" t="inlineStr">
        <is>
          <t>cfb-spread-v1</t>
        </is>
      </c>
      <c r="U567" s="24" t="inlineStr">
        <is>
          <t>settled</t>
        </is>
      </c>
      <c r="V567" s="24" t="inlineStr">
        <is>
          <t>loss</t>
        </is>
      </c>
      <c r="W567" s="26" t="n">
        <v>31</v>
      </c>
      <c r="X567" s="26" t="n">
        <v>13</v>
      </c>
      <c r="Y567" s="25" t="n"/>
      <c r="Z567" s="26" t="n"/>
      <c r="AA567" s="28" t="n"/>
      <c r="AB567" s="28" t="n"/>
      <c r="AC567" s="30" t="n">
        <v>-1</v>
      </c>
      <c r="AD567" s="24" t="inlineStr">
        <is>
          <t>2026-09-27T04:30:56.922210Z</t>
        </is>
      </c>
      <c r="AE567" s="31" t="inlineStr">
        <is>
          <t>Projected home margin -0.9 pts. Spread: Home +5.5 / Away -5.5 -&gt; P(Away cover)=0.400, P(Home cover)=0.600, P(Push)=0.000.</t>
        </is>
      </c>
      <c r="AF567" s="31" t="inlineStr">
        <is>
          <t>College football model; multi-market (moneyline, spread, total).</t>
        </is>
      </c>
      <c r="AG567" s="24" t="inlineStr">
        <is>
          <t>review_required</t>
        </is>
      </c>
      <c r="AH567" s="24" t="n"/>
      <c r="AI567" s="31" t="n"/>
      <c r="AJ567" s="31" t="n"/>
      <c r="AK567" s="24" t="inlineStr">
        <is>
          <t>model_qualified</t>
        </is>
      </c>
      <c r="AL567" s="26" t="n">
        <v>4</v>
      </c>
      <c r="AM567" s="24" t="inlineStr">
        <is>
          <t>QUALIFIED_SHADOW_CALL</t>
        </is>
      </c>
      <c r="AN567" s="24" t="inlineStr">
        <is>
          <t>CALL</t>
        </is>
      </c>
      <c r="AO567" s="24" t="inlineStr">
        <is>
          <t>QUALIFIED</t>
        </is>
      </c>
      <c r="AP567" s="24" t="inlineStr">
        <is>
          <t>Nebraska Cornhuskers</t>
        </is>
      </c>
      <c r="AQ567" s="24" t="inlineStr">
        <is>
          <t>Nebraska Cornhuskers</t>
        </is>
      </c>
      <c r="AR567" s="24" t="inlineStr">
        <is>
          <t>Nebraska Cornhuskers</t>
        </is>
      </c>
      <c r="AS567" s="24" t="inlineStr">
        <is>
          <t>Michigan State Spartans</t>
        </is>
      </c>
      <c r="AT567" s="24" t="inlineStr">
        <is>
          <t>Michigan State Spartans</t>
        </is>
      </c>
      <c r="AU567" s="24" t="inlineStr">
        <is>
          <t>Michigan State Spartans</t>
        </is>
      </c>
      <c r="AV567" s="24" t="n"/>
      <c r="AW567" s="24" t="n"/>
      <c r="AX567" s="24" t="inlineStr">
        <is>
          <t>statistical_model</t>
        </is>
      </c>
      <c r="AY567" s="24" t="n"/>
      <c r="AZ567" s="24" t="inlineStr">
        <is>
          <t>shadow_qualified</t>
        </is>
      </c>
      <c r="BA567" s="24" t="inlineStr">
        <is>
          <t>1d168f11d221cd3c</t>
        </is>
      </c>
      <c r="BB567" s="24" t="inlineStr">
        <is>
          <t>cfb_key_number_engine</t>
        </is>
      </c>
      <c r="BC567" s="24" t="inlineStr">
        <is>
          <t>cfb-spread-v1</t>
        </is>
      </c>
      <c r="BD567" s="24" t="inlineStr">
        <is>
          <t>1d168f11d221cd3c</t>
        </is>
      </c>
      <c r="BE567" s="24" t="inlineStr">
        <is>
          <t>cfb-v1</t>
        </is>
      </c>
      <c r="BF567" s="24" t="inlineStr">
        <is>
          <t>1</t>
        </is>
      </c>
      <c r="BG567" s="24" t="inlineStr">
        <is>
          <t>1d168f11d221cd3c</t>
        </is>
      </c>
      <c r="BH567" s="24" t="inlineStr">
        <is>
          <t>2026-09-26T15:01:01.506546+00:00</t>
        </is>
      </c>
      <c r="BI567" s="24" t="inlineStr">
        <is>
          <t>["same_event","same_team_same_day","same_league_same_day"]</t>
        </is>
      </c>
      <c r="BJ567" s="25" t="n">
        <v>5.5</v>
      </c>
      <c r="BK567" s="26" t="n">
        <v>-108</v>
      </c>
      <c r="BL567" s="27" t="n">
        <v>1.925926</v>
      </c>
      <c r="BM567" s="28" t="n">
        <v>0.519231</v>
      </c>
      <c r="BN567" s="28" t="n"/>
      <c r="BO567" s="28" t="n"/>
      <c r="BP567" s="25" t="n"/>
      <c r="BQ567" s="27" t="n"/>
      <c r="BR567" s="28" t="n"/>
      <c r="BS567" s="28" t="n"/>
      <c r="BT567" s="28" t="n"/>
      <c r="BU567" s="25" t="n"/>
      <c r="BV567" s="29" t="n"/>
      <c r="BW567" s="24" t="n"/>
      <c r="BX567" s="30" t="n"/>
      <c r="BY567" s="27" t="n"/>
      <c r="BZ567" s="24" t="n"/>
      <c r="CA567" s="31" t="n"/>
      <c r="CB567" s="24" t="n"/>
      <c r="CC567" s="24" t="n"/>
      <c r="CD567" s="24" t="n"/>
      <c r="CE567" s="24" t="n"/>
      <c r="CF567" s="24" t="n"/>
      <c r="CG567" s="24" t="n"/>
      <c r="CH567" s="24" t="n"/>
      <c r="CI567" s="24" t="n"/>
      <c r="CJ567" s="24" t="n"/>
      <c r="CK567" s="24" t="n"/>
      <c r="CL567" s="24" t="n"/>
      <c r="CM567" s="24" t="n"/>
      <c r="CN567" s="24" t="n"/>
      <c r="CO567" s="24" t="n"/>
      <c r="CP567" s="24" t="n"/>
      <c r="CQ567" s="24" t="n"/>
      <c r="CR567" s="24" t="n"/>
      <c r="CS567" s="24" t="inlineStr">
        <is>
          <t>True</t>
        </is>
      </c>
      <c r="CT567" s="24" t="n"/>
      <c r="CU567" s="24" t="n"/>
      <c r="CV567" s="24" t="n"/>
      <c r="CW567" s="24" t="n"/>
      <c r="CX567" s="24" t="n"/>
      <c r="CY567" s="24" t="n"/>
      <c r="CZ567" s="24" t="n"/>
      <c r="DA567" s="24" t="n"/>
      <c r="DB567" s="24" t="n"/>
      <c r="DC567" s="24" t="n"/>
      <c r="DD567" s="24" t="n"/>
      <c r="DE567" s="24" t="n"/>
      <c r="DF567" s="24" t="n"/>
      <c r="DG567" s="24" t="n"/>
      <c r="DH567" s="24" t="n"/>
      <c r="DI567" s="24" t="n"/>
      <c r="DJ567" s="24" t="inlineStr">
        <is>
          <t>0.519231</t>
        </is>
      </c>
      <c r="DK567" s="24" t="n"/>
      <c r="DL567" s="24" t="n"/>
      <c r="DM567" s="24" t="n"/>
      <c r="DN567" s="24" t="n"/>
      <c r="DO567" s="24" t="n"/>
      <c r="DP567" s="24" t="n"/>
      <c r="DQ567" s="24" t="inlineStr">
        <is>
          <t>{"artifact_hash": "1d168f11d221cd3c", "event_id": "401858464", "event_start_utc": "2026-09-26T21:00Z", "features": {"altitude_fatigue_penalty": 0.0, "away_team": "Nebraska Cornhuskers", "efficiency_gap": -0.697, "elo_away": 1462.4, "elo_home": 1375.8, "elo_home_win_prob": 0.469, "event_id": "401858464", "game_start_utc": "2026-09-26T21:00Z", "home_field_advantage_points": 2.8, "home_team": "Michigan State Spartans", "is_dome": false, "is_fbs_vs_fcs": false, "is_neutral_site": false, "projected_away_points": 28.5, "projected_home_points": 27.7, "projected_margin_home": -0.9, "projected_possessions": 12.4, "projected_total": 56.2, "stadium_elevation_ft": 850, "travel_distance_miles": 643.0, "uncertainty": 0.165, "weather_total_adjustment": 0.0}, "historical_source_observation_times_verified": false, "inference_inputs": {"engine_source_sha256": "449ba2f0e86fa9c445730076a0e0bf100fb4914620be53c75c6f3bfe24298f3f", "mu_away": 28.5, "mu_home": 27.7,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119536161589759530115786968358663578539}, "uinteger": 0}, "spread_home_line": 5.5, "total_line": 49.5}, "market_type": "spread", "model_version": "cfb-spread-v1", "observed_at_utc": "2026-09-26T15:01:01.506546+00:00", "probabilities": {"away": 0.399867, "home": 0.600133, "push": 0.0}, "replay_scope": "Full precision score means, exact engine parameters and original RNG state; upstream feature construction not certified.", "schema": "cfb-joint-replay-v1", "snapshot_hash": "29c0b0570af07db992df7beed318390d841a4a55b0a2b631d12e5422318946c6", "sport": "NCAAF"}</t>
        </is>
      </c>
    </row>
    <row r="568" ht="36" customHeight="1">
      <c r="A568" s="24" t="inlineStr">
        <is>
          <t>cce32c40fa144d3b</t>
        </is>
      </c>
      <c r="B568" s="24" t="inlineStr">
        <is>
          <t>2026-09-26T15:01:01.506546Z</t>
        </is>
      </c>
      <c r="C568" s="24" t="inlineStr">
        <is>
          <t>2026-09-26T21:00Z</t>
        </is>
      </c>
      <c r="D568" s="24" t="inlineStr">
        <is>
          <t>401858464</t>
        </is>
      </c>
      <c r="E568" s="24" t="inlineStr">
        <is>
          <t>NCAAF</t>
        </is>
      </c>
      <c r="F568" s="24" t="inlineStr">
        <is>
          <t>Nebraska Cornhuskers</t>
        </is>
      </c>
      <c r="G568" s="24" t="inlineStr">
        <is>
          <t>Michigan State Spartans</t>
        </is>
      </c>
      <c r="H568" s="24" t="inlineStr">
        <is>
          <t>total</t>
        </is>
      </c>
      <c r="I568" s="24" t="inlineStr">
        <is>
          <t>over</t>
        </is>
      </c>
      <c r="J568" s="25" t="n">
        <v>49.5</v>
      </c>
      <c r="K568" s="24" t="inlineStr">
        <is>
          <t>espn_consensus</t>
        </is>
      </c>
      <c r="L568" s="26" t="n">
        <v>-108</v>
      </c>
      <c r="M568" s="27" t="n">
        <v>1.925926</v>
      </c>
      <c r="N568" s="28" t="n">
        <v>0.519231</v>
      </c>
      <c r="O568" s="28" t="n">
        <v>0.579867</v>
      </c>
      <c r="P568" s="28" t="n">
        <v>0.165</v>
      </c>
      <c r="Q568" s="28" t="n">
        <v>0.060636</v>
      </c>
      <c r="R568" s="26" t="n">
        <v>0</v>
      </c>
      <c r="S568" s="29" t="n">
        <v>1</v>
      </c>
      <c r="T568" s="24" t="inlineStr">
        <is>
          <t>cfb-total-v1</t>
        </is>
      </c>
      <c r="U568" s="24" t="inlineStr">
        <is>
          <t>settled</t>
        </is>
      </c>
      <c r="V568" s="24" t="inlineStr">
        <is>
          <t>loss</t>
        </is>
      </c>
      <c r="W568" s="26" t="n">
        <v>31</v>
      </c>
      <c r="X568" s="26" t="n">
        <v>13</v>
      </c>
      <c r="Y568" s="25" t="n"/>
      <c r="Z568" s="26" t="n"/>
      <c r="AA568" s="28" t="n"/>
      <c r="AB568" s="28" t="n"/>
      <c r="AC568" s="30" t="n">
        <v>-1</v>
      </c>
      <c r="AD568" s="24" t="inlineStr">
        <is>
          <t>2026-09-27T04:30:57.497019Z</t>
        </is>
      </c>
      <c r="AE568" s="31" t="inlineStr">
        <is>
          <t>Projected total 56.2 pts (Weather adj: +0.0 pts). Total line 49.5 -&gt; P(Over)=0.580, P(Under)=0.420, P(Push)=0.000.</t>
        </is>
      </c>
      <c r="AF568" s="31" t="inlineStr">
        <is>
          <t>College football model; multi-market (moneyline, spread, total).</t>
        </is>
      </c>
      <c r="AG568" s="24" t="inlineStr">
        <is>
          <t>review_required</t>
        </is>
      </c>
      <c r="AH568" s="24" t="n"/>
      <c r="AI568" s="31" t="n"/>
      <c r="AJ568" s="31" t="n"/>
      <c r="AK568" s="24" t="inlineStr">
        <is>
          <t>model_qualified</t>
        </is>
      </c>
      <c r="AL568" s="26" t="n">
        <v>4</v>
      </c>
      <c r="AM568" s="24" t="inlineStr">
        <is>
          <t>QUALIFIED_SHADOW_CALL</t>
        </is>
      </c>
      <c r="AN568" s="24" t="inlineStr">
        <is>
          <t>CALL</t>
        </is>
      </c>
      <c r="AO568" s="24" t="inlineStr">
        <is>
          <t>QUALIFIED</t>
        </is>
      </c>
      <c r="AP568" s="24" t="inlineStr">
        <is>
          <t>Nebraska Cornhuskers</t>
        </is>
      </c>
      <c r="AQ568" s="24" t="inlineStr">
        <is>
          <t>Nebraska Cornhuskers</t>
        </is>
      </c>
      <c r="AR568" s="24" t="inlineStr">
        <is>
          <t>Nebraska Cornhuskers</t>
        </is>
      </c>
      <c r="AS568" s="24" t="inlineStr">
        <is>
          <t>Michigan State Spartans</t>
        </is>
      </c>
      <c r="AT568" s="24" t="inlineStr">
        <is>
          <t>Michigan State Spartans</t>
        </is>
      </c>
      <c r="AU568" s="24" t="inlineStr">
        <is>
          <t>Michigan State Spartans</t>
        </is>
      </c>
      <c r="AV568" s="24" t="n"/>
      <c r="AW568" s="24" t="n"/>
      <c r="AX568" s="24" t="inlineStr">
        <is>
          <t>statistical_model</t>
        </is>
      </c>
      <c r="AY568" s="24" t="n"/>
      <c r="AZ568" s="24" t="inlineStr">
        <is>
          <t>shadow_qualified</t>
        </is>
      </c>
      <c r="BA568" s="24" t="inlineStr">
        <is>
          <t>1d168f11d221cd3c</t>
        </is>
      </c>
      <c r="BB568" s="24" t="inlineStr">
        <is>
          <t>cfb_key_number_engine</t>
        </is>
      </c>
      <c r="BC568" s="24" t="inlineStr">
        <is>
          <t>cfb-total-v1</t>
        </is>
      </c>
      <c r="BD568" s="24" t="inlineStr">
        <is>
          <t>1d168f11d221cd3c</t>
        </is>
      </c>
      <c r="BE568" s="24" t="inlineStr">
        <is>
          <t>cfb-v1</t>
        </is>
      </c>
      <c r="BF568" s="24" t="inlineStr">
        <is>
          <t>1</t>
        </is>
      </c>
      <c r="BG568" s="24" t="inlineStr">
        <is>
          <t>1d168f11d221cd3c</t>
        </is>
      </c>
      <c r="BH568" s="24" t="inlineStr">
        <is>
          <t>2026-09-26T15:01:01.506546+00:00</t>
        </is>
      </c>
      <c r="BI568" s="24" t="inlineStr">
        <is>
          <t>["same_event","same_team_same_day","same_league_same_day"]</t>
        </is>
      </c>
      <c r="BJ568" s="25" t="n">
        <v>49.5</v>
      </c>
      <c r="BK568" s="26" t="n">
        <v>-108</v>
      </c>
      <c r="BL568" s="27" t="n">
        <v>1.925926</v>
      </c>
      <c r="BM568" s="28" t="n">
        <v>0.519231</v>
      </c>
      <c r="BN568" s="28" t="n"/>
      <c r="BO568" s="28" t="n"/>
      <c r="BP568" s="25" t="n"/>
      <c r="BQ568" s="27" t="n"/>
      <c r="BR568" s="28" t="n"/>
      <c r="BS568" s="28" t="n"/>
      <c r="BT568" s="28" t="n"/>
      <c r="BU568" s="25" t="n"/>
      <c r="BV568" s="29" t="n"/>
      <c r="BW568" s="24" t="n"/>
      <c r="BX568" s="30" t="n"/>
      <c r="BY568" s="27" t="n"/>
      <c r="BZ568" s="24" t="n"/>
      <c r="CA568" s="31" t="n"/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  <c r="CL568" s="24" t="n"/>
      <c r="CM568" s="24" t="n"/>
      <c r="CN568" s="24" t="n"/>
      <c r="CO568" s="24" t="n"/>
      <c r="CP568" s="24" t="n"/>
      <c r="CQ568" s="24" t="n"/>
      <c r="CR568" s="24" t="n"/>
      <c r="CS568" s="24" t="inlineStr">
        <is>
          <t>True</t>
        </is>
      </c>
      <c r="CT568" s="24" t="n"/>
      <c r="CU568" s="24" t="n"/>
      <c r="CV568" s="24" t="n"/>
      <c r="CW568" s="24" t="n"/>
      <c r="CX568" s="24" t="n"/>
      <c r="CY568" s="24" t="n"/>
      <c r="CZ568" s="24" t="n"/>
      <c r="DA568" s="24" t="n"/>
      <c r="DB568" s="24" t="n"/>
      <c r="DC568" s="24" t="n"/>
      <c r="DD568" s="24" t="n"/>
      <c r="DE568" s="24" t="n"/>
      <c r="DF568" s="24" t="n"/>
      <c r="DG568" s="24" t="n"/>
      <c r="DH568" s="24" t="n"/>
      <c r="DI568" s="24" t="n"/>
      <c r="DJ568" s="24" t="inlineStr">
        <is>
          <t>0.519231</t>
        </is>
      </c>
      <c r="DK568" s="24" t="n"/>
      <c r="DL568" s="24" t="n"/>
      <c r="DM568" s="24" t="n"/>
      <c r="DN568" s="24" t="n"/>
      <c r="DO568" s="24" t="n"/>
      <c r="DP568" s="24" t="n"/>
      <c r="DQ568" s="24" t="inlineStr">
        <is>
          <t>{"artifact_hash": "1d168f11d221cd3c", "event_id": "401858464", "event_start_utc": "2026-09-26T21:00Z", "features": {"altitude_fatigue_penalty": 0.0, "away_team": "Nebraska Cornhuskers", "efficiency_gap": -0.697, "elo_away": 1462.4, "elo_home": 1375.8, "elo_home_win_prob": 0.469, "event_id": "401858464", "game_start_utc": "2026-09-26T21:00Z", "home_field_advantage_points": 2.8, "home_team": "Michigan State Spartans", "is_dome": false, "is_fbs_vs_fcs": false, "is_neutral_site": false, "projected_away_points": 28.5, "projected_home_points": 27.7, "projected_margin_home": -0.9, "projected_possessions": 12.4, "projected_total": 56.2, "stadium_elevation_ft": 850, "travel_distance_miles": 643.0, "uncertainty": 0.165, "weather_total_adjustment": 0.0}, "historical_source_observation_times_verified": false, "inference_inputs": {"engine_source_sha256": "449ba2f0e86fa9c445730076a0e0bf100fb4914620be53c75c6f3bfe24298f3f", "mu_away": 28.5, "mu_home": 27.7,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119536161589759530115786968358663578539}, "uinteger": 0}, "spread_home_line": 5.5, "total_line": 49.5}, "market_type": "total", "model_version": "cfb-total-v1", "observed_at_utc": "2026-09-26T15:01:01.506546+00:00", "probabilities": {"over": 0.579867, "push": 0.0, "under": 0.420133}, "replay_scope": "Full precision score means, exact engine parameters and original RNG state; upstream feature construction not certified.", "schema": "cfb-joint-replay-v1", "snapshot_hash": "939d9a8518e61af986cefbc44d7d130d9299ae88eec47b78f1a51ca636b36e80", "sport": "NCAAF"}</t>
        </is>
      </c>
    </row>
    <row r="569" ht="36" customHeight="1">
      <c r="A569" s="24" t="inlineStr">
        <is>
          <t>1af3d9c0b341469b</t>
        </is>
      </c>
      <c r="B569" s="24" t="inlineStr">
        <is>
          <t>2026-09-26T15:01:01.506546Z</t>
        </is>
      </c>
      <c r="C569" s="24" t="inlineStr">
        <is>
          <t>2026-09-26T21:00Z</t>
        </is>
      </c>
      <c r="D569" s="24" t="inlineStr">
        <is>
          <t>401862785</t>
        </is>
      </c>
      <c r="E569" s="24" t="inlineStr">
        <is>
          <t>NCAAF</t>
        </is>
      </c>
      <c r="F569" s="24" t="inlineStr">
        <is>
          <t>South Florida Bulls</t>
        </is>
      </c>
      <c r="G569" s="24" t="inlineStr">
        <is>
          <t>Bowling Green Falcons</t>
        </is>
      </c>
      <c r="H569" s="24" t="inlineStr">
        <is>
          <t>moneyline</t>
        </is>
      </c>
      <c r="I569" s="24" t="inlineStr">
        <is>
          <t>away</t>
        </is>
      </c>
      <c r="J569" s="25" t="n"/>
      <c r="K569" s="24" t="inlineStr">
        <is>
          <t>espn_consensus</t>
        </is>
      </c>
      <c r="L569" s="26" t="n">
        <v>-1050</v>
      </c>
      <c r="M569" s="27" t="n">
        <v>1.095238</v>
      </c>
      <c r="N569" s="28" t="n">
        <v>0.913043</v>
      </c>
      <c r="O569" s="28" t="n">
        <v>0.670293</v>
      </c>
      <c r="P569" s="28" t="n">
        <v>0.18</v>
      </c>
      <c r="Q569" s="28" t="n">
        <v>-0.24275</v>
      </c>
      <c r="R569" s="26" t="n">
        <v>0</v>
      </c>
      <c r="S569" s="29" t="n">
        <v>1</v>
      </c>
      <c r="T569" s="24" t="inlineStr">
        <is>
          <t>college-football-v1</t>
        </is>
      </c>
      <c r="U569" s="24" t="inlineStr">
        <is>
          <t>settled</t>
        </is>
      </c>
      <c r="V569" s="24" t="inlineStr">
        <is>
          <t>win</t>
        </is>
      </c>
      <c r="W569" s="26" t="n">
        <v>14</v>
      </c>
      <c r="X569" s="26" t="n">
        <v>6</v>
      </c>
      <c r="Y569" s="25" t="n"/>
      <c r="Z569" s="26" t="n"/>
      <c r="AA569" s="28" t="n"/>
      <c r="AB569" s="28" t="n"/>
      <c r="AC569" s="30" t="n">
        <v>0.09520000000000001</v>
      </c>
      <c r="AD569" s="24" t="inlineStr">
        <is>
          <t>2026-09-27T04:30:58.093254Z</t>
        </is>
      </c>
      <c r="AE569" s="31" t="inlineStr">
        <is>
          <t>CFB Joint Model (negative_binomial): proj score South Florida Bulls 30.8 @ Bowling Green Falcons 22.5 (Margin -8.3). Possessions: 12.4, HFA: +2.8 pts.</t>
        </is>
      </c>
      <c r="AF569" s="31" t="inlineStr">
        <is>
          <t>College football model; multi-market (moneyline, spread, total).</t>
        </is>
      </c>
      <c r="AG569" s="24" t="inlineStr">
        <is>
          <t>not_applicable</t>
        </is>
      </c>
      <c r="AH569" s="24" t="n"/>
      <c r="AI569" s="31" t="n"/>
      <c r="AJ569" s="31" t="n"/>
      <c r="AK569" s="24" t="inlineStr">
        <is>
          <t>paper_call</t>
        </is>
      </c>
      <c r="AL569" s="26" t="n">
        <v>4</v>
      </c>
      <c r="AM569" s="24" t="inlineStr">
        <is>
          <t>RESEARCH_OBSERVATION</t>
        </is>
      </c>
      <c r="AN569" s="24" t="inlineStr">
        <is>
          <t>CALL</t>
        </is>
      </c>
      <c r="AO569" s="24" t="inlineStr">
        <is>
          <t>PAPER_CALL_LOW_EDGE</t>
        </is>
      </c>
      <c r="AP569" s="24" t="inlineStr">
        <is>
          <t>South Florida Bulls</t>
        </is>
      </c>
      <c r="AQ569" s="24" t="inlineStr">
        <is>
          <t>South Florida Bulls</t>
        </is>
      </c>
      <c r="AR569" s="24" t="inlineStr">
        <is>
          <t>South Florida Bulls</t>
        </is>
      </c>
      <c r="AS569" s="24" t="inlineStr">
        <is>
          <t>Bowling Green Falcons</t>
        </is>
      </c>
      <c r="AT569" s="24" t="inlineStr">
        <is>
          <t>Bowling Green Falcons</t>
        </is>
      </c>
      <c r="AU569" s="24" t="inlineStr">
        <is>
          <t>Bowling Green Falcons</t>
        </is>
      </c>
      <c r="AV569" s="24" t="n"/>
      <c r="AW569" s="24" t="n"/>
      <c r="AX569" s="24" t="inlineStr">
        <is>
          <t>statistical_model</t>
        </is>
      </c>
      <c r="AY569" s="24" t="n"/>
      <c r="AZ569" s="24" t="inlineStr">
        <is>
          <t>shadow_qualified</t>
        </is>
      </c>
      <c r="BA569" s="24" t="inlineStr">
        <is>
          <t>1d168f11d221cd3c</t>
        </is>
      </c>
      <c r="BB569" s="24" t="inlineStr">
        <is>
          <t>cfb_key_number_engine</t>
        </is>
      </c>
      <c r="BC569" s="24" t="inlineStr">
        <is>
          <t>college-football-v1</t>
        </is>
      </c>
      <c r="BD569" s="24" t="inlineStr">
        <is>
          <t>1d168f11d221cd3c</t>
        </is>
      </c>
      <c r="BE569" s="24" t="inlineStr">
        <is>
          <t>cfb-v1</t>
        </is>
      </c>
      <c r="BF569" s="24" t="inlineStr">
        <is>
          <t>1</t>
        </is>
      </c>
      <c r="BG569" s="24" t="inlineStr">
        <is>
          <t>1d168f11d221cd3c</t>
        </is>
      </c>
      <c r="BH569" s="24" t="inlineStr">
        <is>
          <t>2026-09-26T15:01:01.506546+00:00</t>
        </is>
      </c>
      <c r="BI569" s="24" t="inlineStr">
        <is>
          <t>["same_event","same_team_same_day","same_league_same_day"]</t>
        </is>
      </c>
      <c r="BJ569" s="25" t="n"/>
      <c r="BK569" s="26" t="n">
        <v>-1050</v>
      </c>
      <c r="BL569" s="27" t="n">
        <v>1.095238</v>
      </c>
      <c r="BM569" s="28" t="n">
        <v>0.913043</v>
      </c>
      <c r="BN569" s="28" t="n"/>
      <c r="BO569" s="28" t="n"/>
      <c r="BP569" s="25" t="n"/>
      <c r="BQ569" s="27" t="n"/>
      <c r="BR569" s="28" t="n"/>
      <c r="BS569" s="28" t="n"/>
      <c r="BT569" s="28" t="n"/>
      <c r="BU569" s="25" t="n"/>
      <c r="BV569" s="29" t="n"/>
      <c r="BW569" s="24" t="n"/>
      <c r="BX569" s="30" t="n">
        <v>1</v>
      </c>
      <c r="BY569" s="27" t="n">
        <v>0.095238</v>
      </c>
      <c r="BZ569" s="24" t="inlineStr">
        <is>
          <t>2026-09-27T04:30:58.093254Z</t>
        </is>
      </c>
      <c r="CA569" s="31" t="inlineStr">
        <is>
          <t>fixed one-unit hypothetical scoring; no real exposure or execution</t>
        </is>
      </c>
      <c r="CB569" s="24" t="n"/>
      <c r="CC569" s="24" t="n"/>
      <c r="CD569" s="24" t="n"/>
      <c r="CE569" s="24" t="n"/>
      <c r="CF569" s="24" t="n"/>
      <c r="CG569" s="24" t="n"/>
      <c r="CH569" s="24" t="n"/>
      <c r="CI569" s="24" t="n"/>
      <c r="CJ569" s="24" t="n"/>
      <c r="CK569" s="24" t="n"/>
      <c r="CL569" s="24" t="n"/>
      <c r="CM569" s="24" t="n"/>
      <c r="CN569" s="24" t="n"/>
      <c r="CO569" s="24" t="n"/>
      <c r="CP569" s="24" t="n"/>
      <c r="CQ569" s="24" t="n"/>
      <c r="CR569" s="24" t="n"/>
      <c r="CS569" s="24" t="inlineStr">
        <is>
          <t>False</t>
        </is>
      </c>
      <c r="CT569" s="24" t="n"/>
      <c r="CU569" s="24" t="n"/>
      <c r="CV569" s="24" t="n"/>
      <c r="CW569" s="24" t="n"/>
      <c r="CX569" s="24" t="n"/>
      <c r="CY569" s="24" t="n"/>
      <c r="CZ569" s="24" t="n"/>
      <c r="DA569" s="24" t="n"/>
      <c r="DB569" s="24" t="n"/>
      <c r="DC569" s="24" t="n"/>
      <c r="DD569" s="24" t="n"/>
      <c r="DE569" s="24" t="n"/>
      <c r="DF569" s="24" t="n"/>
      <c r="DG569" s="24" t="n"/>
      <c r="DH569" s="24" t="n"/>
      <c r="DI569" s="24" t="n"/>
      <c r="DJ569" s="24" t="inlineStr">
        <is>
          <t>0.913043</t>
        </is>
      </c>
      <c r="DK569" s="24" t="n"/>
      <c r="DL569" s="24" t="n"/>
      <c r="DM569" s="24" t="n"/>
      <c r="DN569" s="24" t="n"/>
      <c r="DO569" s="24" t="n"/>
      <c r="DP569" s="24" t="n"/>
      <c r="DQ569" s="24" t="inlineStr">
        <is>
          <t>{"artifact_hash": "1d168f11d221cd3c", "event_id": "401862785", "event_start_utc": "2026-09-26T21:00Z", "features": {"altitude_fatigue_penalty": 0.0, "away_team": "South Florida Bulls", "efficiency_gap": -0.671, "elo_away": 1657.2, "elo_home": 1389.6, "elo_home_win_prob": 0.2375, "event_id": "401862785", "game_start_utc": "2026-09-26T21:00Z", "home_field_advantage_points": 2.8, "home_team": "Bowling Green Falcons", "is_dome": false, "is_fbs_vs_fcs": false, "is_neutral_site": false, "projected_away_points": 30.8, "projected_home_points": 22.5, "projected_margin_home": -8.3, "projected_possessions": 12.4, "projected_total": 53.2, "stadium_elevation_ft": 690, "travel_distance_miles": 928.0, "uncertainty": 0.18, "weather_total_adjustment": 0.0}, "historical_source_observation_times_verified": false, "inference_inputs": {"engine_source_sha256": "449ba2f0e86fa9c445730076a0e0bf100fb4914620be53c75c6f3bfe24298f3f", "mu_away": 30.8, "mu_home": 22.5,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271004199144595897880037223681458834464}, "uinteger": 0}, "spread_home_line": 18.5, "total_line": 48.5}, "market_type": "moneyline", "model_version": "college-football-v1", "observed_at_utc": "2026-09-26T15:01:01.506546+00:00", "probabilities": {"away": 0.670293, "home": 0.329707}, "replay_scope": "Full precision score means, exact engine parameters and original RNG state; upstream feature construction not certified.", "schema": "cfb-joint-replay-v1", "snapshot_hash": "42cab512f51e8d7b697a42c9e01e8e31c8ce625189fc37b31dabbbc4fbf5ae26", "sport": "NCAAF"}</t>
        </is>
      </c>
    </row>
    <row r="570" ht="36" customHeight="1">
      <c r="A570" s="24" t="inlineStr">
        <is>
          <t>1cd983fbb5c1463d</t>
        </is>
      </c>
      <c r="B570" s="24" t="inlineStr">
        <is>
          <t>2026-09-26T15:01:01.506546Z</t>
        </is>
      </c>
      <c r="C570" s="24" t="inlineStr">
        <is>
          <t>2026-09-26T21:00Z</t>
        </is>
      </c>
      <c r="D570" s="24" t="inlineStr">
        <is>
          <t>401862785</t>
        </is>
      </c>
      <c r="E570" s="24" t="inlineStr">
        <is>
          <t>NCAAF</t>
        </is>
      </c>
      <c r="F570" s="24" t="inlineStr">
        <is>
          <t>South Florida Bulls</t>
        </is>
      </c>
      <c r="G570" s="24" t="inlineStr">
        <is>
          <t>Bowling Green Falcons</t>
        </is>
      </c>
      <c r="H570" s="24" t="inlineStr">
        <is>
          <t>spread</t>
        </is>
      </c>
      <c r="I570" s="24" t="inlineStr">
        <is>
          <t>home</t>
        </is>
      </c>
      <c r="J570" s="25" t="n">
        <v>18.5</v>
      </c>
      <c r="K570" s="24" t="inlineStr">
        <is>
          <t>espn_consensus</t>
        </is>
      </c>
      <c r="L570" s="26" t="n">
        <v>-115</v>
      </c>
      <c r="M570" s="27" t="n">
        <v>1.869565</v>
      </c>
      <c r="N570" s="28" t="n">
        <v>0.534884</v>
      </c>
      <c r="O570" s="28" t="n">
        <v>0.699</v>
      </c>
      <c r="P570" s="28" t="n">
        <v>0.18</v>
      </c>
      <c r="Q570" s="28" t="n">
        <v>0.164116</v>
      </c>
      <c r="R570" s="26" t="n">
        <v>24</v>
      </c>
      <c r="S570" s="29" t="n">
        <v>1</v>
      </c>
      <c r="T570" s="24" t="inlineStr">
        <is>
          <t>cfb-spread-v1</t>
        </is>
      </c>
      <c r="U570" s="24" t="inlineStr">
        <is>
          <t>settled</t>
        </is>
      </c>
      <c r="V570" s="24" t="inlineStr">
        <is>
          <t>win</t>
        </is>
      </c>
      <c r="W570" s="26" t="n">
        <v>14</v>
      </c>
      <c r="X570" s="26" t="n">
        <v>6</v>
      </c>
      <c r="Y570" s="25" t="n"/>
      <c r="Z570" s="26" t="n"/>
      <c r="AA570" s="28" t="n"/>
      <c r="AB570" s="28" t="n"/>
      <c r="AC570" s="30" t="n">
        <v>0.8696</v>
      </c>
      <c r="AD570" s="24" t="inlineStr">
        <is>
          <t>2026-09-27T04:30:58.674281Z</t>
        </is>
      </c>
      <c r="AE570" s="31" t="inlineStr">
        <is>
          <t>Projected home margin -8.3 pts. Spread: Home +18.5 / Away -18.5 -&gt; P(Away cover)=0.301, P(Home cover)=0.699, P(Push)=0.000.</t>
        </is>
      </c>
      <c r="AF570" s="31" t="inlineStr">
        <is>
          <t>College football model; multi-market (moneyline, spread, total).</t>
        </is>
      </c>
      <c r="AG570" s="24" t="inlineStr">
        <is>
          <t>not_applicable</t>
        </is>
      </c>
      <c r="AH570" s="24" t="n"/>
      <c r="AI570" s="31" t="n"/>
      <c r="AJ570" s="31" t="n"/>
      <c r="AK570" s="24" t="inlineStr">
        <is>
          <t>model_qualified</t>
        </is>
      </c>
      <c r="AL570" s="26" t="n">
        <v>4</v>
      </c>
      <c r="AM570" s="24" t="inlineStr">
        <is>
          <t>QUALIFIED_SHADOW_CALL</t>
        </is>
      </c>
      <c r="AN570" s="24" t="inlineStr">
        <is>
          <t>CALL</t>
        </is>
      </c>
      <c r="AO570" s="24" t="inlineStr">
        <is>
          <t>QUALIFIED</t>
        </is>
      </c>
      <c r="AP570" s="24" t="inlineStr">
        <is>
          <t>South Florida Bulls</t>
        </is>
      </c>
      <c r="AQ570" s="24" t="inlineStr">
        <is>
          <t>South Florida Bulls</t>
        </is>
      </c>
      <c r="AR570" s="24" t="inlineStr">
        <is>
          <t>South Florida Bulls</t>
        </is>
      </c>
      <c r="AS570" s="24" t="inlineStr">
        <is>
          <t>Bowling Green Falcons</t>
        </is>
      </c>
      <c r="AT570" s="24" t="inlineStr">
        <is>
          <t>Bowling Green Falcons</t>
        </is>
      </c>
      <c r="AU570" s="24" t="inlineStr">
        <is>
          <t>Bowling Green Falcons</t>
        </is>
      </c>
      <c r="AV570" s="24" t="n"/>
      <c r="AW570" s="24" t="n"/>
      <c r="AX570" s="24" t="inlineStr">
        <is>
          <t>statistical_model</t>
        </is>
      </c>
      <c r="AY570" s="24" t="n"/>
      <c r="AZ570" s="24" t="inlineStr">
        <is>
          <t>shadow_qualified</t>
        </is>
      </c>
      <c r="BA570" s="24" t="inlineStr">
        <is>
          <t>1d168f11d221cd3c</t>
        </is>
      </c>
      <c r="BB570" s="24" t="inlineStr">
        <is>
          <t>cfb_key_number_engine</t>
        </is>
      </c>
      <c r="BC570" s="24" t="inlineStr">
        <is>
          <t>cfb-spread-v1</t>
        </is>
      </c>
      <c r="BD570" s="24" t="inlineStr">
        <is>
          <t>1d168f11d221cd3c</t>
        </is>
      </c>
      <c r="BE570" s="24" t="inlineStr">
        <is>
          <t>cfb-v1</t>
        </is>
      </c>
      <c r="BF570" s="24" t="inlineStr">
        <is>
          <t>1</t>
        </is>
      </c>
      <c r="BG570" s="24" t="inlineStr">
        <is>
          <t>1d168f11d221cd3c</t>
        </is>
      </c>
      <c r="BH570" s="24" t="inlineStr">
        <is>
          <t>2026-09-26T15:01:01.506546+00:00</t>
        </is>
      </c>
      <c r="BI570" s="24" t="inlineStr">
        <is>
          <t>["same_event","same_team_same_day","same_league_same_day"]</t>
        </is>
      </c>
      <c r="BJ570" s="25" t="n">
        <v>18.5</v>
      </c>
      <c r="BK570" s="26" t="n">
        <v>-115</v>
      </c>
      <c r="BL570" s="27" t="n">
        <v>1.869565</v>
      </c>
      <c r="BM570" s="28" t="n">
        <v>0.534884</v>
      </c>
      <c r="BN570" s="28" t="n"/>
      <c r="BO570" s="28" t="n"/>
      <c r="BP570" s="25" t="n"/>
      <c r="BQ570" s="27" t="n"/>
      <c r="BR570" s="28" t="n"/>
      <c r="BS570" s="28" t="n"/>
      <c r="BT570" s="28" t="n"/>
      <c r="BU570" s="25" t="n"/>
      <c r="BV570" s="29" t="n"/>
      <c r="BW570" s="24" t="n"/>
      <c r="BX570" s="30" t="n"/>
      <c r="BY570" s="27" t="n"/>
      <c r="BZ570" s="24" t="n"/>
      <c r="CA570" s="31" t="n"/>
      <c r="CB570" s="24" t="n"/>
      <c r="CC570" s="24" t="n"/>
      <c r="CD570" s="24" t="n"/>
      <c r="CE570" s="24" t="n"/>
      <c r="CF570" s="24" t="n"/>
      <c r="CG570" s="24" t="n"/>
      <c r="CH570" s="24" t="n"/>
      <c r="CI570" s="24" t="n"/>
      <c r="CJ570" s="24" t="n"/>
      <c r="CK570" s="24" t="n"/>
      <c r="CL570" s="24" t="n"/>
      <c r="CM570" s="24" t="n"/>
      <c r="CN570" s="24" t="n"/>
      <c r="CO570" s="24" t="n"/>
      <c r="CP570" s="24" t="n"/>
      <c r="CQ570" s="24" t="n"/>
      <c r="CR570" s="24" t="n"/>
      <c r="CS570" s="24" t="inlineStr">
        <is>
          <t>True</t>
        </is>
      </c>
      <c r="CT570" s="24" t="n"/>
      <c r="CU570" s="24" t="n"/>
      <c r="CV570" s="24" t="n"/>
      <c r="CW570" s="24" t="n"/>
      <c r="CX570" s="24" t="n"/>
      <c r="CY570" s="24" t="n"/>
      <c r="CZ570" s="24" t="n"/>
      <c r="DA570" s="24" t="n"/>
      <c r="DB570" s="24" t="n"/>
      <c r="DC570" s="24" t="n"/>
      <c r="DD570" s="24" t="n"/>
      <c r="DE570" s="24" t="n"/>
      <c r="DF570" s="24" t="n"/>
      <c r="DG570" s="24" t="n"/>
      <c r="DH570" s="24" t="n"/>
      <c r="DI570" s="24" t="n"/>
      <c r="DJ570" s="24" t="inlineStr">
        <is>
          <t>0.534884</t>
        </is>
      </c>
      <c r="DK570" s="24" t="n"/>
      <c r="DL570" s="24" t="n"/>
      <c r="DM570" s="24" t="n"/>
      <c r="DN570" s="24" t="n"/>
      <c r="DO570" s="24" t="n"/>
      <c r="DP570" s="24" t="n"/>
      <c r="DQ570" s="24" t="inlineStr">
        <is>
          <t>{"artifact_hash": "1d168f11d221cd3c", "event_id": "401862785", "event_start_utc": "2026-09-26T21:00Z", "features": {"altitude_fatigue_penalty": 0.0, "away_team": "South Florida Bulls", "efficiency_gap": -0.671, "elo_away": 1657.2, "elo_home": 1389.6, "elo_home_win_prob": 0.2375, "event_id": "401862785", "game_start_utc": "2026-09-26T21:00Z", "home_field_advantage_points": 2.8, "home_team": "Bowling Green Falcons", "is_dome": false, "is_fbs_vs_fcs": false, "is_neutral_site": false, "projected_away_points": 30.8, "projected_home_points": 22.5, "projected_margin_home": -8.3, "projected_possessions": 12.4, "projected_total": 53.2, "stadium_elevation_ft": 690, "travel_distance_miles": 928.0, "uncertainty": 0.18, "weather_total_adjustment": 0.0}, "historical_source_observation_times_verified": false, "inference_inputs": {"engine_source_sha256": "449ba2f0e86fa9c445730076a0e0bf100fb4914620be53c75c6f3bfe24298f3f", "mu_away": 30.8, "mu_home": 22.5,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271004199144595897880037223681458834464}, "uinteger": 0}, "spread_home_line": 18.5, "total_line": 48.5}, "market_type": "spread", "model_version": "cfb-spread-v1", "observed_at_utc": "2026-09-26T15:01:01.506546+00:00", "probabilities": {"away": 0.301, "home": 0.699, "push": 0.0}, "replay_scope": "Full precision score means, exact engine parameters and original RNG state; upstream feature construction not certified.", "schema": "cfb-joint-replay-v1", "snapshot_hash": "36788ae84c07ac600189334721e26291c5b33bf3fa1c269a6376921c28b2a1c6", "sport": "NCAAF"}</t>
        </is>
      </c>
    </row>
    <row r="571" ht="36" customHeight="1">
      <c r="A571" s="24" t="inlineStr">
        <is>
          <t>f865185b6a9b4027</t>
        </is>
      </c>
      <c r="B571" s="24" t="inlineStr">
        <is>
          <t>2026-09-26T15:01:01.506546Z</t>
        </is>
      </c>
      <c r="C571" s="24" t="inlineStr">
        <is>
          <t>2026-09-26T21:00Z</t>
        </is>
      </c>
      <c r="D571" s="24" t="inlineStr">
        <is>
          <t>401862785</t>
        </is>
      </c>
      <c r="E571" s="24" t="inlineStr">
        <is>
          <t>NCAAF</t>
        </is>
      </c>
      <c r="F571" s="24" t="inlineStr">
        <is>
          <t>South Florida Bulls</t>
        </is>
      </c>
      <c r="G571" s="24" t="inlineStr">
        <is>
          <t>Bowling Green Falcons</t>
        </is>
      </c>
      <c r="H571" s="24" t="inlineStr">
        <is>
          <t>total</t>
        </is>
      </c>
      <c r="I571" s="24" t="inlineStr">
        <is>
          <t>over</t>
        </is>
      </c>
      <c r="J571" s="25" t="n">
        <v>48.5</v>
      </c>
      <c r="K571" s="24" t="inlineStr">
        <is>
          <t>espn_consensus</t>
        </is>
      </c>
      <c r="L571" s="26" t="n">
        <v>-112</v>
      </c>
      <c r="M571" s="27" t="n">
        <v>1.892857</v>
      </c>
      <c r="N571" s="28" t="n">
        <v>0.528302</v>
      </c>
      <c r="O571" s="28" t="n">
        <v>0.5432</v>
      </c>
      <c r="P571" s="28" t="n">
        <v>0.18</v>
      </c>
      <c r="Q571" s="28" t="n">
        <v>0.014898</v>
      </c>
      <c r="R571" s="26" t="n">
        <v>0</v>
      </c>
      <c r="S571" s="29" t="n">
        <v>1</v>
      </c>
      <c r="T571" s="24" t="inlineStr">
        <is>
          <t>cfb-total-v1</t>
        </is>
      </c>
      <c r="U571" s="24" t="inlineStr">
        <is>
          <t>settled</t>
        </is>
      </c>
      <c r="V571" s="24" t="inlineStr">
        <is>
          <t>loss</t>
        </is>
      </c>
      <c r="W571" s="26" t="n">
        <v>14</v>
      </c>
      <c r="X571" s="26" t="n">
        <v>6</v>
      </c>
      <c r="Y571" s="25" t="n"/>
      <c r="Z571" s="26" t="n"/>
      <c r="AA571" s="28" t="n"/>
      <c r="AB571" s="28" t="n"/>
      <c r="AC571" s="30" t="n">
        <v>-1</v>
      </c>
      <c r="AD571" s="24" t="inlineStr">
        <is>
          <t>2026-09-27T04:30:59.244985Z</t>
        </is>
      </c>
      <c r="AE571" s="31" t="inlineStr">
        <is>
          <t>Projected total 53.2 pts (Weather adj: +0.0 pts). Total line 48.5 -&gt; P(Over)=0.543, P(Under)=0.457, P(Push)=0.000.</t>
        </is>
      </c>
      <c r="AF571" s="31" t="inlineStr">
        <is>
          <t>College football model; multi-market (moneyline, spread, total).</t>
        </is>
      </c>
      <c r="AG571" s="24" t="inlineStr">
        <is>
          <t>review_required</t>
        </is>
      </c>
      <c r="AH571" s="24" t="n"/>
      <c r="AI571" s="31" t="n"/>
      <c r="AJ571" s="31" t="n"/>
      <c r="AK571" s="24" t="inlineStr">
        <is>
          <t>paper_call</t>
        </is>
      </c>
      <c r="AL571" s="26" t="n">
        <v>4</v>
      </c>
      <c r="AM571" s="24" t="inlineStr">
        <is>
          <t>RESEARCH_OBSERVATION</t>
        </is>
      </c>
      <c r="AN571" s="24" t="inlineStr">
        <is>
          <t>CALL</t>
        </is>
      </c>
      <c r="AO571" s="24" t="inlineStr">
        <is>
          <t>PAPER_CALL_LOW_EDGE</t>
        </is>
      </c>
      <c r="AP571" s="24" t="inlineStr">
        <is>
          <t>South Florida Bulls</t>
        </is>
      </c>
      <c r="AQ571" s="24" t="inlineStr">
        <is>
          <t>South Florida Bulls</t>
        </is>
      </c>
      <c r="AR571" s="24" t="inlineStr">
        <is>
          <t>South Florida Bulls</t>
        </is>
      </c>
      <c r="AS571" s="24" t="inlineStr">
        <is>
          <t>Bowling Green Falcons</t>
        </is>
      </c>
      <c r="AT571" s="24" t="inlineStr">
        <is>
          <t>Bowling Green Falcons</t>
        </is>
      </c>
      <c r="AU571" s="24" t="inlineStr">
        <is>
          <t>Bowling Green Falcons</t>
        </is>
      </c>
      <c r="AV571" s="24" t="n"/>
      <c r="AW571" s="24" t="n"/>
      <c r="AX571" s="24" t="inlineStr">
        <is>
          <t>statistical_model</t>
        </is>
      </c>
      <c r="AY571" s="24" t="n"/>
      <c r="AZ571" s="24" t="inlineStr">
        <is>
          <t>shadow_qualified</t>
        </is>
      </c>
      <c r="BA571" s="24" t="inlineStr">
        <is>
          <t>1d168f11d221cd3c</t>
        </is>
      </c>
      <c r="BB571" s="24" t="inlineStr">
        <is>
          <t>cfb_key_number_engine</t>
        </is>
      </c>
      <c r="BC571" s="24" t="inlineStr">
        <is>
          <t>cfb-total-v1</t>
        </is>
      </c>
      <c r="BD571" s="24" t="inlineStr">
        <is>
          <t>1d168f11d221cd3c</t>
        </is>
      </c>
      <c r="BE571" s="24" t="inlineStr">
        <is>
          <t>cfb-v1</t>
        </is>
      </c>
      <c r="BF571" s="24" t="inlineStr">
        <is>
          <t>1</t>
        </is>
      </c>
      <c r="BG571" s="24" t="inlineStr">
        <is>
          <t>1d168f11d221cd3c</t>
        </is>
      </c>
      <c r="BH571" s="24" t="inlineStr">
        <is>
          <t>2026-09-26T15:01:01.506546+00:00</t>
        </is>
      </c>
      <c r="BI571" s="24" t="inlineStr">
        <is>
          <t>["same_event","same_team_same_day","same_league_same_day"]</t>
        </is>
      </c>
      <c r="BJ571" s="25" t="n">
        <v>48.5</v>
      </c>
      <c r="BK571" s="26" t="n">
        <v>-112</v>
      </c>
      <c r="BL571" s="27" t="n">
        <v>1.892857</v>
      </c>
      <c r="BM571" s="28" t="n">
        <v>0.528302</v>
      </c>
      <c r="BN571" s="28" t="n"/>
      <c r="BO571" s="28" t="n"/>
      <c r="BP571" s="25" t="n"/>
      <c r="BQ571" s="27" t="n"/>
      <c r="BR571" s="28" t="n"/>
      <c r="BS571" s="28" t="n"/>
      <c r="BT571" s="28" t="n"/>
      <c r="BU571" s="25" t="n"/>
      <c r="BV571" s="29" t="n"/>
      <c r="BW571" s="24" t="n"/>
      <c r="BX571" s="30" t="n">
        <v>1</v>
      </c>
      <c r="BY571" s="27" t="n">
        <v>-1</v>
      </c>
      <c r="BZ571" s="24" t="inlineStr">
        <is>
          <t>2026-09-27T04:30:59.244985Z</t>
        </is>
      </c>
      <c r="CA571" s="31" t="inlineStr">
        <is>
          <t>fixed one-unit hypothetical scoring; no real exposure or execution</t>
        </is>
      </c>
      <c r="CB571" s="24" t="n"/>
      <c r="CC571" s="24" t="n"/>
      <c r="CD571" s="24" t="n"/>
      <c r="CE571" s="24" t="n"/>
      <c r="CF571" s="24" t="n"/>
      <c r="CG571" s="24" t="n"/>
      <c r="CH571" s="24" t="n"/>
      <c r="CI571" s="24" t="n"/>
      <c r="CJ571" s="24" t="n"/>
      <c r="CK571" s="24" t="n"/>
      <c r="CL571" s="24" t="n"/>
      <c r="CM571" s="24" t="n"/>
      <c r="CN571" s="24" t="n"/>
      <c r="CO571" s="24" t="n"/>
      <c r="CP571" s="24" t="n"/>
      <c r="CQ571" s="24" t="n"/>
      <c r="CR571" s="24" t="n"/>
      <c r="CS571" s="24" t="inlineStr">
        <is>
          <t>True</t>
        </is>
      </c>
      <c r="CT571" s="24" t="n"/>
      <c r="CU571" s="24" t="n"/>
      <c r="CV571" s="24" t="n"/>
      <c r="CW571" s="24" t="n"/>
      <c r="CX571" s="24" t="n"/>
      <c r="CY571" s="24" t="n"/>
      <c r="CZ571" s="24" t="n"/>
      <c r="DA571" s="24" t="n"/>
      <c r="DB571" s="24" t="n"/>
      <c r="DC571" s="24" t="n"/>
      <c r="DD571" s="24" t="n"/>
      <c r="DE571" s="24" t="n"/>
      <c r="DF571" s="24" t="n"/>
      <c r="DG571" s="24" t="n"/>
      <c r="DH571" s="24" t="n"/>
      <c r="DI571" s="24" t="n"/>
      <c r="DJ571" s="24" t="inlineStr">
        <is>
          <t>0.528302</t>
        </is>
      </c>
      <c r="DK571" s="24" t="n"/>
      <c r="DL571" s="24" t="n"/>
      <c r="DM571" s="24" t="n"/>
      <c r="DN571" s="24" t="n"/>
      <c r="DO571" s="24" t="n"/>
      <c r="DP571" s="24" t="n"/>
      <c r="DQ571" s="24" t="inlineStr">
        <is>
          <t>{"artifact_hash": "1d168f11d221cd3c", "event_id": "401862785", "event_start_utc": "2026-09-26T21:00Z", "features": {"altitude_fatigue_penalty": 0.0, "away_team": "South Florida Bulls", "efficiency_gap": -0.671, "elo_away": 1657.2, "elo_home": 1389.6, "elo_home_win_prob": 0.2375, "event_id": "401862785", "game_start_utc": "2026-09-26T21:00Z", "home_field_advantage_points": 2.8, "home_team": "Bowling Green Falcons", "is_dome": false, "is_fbs_vs_fcs": false, "is_neutral_site": false, "projected_away_points": 30.8, "projected_home_points": 22.5, "projected_margin_home": -8.3, "projected_possessions": 12.4, "projected_total": 53.2, "stadium_elevation_ft": 690, "travel_distance_miles": 928.0, "uncertainty": 0.18, "weather_total_adjustment": 0.0}, "historical_source_observation_times_verified": false, "inference_inputs": {"engine_source_sha256": "449ba2f0e86fa9c445730076a0e0bf100fb4914620be53c75c6f3bfe24298f3f", "mu_away": 30.8, "mu_home": 22.5,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271004199144595897880037223681458834464}, "uinteger": 0}, "spread_home_line": 18.5, "total_line": 48.5}, "market_type": "total", "model_version": "cfb-total-v1", "observed_at_utc": "2026-09-26T15:01:01.506546+00:00", "probabilities": {"over": 0.5432, "push": 0.0, "under": 0.4568}, "replay_scope": "Full precision score means, exact engine parameters and original RNG state; upstream feature construction not certified.", "schema": "cfb-joint-replay-v1", "snapshot_hash": "b23695d39d510ed11053c2e87b0fa12e0abffabd60e23ae8df4f25aa2aedbe5b", "sport": "NCAAF"}</t>
        </is>
      </c>
    </row>
    <row r="572" ht="36" customHeight="1">
      <c r="A572" s="24" t="inlineStr">
        <is>
          <t>dd53fbfc45c24438</t>
        </is>
      </c>
      <c r="B572" s="24" t="inlineStr">
        <is>
          <t>2026-09-26T15:01:01.506546Z</t>
        </is>
      </c>
      <c r="C572" s="24" t="inlineStr">
        <is>
          <t>2026-09-26T22:00Z</t>
        </is>
      </c>
      <c r="D572" s="24" t="inlineStr">
        <is>
          <t>401858239</t>
        </is>
      </c>
      <c r="E572" s="24" t="inlineStr">
        <is>
          <t>NCAAF</t>
        </is>
      </c>
      <c r="F572" s="24" t="inlineStr">
        <is>
          <t>Delaware Blue Hens</t>
        </is>
      </c>
      <c r="G572" s="24" t="inlineStr">
        <is>
          <t>Virginia Cavaliers</t>
        </is>
      </c>
      <c r="H572" s="24" t="inlineStr">
        <is>
          <t>moneyline</t>
        </is>
      </c>
      <c r="I572" s="24" t="inlineStr">
        <is>
          <t>home</t>
        </is>
      </c>
      <c r="J572" s="25" t="n"/>
      <c r="K572" s="24" t="inlineStr">
        <is>
          <t>espn_consensus</t>
        </is>
      </c>
      <c r="L572" s="26" t="n">
        <v>-1450</v>
      </c>
      <c r="M572" s="27" t="n">
        <v>1.068966</v>
      </c>
      <c r="N572" s="28" t="n">
        <v>0.935484</v>
      </c>
      <c r="O572" s="28" t="n">
        <v>0.784712</v>
      </c>
      <c r="P572" s="28" t="n">
        <v>0.18</v>
      </c>
      <c r="Q572" s="28" t="n">
        <v>-0.150772</v>
      </c>
      <c r="R572" s="26" t="n">
        <v>0</v>
      </c>
      <c r="S572" s="29" t="n">
        <v>1</v>
      </c>
      <c r="T572" s="24" t="inlineStr">
        <is>
          <t>college-football-v1</t>
        </is>
      </c>
      <c r="U572" s="24" t="inlineStr">
        <is>
          <t>settled</t>
        </is>
      </c>
      <c r="V572" s="24" t="inlineStr">
        <is>
          <t>win</t>
        </is>
      </c>
      <c r="W572" s="26" t="n">
        <v>3</v>
      </c>
      <c r="X572" s="26" t="n">
        <v>42</v>
      </c>
      <c r="Y572" s="25" t="n"/>
      <c r="Z572" s="26" t="n"/>
      <c r="AA572" s="28" t="n"/>
      <c r="AB572" s="28" t="n"/>
      <c r="AC572" s="30" t="n">
        <v>0.06900000000000001</v>
      </c>
      <c r="AD572" s="24" t="inlineStr">
        <is>
          <t>2026-09-27T04:30:59.825819Z</t>
        </is>
      </c>
      <c r="AE572" s="31" t="inlineStr">
        <is>
          <t>CFB Joint Model (negative_binomial): proj score Delaware Blue Hens 19.3 @ Virginia Cavaliers 34.5 (Margin +15.2). Possessions: 12.4, HFA: +2.8 pts.</t>
        </is>
      </c>
      <c r="AF572" s="31" t="inlineStr">
        <is>
          <t>College football model; multi-market (moneyline, spread, total).</t>
        </is>
      </c>
      <c r="AG572" s="24" t="inlineStr">
        <is>
          <t>not_applicable</t>
        </is>
      </c>
      <c r="AH572" s="24" t="n"/>
      <c r="AI572" s="31" t="n"/>
      <c r="AJ572" s="31" t="n"/>
      <c r="AK572" s="24" t="inlineStr">
        <is>
          <t>paper_call</t>
        </is>
      </c>
      <c r="AL572" s="26" t="n">
        <v>4</v>
      </c>
      <c r="AM572" s="24" t="inlineStr">
        <is>
          <t>RESEARCH_OBSERVATION</t>
        </is>
      </c>
      <c r="AN572" s="24" t="inlineStr">
        <is>
          <t>CALL</t>
        </is>
      </c>
      <c r="AO572" s="24" t="inlineStr">
        <is>
          <t>PAPER_CALL_LOW_EDGE</t>
        </is>
      </c>
      <c r="AP572" s="24" t="inlineStr">
        <is>
          <t>Delaware Blue Hens</t>
        </is>
      </c>
      <c r="AQ572" s="24" t="inlineStr">
        <is>
          <t>Delaware Blue Hens</t>
        </is>
      </c>
      <c r="AR572" s="24" t="inlineStr">
        <is>
          <t>Delaware Blue Hens</t>
        </is>
      </c>
      <c r="AS572" s="24" t="inlineStr">
        <is>
          <t>Virginia Cavaliers</t>
        </is>
      </c>
      <c r="AT572" s="24" t="inlineStr">
        <is>
          <t>Virginia Cavaliers</t>
        </is>
      </c>
      <c r="AU572" s="24" t="inlineStr">
        <is>
          <t>Virginia Cavaliers</t>
        </is>
      </c>
      <c r="AV572" s="24" t="n"/>
      <c r="AW572" s="24" t="n"/>
      <c r="AX572" s="24" t="inlineStr">
        <is>
          <t>statistical_model</t>
        </is>
      </c>
      <c r="AY572" s="24" t="n"/>
      <c r="AZ572" s="24" t="inlineStr">
        <is>
          <t>shadow_qualified</t>
        </is>
      </c>
      <c r="BA572" s="24" t="inlineStr">
        <is>
          <t>1d168f11d221cd3c</t>
        </is>
      </c>
      <c r="BB572" s="24" t="inlineStr">
        <is>
          <t>cfb_key_number_engine</t>
        </is>
      </c>
      <c r="BC572" s="24" t="inlineStr">
        <is>
          <t>college-football-v1</t>
        </is>
      </c>
      <c r="BD572" s="24" t="inlineStr">
        <is>
          <t>1d168f11d221cd3c</t>
        </is>
      </c>
      <c r="BE572" s="24" t="inlineStr">
        <is>
          <t>cfb-v1</t>
        </is>
      </c>
      <c r="BF572" s="24" t="inlineStr">
        <is>
          <t>1</t>
        </is>
      </c>
      <c r="BG572" s="24" t="inlineStr">
        <is>
          <t>1d168f11d221cd3c</t>
        </is>
      </c>
      <c r="BH572" s="24" t="inlineStr">
        <is>
          <t>2026-09-26T15:01:01.506546+00:00</t>
        </is>
      </c>
      <c r="BI572" s="24" t="inlineStr">
        <is>
          <t>["same_event","same_team_same_day","same_league_same_day"]</t>
        </is>
      </c>
      <c r="BJ572" s="25" t="n"/>
      <c r="BK572" s="26" t="n">
        <v>-1450</v>
      </c>
      <c r="BL572" s="27" t="n">
        <v>1.068966</v>
      </c>
      <c r="BM572" s="28" t="n">
        <v>0.935484</v>
      </c>
      <c r="BN572" s="28" t="n"/>
      <c r="BO572" s="28" t="n"/>
      <c r="BP572" s="25" t="n"/>
      <c r="BQ572" s="27" t="n"/>
      <c r="BR572" s="28" t="n"/>
      <c r="BS572" s="28" t="n"/>
      <c r="BT572" s="28" t="n"/>
      <c r="BU572" s="25" t="n"/>
      <c r="BV572" s="29" t="n"/>
      <c r="BW572" s="24" t="n"/>
      <c r="BX572" s="30" t="n">
        <v>1</v>
      </c>
      <c r="BY572" s="27" t="n">
        <v>0.068966</v>
      </c>
      <c r="BZ572" s="24" t="inlineStr">
        <is>
          <t>2026-09-27T04:30:59.825819Z</t>
        </is>
      </c>
      <c r="CA572" s="31" t="inlineStr">
        <is>
          <t>fixed one-unit hypothetical scoring; no real exposure or execution</t>
        </is>
      </c>
      <c r="CB572" s="24" t="n"/>
      <c r="CC572" s="24" t="n"/>
      <c r="CD572" s="24" t="n"/>
      <c r="CE572" s="24" t="n"/>
      <c r="CF572" s="24" t="n"/>
      <c r="CG572" s="24" t="n"/>
      <c r="CH572" s="24" t="n"/>
      <c r="CI572" s="24" t="n"/>
      <c r="CJ572" s="24" t="n"/>
      <c r="CK572" s="24" t="n"/>
      <c r="CL572" s="24" t="n"/>
      <c r="CM572" s="24" t="n"/>
      <c r="CN572" s="24" t="n"/>
      <c r="CO572" s="24" t="n"/>
      <c r="CP572" s="24" t="n"/>
      <c r="CQ572" s="24" t="n"/>
      <c r="CR572" s="24" t="n"/>
      <c r="CS572" s="24" t="inlineStr">
        <is>
          <t>False</t>
        </is>
      </c>
      <c r="CT572" s="24" t="n"/>
      <c r="CU572" s="24" t="n"/>
      <c r="CV572" s="24" t="n"/>
      <c r="CW572" s="24" t="n"/>
      <c r="CX572" s="24" t="n"/>
      <c r="CY572" s="24" t="n"/>
      <c r="CZ572" s="24" t="n"/>
      <c r="DA572" s="24" t="n"/>
      <c r="DB572" s="24" t="n"/>
      <c r="DC572" s="24" t="n"/>
      <c r="DD572" s="24" t="n"/>
      <c r="DE572" s="24" t="n"/>
      <c r="DF572" s="24" t="n"/>
      <c r="DG572" s="24" t="n"/>
      <c r="DH572" s="24" t="n"/>
      <c r="DI572" s="24" t="n"/>
      <c r="DJ572" s="24" t="inlineStr">
        <is>
          <t>0.935484</t>
        </is>
      </c>
      <c r="DK572" s="24" t="n"/>
      <c r="DL572" s="24" t="n"/>
      <c r="DM572" s="24" t="n"/>
      <c r="DN572" s="24" t="n"/>
      <c r="DO572" s="24" t="n"/>
      <c r="DP572" s="24" t="n"/>
      <c r="DQ572" s="24" t="inlineStr">
        <is>
          <t>{"artifact_hash": "1d168f11d221cd3c", "event_id": "401858239", "event_start_utc": "2026-09-26T22:00Z", "features": {"altitude_fatigue_penalty": 0.0, "away_team": "Delaware Blue Hens", "efficiency_gap": 2.109, "elo_away": 1388.3, "elo_home": 1696.3, "elo_home_win_prob": 0.8954, "event_id": "401858239", "game_start_utc": "2026-09-26T22:00Z", "home_field_advantage_points": 2.8, "home_team": "Virginia Cavaliers", "is_dome": false, "is_fbs_vs_fcs": false, "is_neutral_site": false, "projected_away_points": 19.3, "projected_home_points": 34.5, "projected_margin_home": 15.2, "projected_possessions": 12.4, "projected_total": 53.9, "stadium_elevation_ft": 570, "travel_distance_miles": 187.0, "uncertainty": 0.18, "weather_total_adjustment": 0.0}, "historical_source_observation_times_verified": false, "inference_inputs": {"engine_source_sha256": "449ba2f0e86fa9c445730076a0e0bf100fb4914620be53c75c6f3bfe24298f3f", "mu_away": 19.3,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321879392650482602785389516956384784738}, "uinteger": 0}, "spread_home_line": -19.5, "total_line": 52.5}, "market_type": "moneyline", "model_version": "college-football-v1", "observed_at_utc": "2026-09-26T15:01:01.506546+00:00", "probabilities": {"away": 0.215288, "home": 0.784712}, "replay_scope": "Full precision score means, exact engine parameters and original RNG state; upstream feature construction not certified.", "schema": "cfb-joint-replay-v1", "snapshot_hash": "ff4d03fa2e2808d81115ff930a4d56a96f579fa57944817a69e3c269f855e466", "sport": "NCAAF"}</t>
        </is>
      </c>
    </row>
    <row r="573" ht="36" customHeight="1">
      <c r="A573" s="24" t="inlineStr">
        <is>
          <t>49909b245da649f4</t>
        </is>
      </c>
      <c r="B573" s="24" t="inlineStr">
        <is>
          <t>2026-09-26T15:01:01.506546Z</t>
        </is>
      </c>
      <c r="C573" s="24" t="inlineStr">
        <is>
          <t>2026-09-26T22:00Z</t>
        </is>
      </c>
      <c r="D573" s="24" t="inlineStr">
        <is>
          <t>401858239</t>
        </is>
      </c>
      <c r="E573" s="24" t="inlineStr">
        <is>
          <t>NCAAF</t>
        </is>
      </c>
      <c r="F573" s="24" t="inlineStr">
        <is>
          <t>Delaware Blue Hens</t>
        </is>
      </c>
      <c r="G573" s="24" t="inlineStr">
        <is>
          <t>Virginia Cavaliers</t>
        </is>
      </c>
      <c r="H573" s="24" t="inlineStr">
        <is>
          <t>spread</t>
        </is>
      </c>
      <c r="I573" s="24" t="inlineStr">
        <is>
          <t>away</t>
        </is>
      </c>
      <c r="J573" s="25" t="n">
        <v>19.5</v>
      </c>
      <c r="K573" s="24" t="inlineStr">
        <is>
          <t>espn_consensus</t>
        </is>
      </c>
      <c r="L573" s="26" t="n">
        <v>-105</v>
      </c>
      <c r="M573" s="27" t="n">
        <v>1.952381</v>
      </c>
      <c r="N573" s="28" t="n">
        <v>0.512195</v>
      </c>
      <c r="O573" s="28" t="n">
        <v>0.593</v>
      </c>
      <c r="P573" s="28" t="n">
        <v>0.18</v>
      </c>
      <c r="Q573" s="28" t="n">
        <v>0.080805</v>
      </c>
      <c r="R573" s="26" t="n">
        <v>0</v>
      </c>
      <c r="S573" s="29" t="n">
        <v>1</v>
      </c>
      <c r="T573" s="24" t="inlineStr">
        <is>
          <t>cfb-spread-v1</t>
        </is>
      </c>
      <c r="U573" s="24" t="inlineStr">
        <is>
          <t>settled</t>
        </is>
      </c>
      <c r="V573" s="24" t="inlineStr">
        <is>
          <t>loss</t>
        </is>
      </c>
      <c r="W573" s="26" t="n">
        <v>3</v>
      </c>
      <c r="X573" s="26" t="n">
        <v>42</v>
      </c>
      <c r="Y573" s="25" t="n"/>
      <c r="Z573" s="26" t="n"/>
      <c r="AA573" s="28" t="n"/>
      <c r="AB573" s="28" t="n"/>
      <c r="AC573" s="30" t="n">
        <v>-1</v>
      </c>
      <c r="AD573" s="24" t="inlineStr">
        <is>
          <t>2026-09-27T04:31:00.393203Z</t>
        </is>
      </c>
      <c r="AE573" s="31" t="inlineStr">
        <is>
          <t>Projected home margin +15.2 pts. Spread: Home -19.5 / Away +19.5 -&gt; P(Away cover)=0.593, P(Home cover)=0.407, P(Push)=0.000.</t>
        </is>
      </c>
      <c r="AF573" s="31" t="inlineStr">
        <is>
          <t>College football model; multi-market (moneyline, spread, total).</t>
        </is>
      </c>
      <c r="AG573" s="24" t="inlineStr">
        <is>
          <t>review_required</t>
        </is>
      </c>
      <c r="AH573" s="24" t="n"/>
      <c r="AI573" s="31" t="n"/>
      <c r="AJ573" s="31" t="n"/>
      <c r="AK573" s="24" t="inlineStr">
        <is>
          <t>model_qualified</t>
        </is>
      </c>
      <c r="AL573" s="26" t="n">
        <v>4</v>
      </c>
      <c r="AM573" s="24" t="inlineStr">
        <is>
          <t>QUALIFIED_SHADOW_CALL</t>
        </is>
      </c>
      <c r="AN573" s="24" t="inlineStr">
        <is>
          <t>CALL</t>
        </is>
      </c>
      <c r="AO573" s="24" t="inlineStr">
        <is>
          <t>QUALIFIED</t>
        </is>
      </c>
      <c r="AP573" s="24" t="inlineStr">
        <is>
          <t>Delaware Blue Hens</t>
        </is>
      </c>
      <c r="AQ573" s="24" t="inlineStr">
        <is>
          <t>Delaware Blue Hens</t>
        </is>
      </c>
      <c r="AR573" s="24" t="inlineStr">
        <is>
          <t>Delaware Blue Hens</t>
        </is>
      </c>
      <c r="AS573" s="24" t="inlineStr">
        <is>
          <t>Virginia Cavaliers</t>
        </is>
      </c>
      <c r="AT573" s="24" t="inlineStr">
        <is>
          <t>Virginia Cavaliers</t>
        </is>
      </c>
      <c r="AU573" s="24" t="inlineStr">
        <is>
          <t>Virginia Cavaliers</t>
        </is>
      </c>
      <c r="AV573" s="24" t="n"/>
      <c r="AW573" s="24" t="n"/>
      <c r="AX573" s="24" t="inlineStr">
        <is>
          <t>statistical_model</t>
        </is>
      </c>
      <c r="AY573" s="24" t="n"/>
      <c r="AZ573" s="24" t="inlineStr">
        <is>
          <t>shadow_qualified</t>
        </is>
      </c>
      <c r="BA573" s="24" t="inlineStr">
        <is>
          <t>1d168f11d221cd3c</t>
        </is>
      </c>
      <c r="BB573" s="24" t="inlineStr">
        <is>
          <t>cfb_key_number_engine</t>
        </is>
      </c>
      <c r="BC573" s="24" t="inlineStr">
        <is>
          <t>cfb-spread-v1</t>
        </is>
      </c>
      <c r="BD573" s="24" t="inlineStr">
        <is>
          <t>1d168f11d221cd3c</t>
        </is>
      </c>
      <c r="BE573" s="24" t="inlineStr">
        <is>
          <t>cfb-v1</t>
        </is>
      </c>
      <c r="BF573" s="24" t="inlineStr">
        <is>
          <t>1</t>
        </is>
      </c>
      <c r="BG573" s="24" t="inlineStr">
        <is>
          <t>1d168f11d221cd3c</t>
        </is>
      </c>
      <c r="BH573" s="24" t="inlineStr">
        <is>
          <t>2026-09-26T15:01:01.506546+00:00</t>
        </is>
      </c>
      <c r="BI573" s="24" t="inlineStr">
        <is>
          <t>["same_event","same_team_same_day","same_league_same_day"]</t>
        </is>
      </c>
      <c r="BJ573" s="25" t="n">
        <v>19.5</v>
      </c>
      <c r="BK573" s="26" t="n">
        <v>-105</v>
      </c>
      <c r="BL573" s="27" t="n">
        <v>1.952381</v>
      </c>
      <c r="BM573" s="28" t="n">
        <v>0.512195</v>
      </c>
      <c r="BN573" s="28" t="n"/>
      <c r="BO573" s="28" t="n"/>
      <c r="BP573" s="25" t="n"/>
      <c r="BQ573" s="27" t="n"/>
      <c r="BR573" s="28" t="n"/>
      <c r="BS573" s="28" t="n"/>
      <c r="BT573" s="28" t="n"/>
      <c r="BU573" s="25" t="n"/>
      <c r="BV573" s="29" t="n"/>
      <c r="BW573" s="24" t="n"/>
      <c r="BX573" s="30" t="n"/>
      <c r="BY573" s="27" t="n"/>
      <c r="BZ573" s="24" t="n"/>
      <c r="CA573" s="31" t="n"/>
      <c r="CB573" s="24" t="n"/>
      <c r="CC573" s="24" t="n"/>
      <c r="CD573" s="24" t="n"/>
      <c r="CE573" s="24" t="n"/>
      <c r="CF573" s="24" t="n"/>
      <c r="CG573" s="24" t="n"/>
      <c r="CH573" s="24" t="n"/>
      <c r="CI573" s="24" t="n"/>
      <c r="CJ573" s="24" t="n"/>
      <c r="CK573" s="24" t="n"/>
      <c r="CL573" s="24" t="n"/>
      <c r="CM573" s="24" t="n"/>
      <c r="CN573" s="24" t="n"/>
      <c r="CO573" s="24" t="n"/>
      <c r="CP573" s="24" t="n"/>
      <c r="CQ573" s="24" t="n"/>
      <c r="CR573" s="24" t="n"/>
      <c r="CS573" s="24" t="inlineStr">
        <is>
          <t>True</t>
        </is>
      </c>
      <c r="CT573" s="24" t="n"/>
      <c r="CU573" s="24" t="n"/>
      <c r="CV573" s="24" t="n"/>
      <c r="CW573" s="24" t="n"/>
      <c r="CX573" s="24" t="n"/>
      <c r="CY573" s="24" t="n"/>
      <c r="CZ573" s="24" t="n"/>
      <c r="DA573" s="24" t="n"/>
      <c r="DB573" s="24" t="n"/>
      <c r="DC573" s="24" t="n"/>
      <c r="DD573" s="24" t="n"/>
      <c r="DE573" s="24" t="n"/>
      <c r="DF573" s="24" t="n"/>
      <c r="DG573" s="24" t="n"/>
      <c r="DH573" s="24" t="n"/>
      <c r="DI573" s="24" t="n"/>
      <c r="DJ573" s="24" t="inlineStr">
        <is>
          <t>0.512195</t>
        </is>
      </c>
      <c r="DK573" s="24" t="n"/>
      <c r="DL573" s="24" t="n"/>
      <c r="DM573" s="24" t="n"/>
      <c r="DN573" s="24" t="n"/>
      <c r="DO573" s="24" t="n"/>
      <c r="DP573" s="24" t="n"/>
      <c r="DQ573" s="24" t="inlineStr">
        <is>
          <t>{"artifact_hash": "1d168f11d221cd3c", "event_id": "401858239", "event_start_utc": "2026-09-26T22:00Z", "features": {"altitude_fatigue_penalty": 0.0, "away_team": "Delaware Blue Hens", "efficiency_gap": 2.109, "elo_away": 1388.3, "elo_home": 1696.3, "elo_home_win_prob": 0.8954, "event_id": "401858239", "game_start_utc": "2026-09-26T22:00Z", "home_field_advantage_points": 2.8, "home_team": "Virginia Cavaliers", "is_dome": false, "is_fbs_vs_fcs": false, "is_neutral_site": false, "projected_away_points": 19.3, "projected_home_points": 34.5, "projected_margin_home": 15.2, "projected_possessions": 12.4, "projected_total": 53.9, "stadium_elevation_ft": 570, "travel_distance_miles": 187.0, "uncertainty": 0.18, "weather_total_adjustment": 0.0}, "historical_source_observation_times_verified": false, "inference_inputs": {"engine_source_sha256": "449ba2f0e86fa9c445730076a0e0bf100fb4914620be53c75c6f3bfe24298f3f", "mu_away": 19.3,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321879392650482602785389516956384784738}, "uinteger": 0}, "spread_home_line": -19.5, "total_line": 52.5}, "market_type": "spread", "model_version": "cfb-spread-v1", "observed_at_utc": "2026-09-26T15:01:01.506546+00:00", "probabilities": {"away": 0.593, "home": 0.407, "push": 0.0}, "replay_scope": "Full precision score means, exact engine parameters and original RNG state; upstream feature construction not certified.", "schema": "cfb-joint-replay-v1", "snapshot_hash": "4ce4957420a4a6f8db4529f43ec0cb6e609b0a0f95045b085a3c3079d5f0d539", "sport": "NCAAF"}</t>
        </is>
      </c>
    </row>
    <row r="574" ht="36" customHeight="1">
      <c r="A574" s="24" t="inlineStr">
        <is>
          <t>702a09e7143a448c</t>
        </is>
      </c>
      <c r="B574" s="24" t="inlineStr">
        <is>
          <t>2026-09-26T15:01:01.506546Z</t>
        </is>
      </c>
      <c r="C574" s="24" t="inlineStr">
        <is>
          <t>2026-09-26T22:00Z</t>
        </is>
      </c>
      <c r="D574" s="24" t="inlineStr">
        <is>
          <t>401858239</t>
        </is>
      </c>
      <c r="E574" s="24" t="inlineStr">
        <is>
          <t>NCAAF</t>
        </is>
      </c>
      <c r="F574" s="24" t="inlineStr">
        <is>
          <t>Delaware Blue Hens</t>
        </is>
      </c>
      <c r="G574" s="24" t="inlineStr">
        <is>
          <t>Virginia Cavaliers</t>
        </is>
      </c>
      <c r="H574" s="24" t="inlineStr">
        <is>
          <t>total</t>
        </is>
      </c>
      <c r="I574" s="24" t="inlineStr">
        <is>
          <t>under</t>
        </is>
      </c>
      <c r="J574" s="25" t="n">
        <v>52.5</v>
      </c>
      <c r="K574" s="24" t="inlineStr">
        <is>
          <t>espn_consensus</t>
        </is>
      </c>
      <c r="L574" s="26" t="n">
        <v>-108</v>
      </c>
      <c r="M574" s="27" t="n">
        <v>1.925926</v>
      </c>
      <c r="N574" s="28" t="n">
        <v>0.519231</v>
      </c>
      <c r="O574" s="28" t="n">
        <v>0.5121329999999999</v>
      </c>
      <c r="P574" s="28" t="n">
        <v>0.18</v>
      </c>
      <c r="Q574" s="28" t="n">
        <v>-0.007098</v>
      </c>
      <c r="R574" s="26" t="n">
        <v>0</v>
      </c>
      <c r="S574" s="29" t="n">
        <v>1</v>
      </c>
      <c r="T574" s="24" t="inlineStr">
        <is>
          <t>cfb-total-v1</t>
        </is>
      </c>
      <c r="U574" s="24" t="inlineStr">
        <is>
          <t>settled</t>
        </is>
      </c>
      <c r="V574" s="24" t="inlineStr">
        <is>
          <t>win</t>
        </is>
      </c>
      <c r="W574" s="26" t="n">
        <v>3</v>
      </c>
      <c r="X574" s="26" t="n">
        <v>42</v>
      </c>
      <c r="Y574" s="25" t="n"/>
      <c r="Z574" s="26" t="n"/>
      <c r="AA574" s="28" t="n"/>
      <c r="AB574" s="28" t="n"/>
      <c r="AC574" s="30" t="n">
        <v>0.9258999999999999</v>
      </c>
      <c r="AD574" s="24" t="inlineStr">
        <is>
          <t>2026-09-27T04:31:01.033478Z</t>
        </is>
      </c>
      <c r="AE574" s="31" t="inlineStr">
        <is>
          <t>Projected total 53.9 pts (Weather adj: +0.0 pts). Total line 52.5 -&gt; P(Over)=0.488, P(Under)=0.512, P(Push)=0.000.</t>
        </is>
      </c>
      <c r="AF574" s="31" t="inlineStr">
        <is>
          <t>College football model; multi-market (moneyline, spread, total).</t>
        </is>
      </c>
      <c r="AG574" s="24" t="inlineStr">
        <is>
          <t>not_applicable</t>
        </is>
      </c>
      <c r="AH574" s="24" t="n"/>
      <c r="AI574" s="31" t="n"/>
      <c r="AJ574" s="31" t="n"/>
      <c r="AK574" s="24" t="inlineStr">
        <is>
          <t>paper_call</t>
        </is>
      </c>
      <c r="AL574" s="26" t="n">
        <v>4</v>
      </c>
      <c r="AM574" s="24" t="inlineStr">
        <is>
          <t>RESEARCH_OBSERVATION</t>
        </is>
      </c>
      <c r="AN574" s="24" t="inlineStr">
        <is>
          <t>CALL</t>
        </is>
      </c>
      <c r="AO574" s="24" t="inlineStr">
        <is>
          <t>PAPER_CALL_LOW_EDGE</t>
        </is>
      </c>
      <c r="AP574" s="24" t="inlineStr">
        <is>
          <t>Delaware Blue Hens</t>
        </is>
      </c>
      <c r="AQ574" s="24" t="inlineStr">
        <is>
          <t>Delaware Blue Hens</t>
        </is>
      </c>
      <c r="AR574" s="24" t="inlineStr">
        <is>
          <t>Delaware Blue Hens</t>
        </is>
      </c>
      <c r="AS574" s="24" t="inlineStr">
        <is>
          <t>Virginia Cavaliers</t>
        </is>
      </c>
      <c r="AT574" s="24" t="inlineStr">
        <is>
          <t>Virginia Cavaliers</t>
        </is>
      </c>
      <c r="AU574" s="24" t="inlineStr">
        <is>
          <t>Virginia Cavaliers</t>
        </is>
      </c>
      <c r="AV574" s="24" t="n"/>
      <c r="AW574" s="24" t="n"/>
      <c r="AX574" s="24" t="inlineStr">
        <is>
          <t>statistical_model</t>
        </is>
      </c>
      <c r="AY574" s="24" t="n"/>
      <c r="AZ574" s="24" t="inlineStr">
        <is>
          <t>shadow_qualified</t>
        </is>
      </c>
      <c r="BA574" s="24" t="inlineStr">
        <is>
          <t>1d168f11d221cd3c</t>
        </is>
      </c>
      <c r="BB574" s="24" t="inlineStr">
        <is>
          <t>cfb_key_number_engine</t>
        </is>
      </c>
      <c r="BC574" s="24" t="inlineStr">
        <is>
          <t>cfb-total-v1</t>
        </is>
      </c>
      <c r="BD574" s="24" t="inlineStr">
        <is>
          <t>1d168f11d221cd3c</t>
        </is>
      </c>
      <c r="BE574" s="24" t="inlineStr">
        <is>
          <t>cfb-v1</t>
        </is>
      </c>
      <c r="BF574" s="24" t="inlineStr">
        <is>
          <t>1</t>
        </is>
      </c>
      <c r="BG574" s="24" t="inlineStr">
        <is>
          <t>1d168f11d221cd3c</t>
        </is>
      </c>
      <c r="BH574" s="24" t="inlineStr">
        <is>
          <t>2026-09-26T15:01:01.506546+00:00</t>
        </is>
      </c>
      <c r="BI574" s="24" t="inlineStr">
        <is>
          <t>["same_event","same_team_same_day","same_league_same_day"]</t>
        </is>
      </c>
      <c r="BJ574" s="25" t="n">
        <v>52.5</v>
      </c>
      <c r="BK574" s="26" t="n">
        <v>-108</v>
      </c>
      <c r="BL574" s="27" t="n">
        <v>1.925926</v>
      </c>
      <c r="BM574" s="28" t="n">
        <v>0.519231</v>
      </c>
      <c r="BN574" s="28" t="n"/>
      <c r="BO574" s="28" t="n"/>
      <c r="BP574" s="25" t="n"/>
      <c r="BQ574" s="27" t="n"/>
      <c r="BR574" s="28" t="n"/>
      <c r="BS574" s="28" t="n"/>
      <c r="BT574" s="28" t="n"/>
      <c r="BU574" s="25" t="n"/>
      <c r="BV574" s="29" t="n"/>
      <c r="BW574" s="24" t="n"/>
      <c r="BX574" s="30" t="n">
        <v>1</v>
      </c>
      <c r="BY574" s="27" t="n">
        <v>0.925926</v>
      </c>
      <c r="BZ574" s="24" t="inlineStr">
        <is>
          <t>2026-09-27T04:31:01.033478Z</t>
        </is>
      </c>
      <c r="CA574" s="31" t="inlineStr">
        <is>
          <t>fixed one-unit hypothetical scoring; no real exposure or execution</t>
        </is>
      </c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  <c r="CL574" s="24" t="n"/>
      <c r="CM574" s="24" t="n"/>
      <c r="CN574" s="24" t="n"/>
      <c r="CO574" s="24" t="n"/>
      <c r="CP574" s="24" t="n"/>
      <c r="CQ574" s="24" t="n"/>
      <c r="CR574" s="24" t="n"/>
      <c r="CS574" s="24" t="inlineStr">
        <is>
          <t>False</t>
        </is>
      </c>
      <c r="CT574" s="24" t="n"/>
      <c r="CU574" s="24" t="n"/>
      <c r="CV574" s="24" t="n"/>
      <c r="CW574" s="24" t="n"/>
      <c r="CX574" s="24" t="n"/>
      <c r="CY574" s="24" t="n"/>
      <c r="CZ574" s="24" t="n"/>
      <c r="DA574" s="24" t="n"/>
      <c r="DB574" s="24" t="n"/>
      <c r="DC574" s="24" t="n"/>
      <c r="DD574" s="24" t="n"/>
      <c r="DE574" s="24" t="n"/>
      <c r="DF574" s="24" t="n"/>
      <c r="DG574" s="24" t="n"/>
      <c r="DH574" s="24" t="n"/>
      <c r="DI574" s="24" t="n"/>
      <c r="DJ574" s="24" t="inlineStr">
        <is>
          <t>0.519231</t>
        </is>
      </c>
      <c r="DK574" s="24" t="n"/>
      <c r="DL574" s="24" t="n"/>
      <c r="DM574" s="24" t="n"/>
      <c r="DN574" s="24" t="n"/>
      <c r="DO574" s="24" t="n"/>
      <c r="DP574" s="24" t="n"/>
      <c r="DQ574" s="24" t="inlineStr">
        <is>
          <t>{"artifact_hash": "1d168f11d221cd3c", "event_id": "401858239", "event_start_utc": "2026-09-26T22:00Z", "features": {"altitude_fatigue_penalty": 0.0, "away_team": "Delaware Blue Hens", "efficiency_gap": 2.109, "elo_away": 1388.3, "elo_home": 1696.3, "elo_home_win_prob": 0.8954, "event_id": "401858239", "game_start_utc": "2026-09-26T22:00Z", "home_field_advantage_points": 2.8, "home_team": "Virginia Cavaliers", "is_dome": false, "is_fbs_vs_fcs": false, "is_neutral_site": false, "projected_away_points": 19.3, "projected_home_points": 34.5, "projected_margin_home": 15.2, "projected_possessions": 12.4, "projected_total": 53.9, "stadium_elevation_ft": 570, "travel_distance_miles": 187.0, "uncertainty": 0.18, "weather_total_adjustment": 0.0}, "historical_source_observation_times_verified": false, "inference_inputs": {"engine_source_sha256": "449ba2f0e86fa9c445730076a0e0bf100fb4914620be53c75c6f3bfe24298f3f", "mu_away": 19.3, "mu_home": 34.5,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321879392650482602785389516956384784738}, "uinteger": 0}, "spread_home_line": -19.5, "total_line": 52.5}, "market_type": "total", "model_version": "cfb-total-v1", "observed_at_utc": "2026-09-26T15:01:01.506546+00:00", "probabilities": {"over": 0.487867, "push": 0.0, "under": 0.512133}, "replay_scope": "Full precision score means, exact engine parameters and original RNG state; upstream feature construction not certified.", "schema": "cfb-joint-replay-v1", "snapshot_hash": "ed7caa940c5bbda5b0c4ad1f0551bf586237c2f47628cacc6552d7034b6768bf", "sport": "NCAAF"}</t>
        </is>
      </c>
    </row>
    <row r="575" ht="36" customHeight="1">
      <c r="A575" s="24" t="inlineStr">
        <is>
          <t>09d8d2958df842f9</t>
        </is>
      </c>
      <c r="B575" s="24" t="inlineStr">
        <is>
          <t>2026-09-26T15:01:01.506546Z</t>
        </is>
      </c>
      <c r="C575" s="24" t="inlineStr">
        <is>
          <t>2026-09-26T22:00Z</t>
        </is>
      </c>
      <c r="D575" s="24" t="inlineStr">
        <is>
          <t>401860892</t>
        </is>
      </c>
      <c r="E575" s="24" t="inlineStr">
        <is>
          <t>NCAAF</t>
        </is>
      </c>
      <c r="F575" s="24" t="inlineStr">
        <is>
          <t>Incarnate Word Cardinals</t>
        </is>
      </c>
      <c r="G575" s="24" t="inlineStr">
        <is>
          <t>Texas State Bobcats</t>
        </is>
      </c>
      <c r="H575" s="24" t="inlineStr">
        <is>
          <t>moneyline</t>
        </is>
      </c>
      <c r="I575" s="24" t="inlineStr">
        <is>
          <t>home</t>
        </is>
      </c>
      <c r="J575" s="25" t="n"/>
      <c r="K575" s="24" t="inlineStr">
        <is>
          <t>espn_consensus</t>
        </is>
      </c>
      <c r="L575" s="26" t="n">
        <v>-2800</v>
      </c>
      <c r="M575" s="27" t="n">
        <v>1.035714</v>
      </c>
      <c r="N575" s="28" t="n">
        <v>0.965517</v>
      </c>
      <c r="O575" s="28" t="n">
        <v>0.721971</v>
      </c>
      <c r="P575" s="28" t="n">
        <v>0.18</v>
      </c>
      <c r="Q575" s="28" t="n">
        <v>-0.243546</v>
      </c>
      <c r="R575" s="26" t="n">
        <v>0</v>
      </c>
      <c r="S575" s="29" t="n">
        <v>1</v>
      </c>
      <c r="T575" s="24" t="inlineStr">
        <is>
          <t>college-football-v1</t>
        </is>
      </c>
      <c r="U575" s="24" t="inlineStr">
        <is>
          <t>settled</t>
        </is>
      </c>
      <c r="V575" s="24" t="inlineStr">
        <is>
          <t>win</t>
        </is>
      </c>
      <c r="W575" s="26" t="n">
        <v>10</v>
      </c>
      <c r="X575" s="26" t="n">
        <v>63</v>
      </c>
      <c r="Y575" s="25" t="n"/>
      <c r="Z575" s="26" t="n"/>
      <c r="AA575" s="28" t="n"/>
      <c r="AB575" s="28" t="n"/>
      <c r="AC575" s="30" t="n">
        <v>0.0357</v>
      </c>
      <c r="AD575" s="24" t="inlineStr">
        <is>
          <t>2026-09-27T04:31:01.622074Z</t>
        </is>
      </c>
      <c r="AE575" s="31" t="inlineStr">
        <is>
          <t>CFB Joint Model (negative_binomial): proj score Incarnate Word Cardinals 20.5 @ Texas State Bobcats 31.5 (Margin +10.9). Possessions: 12.4, HFA: +2.8 pts.</t>
        </is>
      </c>
      <c r="AF575" s="31" t="inlineStr">
        <is>
          <t>College football model; multi-market (moneyline, spread, total).</t>
        </is>
      </c>
      <c r="AG575" s="24" t="inlineStr">
        <is>
          <t>not_applicable</t>
        </is>
      </c>
      <c r="AH575" s="24" t="n"/>
      <c r="AI575" s="31" t="n"/>
      <c r="AJ575" s="31" t="n"/>
      <c r="AK575" s="24" t="inlineStr">
        <is>
          <t>paper_call</t>
        </is>
      </c>
      <c r="AL575" s="26" t="n">
        <v>4</v>
      </c>
      <c r="AM575" s="24" t="inlineStr">
        <is>
          <t>RESEARCH_OBSERVATION</t>
        </is>
      </c>
      <c r="AN575" s="24" t="inlineStr">
        <is>
          <t>CALL</t>
        </is>
      </c>
      <c r="AO575" s="24" t="inlineStr">
        <is>
          <t>PAPER_CALL_LOW_EDGE</t>
        </is>
      </c>
      <c r="AP575" s="24" t="inlineStr">
        <is>
          <t>Incarnate Word Cardinals</t>
        </is>
      </c>
      <c r="AQ575" s="24" t="inlineStr">
        <is>
          <t>Incarnate Word Cardinals</t>
        </is>
      </c>
      <c r="AR575" s="24" t="inlineStr">
        <is>
          <t>Incarnate Word Cardinals</t>
        </is>
      </c>
      <c r="AS575" s="24" t="inlineStr">
        <is>
          <t>Texas State Bobcats</t>
        </is>
      </c>
      <c r="AT575" s="24" t="inlineStr">
        <is>
          <t>Texas State Bobcats</t>
        </is>
      </c>
      <c r="AU575" s="24" t="inlineStr">
        <is>
          <t>Texas State Bobcats</t>
        </is>
      </c>
      <c r="AV575" s="24" t="n"/>
      <c r="AW575" s="24" t="n"/>
      <c r="AX575" s="24" t="inlineStr">
        <is>
          <t>statistical_model</t>
        </is>
      </c>
      <c r="AY575" s="24" t="n"/>
      <c r="AZ575" s="24" t="inlineStr">
        <is>
          <t>shadow_qualified</t>
        </is>
      </c>
      <c r="BA575" s="24" t="inlineStr">
        <is>
          <t>1d168f11d221cd3c</t>
        </is>
      </c>
      <c r="BB575" s="24" t="inlineStr">
        <is>
          <t>cfb_key_number_engine</t>
        </is>
      </c>
      <c r="BC575" s="24" t="inlineStr">
        <is>
          <t>college-football-v1</t>
        </is>
      </c>
      <c r="BD575" s="24" t="inlineStr">
        <is>
          <t>1d168f11d221cd3c</t>
        </is>
      </c>
      <c r="BE575" s="24" t="inlineStr">
        <is>
          <t>cfb-v1</t>
        </is>
      </c>
      <c r="BF575" s="24" t="inlineStr">
        <is>
          <t>1</t>
        </is>
      </c>
      <c r="BG575" s="24" t="inlineStr">
        <is>
          <t>1d168f11d221cd3c</t>
        </is>
      </c>
      <c r="BH575" s="24" t="inlineStr">
        <is>
          <t>2026-09-26T15:01:01.506546+00:00</t>
        </is>
      </c>
      <c r="BI575" s="24" t="inlineStr">
        <is>
          <t>["same_event","same_team_same_day","same_league_same_day"]</t>
        </is>
      </c>
      <c r="BJ575" s="25" t="n"/>
      <c r="BK575" s="26" t="n">
        <v>-2800</v>
      </c>
      <c r="BL575" s="27" t="n">
        <v>1.035714</v>
      </c>
      <c r="BM575" s="28" t="n">
        <v>0.965517</v>
      </c>
      <c r="BN575" s="28" t="n"/>
      <c r="BO575" s="28" t="n"/>
      <c r="BP575" s="25" t="n"/>
      <c r="BQ575" s="27" t="n"/>
      <c r="BR575" s="28" t="n"/>
      <c r="BS575" s="28" t="n"/>
      <c r="BT575" s="28" t="n"/>
      <c r="BU575" s="25" t="n"/>
      <c r="BV575" s="29" t="n"/>
      <c r="BW575" s="24" t="n"/>
      <c r="BX575" s="30" t="n">
        <v>1</v>
      </c>
      <c r="BY575" s="27" t="n">
        <v>0.035714</v>
      </c>
      <c r="BZ575" s="24" t="inlineStr">
        <is>
          <t>2026-09-27T04:31:01.622074Z</t>
        </is>
      </c>
      <c r="CA575" s="31" t="inlineStr">
        <is>
          <t>fixed one-unit hypothetical scoring; no real exposure or execution</t>
        </is>
      </c>
      <c r="CB575" s="24" t="n"/>
      <c r="CC575" s="24" t="n"/>
      <c r="CD575" s="24" t="n"/>
      <c r="CE575" s="24" t="n"/>
      <c r="CF575" s="24" t="n"/>
      <c r="CG575" s="24" t="n"/>
      <c r="CH575" s="24" t="n"/>
      <c r="CI575" s="24" t="n"/>
      <c r="CJ575" s="24" t="n"/>
      <c r="CK575" s="24" t="n"/>
      <c r="CL575" s="24" t="n"/>
      <c r="CM575" s="24" t="n"/>
      <c r="CN575" s="24" t="n"/>
      <c r="CO575" s="24" t="n"/>
      <c r="CP575" s="24" t="n"/>
      <c r="CQ575" s="24" t="n"/>
      <c r="CR575" s="24" t="n"/>
      <c r="CS575" s="24" t="inlineStr">
        <is>
          <t>False</t>
        </is>
      </c>
      <c r="CT575" s="24" t="n"/>
      <c r="CU575" s="24" t="n"/>
      <c r="CV575" s="24" t="n"/>
      <c r="CW575" s="24" t="n"/>
      <c r="CX575" s="24" t="n"/>
      <c r="CY575" s="24" t="n"/>
      <c r="CZ575" s="24" t="n"/>
      <c r="DA575" s="24" t="n"/>
      <c r="DB575" s="24" t="n"/>
      <c r="DC575" s="24" t="n"/>
      <c r="DD575" s="24" t="n"/>
      <c r="DE575" s="24" t="n"/>
      <c r="DF575" s="24" t="n"/>
      <c r="DG575" s="24" t="n"/>
      <c r="DH575" s="24" t="n"/>
      <c r="DI575" s="24" t="n"/>
      <c r="DJ575" s="24" t="inlineStr">
        <is>
          <t>0.965517</t>
        </is>
      </c>
      <c r="DK575" s="24" t="n"/>
      <c r="DL575" s="24" t="n"/>
      <c r="DM575" s="24" t="n"/>
      <c r="DN575" s="24" t="n"/>
      <c r="DO575" s="24" t="n"/>
      <c r="DP575" s="24" t="n"/>
      <c r="DQ575" s="24" t="inlineStr">
        <is>
          <t>{"artifact_hash": "1d168f11d221cd3c", "event_id": "401860892", "event_start_utc": "2026-09-26T22:00Z", "features": {"altitude_fatigue_penalty": 0.0, "away_team": "Incarnate Word Cardinals", "efficiency_gap": -1.47, "elo_away": 1337.5, "elo_home": 1540.5, "elo_home_win_prob": 0.8239, "event_id": "401860892", "game_start_utc": "2026-09-26T22:00Z", "home_field_advantage_points": 2.8, "home_team": "Texas State Bobcats", "is_dome": false, "is_fbs_vs_fcs": false, "is_neutral_site": false, "projected_away_points": 20.5, "projected_home_points": 31.5, "projected_margin_home": 10.9,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20.5, "mu_home": 31.5,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325942718890365240955631506226778654411}, "uinteger": 0}, "spread_home_line": -30.5, "total_line": 65.5}, "market_type": "moneyline", "model_version": "college-football-v1", "observed_at_utc": "2026-09-26T15:01:01.506546+00:00", "probabilities": {"away": 0.278029, "home": 0.721971}, "replay_scope": "Full precision score means, exact engine parameters and original RNG state; upstream feature construction not certified.", "schema": "cfb-joint-replay-v1", "snapshot_hash": "c5429e2643c2afb43fbebd1a4e3f8e1bad85fbe11a2b0f7c6d0032a11380e645", "sport": "NCAAF"}</t>
        </is>
      </c>
    </row>
    <row r="576" ht="36" customHeight="1">
      <c r="A576" s="24" t="inlineStr">
        <is>
          <t>b7ff6527cf0e43ae</t>
        </is>
      </c>
      <c r="B576" s="24" t="inlineStr">
        <is>
          <t>2026-09-26T15:01:01.506546Z</t>
        </is>
      </c>
      <c r="C576" s="24" t="inlineStr">
        <is>
          <t>2026-09-26T22:00Z</t>
        </is>
      </c>
      <c r="D576" s="24" t="inlineStr">
        <is>
          <t>401860892</t>
        </is>
      </c>
      <c r="E576" s="24" t="inlineStr">
        <is>
          <t>NCAAF</t>
        </is>
      </c>
      <c r="F576" s="24" t="inlineStr">
        <is>
          <t>Incarnate Word Cardinals</t>
        </is>
      </c>
      <c r="G576" s="24" t="inlineStr">
        <is>
          <t>Texas State Bobcats</t>
        </is>
      </c>
      <c r="H576" s="24" t="inlineStr">
        <is>
          <t>spread</t>
        </is>
      </c>
      <c r="I576" s="24" t="inlineStr">
        <is>
          <t>away</t>
        </is>
      </c>
      <c r="J576" s="25" t="n">
        <v>30.5</v>
      </c>
      <c r="K576" s="24" t="inlineStr">
        <is>
          <t>espn_consensus</t>
        </is>
      </c>
      <c r="L576" s="26" t="n">
        <v>-102</v>
      </c>
      <c r="M576" s="27" t="n">
        <v>1.980392</v>
      </c>
      <c r="N576" s="28" t="n">
        <v>0.50495</v>
      </c>
      <c r="O576" s="28" t="n">
        <v>0.838533</v>
      </c>
      <c r="P576" s="28" t="n">
        <v>0.18</v>
      </c>
      <c r="Q576" s="28" t="n">
        <v>0.333583</v>
      </c>
      <c r="R576" s="26" t="n">
        <v>100</v>
      </c>
      <c r="S576" s="29" t="n">
        <v>2</v>
      </c>
      <c r="T576" s="24" t="inlineStr">
        <is>
          <t>cfb-spread-v1</t>
        </is>
      </c>
      <c r="U576" s="24" t="inlineStr">
        <is>
          <t>settled</t>
        </is>
      </c>
      <c r="V576" s="24" t="inlineStr">
        <is>
          <t>loss</t>
        </is>
      </c>
      <c r="W576" s="26" t="n">
        <v>10</v>
      </c>
      <c r="X576" s="26" t="n">
        <v>63</v>
      </c>
      <c r="Y576" s="25" t="n"/>
      <c r="Z576" s="26" t="n"/>
      <c r="AA576" s="28" t="n"/>
      <c r="AB576" s="28" t="n"/>
      <c r="AC576" s="30" t="n">
        <v>-2</v>
      </c>
      <c r="AD576" s="24" t="inlineStr">
        <is>
          <t>2026-09-27T04:31:02.155638Z</t>
        </is>
      </c>
      <c r="AE576" s="31" t="inlineStr">
        <is>
          <t>Projected home margin +10.9 pts. Spread: Home -30.5 / Away +30.5 -&gt; P(Away cover)=0.839, P(Home cover)=0.161, P(Push)=0.000.</t>
        </is>
      </c>
      <c r="AF576" s="31" t="inlineStr">
        <is>
          <t>College football model; multi-market (moneyline, spread, total).</t>
        </is>
      </c>
      <c r="AG576" s="24" t="inlineStr">
        <is>
          <t>review_required</t>
        </is>
      </c>
      <c r="AH576" s="24" t="n"/>
      <c r="AI576" s="31" t="n"/>
      <c r="AJ576" s="31" t="n"/>
      <c r="AK576" s="24" t="inlineStr">
        <is>
          <t>model_qualified</t>
        </is>
      </c>
      <c r="AL576" s="26" t="n">
        <v>4</v>
      </c>
      <c r="AM576" s="24" t="inlineStr">
        <is>
          <t>QUALIFIED_SHADOW_CALL</t>
        </is>
      </c>
      <c r="AN576" s="24" t="inlineStr">
        <is>
          <t>CALL</t>
        </is>
      </c>
      <c r="AO576" s="24" t="inlineStr">
        <is>
          <t>QUALIFIED</t>
        </is>
      </c>
      <c r="AP576" s="24" t="inlineStr">
        <is>
          <t>Incarnate Word Cardinals</t>
        </is>
      </c>
      <c r="AQ576" s="24" t="inlineStr">
        <is>
          <t>Incarnate Word Cardinals</t>
        </is>
      </c>
      <c r="AR576" s="24" t="inlineStr">
        <is>
          <t>Incarnate Word Cardinals</t>
        </is>
      </c>
      <c r="AS576" s="24" t="inlineStr">
        <is>
          <t>Texas State Bobcats</t>
        </is>
      </c>
      <c r="AT576" s="24" t="inlineStr">
        <is>
          <t>Texas State Bobcats</t>
        </is>
      </c>
      <c r="AU576" s="24" t="inlineStr">
        <is>
          <t>Texas State Bobcats</t>
        </is>
      </c>
      <c r="AV576" s="24" t="n"/>
      <c r="AW576" s="24" t="n"/>
      <c r="AX576" s="24" t="inlineStr">
        <is>
          <t>statistical_model</t>
        </is>
      </c>
      <c r="AY576" s="24" t="n"/>
      <c r="AZ576" s="24" t="inlineStr">
        <is>
          <t>shadow_qualified</t>
        </is>
      </c>
      <c r="BA576" s="24" t="inlineStr">
        <is>
          <t>1d168f11d221cd3c</t>
        </is>
      </c>
      <c r="BB576" s="24" t="inlineStr">
        <is>
          <t>cfb_key_number_engine</t>
        </is>
      </c>
      <c r="BC576" s="24" t="inlineStr">
        <is>
          <t>cfb-spread-v1</t>
        </is>
      </c>
      <c r="BD576" s="24" t="inlineStr">
        <is>
          <t>1d168f11d221cd3c</t>
        </is>
      </c>
      <c r="BE576" s="24" t="inlineStr">
        <is>
          <t>cfb-v1</t>
        </is>
      </c>
      <c r="BF576" s="24" t="inlineStr">
        <is>
          <t>1</t>
        </is>
      </c>
      <c r="BG576" s="24" t="inlineStr">
        <is>
          <t>1d168f11d221cd3c</t>
        </is>
      </c>
      <c r="BH576" s="24" t="inlineStr">
        <is>
          <t>2026-09-26T15:01:01.506546+00:00</t>
        </is>
      </c>
      <c r="BI576" s="24" t="inlineStr">
        <is>
          <t>["same_event","same_team_same_day","same_league_same_day"]</t>
        </is>
      </c>
      <c r="BJ576" s="25" t="n">
        <v>30.5</v>
      </c>
      <c r="BK576" s="26" t="n">
        <v>-102</v>
      </c>
      <c r="BL576" s="27" t="n">
        <v>1.980392</v>
      </c>
      <c r="BM576" s="28" t="n">
        <v>0.50495</v>
      </c>
      <c r="BN576" s="28" t="n"/>
      <c r="BO576" s="28" t="n"/>
      <c r="BP576" s="25" t="n"/>
      <c r="BQ576" s="27" t="n"/>
      <c r="BR576" s="28" t="n"/>
      <c r="BS576" s="28" t="n"/>
      <c r="BT576" s="28" t="n"/>
      <c r="BU576" s="25" t="n"/>
      <c r="BV576" s="29" t="n"/>
      <c r="BW576" s="24" t="n"/>
      <c r="BX576" s="30" t="n"/>
      <c r="BY576" s="27" t="n"/>
      <c r="BZ576" s="24" t="n"/>
      <c r="CA576" s="31" t="n"/>
      <c r="CB576" s="24" t="n"/>
      <c r="CC576" s="24" t="n"/>
      <c r="CD576" s="24" t="n"/>
      <c r="CE576" s="24" t="n"/>
      <c r="CF576" s="24" t="n"/>
      <c r="CG576" s="24" t="n"/>
      <c r="CH576" s="24" t="n"/>
      <c r="CI576" s="24" t="n"/>
      <c r="CJ576" s="24" t="n"/>
      <c r="CK576" s="24" t="n"/>
      <c r="CL576" s="24" t="n"/>
      <c r="CM576" s="24" t="n"/>
      <c r="CN576" s="24" t="n"/>
      <c r="CO576" s="24" t="n"/>
      <c r="CP576" s="24" t="n"/>
      <c r="CQ576" s="24" t="n"/>
      <c r="CR576" s="24" t="n"/>
      <c r="CS576" s="24" t="inlineStr">
        <is>
          <t>True</t>
        </is>
      </c>
      <c r="CT576" s="24" t="n"/>
      <c r="CU576" s="24" t="n"/>
      <c r="CV576" s="24" t="n"/>
      <c r="CW576" s="24" t="n"/>
      <c r="CX576" s="24" t="n"/>
      <c r="CY576" s="24" t="n"/>
      <c r="CZ576" s="24" t="n"/>
      <c r="DA576" s="24" t="n"/>
      <c r="DB576" s="24" t="n"/>
      <c r="DC576" s="24" t="n"/>
      <c r="DD576" s="24" t="n"/>
      <c r="DE576" s="24" t="n"/>
      <c r="DF576" s="24" t="n"/>
      <c r="DG576" s="24" t="n"/>
      <c r="DH576" s="24" t="n"/>
      <c r="DI576" s="24" t="n"/>
      <c r="DJ576" s="24" t="inlineStr">
        <is>
          <t>0.50495</t>
        </is>
      </c>
      <c r="DK576" s="24" t="n"/>
      <c r="DL576" s="24" t="n"/>
      <c r="DM576" s="24" t="n"/>
      <c r="DN576" s="24" t="n"/>
      <c r="DO576" s="24" t="n"/>
      <c r="DP576" s="24" t="n"/>
      <c r="DQ576" s="24" t="inlineStr">
        <is>
          <t>{"artifact_hash": "1d168f11d221cd3c", "event_id": "401860892", "event_start_utc": "2026-09-26T22:00Z", "features": {"altitude_fatigue_penalty": 0.0, "away_team": "Incarnate Word Cardinals", "efficiency_gap": -1.47, "elo_away": 1337.5, "elo_home": 1540.5, "elo_home_win_prob": 0.8239, "event_id": "401860892", "game_start_utc": "2026-09-26T22:00Z", "home_field_advantage_points": 2.8, "home_team": "Texas State Bobcats", "is_dome": false, "is_fbs_vs_fcs": false, "is_neutral_site": false, "projected_away_points": 20.5, "projected_home_points": 31.5, "projected_margin_home": 10.9,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20.5, "mu_home": 31.5,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325942718890365240955631506226778654411}, "uinteger": 0}, "spread_home_line": -30.5, "total_line": 65.5}, "market_type": "spread", "model_version": "cfb-spread-v1", "observed_at_utc": "2026-09-26T15:01:01.506546+00:00", "probabilities": {"away": 0.838533, "home": 0.161467, "push": 0.0}, "replay_scope": "Full precision score means, exact engine parameters and original RNG state; upstream feature construction not certified.", "schema": "cfb-joint-replay-v1", "snapshot_hash": "17603f024ddb38e7ce65c01baa90d147d30fa594f78683c71538d19fe9bc2579", "sport": "NCAAF"}</t>
        </is>
      </c>
    </row>
    <row r="577" ht="36" customHeight="1">
      <c r="A577" s="24" t="inlineStr">
        <is>
          <t>f9a6916f2cbe430e</t>
        </is>
      </c>
      <c r="B577" s="24" t="inlineStr">
        <is>
          <t>2026-09-26T15:01:01.506546Z</t>
        </is>
      </c>
      <c r="C577" s="24" t="inlineStr">
        <is>
          <t>2026-09-26T22:00Z</t>
        </is>
      </c>
      <c r="D577" s="24" t="inlineStr">
        <is>
          <t>401860892</t>
        </is>
      </c>
      <c r="E577" s="24" t="inlineStr">
        <is>
          <t>NCAAF</t>
        </is>
      </c>
      <c r="F577" s="24" t="inlineStr">
        <is>
          <t>Incarnate Word Cardinals</t>
        </is>
      </c>
      <c r="G577" s="24" t="inlineStr">
        <is>
          <t>Texas State Bobcats</t>
        </is>
      </c>
      <c r="H577" s="24" t="inlineStr">
        <is>
          <t>total</t>
        </is>
      </c>
      <c r="I577" s="24" t="inlineStr">
        <is>
          <t>under</t>
        </is>
      </c>
      <c r="J577" s="25" t="n">
        <v>65.5</v>
      </c>
      <c r="K577" s="24" t="inlineStr">
        <is>
          <t>espn_consensus</t>
        </is>
      </c>
      <c r="L577" s="26" t="n">
        <v>-108</v>
      </c>
      <c r="M577" s="27" t="n">
        <v>1.925926</v>
      </c>
      <c r="N577" s="28" t="n">
        <v>0.519231</v>
      </c>
      <c r="O577" s="28" t="n">
        <v>0.726333</v>
      </c>
      <c r="P577" s="28" t="n">
        <v>0.18</v>
      </c>
      <c r="Q577" s="28" t="n">
        <v>0.207102</v>
      </c>
      <c r="R577" s="26" t="n">
        <v>46</v>
      </c>
      <c r="S577" s="29" t="n">
        <v>1.25</v>
      </c>
      <c r="T577" s="24" t="inlineStr">
        <is>
          <t>cfb-total-v1</t>
        </is>
      </c>
      <c r="U577" s="24" t="inlineStr">
        <is>
          <t>settled</t>
        </is>
      </c>
      <c r="V577" s="24" t="inlineStr">
        <is>
          <t>loss</t>
        </is>
      </c>
      <c r="W577" s="26" t="n">
        <v>10</v>
      </c>
      <c r="X577" s="26" t="n">
        <v>63</v>
      </c>
      <c r="Y577" s="25" t="n"/>
      <c r="Z577" s="26" t="n"/>
      <c r="AA577" s="28" t="n"/>
      <c r="AB577" s="28" t="n"/>
      <c r="AC577" s="30" t="n">
        <v>-1.25</v>
      </c>
      <c r="AD577" s="24" t="inlineStr">
        <is>
          <t>2026-09-27T04:31:02.796466Z</t>
        </is>
      </c>
      <c r="AE577" s="31" t="inlineStr">
        <is>
          <t>Projected total 52.0 pts (Weather adj: +0.0 pts). Total line 65.5 -&gt; P(Over)=0.274, P(Under)=0.726, P(Push)=0.000.</t>
        </is>
      </c>
      <c r="AF577" s="31" t="inlineStr">
        <is>
          <t>College football model; multi-market (moneyline, spread, total).</t>
        </is>
      </c>
      <c r="AG577" s="24" t="inlineStr">
        <is>
          <t>review_required</t>
        </is>
      </c>
      <c r="AH577" s="24" t="n"/>
      <c r="AI577" s="31" t="n"/>
      <c r="AJ577" s="31" t="n"/>
      <c r="AK577" s="24" t="inlineStr">
        <is>
          <t>model_qualified</t>
        </is>
      </c>
      <c r="AL577" s="26" t="n">
        <v>4</v>
      </c>
      <c r="AM577" s="24" t="inlineStr">
        <is>
          <t>QUALIFIED_SHADOW_CALL</t>
        </is>
      </c>
      <c r="AN577" s="24" t="inlineStr">
        <is>
          <t>CALL</t>
        </is>
      </c>
      <c r="AO577" s="24" t="inlineStr">
        <is>
          <t>QUALIFIED</t>
        </is>
      </c>
      <c r="AP577" s="24" t="inlineStr">
        <is>
          <t>Incarnate Word Cardinals</t>
        </is>
      </c>
      <c r="AQ577" s="24" t="inlineStr">
        <is>
          <t>Incarnate Word Cardinals</t>
        </is>
      </c>
      <c r="AR577" s="24" t="inlineStr">
        <is>
          <t>Incarnate Word Cardinals</t>
        </is>
      </c>
      <c r="AS577" s="24" t="inlineStr">
        <is>
          <t>Texas State Bobcats</t>
        </is>
      </c>
      <c r="AT577" s="24" t="inlineStr">
        <is>
          <t>Texas State Bobcats</t>
        </is>
      </c>
      <c r="AU577" s="24" t="inlineStr">
        <is>
          <t>Texas State Bobcats</t>
        </is>
      </c>
      <c r="AV577" s="24" t="n"/>
      <c r="AW577" s="24" t="n"/>
      <c r="AX577" s="24" t="inlineStr">
        <is>
          <t>statistical_model</t>
        </is>
      </c>
      <c r="AY577" s="24" t="n"/>
      <c r="AZ577" s="24" t="inlineStr">
        <is>
          <t>shadow_qualified</t>
        </is>
      </c>
      <c r="BA577" s="24" t="inlineStr">
        <is>
          <t>1d168f11d221cd3c</t>
        </is>
      </c>
      <c r="BB577" s="24" t="inlineStr">
        <is>
          <t>cfb_key_number_engine</t>
        </is>
      </c>
      <c r="BC577" s="24" t="inlineStr">
        <is>
          <t>cfb-total-v1</t>
        </is>
      </c>
      <c r="BD577" s="24" t="inlineStr">
        <is>
          <t>1d168f11d221cd3c</t>
        </is>
      </c>
      <c r="BE577" s="24" t="inlineStr">
        <is>
          <t>cfb-v1</t>
        </is>
      </c>
      <c r="BF577" s="24" t="inlineStr">
        <is>
          <t>1</t>
        </is>
      </c>
      <c r="BG577" s="24" t="inlineStr">
        <is>
          <t>1d168f11d221cd3c</t>
        </is>
      </c>
      <c r="BH577" s="24" t="inlineStr">
        <is>
          <t>2026-09-26T15:01:01.506546+00:00</t>
        </is>
      </c>
      <c r="BI577" s="24" t="inlineStr">
        <is>
          <t>["same_event","same_team_same_day","same_league_same_day"]</t>
        </is>
      </c>
      <c r="BJ577" s="25" t="n">
        <v>65.5</v>
      </c>
      <c r="BK577" s="26" t="n">
        <v>-108</v>
      </c>
      <c r="BL577" s="27" t="n">
        <v>1.925926</v>
      </c>
      <c r="BM577" s="28" t="n">
        <v>0.519231</v>
      </c>
      <c r="BN577" s="28" t="n"/>
      <c r="BO577" s="28" t="n"/>
      <c r="BP577" s="25" t="n"/>
      <c r="BQ577" s="27" t="n"/>
      <c r="BR577" s="28" t="n"/>
      <c r="BS577" s="28" t="n"/>
      <c r="BT577" s="28" t="n"/>
      <c r="BU577" s="25" t="n"/>
      <c r="BV577" s="29" t="n"/>
      <c r="BW577" s="24" t="n"/>
      <c r="BX577" s="30" t="n"/>
      <c r="BY577" s="27" t="n"/>
      <c r="BZ577" s="24" t="n"/>
      <c r="CA577" s="31" t="n"/>
      <c r="CB577" s="24" t="n"/>
      <c r="CC577" s="24" t="n"/>
      <c r="CD577" s="24" t="n"/>
      <c r="CE577" s="24" t="n"/>
      <c r="CF577" s="24" t="n"/>
      <c r="CG577" s="24" t="n"/>
      <c r="CH577" s="24" t="n"/>
      <c r="CI577" s="24" t="n"/>
      <c r="CJ577" s="24" t="n"/>
      <c r="CK577" s="24" t="n"/>
      <c r="CL577" s="24" t="n"/>
      <c r="CM577" s="24" t="n"/>
      <c r="CN577" s="24" t="n"/>
      <c r="CO577" s="24" t="n"/>
      <c r="CP577" s="24" t="n"/>
      <c r="CQ577" s="24" t="n"/>
      <c r="CR577" s="24" t="n"/>
      <c r="CS577" s="24" t="inlineStr">
        <is>
          <t>True</t>
        </is>
      </c>
      <c r="CT577" s="24" t="n"/>
      <c r="CU577" s="24" t="n"/>
      <c r="CV577" s="24" t="n"/>
      <c r="CW577" s="24" t="n"/>
      <c r="CX577" s="24" t="n"/>
      <c r="CY577" s="24" t="n"/>
      <c r="CZ577" s="24" t="n"/>
      <c r="DA577" s="24" t="n"/>
      <c r="DB577" s="24" t="n"/>
      <c r="DC577" s="24" t="n"/>
      <c r="DD577" s="24" t="n"/>
      <c r="DE577" s="24" t="n"/>
      <c r="DF577" s="24" t="n"/>
      <c r="DG577" s="24" t="n"/>
      <c r="DH577" s="24" t="n"/>
      <c r="DI577" s="24" t="n"/>
      <c r="DJ577" s="24" t="inlineStr">
        <is>
          <t>0.519231</t>
        </is>
      </c>
      <c r="DK577" s="24" t="n"/>
      <c r="DL577" s="24" t="n"/>
      <c r="DM577" s="24" t="n"/>
      <c r="DN577" s="24" t="n"/>
      <c r="DO577" s="24" t="n"/>
      <c r="DP577" s="24" t="n"/>
      <c r="DQ577" s="24" t="inlineStr">
        <is>
          <t>{"artifact_hash": "1d168f11d221cd3c", "event_id": "401860892", "event_start_utc": "2026-09-26T22:00Z", "features": {"altitude_fatigue_penalty": 0.0, "away_team": "Incarnate Word Cardinals", "efficiency_gap": -1.47, "elo_away": 1337.5, "elo_home": 1540.5, "elo_home_win_prob": 0.8239, "event_id": "401860892", "game_start_utc": "2026-09-26T22:00Z", "home_field_advantage_points": 2.8, "home_team": "Texas State Bobcats", "is_dome": false, "is_fbs_vs_fcs": false, "is_neutral_site": false, "projected_away_points": 20.5, "projected_home_points": 31.5, "projected_margin_home": 10.9, "projected_possessions": 12.4, "projected_total": 52.0,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20.5, "mu_home": 31.5,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325942718890365240955631506226778654411}, "uinteger": 0}, "spread_home_line": -30.5, "total_line": 65.5}, "market_type": "total", "model_version": "cfb-total-v1", "observed_at_utc": "2026-09-26T15:01:01.506546+00:00", "probabilities": {"over": 0.273667, "push": 0.0, "under": 0.726333}, "replay_scope": "Full precision score means, exact engine parameters and original RNG state; upstream feature construction not certified.", "schema": "cfb-joint-replay-v1", "snapshot_hash": "b6f7c52f3af15b5a2485434209f055bc0e34a1eb4b7e5d04b40c41770e6b353d", "sport": "NCAAF"}</t>
        </is>
      </c>
    </row>
    <row r="578" ht="36" customHeight="1">
      <c r="A578" s="24" t="inlineStr">
        <is>
          <t>fa63b03ce7814529</t>
        </is>
      </c>
      <c r="B578" s="24" t="inlineStr">
        <is>
          <t>2026-09-26T15:01:01.506546Z</t>
        </is>
      </c>
      <c r="C578" s="24" t="inlineStr">
        <is>
          <t>2026-09-26T22:00Z</t>
        </is>
      </c>
      <c r="D578" s="24" t="inlineStr">
        <is>
          <t>401867909</t>
        </is>
      </c>
      <c r="E578" s="24" t="inlineStr">
        <is>
          <t>NCAAF</t>
        </is>
      </c>
      <c r="F578" s="24" t="inlineStr">
        <is>
          <t>Long Island University Sharks</t>
        </is>
      </c>
      <c r="G578" s="24" t="inlineStr">
        <is>
          <t>Florida International Panthers</t>
        </is>
      </c>
      <c r="H578" s="24" t="inlineStr">
        <is>
          <t>moneyline</t>
        </is>
      </c>
      <c r="I578" s="24" t="inlineStr">
        <is>
          <t>home</t>
        </is>
      </c>
      <c r="J578" s="25" t="n"/>
      <c r="K578" s="24" t="inlineStr">
        <is>
          <t>espn_consensus</t>
        </is>
      </c>
      <c r="L578" s="26" t="n">
        <v>-4500</v>
      </c>
      <c r="M578" s="27" t="n">
        <v>1.022222</v>
      </c>
      <c r="N578" s="28" t="n">
        <v>0.978261</v>
      </c>
      <c r="O578" s="28" t="n">
        <v>0.559781</v>
      </c>
      <c r="P578" s="28" t="n">
        <v>0.18</v>
      </c>
      <c r="Q578" s="28" t="n">
        <v>-0.41848</v>
      </c>
      <c r="R578" s="26" t="n">
        <v>0</v>
      </c>
      <c r="S578" s="29" t="n">
        <v>1</v>
      </c>
      <c r="T578" s="24" t="inlineStr">
        <is>
          <t>college-football-v1</t>
        </is>
      </c>
      <c r="U578" s="24" t="inlineStr">
        <is>
          <t>settled</t>
        </is>
      </c>
      <c r="V578" s="24" t="inlineStr">
        <is>
          <t>win</t>
        </is>
      </c>
      <c r="W578" s="26" t="n">
        <v>3</v>
      </c>
      <c r="X578" s="26" t="n">
        <v>20</v>
      </c>
      <c r="Y578" s="25" t="n"/>
      <c r="Z578" s="26" t="n"/>
      <c r="AA578" s="28" t="n"/>
      <c r="AB578" s="28" t="n"/>
      <c r="AC578" s="30" t="n">
        <v>0.0222</v>
      </c>
      <c r="AD578" s="24" t="inlineStr">
        <is>
          <t>2026-09-27T04:31:03.376925Z</t>
        </is>
      </c>
      <c r="AE578" s="31" t="inlineStr">
        <is>
          <t>CFB Joint Model (negative_binomial): proj score Long Island University Sharks 25.1 @ Florida International Panthers 27.7 (Margin +2.7). Possessions: 12.4, HFA: +2.8 pts.</t>
        </is>
      </c>
      <c r="AF578" s="31" t="inlineStr">
        <is>
          <t>College football model; multi-market (moneyline, spread, total).</t>
        </is>
      </c>
      <c r="AG578" s="24" t="inlineStr">
        <is>
          <t>not_applicable</t>
        </is>
      </c>
      <c r="AH578" s="24" t="n"/>
      <c r="AI578" s="31" t="n"/>
      <c r="AJ578" s="31" t="n"/>
      <c r="AK578" s="24" t="inlineStr">
        <is>
          <t>paper_call</t>
        </is>
      </c>
      <c r="AL578" s="26" t="n">
        <v>4</v>
      </c>
      <c r="AM578" s="24" t="inlineStr">
        <is>
          <t>RESEARCH_OBSERVATION</t>
        </is>
      </c>
      <c r="AN578" s="24" t="inlineStr">
        <is>
          <t>CALL</t>
        </is>
      </c>
      <c r="AO578" s="24" t="inlineStr">
        <is>
          <t>PAPER_CALL_LOW_EDGE</t>
        </is>
      </c>
      <c r="AP578" s="24" t="inlineStr">
        <is>
          <t>Long Island University Sharks</t>
        </is>
      </c>
      <c r="AQ578" s="24" t="inlineStr">
        <is>
          <t>Long Island University Sharks</t>
        </is>
      </c>
      <c r="AR578" s="24" t="inlineStr">
        <is>
          <t>Long Island University Sharks</t>
        </is>
      </c>
      <c r="AS578" s="24" t="inlineStr">
        <is>
          <t>Florida International Panthers</t>
        </is>
      </c>
      <c r="AT578" s="24" t="inlineStr">
        <is>
          <t>Florida International Panthers</t>
        </is>
      </c>
      <c r="AU578" s="24" t="inlineStr">
        <is>
          <t>Florida International Panthers</t>
        </is>
      </c>
      <c r="AV578" s="24" t="n"/>
      <c r="AW578" s="24" t="n"/>
      <c r="AX578" s="24" t="inlineStr">
        <is>
          <t>statistical_model</t>
        </is>
      </c>
      <c r="AY578" s="24" t="n"/>
      <c r="AZ578" s="24" t="inlineStr">
        <is>
          <t>shadow_qualified</t>
        </is>
      </c>
      <c r="BA578" s="24" t="inlineStr">
        <is>
          <t>1d168f11d221cd3c</t>
        </is>
      </c>
      <c r="BB578" s="24" t="inlineStr">
        <is>
          <t>cfb_key_number_engine</t>
        </is>
      </c>
      <c r="BC578" s="24" t="inlineStr">
        <is>
          <t>college-football-v1</t>
        </is>
      </c>
      <c r="BD578" s="24" t="inlineStr">
        <is>
          <t>1d168f11d221cd3c</t>
        </is>
      </c>
      <c r="BE578" s="24" t="inlineStr">
        <is>
          <t>cfb-v1</t>
        </is>
      </c>
      <c r="BF578" s="24" t="inlineStr">
        <is>
          <t>1</t>
        </is>
      </c>
      <c r="BG578" s="24" t="inlineStr">
        <is>
          <t>1d168f11d221cd3c</t>
        </is>
      </c>
      <c r="BH578" s="24" t="inlineStr">
        <is>
          <t>2026-09-26T15:01:01.506546+00:00</t>
        </is>
      </c>
      <c r="BI578" s="24" t="inlineStr">
        <is>
          <t>["same_event","same_team_same_day","same_league_same_day"]</t>
        </is>
      </c>
      <c r="BJ578" s="25" t="n"/>
      <c r="BK578" s="26" t="n">
        <v>-4500</v>
      </c>
      <c r="BL578" s="27" t="n">
        <v>1.022222</v>
      </c>
      <c r="BM578" s="28" t="n">
        <v>0.978261</v>
      </c>
      <c r="BN578" s="28" t="n"/>
      <c r="BO578" s="28" t="n"/>
      <c r="BP578" s="25" t="n"/>
      <c r="BQ578" s="27" t="n"/>
      <c r="BR578" s="28" t="n"/>
      <c r="BS578" s="28" t="n"/>
      <c r="BT578" s="28" t="n"/>
      <c r="BU578" s="25" t="n"/>
      <c r="BV578" s="29" t="n"/>
      <c r="BW578" s="24" t="n"/>
      <c r="BX578" s="30" t="n">
        <v>1</v>
      </c>
      <c r="BY578" s="27" t="n">
        <v>0.022222</v>
      </c>
      <c r="BZ578" s="24" t="inlineStr">
        <is>
          <t>2026-09-27T04:31:03.376925Z</t>
        </is>
      </c>
      <c r="CA578" s="31" t="inlineStr">
        <is>
          <t>fixed one-unit hypothetical scoring; no real exposure or execution</t>
        </is>
      </c>
      <c r="CB578" s="24" t="n"/>
      <c r="CC578" s="24" t="n"/>
      <c r="CD578" s="24" t="n"/>
      <c r="CE578" s="24" t="n"/>
      <c r="CF578" s="24" t="n"/>
      <c r="CG578" s="24" t="n"/>
      <c r="CH578" s="24" t="n"/>
      <c r="CI578" s="24" t="n"/>
      <c r="CJ578" s="24" t="n"/>
      <c r="CK578" s="24" t="n"/>
      <c r="CL578" s="24" t="n"/>
      <c r="CM578" s="24" t="n"/>
      <c r="CN578" s="24" t="n"/>
      <c r="CO578" s="24" t="n"/>
      <c r="CP578" s="24" t="n"/>
      <c r="CQ578" s="24" t="n"/>
      <c r="CR578" s="24" t="n"/>
      <c r="CS578" s="24" t="inlineStr">
        <is>
          <t>False</t>
        </is>
      </c>
      <c r="CT578" s="24" t="n"/>
      <c r="CU578" s="24" t="n"/>
      <c r="CV578" s="24" t="n"/>
      <c r="CW578" s="24" t="n"/>
      <c r="CX578" s="24" t="n"/>
      <c r="CY578" s="24" t="n"/>
      <c r="CZ578" s="24" t="n"/>
      <c r="DA578" s="24" t="n"/>
      <c r="DB578" s="24" t="n"/>
      <c r="DC578" s="24" t="n"/>
      <c r="DD578" s="24" t="n"/>
      <c r="DE578" s="24" t="n"/>
      <c r="DF578" s="24" t="n"/>
      <c r="DG578" s="24" t="n"/>
      <c r="DH578" s="24" t="n"/>
      <c r="DI578" s="24" t="n"/>
      <c r="DJ578" s="24" t="inlineStr">
        <is>
          <t>0.978261</t>
        </is>
      </c>
      <c r="DK578" s="24" t="n"/>
      <c r="DL578" s="24" t="n"/>
      <c r="DM578" s="24" t="n"/>
      <c r="DN578" s="24" t="n"/>
      <c r="DO578" s="24" t="n"/>
      <c r="DP578" s="24" t="n"/>
      <c r="DQ578" s="24" t="inlineStr">
        <is>
          <t>{"artifact_hash": "1d168f11d221cd3c", "event_id": "401867909", "event_start_utc": "2026-09-26T22:00Z", "features": {"altitude_fatigue_penalty": 0.0, "away_team": "Long Island University Sharks", "efficiency_gap": 0.0, "elo_away": 1337.5, "elo_home": 1337.5, "elo_home_win_prob": 0.5925, "event_id": "401867909", "game_start_utc": "2026-09-26T22:00Z", "home_field_advantage_points": 2.8, "home_team": "Florida International Panthers", "is_dome": false, "is_fbs_vs_fcs": false, "is_neutral_site": false, "projected_away_points": 25.1, "projected_home_points": 27.7, "projected_margin_home": 2.7,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25.1, "mu_home": 27.7,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40086714776990637863863684876596954931}, "uinteger": 0}, "spread_home_line": -37.5, "total_line": 54.5}, "market_type": "moneyline", "model_version": "college-football-v1", "observed_at_utc": "2026-09-26T15:01:01.506546+00:00", "probabilities": {"away": 0.440219, "home": 0.559781}, "replay_scope": "Full precision score means, exact engine parameters and original RNG state; upstream feature construction not certified.", "schema": "cfb-joint-replay-v1", "snapshot_hash": "992b189c9a8fc352983cae63e78bce262fa259ef66f7d04281f0962ebd79e0cc", "sport": "NCAAF"}</t>
        </is>
      </c>
    </row>
    <row r="579" ht="36" customHeight="1">
      <c r="A579" s="24" t="inlineStr">
        <is>
          <t>ae9f4a30d2294cff</t>
        </is>
      </c>
      <c r="B579" s="24" t="inlineStr">
        <is>
          <t>2026-09-26T15:01:01.506546Z</t>
        </is>
      </c>
      <c r="C579" s="24" t="inlineStr">
        <is>
          <t>2026-09-26T22:00Z</t>
        </is>
      </c>
      <c r="D579" s="24" t="inlineStr">
        <is>
          <t>401867909</t>
        </is>
      </c>
      <c r="E579" s="24" t="inlineStr">
        <is>
          <t>NCAAF</t>
        </is>
      </c>
      <c r="F579" s="24" t="inlineStr">
        <is>
          <t>Long Island University Sharks</t>
        </is>
      </c>
      <c r="G579" s="24" t="inlineStr">
        <is>
          <t>Florida International Panthers</t>
        </is>
      </c>
      <c r="H579" s="24" t="inlineStr">
        <is>
          <t>spread</t>
        </is>
      </c>
      <c r="I579" s="24" t="inlineStr">
        <is>
          <t>away</t>
        </is>
      </c>
      <c r="J579" s="25" t="n">
        <v>37.5</v>
      </c>
      <c r="K579" s="24" t="inlineStr">
        <is>
          <t>espn_consensus</t>
        </is>
      </c>
      <c r="L579" s="26" t="n">
        <v>-112</v>
      </c>
      <c r="M579" s="27" t="n">
        <v>1.892857</v>
      </c>
      <c r="N579" s="28" t="n">
        <v>0.528302</v>
      </c>
      <c r="O579" s="28" t="n">
        <v>0.944733</v>
      </c>
      <c r="P579" s="28" t="n">
        <v>0.18</v>
      </c>
      <c r="Q579" s="28" t="n">
        <v>0.416431</v>
      </c>
      <c r="R579" s="26" t="n">
        <v>100</v>
      </c>
      <c r="S579" s="29" t="n">
        <v>2</v>
      </c>
      <c r="T579" s="24" t="inlineStr">
        <is>
          <t>cfb-spread-v1</t>
        </is>
      </c>
      <c r="U579" s="24" t="inlineStr">
        <is>
          <t>settled</t>
        </is>
      </c>
      <c r="V579" s="24" t="inlineStr">
        <is>
          <t>win</t>
        </is>
      </c>
      <c r="W579" s="26" t="n">
        <v>3</v>
      </c>
      <c r="X579" s="26" t="n">
        <v>20</v>
      </c>
      <c r="Y579" s="25" t="n"/>
      <c r="Z579" s="26" t="n"/>
      <c r="AA579" s="28" t="n"/>
      <c r="AB579" s="28" t="n"/>
      <c r="AC579" s="30" t="n">
        <v>1.7857</v>
      </c>
      <c r="AD579" s="24" t="inlineStr">
        <is>
          <t>2026-09-27T04:31:03.884999Z</t>
        </is>
      </c>
      <c r="AE579" s="31" t="inlineStr">
        <is>
          <t>Projected home margin +2.7 pts. Spread: Home -37.5 / Away +37.5 -&gt; P(Away cover)=0.945, P(Home cover)=0.055, P(Push)=0.000.</t>
        </is>
      </c>
      <c r="AF579" s="31" t="inlineStr">
        <is>
          <t>College football model; multi-market (moneyline, spread, total).</t>
        </is>
      </c>
      <c r="AG579" s="24" t="inlineStr">
        <is>
          <t>not_applicable</t>
        </is>
      </c>
      <c r="AH579" s="24" t="n"/>
      <c r="AI579" s="31" t="n"/>
      <c r="AJ579" s="31" t="n"/>
      <c r="AK579" s="24" t="inlineStr">
        <is>
          <t>model_qualified</t>
        </is>
      </c>
      <c r="AL579" s="26" t="n">
        <v>4</v>
      </c>
      <c r="AM579" s="24" t="inlineStr">
        <is>
          <t>QUALIFIED_SHADOW_CALL</t>
        </is>
      </c>
      <c r="AN579" s="24" t="inlineStr">
        <is>
          <t>CALL</t>
        </is>
      </c>
      <c r="AO579" s="24" t="inlineStr">
        <is>
          <t>QUALIFIED</t>
        </is>
      </c>
      <c r="AP579" s="24" t="inlineStr">
        <is>
          <t>Long Island University Sharks</t>
        </is>
      </c>
      <c r="AQ579" s="24" t="inlineStr">
        <is>
          <t>Long Island University Sharks</t>
        </is>
      </c>
      <c r="AR579" s="24" t="inlineStr">
        <is>
          <t>Long Island University Sharks</t>
        </is>
      </c>
      <c r="AS579" s="24" t="inlineStr">
        <is>
          <t>Florida International Panthers</t>
        </is>
      </c>
      <c r="AT579" s="24" t="inlineStr">
        <is>
          <t>Florida International Panthers</t>
        </is>
      </c>
      <c r="AU579" s="24" t="inlineStr">
        <is>
          <t>Florida International Panthers</t>
        </is>
      </c>
      <c r="AV579" s="24" t="n"/>
      <c r="AW579" s="24" t="n"/>
      <c r="AX579" s="24" t="inlineStr">
        <is>
          <t>statistical_model</t>
        </is>
      </c>
      <c r="AY579" s="24" t="n"/>
      <c r="AZ579" s="24" t="inlineStr">
        <is>
          <t>shadow_qualified</t>
        </is>
      </c>
      <c r="BA579" s="24" t="inlineStr">
        <is>
          <t>1d168f11d221cd3c</t>
        </is>
      </c>
      <c r="BB579" s="24" t="inlineStr">
        <is>
          <t>cfb_key_number_engine</t>
        </is>
      </c>
      <c r="BC579" s="24" t="inlineStr">
        <is>
          <t>cfb-spread-v1</t>
        </is>
      </c>
      <c r="BD579" s="24" t="inlineStr">
        <is>
          <t>1d168f11d221cd3c</t>
        </is>
      </c>
      <c r="BE579" s="24" t="inlineStr">
        <is>
          <t>cfb-v1</t>
        </is>
      </c>
      <c r="BF579" s="24" t="inlineStr">
        <is>
          <t>1</t>
        </is>
      </c>
      <c r="BG579" s="24" t="inlineStr">
        <is>
          <t>1d168f11d221cd3c</t>
        </is>
      </c>
      <c r="BH579" s="24" t="inlineStr">
        <is>
          <t>2026-09-26T15:01:01.506546+00:00</t>
        </is>
      </c>
      <c r="BI579" s="24" t="inlineStr">
        <is>
          <t>["same_event","same_team_same_day","same_league_same_day"]</t>
        </is>
      </c>
      <c r="BJ579" s="25" t="n">
        <v>37.5</v>
      </c>
      <c r="BK579" s="26" t="n">
        <v>-112</v>
      </c>
      <c r="BL579" s="27" t="n">
        <v>1.892857</v>
      </c>
      <c r="BM579" s="28" t="n">
        <v>0.528302</v>
      </c>
      <c r="BN579" s="28" t="n"/>
      <c r="BO579" s="28" t="n"/>
      <c r="BP579" s="25" t="n"/>
      <c r="BQ579" s="27" t="n"/>
      <c r="BR579" s="28" t="n"/>
      <c r="BS579" s="28" t="n"/>
      <c r="BT579" s="28" t="n"/>
      <c r="BU579" s="25" t="n"/>
      <c r="BV579" s="29" t="n"/>
      <c r="BW579" s="24" t="n"/>
      <c r="BX579" s="30" t="n"/>
      <c r="BY579" s="27" t="n"/>
      <c r="BZ579" s="24" t="n"/>
      <c r="CA579" s="31" t="n"/>
      <c r="CB579" s="24" t="n"/>
      <c r="CC579" s="24" t="n"/>
      <c r="CD579" s="24" t="n"/>
      <c r="CE579" s="24" t="n"/>
      <c r="CF579" s="24" t="n"/>
      <c r="CG579" s="24" t="n"/>
      <c r="CH579" s="24" t="n"/>
      <c r="CI579" s="24" t="n"/>
      <c r="CJ579" s="24" t="n"/>
      <c r="CK579" s="24" t="n"/>
      <c r="CL579" s="24" t="n"/>
      <c r="CM579" s="24" t="n"/>
      <c r="CN579" s="24" t="n"/>
      <c r="CO579" s="24" t="n"/>
      <c r="CP579" s="24" t="n"/>
      <c r="CQ579" s="24" t="n"/>
      <c r="CR579" s="24" t="n"/>
      <c r="CS579" s="24" t="inlineStr">
        <is>
          <t>True</t>
        </is>
      </c>
      <c r="CT579" s="24" t="n"/>
      <c r="CU579" s="24" t="n"/>
      <c r="CV579" s="24" t="n"/>
      <c r="CW579" s="24" t="n"/>
      <c r="CX579" s="24" t="n"/>
      <c r="CY579" s="24" t="n"/>
      <c r="CZ579" s="24" t="n"/>
      <c r="DA579" s="24" t="n"/>
      <c r="DB579" s="24" t="n"/>
      <c r="DC579" s="24" t="n"/>
      <c r="DD579" s="24" t="n"/>
      <c r="DE579" s="24" t="n"/>
      <c r="DF579" s="24" t="n"/>
      <c r="DG579" s="24" t="n"/>
      <c r="DH579" s="24" t="n"/>
      <c r="DI579" s="24" t="n"/>
      <c r="DJ579" s="24" t="inlineStr">
        <is>
          <t>0.528302</t>
        </is>
      </c>
      <c r="DK579" s="24" t="n"/>
      <c r="DL579" s="24" t="n"/>
      <c r="DM579" s="24" t="n"/>
      <c r="DN579" s="24" t="n"/>
      <c r="DO579" s="24" t="n"/>
      <c r="DP579" s="24" t="n"/>
      <c r="DQ579" s="24" t="inlineStr">
        <is>
          <t>{"artifact_hash": "1d168f11d221cd3c", "event_id": "401867909", "event_start_utc": "2026-09-26T22:00Z", "features": {"altitude_fatigue_penalty": 0.0, "away_team": "Long Island University Sharks", "efficiency_gap": 0.0, "elo_away": 1337.5, "elo_home": 1337.5, "elo_home_win_prob": 0.5925, "event_id": "401867909", "game_start_utc": "2026-09-26T22:00Z", "home_field_advantage_points": 2.8, "home_team": "Florida International Panthers", "is_dome": false, "is_fbs_vs_fcs": false, "is_neutral_site": false, "projected_away_points": 25.1, "projected_home_points": 27.7, "projected_margin_home": 2.7,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25.1, "mu_home": 27.7,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40086714776990637863863684876596954931}, "uinteger": 0}, "spread_home_line": -37.5, "total_line": 54.5}, "market_type": "spread", "model_version": "cfb-spread-v1", "observed_at_utc": "2026-09-26T15:01:01.506546+00:00", "probabilities": {"away": 0.944733, "home": 0.055267, "push": 0.0}, "replay_scope": "Full precision score means, exact engine parameters and original RNG state; upstream feature construction not certified.", "schema": "cfb-joint-replay-v1", "snapshot_hash": "3dfdab402b544f10279697c1bcd57c323e9094eeac2030a4aa145c6df1f6d9d4", "sport": "NCAAF"}</t>
        </is>
      </c>
    </row>
    <row r="580" ht="36" customHeight="1">
      <c r="A580" s="24" t="inlineStr">
        <is>
          <t>20b93f56524c45d0</t>
        </is>
      </c>
      <c r="B580" s="24" t="inlineStr">
        <is>
          <t>2026-09-26T15:01:01.506546Z</t>
        </is>
      </c>
      <c r="C580" s="24" t="inlineStr">
        <is>
          <t>2026-09-26T22:00Z</t>
        </is>
      </c>
      <c r="D580" s="24" t="inlineStr">
        <is>
          <t>401867909</t>
        </is>
      </c>
      <c r="E580" s="24" t="inlineStr">
        <is>
          <t>NCAAF</t>
        </is>
      </c>
      <c r="F580" s="24" t="inlineStr">
        <is>
          <t>Long Island University Sharks</t>
        </is>
      </c>
      <c r="G580" s="24" t="inlineStr">
        <is>
          <t>Florida International Panthers</t>
        </is>
      </c>
      <c r="H580" s="24" t="inlineStr">
        <is>
          <t>total</t>
        </is>
      </c>
      <c r="I580" s="24" t="inlineStr">
        <is>
          <t>under</t>
        </is>
      </c>
      <c r="J580" s="25" t="n">
        <v>54.5</v>
      </c>
      <c r="K580" s="24" t="inlineStr">
        <is>
          <t>espn_consensus</t>
        </is>
      </c>
      <c r="L580" s="26" t="n">
        <v>-115</v>
      </c>
      <c r="M580" s="27" t="n">
        <v>1.869565</v>
      </c>
      <c r="N580" s="28" t="n">
        <v>0.534884</v>
      </c>
      <c r="O580" s="28" t="n">
        <v>0.5614</v>
      </c>
      <c r="P580" s="28" t="n">
        <v>0.18</v>
      </c>
      <c r="Q580" s="28" t="n">
        <v>0.026516</v>
      </c>
      <c r="R580" s="26" t="n">
        <v>0</v>
      </c>
      <c r="S580" s="29" t="n">
        <v>1</v>
      </c>
      <c r="T580" s="24" t="inlineStr">
        <is>
          <t>cfb-total-v1</t>
        </is>
      </c>
      <c r="U580" s="24" t="inlineStr">
        <is>
          <t>settled</t>
        </is>
      </c>
      <c r="V580" s="24" t="inlineStr">
        <is>
          <t>win</t>
        </is>
      </c>
      <c r="W580" s="26" t="n">
        <v>3</v>
      </c>
      <c r="X580" s="26" t="n">
        <v>20</v>
      </c>
      <c r="Y580" s="25" t="n"/>
      <c r="Z580" s="26" t="n"/>
      <c r="AA580" s="28" t="n"/>
      <c r="AB580" s="28" t="n"/>
      <c r="AC580" s="30" t="n">
        <v>0.8696</v>
      </c>
      <c r="AD580" s="24" t="inlineStr">
        <is>
          <t>2026-09-27T04:31:04.520937Z</t>
        </is>
      </c>
      <c r="AE580" s="31" t="inlineStr">
        <is>
          <t>Projected total 52.8 pts (Weather adj: +0.0 pts). Total line 54.5 -&gt; P(Over)=0.439, P(Under)=0.561, P(Push)=0.000.</t>
        </is>
      </c>
      <c r="AF580" s="31" t="inlineStr">
        <is>
          <t>College football model; multi-market (moneyline, spread, total).</t>
        </is>
      </c>
      <c r="AG580" s="24" t="inlineStr">
        <is>
          <t>not_applicable</t>
        </is>
      </c>
      <c r="AH580" s="24" t="n"/>
      <c r="AI580" s="31" t="n"/>
      <c r="AJ580" s="31" t="n"/>
      <c r="AK580" s="24" t="inlineStr">
        <is>
          <t>paper_call</t>
        </is>
      </c>
      <c r="AL580" s="26" t="n">
        <v>4</v>
      </c>
      <c r="AM580" s="24" t="inlineStr">
        <is>
          <t>RESEARCH_OBSERVATION</t>
        </is>
      </c>
      <c r="AN580" s="24" t="inlineStr">
        <is>
          <t>CALL</t>
        </is>
      </c>
      <c r="AO580" s="24" t="inlineStr">
        <is>
          <t>PAPER_CALL_LOW_EDGE</t>
        </is>
      </c>
      <c r="AP580" s="24" t="inlineStr">
        <is>
          <t>Long Island University Sharks</t>
        </is>
      </c>
      <c r="AQ580" s="24" t="inlineStr">
        <is>
          <t>Long Island University Sharks</t>
        </is>
      </c>
      <c r="AR580" s="24" t="inlineStr">
        <is>
          <t>Long Island University Sharks</t>
        </is>
      </c>
      <c r="AS580" s="24" t="inlineStr">
        <is>
          <t>Florida International Panthers</t>
        </is>
      </c>
      <c r="AT580" s="24" t="inlineStr">
        <is>
          <t>Florida International Panthers</t>
        </is>
      </c>
      <c r="AU580" s="24" t="inlineStr">
        <is>
          <t>Florida International Panthers</t>
        </is>
      </c>
      <c r="AV580" s="24" t="n"/>
      <c r="AW580" s="24" t="n"/>
      <c r="AX580" s="24" t="inlineStr">
        <is>
          <t>statistical_model</t>
        </is>
      </c>
      <c r="AY580" s="24" t="n"/>
      <c r="AZ580" s="24" t="inlineStr">
        <is>
          <t>shadow_qualified</t>
        </is>
      </c>
      <c r="BA580" s="24" t="inlineStr">
        <is>
          <t>1d168f11d221cd3c</t>
        </is>
      </c>
      <c r="BB580" s="24" t="inlineStr">
        <is>
          <t>cfb_key_number_engine</t>
        </is>
      </c>
      <c r="BC580" s="24" t="inlineStr">
        <is>
          <t>cfb-total-v1</t>
        </is>
      </c>
      <c r="BD580" s="24" t="inlineStr">
        <is>
          <t>1d168f11d221cd3c</t>
        </is>
      </c>
      <c r="BE580" s="24" t="inlineStr">
        <is>
          <t>cfb-v1</t>
        </is>
      </c>
      <c r="BF580" s="24" t="inlineStr">
        <is>
          <t>1</t>
        </is>
      </c>
      <c r="BG580" s="24" t="inlineStr">
        <is>
          <t>1d168f11d221cd3c</t>
        </is>
      </c>
      <c r="BH580" s="24" t="inlineStr">
        <is>
          <t>2026-09-26T15:01:01.506546+00:00</t>
        </is>
      </c>
      <c r="BI580" s="24" t="inlineStr">
        <is>
          <t>["same_event","same_team_same_day","same_league_same_day"]</t>
        </is>
      </c>
      <c r="BJ580" s="25" t="n">
        <v>54.5</v>
      </c>
      <c r="BK580" s="26" t="n">
        <v>-115</v>
      </c>
      <c r="BL580" s="27" t="n">
        <v>1.869565</v>
      </c>
      <c r="BM580" s="28" t="n">
        <v>0.534884</v>
      </c>
      <c r="BN580" s="28" t="n"/>
      <c r="BO580" s="28" t="n"/>
      <c r="BP580" s="25" t="n"/>
      <c r="BQ580" s="27" t="n"/>
      <c r="BR580" s="28" t="n"/>
      <c r="BS580" s="28" t="n"/>
      <c r="BT580" s="28" t="n"/>
      <c r="BU580" s="25" t="n"/>
      <c r="BV580" s="29" t="n"/>
      <c r="BW580" s="24" t="n"/>
      <c r="BX580" s="30" t="n">
        <v>1</v>
      </c>
      <c r="BY580" s="27" t="n">
        <v>0.869565</v>
      </c>
      <c r="BZ580" s="24" t="inlineStr">
        <is>
          <t>2026-09-27T04:31:04.520937Z</t>
        </is>
      </c>
      <c r="CA580" s="31" t="inlineStr">
        <is>
          <t>fixed one-unit hypothetical scoring; no real exposure or execution</t>
        </is>
      </c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inlineStr">
        <is>
          <t>True</t>
        </is>
      </c>
      <c r="CT580" s="24" t="n"/>
      <c r="CU580" s="24" t="n"/>
      <c r="CV580" s="24" t="n"/>
      <c r="CW580" s="24" t="n"/>
      <c r="CX580" s="24" t="n"/>
      <c r="CY580" s="24" t="n"/>
      <c r="CZ580" s="24" t="n"/>
      <c r="DA580" s="24" t="n"/>
      <c r="DB580" s="24" t="n"/>
      <c r="DC580" s="24" t="n"/>
      <c r="DD580" s="24" t="n"/>
      <c r="DE580" s="24" t="n"/>
      <c r="DF580" s="24" t="n"/>
      <c r="DG580" s="24" t="n"/>
      <c r="DH580" s="24" t="n"/>
      <c r="DI580" s="24" t="n"/>
      <c r="DJ580" s="24" t="inlineStr">
        <is>
          <t>0.534884</t>
        </is>
      </c>
      <c r="DK580" s="24" t="n"/>
      <c r="DL580" s="24" t="n"/>
      <c r="DM580" s="24" t="n"/>
      <c r="DN580" s="24" t="n"/>
      <c r="DO580" s="24" t="n"/>
      <c r="DP580" s="24" t="n"/>
      <c r="DQ580" s="24" t="inlineStr">
        <is>
          <t>{"artifact_hash": "1d168f11d221cd3c", "event_id": "401867909", "event_start_utc": "2026-09-26T22:00Z", "features": {"altitude_fatigue_penalty": 0.0, "away_team": "Long Island University Sharks", "efficiency_gap": 0.0, "elo_away": 1337.5, "elo_home": 1337.5, "elo_home_win_prob": 0.5925, "event_id": "401867909", "game_start_utc": "2026-09-26T22:00Z", "home_field_advantage_points": 2.8, "home_team": "Florida International Panthers", "is_dome": false, "is_fbs_vs_fcs": false, "is_neutral_site": false, "projected_away_points": 25.1, "projected_home_points": 27.7, "projected_margin_home": 2.7, "projected_possessions": 12.4, "projected_total": 52.8,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25.1, "mu_home": 27.7,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40086714776990637863863684876596954931}, "uinteger": 0}, "spread_home_line": -37.5, "total_line": 54.5}, "market_type": "total", "model_version": "cfb-total-v1", "observed_at_utc": "2026-09-26T15:01:01.506546+00:00", "probabilities": {"over": 0.4386, "push": 0.0, "under": 0.5614}, "replay_scope": "Full precision score means, exact engine parameters and original RNG state; upstream feature construction not certified.", "schema": "cfb-joint-replay-v1", "snapshot_hash": "f9a3f747ccc7f5029988362801f7bdb25917f72a60c124d8e14775887ad2182c", "sport": "NCAAF"}</t>
        </is>
      </c>
    </row>
    <row r="581" ht="36" customHeight="1">
      <c r="A581" s="24" t="inlineStr">
        <is>
          <t>1fae191f66db495d</t>
        </is>
      </c>
      <c r="B581" s="24" t="inlineStr">
        <is>
          <t>2026-09-26T15:01:01.506546Z</t>
        </is>
      </c>
      <c r="C581" s="24" t="inlineStr">
        <is>
          <t>2026-09-26T22:00Z</t>
        </is>
      </c>
      <c r="D581" s="24" t="inlineStr">
        <is>
          <t>401869961</t>
        </is>
      </c>
      <c r="E581" s="24" t="inlineStr">
        <is>
          <t>NCAAF</t>
        </is>
      </c>
      <c r="F581" s="24" t="inlineStr">
        <is>
          <t>James Madison Dukes</t>
        </is>
      </c>
      <c r="G581" s="24" t="inlineStr">
        <is>
          <t>Old Dominion Monarchs</t>
        </is>
      </c>
      <c r="H581" s="24" t="inlineStr">
        <is>
          <t>moneyline</t>
        </is>
      </c>
      <c r="I581" s="24" t="inlineStr">
        <is>
          <t>home</t>
        </is>
      </c>
      <c r="J581" s="25" t="n"/>
      <c r="K581" s="24" t="inlineStr">
        <is>
          <t>espn_consensus</t>
        </is>
      </c>
      <c r="L581" s="26" t="n">
        <v>195</v>
      </c>
      <c r="M581" s="27" t="n">
        <v>2.95</v>
      </c>
      <c r="N581" s="28" t="n">
        <v>0.338983</v>
      </c>
      <c r="O581" s="28" t="n">
        <v>0.532861</v>
      </c>
      <c r="P581" s="28" t="n">
        <v>0.18</v>
      </c>
      <c r="Q581" s="28" t="n">
        <v>0.193878</v>
      </c>
      <c r="R581" s="26" t="n">
        <v>39</v>
      </c>
      <c r="S581" s="29" t="n">
        <v>1</v>
      </c>
      <c r="T581" s="24" t="inlineStr">
        <is>
          <t>college-football-v1</t>
        </is>
      </c>
      <c r="U581" s="24" t="inlineStr">
        <is>
          <t>settled</t>
        </is>
      </c>
      <c r="V581" s="24" t="inlineStr">
        <is>
          <t>loss</t>
        </is>
      </c>
      <c r="W581" s="26" t="n">
        <v>46</v>
      </c>
      <c r="X581" s="26" t="n">
        <v>20</v>
      </c>
      <c r="Y581" s="25" t="n"/>
      <c r="Z581" s="26" t="n"/>
      <c r="AA581" s="28" t="n"/>
      <c r="AB581" s="28" t="n"/>
      <c r="AC581" s="30" t="n">
        <v>-1</v>
      </c>
      <c r="AD581" s="24" t="inlineStr">
        <is>
          <t>2026-09-27T04:31:05.097374Z</t>
        </is>
      </c>
      <c r="AE581" s="31" t="inlineStr">
        <is>
          <t>CFB Joint Model (negative_binomial): proj score James Madison Dukes 25.6 @ Old Dominion Monarchs 27.5 (Margin +1.9). Possessions: 12.4, HFA: +2.8 pts.</t>
        </is>
      </c>
      <c r="AF581" s="31" t="inlineStr">
        <is>
          <t>College football model; multi-market (moneyline, spread, total).</t>
        </is>
      </c>
      <c r="AG581" s="24" t="inlineStr">
        <is>
          <t>review_required</t>
        </is>
      </c>
      <c r="AH581" s="24" t="n"/>
      <c r="AI581" s="31" t="n"/>
      <c r="AJ581" s="31" t="n"/>
      <c r="AK581" s="24" t="inlineStr">
        <is>
          <t>model_qualified</t>
        </is>
      </c>
      <c r="AL581" s="26" t="n">
        <v>4</v>
      </c>
      <c r="AM581" s="24" t="inlineStr">
        <is>
          <t>QUALIFIED_SHADOW_CALL</t>
        </is>
      </c>
      <c r="AN581" s="24" t="inlineStr">
        <is>
          <t>CALL</t>
        </is>
      </c>
      <c r="AO581" s="24" t="inlineStr">
        <is>
          <t>QUALIFIED</t>
        </is>
      </c>
      <c r="AP581" s="24" t="inlineStr">
        <is>
          <t>James Madison Dukes</t>
        </is>
      </c>
      <c r="AQ581" s="24" t="inlineStr">
        <is>
          <t>James Madison Dukes</t>
        </is>
      </c>
      <c r="AR581" s="24" t="inlineStr">
        <is>
          <t>James Madison Dukes</t>
        </is>
      </c>
      <c r="AS581" s="24" t="inlineStr">
        <is>
          <t>Old Dominion Monarchs</t>
        </is>
      </c>
      <c r="AT581" s="24" t="inlineStr">
        <is>
          <t>Old Dominion Monarchs</t>
        </is>
      </c>
      <c r="AU581" s="24" t="inlineStr">
        <is>
          <t>Old Dominion Monarchs</t>
        </is>
      </c>
      <c r="AV581" s="24" t="n"/>
      <c r="AW581" s="24" t="n"/>
      <c r="AX581" s="24" t="inlineStr">
        <is>
          <t>statistical_model</t>
        </is>
      </c>
      <c r="AY581" s="24" t="n"/>
      <c r="AZ581" s="24" t="inlineStr">
        <is>
          <t>shadow_qualified</t>
        </is>
      </c>
      <c r="BA581" s="24" t="inlineStr">
        <is>
          <t>1d168f11d221cd3c</t>
        </is>
      </c>
      <c r="BB581" s="24" t="inlineStr">
        <is>
          <t>cfb_key_number_engine</t>
        </is>
      </c>
      <c r="BC581" s="24" t="inlineStr">
        <is>
          <t>college-football-v1</t>
        </is>
      </c>
      <c r="BD581" s="24" t="inlineStr">
        <is>
          <t>1d168f11d221cd3c</t>
        </is>
      </c>
      <c r="BE581" s="24" t="inlineStr">
        <is>
          <t>cfb-v1</t>
        </is>
      </c>
      <c r="BF581" s="24" t="inlineStr">
        <is>
          <t>1</t>
        </is>
      </c>
      <c r="BG581" s="24" t="inlineStr">
        <is>
          <t>1d168f11d221cd3c</t>
        </is>
      </c>
      <c r="BH581" s="24" t="inlineStr">
        <is>
          <t>2026-09-26T15:01:01.506546+00:00</t>
        </is>
      </c>
      <c r="BI581" s="24" t="inlineStr">
        <is>
          <t>["same_event","same_team_same_day","same_league_same_day"]</t>
        </is>
      </c>
      <c r="BJ581" s="25" t="n"/>
      <c r="BK581" s="26" t="n">
        <v>195</v>
      </c>
      <c r="BL581" s="27" t="n">
        <v>2.95</v>
      </c>
      <c r="BM581" s="28" t="n">
        <v>0.338983</v>
      </c>
      <c r="BN581" s="28" t="n"/>
      <c r="BO581" s="28" t="n"/>
      <c r="BP581" s="25" t="n"/>
      <c r="BQ581" s="27" t="n"/>
      <c r="BR581" s="28" t="n"/>
      <c r="BS581" s="28" t="n"/>
      <c r="BT581" s="28" t="n"/>
      <c r="BU581" s="25" t="n"/>
      <c r="BV581" s="29" t="n"/>
      <c r="BW581" s="24" t="n"/>
      <c r="BX581" s="30" t="n"/>
      <c r="BY581" s="27" t="n"/>
      <c r="BZ581" s="24" t="n"/>
      <c r="CA581" s="31" t="n"/>
      <c r="CB581" s="24" t="n"/>
      <c r="CC581" s="24" t="n"/>
      <c r="CD581" s="24" t="n"/>
      <c r="CE581" s="24" t="n"/>
      <c r="CF581" s="24" t="n"/>
      <c r="CG581" s="24" t="n"/>
      <c r="CH581" s="24" t="n"/>
      <c r="CI581" s="24" t="n"/>
      <c r="CJ581" s="24" t="n"/>
      <c r="CK581" s="24" t="n"/>
      <c r="CL581" s="24" t="n"/>
      <c r="CM581" s="24" t="n"/>
      <c r="CN581" s="24" t="n"/>
      <c r="CO581" s="24" t="n"/>
      <c r="CP581" s="24" t="n"/>
      <c r="CQ581" s="24" t="n"/>
      <c r="CR581" s="24" t="n"/>
      <c r="CS581" s="24" t="inlineStr">
        <is>
          <t>True</t>
        </is>
      </c>
      <c r="CT581" s="24" t="n"/>
      <c r="CU581" s="24" t="n"/>
      <c r="CV581" s="24" t="n"/>
      <c r="CW581" s="24" t="n"/>
      <c r="CX581" s="24" t="n"/>
      <c r="CY581" s="24" t="n"/>
      <c r="CZ581" s="24" t="n"/>
      <c r="DA581" s="24" t="n"/>
      <c r="DB581" s="24" t="n"/>
      <c r="DC581" s="24" t="n"/>
      <c r="DD581" s="24" t="n"/>
      <c r="DE581" s="24" t="n"/>
      <c r="DF581" s="24" t="n"/>
      <c r="DG581" s="24" t="n"/>
      <c r="DH581" s="24" t="n"/>
      <c r="DI581" s="24" t="n"/>
      <c r="DJ581" s="24" t="inlineStr">
        <is>
          <t>0.338983</t>
        </is>
      </c>
      <c r="DK581" s="24" t="n"/>
      <c r="DL581" s="24" t="n"/>
      <c r="DM581" s="24" t="n"/>
      <c r="DN581" s="24" t="n"/>
      <c r="DO581" s="24" t="n"/>
      <c r="DP581" s="24" t="n"/>
      <c r="DQ581" s="24" t="inlineStr">
        <is>
          <t>{"artifact_hash": "1d168f11d221cd3c", "event_id": "401869961", "event_start_utc": "2026-09-26T22:00Z", "features": {"altitude_fatigue_penalty": 0.0, "away_team": "James Madison Dukes", "efficiency_gap": -0.387, "elo_away": 1774.4, "elo_home": 1756.4, "elo_home_win_prob": 0.5672, "event_id": "401869961", "game_start_utc": "2026-09-26T22:00Z", "home_field_advantage_points": 2.8, "home_team": "Old Dominion Monarchs", "is_dome": false, "is_fbs_vs_fcs": false, "is_neutral_site": false, "projected_away_points": 25.6, "projected_home_points": 27.5, "projected_margin_home": 1.9, "projected_possessions": 12.4, "projected_total": 53.1, "stadium_elevation_ft": 15, "travel_distance_miles": 176.0, "uncertainty": 0.18, "weather_total_adjustment": 0.0}, "historical_source_observation_times_verified": false, "inference_inputs": {"engine_source_sha256": "449ba2f0e86fa9c445730076a0e0bf100fb4914620be53c75c6f3bfe24298f3f", "mu_away": 25.6, "mu_home": 27.5,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11010038479524742096570590237761916143}, "uinteger": 0}, "spread_home_line": 6.5, "total_line": 42.5}, "market_type": "moneyline", "model_version": "college-football-v1", "observed_at_utc": "2026-09-26T15:01:01.506546+00:00", "probabilities": {"away": 0.467139, "home": 0.532861}, "replay_scope": "Full precision score means, exact engine parameters and original RNG state; upstream feature construction not certified.", "schema": "cfb-joint-replay-v1", "snapshot_hash": "73c6c098e6cf3d46dd62bab1c2fcebb8949344996d65ba48fc316754d1440bdf", "sport": "NCAAF"}</t>
        </is>
      </c>
    </row>
    <row r="582" ht="36" customHeight="1">
      <c r="A582" s="24" t="inlineStr">
        <is>
          <t>a156d13594544836</t>
        </is>
      </c>
      <c r="B582" s="24" t="inlineStr">
        <is>
          <t>2026-09-26T15:01:01.506546Z</t>
        </is>
      </c>
      <c r="C582" s="24" t="inlineStr">
        <is>
          <t>2026-09-26T22:00Z</t>
        </is>
      </c>
      <c r="D582" s="24" t="inlineStr">
        <is>
          <t>401869961</t>
        </is>
      </c>
      <c r="E582" s="24" t="inlineStr">
        <is>
          <t>NCAAF</t>
        </is>
      </c>
      <c r="F582" s="24" t="inlineStr">
        <is>
          <t>James Madison Dukes</t>
        </is>
      </c>
      <c r="G582" s="24" t="inlineStr">
        <is>
          <t>Old Dominion Monarchs</t>
        </is>
      </c>
      <c r="H582" s="24" t="inlineStr">
        <is>
          <t>spread</t>
        </is>
      </c>
      <c r="I582" s="24" t="inlineStr">
        <is>
          <t>home</t>
        </is>
      </c>
      <c r="J582" s="25" t="n">
        <v>6.5</v>
      </c>
      <c r="K582" s="24" t="inlineStr">
        <is>
          <t>espn_consensus</t>
        </is>
      </c>
      <c r="L582" s="26" t="n">
        <v>-110</v>
      </c>
      <c r="M582" s="27" t="n">
        <v>1.909091</v>
      </c>
      <c r="N582" s="28" t="n">
        <v>0.52381</v>
      </c>
      <c r="O582" s="28" t="n">
        <v>0.668867</v>
      </c>
      <c r="P582" s="28" t="n">
        <v>0.18</v>
      </c>
      <c r="Q582" s="28" t="n">
        <v>0.145057</v>
      </c>
      <c r="R582" s="26" t="n">
        <v>15</v>
      </c>
      <c r="S582" s="29" t="n">
        <v>1</v>
      </c>
      <c r="T582" s="24" t="inlineStr">
        <is>
          <t>cfb-spread-v1</t>
        </is>
      </c>
      <c r="U582" s="24" t="inlineStr">
        <is>
          <t>settled</t>
        </is>
      </c>
      <c r="V582" s="24" t="inlineStr">
        <is>
          <t>loss</t>
        </is>
      </c>
      <c r="W582" s="26" t="n">
        <v>46</v>
      </c>
      <c r="X582" s="26" t="n">
        <v>20</v>
      </c>
      <c r="Y582" s="25" t="n"/>
      <c r="Z582" s="26" t="n"/>
      <c r="AA582" s="28" t="n"/>
      <c r="AB582" s="28" t="n"/>
      <c r="AC582" s="30" t="n">
        <v>-1</v>
      </c>
      <c r="AD582" s="24" t="inlineStr">
        <is>
          <t>2026-09-27T04:31:05.607972Z</t>
        </is>
      </c>
      <c r="AE582" s="31" t="inlineStr">
        <is>
          <t>Projected home margin +1.9 pts. Spread: Home +6.5 / Away -6.5 -&gt; P(Away cover)=0.331, P(Home cover)=0.669, P(Push)=0.000.</t>
        </is>
      </c>
      <c r="AF582" s="31" t="inlineStr">
        <is>
          <t>College football model; multi-market (moneyline, spread, total).</t>
        </is>
      </c>
      <c r="AG582" s="24" t="inlineStr">
        <is>
          <t>review_required</t>
        </is>
      </c>
      <c r="AH582" s="24" t="n"/>
      <c r="AI582" s="31" t="n"/>
      <c r="AJ582" s="31" t="n"/>
      <c r="AK582" s="24" t="inlineStr">
        <is>
          <t>model_qualified</t>
        </is>
      </c>
      <c r="AL582" s="26" t="n">
        <v>4</v>
      </c>
      <c r="AM582" s="24" t="inlineStr">
        <is>
          <t>QUALIFIED_SHADOW_CALL</t>
        </is>
      </c>
      <c r="AN582" s="24" t="inlineStr">
        <is>
          <t>CALL</t>
        </is>
      </c>
      <c r="AO582" s="24" t="inlineStr">
        <is>
          <t>QUALIFIED</t>
        </is>
      </c>
      <c r="AP582" s="24" t="inlineStr">
        <is>
          <t>James Madison Dukes</t>
        </is>
      </c>
      <c r="AQ582" s="24" t="inlineStr">
        <is>
          <t>James Madison Dukes</t>
        </is>
      </c>
      <c r="AR582" s="24" t="inlineStr">
        <is>
          <t>James Madison Dukes</t>
        </is>
      </c>
      <c r="AS582" s="24" t="inlineStr">
        <is>
          <t>Old Dominion Monarchs</t>
        </is>
      </c>
      <c r="AT582" s="24" t="inlineStr">
        <is>
          <t>Old Dominion Monarchs</t>
        </is>
      </c>
      <c r="AU582" s="24" t="inlineStr">
        <is>
          <t>Old Dominion Monarchs</t>
        </is>
      </c>
      <c r="AV582" s="24" t="n"/>
      <c r="AW582" s="24" t="n"/>
      <c r="AX582" s="24" t="inlineStr">
        <is>
          <t>statistical_model</t>
        </is>
      </c>
      <c r="AY582" s="24" t="n"/>
      <c r="AZ582" s="24" t="inlineStr">
        <is>
          <t>shadow_qualified</t>
        </is>
      </c>
      <c r="BA582" s="24" t="inlineStr">
        <is>
          <t>1d168f11d221cd3c</t>
        </is>
      </c>
      <c r="BB582" s="24" t="inlineStr">
        <is>
          <t>cfb_key_number_engine</t>
        </is>
      </c>
      <c r="BC582" s="24" t="inlineStr">
        <is>
          <t>cfb-spread-v1</t>
        </is>
      </c>
      <c r="BD582" s="24" t="inlineStr">
        <is>
          <t>1d168f11d221cd3c</t>
        </is>
      </c>
      <c r="BE582" s="24" t="inlineStr">
        <is>
          <t>cfb-v1</t>
        </is>
      </c>
      <c r="BF582" s="24" t="inlineStr">
        <is>
          <t>1</t>
        </is>
      </c>
      <c r="BG582" s="24" t="inlineStr">
        <is>
          <t>1d168f11d221cd3c</t>
        </is>
      </c>
      <c r="BH582" s="24" t="inlineStr">
        <is>
          <t>2026-09-26T15:01:01.506546+00:00</t>
        </is>
      </c>
      <c r="BI582" s="24" t="inlineStr">
        <is>
          <t>["same_event","same_team_same_day","same_league_same_day"]</t>
        </is>
      </c>
      <c r="BJ582" s="25" t="n">
        <v>6.5</v>
      </c>
      <c r="BK582" s="26" t="n">
        <v>-110</v>
      </c>
      <c r="BL582" s="27" t="n">
        <v>1.909091</v>
      </c>
      <c r="BM582" s="28" t="n">
        <v>0.52381</v>
      </c>
      <c r="BN582" s="28" t="n"/>
      <c r="BO582" s="28" t="n"/>
      <c r="BP582" s="25" t="n"/>
      <c r="BQ582" s="27" t="n"/>
      <c r="BR582" s="28" t="n"/>
      <c r="BS582" s="28" t="n"/>
      <c r="BT582" s="28" t="n"/>
      <c r="BU582" s="25" t="n"/>
      <c r="BV582" s="29" t="n"/>
      <c r="BW582" s="24" t="n"/>
      <c r="BX582" s="30" t="n"/>
      <c r="BY582" s="27" t="n"/>
      <c r="BZ582" s="24" t="n"/>
      <c r="CA582" s="31" t="n"/>
      <c r="CB582" s="24" t="n"/>
      <c r="CC582" s="24" t="n"/>
      <c r="CD582" s="24" t="n"/>
      <c r="CE582" s="24" t="n"/>
      <c r="CF582" s="24" t="n"/>
      <c r="CG582" s="24" t="n"/>
      <c r="CH582" s="24" t="n"/>
      <c r="CI582" s="24" t="n"/>
      <c r="CJ582" s="24" t="n"/>
      <c r="CK582" s="24" t="n"/>
      <c r="CL582" s="24" t="n"/>
      <c r="CM582" s="24" t="n"/>
      <c r="CN582" s="24" t="n"/>
      <c r="CO582" s="24" t="n"/>
      <c r="CP582" s="24" t="n"/>
      <c r="CQ582" s="24" t="n"/>
      <c r="CR582" s="24" t="n"/>
      <c r="CS582" s="24" t="inlineStr">
        <is>
          <t>True</t>
        </is>
      </c>
      <c r="CT582" s="24" t="n"/>
      <c r="CU582" s="24" t="n"/>
      <c r="CV582" s="24" t="n"/>
      <c r="CW582" s="24" t="n"/>
      <c r="CX582" s="24" t="n"/>
      <c r="CY582" s="24" t="n"/>
      <c r="CZ582" s="24" t="n"/>
      <c r="DA582" s="24" t="n"/>
      <c r="DB582" s="24" t="n"/>
      <c r="DC582" s="24" t="n"/>
      <c r="DD582" s="24" t="n"/>
      <c r="DE582" s="24" t="n"/>
      <c r="DF582" s="24" t="n"/>
      <c r="DG582" s="24" t="n"/>
      <c r="DH582" s="24" t="n"/>
      <c r="DI582" s="24" t="n"/>
      <c r="DJ582" s="24" t="inlineStr">
        <is>
          <t>0.52381</t>
        </is>
      </c>
      <c r="DK582" s="24" t="n"/>
      <c r="DL582" s="24" t="n"/>
      <c r="DM582" s="24" t="n"/>
      <c r="DN582" s="24" t="n"/>
      <c r="DO582" s="24" t="n"/>
      <c r="DP582" s="24" t="n"/>
      <c r="DQ582" s="24" t="inlineStr">
        <is>
          <t>{"artifact_hash": "1d168f11d221cd3c", "event_id": "401869961", "event_start_utc": "2026-09-26T22:00Z", "features": {"altitude_fatigue_penalty": 0.0, "away_team": "James Madison Dukes", "efficiency_gap": -0.387, "elo_away": 1774.4, "elo_home": 1756.4, "elo_home_win_prob": 0.5672, "event_id": "401869961", "game_start_utc": "2026-09-26T22:00Z", "home_field_advantage_points": 2.8, "home_team": "Old Dominion Monarchs", "is_dome": false, "is_fbs_vs_fcs": false, "is_neutral_site": false, "projected_away_points": 25.6, "projected_home_points": 27.5, "projected_margin_home": 1.9, "projected_possessions": 12.4, "projected_total": 53.1, "stadium_elevation_ft": 15, "travel_distance_miles": 176.0, "uncertainty": 0.18, "weather_total_adjustment": 0.0}, "historical_source_observation_times_verified": false, "inference_inputs": {"engine_source_sha256": "449ba2f0e86fa9c445730076a0e0bf100fb4914620be53c75c6f3bfe24298f3f", "mu_away": 25.6, "mu_home": 27.5,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11010038479524742096570590237761916143}, "uinteger": 0}, "spread_home_line": 6.5, "total_line": 42.5}, "market_type": "spread", "model_version": "cfb-spread-v1", "observed_at_utc": "2026-09-26T15:01:01.506546+00:00", "probabilities": {"away": 0.331133, "home": 0.668867, "push": 0.0}, "replay_scope": "Full precision score means, exact engine parameters and original RNG state; upstream feature construction not certified.", "schema": "cfb-joint-replay-v1", "snapshot_hash": "d4f7608cd87588b2e45722f3c866f020b8a94ea0b11af96d98a6354810c6acef", "sport": "NCAAF"}</t>
        </is>
      </c>
    </row>
    <row r="583" ht="36" customHeight="1">
      <c r="A583" s="24" t="inlineStr">
        <is>
          <t>fa805b2c69bc42c4</t>
        </is>
      </c>
      <c r="B583" s="24" t="inlineStr">
        <is>
          <t>2026-09-26T15:01:01.506546Z</t>
        </is>
      </c>
      <c r="C583" s="24" t="inlineStr">
        <is>
          <t>2026-09-26T22:00Z</t>
        </is>
      </c>
      <c r="D583" s="24" t="inlineStr">
        <is>
          <t>401869961</t>
        </is>
      </c>
      <c r="E583" s="24" t="inlineStr">
        <is>
          <t>NCAAF</t>
        </is>
      </c>
      <c r="F583" s="24" t="inlineStr">
        <is>
          <t>James Madison Dukes</t>
        </is>
      </c>
      <c r="G583" s="24" t="inlineStr">
        <is>
          <t>Old Dominion Monarchs</t>
        </is>
      </c>
      <c r="H583" s="24" t="inlineStr">
        <is>
          <t>total</t>
        </is>
      </c>
      <c r="I583" s="24" t="inlineStr">
        <is>
          <t>over</t>
        </is>
      </c>
      <c r="J583" s="25" t="n">
        <v>42.5</v>
      </c>
      <c r="K583" s="24" t="inlineStr">
        <is>
          <t>espn_consensus</t>
        </is>
      </c>
      <c r="L583" s="26" t="n">
        <v>-115</v>
      </c>
      <c r="M583" s="27" t="n">
        <v>1.869565</v>
      </c>
      <c r="N583" s="28" t="n">
        <v>0.534884</v>
      </c>
      <c r="O583" s="28" t="n">
        <v>0.637267</v>
      </c>
      <c r="P583" s="28" t="n">
        <v>0.18</v>
      </c>
      <c r="Q583" s="28" t="n">
        <v>0.102383</v>
      </c>
      <c r="R583" s="26" t="n">
        <v>0</v>
      </c>
      <c r="S583" s="29" t="n">
        <v>1</v>
      </c>
      <c r="T583" s="24" t="inlineStr">
        <is>
          <t>cfb-total-v1</t>
        </is>
      </c>
      <c r="U583" s="24" t="inlineStr">
        <is>
          <t>settled</t>
        </is>
      </c>
      <c r="V583" s="24" t="inlineStr">
        <is>
          <t>win</t>
        </is>
      </c>
      <c r="W583" s="26" t="n">
        <v>46</v>
      </c>
      <c r="X583" s="26" t="n">
        <v>20</v>
      </c>
      <c r="Y583" s="25" t="n"/>
      <c r="Z583" s="26" t="n"/>
      <c r="AA583" s="28" t="n"/>
      <c r="AB583" s="28" t="n"/>
      <c r="AC583" s="30" t="n">
        <v>0.8696</v>
      </c>
      <c r="AD583" s="24" t="inlineStr">
        <is>
          <t>2026-09-27T04:31:06.240002Z</t>
        </is>
      </c>
      <c r="AE583" s="31" t="inlineStr">
        <is>
          <t>Projected total 53.1 pts (Weather adj: +0.0 pts). Total line 42.5 -&gt; P(Over)=0.637, P(Under)=0.363, P(Push)=0.000.</t>
        </is>
      </c>
      <c r="AF583" s="31" t="inlineStr">
        <is>
          <t>College football model; multi-market (moneyline, spread, total).</t>
        </is>
      </c>
      <c r="AG583" s="24" t="inlineStr">
        <is>
          <t>not_applicable</t>
        </is>
      </c>
      <c r="AH583" s="24" t="n"/>
      <c r="AI583" s="31" t="n"/>
      <c r="AJ583" s="31" t="n"/>
      <c r="AK583" s="24" t="inlineStr">
        <is>
          <t>model_qualified</t>
        </is>
      </c>
      <c r="AL583" s="26" t="n">
        <v>4</v>
      </c>
      <c r="AM583" s="24" t="inlineStr">
        <is>
          <t>QUALIFIED_SHADOW_CALL</t>
        </is>
      </c>
      <c r="AN583" s="24" t="inlineStr">
        <is>
          <t>CALL</t>
        </is>
      </c>
      <c r="AO583" s="24" t="inlineStr">
        <is>
          <t>QUALIFIED</t>
        </is>
      </c>
      <c r="AP583" s="24" t="inlineStr">
        <is>
          <t>James Madison Dukes</t>
        </is>
      </c>
      <c r="AQ583" s="24" t="inlineStr">
        <is>
          <t>James Madison Dukes</t>
        </is>
      </c>
      <c r="AR583" s="24" t="inlineStr">
        <is>
          <t>James Madison Dukes</t>
        </is>
      </c>
      <c r="AS583" s="24" t="inlineStr">
        <is>
          <t>Old Dominion Monarchs</t>
        </is>
      </c>
      <c r="AT583" s="24" t="inlineStr">
        <is>
          <t>Old Dominion Monarchs</t>
        </is>
      </c>
      <c r="AU583" s="24" t="inlineStr">
        <is>
          <t>Old Dominion Monarchs</t>
        </is>
      </c>
      <c r="AV583" s="24" t="n"/>
      <c r="AW583" s="24" t="n"/>
      <c r="AX583" s="24" t="inlineStr">
        <is>
          <t>statistical_model</t>
        </is>
      </c>
      <c r="AY583" s="24" t="n"/>
      <c r="AZ583" s="24" t="inlineStr">
        <is>
          <t>shadow_qualified</t>
        </is>
      </c>
      <c r="BA583" s="24" t="inlineStr">
        <is>
          <t>1d168f11d221cd3c</t>
        </is>
      </c>
      <c r="BB583" s="24" t="inlineStr">
        <is>
          <t>cfb_key_number_engine</t>
        </is>
      </c>
      <c r="BC583" s="24" t="inlineStr">
        <is>
          <t>cfb-total-v1</t>
        </is>
      </c>
      <c r="BD583" s="24" t="inlineStr">
        <is>
          <t>1d168f11d221cd3c</t>
        </is>
      </c>
      <c r="BE583" s="24" t="inlineStr">
        <is>
          <t>cfb-v1</t>
        </is>
      </c>
      <c r="BF583" s="24" t="inlineStr">
        <is>
          <t>1</t>
        </is>
      </c>
      <c r="BG583" s="24" t="inlineStr">
        <is>
          <t>1d168f11d221cd3c</t>
        </is>
      </c>
      <c r="BH583" s="24" t="inlineStr">
        <is>
          <t>2026-09-26T15:01:01.506546+00:00</t>
        </is>
      </c>
      <c r="BI583" s="24" t="inlineStr">
        <is>
          <t>["same_event","same_team_same_day","same_league_same_day"]</t>
        </is>
      </c>
      <c r="BJ583" s="25" t="n">
        <v>42.5</v>
      </c>
      <c r="BK583" s="26" t="n">
        <v>-115</v>
      </c>
      <c r="BL583" s="27" t="n">
        <v>1.869565</v>
      </c>
      <c r="BM583" s="28" t="n">
        <v>0.534884</v>
      </c>
      <c r="BN583" s="28" t="n"/>
      <c r="BO583" s="28" t="n"/>
      <c r="BP583" s="25" t="n"/>
      <c r="BQ583" s="27" t="n"/>
      <c r="BR583" s="28" t="n"/>
      <c r="BS583" s="28" t="n"/>
      <c r="BT583" s="28" t="n"/>
      <c r="BU583" s="25" t="n"/>
      <c r="BV583" s="29" t="n"/>
      <c r="BW583" s="24" t="n"/>
      <c r="BX583" s="30" t="n"/>
      <c r="BY583" s="27" t="n"/>
      <c r="BZ583" s="24" t="n"/>
      <c r="CA583" s="31" t="n"/>
      <c r="CB583" s="24" t="n"/>
      <c r="CC583" s="24" t="n"/>
      <c r="CD583" s="24" t="n"/>
      <c r="CE583" s="24" t="n"/>
      <c r="CF583" s="24" t="n"/>
      <c r="CG583" s="24" t="n"/>
      <c r="CH583" s="24" t="n"/>
      <c r="CI583" s="24" t="n"/>
      <c r="CJ583" s="24" t="n"/>
      <c r="CK583" s="24" t="n"/>
      <c r="CL583" s="24" t="n"/>
      <c r="CM583" s="24" t="n"/>
      <c r="CN583" s="24" t="n"/>
      <c r="CO583" s="24" t="n"/>
      <c r="CP583" s="24" t="n"/>
      <c r="CQ583" s="24" t="n"/>
      <c r="CR583" s="24" t="n"/>
      <c r="CS583" s="24" t="inlineStr">
        <is>
          <t>True</t>
        </is>
      </c>
      <c r="CT583" s="24" t="n"/>
      <c r="CU583" s="24" t="n"/>
      <c r="CV583" s="24" t="n"/>
      <c r="CW583" s="24" t="n"/>
      <c r="CX583" s="24" t="n"/>
      <c r="CY583" s="24" t="n"/>
      <c r="CZ583" s="24" t="n"/>
      <c r="DA583" s="24" t="n"/>
      <c r="DB583" s="24" t="n"/>
      <c r="DC583" s="24" t="n"/>
      <c r="DD583" s="24" t="n"/>
      <c r="DE583" s="24" t="n"/>
      <c r="DF583" s="24" t="n"/>
      <c r="DG583" s="24" t="n"/>
      <c r="DH583" s="24" t="n"/>
      <c r="DI583" s="24" t="n"/>
      <c r="DJ583" s="24" t="inlineStr">
        <is>
          <t>0.534884</t>
        </is>
      </c>
      <c r="DK583" s="24" t="n"/>
      <c r="DL583" s="24" t="n"/>
      <c r="DM583" s="24" t="n"/>
      <c r="DN583" s="24" t="n"/>
      <c r="DO583" s="24" t="n"/>
      <c r="DP583" s="24" t="n"/>
      <c r="DQ583" s="24" t="inlineStr">
        <is>
          <t>{"artifact_hash": "1d168f11d221cd3c", "event_id": "401869961", "event_start_utc": "2026-09-26T22:00Z", "features": {"altitude_fatigue_penalty": 0.0, "away_team": "James Madison Dukes", "efficiency_gap": -0.387, "elo_away": 1774.4, "elo_home": 1756.4, "elo_home_win_prob": 0.5672, "event_id": "401869961", "game_start_utc": "2026-09-26T22:00Z", "home_field_advantage_points": 2.8, "home_team": "Old Dominion Monarchs", "is_dome": false, "is_fbs_vs_fcs": false, "is_neutral_site": false, "projected_away_points": 25.6, "projected_home_points": 27.5, "projected_margin_home": 1.9, "projected_possessions": 12.4, "projected_total": 53.1, "stadium_elevation_ft": 15, "travel_distance_miles": 176.0, "uncertainty": 0.18, "weather_total_adjustment": 0.0}, "historical_source_observation_times_verified": false, "inference_inputs": {"engine_source_sha256": "449ba2f0e86fa9c445730076a0e0bf100fb4914620be53c75c6f3bfe24298f3f", "mu_away": 25.6, "mu_home": 27.5,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11010038479524742096570590237761916143}, "uinteger": 0}, "spread_home_line": 6.5, "total_line": 42.5}, "market_type": "total", "model_version": "cfb-total-v1", "observed_at_utc": "2026-09-26T15:01:01.506546+00:00", "probabilities": {"over": 0.637267, "push": 0.0, "under": 0.362733}, "replay_scope": "Full precision score means, exact engine parameters and original RNG state; upstream feature construction not certified.", "schema": "cfb-joint-replay-v1", "snapshot_hash": "7c0d3e58b49147b5d917a28c36f6213c1a05d0df06352bbeaba4ac7c95721de3", "sport": "NCAAF"}</t>
        </is>
      </c>
    </row>
    <row r="584" ht="36" customHeight="1">
      <c r="A584" s="24" t="inlineStr">
        <is>
          <t>cb5c21f2799a45e7</t>
        </is>
      </c>
      <c r="B584" s="24" t="inlineStr">
        <is>
          <t>2026-09-26T15:01:01.506546Z</t>
        </is>
      </c>
      <c r="C584" s="24" t="inlineStr">
        <is>
          <t>2026-09-26T22:30Z</t>
        </is>
      </c>
      <c r="D584" s="24" t="inlineStr">
        <is>
          <t>401858238</t>
        </is>
      </c>
      <c r="E584" s="24" t="inlineStr">
        <is>
          <t>NCAAF</t>
        </is>
      </c>
      <c r="F584" s="24" t="inlineStr">
        <is>
          <t>Central Michigan Chippewas</t>
        </is>
      </c>
      <c r="G584" s="24" t="inlineStr">
        <is>
          <t>Miami Hurricanes</t>
        </is>
      </c>
      <c r="H584" s="24" t="inlineStr">
        <is>
          <t>spread</t>
        </is>
      </c>
      <c r="I584" s="24" t="inlineStr">
        <is>
          <t>away</t>
        </is>
      </c>
      <c r="J584" s="25" t="n">
        <v>41.5</v>
      </c>
      <c r="K584" s="24" t="inlineStr">
        <is>
          <t>espn_consensus</t>
        </is>
      </c>
      <c r="L584" s="26" t="n">
        <v>-108</v>
      </c>
      <c r="M584" s="27" t="n">
        <v>1.925926</v>
      </c>
      <c r="N584" s="28" t="n">
        <v>0.519231</v>
      </c>
      <c r="O584" s="28" t="n">
        <v>0.875667</v>
      </c>
      <c r="P584" s="28" t="n">
        <v>0.165</v>
      </c>
      <c r="Q584" s="28" t="n">
        <v>0.356436</v>
      </c>
      <c r="R584" s="26" t="n">
        <v>100</v>
      </c>
      <c r="S584" s="29" t="n">
        <v>2</v>
      </c>
      <c r="T584" s="24" t="inlineStr">
        <is>
          <t>cfb-spread-v1</t>
        </is>
      </c>
      <c r="U584" s="24" t="inlineStr">
        <is>
          <t>settled</t>
        </is>
      </c>
      <c r="V584" s="24" t="inlineStr">
        <is>
          <t>loss</t>
        </is>
      </c>
      <c r="W584" s="26" t="n">
        <v>3</v>
      </c>
      <c r="X584" s="26" t="n">
        <v>52</v>
      </c>
      <c r="Y584" s="25" t="n"/>
      <c r="Z584" s="26" t="n"/>
      <c r="AA584" s="28" t="n"/>
      <c r="AB584" s="28" t="n"/>
      <c r="AC584" s="30" t="n">
        <v>-2</v>
      </c>
      <c r="AD584" s="24" t="inlineStr">
        <is>
          <t>2026-09-27T04:31:06.830315Z</t>
        </is>
      </c>
      <c r="AE584" s="31" t="inlineStr">
        <is>
          <t>Projected home margin +20.7 pts. Spread: Home -41.5 / Away +41.5 -&gt; P(Away cover)=0.876, P(Home cover)=0.124, P(Push)=0.000.</t>
        </is>
      </c>
      <c r="AF584" s="31" t="inlineStr">
        <is>
          <t>College football model; multi-market (moneyline, spread, total).</t>
        </is>
      </c>
      <c r="AG584" s="24" t="inlineStr">
        <is>
          <t>review_required</t>
        </is>
      </c>
      <c r="AH584" s="24" t="n"/>
      <c r="AI584" s="31" t="n"/>
      <c r="AJ584" s="31" t="n"/>
      <c r="AK584" s="24" t="inlineStr">
        <is>
          <t>model_qualified</t>
        </is>
      </c>
      <c r="AL584" s="26" t="n">
        <v>4</v>
      </c>
      <c r="AM584" s="24" t="inlineStr">
        <is>
          <t>QUALIFIED_SHADOW_CALL</t>
        </is>
      </c>
      <c r="AN584" s="24" t="inlineStr">
        <is>
          <t>CALL</t>
        </is>
      </c>
      <c r="AO584" s="24" t="inlineStr">
        <is>
          <t>QUALIFIED</t>
        </is>
      </c>
      <c r="AP584" s="24" t="inlineStr">
        <is>
          <t>Central Michigan Chippewas</t>
        </is>
      </c>
      <c r="AQ584" s="24" t="inlineStr">
        <is>
          <t>Central Michigan Chippewas</t>
        </is>
      </c>
      <c r="AR584" s="24" t="inlineStr">
        <is>
          <t>Central Michigan Chippewas</t>
        </is>
      </c>
      <c r="AS584" s="24" t="inlineStr">
        <is>
          <t>Miami Hurricanes</t>
        </is>
      </c>
      <c r="AT584" s="24" t="inlineStr">
        <is>
          <t>Miami Hurricanes</t>
        </is>
      </c>
      <c r="AU584" s="24" t="inlineStr">
        <is>
          <t>Miami Hurricanes</t>
        </is>
      </c>
      <c r="AV584" s="24" t="n"/>
      <c r="AW584" s="24" t="n"/>
      <c r="AX584" s="24" t="inlineStr">
        <is>
          <t>statistical_model</t>
        </is>
      </c>
      <c r="AY584" s="24" t="n"/>
      <c r="AZ584" s="24" t="inlineStr">
        <is>
          <t>shadow_qualified</t>
        </is>
      </c>
      <c r="BA584" s="24" t="inlineStr">
        <is>
          <t>1d168f11d221cd3c</t>
        </is>
      </c>
      <c r="BB584" s="24" t="inlineStr">
        <is>
          <t>cfb_key_number_engine</t>
        </is>
      </c>
      <c r="BC584" s="24" t="inlineStr">
        <is>
          <t>cfb-spread-v1</t>
        </is>
      </c>
      <c r="BD584" s="24" t="inlineStr">
        <is>
          <t>1d168f11d221cd3c</t>
        </is>
      </c>
      <c r="BE584" s="24" t="inlineStr">
        <is>
          <t>cfb-v1</t>
        </is>
      </c>
      <c r="BF584" s="24" t="inlineStr">
        <is>
          <t>1</t>
        </is>
      </c>
      <c r="BG584" s="24" t="inlineStr">
        <is>
          <t>1d168f11d221cd3c</t>
        </is>
      </c>
      <c r="BH584" s="24" t="inlineStr">
        <is>
          <t>2026-09-26T15:01:01.506546+00:00</t>
        </is>
      </c>
      <c r="BI584" s="24" t="inlineStr">
        <is>
          <t>["same_event","same_team_same_day","same_league_same_day"]</t>
        </is>
      </c>
      <c r="BJ584" s="25" t="n">
        <v>41.5</v>
      </c>
      <c r="BK584" s="26" t="n">
        <v>-108</v>
      </c>
      <c r="BL584" s="27" t="n">
        <v>1.925926</v>
      </c>
      <c r="BM584" s="28" t="n">
        <v>0.519231</v>
      </c>
      <c r="BN584" s="28" t="n"/>
      <c r="BO584" s="28" t="n"/>
      <c r="BP584" s="25" t="n"/>
      <c r="BQ584" s="27" t="n"/>
      <c r="BR584" s="28" t="n"/>
      <c r="BS584" s="28" t="n"/>
      <c r="BT584" s="28" t="n"/>
      <c r="BU584" s="25" t="n"/>
      <c r="BV584" s="29" t="n"/>
      <c r="BW584" s="24" t="n"/>
      <c r="BX584" s="30" t="n"/>
      <c r="BY584" s="27" t="n"/>
      <c r="BZ584" s="24" t="n"/>
      <c r="CA584" s="31" t="n"/>
      <c r="CB584" s="24" t="n"/>
      <c r="CC584" s="24" t="n"/>
      <c r="CD584" s="24" t="n"/>
      <c r="CE584" s="24" t="n"/>
      <c r="CF584" s="24" t="n"/>
      <c r="CG584" s="24" t="n"/>
      <c r="CH584" s="24" t="n"/>
      <c r="CI584" s="24" t="n"/>
      <c r="CJ584" s="24" t="n"/>
      <c r="CK584" s="24" t="n"/>
      <c r="CL584" s="24" t="n"/>
      <c r="CM584" s="24" t="n"/>
      <c r="CN584" s="24" t="n"/>
      <c r="CO584" s="24" t="n"/>
      <c r="CP584" s="24" t="n"/>
      <c r="CQ584" s="24" t="n"/>
      <c r="CR584" s="24" t="n"/>
      <c r="CS584" s="24" t="inlineStr">
        <is>
          <t>True</t>
        </is>
      </c>
      <c r="CT584" s="24" t="n"/>
      <c r="CU584" s="24" t="n"/>
      <c r="CV584" s="24" t="n"/>
      <c r="CW584" s="24" t="n"/>
      <c r="CX584" s="24" t="n"/>
      <c r="CY584" s="24" t="n"/>
      <c r="CZ584" s="24" t="n"/>
      <c r="DA584" s="24" t="n"/>
      <c r="DB584" s="24" t="n"/>
      <c r="DC584" s="24" t="n"/>
      <c r="DD584" s="24" t="n"/>
      <c r="DE584" s="24" t="n"/>
      <c r="DF584" s="24" t="n"/>
      <c r="DG584" s="24" t="n"/>
      <c r="DH584" s="24" t="n"/>
      <c r="DI584" s="24" t="n"/>
      <c r="DJ584" s="24" t="inlineStr">
        <is>
          <t>0.519231</t>
        </is>
      </c>
      <c r="DK584" s="24" t="n"/>
      <c r="DL584" s="24" t="n"/>
      <c r="DM584" s="24" t="n"/>
      <c r="DN584" s="24" t="n"/>
      <c r="DO584" s="24" t="n"/>
      <c r="DP584" s="24" t="n"/>
      <c r="DQ584" s="24" t="inlineStr">
        <is>
          <t>{"artifact_hash": "1d168f11d221cd3c", "event_id": "401858238", "event_start_utc": "2026-09-26T22:30Z", "features": {"altitude_fatigue_penalty": 0.0, "away_team": "Central Michigan Chippewas", "efficiency_gap": 3.5, "elo_away": 1348.3, "elo_home": 1785.8, "elo_home_win_prob": 0.9475, "event_id": "401858238", "game_start_utc": "2026-09-26T22:30Z", "home_field_advantage_points": 2.8, "home_team": "Miami Hurricanes", "is_dome": false, "is_fbs_vs_fcs": false, "is_neutral_site": false, "projected_away_points": 16.4, "projected_home_points": 37.1, "projected_margin_home": 20.7, "projected_possessions": 12.4, "projected_total": 53.6, "stadium_elevation_ft": 10, "travel_distance_miles": 1244.0, "uncertainty": 0.165, "weather_total_adjustment": 0.0}, "historical_source_observation_times_verified": false, "inference_inputs": {"engine_source_sha256": "449ba2f0e86fa9c445730076a0e0bf100fb4914620be53c75c6f3bfe24298f3f", "mu_away": 16.4, "mu_home": 37.1,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282992398840611775642320668802880028535}, "uinteger": 0}, "spread_home_line": -41.5, "total_line": 53.5}, "market_type": "spread", "model_version": "cfb-spread-v1", "observed_at_utc": "2026-09-26T15:01:01.506546+00:00", "probabilities": {"away": 0.875667, "home": 0.124333, "push": 0.0}, "replay_scope": "Full precision score means, exact engine parameters and original RNG state; upstream feature construction not certified.", "schema": "cfb-joint-replay-v1", "snapshot_hash": "faf5d3a1d0e3b09078f949989799ac753ec75eaf4ea368c189c57bb65114cc68", "sport": "NCAAF"}</t>
        </is>
      </c>
    </row>
    <row r="585" ht="36" customHeight="1">
      <c r="A585" s="24" t="inlineStr">
        <is>
          <t>9b24fca9b90a4146</t>
        </is>
      </c>
      <c r="B585" s="24" t="inlineStr">
        <is>
          <t>2026-09-26T15:01:01.506546Z</t>
        </is>
      </c>
      <c r="C585" s="24" t="inlineStr">
        <is>
          <t>2026-09-26T22:30Z</t>
        </is>
      </c>
      <c r="D585" s="24" t="inlineStr">
        <is>
          <t>401858238</t>
        </is>
      </c>
      <c r="E585" s="24" t="inlineStr">
        <is>
          <t>NCAAF</t>
        </is>
      </c>
      <c r="F585" s="24" t="inlineStr">
        <is>
          <t>Central Michigan Chippewas</t>
        </is>
      </c>
      <c r="G585" s="24" t="inlineStr">
        <is>
          <t>Miami Hurricanes</t>
        </is>
      </c>
      <c r="H585" s="24" t="inlineStr">
        <is>
          <t>total</t>
        </is>
      </c>
      <c r="I585" s="24" t="inlineStr">
        <is>
          <t>under</t>
        </is>
      </c>
      <c r="J585" s="25" t="n">
        <v>53.5</v>
      </c>
      <c r="K585" s="24" t="inlineStr">
        <is>
          <t>espn_consensus</t>
        </is>
      </c>
      <c r="L585" s="26" t="n">
        <v>-108</v>
      </c>
      <c r="M585" s="27" t="n">
        <v>1.925926</v>
      </c>
      <c r="N585" s="28" t="n">
        <v>0.519231</v>
      </c>
      <c r="O585" s="28" t="n">
        <v>0.5304</v>
      </c>
      <c r="P585" s="28" t="n">
        <v>0.165</v>
      </c>
      <c r="Q585" s="28" t="n">
        <v>0.011169</v>
      </c>
      <c r="R585" s="26" t="n">
        <v>0</v>
      </c>
      <c r="S585" s="29" t="n">
        <v>1</v>
      </c>
      <c r="T585" s="24" t="inlineStr">
        <is>
          <t>cfb-total-v1</t>
        </is>
      </c>
      <c r="U585" s="24" t="inlineStr">
        <is>
          <t>settled</t>
        </is>
      </c>
      <c r="V585" s="24" t="inlineStr">
        <is>
          <t>loss</t>
        </is>
      </c>
      <c r="W585" s="26" t="n">
        <v>3</v>
      </c>
      <c r="X585" s="26" t="n">
        <v>52</v>
      </c>
      <c r="Y585" s="25" t="n"/>
      <c r="Z585" s="26" t="n"/>
      <c r="AA585" s="28" t="n"/>
      <c r="AB585" s="28" t="n"/>
      <c r="AC585" s="30" t="n">
        <v>-1</v>
      </c>
      <c r="AD585" s="24" t="inlineStr">
        <is>
          <t>2026-09-27T04:31:07.403001Z</t>
        </is>
      </c>
      <c r="AE585" s="31" t="inlineStr">
        <is>
          <t>Projected total 53.6 pts (Weather adj: +0.0 pts). Total line 53.5 -&gt; P(Over)=0.470, P(Under)=0.530, P(Push)=0.000.</t>
        </is>
      </c>
      <c r="AF585" s="31" t="inlineStr">
        <is>
          <t>College football model; multi-market (moneyline, spread, total).</t>
        </is>
      </c>
      <c r="AG585" s="24" t="inlineStr">
        <is>
          <t>review_required</t>
        </is>
      </c>
      <c r="AH585" s="24" t="n"/>
      <c r="AI585" s="31" t="n"/>
      <c r="AJ585" s="31" t="n"/>
      <c r="AK585" s="24" t="inlineStr">
        <is>
          <t>paper_call</t>
        </is>
      </c>
      <c r="AL585" s="26" t="n">
        <v>4</v>
      </c>
      <c r="AM585" s="24" t="inlineStr">
        <is>
          <t>RESEARCH_OBSERVATION</t>
        </is>
      </c>
      <c r="AN585" s="24" t="inlineStr">
        <is>
          <t>CALL</t>
        </is>
      </c>
      <c r="AO585" s="24" t="inlineStr">
        <is>
          <t>PAPER_CALL_LOW_EDGE</t>
        </is>
      </c>
      <c r="AP585" s="24" t="inlineStr">
        <is>
          <t>Central Michigan Chippewas</t>
        </is>
      </c>
      <c r="AQ585" s="24" t="inlineStr">
        <is>
          <t>Central Michigan Chippewas</t>
        </is>
      </c>
      <c r="AR585" s="24" t="inlineStr">
        <is>
          <t>Central Michigan Chippewas</t>
        </is>
      </c>
      <c r="AS585" s="24" t="inlineStr">
        <is>
          <t>Miami Hurricanes</t>
        </is>
      </c>
      <c r="AT585" s="24" t="inlineStr">
        <is>
          <t>Miami Hurricanes</t>
        </is>
      </c>
      <c r="AU585" s="24" t="inlineStr">
        <is>
          <t>Miami Hurricanes</t>
        </is>
      </c>
      <c r="AV585" s="24" t="n"/>
      <c r="AW585" s="24" t="n"/>
      <c r="AX585" s="24" t="inlineStr">
        <is>
          <t>statistical_model</t>
        </is>
      </c>
      <c r="AY585" s="24" t="n"/>
      <c r="AZ585" s="24" t="inlineStr">
        <is>
          <t>shadow_qualified</t>
        </is>
      </c>
      <c r="BA585" s="24" t="inlineStr">
        <is>
          <t>1d168f11d221cd3c</t>
        </is>
      </c>
      <c r="BB585" s="24" t="inlineStr">
        <is>
          <t>cfb_key_number_engine</t>
        </is>
      </c>
      <c r="BC585" s="24" t="inlineStr">
        <is>
          <t>cfb-total-v1</t>
        </is>
      </c>
      <c r="BD585" s="24" t="inlineStr">
        <is>
          <t>1d168f11d221cd3c</t>
        </is>
      </c>
      <c r="BE585" s="24" t="inlineStr">
        <is>
          <t>cfb-v1</t>
        </is>
      </c>
      <c r="BF585" s="24" t="inlineStr">
        <is>
          <t>1</t>
        </is>
      </c>
      <c r="BG585" s="24" t="inlineStr">
        <is>
          <t>1d168f11d221cd3c</t>
        </is>
      </c>
      <c r="BH585" s="24" t="inlineStr">
        <is>
          <t>2026-09-26T15:01:01.506546+00:00</t>
        </is>
      </c>
      <c r="BI585" s="24" t="inlineStr">
        <is>
          <t>["same_event","same_team_same_day","same_league_same_day"]</t>
        </is>
      </c>
      <c r="BJ585" s="25" t="n">
        <v>53.5</v>
      </c>
      <c r="BK585" s="26" t="n">
        <v>-108</v>
      </c>
      <c r="BL585" s="27" t="n">
        <v>1.925926</v>
      </c>
      <c r="BM585" s="28" t="n">
        <v>0.519231</v>
      </c>
      <c r="BN585" s="28" t="n"/>
      <c r="BO585" s="28" t="n"/>
      <c r="BP585" s="25" t="n"/>
      <c r="BQ585" s="27" t="n"/>
      <c r="BR585" s="28" t="n"/>
      <c r="BS585" s="28" t="n"/>
      <c r="BT585" s="28" t="n"/>
      <c r="BU585" s="25" t="n"/>
      <c r="BV585" s="29" t="n"/>
      <c r="BW585" s="24" t="n"/>
      <c r="BX585" s="30" t="n">
        <v>1</v>
      </c>
      <c r="BY585" s="27" t="n">
        <v>-1</v>
      </c>
      <c r="BZ585" s="24" t="inlineStr">
        <is>
          <t>2026-09-27T04:31:07.403001Z</t>
        </is>
      </c>
      <c r="CA585" s="31" t="inlineStr">
        <is>
          <t>fixed one-unit hypothetical scoring; no real exposure or execution</t>
        </is>
      </c>
      <c r="CB585" s="24" t="n"/>
      <c r="CC585" s="24" t="n"/>
      <c r="CD585" s="24" t="n"/>
      <c r="CE585" s="24" t="n"/>
      <c r="CF585" s="24" t="n"/>
      <c r="CG585" s="24" t="n"/>
      <c r="CH585" s="24" t="n"/>
      <c r="CI585" s="24" t="n"/>
      <c r="CJ585" s="24" t="n"/>
      <c r="CK585" s="24" t="n"/>
      <c r="CL585" s="24" t="n"/>
      <c r="CM585" s="24" t="n"/>
      <c r="CN585" s="24" t="n"/>
      <c r="CO585" s="24" t="n"/>
      <c r="CP585" s="24" t="n"/>
      <c r="CQ585" s="24" t="n"/>
      <c r="CR585" s="24" t="n"/>
      <c r="CS585" s="24" t="inlineStr">
        <is>
          <t>True</t>
        </is>
      </c>
      <c r="CT585" s="24" t="n"/>
      <c r="CU585" s="24" t="n"/>
      <c r="CV585" s="24" t="n"/>
      <c r="CW585" s="24" t="n"/>
      <c r="CX585" s="24" t="n"/>
      <c r="CY585" s="24" t="n"/>
      <c r="CZ585" s="24" t="n"/>
      <c r="DA585" s="24" t="n"/>
      <c r="DB585" s="24" t="n"/>
      <c r="DC585" s="24" t="n"/>
      <c r="DD585" s="24" t="n"/>
      <c r="DE585" s="24" t="n"/>
      <c r="DF585" s="24" t="n"/>
      <c r="DG585" s="24" t="n"/>
      <c r="DH585" s="24" t="n"/>
      <c r="DI585" s="24" t="n"/>
      <c r="DJ585" s="24" t="inlineStr">
        <is>
          <t>0.519231</t>
        </is>
      </c>
      <c r="DK585" s="24" t="n"/>
      <c r="DL585" s="24" t="n"/>
      <c r="DM585" s="24" t="n"/>
      <c r="DN585" s="24" t="n"/>
      <c r="DO585" s="24" t="n"/>
      <c r="DP585" s="24" t="n"/>
      <c r="DQ585" s="24" t="inlineStr">
        <is>
          <t>{"artifact_hash": "1d168f11d221cd3c", "event_id": "401858238", "event_start_utc": "2026-09-26T22:30Z", "features": {"altitude_fatigue_penalty": 0.0, "away_team": "Central Michigan Chippewas", "efficiency_gap": 3.5, "elo_away": 1348.3, "elo_home": 1785.8, "elo_home_win_prob": 0.9475, "event_id": "401858238", "game_start_utc": "2026-09-26T22:30Z", "home_field_advantage_points": 2.8, "home_team": "Miami Hurricanes", "is_dome": false, "is_fbs_vs_fcs": false, "is_neutral_site": false, "projected_away_points": 16.4, "projected_home_points": 37.1, "projected_margin_home": 20.7, "projected_possessions": 12.4, "projected_total": 53.6, "stadium_elevation_ft": 10, "travel_distance_miles": 1244.0, "uncertainty": 0.165, "weather_total_adjustment": 0.0}, "historical_source_observation_times_verified": false, "inference_inputs": {"engine_source_sha256": "449ba2f0e86fa9c445730076a0e0bf100fb4914620be53c75c6f3bfe24298f3f", "mu_away": 16.4, "mu_home": 37.1,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282992398840611775642320668802880028535}, "uinteger": 0}, "spread_home_line": -41.5, "total_line": 53.5}, "market_type": "total", "model_version": "cfb-total-v1", "observed_at_utc": "2026-09-26T15:01:01.506546+00:00", "probabilities": {"over": 0.4696, "push": 0.0, "under": 0.5304}, "replay_scope": "Full precision score means, exact engine parameters and original RNG state; upstream feature construction not certified.", "schema": "cfb-joint-replay-v1", "snapshot_hash": "f32856926ecda2a1a86be4f0cb462a23b87a04e843ace3df764ef06d5c7b2e23", "sport": "NCAAF"}</t>
        </is>
      </c>
    </row>
    <row r="586" ht="36" customHeight="1">
      <c r="A586" s="24" t="inlineStr">
        <is>
          <t>0a5bf3b723a843da</t>
        </is>
      </c>
      <c r="B586" s="24" t="inlineStr">
        <is>
          <t>2026-09-26T15:01:01.506546Z</t>
        </is>
      </c>
      <c r="C586" s="24" t="inlineStr">
        <is>
          <t>2026-09-26T22:30Z</t>
        </is>
      </c>
      <c r="D586" s="24" t="inlineStr">
        <is>
          <t>401862780</t>
        </is>
      </c>
      <c r="E586" s="24" t="inlineStr">
        <is>
          <t>NCAAF</t>
        </is>
      </c>
      <c r="F586" s="24" t="inlineStr">
        <is>
          <t>Louisiana Ragin' Cajuns</t>
        </is>
      </c>
      <c r="G586" s="24" t="inlineStr">
        <is>
          <t>Charlotte 49ers</t>
        </is>
      </c>
      <c r="H586" s="24" t="inlineStr">
        <is>
          <t>moneyline</t>
        </is>
      </c>
      <c r="I586" s="24" t="inlineStr">
        <is>
          <t>away</t>
        </is>
      </c>
      <c r="J586" s="25" t="n"/>
      <c r="K586" s="24" t="inlineStr">
        <is>
          <t>espn_consensus</t>
        </is>
      </c>
      <c r="L586" s="26" t="n">
        <v>-410</v>
      </c>
      <c r="M586" s="27" t="n">
        <v>1.243902</v>
      </c>
      <c r="N586" s="28" t="n">
        <v>0.803922</v>
      </c>
      <c r="O586" s="28" t="n">
        <v>0.71456</v>
      </c>
      <c r="P586" s="28" t="n">
        <v>0.18</v>
      </c>
      <c r="Q586" s="28" t="n">
        <v>-0.089362</v>
      </c>
      <c r="R586" s="26" t="n">
        <v>0</v>
      </c>
      <c r="S586" s="29" t="n">
        <v>1</v>
      </c>
      <c r="T586" s="24" t="inlineStr">
        <is>
          <t>college-football-v1</t>
        </is>
      </c>
      <c r="U586" s="24" t="inlineStr">
        <is>
          <t>settled</t>
        </is>
      </c>
      <c r="V586" s="24" t="inlineStr">
        <is>
          <t>win</t>
        </is>
      </c>
      <c r="W586" s="26" t="n">
        <v>34</v>
      </c>
      <c r="X586" s="26" t="n">
        <v>7</v>
      </c>
      <c r="Y586" s="25" t="n"/>
      <c r="Z586" s="26" t="n"/>
      <c r="AA586" s="28" t="n"/>
      <c r="AB586" s="28" t="n"/>
      <c r="AC586" s="30" t="n">
        <v>0.2439</v>
      </c>
      <c r="AD586" s="24" t="inlineStr">
        <is>
          <t>2026-09-27T04:31:08.049550Z</t>
        </is>
      </c>
      <c r="AE586" s="31" t="inlineStr">
        <is>
          <t>CFB Joint Model (negative_binomial): proj score Louisiana Ragin' Cajuns 32.2 @ Charlotte 49ers 21.3 (Margin -10.9). Possessions: 12.4, HFA: +2.8 pts.</t>
        </is>
      </c>
      <c r="AF586" s="31" t="inlineStr">
        <is>
          <t>College football model; multi-market (moneyline, spread, total).</t>
        </is>
      </c>
      <c r="AG586" s="24" t="inlineStr">
        <is>
          <t>not_applicable</t>
        </is>
      </c>
      <c r="AH586" s="24" t="n"/>
      <c r="AI586" s="31" t="n"/>
      <c r="AJ586" s="31" t="n"/>
      <c r="AK586" s="24" t="inlineStr">
        <is>
          <t>paper_call</t>
        </is>
      </c>
      <c r="AL586" s="26" t="n">
        <v>4</v>
      </c>
      <c r="AM586" s="24" t="inlineStr">
        <is>
          <t>RESEARCH_OBSERVATION</t>
        </is>
      </c>
      <c r="AN586" s="24" t="inlineStr">
        <is>
          <t>CALL</t>
        </is>
      </c>
      <c r="AO586" s="24" t="inlineStr">
        <is>
          <t>PAPER_CALL_LOW_EDGE</t>
        </is>
      </c>
      <c r="AP586" s="24" t="inlineStr">
        <is>
          <t>Louisiana Ragin' Cajuns</t>
        </is>
      </c>
      <c r="AQ586" s="24" t="inlineStr">
        <is>
          <t>Louisiana Ragin' Cajuns</t>
        </is>
      </c>
      <c r="AR586" s="24" t="inlineStr">
        <is>
          <t>Louisiana Ragin' Cajuns</t>
        </is>
      </c>
      <c r="AS586" s="24" t="inlineStr">
        <is>
          <t>Charlotte 49ers</t>
        </is>
      </c>
      <c r="AT586" s="24" t="inlineStr">
        <is>
          <t>Charlotte 49ers</t>
        </is>
      </c>
      <c r="AU586" s="24" t="inlineStr">
        <is>
          <t>Charlotte 49ers</t>
        </is>
      </c>
      <c r="AV586" s="24" t="n"/>
      <c r="AW586" s="24" t="n"/>
      <c r="AX586" s="24" t="inlineStr">
        <is>
          <t>statistical_model</t>
        </is>
      </c>
      <c r="AY586" s="24" t="n"/>
      <c r="AZ586" s="24" t="inlineStr">
        <is>
          <t>shadow_qualified</t>
        </is>
      </c>
      <c r="BA586" s="24" t="inlineStr">
        <is>
          <t>1d168f11d221cd3c</t>
        </is>
      </c>
      <c r="BB586" s="24" t="inlineStr">
        <is>
          <t>cfb_key_number_engine</t>
        </is>
      </c>
      <c r="BC586" s="24" t="inlineStr">
        <is>
          <t>college-football-v1</t>
        </is>
      </c>
      <c r="BD586" s="24" t="inlineStr">
        <is>
          <t>1d168f11d221cd3c</t>
        </is>
      </c>
      <c r="BE586" s="24" t="inlineStr">
        <is>
          <t>cfb-v1</t>
        </is>
      </c>
      <c r="BF586" s="24" t="inlineStr">
        <is>
          <t>1</t>
        </is>
      </c>
      <c r="BG586" s="24" t="inlineStr">
        <is>
          <t>1d168f11d221cd3c</t>
        </is>
      </c>
      <c r="BH586" s="24" t="inlineStr">
        <is>
          <t>2026-09-26T15:01:01.506546+00:00</t>
        </is>
      </c>
      <c r="BI586" s="24" t="inlineStr">
        <is>
          <t>["same_event","same_team_same_day","same_league_same_day"]</t>
        </is>
      </c>
      <c r="BJ586" s="25" t="n"/>
      <c r="BK586" s="26" t="n">
        <v>-410</v>
      </c>
      <c r="BL586" s="27" t="n">
        <v>1.243902</v>
      </c>
      <c r="BM586" s="28" t="n">
        <v>0.803922</v>
      </c>
      <c r="BN586" s="28" t="n"/>
      <c r="BO586" s="28" t="n"/>
      <c r="BP586" s="25" t="n"/>
      <c r="BQ586" s="27" t="n"/>
      <c r="BR586" s="28" t="n"/>
      <c r="BS586" s="28" t="n"/>
      <c r="BT586" s="28" t="n"/>
      <c r="BU586" s="25" t="n"/>
      <c r="BV586" s="29" t="n"/>
      <c r="BW586" s="24" t="n"/>
      <c r="BX586" s="30" t="n">
        <v>1</v>
      </c>
      <c r="BY586" s="27" t="n">
        <v>0.243902</v>
      </c>
      <c r="BZ586" s="24" t="inlineStr">
        <is>
          <t>2026-09-27T04:31:08.049550Z</t>
        </is>
      </c>
      <c r="CA586" s="31" t="inlineStr">
        <is>
          <t>fixed one-unit hypothetical scoring; no real exposure or execution</t>
        </is>
      </c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inlineStr">
        <is>
          <t>False</t>
        </is>
      </c>
      <c r="CT586" s="24" t="n"/>
      <c r="CU586" s="24" t="n"/>
      <c r="CV586" s="24" t="n"/>
      <c r="CW586" s="24" t="n"/>
      <c r="CX586" s="24" t="n"/>
      <c r="CY586" s="24" t="n"/>
      <c r="CZ586" s="24" t="n"/>
      <c r="DA586" s="24" t="n"/>
      <c r="DB586" s="24" t="n"/>
      <c r="DC586" s="24" t="n"/>
      <c r="DD586" s="24" t="n"/>
      <c r="DE586" s="24" t="n"/>
      <c r="DF586" s="24" t="n"/>
      <c r="DG586" s="24" t="n"/>
      <c r="DH586" s="24" t="n"/>
      <c r="DI586" s="24" t="n"/>
      <c r="DJ586" s="24" t="inlineStr">
        <is>
          <t>0.803922</t>
        </is>
      </c>
      <c r="DK586" s="24" t="n"/>
      <c r="DL586" s="24" t="n"/>
      <c r="DM586" s="24" t="n"/>
      <c r="DN586" s="24" t="n"/>
      <c r="DO586" s="24" t="n"/>
      <c r="DP586" s="24" t="n"/>
      <c r="DQ586" s="24" t="inlineStr">
        <is>
          <t>{"artifact_hash": "1d168f11d221cd3c", "event_id": "401862780", "event_start_utc": "2026-09-26T22:30Z", "features": {"altitude_fatigue_penalty": 0.0, "away_team": "Louisiana Ragin' Cajuns", "efficiency_gap": 0.244, "elo_away": 1442.3, "elo_home": 1110.6, "elo_home_win_prob": 0.1772, "event_id": "401862780", "game_start_utc": "2026-09-26T22:30Z", "home_field_advantage_points": 2.8, "home_team": "Charlotte 49ers", "is_dome": false, "is_fbs_vs_fcs": false, "is_neutral_site": false, "projected_away_points": 32.2, "projected_home_points": 21.3, "projected_margin_home": -10.9, "projected_possessions": 12.4, "projected_total": 53.5, "stadium_elevation_ft": 730, "travel_distance_miles": 744.0, "uncertainty": 0.18, "weather_total_adjustment": 0.0}, "historical_source_observation_times_verified": false, "inference_inputs": {"engine_source_sha256": "449ba2f0e86fa9c445730076a0e0bf100fb4914620be53c75c6f3bfe24298f3f", "mu_away": 32.2, "mu_home": 21.3,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245054337504314012153724070308147547174}, "uinteger": 0}, "spread_home_line": 10.0, "total_line": 49.5}, "market_type": "moneyline", "model_version": "college-football-v1", "observed_at_utc": "2026-09-26T15:01:01.506546+00:00", "probabilities": {"away": 0.71456, "home": 0.28544}, "replay_scope": "Full precision score means, exact engine parameters and original RNG state; upstream feature construction not certified.", "schema": "cfb-joint-replay-v1", "snapshot_hash": "74bda2ca255c57c8d7cf54b8c4232f0dbcbf9ff4e8edd5eca132ddc344c2863f", "sport": "NCAAF"}</t>
        </is>
      </c>
    </row>
    <row r="587" ht="36" customHeight="1">
      <c r="A587" s="24" t="inlineStr">
        <is>
          <t>84a9ad6ba576482c</t>
        </is>
      </c>
      <c r="B587" s="24" t="inlineStr">
        <is>
          <t>2026-09-26T15:01:01.506546Z</t>
        </is>
      </c>
      <c r="C587" s="24" t="inlineStr">
        <is>
          <t>2026-09-26T22:30Z</t>
        </is>
      </c>
      <c r="D587" s="24" t="inlineStr">
        <is>
          <t>401862780</t>
        </is>
      </c>
      <c r="E587" s="24" t="inlineStr">
        <is>
          <t>NCAAF</t>
        </is>
      </c>
      <c r="F587" s="24" t="inlineStr">
        <is>
          <t>Louisiana Ragin' Cajuns</t>
        </is>
      </c>
      <c r="G587" s="24" t="inlineStr">
        <is>
          <t>Charlotte 49ers</t>
        </is>
      </c>
      <c r="H587" s="24" t="inlineStr">
        <is>
          <t>spread</t>
        </is>
      </c>
      <c r="I587" s="24" t="inlineStr">
        <is>
          <t>away</t>
        </is>
      </c>
      <c r="J587" s="25" t="n">
        <v>-10</v>
      </c>
      <c r="K587" s="24" t="inlineStr">
        <is>
          <t>espn_consensus</t>
        </is>
      </c>
      <c r="L587" s="26" t="n">
        <v>-108</v>
      </c>
      <c r="M587" s="27" t="n">
        <v>1.925926</v>
      </c>
      <c r="N587" s="28" t="n">
        <v>0.519231</v>
      </c>
      <c r="O587" s="28" t="n">
        <v>0.510533</v>
      </c>
      <c r="P587" s="28" t="n">
        <v>0.18</v>
      </c>
      <c r="Q587" s="28" t="n">
        <v>-0.008697999999999999</v>
      </c>
      <c r="R587" s="26" t="n">
        <v>0</v>
      </c>
      <c r="S587" s="29" t="n">
        <v>1</v>
      </c>
      <c r="T587" s="24" t="inlineStr">
        <is>
          <t>cfb-spread-v1</t>
        </is>
      </c>
      <c r="U587" s="24" t="inlineStr">
        <is>
          <t>settled</t>
        </is>
      </c>
      <c r="V587" s="24" t="inlineStr">
        <is>
          <t>win</t>
        </is>
      </c>
      <c r="W587" s="26" t="n">
        <v>34</v>
      </c>
      <c r="X587" s="26" t="n">
        <v>7</v>
      </c>
      <c r="Y587" s="25" t="n"/>
      <c r="Z587" s="26" t="n"/>
      <c r="AA587" s="28" t="n"/>
      <c r="AB587" s="28" t="n"/>
      <c r="AC587" s="30" t="n">
        <v>0.9258999999999999</v>
      </c>
      <c r="AD587" s="24" t="inlineStr">
        <is>
          <t>2026-09-27T04:31:08.556956Z</t>
        </is>
      </c>
      <c r="AE587" s="31" t="inlineStr">
        <is>
          <t>Projected home margin -10.9 pts. Spread: Home +10.0 / Away -10.0 -&gt; P(Away cover)=0.511, P(Home cover)=0.468, P(Push)=0.021.</t>
        </is>
      </c>
      <c r="AF587" s="31" t="inlineStr">
        <is>
          <t>College football model; multi-market (moneyline, spread, total).</t>
        </is>
      </c>
      <c r="AG587" s="24" t="inlineStr">
        <is>
          <t>not_applicable</t>
        </is>
      </c>
      <c r="AH587" s="24" t="n"/>
      <c r="AI587" s="31" t="n"/>
      <c r="AJ587" s="31" t="n"/>
      <c r="AK587" s="24" t="inlineStr">
        <is>
          <t>paper_call</t>
        </is>
      </c>
      <c r="AL587" s="26" t="n">
        <v>4</v>
      </c>
      <c r="AM587" s="24" t="inlineStr">
        <is>
          <t>RESEARCH_OBSERVATION</t>
        </is>
      </c>
      <c r="AN587" s="24" t="inlineStr">
        <is>
          <t>CALL</t>
        </is>
      </c>
      <c r="AO587" s="24" t="inlineStr">
        <is>
          <t>PAPER_CALL_LOW_EDGE</t>
        </is>
      </c>
      <c r="AP587" s="24" t="inlineStr">
        <is>
          <t>Louisiana Ragin' Cajuns</t>
        </is>
      </c>
      <c r="AQ587" s="24" t="inlineStr">
        <is>
          <t>Louisiana Ragin' Cajuns</t>
        </is>
      </c>
      <c r="AR587" s="24" t="inlineStr">
        <is>
          <t>Louisiana Ragin' Cajuns</t>
        </is>
      </c>
      <c r="AS587" s="24" t="inlineStr">
        <is>
          <t>Charlotte 49ers</t>
        </is>
      </c>
      <c r="AT587" s="24" t="inlineStr">
        <is>
          <t>Charlotte 49ers</t>
        </is>
      </c>
      <c r="AU587" s="24" t="inlineStr">
        <is>
          <t>Charlotte 49ers</t>
        </is>
      </c>
      <c r="AV587" s="24" t="n"/>
      <c r="AW587" s="24" t="n"/>
      <c r="AX587" s="24" t="inlineStr">
        <is>
          <t>statistical_model</t>
        </is>
      </c>
      <c r="AY587" s="24" t="n"/>
      <c r="AZ587" s="24" t="inlineStr">
        <is>
          <t>shadow_qualified</t>
        </is>
      </c>
      <c r="BA587" s="24" t="inlineStr">
        <is>
          <t>1d168f11d221cd3c</t>
        </is>
      </c>
      <c r="BB587" s="24" t="inlineStr">
        <is>
          <t>cfb_key_number_engine</t>
        </is>
      </c>
      <c r="BC587" s="24" t="inlineStr">
        <is>
          <t>cfb-spread-v1</t>
        </is>
      </c>
      <c r="BD587" s="24" t="inlineStr">
        <is>
          <t>1d168f11d221cd3c</t>
        </is>
      </c>
      <c r="BE587" s="24" t="inlineStr">
        <is>
          <t>cfb-v1</t>
        </is>
      </c>
      <c r="BF587" s="24" t="inlineStr">
        <is>
          <t>1</t>
        </is>
      </c>
      <c r="BG587" s="24" t="inlineStr">
        <is>
          <t>1d168f11d221cd3c</t>
        </is>
      </c>
      <c r="BH587" s="24" t="inlineStr">
        <is>
          <t>2026-09-26T15:01:01.506546+00:00</t>
        </is>
      </c>
      <c r="BI587" s="24" t="inlineStr">
        <is>
          <t>["same_event","same_team_same_day","same_league_same_day"]</t>
        </is>
      </c>
      <c r="BJ587" s="25" t="n">
        <v>-10</v>
      </c>
      <c r="BK587" s="26" t="n">
        <v>-108</v>
      </c>
      <c r="BL587" s="27" t="n">
        <v>1.925926</v>
      </c>
      <c r="BM587" s="28" t="n">
        <v>0.519231</v>
      </c>
      <c r="BN587" s="28" t="n"/>
      <c r="BO587" s="28" t="n"/>
      <c r="BP587" s="25" t="n"/>
      <c r="BQ587" s="27" t="n"/>
      <c r="BR587" s="28" t="n"/>
      <c r="BS587" s="28" t="n"/>
      <c r="BT587" s="28" t="n"/>
      <c r="BU587" s="25" t="n"/>
      <c r="BV587" s="29" t="n"/>
      <c r="BW587" s="24" t="n"/>
      <c r="BX587" s="30" t="n">
        <v>1</v>
      </c>
      <c r="BY587" s="27" t="n">
        <v>0.925926</v>
      </c>
      <c r="BZ587" s="24" t="inlineStr">
        <is>
          <t>2026-09-27T04:31:08.556956Z</t>
        </is>
      </c>
      <c r="CA587" s="31" t="inlineStr">
        <is>
          <t>fixed one-unit hypothetical scoring; no real exposure or execution</t>
        </is>
      </c>
      <c r="CB587" s="24" t="n"/>
      <c r="CC587" s="24" t="n"/>
      <c r="CD587" s="24" t="n"/>
      <c r="CE587" s="24" t="n"/>
      <c r="CF587" s="24" t="n"/>
      <c r="CG587" s="24" t="n"/>
      <c r="CH587" s="24" t="n"/>
      <c r="CI587" s="24" t="n"/>
      <c r="CJ587" s="24" t="n"/>
      <c r="CK587" s="24" t="n"/>
      <c r="CL587" s="24" t="n"/>
      <c r="CM587" s="24" t="n"/>
      <c r="CN587" s="24" t="n"/>
      <c r="CO587" s="24" t="n"/>
      <c r="CP587" s="24" t="n"/>
      <c r="CQ587" s="24" t="n"/>
      <c r="CR587" s="24" t="n"/>
      <c r="CS587" s="24" t="inlineStr">
        <is>
          <t>False</t>
        </is>
      </c>
      <c r="CT587" s="24" t="n"/>
      <c r="CU587" s="24" t="n"/>
      <c r="CV587" s="24" t="n"/>
      <c r="CW587" s="24" t="n"/>
      <c r="CX587" s="24" t="n"/>
      <c r="CY587" s="24" t="n"/>
      <c r="CZ587" s="24" t="n"/>
      <c r="DA587" s="24" t="n"/>
      <c r="DB587" s="24" t="n"/>
      <c r="DC587" s="24" t="n"/>
      <c r="DD587" s="24" t="n"/>
      <c r="DE587" s="24" t="n"/>
      <c r="DF587" s="24" t="n"/>
      <c r="DG587" s="24" t="n"/>
      <c r="DH587" s="24" t="n"/>
      <c r="DI587" s="24" t="n"/>
      <c r="DJ587" s="24" t="inlineStr">
        <is>
          <t>0.519231</t>
        </is>
      </c>
      <c r="DK587" s="24" t="n"/>
      <c r="DL587" s="24" t="n"/>
      <c r="DM587" s="24" t="n"/>
      <c r="DN587" s="24" t="n"/>
      <c r="DO587" s="24" t="n"/>
      <c r="DP587" s="24" t="n"/>
      <c r="DQ587" s="24" t="inlineStr">
        <is>
          <t>{"artifact_hash": "1d168f11d221cd3c", "event_id": "401862780", "event_start_utc": "2026-09-26T22:30Z", "features": {"altitude_fatigue_penalty": 0.0, "away_team": "Louisiana Ragin' Cajuns", "efficiency_gap": 0.244, "elo_away": 1442.3, "elo_home": 1110.6, "elo_home_win_prob": 0.1772, "event_id": "401862780", "game_start_utc": "2026-09-26T22:30Z", "home_field_advantage_points": 2.8, "home_team": "Charlotte 49ers", "is_dome": false, "is_fbs_vs_fcs": false, "is_neutral_site": false, "projected_away_points": 32.2, "projected_home_points": 21.3, "projected_margin_home": -10.9, "projected_possessions": 12.4, "projected_total": 53.5, "stadium_elevation_ft": 730, "travel_distance_miles": 744.0, "uncertainty": 0.18, "weather_total_adjustment": 0.0}, "historical_source_observation_times_verified": false, "inference_inputs": {"engine_source_sha256": "449ba2f0e86fa9c445730076a0e0bf100fb4914620be53c75c6f3bfe24298f3f", "mu_away": 32.2, "mu_home": 21.3,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245054337504314012153724070308147547174}, "uinteger": 0}, "spread_home_line": 10.0, "total_line": 49.5}, "market_type": "spread", "model_version": "cfb-spread-v1", "observed_at_utc": "2026-09-26T15:01:01.506546+00:00", "probabilities": {"away": 0.510533, "home": 0.4684, "push": 0.021067}, "replay_scope": "Full precision score means, exact engine parameters and original RNG state; upstream feature construction not certified.", "schema": "cfb-joint-replay-v1", "snapshot_hash": "7313c5271032400a8180f51ea2b5c11d8f462a2c9b521e01ffaaea4531a11499", "sport": "NCAAF"}</t>
        </is>
      </c>
    </row>
    <row r="588" ht="36" customHeight="1">
      <c r="A588" s="24" t="inlineStr">
        <is>
          <t>d491a6adcc484e0a</t>
        </is>
      </c>
      <c r="B588" s="24" t="inlineStr">
        <is>
          <t>2026-09-26T15:01:01.506546Z</t>
        </is>
      </c>
      <c r="C588" s="24" t="inlineStr">
        <is>
          <t>2026-09-26T22:30Z</t>
        </is>
      </c>
      <c r="D588" s="24" t="inlineStr">
        <is>
          <t>401862780</t>
        </is>
      </c>
      <c r="E588" s="24" t="inlineStr">
        <is>
          <t>NCAAF</t>
        </is>
      </c>
      <c r="F588" s="24" t="inlineStr">
        <is>
          <t>Louisiana Ragin' Cajuns</t>
        </is>
      </c>
      <c r="G588" s="24" t="inlineStr">
        <is>
          <t>Charlotte 49ers</t>
        </is>
      </c>
      <c r="H588" s="24" t="inlineStr">
        <is>
          <t>total</t>
        </is>
      </c>
      <c r="I588" s="24" t="inlineStr">
        <is>
          <t>over</t>
        </is>
      </c>
      <c r="J588" s="25" t="n">
        <v>49.5</v>
      </c>
      <c r="K588" s="24" t="inlineStr">
        <is>
          <t>espn_consensus</t>
        </is>
      </c>
      <c r="L588" s="26" t="n">
        <v>-105</v>
      </c>
      <c r="M588" s="27" t="n">
        <v>1.952381</v>
      </c>
      <c r="N588" s="28" t="n">
        <v>0.512195</v>
      </c>
      <c r="O588" s="28" t="n">
        <v>0.536933</v>
      </c>
      <c r="P588" s="28" t="n">
        <v>0.18</v>
      </c>
      <c r="Q588" s="28" t="n">
        <v>0.024738</v>
      </c>
      <c r="R588" s="26" t="n">
        <v>0</v>
      </c>
      <c r="S588" s="29" t="n">
        <v>1</v>
      </c>
      <c r="T588" s="24" t="inlineStr">
        <is>
          <t>cfb-total-v1</t>
        </is>
      </c>
      <c r="U588" s="24" t="inlineStr">
        <is>
          <t>settled</t>
        </is>
      </c>
      <c r="V588" s="24" t="inlineStr">
        <is>
          <t>loss</t>
        </is>
      </c>
      <c r="W588" s="26" t="n">
        <v>34</v>
      </c>
      <c r="X588" s="26" t="n">
        <v>7</v>
      </c>
      <c r="Y588" s="25" t="n"/>
      <c r="Z588" s="26" t="n"/>
      <c r="AA588" s="28" t="n"/>
      <c r="AB588" s="28" t="n"/>
      <c r="AC588" s="30" t="n">
        <v>-1</v>
      </c>
      <c r="AD588" s="24" t="inlineStr">
        <is>
          <t>2026-09-27T04:31:09.134649Z</t>
        </is>
      </c>
      <c r="AE588" s="31" t="inlineStr">
        <is>
          <t>Projected total 53.5 pts (Weather adj: +0.0 pts). Total line 49.5 -&gt; P(Over)=0.537, P(Under)=0.463, P(Push)=0.000.</t>
        </is>
      </c>
      <c r="AF588" s="31" t="inlineStr">
        <is>
          <t>College football model; multi-market (moneyline, spread, total).</t>
        </is>
      </c>
      <c r="AG588" s="24" t="inlineStr">
        <is>
          <t>review_required</t>
        </is>
      </c>
      <c r="AH588" s="24" t="n"/>
      <c r="AI588" s="31" t="n"/>
      <c r="AJ588" s="31" t="n"/>
      <c r="AK588" s="24" t="inlineStr">
        <is>
          <t>paper_call</t>
        </is>
      </c>
      <c r="AL588" s="26" t="n">
        <v>4</v>
      </c>
      <c r="AM588" s="24" t="inlineStr">
        <is>
          <t>RESEARCH_OBSERVATION</t>
        </is>
      </c>
      <c r="AN588" s="24" t="inlineStr">
        <is>
          <t>CALL</t>
        </is>
      </c>
      <c r="AO588" s="24" t="inlineStr">
        <is>
          <t>PAPER_CALL_LOW_EDGE</t>
        </is>
      </c>
      <c r="AP588" s="24" t="inlineStr">
        <is>
          <t>Louisiana Ragin' Cajuns</t>
        </is>
      </c>
      <c r="AQ588" s="24" t="inlineStr">
        <is>
          <t>Louisiana Ragin' Cajuns</t>
        </is>
      </c>
      <c r="AR588" s="24" t="inlineStr">
        <is>
          <t>Louisiana Ragin' Cajuns</t>
        </is>
      </c>
      <c r="AS588" s="24" t="inlineStr">
        <is>
          <t>Charlotte 49ers</t>
        </is>
      </c>
      <c r="AT588" s="24" t="inlineStr">
        <is>
          <t>Charlotte 49ers</t>
        </is>
      </c>
      <c r="AU588" s="24" t="inlineStr">
        <is>
          <t>Charlotte 49ers</t>
        </is>
      </c>
      <c r="AV588" s="24" t="n"/>
      <c r="AW588" s="24" t="n"/>
      <c r="AX588" s="24" t="inlineStr">
        <is>
          <t>statistical_model</t>
        </is>
      </c>
      <c r="AY588" s="24" t="n"/>
      <c r="AZ588" s="24" t="inlineStr">
        <is>
          <t>shadow_qualified</t>
        </is>
      </c>
      <c r="BA588" s="24" t="inlineStr">
        <is>
          <t>1d168f11d221cd3c</t>
        </is>
      </c>
      <c r="BB588" s="24" t="inlineStr">
        <is>
          <t>cfb_key_number_engine</t>
        </is>
      </c>
      <c r="BC588" s="24" t="inlineStr">
        <is>
          <t>cfb-total-v1</t>
        </is>
      </c>
      <c r="BD588" s="24" t="inlineStr">
        <is>
          <t>1d168f11d221cd3c</t>
        </is>
      </c>
      <c r="BE588" s="24" t="inlineStr">
        <is>
          <t>cfb-v1</t>
        </is>
      </c>
      <c r="BF588" s="24" t="inlineStr">
        <is>
          <t>1</t>
        </is>
      </c>
      <c r="BG588" s="24" t="inlineStr">
        <is>
          <t>1d168f11d221cd3c</t>
        </is>
      </c>
      <c r="BH588" s="24" t="inlineStr">
        <is>
          <t>2026-09-26T15:01:01.506546+00:00</t>
        </is>
      </c>
      <c r="BI588" s="24" t="inlineStr">
        <is>
          <t>["same_event","same_team_same_day","same_league_same_day"]</t>
        </is>
      </c>
      <c r="BJ588" s="25" t="n">
        <v>49.5</v>
      </c>
      <c r="BK588" s="26" t="n">
        <v>-105</v>
      </c>
      <c r="BL588" s="27" t="n">
        <v>1.952381</v>
      </c>
      <c r="BM588" s="28" t="n">
        <v>0.512195</v>
      </c>
      <c r="BN588" s="28" t="n"/>
      <c r="BO588" s="28" t="n"/>
      <c r="BP588" s="25" t="n"/>
      <c r="BQ588" s="27" t="n"/>
      <c r="BR588" s="28" t="n"/>
      <c r="BS588" s="28" t="n"/>
      <c r="BT588" s="28" t="n"/>
      <c r="BU588" s="25" t="n"/>
      <c r="BV588" s="29" t="n"/>
      <c r="BW588" s="24" t="n"/>
      <c r="BX588" s="30" t="n">
        <v>1</v>
      </c>
      <c r="BY588" s="27" t="n">
        <v>-1</v>
      </c>
      <c r="BZ588" s="24" t="inlineStr">
        <is>
          <t>2026-09-27T04:31:09.134649Z</t>
        </is>
      </c>
      <c r="CA588" s="31" t="inlineStr">
        <is>
          <t>fixed one-unit hypothetical scoring; no real exposure or execution</t>
        </is>
      </c>
      <c r="CB588" s="24" t="n"/>
      <c r="CC588" s="24" t="n"/>
      <c r="CD588" s="24" t="n"/>
      <c r="CE588" s="24" t="n"/>
      <c r="CF588" s="24" t="n"/>
      <c r="CG588" s="24" t="n"/>
      <c r="CH588" s="24" t="n"/>
      <c r="CI588" s="24" t="n"/>
      <c r="CJ588" s="24" t="n"/>
      <c r="CK588" s="24" t="n"/>
      <c r="CL588" s="24" t="n"/>
      <c r="CM588" s="24" t="n"/>
      <c r="CN588" s="24" t="n"/>
      <c r="CO588" s="24" t="n"/>
      <c r="CP588" s="24" t="n"/>
      <c r="CQ588" s="24" t="n"/>
      <c r="CR588" s="24" t="n"/>
      <c r="CS588" s="24" t="inlineStr">
        <is>
          <t>True</t>
        </is>
      </c>
      <c r="CT588" s="24" t="n"/>
      <c r="CU588" s="24" t="n"/>
      <c r="CV588" s="24" t="n"/>
      <c r="CW588" s="24" t="n"/>
      <c r="CX588" s="24" t="n"/>
      <c r="CY588" s="24" t="n"/>
      <c r="CZ588" s="24" t="n"/>
      <c r="DA588" s="24" t="n"/>
      <c r="DB588" s="24" t="n"/>
      <c r="DC588" s="24" t="n"/>
      <c r="DD588" s="24" t="n"/>
      <c r="DE588" s="24" t="n"/>
      <c r="DF588" s="24" t="n"/>
      <c r="DG588" s="24" t="n"/>
      <c r="DH588" s="24" t="n"/>
      <c r="DI588" s="24" t="n"/>
      <c r="DJ588" s="24" t="inlineStr">
        <is>
          <t>0.512195</t>
        </is>
      </c>
      <c r="DK588" s="24" t="n"/>
      <c r="DL588" s="24" t="n"/>
      <c r="DM588" s="24" t="n"/>
      <c r="DN588" s="24" t="n"/>
      <c r="DO588" s="24" t="n"/>
      <c r="DP588" s="24" t="n"/>
      <c r="DQ588" s="24" t="inlineStr">
        <is>
          <t>{"artifact_hash": "1d168f11d221cd3c", "event_id": "401862780", "event_start_utc": "2026-09-26T22:30Z", "features": {"altitude_fatigue_penalty": 0.0, "away_team": "Louisiana Ragin' Cajuns", "efficiency_gap": 0.244, "elo_away": 1442.3, "elo_home": 1110.6, "elo_home_win_prob": 0.1772, "event_id": "401862780", "game_start_utc": "2026-09-26T22:30Z", "home_field_advantage_points": 2.8, "home_team": "Charlotte 49ers", "is_dome": false, "is_fbs_vs_fcs": false, "is_neutral_site": false, "projected_away_points": 32.2, "projected_home_points": 21.3, "projected_margin_home": -10.9, "projected_possessions": 12.4, "projected_total": 53.5, "stadium_elevation_ft": 730, "travel_distance_miles": 744.0, "uncertainty": 0.18, "weather_total_adjustment": 0.0}, "historical_source_observation_times_verified": false, "inference_inputs": {"engine_source_sha256": "449ba2f0e86fa9c445730076a0e0bf100fb4914620be53c75c6f3bfe24298f3f", "mu_away": 32.2, "mu_home": 21.3,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245054337504314012153724070308147547174}, "uinteger": 0}, "spread_home_line": 10.0, "total_line": 49.5}, "market_type": "total", "model_version": "cfb-total-v1", "observed_at_utc": "2026-09-26T15:01:01.506546+00:00", "probabilities": {"over": 0.536933, "push": 0.0, "under": 0.463067}, "replay_scope": "Full precision score means, exact engine parameters and original RNG state; upstream feature construction not certified.", "schema": "cfb-joint-replay-v1", "snapshot_hash": "2163ce65b89e377ae829566b4a2151fdfe6c25747a88b6eee22ccdc825f3d361", "sport": "NCAAF"}</t>
        </is>
      </c>
    </row>
    <row r="589" ht="36" customHeight="1">
      <c r="A589" s="24" t="inlineStr">
        <is>
          <t>10d6cc1753c1433c</t>
        </is>
      </c>
      <c r="B589" s="24" t="inlineStr">
        <is>
          <t>2026-09-26T22:34:32.504573Z</t>
        </is>
      </c>
      <c r="C589" s="24" t="inlineStr">
        <is>
          <t>2026-09-26T23:00Z</t>
        </is>
      </c>
      <c r="D589" s="24" t="inlineStr">
        <is>
          <t>401856814</t>
        </is>
      </c>
      <c r="E589" s="24" t="inlineStr">
        <is>
          <t>NCAAF</t>
        </is>
      </c>
      <c r="F589" s="24" t="inlineStr">
        <is>
          <t>Kansas State Wildcats</t>
        </is>
      </c>
      <c r="G589" s="24" t="inlineStr">
        <is>
          <t>Cincinnati Bearcats</t>
        </is>
      </c>
      <c r="H589" s="24" t="inlineStr">
        <is>
          <t>moneyline</t>
        </is>
      </c>
      <c r="I589" s="24" t="inlineStr">
        <is>
          <t>away</t>
        </is>
      </c>
      <c r="J589" s="25" t="n"/>
      <c r="K589" s="24" t="inlineStr">
        <is>
          <t>espn_consensus</t>
        </is>
      </c>
      <c r="L589" s="26" t="n">
        <v>-238</v>
      </c>
      <c r="M589" s="27" t="n">
        <v>1.420168</v>
      </c>
      <c r="N589" s="28" t="n">
        <v>0.704142</v>
      </c>
      <c r="O589" s="28" t="n">
        <v>0.58608</v>
      </c>
      <c r="P589" s="28" t="n">
        <v>0.18</v>
      </c>
      <c r="Q589" s="28" t="n">
        <v>-0.118062</v>
      </c>
      <c r="R589" s="26" t="n">
        <v>0</v>
      </c>
      <c r="S589" s="29" t="n">
        <v>1</v>
      </c>
      <c r="T589" s="24" t="inlineStr">
        <is>
          <t>college-football-v1</t>
        </is>
      </c>
      <c r="U589" s="24" t="inlineStr">
        <is>
          <t>settled</t>
        </is>
      </c>
      <c r="V589" s="24" t="inlineStr">
        <is>
          <t>loss</t>
        </is>
      </c>
      <c r="W589" s="26" t="n">
        <v>26</v>
      </c>
      <c r="X589" s="26" t="n">
        <v>31</v>
      </c>
      <c r="Y589" s="25" t="n"/>
      <c r="Z589" s="26" t="n"/>
      <c r="AA589" s="28" t="n"/>
      <c r="AB589" s="28" t="n"/>
      <c r="AC589" s="30" t="n">
        <v>-1</v>
      </c>
      <c r="AD589" s="24" t="inlineStr">
        <is>
          <t>2026-09-27T04:31:54.113539Z</t>
        </is>
      </c>
      <c r="AE589" s="31" t="inlineStr">
        <is>
          <t>CFB Joint Model (negative_binomial): proj score Kansas State Wildcats 29.6 @ Cincinnati Bearcats 25.2 (Margin -4.4). Possessions: 12.4, HFA: +2.8 pts.</t>
        </is>
      </c>
      <c r="AF589" s="31" t="inlineStr">
        <is>
          <t>College football model; multi-market (moneyline, spread, total).</t>
        </is>
      </c>
      <c r="AG589" s="24" t="inlineStr">
        <is>
          <t>review_required</t>
        </is>
      </c>
      <c r="AH589" s="24" t="n"/>
      <c r="AI589" s="31" t="n"/>
      <c r="AJ589" s="31" t="n"/>
      <c r="AK589" s="24" t="inlineStr">
        <is>
          <t>paper_call</t>
        </is>
      </c>
      <c r="AL589" s="26" t="n">
        <v>4</v>
      </c>
      <c r="AM589" s="24" t="inlineStr">
        <is>
          <t>RESEARCH_OBSERVATION</t>
        </is>
      </c>
      <c r="AN589" s="24" t="inlineStr">
        <is>
          <t>CALL</t>
        </is>
      </c>
      <c r="AO589" s="24" t="inlineStr">
        <is>
          <t>PAPER_CALL_LOW_EDGE</t>
        </is>
      </c>
      <c r="AP589" s="24" t="inlineStr">
        <is>
          <t>Kansas State Wildcats</t>
        </is>
      </c>
      <c r="AQ589" s="24" t="inlineStr">
        <is>
          <t>Kansas State Wildcats</t>
        </is>
      </c>
      <c r="AR589" s="24" t="inlineStr">
        <is>
          <t>Kansas State Wildcats</t>
        </is>
      </c>
      <c r="AS589" s="24" t="inlineStr">
        <is>
          <t>Cincinnati Bearcats</t>
        </is>
      </c>
      <c r="AT589" s="24" t="inlineStr">
        <is>
          <t>Cincinnati Bearcats</t>
        </is>
      </c>
      <c r="AU589" s="24" t="inlineStr">
        <is>
          <t>Cincinnati Bearcats</t>
        </is>
      </c>
      <c r="AV589" s="24" t="n"/>
      <c r="AW589" s="24" t="n"/>
      <c r="AX589" s="24" t="inlineStr">
        <is>
          <t>statistical_model</t>
        </is>
      </c>
      <c r="AY589" s="24" t="n"/>
      <c r="AZ589" s="24" t="inlineStr">
        <is>
          <t>shadow_qualified</t>
        </is>
      </c>
      <c r="BA589" s="24" t="inlineStr">
        <is>
          <t>1d168f11d221cd3c</t>
        </is>
      </c>
      <c r="BB589" s="24" t="inlineStr">
        <is>
          <t>cfb_key_number_engine</t>
        </is>
      </c>
      <c r="BC589" s="24" t="inlineStr">
        <is>
          <t>college-football-v1</t>
        </is>
      </c>
      <c r="BD589" s="24" t="inlineStr">
        <is>
          <t>1d168f11d221cd3c</t>
        </is>
      </c>
      <c r="BE589" s="24" t="inlineStr">
        <is>
          <t>cfb-v1</t>
        </is>
      </c>
      <c r="BF589" s="24" t="inlineStr">
        <is>
          <t>1</t>
        </is>
      </c>
      <c r="BG589" s="24" t="inlineStr">
        <is>
          <t>1d168f11d221cd3c</t>
        </is>
      </c>
      <c r="BH589" s="24" t="inlineStr">
        <is>
          <t>2026-09-26T22:34:32.504573+00:00</t>
        </is>
      </c>
      <c r="BI589" s="24" t="inlineStr">
        <is>
          <t>["same_event","same_team_same_day","same_league_same_day"]</t>
        </is>
      </c>
      <c r="BJ589" s="25" t="n"/>
      <c r="BK589" s="26" t="n">
        <v>-238</v>
      </c>
      <c r="BL589" s="27" t="n">
        <v>1.420168</v>
      </c>
      <c r="BM589" s="28" t="n">
        <v>0.704142</v>
      </c>
      <c r="BN589" s="28" t="n"/>
      <c r="BO589" s="28" t="n"/>
      <c r="BP589" s="25" t="n"/>
      <c r="BQ589" s="27" t="n"/>
      <c r="BR589" s="28" t="n"/>
      <c r="BS589" s="28" t="n"/>
      <c r="BT589" s="28" t="n"/>
      <c r="BU589" s="25" t="n"/>
      <c r="BV589" s="29" t="n"/>
      <c r="BW589" s="24" t="n"/>
      <c r="BX589" s="30" t="n">
        <v>1</v>
      </c>
      <c r="BY589" s="27" t="n">
        <v>-1</v>
      </c>
      <c r="BZ589" s="24" t="inlineStr">
        <is>
          <t>2026-09-27T04:31:54.113539Z</t>
        </is>
      </c>
      <c r="CA589" s="31" t="inlineStr">
        <is>
          <t>fixed one-unit hypothetical scoring; no real exposure or execution</t>
        </is>
      </c>
      <c r="CB589" s="24" t="n"/>
      <c r="CC589" s="24" t="n"/>
      <c r="CD589" s="24" t="n"/>
      <c r="CE589" s="24" t="n"/>
      <c r="CF589" s="24" t="n"/>
      <c r="CG589" s="24" t="n"/>
      <c r="CH589" s="24" t="n"/>
      <c r="CI589" s="24" t="n"/>
      <c r="CJ589" s="24" t="n"/>
      <c r="CK589" s="24" t="n"/>
      <c r="CL589" s="24" t="n"/>
      <c r="CM589" s="24" t="n"/>
      <c r="CN589" s="24" t="n"/>
      <c r="CO589" s="24" t="n"/>
      <c r="CP589" s="24" t="n"/>
      <c r="CQ589" s="24" t="n"/>
      <c r="CR589" s="24" t="n"/>
      <c r="CS589" s="24" t="inlineStr">
        <is>
          <t>False</t>
        </is>
      </c>
      <c r="CT589" s="24" t="n"/>
      <c r="CU589" s="24" t="n"/>
      <c r="CV589" s="24" t="n"/>
      <c r="CW589" s="24" t="n"/>
      <c r="CX589" s="24" t="n"/>
      <c r="CY589" s="24" t="n"/>
      <c r="CZ589" s="24" t="n"/>
      <c r="DA589" s="24" t="n"/>
      <c r="DB589" s="24" t="n"/>
      <c r="DC589" s="24" t="n"/>
      <c r="DD589" s="24" t="n"/>
      <c r="DE589" s="24" t="n"/>
      <c r="DF589" s="24" t="n"/>
      <c r="DG589" s="24" t="n"/>
      <c r="DH589" s="24" t="n"/>
      <c r="DI589" s="24" t="n"/>
      <c r="DJ589" s="24" t="inlineStr">
        <is>
          <t>0.704142</t>
        </is>
      </c>
      <c r="DK589" s="24" t="n"/>
      <c r="DL589" s="24" t="n"/>
      <c r="DM589" s="24" t="n"/>
      <c r="DN589" s="24" t="n"/>
      <c r="DO589" s="24" t="n"/>
      <c r="DP589" s="24" t="n"/>
      <c r="DQ589" s="24" t="inlineStr">
        <is>
          <t>{"artifact_hash": "1d168f11d221cd3c", "event_id": "401856814", "event_start_utc": "2026-09-26T23:00Z", "features": {"altitude_fatigue_penalty": 0.0, "away_team": "Kansas State Wildcats", "efficiency_gap": 0.6, "elo_away": 1597.1, "elo_home": 1425.3, "elo_home_win_prob": 0.3509, "event_id": "401856814", "game_start_utc": "2026-09-26T23:00Z", "home_field_advantage_points": 2.8, "home_team": "Cincinnati Bearcats", "is_dome": false, "is_fbs_vs_fcs": false, "is_neutral_site": false, "projected_away_points": 29.6, "projected_home_points": 25.2, "projected_margin_home": -4.4, "projected_possessions": 12.4, "projected_total": 54.8, "stadium_elevation_ft": 750, "travel_distance_miles": 647.0, "uncertainty": 0.18, "weather_total_adjustment": 0.0}, "historical_source_observation_times_verified": false, "inference_inputs": {"engine_source_sha256": "449ba2f0e86fa9c445730076a0e0bf100fb4914620be53c75c6f3bfe24298f3f", "mu_away": 29.6, "mu_home": 25.2,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106344578412644310878390173021805673423}, "uinteger": 0}, "spread_home_line": 6.0, "total_line": 55.5}, "market_type": "moneyline", "model_version": "college-football-v1", "observed_at_utc": "2026-09-26T22:34:32.504573+00:00", "probabilities": {"away": 0.58608, "home": 0.41392}, "replay_scope": "Full precision score means, exact engine parameters and original RNG state; upstream feature construction not certified.", "schema": "cfb-joint-replay-v1", "snapshot_hash": "7301c940ead5bed17fed1c2a2b814c300e495db20e4c039ebdb20a7ddf78fd51", "sport": "NCAAF"}</t>
        </is>
      </c>
    </row>
    <row r="590" ht="36" customHeight="1">
      <c r="A590" s="24" t="inlineStr">
        <is>
          <t>8848283771924592</t>
        </is>
      </c>
      <c r="B590" s="24" t="inlineStr">
        <is>
          <t>2026-09-26T22:34:32.504573Z</t>
        </is>
      </c>
      <c r="C590" s="24" t="inlineStr">
        <is>
          <t>2026-09-26T23:00Z</t>
        </is>
      </c>
      <c r="D590" s="24" t="inlineStr">
        <is>
          <t>401856814</t>
        </is>
      </c>
      <c r="E590" s="24" t="inlineStr">
        <is>
          <t>NCAAF</t>
        </is>
      </c>
      <c r="F590" s="24" t="inlineStr">
        <is>
          <t>Kansas State Wildcats</t>
        </is>
      </c>
      <c r="G590" s="24" t="inlineStr">
        <is>
          <t>Cincinnati Bearcats</t>
        </is>
      </c>
      <c r="H590" s="24" t="inlineStr">
        <is>
          <t>spread</t>
        </is>
      </c>
      <c r="I590" s="24" t="inlineStr">
        <is>
          <t>home</t>
        </is>
      </c>
      <c r="J590" s="25" t="n">
        <v>6</v>
      </c>
      <c r="K590" s="24" t="inlineStr">
        <is>
          <t>espn_consensus</t>
        </is>
      </c>
      <c r="L590" s="26" t="n">
        <v>-108</v>
      </c>
      <c r="M590" s="27" t="n">
        <v>1.925926</v>
      </c>
      <c r="N590" s="28" t="n">
        <v>0.519231</v>
      </c>
      <c r="O590" s="28" t="n">
        <v>0.5258</v>
      </c>
      <c r="P590" s="28" t="n">
        <v>0.18</v>
      </c>
      <c r="Q590" s="28" t="n">
        <v>0.006569</v>
      </c>
      <c r="R590" s="26" t="n">
        <v>0</v>
      </c>
      <c r="S590" s="29" t="n">
        <v>1</v>
      </c>
      <c r="T590" s="24" t="inlineStr">
        <is>
          <t>cfb-spread-v1</t>
        </is>
      </c>
      <c r="U590" s="24" t="inlineStr">
        <is>
          <t>settled</t>
        </is>
      </c>
      <c r="V590" s="24" t="inlineStr">
        <is>
          <t>win</t>
        </is>
      </c>
      <c r="W590" s="26" t="n">
        <v>26</v>
      </c>
      <c r="X590" s="26" t="n">
        <v>31</v>
      </c>
      <c r="Y590" s="25" t="n"/>
      <c r="Z590" s="26" t="n"/>
      <c r="AA590" s="28" t="n"/>
      <c r="AB590" s="28" t="n"/>
      <c r="AC590" s="30" t="n">
        <v>0.9258999999999999</v>
      </c>
      <c r="AD590" s="24" t="inlineStr">
        <is>
          <t>2026-09-27T04:31:54.650738Z</t>
        </is>
      </c>
      <c r="AE590" s="31" t="inlineStr">
        <is>
          <t>Projected home margin -4.4 pts. Spread: Home +6.0 / Away -6.0 -&gt; P(Away cover)=0.454, P(Home cover)=0.526, P(Push)=0.020.</t>
        </is>
      </c>
      <c r="AF590" s="31" t="inlineStr">
        <is>
          <t>College football model; multi-market (moneyline, spread, total).</t>
        </is>
      </c>
      <c r="AG590" s="24" t="inlineStr">
        <is>
          <t>not_applicable</t>
        </is>
      </c>
      <c r="AH590" s="24" t="n"/>
      <c r="AI590" s="31" t="n"/>
      <c r="AJ590" s="31" t="n"/>
      <c r="AK590" s="24" t="inlineStr">
        <is>
          <t>paper_call</t>
        </is>
      </c>
      <c r="AL590" s="26" t="n">
        <v>4</v>
      </c>
      <c r="AM590" s="24" t="inlineStr">
        <is>
          <t>RESEARCH_OBSERVATION</t>
        </is>
      </c>
      <c r="AN590" s="24" t="inlineStr">
        <is>
          <t>CALL</t>
        </is>
      </c>
      <c r="AO590" s="24" t="inlineStr">
        <is>
          <t>PAPER_CALL_LOW_EDGE</t>
        </is>
      </c>
      <c r="AP590" s="24" t="inlineStr">
        <is>
          <t>Kansas State Wildcats</t>
        </is>
      </c>
      <c r="AQ590" s="24" t="inlineStr">
        <is>
          <t>Kansas State Wildcats</t>
        </is>
      </c>
      <c r="AR590" s="24" t="inlineStr">
        <is>
          <t>Kansas State Wildcats</t>
        </is>
      </c>
      <c r="AS590" s="24" t="inlineStr">
        <is>
          <t>Cincinnati Bearcats</t>
        </is>
      </c>
      <c r="AT590" s="24" t="inlineStr">
        <is>
          <t>Cincinnati Bearcats</t>
        </is>
      </c>
      <c r="AU590" s="24" t="inlineStr">
        <is>
          <t>Cincinnati Bearcats</t>
        </is>
      </c>
      <c r="AV590" s="24" t="n"/>
      <c r="AW590" s="24" t="n"/>
      <c r="AX590" s="24" t="inlineStr">
        <is>
          <t>statistical_model</t>
        </is>
      </c>
      <c r="AY590" s="24" t="n"/>
      <c r="AZ590" s="24" t="inlineStr">
        <is>
          <t>shadow_qualified</t>
        </is>
      </c>
      <c r="BA590" s="24" t="inlineStr">
        <is>
          <t>1d168f11d221cd3c</t>
        </is>
      </c>
      <c r="BB590" s="24" t="inlineStr">
        <is>
          <t>cfb_key_number_engine</t>
        </is>
      </c>
      <c r="BC590" s="24" t="inlineStr">
        <is>
          <t>cfb-spread-v1</t>
        </is>
      </c>
      <c r="BD590" s="24" t="inlineStr">
        <is>
          <t>1d168f11d221cd3c</t>
        </is>
      </c>
      <c r="BE590" s="24" t="inlineStr">
        <is>
          <t>cfb-v1</t>
        </is>
      </c>
      <c r="BF590" s="24" t="inlineStr">
        <is>
          <t>1</t>
        </is>
      </c>
      <c r="BG590" s="24" t="inlineStr">
        <is>
          <t>1d168f11d221cd3c</t>
        </is>
      </c>
      <c r="BH590" s="24" t="inlineStr">
        <is>
          <t>2026-09-26T22:34:32.504573+00:00</t>
        </is>
      </c>
      <c r="BI590" s="24" t="inlineStr">
        <is>
          <t>["same_event","same_team_same_day","same_league_same_day"]</t>
        </is>
      </c>
      <c r="BJ590" s="25" t="n">
        <v>6</v>
      </c>
      <c r="BK590" s="26" t="n">
        <v>-108</v>
      </c>
      <c r="BL590" s="27" t="n">
        <v>1.925926</v>
      </c>
      <c r="BM590" s="28" t="n">
        <v>0.519231</v>
      </c>
      <c r="BN590" s="28" t="n"/>
      <c r="BO590" s="28" t="n"/>
      <c r="BP590" s="25" t="n"/>
      <c r="BQ590" s="27" t="n"/>
      <c r="BR590" s="28" t="n"/>
      <c r="BS590" s="28" t="n"/>
      <c r="BT590" s="28" t="n"/>
      <c r="BU590" s="25" t="n"/>
      <c r="BV590" s="29" t="n"/>
      <c r="BW590" s="24" t="n"/>
      <c r="BX590" s="30" t="n">
        <v>1</v>
      </c>
      <c r="BY590" s="27" t="n">
        <v>0.925926</v>
      </c>
      <c r="BZ590" s="24" t="inlineStr">
        <is>
          <t>2026-09-27T04:31:54.650738Z</t>
        </is>
      </c>
      <c r="CA590" s="31" t="inlineStr">
        <is>
          <t>fixed one-unit hypothetical scoring; no real exposure or execution</t>
        </is>
      </c>
      <c r="CB590" s="24" t="n"/>
      <c r="CC590" s="24" t="n"/>
      <c r="CD590" s="24" t="n"/>
      <c r="CE590" s="24" t="n"/>
      <c r="CF590" s="24" t="n"/>
      <c r="CG590" s="24" t="n"/>
      <c r="CH590" s="24" t="n"/>
      <c r="CI590" s="24" t="n"/>
      <c r="CJ590" s="24" t="n"/>
      <c r="CK590" s="24" t="n"/>
      <c r="CL590" s="24" t="n"/>
      <c r="CM590" s="24" t="n"/>
      <c r="CN590" s="24" t="n"/>
      <c r="CO590" s="24" t="n"/>
      <c r="CP590" s="24" t="n"/>
      <c r="CQ590" s="24" t="n"/>
      <c r="CR590" s="24" t="n"/>
      <c r="CS590" s="24" t="inlineStr">
        <is>
          <t>True</t>
        </is>
      </c>
      <c r="CT590" s="24" t="n"/>
      <c r="CU590" s="24" t="n"/>
      <c r="CV590" s="24" t="n"/>
      <c r="CW590" s="24" t="n"/>
      <c r="CX590" s="24" t="n"/>
      <c r="CY590" s="24" t="n"/>
      <c r="CZ590" s="24" t="n"/>
      <c r="DA590" s="24" t="n"/>
      <c r="DB590" s="24" t="n"/>
      <c r="DC590" s="24" t="n"/>
      <c r="DD590" s="24" t="n"/>
      <c r="DE590" s="24" t="n"/>
      <c r="DF590" s="24" t="n"/>
      <c r="DG590" s="24" t="n"/>
      <c r="DH590" s="24" t="n"/>
      <c r="DI590" s="24" t="n"/>
      <c r="DJ590" s="24" t="inlineStr">
        <is>
          <t>0.519231</t>
        </is>
      </c>
      <c r="DK590" s="24" t="n"/>
      <c r="DL590" s="24" t="n"/>
      <c r="DM590" s="24" t="n"/>
      <c r="DN590" s="24" t="n"/>
      <c r="DO590" s="24" t="n"/>
      <c r="DP590" s="24" t="n"/>
      <c r="DQ590" s="24" t="inlineStr">
        <is>
          <t>{"artifact_hash": "1d168f11d221cd3c", "event_id": "401856814", "event_start_utc": "2026-09-26T23:00Z", "features": {"altitude_fatigue_penalty": 0.0, "away_team": "Kansas State Wildcats", "efficiency_gap": 0.6, "elo_away": 1597.1, "elo_home": 1425.3, "elo_home_win_prob": 0.3509, "event_id": "401856814", "game_start_utc": "2026-09-26T23:00Z", "home_field_advantage_points": 2.8, "home_team": "Cincinnati Bearcats", "is_dome": false, "is_fbs_vs_fcs": false, "is_neutral_site": false, "projected_away_points": 29.6, "projected_home_points": 25.2, "projected_margin_home": -4.4, "projected_possessions": 12.4, "projected_total": 54.8, "stadium_elevation_ft": 750, "travel_distance_miles": 647.0, "uncertainty": 0.18, "weather_total_adjustment": 0.0}, "historical_source_observation_times_verified": false, "inference_inputs": {"engine_source_sha256": "449ba2f0e86fa9c445730076a0e0bf100fb4914620be53c75c6f3bfe24298f3f", "mu_away": 29.6, "mu_home": 25.2,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106344578412644310878390173021805673423}, "uinteger": 0}, "spread_home_line": 6.0, "total_line": 55.5}, "market_type": "spread", "model_version": "cfb-spread-v1", "observed_at_utc": "2026-09-26T22:34:32.504573+00:00", "probabilities": {"away": 0.454333, "home": 0.5258, "push": 0.019867}, "replay_scope": "Full precision score means, exact engine parameters and original RNG state; upstream feature construction not certified.", "schema": "cfb-joint-replay-v1", "snapshot_hash": "88a6037835ee9a415c889dbc012fd84dda9a093bce3e7a98aba9916b8bb77c95", "sport": "NCAAF"}</t>
        </is>
      </c>
    </row>
    <row r="591" ht="36" customHeight="1">
      <c r="A591" s="24" t="inlineStr">
        <is>
          <t>2a9849f8ff3b4a8d</t>
        </is>
      </c>
      <c r="B591" s="24" t="inlineStr">
        <is>
          <t>2026-09-26T22:34:32.504573Z</t>
        </is>
      </c>
      <c r="C591" s="24" t="inlineStr">
        <is>
          <t>2026-09-26T23:00Z</t>
        </is>
      </c>
      <c r="D591" s="24" t="inlineStr">
        <is>
          <t>401856814</t>
        </is>
      </c>
      <c r="E591" s="24" t="inlineStr">
        <is>
          <t>NCAAF</t>
        </is>
      </c>
      <c r="F591" s="24" t="inlineStr">
        <is>
          <t>Kansas State Wildcats</t>
        </is>
      </c>
      <c r="G591" s="24" t="inlineStr">
        <is>
          <t>Cincinnati Bearcats</t>
        </is>
      </c>
      <c r="H591" s="24" t="inlineStr">
        <is>
          <t>total</t>
        </is>
      </c>
      <c r="I591" s="24" t="inlineStr">
        <is>
          <t>under</t>
        </is>
      </c>
      <c r="J591" s="25" t="n">
        <v>55.5</v>
      </c>
      <c r="K591" s="24" t="inlineStr">
        <is>
          <t>espn_consensus</t>
        </is>
      </c>
      <c r="L591" s="26" t="n">
        <v>-115</v>
      </c>
      <c r="M591" s="27" t="n">
        <v>1.869565</v>
      </c>
      <c r="N591" s="28" t="n">
        <v>0.534884</v>
      </c>
      <c r="O591" s="28" t="n">
        <v>0.5392</v>
      </c>
      <c r="P591" s="28" t="n">
        <v>0.18</v>
      </c>
      <c r="Q591" s="28" t="n">
        <v>0.004316</v>
      </c>
      <c r="R591" s="26" t="n">
        <v>0</v>
      </c>
      <c r="S591" s="29" t="n">
        <v>1</v>
      </c>
      <c r="T591" s="24" t="inlineStr">
        <is>
          <t>cfb-total-v1</t>
        </is>
      </c>
      <c r="U591" s="24" t="inlineStr">
        <is>
          <t>settled</t>
        </is>
      </c>
      <c r="V591" s="24" t="inlineStr">
        <is>
          <t>loss</t>
        </is>
      </c>
      <c r="W591" s="26" t="n">
        <v>26</v>
      </c>
      <c r="X591" s="26" t="n">
        <v>31</v>
      </c>
      <c r="Y591" s="25" t="n"/>
      <c r="Z591" s="26" t="n"/>
      <c r="AA591" s="28" t="n"/>
      <c r="AB591" s="28" t="n"/>
      <c r="AC591" s="30" t="n">
        <v>-1</v>
      </c>
      <c r="AD591" s="24" t="inlineStr">
        <is>
          <t>2026-09-27T04:31:55.308022Z</t>
        </is>
      </c>
      <c r="AE591" s="31" t="inlineStr">
        <is>
          <t>Projected total 54.8 pts (Weather adj: +0.0 pts). Total line 55.5 -&gt; P(Over)=0.461, P(Under)=0.539, P(Push)=0.000.</t>
        </is>
      </c>
      <c r="AF591" s="31" t="inlineStr">
        <is>
          <t>College football model; multi-market (moneyline, spread, total).</t>
        </is>
      </c>
      <c r="AG591" s="24" t="inlineStr">
        <is>
          <t>review_required</t>
        </is>
      </c>
      <c r="AH591" s="24" t="n"/>
      <c r="AI591" s="31" t="n"/>
      <c r="AJ591" s="31" t="n"/>
      <c r="AK591" s="24" t="inlineStr">
        <is>
          <t>paper_call</t>
        </is>
      </c>
      <c r="AL591" s="26" t="n">
        <v>4</v>
      </c>
      <c r="AM591" s="24" t="inlineStr">
        <is>
          <t>RESEARCH_OBSERVATION</t>
        </is>
      </c>
      <c r="AN591" s="24" t="inlineStr">
        <is>
          <t>CALL</t>
        </is>
      </c>
      <c r="AO591" s="24" t="inlineStr">
        <is>
          <t>PAPER_CALL_LOW_EDGE</t>
        </is>
      </c>
      <c r="AP591" s="24" t="inlineStr">
        <is>
          <t>Kansas State Wildcats</t>
        </is>
      </c>
      <c r="AQ591" s="24" t="inlineStr">
        <is>
          <t>Kansas State Wildcats</t>
        </is>
      </c>
      <c r="AR591" s="24" t="inlineStr">
        <is>
          <t>Kansas State Wildcats</t>
        </is>
      </c>
      <c r="AS591" s="24" t="inlineStr">
        <is>
          <t>Cincinnati Bearcats</t>
        </is>
      </c>
      <c r="AT591" s="24" t="inlineStr">
        <is>
          <t>Cincinnati Bearcats</t>
        </is>
      </c>
      <c r="AU591" s="24" t="inlineStr">
        <is>
          <t>Cincinnati Bearcats</t>
        </is>
      </c>
      <c r="AV591" s="24" t="n"/>
      <c r="AW591" s="24" t="n"/>
      <c r="AX591" s="24" t="inlineStr">
        <is>
          <t>statistical_model</t>
        </is>
      </c>
      <c r="AY591" s="24" t="n"/>
      <c r="AZ591" s="24" t="inlineStr">
        <is>
          <t>shadow_qualified</t>
        </is>
      </c>
      <c r="BA591" s="24" t="inlineStr">
        <is>
          <t>1d168f11d221cd3c</t>
        </is>
      </c>
      <c r="BB591" s="24" t="inlineStr">
        <is>
          <t>cfb_key_number_engine</t>
        </is>
      </c>
      <c r="BC591" s="24" t="inlineStr">
        <is>
          <t>cfb-total-v1</t>
        </is>
      </c>
      <c r="BD591" s="24" t="inlineStr">
        <is>
          <t>1d168f11d221cd3c</t>
        </is>
      </c>
      <c r="BE591" s="24" t="inlineStr">
        <is>
          <t>cfb-v1</t>
        </is>
      </c>
      <c r="BF591" s="24" t="inlineStr">
        <is>
          <t>1</t>
        </is>
      </c>
      <c r="BG591" s="24" t="inlineStr">
        <is>
          <t>1d168f11d221cd3c</t>
        </is>
      </c>
      <c r="BH591" s="24" t="inlineStr">
        <is>
          <t>2026-09-26T22:34:32.504573+00:00</t>
        </is>
      </c>
      <c r="BI591" s="24" t="inlineStr">
        <is>
          <t>["same_event","same_team_same_day","same_league_same_day"]</t>
        </is>
      </c>
      <c r="BJ591" s="25" t="n">
        <v>55.5</v>
      </c>
      <c r="BK591" s="26" t="n">
        <v>-115</v>
      </c>
      <c r="BL591" s="27" t="n">
        <v>1.869565</v>
      </c>
      <c r="BM591" s="28" t="n">
        <v>0.534884</v>
      </c>
      <c r="BN591" s="28" t="n"/>
      <c r="BO591" s="28" t="n"/>
      <c r="BP591" s="25" t="n"/>
      <c r="BQ591" s="27" t="n"/>
      <c r="BR591" s="28" t="n"/>
      <c r="BS591" s="28" t="n"/>
      <c r="BT591" s="28" t="n"/>
      <c r="BU591" s="25" t="n"/>
      <c r="BV591" s="29" t="n"/>
      <c r="BW591" s="24" t="n"/>
      <c r="BX591" s="30" t="n">
        <v>1</v>
      </c>
      <c r="BY591" s="27" t="n">
        <v>-1</v>
      </c>
      <c r="BZ591" s="24" t="inlineStr">
        <is>
          <t>2026-09-27T04:31:55.308022Z</t>
        </is>
      </c>
      <c r="CA591" s="31" t="inlineStr">
        <is>
          <t>fixed one-unit hypothetical scoring; no real exposure or execution</t>
        </is>
      </c>
      <c r="CB591" s="24" t="n"/>
      <c r="CC591" s="24" t="n"/>
      <c r="CD591" s="24" t="n"/>
      <c r="CE591" s="24" t="n"/>
      <c r="CF591" s="24" t="n"/>
      <c r="CG591" s="24" t="n"/>
      <c r="CH591" s="24" t="n"/>
      <c r="CI591" s="24" t="n"/>
      <c r="CJ591" s="24" t="n"/>
      <c r="CK591" s="24" t="n"/>
      <c r="CL591" s="24" t="n"/>
      <c r="CM591" s="24" t="n"/>
      <c r="CN591" s="24" t="n"/>
      <c r="CO591" s="24" t="n"/>
      <c r="CP591" s="24" t="n"/>
      <c r="CQ591" s="24" t="n"/>
      <c r="CR591" s="24" t="n"/>
      <c r="CS591" s="24" t="inlineStr">
        <is>
          <t>True</t>
        </is>
      </c>
      <c r="CT591" s="24" t="n"/>
      <c r="CU591" s="24" t="n"/>
      <c r="CV591" s="24" t="n"/>
      <c r="CW591" s="24" t="n"/>
      <c r="CX591" s="24" t="n"/>
      <c r="CY591" s="24" t="n"/>
      <c r="CZ591" s="24" t="n"/>
      <c r="DA591" s="24" t="n"/>
      <c r="DB591" s="24" t="n"/>
      <c r="DC591" s="24" t="n"/>
      <c r="DD591" s="24" t="n"/>
      <c r="DE591" s="24" t="n"/>
      <c r="DF591" s="24" t="n"/>
      <c r="DG591" s="24" t="n"/>
      <c r="DH591" s="24" t="n"/>
      <c r="DI591" s="24" t="n"/>
      <c r="DJ591" s="24" t="inlineStr">
        <is>
          <t>0.534884</t>
        </is>
      </c>
      <c r="DK591" s="24" t="n"/>
      <c r="DL591" s="24" t="n"/>
      <c r="DM591" s="24" t="n"/>
      <c r="DN591" s="24" t="n"/>
      <c r="DO591" s="24" t="n"/>
      <c r="DP591" s="24" t="n"/>
      <c r="DQ591" s="24" t="inlineStr">
        <is>
          <t>{"artifact_hash": "1d168f11d221cd3c", "event_id": "401856814", "event_start_utc": "2026-09-26T23:00Z", "features": {"altitude_fatigue_penalty": 0.0, "away_team": "Kansas State Wildcats", "efficiency_gap": 0.6, "elo_away": 1597.1, "elo_home": 1425.3, "elo_home_win_prob": 0.3509, "event_id": "401856814", "game_start_utc": "2026-09-26T23:00Z", "home_field_advantage_points": 2.8, "home_team": "Cincinnati Bearcats", "is_dome": false, "is_fbs_vs_fcs": false, "is_neutral_site": false, "projected_away_points": 29.6, "projected_home_points": 25.2, "projected_margin_home": -4.4, "projected_possessions": 12.4, "projected_total": 54.8, "stadium_elevation_ft": 750, "travel_distance_miles": 647.0, "uncertainty": 0.18, "weather_total_adjustment": 0.0}, "historical_source_observation_times_verified": false, "inference_inputs": {"engine_source_sha256": "449ba2f0e86fa9c445730076a0e0bf100fb4914620be53c75c6f3bfe24298f3f", "mu_away": 29.6, "mu_home": 25.2,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106344578412644310878390173021805673423}, "uinteger": 0}, "spread_home_line": 6.0, "total_line": 55.5}, "market_type": "total", "model_version": "cfb-total-v1", "observed_at_utc": "2026-09-26T22:34:32.504573+00:00", "probabilities": {"over": 0.4608, "push": 0.0, "under": 0.5392}, "replay_scope": "Full precision score means, exact engine parameters and original RNG state; upstream feature construction not certified.", "schema": "cfb-joint-replay-v1", "snapshot_hash": "b5146e34867d062daf08b045bea35fec6b6501d998c72d2cf3df0e75dbbb7942", "sport": "NCAAF"}</t>
        </is>
      </c>
    </row>
    <row r="592" ht="36" customHeight="1">
      <c r="A592" s="24" t="inlineStr">
        <is>
          <t>76e13f90846e4f99</t>
        </is>
      </c>
      <c r="B592" s="24" t="inlineStr">
        <is>
          <t>2026-09-26T22:34:32.504573Z</t>
        </is>
      </c>
      <c r="C592" s="24" t="inlineStr">
        <is>
          <t>2026-09-26T23:00Z</t>
        </is>
      </c>
      <c r="D592" s="24" t="inlineStr">
        <is>
          <t>401856881</t>
        </is>
      </c>
      <c r="E592" s="24" t="inlineStr">
        <is>
          <t>NCAAF</t>
        </is>
      </c>
      <c r="F592" s="24" t="inlineStr">
        <is>
          <t>Oklahoma State Cowboys</t>
        </is>
      </c>
      <c r="G592" s="24" t="inlineStr">
        <is>
          <t>West Virginia Mountaineers</t>
        </is>
      </c>
      <c r="H592" s="24" t="inlineStr">
        <is>
          <t>moneyline</t>
        </is>
      </c>
      <c r="I592" s="24" t="inlineStr">
        <is>
          <t>home</t>
        </is>
      </c>
      <c r="J592" s="25" t="n"/>
      <c r="K592" s="24" t="inlineStr">
        <is>
          <t>espn_consensus</t>
        </is>
      </c>
      <c r="L592" s="26" t="n">
        <v>-125</v>
      </c>
      <c r="M592" s="27" t="n">
        <v>1.8</v>
      </c>
      <c r="N592" s="28" t="n">
        <v>0.555556</v>
      </c>
      <c r="O592" s="28" t="n">
        <v>0.796363</v>
      </c>
      <c r="P592" s="28" t="n">
        <v>0.165</v>
      </c>
      <c r="Q592" s="28" t="n">
        <v>0.240807</v>
      </c>
      <c r="R592" s="26" t="n">
        <v>71</v>
      </c>
      <c r="S592" s="29" t="n">
        <v>1.5</v>
      </c>
      <c r="T592" s="24" t="inlineStr">
        <is>
          <t>college-football-v1</t>
        </is>
      </c>
      <c r="U592" s="24" t="inlineStr">
        <is>
          <t>settled</t>
        </is>
      </c>
      <c r="V592" s="24" t="inlineStr">
        <is>
          <t>loss</t>
        </is>
      </c>
      <c r="W592" s="26" t="n">
        <v>41</v>
      </c>
      <c r="X592" s="26" t="n">
        <v>24</v>
      </c>
      <c r="Y592" s="25" t="n"/>
      <c r="Z592" s="26" t="n"/>
      <c r="AA592" s="28" t="n"/>
      <c r="AB592" s="28" t="n"/>
      <c r="AC592" s="30" t="n">
        <v>-1.5</v>
      </c>
      <c r="AD592" s="24" t="inlineStr">
        <is>
          <t>2026-09-27T04:31:55.892259Z</t>
        </is>
      </c>
      <c r="AE592" s="31" t="inlineStr">
        <is>
          <t>CFB Joint Model (negative_binomial): proj score Oklahoma State Cowboys 19.1 @ West Virginia Mountaineers 34.4 (Margin +15.3). Possessions: 12.4, HFA: +2.8 pts.</t>
        </is>
      </c>
      <c r="AF592" s="31" t="inlineStr">
        <is>
          <t>College football model; multi-market (moneyline, spread, total).</t>
        </is>
      </c>
      <c r="AG592" s="24" t="inlineStr">
        <is>
          <t>review_required</t>
        </is>
      </c>
      <c r="AH592" s="24" t="n"/>
      <c r="AI592" s="31" t="n"/>
      <c r="AJ592" s="31" t="n"/>
      <c r="AK592" s="24" t="inlineStr">
        <is>
          <t>model_qualified</t>
        </is>
      </c>
      <c r="AL592" s="26" t="n">
        <v>4</v>
      </c>
      <c r="AM592" s="24" t="inlineStr">
        <is>
          <t>QUALIFIED_SHADOW_CALL</t>
        </is>
      </c>
      <c r="AN592" s="24" t="inlineStr">
        <is>
          <t>CALL</t>
        </is>
      </c>
      <c r="AO592" s="24" t="inlineStr">
        <is>
          <t>QUALIFIED</t>
        </is>
      </c>
      <c r="AP592" s="24" t="inlineStr">
        <is>
          <t>Oklahoma State Cowboys</t>
        </is>
      </c>
      <c r="AQ592" s="24" t="inlineStr">
        <is>
          <t>Oklahoma State Cowboys</t>
        </is>
      </c>
      <c r="AR592" s="24" t="inlineStr">
        <is>
          <t>Oklahoma State Cowboys</t>
        </is>
      </c>
      <c r="AS592" s="24" t="inlineStr">
        <is>
          <t>West Virginia Mountaineers</t>
        </is>
      </c>
      <c r="AT592" s="24" t="inlineStr">
        <is>
          <t>West Virginia Mountaineers</t>
        </is>
      </c>
      <c r="AU592" s="24" t="inlineStr">
        <is>
          <t>West Virginia Mountaineers</t>
        </is>
      </c>
      <c r="AV592" s="24" t="n"/>
      <c r="AW592" s="24" t="n"/>
      <c r="AX592" s="24" t="inlineStr">
        <is>
          <t>statistical_model</t>
        </is>
      </c>
      <c r="AY592" s="24" t="n"/>
      <c r="AZ592" s="24" t="inlineStr">
        <is>
          <t>shadow_qualified</t>
        </is>
      </c>
      <c r="BA592" s="24" t="inlineStr">
        <is>
          <t>1d168f11d221cd3c</t>
        </is>
      </c>
      <c r="BB592" s="24" t="inlineStr">
        <is>
          <t>cfb_key_number_engine</t>
        </is>
      </c>
      <c r="BC592" s="24" t="inlineStr">
        <is>
          <t>college-football-v1</t>
        </is>
      </c>
      <c r="BD592" s="24" t="inlineStr">
        <is>
          <t>1d168f11d221cd3c</t>
        </is>
      </c>
      <c r="BE592" s="24" t="inlineStr">
        <is>
          <t>cfb-v1</t>
        </is>
      </c>
      <c r="BF592" s="24" t="inlineStr">
        <is>
          <t>1</t>
        </is>
      </c>
      <c r="BG592" s="24" t="inlineStr">
        <is>
          <t>1d168f11d221cd3c</t>
        </is>
      </c>
      <c r="BH592" s="24" t="inlineStr">
        <is>
          <t>2026-09-26T22:34:32.504573+00:00</t>
        </is>
      </c>
      <c r="BI592" s="24" t="inlineStr">
        <is>
          <t>["same_event","same_team_same_day","same_league_same_day"]</t>
        </is>
      </c>
      <c r="BJ592" s="25" t="n"/>
      <c r="BK592" s="26" t="n">
        <v>-125</v>
      </c>
      <c r="BL592" s="27" t="n">
        <v>1.8</v>
      </c>
      <c r="BM592" s="28" t="n">
        <v>0.555556</v>
      </c>
      <c r="BN592" s="28" t="n"/>
      <c r="BO592" s="28" t="n"/>
      <c r="BP592" s="25" t="n"/>
      <c r="BQ592" s="27" t="n"/>
      <c r="BR592" s="28" t="n"/>
      <c r="BS592" s="28" t="n"/>
      <c r="BT592" s="28" t="n"/>
      <c r="BU592" s="25" t="n"/>
      <c r="BV592" s="29" t="n"/>
      <c r="BW592" s="24" t="n"/>
      <c r="BX592" s="30" t="n"/>
      <c r="BY592" s="27" t="n"/>
      <c r="BZ592" s="24" t="n"/>
      <c r="CA592" s="31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inlineStr">
        <is>
          <t>True</t>
        </is>
      </c>
      <c r="CT592" s="24" t="n"/>
      <c r="CU592" s="24" t="n"/>
      <c r="CV592" s="24" t="n"/>
      <c r="CW592" s="24" t="n"/>
      <c r="CX592" s="24" t="n"/>
      <c r="CY592" s="24" t="n"/>
      <c r="CZ592" s="24" t="n"/>
      <c r="DA592" s="24" t="n"/>
      <c r="DB592" s="24" t="n"/>
      <c r="DC592" s="24" t="n"/>
      <c r="DD592" s="24" t="n"/>
      <c r="DE592" s="24" t="n"/>
      <c r="DF592" s="24" t="n"/>
      <c r="DG592" s="24" t="n"/>
      <c r="DH592" s="24" t="n"/>
      <c r="DI592" s="24" t="n"/>
      <c r="DJ592" s="24" t="inlineStr">
        <is>
          <t>0.555556</t>
        </is>
      </c>
      <c r="DK592" s="24" t="n"/>
      <c r="DL592" s="24" t="n"/>
      <c r="DM592" s="24" t="n"/>
      <c r="DN592" s="24" t="n"/>
      <c r="DO592" s="24" t="n"/>
      <c r="DP592" s="24" t="n"/>
      <c r="DQ592" s="24" t="inlineStr">
        <is>
          <t>{"artifact_hash": "1d168f11d221cd3c", "event_id": "401856881", "event_start_utc": "2026-09-26T23:00Z", "features": {"altitude_fatigue_penalty": 0.0, "away_team": "Oklahoma State Cowboys", "efficiency_gap": 0.813, "elo_away": 1059.2, "elo_home": 1375.6, "elo_home_win_prob": 0.8998, "event_id": "401856881", "game_start_utc": "2026-09-26T23:00Z", "home_field_advantage_points": 2.8, "home_team": "West Virginia Mountaineers", "is_dome": false, "is_fbs_vs_fcs": false, "is_neutral_site": false, "projected_away_points": 19.1, "projected_home_points": 34.4, "projected_margin_home": 15.3, "projected_possessions": 12.4, "projected_total": 53.6, "stadium_elevation_ft": 1000, "travel_distance_miles": 963.0, "uncertainty": 0.165, "weather_total_adjustment": 0.0}, "historical_source_observation_times_verified": false, "inference_inputs": {"engine_source_sha256": "449ba2f0e86fa9c445730076a0e0bf100fb4914620be53c75c6f3bfe24298f3f", "mu_away": 19.1, "mu_home": 34.4,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2857614244149479629590889465313099373}, "uinteger": 0}, "spread_home_line": -1.5, "total_line": 60.5}, "market_type": "moneyline", "model_version": "college-football-v1", "observed_at_utc": "2026-09-26T22:34:32.504573+00:00", "probabilities": {"away": 0.203637, "home": 0.796363}, "replay_scope": "Full precision score means, exact engine parameters and original RNG state; upstream feature construction not certified.", "schema": "cfb-joint-replay-v1", "snapshot_hash": "b177fd75ace83f5c58370c1b86d2cb18248c2539443bc057ed513f864c2157b5", "sport": "NCAAF"}</t>
        </is>
      </c>
    </row>
    <row r="593" ht="36" customHeight="1">
      <c r="A593" s="24" t="inlineStr">
        <is>
          <t>1a5338bbf21b46b0</t>
        </is>
      </c>
      <c r="B593" s="24" t="inlineStr">
        <is>
          <t>2026-09-26T22:34:32.504573Z</t>
        </is>
      </c>
      <c r="C593" s="24" t="inlineStr">
        <is>
          <t>2026-09-26T23:00Z</t>
        </is>
      </c>
      <c r="D593" s="24" t="inlineStr">
        <is>
          <t>401856881</t>
        </is>
      </c>
      <c r="E593" s="24" t="inlineStr">
        <is>
          <t>NCAAF</t>
        </is>
      </c>
      <c r="F593" s="24" t="inlineStr">
        <is>
          <t>Oklahoma State Cowboys</t>
        </is>
      </c>
      <c r="G593" s="24" t="inlineStr">
        <is>
          <t>West Virginia Mountaineers</t>
        </is>
      </c>
      <c r="H593" s="24" t="inlineStr">
        <is>
          <t>spread</t>
        </is>
      </c>
      <c r="I593" s="24" t="inlineStr">
        <is>
          <t>home</t>
        </is>
      </c>
      <c r="J593" s="25" t="n">
        <v>-1.5</v>
      </c>
      <c r="K593" s="24" t="inlineStr">
        <is>
          <t>espn_consensus</t>
        </is>
      </c>
      <c r="L593" s="26" t="n">
        <v>-112</v>
      </c>
      <c r="M593" s="27" t="n">
        <v>1.892857</v>
      </c>
      <c r="N593" s="28" t="n">
        <v>0.528302</v>
      </c>
      <c r="O593" s="28" t="n">
        <v>0.7728</v>
      </c>
      <c r="P593" s="28" t="n">
        <v>0.165</v>
      </c>
      <c r="Q593" s="28" t="n">
        <v>0.244498</v>
      </c>
      <c r="R593" s="26" t="n">
        <v>73</v>
      </c>
      <c r="S593" s="29" t="n">
        <v>1.5</v>
      </c>
      <c r="T593" s="24" t="inlineStr">
        <is>
          <t>cfb-spread-v1</t>
        </is>
      </c>
      <c r="U593" s="24" t="inlineStr">
        <is>
          <t>settled</t>
        </is>
      </c>
      <c r="V593" s="24" t="inlineStr">
        <is>
          <t>loss</t>
        </is>
      </c>
      <c r="W593" s="26" t="n">
        <v>41</v>
      </c>
      <c r="X593" s="26" t="n">
        <v>24</v>
      </c>
      <c r="Y593" s="25" t="n"/>
      <c r="Z593" s="26" t="n"/>
      <c r="AA593" s="28" t="n"/>
      <c r="AB593" s="28" t="n"/>
      <c r="AC593" s="30" t="n">
        <v>-1.5</v>
      </c>
      <c r="AD593" s="24" t="inlineStr">
        <is>
          <t>2026-09-27T04:31:56.400927Z</t>
        </is>
      </c>
      <c r="AE593" s="31" t="inlineStr">
        <is>
          <t>Projected home margin +15.3 pts. Spread: Home -1.5 / Away +1.5 -&gt; P(Away cover)=0.227, P(Home cover)=0.773, P(Push)=0.000.</t>
        </is>
      </c>
      <c r="AF593" s="31" t="inlineStr">
        <is>
          <t>College football model; multi-market (moneyline, spread, total).</t>
        </is>
      </c>
      <c r="AG593" s="24" t="inlineStr">
        <is>
          <t>review_required</t>
        </is>
      </c>
      <c r="AH593" s="24" t="n"/>
      <c r="AI593" s="31" t="n"/>
      <c r="AJ593" s="31" t="n"/>
      <c r="AK593" s="24" t="inlineStr">
        <is>
          <t>model_qualified</t>
        </is>
      </c>
      <c r="AL593" s="26" t="n">
        <v>4</v>
      </c>
      <c r="AM593" s="24" t="inlineStr">
        <is>
          <t>QUALIFIED_SHADOW_CALL</t>
        </is>
      </c>
      <c r="AN593" s="24" t="inlineStr">
        <is>
          <t>CALL</t>
        </is>
      </c>
      <c r="AO593" s="24" t="inlineStr">
        <is>
          <t>QUALIFIED</t>
        </is>
      </c>
      <c r="AP593" s="24" t="inlineStr">
        <is>
          <t>Oklahoma State Cowboys</t>
        </is>
      </c>
      <c r="AQ593" s="24" t="inlineStr">
        <is>
          <t>Oklahoma State Cowboys</t>
        </is>
      </c>
      <c r="AR593" s="24" t="inlineStr">
        <is>
          <t>Oklahoma State Cowboys</t>
        </is>
      </c>
      <c r="AS593" s="24" t="inlineStr">
        <is>
          <t>West Virginia Mountaineers</t>
        </is>
      </c>
      <c r="AT593" s="24" t="inlineStr">
        <is>
          <t>West Virginia Mountaineers</t>
        </is>
      </c>
      <c r="AU593" s="24" t="inlineStr">
        <is>
          <t>West Virginia Mountaineers</t>
        </is>
      </c>
      <c r="AV593" s="24" t="n"/>
      <c r="AW593" s="24" t="n"/>
      <c r="AX593" s="24" t="inlineStr">
        <is>
          <t>statistical_model</t>
        </is>
      </c>
      <c r="AY593" s="24" t="n"/>
      <c r="AZ593" s="24" t="inlineStr">
        <is>
          <t>shadow_qualified</t>
        </is>
      </c>
      <c r="BA593" s="24" t="inlineStr">
        <is>
          <t>1d168f11d221cd3c</t>
        </is>
      </c>
      <c r="BB593" s="24" t="inlineStr">
        <is>
          <t>cfb_key_number_engine</t>
        </is>
      </c>
      <c r="BC593" s="24" t="inlineStr">
        <is>
          <t>cfb-spread-v1</t>
        </is>
      </c>
      <c r="BD593" s="24" t="inlineStr">
        <is>
          <t>1d168f11d221cd3c</t>
        </is>
      </c>
      <c r="BE593" s="24" t="inlineStr">
        <is>
          <t>cfb-v1</t>
        </is>
      </c>
      <c r="BF593" s="24" t="inlineStr">
        <is>
          <t>1</t>
        </is>
      </c>
      <c r="BG593" s="24" t="inlineStr">
        <is>
          <t>1d168f11d221cd3c</t>
        </is>
      </c>
      <c r="BH593" s="24" t="inlineStr">
        <is>
          <t>2026-09-26T22:34:32.504573+00:00</t>
        </is>
      </c>
      <c r="BI593" s="24" t="inlineStr">
        <is>
          <t>["same_event","same_team_same_day","same_league_same_day"]</t>
        </is>
      </c>
      <c r="BJ593" s="25" t="n">
        <v>-1.5</v>
      </c>
      <c r="BK593" s="26" t="n">
        <v>-112</v>
      </c>
      <c r="BL593" s="27" t="n">
        <v>1.892857</v>
      </c>
      <c r="BM593" s="28" t="n">
        <v>0.528302</v>
      </c>
      <c r="BN593" s="28" t="n"/>
      <c r="BO593" s="28" t="n"/>
      <c r="BP593" s="25" t="n"/>
      <c r="BQ593" s="27" t="n"/>
      <c r="BR593" s="28" t="n"/>
      <c r="BS593" s="28" t="n"/>
      <c r="BT593" s="28" t="n"/>
      <c r="BU593" s="25" t="n"/>
      <c r="BV593" s="29" t="n"/>
      <c r="BW593" s="24" t="n"/>
      <c r="BX593" s="30" t="n"/>
      <c r="BY593" s="27" t="n"/>
      <c r="BZ593" s="24" t="n"/>
      <c r="CA593" s="31" t="n"/>
      <c r="CB593" s="24" t="n"/>
      <c r="CC593" s="24" t="n"/>
      <c r="CD593" s="24" t="n"/>
      <c r="CE593" s="24" t="n"/>
      <c r="CF593" s="24" t="n"/>
      <c r="CG593" s="24" t="n"/>
      <c r="CH593" s="24" t="n"/>
      <c r="CI593" s="24" t="n"/>
      <c r="CJ593" s="24" t="n"/>
      <c r="CK593" s="24" t="n"/>
      <c r="CL593" s="24" t="n"/>
      <c r="CM593" s="24" t="n"/>
      <c r="CN593" s="24" t="n"/>
      <c r="CO593" s="24" t="n"/>
      <c r="CP593" s="24" t="n"/>
      <c r="CQ593" s="24" t="n"/>
      <c r="CR593" s="24" t="n"/>
      <c r="CS593" s="24" t="inlineStr">
        <is>
          <t>True</t>
        </is>
      </c>
      <c r="CT593" s="24" t="n"/>
      <c r="CU593" s="24" t="n"/>
      <c r="CV593" s="24" t="n"/>
      <c r="CW593" s="24" t="n"/>
      <c r="CX593" s="24" t="n"/>
      <c r="CY593" s="24" t="n"/>
      <c r="CZ593" s="24" t="n"/>
      <c r="DA593" s="24" t="n"/>
      <c r="DB593" s="24" t="n"/>
      <c r="DC593" s="24" t="n"/>
      <c r="DD593" s="24" t="n"/>
      <c r="DE593" s="24" t="n"/>
      <c r="DF593" s="24" t="n"/>
      <c r="DG593" s="24" t="n"/>
      <c r="DH593" s="24" t="n"/>
      <c r="DI593" s="24" t="n"/>
      <c r="DJ593" s="24" t="inlineStr">
        <is>
          <t>0.528302</t>
        </is>
      </c>
      <c r="DK593" s="24" t="n"/>
      <c r="DL593" s="24" t="n"/>
      <c r="DM593" s="24" t="n"/>
      <c r="DN593" s="24" t="n"/>
      <c r="DO593" s="24" t="n"/>
      <c r="DP593" s="24" t="n"/>
      <c r="DQ593" s="24" t="inlineStr">
        <is>
          <t>{"artifact_hash": "1d168f11d221cd3c", "event_id": "401856881", "event_start_utc": "2026-09-26T23:00Z", "features": {"altitude_fatigue_penalty": 0.0, "away_team": "Oklahoma State Cowboys", "efficiency_gap": 0.813, "elo_away": 1059.2, "elo_home": 1375.6, "elo_home_win_prob": 0.8998, "event_id": "401856881", "game_start_utc": "2026-09-26T23:00Z", "home_field_advantage_points": 2.8, "home_team": "West Virginia Mountaineers", "is_dome": false, "is_fbs_vs_fcs": false, "is_neutral_site": false, "projected_away_points": 19.1, "projected_home_points": 34.4, "projected_margin_home": 15.3, "projected_possessions": 12.4, "projected_total": 53.6, "stadium_elevation_ft": 1000, "travel_distance_miles": 963.0, "uncertainty": 0.165, "weather_total_adjustment": 0.0}, "historical_source_observation_times_verified": false, "inference_inputs": {"engine_source_sha256": "449ba2f0e86fa9c445730076a0e0bf100fb4914620be53c75c6f3bfe24298f3f", "mu_away": 19.1, "mu_home": 34.4,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2857614244149479629590889465313099373}, "uinteger": 0}, "spread_home_line": -1.5, "total_line": 60.5}, "market_type": "spread", "model_version": "cfb-spread-v1", "observed_at_utc": "2026-09-26T22:34:32.504573+00:00", "probabilities": {"away": 0.2272, "home": 0.7728, "push": 0.0}, "replay_scope": "Full precision score means, exact engine parameters and original RNG state; upstream feature construction not certified.", "schema": "cfb-joint-replay-v1", "snapshot_hash": "8e5f9201c4a13458e7cda8f40eec8c9e808f0e9b824b6ab9cd6d51502c0661cb", "sport": "NCAAF"}</t>
        </is>
      </c>
    </row>
    <row r="594" ht="36" customHeight="1">
      <c r="A594" s="24" t="inlineStr">
        <is>
          <t>d37a5b6a166f4092</t>
        </is>
      </c>
      <c r="B594" s="24" t="inlineStr">
        <is>
          <t>2026-09-26T22:34:32.504573Z</t>
        </is>
      </c>
      <c r="C594" s="24" t="inlineStr">
        <is>
          <t>2026-09-26T23:00Z</t>
        </is>
      </c>
      <c r="D594" s="24" t="inlineStr">
        <is>
          <t>401856881</t>
        </is>
      </c>
      <c r="E594" s="24" t="inlineStr">
        <is>
          <t>NCAAF</t>
        </is>
      </c>
      <c r="F594" s="24" t="inlineStr">
        <is>
          <t>Oklahoma State Cowboys</t>
        </is>
      </c>
      <c r="G594" s="24" t="inlineStr">
        <is>
          <t>West Virginia Mountaineers</t>
        </is>
      </c>
      <c r="H594" s="24" t="inlineStr">
        <is>
          <t>total</t>
        </is>
      </c>
      <c r="I594" s="24" t="inlineStr">
        <is>
          <t>under</t>
        </is>
      </c>
      <c r="J594" s="25" t="n">
        <v>60.5</v>
      </c>
      <c r="K594" s="24" t="inlineStr">
        <is>
          <t>espn_consensus</t>
        </is>
      </c>
      <c r="L594" s="26" t="n">
        <v>-110</v>
      </c>
      <c r="M594" s="27" t="n">
        <v>1.909091</v>
      </c>
      <c r="N594" s="28" t="n">
        <v>0.52381</v>
      </c>
      <c r="O594" s="28" t="n">
        <v>0.6446</v>
      </c>
      <c r="P594" s="28" t="n">
        <v>0.165</v>
      </c>
      <c r="Q594" s="28" t="n">
        <v>0.12079</v>
      </c>
      <c r="R594" s="26" t="n">
        <v>11</v>
      </c>
      <c r="S594" s="29" t="n">
        <v>1</v>
      </c>
      <c r="T594" s="24" t="inlineStr">
        <is>
          <t>cfb-total-v1</t>
        </is>
      </c>
      <c r="U594" s="24" t="inlineStr">
        <is>
          <t>settled</t>
        </is>
      </c>
      <c r="V594" s="24" t="inlineStr">
        <is>
          <t>loss</t>
        </is>
      </c>
      <c r="W594" s="26" t="n">
        <v>41</v>
      </c>
      <c r="X594" s="26" t="n">
        <v>24</v>
      </c>
      <c r="Y594" s="25" t="n"/>
      <c r="Z594" s="26" t="n"/>
      <c r="AA594" s="28" t="n"/>
      <c r="AB594" s="28" t="n"/>
      <c r="AC594" s="30" t="n">
        <v>-1</v>
      </c>
      <c r="AD594" s="24" t="inlineStr">
        <is>
          <t>2026-09-27T04:31:56.984604Z</t>
        </is>
      </c>
      <c r="AE594" s="31" t="inlineStr">
        <is>
          <t>Projected total 53.6 pts (Weather adj: +0.0 pts). Total line 60.5 -&gt; P(Over)=0.355, P(Under)=0.645, P(Push)=0.000.</t>
        </is>
      </c>
      <c r="AF594" s="31" t="inlineStr">
        <is>
          <t>College football model; multi-market (moneyline, spread, total).</t>
        </is>
      </c>
      <c r="AG594" s="24" t="inlineStr">
        <is>
          <t>review_required</t>
        </is>
      </c>
      <c r="AH594" s="24" t="n"/>
      <c r="AI594" s="31" t="n"/>
      <c r="AJ594" s="31" t="n"/>
      <c r="AK594" s="24" t="inlineStr">
        <is>
          <t>model_qualified</t>
        </is>
      </c>
      <c r="AL594" s="26" t="n">
        <v>4</v>
      </c>
      <c r="AM594" s="24" t="inlineStr">
        <is>
          <t>QUALIFIED_SHADOW_CALL</t>
        </is>
      </c>
      <c r="AN594" s="24" t="inlineStr">
        <is>
          <t>CALL</t>
        </is>
      </c>
      <c r="AO594" s="24" t="inlineStr">
        <is>
          <t>QUALIFIED</t>
        </is>
      </c>
      <c r="AP594" s="24" t="inlineStr">
        <is>
          <t>Oklahoma State Cowboys</t>
        </is>
      </c>
      <c r="AQ594" s="24" t="inlineStr">
        <is>
          <t>Oklahoma State Cowboys</t>
        </is>
      </c>
      <c r="AR594" s="24" t="inlineStr">
        <is>
          <t>Oklahoma State Cowboys</t>
        </is>
      </c>
      <c r="AS594" s="24" t="inlineStr">
        <is>
          <t>West Virginia Mountaineers</t>
        </is>
      </c>
      <c r="AT594" s="24" t="inlineStr">
        <is>
          <t>West Virginia Mountaineers</t>
        </is>
      </c>
      <c r="AU594" s="24" t="inlineStr">
        <is>
          <t>West Virginia Mountaineers</t>
        </is>
      </c>
      <c r="AV594" s="24" t="n"/>
      <c r="AW594" s="24" t="n"/>
      <c r="AX594" s="24" t="inlineStr">
        <is>
          <t>statistical_model</t>
        </is>
      </c>
      <c r="AY594" s="24" t="n"/>
      <c r="AZ594" s="24" t="inlineStr">
        <is>
          <t>shadow_qualified</t>
        </is>
      </c>
      <c r="BA594" s="24" t="inlineStr">
        <is>
          <t>1d168f11d221cd3c</t>
        </is>
      </c>
      <c r="BB594" s="24" t="inlineStr">
        <is>
          <t>cfb_key_number_engine</t>
        </is>
      </c>
      <c r="BC594" s="24" t="inlineStr">
        <is>
          <t>cfb-total-v1</t>
        </is>
      </c>
      <c r="BD594" s="24" t="inlineStr">
        <is>
          <t>1d168f11d221cd3c</t>
        </is>
      </c>
      <c r="BE594" s="24" t="inlineStr">
        <is>
          <t>cfb-v1</t>
        </is>
      </c>
      <c r="BF594" s="24" t="inlineStr">
        <is>
          <t>1</t>
        </is>
      </c>
      <c r="BG594" s="24" t="inlineStr">
        <is>
          <t>1d168f11d221cd3c</t>
        </is>
      </c>
      <c r="BH594" s="24" t="inlineStr">
        <is>
          <t>2026-09-26T22:34:32.504573+00:00</t>
        </is>
      </c>
      <c r="BI594" s="24" t="inlineStr">
        <is>
          <t>["same_event","same_team_same_day","same_league_same_day"]</t>
        </is>
      </c>
      <c r="BJ594" s="25" t="n">
        <v>60.5</v>
      </c>
      <c r="BK594" s="26" t="n">
        <v>-110</v>
      </c>
      <c r="BL594" s="27" t="n">
        <v>1.909091</v>
      </c>
      <c r="BM594" s="28" t="n">
        <v>0.52381</v>
      </c>
      <c r="BN594" s="28" t="n"/>
      <c r="BO594" s="28" t="n"/>
      <c r="BP594" s="25" t="n"/>
      <c r="BQ594" s="27" t="n"/>
      <c r="BR594" s="28" t="n"/>
      <c r="BS594" s="28" t="n"/>
      <c r="BT594" s="28" t="n"/>
      <c r="BU594" s="25" t="n"/>
      <c r="BV594" s="29" t="n"/>
      <c r="BW594" s="24" t="n"/>
      <c r="BX594" s="30" t="n"/>
      <c r="BY594" s="27" t="n"/>
      <c r="BZ594" s="24" t="n"/>
      <c r="CA594" s="31" t="n"/>
      <c r="CB594" s="24" t="n"/>
      <c r="CC594" s="24" t="n"/>
      <c r="CD594" s="24" t="n"/>
      <c r="CE594" s="24" t="n"/>
      <c r="CF594" s="24" t="n"/>
      <c r="CG594" s="24" t="n"/>
      <c r="CH594" s="24" t="n"/>
      <c r="CI594" s="24" t="n"/>
      <c r="CJ594" s="24" t="n"/>
      <c r="CK594" s="24" t="n"/>
      <c r="CL594" s="24" t="n"/>
      <c r="CM594" s="24" t="n"/>
      <c r="CN594" s="24" t="n"/>
      <c r="CO594" s="24" t="n"/>
      <c r="CP594" s="24" t="n"/>
      <c r="CQ594" s="24" t="n"/>
      <c r="CR594" s="24" t="n"/>
      <c r="CS594" s="24" t="inlineStr">
        <is>
          <t>True</t>
        </is>
      </c>
      <c r="CT594" s="24" t="n"/>
      <c r="CU594" s="24" t="n"/>
      <c r="CV594" s="24" t="n"/>
      <c r="CW594" s="24" t="n"/>
      <c r="CX594" s="24" t="n"/>
      <c r="CY594" s="24" t="n"/>
      <c r="CZ594" s="24" t="n"/>
      <c r="DA594" s="24" t="n"/>
      <c r="DB594" s="24" t="n"/>
      <c r="DC594" s="24" t="n"/>
      <c r="DD594" s="24" t="n"/>
      <c r="DE594" s="24" t="n"/>
      <c r="DF594" s="24" t="n"/>
      <c r="DG594" s="24" t="n"/>
      <c r="DH594" s="24" t="n"/>
      <c r="DI594" s="24" t="n"/>
      <c r="DJ594" s="24" t="inlineStr">
        <is>
          <t>0.52381</t>
        </is>
      </c>
      <c r="DK594" s="24" t="n"/>
      <c r="DL594" s="24" t="n"/>
      <c r="DM594" s="24" t="n"/>
      <c r="DN594" s="24" t="n"/>
      <c r="DO594" s="24" t="n"/>
      <c r="DP594" s="24" t="n"/>
      <c r="DQ594" s="24" t="inlineStr">
        <is>
          <t>{"artifact_hash": "1d168f11d221cd3c", "event_id": "401856881", "event_start_utc": "2026-09-26T23:00Z", "features": {"altitude_fatigue_penalty": 0.0, "away_team": "Oklahoma State Cowboys", "efficiency_gap": 0.813, "elo_away": 1059.2, "elo_home": 1375.6, "elo_home_win_prob": 0.8998, "event_id": "401856881", "game_start_utc": "2026-09-26T23:00Z", "home_field_advantage_points": 2.8, "home_team": "West Virginia Mountaineers", "is_dome": false, "is_fbs_vs_fcs": false, "is_neutral_site": false, "projected_away_points": 19.1, "projected_home_points": 34.4, "projected_margin_home": 15.3, "projected_possessions": 12.4, "projected_total": 53.6, "stadium_elevation_ft": 1000, "travel_distance_miles": 963.0, "uncertainty": 0.165, "weather_total_adjustment": 0.0}, "historical_source_observation_times_verified": false, "inference_inputs": {"engine_source_sha256": "449ba2f0e86fa9c445730076a0e0bf100fb4914620be53c75c6f3bfe24298f3f", "mu_away": 19.1, "mu_home": 34.4,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2857614244149479629590889465313099373}, "uinteger": 0}, "spread_home_line": -1.5, "total_line": 60.5}, "market_type": "total", "model_version": "cfb-total-v1", "observed_at_utc": "2026-09-26T22:34:32.504573+00:00", "probabilities": {"over": 0.3554, "push": 0.0, "under": 0.6446}, "replay_scope": "Full precision score means, exact engine parameters and original RNG state; upstream feature construction not certified.", "schema": "cfb-joint-replay-v1", "snapshot_hash": "7c1f6a9c57318130ee87ceed168925f74a13d450b61e2d16b2a8388dc2977a5a", "sport": "NCAAF"}</t>
        </is>
      </c>
    </row>
    <row r="595" ht="36" customHeight="1">
      <c r="A595" s="24" t="inlineStr">
        <is>
          <t>00398e91db244232</t>
        </is>
      </c>
      <c r="B595" s="24" t="inlineStr">
        <is>
          <t>2026-09-26T22:34:32.504573Z</t>
        </is>
      </c>
      <c r="C595" s="24" t="inlineStr">
        <is>
          <t>2026-09-26T23:00Z</t>
        </is>
      </c>
      <c r="D595" s="24" t="inlineStr">
        <is>
          <t>401862784</t>
        </is>
      </c>
      <c r="E595" s="24" t="inlineStr">
        <is>
          <t>NCAAF</t>
        </is>
      </c>
      <c r="F595" s="24" t="inlineStr">
        <is>
          <t>Southern Miss Golden Eagles</t>
        </is>
      </c>
      <c r="G595" s="24" t="inlineStr">
        <is>
          <t>Tulane Green Wave</t>
        </is>
      </c>
      <c r="H595" s="24" t="inlineStr">
        <is>
          <t>moneyline</t>
        </is>
      </c>
      <c r="I595" s="24" t="inlineStr">
        <is>
          <t>home</t>
        </is>
      </c>
      <c r="J595" s="25" t="n"/>
      <c r="K595" s="24" t="inlineStr">
        <is>
          <t>espn_consensus</t>
        </is>
      </c>
      <c r="L595" s="26" t="n">
        <v>-1100</v>
      </c>
      <c r="M595" s="27" t="n">
        <v>1.090909</v>
      </c>
      <c r="N595" s="28" t="n">
        <v>0.916667</v>
      </c>
      <c r="O595" s="28" t="n">
        <v>0.703976</v>
      </c>
      <c r="P595" s="28" t="n">
        <v>0.18</v>
      </c>
      <c r="Q595" s="28" t="n">
        <v>-0.212691</v>
      </c>
      <c r="R595" s="26" t="n">
        <v>0</v>
      </c>
      <c r="S595" s="29" t="n">
        <v>1</v>
      </c>
      <c r="T595" s="24" t="inlineStr">
        <is>
          <t>college-football-v1</t>
        </is>
      </c>
      <c r="U595" s="24" t="inlineStr">
        <is>
          <t>settled</t>
        </is>
      </c>
      <c r="V595" s="24" t="inlineStr">
        <is>
          <t>win</t>
        </is>
      </c>
      <c r="W595" s="26" t="n">
        <v>21</v>
      </c>
      <c r="X595" s="26" t="n">
        <v>24</v>
      </c>
      <c r="Y595" s="25" t="n"/>
      <c r="Z595" s="26" t="n"/>
      <c r="AA595" s="28" t="n"/>
      <c r="AB595" s="28" t="n"/>
      <c r="AC595" s="30" t="n">
        <v>0.09089999999999999</v>
      </c>
      <c r="AD595" s="24" t="inlineStr">
        <is>
          <t>2026-09-27T04:31:57.643221Z</t>
        </is>
      </c>
      <c r="AE595" s="31" t="inlineStr">
        <is>
          <t>CFB Joint Model (negative_binomial): proj score Southern Miss Golden Eagles 20.9 @ Tulane Green Wave 31.3 (Margin +10.4). Possessions: 12.4, HFA: +2.8 pts.</t>
        </is>
      </c>
      <c r="AF595" s="31" t="inlineStr">
        <is>
          <t>College football model; multi-market (moneyline, spread, total).</t>
        </is>
      </c>
      <c r="AG595" s="24" t="inlineStr">
        <is>
          <t>not_applicable</t>
        </is>
      </c>
      <c r="AH595" s="24" t="n"/>
      <c r="AI595" s="31" t="n"/>
      <c r="AJ595" s="31" t="n"/>
      <c r="AK595" s="24" t="inlineStr">
        <is>
          <t>paper_call</t>
        </is>
      </c>
      <c r="AL595" s="26" t="n">
        <v>4</v>
      </c>
      <c r="AM595" s="24" t="inlineStr">
        <is>
          <t>RESEARCH_OBSERVATION</t>
        </is>
      </c>
      <c r="AN595" s="24" t="inlineStr">
        <is>
          <t>CALL</t>
        </is>
      </c>
      <c r="AO595" s="24" t="inlineStr">
        <is>
          <t>PAPER_CALL_LOW_EDGE</t>
        </is>
      </c>
      <c r="AP595" s="24" t="inlineStr">
        <is>
          <t>Southern Miss Golden Eagles</t>
        </is>
      </c>
      <c r="AQ595" s="24" t="inlineStr">
        <is>
          <t>Southern Miss Golden Eagles</t>
        </is>
      </c>
      <c r="AR595" s="24" t="inlineStr">
        <is>
          <t>Southern Miss Golden Eagles</t>
        </is>
      </c>
      <c r="AS595" s="24" t="inlineStr">
        <is>
          <t>Tulane Green Wave</t>
        </is>
      </c>
      <c r="AT595" s="24" t="inlineStr">
        <is>
          <t>Tulane Green Wave</t>
        </is>
      </c>
      <c r="AU595" s="24" t="inlineStr">
        <is>
          <t>Tulane Green Wave</t>
        </is>
      </c>
      <c r="AV595" s="24" t="n"/>
      <c r="AW595" s="24" t="n"/>
      <c r="AX595" s="24" t="inlineStr">
        <is>
          <t>statistical_model</t>
        </is>
      </c>
      <c r="AY595" s="24" t="n"/>
      <c r="AZ595" s="24" t="inlineStr">
        <is>
          <t>shadow_qualified</t>
        </is>
      </c>
      <c r="BA595" s="24" t="inlineStr">
        <is>
          <t>1d168f11d221cd3c</t>
        </is>
      </c>
      <c r="BB595" s="24" t="inlineStr">
        <is>
          <t>cfb_key_number_engine</t>
        </is>
      </c>
      <c r="BC595" s="24" t="inlineStr">
        <is>
          <t>college-football-v1</t>
        </is>
      </c>
      <c r="BD595" s="24" t="inlineStr">
        <is>
          <t>1d168f11d221cd3c</t>
        </is>
      </c>
      <c r="BE595" s="24" t="inlineStr">
        <is>
          <t>cfb-v1</t>
        </is>
      </c>
      <c r="BF595" s="24" t="inlineStr">
        <is>
          <t>1</t>
        </is>
      </c>
      <c r="BG595" s="24" t="inlineStr">
        <is>
          <t>1d168f11d221cd3c</t>
        </is>
      </c>
      <c r="BH595" s="24" t="inlineStr">
        <is>
          <t>2026-09-26T22:34:32.504573+00:00</t>
        </is>
      </c>
      <c r="BI595" s="24" t="inlineStr">
        <is>
          <t>["same_event","same_team_same_day","same_league_same_day"]</t>
        </is>
      </c>
      <c r="BJ595" s="25" t="n"/>
      <c r="BK595" s="26" t="n">
        <v>-1100</v>
      </c>
      <c r="BL595" s="27" t="n">
        <v>1.090909</v>
      </c>
      <c r="BM595" s="28" t="n">
        <v>0.916667</v>
      </c>
      <c r="BN595" s="28" t="n"/>
      <c r="BO595" s="28" t="n"/>
      <c r="BP595" s="25" t="n"/>
      <c r="BQ595" s="27" t="n"/>
      <c r="BR595" s="28" t="n"/>
      <c r="BS595" s="28" t="n"/>
      <c r="BT595" s="28" t="n"/>
      <c r="BU595" s="25" t="n"/>
      <c r="BV595" s="29" t="n"/>
      <c r="BW595" s="24" t="n"/>
      <c r="BX595" s="30" t="n">
        <v>1</v>
      </c>
      <c r="BY595" s="27" t="n">
        <v>0.090909</v>
      </c>
      <c r="BZ595" s="24" t="inlineStr">
        <is>
          <t>2026-09-27T04:31:57.643221Z</t>
        </is>
      </c>
      <c r="CA595" s="31" t="inlineStr">
        <is>
          <t>fixed one-unit hypothetical scoring; no real exposure or execution</t>
        </is>
      </c>
      <c r="CB595" s="24" t="n"/>
      <c r="CC595" s="24" t="n"/>
      <c r="CD595" s="24" t="n"/>
      <c r="CE595" s="24" t="n"/>
      <c r="CF595" s="24" t="n"/>
      <c r="CG595" s="24" t="n"/>
      <c r="CH595" s="24" t="n"/>
      <c r="CI595" s="24" t="n"/>
      <c r="CJ595" s="24" t="n"/>
      <c r="CK595" s="24" t="n"/>
      <c r="CL595" s="24" t="n"/>
      <c r="CM595" s="24" t="n"/>
      <c r="CN595" s="24" t="n"/>
      <c r="CO595" s="24" t="n"/>
      <c r="CP595" s="24" t="n"/>
      <c r="CQ595" s="24" t="n"/>
      <c r="CR595" s="24" t="n"/>
      <c r="CS595" s="24" t="inlineStr">
        <is>
          <t>False</t>
        </is>
      </c>
      <c r="CT595" s="24" t="n"/>
      <c r="CU595" s="24" t="n"/>
      <c r="CV595" s="24" t="n"/>
      <c r="CW595" s="24" t="n"/>
      <c r="CX595" s="24" t="n"/>
      <c r="CY595" s="24" t="n"/>
      <c r="CZ595" s="24" t="n"/>
      <c r="DA595" s="24" t="n"/>
      <c r="DB595" s="24" t="n"/>
      <c r="DC595" s="24" t="n"/>
      <c r="DD595" s="24" t="n"/>
      <c r="DE595" s="24" t="n"/>
      <c r="DF595" s="24" t="n"/>
      <c r="DG595" s="24" t="n"/>
      <c r="DH595" s="24" t="n"/>
      <c r="DI595" s="24" t="n"/>
      <c r="DJ595" s="24" t="inlineStr">
        <is>
          <t>0.916667</t>
        </is>
      </c>
      <c r="DK595" s="24" t="n"/>
      <c r="DL595" s="24" t="n"/>
      <c r="DM595" s="24" t="n"/>
      <c r="DN595" s="24" t="n"/>
      <c r="DO595" s="24" t="n"/>
      <c r="DP595" s="24" t="n"/>
      <c r="DQ595" s="24" t="inlineStr">
        <is>
          <t>{"artifact_hash": "1d168f11d221cd3c", "event_id": "401862784", "event_start_utc": "2026-09-26T23:00Z", "features": {"altitude_fatigue_penalty": 0.0, "away_team": "Southern Miss Golden Eagles", "efficiency_gap": -0.259, "elo_away": 1381.5, "elo_home": 1572.0, "elo_home_win_prob": 0.8131, "event_id": "401862784", "game_start_utc": "2026-09-26T23:00Z", "home_field_advantage_points": 2.8, "home_team": "Tulane Green Wave", "is_dome": false, "is_fbs_vs_fcs": false, "is_neutral_site": false, "projected_away_points": 20.9, "projected_home_points": 31.3, "projected_margin_home": 10.4, "projected_possessions": 12.4, "projected_total": 52.2, "stadium_elevation_ft": 5, "travel_distance_miles": 106.0, "uncertainty": 0.18, "weather_total_adjustment": 0.0}, "historical_source_observation_times_verified": false, "inference_inputs": {"engine_source_sha256": "449ba2f0e86fa9c445730076a0e0bf100fb4914620be53c75c6f3bfe24298f3f", "mu_away": 20.9,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281679845442269227324793927480309656487}, "uinteger": 0}, "spread_home_line": -18.5, "total_line": 52.5}, "market_type": "moneyline", "model_version": "college-football-v1", "observed_at_utc": "2026-09-26T22:34:32.504573+00:00", "probabilities": {"away": 0.296024, "home": 0.703976}, "replay_scope": "Full precision score means, exact engine parameters and original RNG state; upstream feature construction not certified.", "schema": "cfb-joint-replay-v1", "snapshot_hash": "d16117cbadfd4fa20ca56c37c3e34263498571604389f35a7e5840bffe7c6036", "sport": "NCAAF"}</t>
        </is>
      </c>
    </row>
    <row r="596" ht="36" customHeight="1">
      <c r="A596" s="24" t="inlineStr">
        <is>
          <t>380c5d042b4a4164</t>
        </is>
      </c>
      <c r="B596" s="24" t="inlineStr">
        <is>
          <t>2026-09-26T22:34:32.504573Z</t>
        </is>
      </c>
      <c r="C596" s="24" t="inlineStr">
        <is>
          <t>2026-09-26T23:00Z</t>
        </is>
      </c>
      <c r="D596" s="24" t="inlineStr">
        <is>
          <t>401862784</t>
        </is>
      </c>
      <c r="E596" s="24" t="inlineStr">
        <is>
          <t>NCAAF</t>
        </is>
      </c>
      <c r="F596" s="24" t="inlineStr">
        <is>
          <t>Southern Miss Golden Eagles</t>
        </is>
      </c>
      <c r="G596" s="24" t="inlineStr">
        <is>
          <t>Tulane Green Wave</t>
        </is>
      </c>
      <c r="H596" s="24" t="inlineStr">
        <is>
          <t>spread</t>
        </is>
      </c>
      <c r="I596" s="24" t="inlineStr">
        <is>
          <t>away</t>
        </is>
      </c>
      <c r="J596" s="25" t="n">
        <v>18.5</v>
      </c>
      <c r="K596" s="24" t="inlineStr">
        <is>
          <t>espn_consensus</t>
        </is>
      </c>
      <c r="L596" s="26" t="n">
        <v>-112</v>
      </c>
      <c r="M596" s="27" t="n">
        <v>1.892857</v>
      </c>
      <c r="N596" s="28" t="n">
        <v>0.528302</v>
      </c>
      <c r="O596" s="28" t="n">
        <v>0.6682</v>
      </c>
      <c r="P596" s="28" t="n">
        <v>0.18</v>
      </c>
      <c r="Q596" s="28" t="n">
        <v>0.139898</v>
      </c>
      <c r="R596" s="26" t="n">
        <v>12</v>
      </c>
      <c r="S596" s="29" t="n">
        <v>1</v>
      </c>
      <c r="T596" s="24" t="inlineStr">
        <is>
          <t>cfb-spread-v1</t>
        </is>
      </c>
      <c r="U596" s="24" t="inlineStr">
        <is>
          <t>settled</t>
        </is>
      </c>
      <c r="V596" s="24" t="inlineStr">
        <is>
          <t>win</t>
        </is>
      </c>
      <c r="W596" s="26" t="n">
        <v>21</v>
      </c>
      <c r="X596" s="26" t="n">
        <v>24</v>
      </c>
      <c r="Y596" s="25" t="n"/>
      <c r="Z596" s="26" t="n"/>
      <c r="AA596" s="28" t="n"/>
      <c r="AB596" s="28" t="n"/>
      <c r="AC596" s="30" t="n">
        <v>0.8929</v>
      </c>
      <c r="AD596" s="24" t="inlineStr">
        <is>
          <t>2026-09-27T04:31:58.154220Z</t>
        </is>
      </c>
      <c r="AE596" s="31" t="inlineStr">
        <is>
          <t>Projected home margin +10.4 pts. Spread: Home -18.5 / Away +18.5 -&gt; P(Away cover)=0.668, P(Home cover)=0.332, P(Push)=0.000.</t>
        </is>
      </c>
      <c r="AF596" s="31" t="inlineStr">
        <is>
          <t>College football model; multi-market (moneyline, spread, total).</t>
        </is>
      </c>
      <c r="AG596" s="24" t="inlineStr">
        <is>
          <t>not_applicable</t>
        </is>
      </c>
      <c r="AH596" s="24" t="n"/>
      <c r="AI596" s="31" t="n"/>
      <c r="AJ596" s="31" t="n"/>
      <c r="AK596" s="24" t="inlineStr">
        <is>
          <t>model_qualified</t>
        </is>
      </c>
      <c r="AL596" s="26" t="n">
        <v>4</v>
      </c>
      <c r="AM596" s="24" t="inlineStr">
        <is>
          <t>QUALIFIED_SHADOW_CALL</t>
        </is>
      </c>
      <c r="AN596" s="24" t="inlineStr">
        <is>
          <t>CALL</t>
        </is>
      </c>
      <c r="AO596" s="24" t="inlineStr">
        <is>
          <t>QUALIFIED</t>
        </is>
      </c>
      <c r="AP596" s="24" t="inlineStr">
        <is>
          <t>Southern Miss Golden Eagles</t>
        </is>
      </c>
      <c r="AQ596" s="24" t="inlineStr">
        <is>
          <t>Southern Miss Golden Eagles</t>
        </is>
      </c>
      <c r="AR596" s="24" t="inlineStr">
        <is>
          <t>Southern Miss Golden Eagles</t>
        </is>
      </c>
      <c r="AS596" s="24" t="inlineStr">
        <is>
          <t>Tulane Green Wave</t>
        </is>
      </c>
      <c r="AT596" s="24" t="inlineStr">
        <is>
          <t>Tulane Green Wave</t>
        </is>
      </c>
      <c r="AU596" s="24" t="inlineStr">
        <is>
          <t>Tulane Green Wave</t>
        </is>
      </c>
      <c r="AV596" s="24" t="n"/>
      <c r="AW596" s="24" t="n"/>
      <c r="AX596" s="24" t="inlineStr">
        <is>
          <t>statistical_model</t>
        </is>
      </c>
      <c r="AY596" s="24" t="n"/>
      <c r="AZ596" s="24" t="inlineStr">
        <is>
          <t>shadow_qualified</t>
        </is>
      </c>
      <c r="BA596" s="24" t="inlineStr">
        <is>
          <t>1d168f11d221cd3c</t>
        </is>
      </c>
      <c r="BB596" s="24" t="inlineStr">
        <is>
          <t>cfb_key_number_engine</t>
        </is>
      </c>
      <c r="BC596" s="24" t="inlineStr">
        <is>
          <t>cfb-spread-v1</t>
        </is>
      </c>
      <c r="BD596" s="24" t="inlineStr">
        <is>
          <t>1d168f11d221cd3c</t>
        </is>
      </c>
      <c r="BE596" s="24" t="inlineStr">
        <is>
          <t>cfb-v1</t>
        </is>
      </c>
      <c r="BF596" s="24" t="inlineStr">
        <is>
          <t>1</t>
        </is>
      </c>
      <c r="BG596" s="24" t="inlineStr">
        <is>
          <t>1d168f11d221cd3c</t>
        </is>
      </c>
      <c r="BH596" s="24" t="inlineStr">
        <is>
          <t>2026-09-26T22:34:32.504573+00:00</t>
        </is>
      </c>
      <c r="BI596" s="24" t="inlineStr">
        <is>
          <t>["same_event","same_team_same_day","same_league_same_day"]</t>
        </is>
      </c>
      <c r="BJ596" s="25" t="n">
        <v>18.5</v>
      </c>
      <c r="BK596" s="26" t="n">
        <v>-112</v>
      </c>
      <c r="BL596" s="27" t="n">
        <v>1.892857</v>
      </c>
      <c r="BM596" s="28" t="n">
        <v>0.528302</v>
      </c>
      <c r="BN596" s="28" t="n"/>
      <c r="BO596" s="28" t="n"/>
      <c r="BP596" s="25" t="n"/>
      <c r="BQ596" s="27" t="n"/>
      <c r="BR596" s="28" t="n"/>
      <c r="BS596" s="28" t="n"/>
      <c r="BT596" s="28" t="n"/>
      <c r="BU596" s="25" t="n"/>
      <c r="BV596" s="29" t="n"/>
      <c r="BW596" s="24" t="n"/>
      <c r="BX596" s="30" t="n"/>
      <c r="BY596" s="27" t="n"/>
      <c r="BZ596" s="24" t="n"/>
      <c r="CA596" s="31" t="n"/>
      <c r="CB596" s="24" t="n"/>
      <c r="CC596" s="24" t="n"/>
      <c r="CD596" s="24" t="n"/>
      <c r="CE596" s="24" t="n"/>
      <c r="CF596" s="24" t="n"/>
      <c r="CG596" s="24" t="n"/>
      <c r="CH596" s="24" t="n"/>
      <c r="CI596" s="24" t="n"/>
      <c r="CJ596" s="24" t="n"/>
      <c r="CK596" s="24" t="n"/>
      <c r="CL596" s="24" t="n"/>
      <c r="CM596" s="24" t="n"/>
      <c r="CN596" s="24" t="n"/>
      <c r="CO596" s="24" t="n"/>
      <c r="CP596" s="24" t="n"/>
      <c r="CQ596" s="24" t="n"/>
      <c r="CR596" s="24" t="n"/>
      <c r="CS596" s="24" t="inlineStr">
        <is>
          <t>True</t>
        </is>
      </c>
      <c r="CT596" s="24" t="n"/>
      <c r="CU596" s="24" t="n"/>
      <c r="CV596" s="24" t="n"/>
      <c r="CW596" s="24" t="n"/>
      <c r="CX596" s="24" t="n"/>
      <c r="CY596" s="24" t="n"/>
      <c r="CZ596" s="24" t="n"/>
      <c r="DA596" s="24" t="n"/>
      <c r="DB596" s="24" t="n"/>
      <c r="DC596" s="24" t="n"/>
      <c r="DD596" s="24" t="n"/>
      <c r="DE596" s="24" t="n"/>
      <c r="DF596" s="24" t="n"/>
      <c r="DG596" s="24" t="n"/>
      <c r="DH596" s="24" t="n"/>
      <c r="DI596" s="24" t="n"/>
      <c r="DJ596" s="24" t="inlineStr">
        <is>
          <t>0.528302</t>
        </is>
      </c>
      <c r="DK596" s="24" t="n"/>
      <c r="DL596" s="24" t="n"/>
      <c r="DM596" s="24" t="n"/>
      <c r="DN596" s="24" t="n"/>
      <c r="DO596" s="24" t="n"/>
      <c r="DP596" s="24" t="n"/>
      <c r="DQ596" s="24" t="inlineStr">
        <is>
          <t>{"artifact_hash": "1d168f11d221cd3c", "event_id": "401862784", "event_start_utc": "2026-09-26T23:00Z", "features": {"altitude_fatigue_penalty": 0.0, "away_team": "Southern Miss Golden Eagles", "efficiency_gap": -0.259, "elo_away": 1381.5, "elo_home": 1572.0, "elo_home_win_prob": 0.8131, "event_id": "401862784", "game_start_utc": "2026-09-26T23:00Z", "home_field_advantage_points": 2.8, "home_team": "Tulane Green Wave", "is_dome": false, "is_fbs_vs_fcs": false, "is_neutral_site": false, "projected_away_points": 20.9, "projected_home_points": 31.3, "projected_margin_home": 10.4, "projected_possessions": 12.4, "projected_total": 52.2, "stadium_elevation_ft": 5, "travel_distance_miles": 106.0, "uncertainty": 0.18, "weather_total_adjustment": 0.0}, "historical_source_observation_times_verified": false, "inference_inputs": {"engine_source_sha256": "449ba2f0e86fa9c445730076a0e0bf100fb4914620be53c75c6f3bfe24298f3f", "mu_away": 20.9,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281679845442269227324793927480309656487}, "uinteger": 0}, "spread_home_line": -18.5, "total_line": 52.5}, "market_type": "spread", "model_version": "cfb-spread-v1", "observed_at_utc": "2026-09-26T22:34:32.504573+00:00", "probabilities": {"away": 0.6682, "home": 0.3318, "push": 0.0}, "replay_scope": "Full precision score means, exact engine parameters and original RNG state; upstream feature construction not certified.", "schema": "cfb-joint-replay-v1", "snapshot_hash": "18df4a1ef272093debc5c07a7d31a65da94cac563e5c055ffbec9e642a776050", "sport": "NCAAF"}</t>
        </is>
      </c>
    </row>
    <row r="597" ht="36" customHeight="1">
      <c r="A597" s="24" t="inlineStr">
        <is>
          <t>ee6fbfff38274680</t>
        </is>
      </c>
      <c r="B597" s="24" t="inlineStr">
        <is>
          <t>2026-09-26T22:34:32.504573Z</t>
        </is>
      </c>
      <c r="C597" s="24" t="inlineStr">
        <is>
          <t>2026-09-26T23:00Z</t>
        </is>
      </c>
      <c r="D597" s="24" t="inlineStr">
        <is>
          <t>401862784</t>
        </is>
      </c>
      <c r="E597" s="24" t="inlineStr">
        <is>
          <t>NCAAF</t>
        </is>
      </c>
      <c r="F597" s="24" t="inlineStr">
        <is>
          <t>Southern Miss Golden Eagles</t>
        </is>
      </c>
      <c r="G597" s="24" t="inlineStr">
        <is>
          <t>Tulane Green Wave</t>
        </is>
      </c>
      <c r="H597" s="24" t="inlineStr">
        <is>
          <t>total</t>
        </is>
      </c>
      <c r="I597" s="24" t="inlineStr">
        <is>
          <t>under</t>
        </is>
      </c>
      <c r="J597" s="25" t="n">
        <v>52.5</v>
      </c>
      <c r="K597" s="24" t="inlineStr">
        <is>
          <t>espn_consensus</t>
        </is>
      </c>
      <c r="L597" s="26" t="n">
        <v>-112</v>
      </c>
      <c r="M597" s="27" t="n">
        <v>1.892857</v>
      </c>
      <c r="N597" s="28" t="n">
        <v>0.528302</v>
      </c>
      <c r="O597" s="28" t="n">
        <v>0.5366</v>
      </c>
      <c r="P597" s="28" t="n">
        <v>0.18</v>
      </c>
      <c r="Q597" s="28" t="n">
        <v>0.008298</v>
      </c>
      <c r="R597" s="26" t="n">
        <v>0</v>
      </c>
      <c r="S597" s="29" t="n">
        <v>1</v>
      </c>
      <c r="T597" s="24" t="inlineStr">
        <is>
          <t>cfb-total-v1</t>
        </is>
      </c>
      <c r="U597" s="24" t="inlineStr">
        <is>
          <t>settled</t>
        </is>
      </c>
      <c r="V597" s="24" t="inlineStr">
        <is>
          <t>win</t>
        </is>
      </c>
      <c r="W597" s="26" t="n">
        <v>21</v>
      </c>
      <c r="X597" s="26" t="n">
        <v>24</v>
      </c>
      <c r="Y597" s="25" t="n"/>
      <c r="Z597" s="26" t="n"/>
      <c r="AA597" s="28" t="n"/>
      <c r="AB597" s="28" t="n"/>
      <c r="AC597" s="30" t="n">
        <v>0.8929</v>
      </c>
      <c r="AD597" s="24" t="inlineStr">
        <is>
          <t>2026-09-27T04:31:58.757321Z</t>
        </is>
      </c>
      <c r="AE597" s="31" t="inlineStr">
        <is>
          <t>Projected total 52.2 pts (Weather adj: +0.0 pts). Total line 52.5 -&gt; P(Over)=0.463, P(Under)=0.537, P(Push)=0.000.</t>
        </is>
      </c>
      <c r="AF597" s="31" t="inlineStr">
        <is>
          <t>College football model; multi-market (moneyline, spread, total).</t>
        </is>
      </c>
      <c r="AG597" s="24" t="inlineStr">
        <is>
          <t>not_applicable</t>
        </is>
      </c>
      <c r="AH597" s="24" t="n"/>
      <c r="AI597" s="31" t="n"/>
      <c r="AJ597" s="31" t="n"/>
      <c r="AK597" s="24" t="inlineStr">
        <is>
          <t>paper_call</t>
        </is>
      </c>
      <c r="AL597" s="26" t="n">
        <v>4</v>
      </c>
      <c r="AM597" s="24" t="inlineStr">
        <is>
          <t>RESEARCH_OBSERVATION</t>
        </is>
      </c>
      <c r="AN597" s="24" t="inlineStr">
        <is>
          <t>CALL</t>
        </is>
      </c>
      <c r="AO597" s="24" t="inlineStr">
        <is>
          <t>PAPER_CALL_LOW_EDGE</t>
        </is>
      </c>
      <c r="AP597" s="24" t="inlineStr">
        <is>
          <t>Southern Miss Golden Eagles</t>
        </is>
      </c>
      <c r="AQ597" s="24" t="inlineStr">
        <is>
          <t>Southern Miss Golden Eagles</t>
        </is>
      </c>
      <c r="AR597" s="24" t="inlineStr">
        <is>
          <t>Southern Miss Golden Eagles</t>
        </is>
      </c>
      <c r="AS597" s="24" t="inlineStr">
        <is>
          <t>Tulane Green Wave</t>
        </is>
      </c>
      <c r="AT597" s="24" t="inlineStr">
        <is>
          <t>Tulane Green Wave</t>
        </is>
      </c>
      <c r="AU597" s="24" t="inlineStr">
        <is>
          <t>Tulane Green Wave</t>
        </is>
      </c>
      <c r="AV597" s="24" t="n"/>
      <c r="AW597" s="24" t="n"/>
      <c r="AX597" s="24" t="inlineStr">
        <is>
          <t>statistical_model</t>
        </is>
      </c>
      <c r="AY597" s="24" t="n"/>
      <c r="AZ597" s="24" t="inlineStr">
        <is>
          <t>shadow_qualified</t>
        </is>
      </c>
      <c r="BA597" s="24" t="inlineStr">
        <is>
          <t>1d168f11d221cd3c</t>
        </is>
      </c>
      <c r="BB597" s="24" t="inlineStr">
        <is>
          <t>cfb_key_number_engine</t>
        </is>
      </c>
      <c r="BC597" s="24" t="inlineStr">
        <is>
          <t>cfb-total-v1</t>
        </is>
      </c>
      <c r="BD597" s="24" t="inlineStr">
        <is>
          <t>1d168f11d221cd3c</t>
        </is>
      </c>
      <c r="BE597" s="24" t="inlineStr">
        <is>
          <t>cfb-v1</t>
        </is>
      </c>
      <c r="BF597" s="24" t="inlineStr">
        <is>
          <t>1</t>
        </is>
      </c>
      <c r="BG597" s="24" t="inlineStr">
        <is>
          <t>1d168f11d221cd3c</t>
        </is>
      </c>
      <c r="BH597" s="24" t="inlineStr">
        <is>
          <t>2026-09-26T22:34:32.504573+00:00</t>
        </is>
      </c>
      <c r="BI597" s="24" t="inlineStr">
        <is>
          <t>["same_event","same_team_same_day","same_league_same_day"]</t>
        </is>
      </c>
      <c r="BJ597" s="25" t="n">
        <v>52.5</v>
      </c>
      <c r="BK597" s="26" t="n">
        <v>-112</v>
      </c>
      <c r="BL597" s="27" t="n">
        <v>1.892857</v>
      </c>
      <c r="BM597" s="28" t="n">
        <v>0.528302</v>
      </c>
      <c r="BN597" s="28" t="n"/>
      <c r="BO597" s="28" t="n"/>
      <c r="BP597" s="25" t="n"/>
      <c r="BQ597" s="27" t="n"/>
      <c r="BR597" s="28" t="n"/>
      <c r="BS597" s="28" t="n"/>
      <c r="BT597" s="28" t="n"/>
      <c r="BU597" s="25" t="n"/>
      <c r="BV597" s="29" t="n"/>
      <c r="BW597" s="24" t="n"/>
      <c r="BX597" s="30" t="n">
        <v>1</v>
      </c>
      <c r="BY597" s="27" t="n">
        <v>0.892857</v>
      </c>
      <c r="BZ597" s="24" t="inlineStr">
        <is>
          <t>2026-09-27T04:31:58.757321Z</t>
        </is>
      </c>
      <c r="CA597" s="31" t="inlineStr">
        <is>
          <t>fixed one-unit hypothetical scoring; no real exposure or execution</t>
        </is>
      </c>
      <c r="CB597" s="24" t="n"/>
      <c r="CC597" s="24" t="n"/>
      <c r="CD597" s="24" t="n"/>
      <c r="CE597" s="24" t="n"/>
      <c r="CF597" s="24" t="n"/>
      <c r="CG597" s="24" t="n"/>
      <c r="CH597" s="24" t="n"/>
      <c r="CI597" s="24" t="n"/>
      <c r="CJ597" s="24" t="n"/>
      <c r="CK597" s="24" t="n"/>
      <c r="CL597" s="24" t="n"/>
      <c r="CM597" s="24" t="n"/>
      <c r="CN597" s="24" t="n"/>
      <c r="CO597" s="24" t="n"/>
      <c r="CP597" s="24" t="n"/>
      <c r="CQ597" s="24" t="n"/>
      <c r="CR597" s="24" t="n"/>
      <c r="CS597" s="24" t="inlineStr">
        <is>
          <t>True</t>
        </is>
      </c>
      <c r="CT597" s="24" t="n"/>
      <c r="CU597" s="24" t="n"/>
      <c r="CV597" s="24" t="n"/>
      <c r="CW597" s="24" t="n"/>
      <c r="CX597" s="24" t="n"/>
      <c r="CY597" s="24" t="n"/>
      <c r="CZ597" s="24" t="n"/>
      <c r="DA597" s="24" t="n"/>
      <c r="DB597" s="24" t="n"/>
      <c r="DC597" s="24" t="n"/>
      <c r="DD597" s="24" t="n"/>
      <c r="DE597" s="24" t="n"/>
      <c r="DF597" s="24" t="n"/>
      <c r="DG597" s="24" t="n"/>
      <c r="DH597" s="24" t="n"/>
      <c r="DI597" s="24" t="n"/>
      <c r="DJ597" s="24" t="inlineStr">
        <is>
          <t>0.528302</t>
        </is>
      </c>
      <c r="DK597" s="24" t="n"/>
      <c r="DL597" s="24" t="n"/>
      <c r="DM597" s="24" t="n"/>
      <c r="DN597" s="24" t="n"/>
      <c r="DO597" s="24" t="n"/>
      <c r="DP597" s="24" t="n"/>
      <c r="DQ597" s="24" t="inlineStr">
        <is>
          <t>{"artifact_hash": "1d168f11d221cd3c", "event_id": "401862784", "event_start_utc": "2026-09-26T23:00Z", "features": {"altitude_fatigue_penalty": 0.0, "away_team": "Southern Miss Golden Eagles", "efficiency_gap": -0.259, "elo_away": 1381.5, "elo_home": 1572.0, "elo_home_win_prob": 0.8131, "event_id": "401862784", "game_start_utc": "2026-09-26T23:00Z", "home_field_advantage_points": 2.8, "home_team": "Tulane Green Wave", "is_dome": false, "is_fbs_vs_fcs": false, "is_neutral_site": false, "projected_away_points": 20.9, "projected_home_points": 31.3, "projected_margin_home": 10.4, "projected_possessions": 12.4, "projected_total": 52.2, "stadium_elevation_ft": 5, "travel_distance_miles": 106.0, "uncertainty": 0.18, "weather_total_adjustment": 0.0}, "historical_source_observation_times_verified": false, "inference_inputs": {"engine_source_sha256": "449ba2f0e86fa9c445730076a0e0bf100fb4914620be53c75c6f3bfe24298f3f", "mu_away": 20.9,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281679845442269227324793927480309656487}, "uinteger": 0}, "spread_home_line": -18.5, "total_line": 52.5}, "market_type": "total", "model_version": "cfb-total-v1", "observed_at_utc": "2026-09-26T22:34:32.504573+00:00", "probabilities": {"over": 0.4634, "push": 0.0, "under": 0.5366}, "replay_scope": "Full precision score means, exact engine parameters and original RNG state; upstream feature construction not certified.", "schema": "cfb-joint-replay-v1", "snapshot_hash": "a15ba590324189c29905eec4f593932a2fc4c0ff938039b2913ead59b5dcc247", "sport": "NCAAF"}</t>
        </is>
      </c>
    </row>
    <row r="598" ht="36" customHeight="1">
      <c r="A598" s="24" t="inlineStr">
        <is>
          <t>d84cfbbaedca4b1a</t>
        </is>
      </c>
      <c r="B598" s="24" t="inlineStr">
        <is>
          <t>2026-09-26T22:34:32.504573Z</t>
        </is>
      </c>
      <c r="C598" s="24" t="inlineStr">
        <is>
          <t>2026-09-26T23:00Z</t>
        </is>
      </c>
      <c r="D598" s="24" t="inlineStr">
        <is>
          <t>401869931</t>
        </is>
      </c>
      <c r="E598" s="24" t="inlineStr">
        <is>
          <t>NCAAF</t>
        </is>
      </c>
      <c r="F598" s="24" t="inlineStr">
        <is>
          <t>Kennesaw State Owls</t>
        </is>
      </c>
      <c r="G598" s="24" t="inlineStr">
        <is>
          <t>Arkansas State Red Wolves</t>
        </is>
      </c>
      <c r="H598" s="24" t="inlineStr">
        <is>
          <t>moneyline</t>
        </is>
      </c>
      <c r="I598" s="24" t="inlineStr">
        <is>
          <t>away</t>
        </is>
      </c>
      <c r="J598" s="25" t="n"/>
      <c r="K598" s="24" t="inlineStr">
        <is>
          <t>espn_consensus</t>
        </is>
      </c>
      <c r="L598" s="26" t="n">
        <v>195</v>
      </c>
      <c r="M598" s="27" t="n">
        <v>2.95</v>
      </c>
      <c r="N598" s="28" t="n">
        <v>0.338983</v>
      </c>
      <c r="O598" s="28" t="n">
        <v>0.511096</v>
      </c>
      <c r="P598" s="28" t="n">
        <v>0.18</v>
      </c>
      <c r="Q598" s="28" t="n">
        <v>0.172113</v>
      </c>
      <c r="R598" s="26" t="n">
        <v>28</v>
      </c>
      <c r="S598" s="29" t="n">
        <v>1</v>
      </c>
      <c r="T598" s="24" t="inlineStr">
        <is>
          <t>college-football-v1</t>
        </is>
      </c>
      <c r="U598" s="24" t="inlineStr">
        <is>
          <t>settled</t>
        </is>
      </c>
      <c r="V598" s="24" t="inlineStr">
        <is>
          <t>loss</t>
        </is>
      </c>
      <c r="W598" s="26" t="n">
        <v>14</v>
      </c>
      <c r="X598" s="26" t="n">
        <v>17</v>
      </c>
      <c r="Y598" s="25" t="n"/>
      <c r="Z598" s="26" t="n"/>
      <c r="AA598" s="28" t="n"/>
      <c r="AB598" s="28" t="n"/>
      <c r="AC598" s="30" t="n">
        <v>-1</v>
      </c>
      <c r="AD598" s="24" t="inlineStr">
        <is>
          <t>2026-09-27T04:31:59.417065Z</t>
        </is>
      </c>
      <c r="AE598" s="31" t="inlineStr">
        <is>
          <t>CFB Joint Model (negative_binomial): proj score Kennesaw State Owls 26.8 @ Arkansas State Red Wolves 26.2 (Margin -0.6). Possessions: 12.4, HFA: +2.8 pts.</t>
        </is>
      </c>
      <c r="AF598" s="31" t="inlineStr">
        <is>
          <t>College football model; multi-market (moneyline, spread, total).</t>
        </is>
      </c>
      <c r="AG598" s="24" t="inlineStr">
        <is>
          <t>review_required</t>
        </is>
      </c>
      <c r="AH598" s="24" t="n"/>
      <c r="AI598" s="31" t="n"/>
      <c r="AJ598" s="31" t="n"/>
      <c r="AK598" s="24" t="inlineStr">
        <is>
          <t>model_qualified</t>
        </is>
      </c>
      <c r="AL598" s="26" t="n">
        <v>4</v>
      </c>
      <c r="AM598" s="24" t="inlineStr">
        <is>
          <t>QUALIFIED_SHADOW_CALL</t>
        </is>
      </c>
      <c r="AN598" s="24" t="inlineStr">
        <is>
          <t>CALL</t>
        </is>
      </c>
      <c r="AO598" s="24" t="inlineStr">
        <is>
          <t>QUALIFIED</t>
        </is>
      </c>
      <c r="AP598" s="24" t="inlineStr">
        <is>
          <t>Kennesaw State Owls</t>
        </is>
      </c>
      <c r="AQ598" s="24" t="inlineStr">
        <is>
          <t>Kennesaw State Owls</t>
        </is>
      </c>
      <c r="AR598" s="24" t="inlineStr">
        <is>
          <t>Kennesaw State Owls</t>
        </is>
      </c>
      <c r="AS598" s="24" t="inlineStr">
        <is>
          <t>Arkansas State Red Wolves</t>
        </is>
      </c>
      <c r="AT598" s="24" t="inlineStr">
        <is>
          <t>Arkansas State Red Wolves</t>
        </is>
      </c>
      <c r="AU598" s="24" t="inlineStr">
        <is>
          <t>Arkansas State Red Wolves</t>
        </is>
      </c>
      <c r="AV598" s="24" t="n"/>
      <c r="AW598" s="24" t="n"/>
      <c r="AX598" s="24" t="inlineStr">
        <is>
          <t>statistical_model</t>
        </is>
      </c>
      <c r="AY598" s="24" t="n"/>
      <c r="AZ598" s="24" t="inlineStr">
        <is>
          <t>shadow_qualified</t>
        </is>
      </c>
      <c r="BA598" s="24" t="inlineStr">
        <is>
          <t>1d168f11d221cd3c</t>
        </is>
      </c>
      <c r="BB598" s="24" t="inlineStr">
        <is>
          <t>cfb_key_number_engine</t>
        </is>
      </c>
      <c r="BC598" s="24" t="inlineStr">
        <is>
          <t>college-football-v1</t>
        </is>
      </c>
      <c r="BD598" s="24" t="inlineStr">
        <is>
          <t>1d168f11d221cd3c</t>
        </is>
      </c>
      <c r="BE598" s="24" t="inlineStr">
        <is>
          <t>cfb-v1</t>
        </is>
      </c>
      <c r="BF598" s="24" t="inlineStr">
        <is>
          <t>1</t>
        </is>
      </c>
      <c r="BG598" s="24" t="inlineStr">
        <is>
          <t>1d168f11d221cd3c</t>
        </is>
      </c>
      <c r="BH598" s="24" t="inlineStr">
        <is>
          <t>2026-09-26T22:34:32.504573+00:00</t>
        </is>
      </c>
      <c r="BI598" s="24" t="inlineStr">
        <is>
          <t>["same_event","same_team_same_day","same_league_same_day"]</t>
        </is>
      </c>
      <c r="BJ598" s="25" t="n"/>
      <c r="BK598" s="26" t="n">
        <v>195</v>
      </c>
      <c r="BL598" s="27" t="n">
        <v>2.95</v>
      </c>
      <c r="BM598" s="28" t="n">
        <v>0.338983</v>
      </c>
      <c r="BN598" s="28" t="n"/>
      <c r="BO598" s="28" t="n"/>
      <c r="BP598" s="25" t="n"/>
      <c r="BQ598" s="27" t="n"/>
      <c r="BR598" s="28" t="n"/>
      <c r="BS598" s="28" t="n"/>
      <c r="BT598" s="28" t="n"/>
      <c r="BU598" s="25" t="n"/>
      <c r="BV598" s="29" t="n"/>
      <c r="BW598" s="24" t="n"/>
      <c r="BX598" s="30" t="n"/>
      <c r="BY598" s="27" t="n"/>
      <c r="BZ598" s="24" t="n"/>
      <c r="CA598" s="31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inlineStr">
        <is>
          <t>True</t>
        </is>
      </c>
      <c r="CT598" s="24" t="n"/>
      <c r="CU598" s="24" t="n"/>
      <c r="CV598" s="24" t="n"/>
      <c r="CW598" s="24" t="n"/>
      <c r="CX598" s="24" t="n"/>
      <c r="CY598" s="24" t="n"/>
      <c r="CZ598" s="24" t="n"/>
      <c r="DA598" s="24" t="n"/>
      <c r="DB598" s="24" t="n"/>
      <c r="DC598" s="24" t="n"/>
      <c r="DD598" s="24" t="n"/>
      <c r="DE598" s="24" t="n"/>
      <c r="DF598" s="24" t="n"/>
      <c r="DG598" s="24" t="n"/>
      <c r="DH598" s="24" t="n"/>
      <c r="DI598" s="24" t="n"/>
      <c r="DJ598" s="24" t="inlineStr">
        <is>
          <t>0.338983</t>
        </is>
      </c>
      <c r="DK598" s="24" t="n"/>
      <c r="DL598" s="24" t="n"/>
      <c r="DM598" s="24" t="n"/>
      <c r="DN598" s="24" t="n"/>
      <c r="DO598" s="24" t="n"/>
      <c r="DP598" s="24" t="n"/>
      <c r="DQ598" s="24" t="inlineStr">
        <is>
          <t>{"artifact_hash": "1d168f11d221cd3c", "event_id": "401869931", "event_start_utc": "2026-09-26T23:00Z", "features": {"altitude_fatigue_penalty": 0.0, "away_team": "Kennesaw State Owls", "efficiency_gap": -0.093, "elo_away": 1459.0, "elo_home": 1378.9, "elo_home_win_prob": 0.4783, "event_id": "401869931", "game_start_utc": "2026-09-26T23:00Z", "home_field_advantage_points": 2.8, "home_team": "Arkansas State Red Wolves", "is_dome": false, "is_fbs_vs_fcs": false, "is_neutral_site": false, "projected_away_points": 26.8, "projected_home_points": 26.2, "projected_margin_home": -0.6, "projected_possessions": 12.4, "projected_total": 52.9, "stadium_elevation_ft": 300, "travel_distance_miles": 368.0,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182357617103883553553627928026662474711}, "uinteger": 0}, "spread_home_line": -6.5, "total_line": 53.5}, "market_type": "moneyline", "model_version": "college-football-v1", "observed_at_utc": "2026-09-26T22:34:32.504573+00:00", "probabilities": {"away": 0.511096, "home": 0.488904}, "replay_scope": "Full precision score means, exact engine parameters and original RNG state; upstream feature construction not certified.", "schema": "cfb-joint-replay-v1", "snapshot_hash": "820cab92931e49627aa4a127fa07fe2629f1688314a5c0052e7708e7d2e26b0c", "sport": "NCAAF"}</t>
        </is>
      </c>
    </row>
    <row r="599" ht="36" customHeight="1">
      <c r="A599" s="24" t="inlineStr">
        <is>
          <t>12c1bb51e67c4f30</t>
        </is>
      </c>
      <c r="B599" s="24" t="inlineStr">
        <is>
          <t>2026-09-26T22:34:32.504573Z</t>
        </is>
      </c>
      <c r="C599" s="24" t="inlineStr">
        <is>
          <t>2026-09-26T23:00Z</t>
        </is>
      </c>
      <c r="D599" s="24" t="inlineStr">
        <is>
          <t>401869931</t>
        </is>
      </c>
      <c r="E599" s="24" t="inlineStr">
        <is>
          <t>NCAAF</t>
        </is>
      </c>
      <c r="F599" s="24" t="inlineStr">
        <is>
          <t>Kennesaw State Owls</t>
        </is>
      </c>
      <c r="G599" s="24" t="inlineStr">
        <is>
          <t>Arkansas State Red Wolves</t>
        </is>
      </c>
      <c r="H599" s="24" t="inlineStr">
        <is>
          <t>spread</t>
        </is>
      </c>
      <c r="I599" s="24" t="inlineStr">
        <is>
          <t>away</t>
        </is>
      </c>
      <c r="J599" s="25" t="n">
        <v>6.5</v>
      </c>
      <c r="K599" s="24" t="inlineStr">
        <is>
          <t>espn_consensus</t>
        </is>
      </c>
      <c r="L599" s="26" t="n">
        <v>-112</v>
      </c>
      <c r="M599" s="27" t="n">
        <v>1.892857</v>
      </c>
      <c r="N599" s="28" t="n">
        <v>0.528302</v>
      </c>
      <c r="O599" s="28" t="n">
        <v>0.648</v>
      </c>
      <c r="P599" s="28" t="n">
        <v>0.18</v>
      </c>
      <c r="Q599" s="28" t="n">
        <v>0.119698</v>
      </c>
      <c r="R599" s="26" t="n">
        <v>2</v>
      </c>
      <c r="S599" s="29" t="n">
        <v>1</v>
      </c>
      <c r="T599" s="24" t="inlineStr">
        <is>
          <t>cfb-spread-v1</t>
        </is>
      </c>
      <c r="U599" s="24" t="inlineStr">
        <is>
          <t>settled</t>
        </is>
      </c>
      <c r="V599" s="24" t="inlineStr">
        <is>
          <t>win</t>
        </is>
      </c>
      <c r="W599" s="26" t="n">
        <v>14</v>
      </c>
      <c r="X599" s="26" t="n">
        <v>17</v>
      </c>
      <c r="Y599" s="25" t="n"/>
      <c r="Z599" s="26" t="n"/>
      <c r="AA599" s="28" t="n"/>
      <c r="AB599" s="28" t="n"/>
      <c r="AC599" s="30" t="n">
        <v>0.8929</v>
      </c>
      <c r="AD599" s="24" t="inlineStr">
        <is>
          <t>2026-09-27T04:31:59.951269Z</t>
        </is>
      </c>
      <c r="AE599" s="31" t="inlineStr">
        <is>
          <t>Projected home margin -0.6 pts. Spread: Home -6.5 / Away +6.5 -&gt; P(Away cover)=0.648, P(Home cover)=0.352, P(Push)=0.000.</t>
        </is>
      </c>
      <c r="AF599" s="31" t="inlineStr">
        <is>
          <t>College football model; multi-market (moneyline, spread, total).</t>
        </is>
      </c>
      <c r="AG599" s="24" t="inlineStr">
        <is>
          <t>not_applicable</t>
        </is>
      </c>
      <c r="AH599" s="24" t="n"/>
      <c r="AI599" s="31" t="n"/>
      <c r="AJ599" s="31" t="n"/>
      <c r="AK599" s="24" t="inlineStr">
        <is>
          <t>model_qualified</t>
        </is>
      </c>
      <c r="AL599" s="26" t="n">
        <v>4</v>
      </c>
      <c r="AM599" s="24" t="inlineStr">
        <is>
          <t>QUALIFIED_SHADOW_CALL</t>
        </is>
      </c>
      <c r="AN599" s="24" t="inlineStr">
        <is>
          <t>CALL</t>
        </is>
      </c>
      <c r="AO599" s="24" t="inlineStr">
        <is>
          <t>QUALIFIED</t>
        </is>
      </c>
      <c r="AP599" s="24" t="inlineStr">
        <is>
          <t>Kennesaw State Owls</t>
        </is>
      </c>
      <c r="AQ599" s="24" t="inlineStr">
        <is>
          <t>Kennesaw State Owls</t>
        </is>
      </c>
      <c r="AR599" s="24" t="inlineStr">
        <is>
          <t>Kennesaw State Owls</t>
        </is>
      </c>
      <c r="AS599" s="24" t="inlineStr">
        <is>
          <t>Arkansas State Red Wolves</t>
        </is>
      </c>
      <c r="AT599" s="24" t="inlineStr">
        <is>
          <t>Arkansas State Red Wolves</t>
        </is>
      </c>
      <c r="AU599" s="24" t="inlineStr">
        <is>
          <t>Arkansas State Red Wolves</t>
        </is>
      </c>
      <c r="AV599" s="24" t="n"/>
      <c r="AW599" s="24" t="n"/>
      <c r="AX599" s="24" t="inlineStr">
        <is>
          <t>statistical_model</t>
        </is>
      </c>
      <c r="AY599" s="24" t="n"/>
      <c r="AZ599" s="24" t="inlineStr">
        <is>
          <t>shadow_qualified</t>
        </is>
      </c>
      <c r="BA599" s="24" t="inlineStr">
        <is>
          <t>1d168f11d221cd3c</t>
        </is>
      </c>
      <c r="BB599" s="24" t="inlineStr">
        <is>
          <t>cfb_key_number_engine</t>
        </is>
      </c>
      <c r="BC599" s="24" t="inlineStr">
        <is>
          <t>cfb-spread-v1</t>
        </is>
      </c>
      <c r="BD599" s="24" t="inlineStr">
        <is>
          <t>1d168f11d221cd3c</t>
        </is>
      </c>
      <c r="BE599" s="24" t="inlineStr">
        <is>
          <t>cfb-v1</t>
        </is>
      </c>
      <c r="BF599" s="24" t="inlineStr">
        <is>
          <t>1</t>
        </is>
      </c>
      <c r="BG599" s="24" t="inlineStr">
        <is>
          <t>1d168f11d221cd3c</t>
        </is>
      </c>
      <c r="BH599" s="24" t="inlineStr">
        <is>
          <t>2026-09-26T22:34:32.504573+00:00</t>
        </is>
      </c>
      <c r="BI599" s="24" t="inlineStr">
        <is>
          <t>["same_event","same_team_same_day","same_league_same_day"]</t>
        </is>
      </c>
      <c r="BJ599" s="25" t="n">
        <v>6.5</v>
      </c>
      <c r="BK599" s="26" t="n">
        <v>-112</v>
      </c>
      <c r="BL599" s="27" t="n">
        <v>1.892857</v>
      </c>
      <c r="BM599" s="28" t="n">
        <v>0.528302</v>
      </c>
      <c r="BN599" s="28" t="n"/>
      <c r="BO599" s="28" t="n"/>
      <c r="BP599" s="25" t="n"/>
      <c r="BQ599" s="27" t="n"/>
      <c r="BR599" s="28" t="n"/>
      <c r="BS599" s="28" t="n"/>
      <c r="BT599" s="28" t="n"/>
      <c r="BU599" s="25" t="n"/>
      <c r="BV599" s="29" t="n"/>
      <c r="BW599" s="24" t="n"/>
      <c r="BX599" s="30" t="n"/>
      <c r="BY599" s="27" t="n"/>
      <c r="BZ599" s="24" t="n"/>
      <c r="CA599" s="31" t="n"/>
      <c r="CB599" s="24" t="n"/>
      <c r="CC599" s="24" t="n"/>
      <c r="CD599" s="24" t="n"/>
      <c r="CE599" s="24" t="n"/>
      <c r="CF599" s="24" t="n"/>
      <c r="CG599" s="24" t="n"/>
      <c r="CH599" s="24" t="n"/>
      <c r="CI599" s="24" t="n"/>
      <c r="CJ599" s="24" t="n"/>
      <c r="CK599" s="24" t="n"/>
      <c r="CL599" s="24" t="n"/>
      <c r="CM599" s="24" t="n"/>
      <c r="CN599" s="24" t="n"/>
      <c r="CO599" s="24" t="n"/>
      <c r="CP599" s="24" t="n"/>
      <c r="CQ599" s="24" t="n"/>
      <c r="CR599" s="24" t="n"/>
      <c r="CS599" s="24" t="inlineStr">
        <is>
          <t>True</t>
        </is>
      </c>
      <c r="CT599" s="24" t="n"/>
      <c r="CU599" s="24" t="n"/>
      <c r="CV599" s="24" t="n"/>
      <c r="CW599" s="24" t="n"/>
      <c r="CX599" s="24" t="n"/>
      <c r="CY599" s="24" t="n"/>
      <c r="CZ599" s="24" t="n"/>
      <c r="DA599" s="24" t="n"/>
      <c r="DB599" s="24" t="n"/>
      <c r="DC599" s="24" t="n"/>
      <c r="DD599" s="24" t="n"/>
      <c r="DE599" s="24" t="n"/>
      <c r="DF599" s="24" t="n"/>
      <c r="DG599" s="24" t="n"/>
      <c r="DH599" s="24" t="n"/>
      <c r="DI599" s="24" t="n"/>
      <c r="DJ599" s="24" t="inlineStr">
        <is>
          <t>0.528302</t>
        </is>
      </c>
      <c r="DK599" s="24" t="n"/>
      <c r="DL599" s="24" t="n"/>
      <c r="DM599" s="24" t="n"/>
      <c r="DN599" s="24" t="n"/>
      <c r="DO599" s="24" t="n"/>
      <c r="DP599" s="24" t="n"/>
      <c r="DQ599" s="24" t="inlineStr">
        <is>
          <t>{"artifact_hash": "1d168f11d221cd3c", "event_id": "401869931", "event_start_utc": "2026-09-26T23:00Z", "features": {"altitude_fatigue_penalty": 0.0, "away_team": "Kennesaw State Owls", "efficiency_gap": -0.093, "elo_away": 1459.0, "elo_home": 1378.9, "elo_home_win_prob": 0.4783, "event_id": "401869931", "game_start_utc": "2026-09-26T23:00Z", "home_field_advantage_points": 2.8, "home_team": "Arkansas State Red Wolves", "is_dome": false, "is_fbs_vs_fcs": false, "is_neutral_site": false, "projected_away_points": 26.8, "projected_home_points": 26.2, "projected_margin_home": -0.6, "projected_possessions": 12.4, "projected_total": 52.9, "stadium_elevation_ft": 300, "travel_distance_miles": 368.0,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182357617103883553553627928026662474711}, "uinteger": 0}, "spread_home_line": -6.5, "total_line": 53.5}, "market_type": "spread", "model_version": "cfb-spread-v1", "observed_at_utc": "2026-09-26T22:34:32.504573+00:00", "probabilities": {"away": 0.648, "home": 0.352, "push": 0.0}, "replay_scope": "Full precision score means, exact engine parameters and original RNG state; upstream feature construction not certified.", "schema": "cfb-joint-replay-v1", "snapshot_hash": "dc0657c59a75158f79c73e202278725dcda9df2554ab9a9bc910aded68bf4626", "sport": "NCAAF"}</t>
        </is>
      </c>
    </row>
    <row r="600" ht="36" customHeight="1">
      <c r="A600" s="24" t="inlineStr">
        <is>
          <t>36b5970d08de46ca</t>
        </is>
      </c>
      <c r="B600" s="24" t="inlineStr">
        <is>
          <t>2026-09-26T22:34:32.504573Z</t>
        </is>
      </c>
      <c r="C600" s="24" t="inlineStr">
        <is>
          <t>2026-09-26T23:00Z</t>
        </is>
      </c>
      <c r="D600" s="24" t="inlineStr">
        <is>
          <t>401869931</t>
        </is>
      </c>
      <c r="E600" s="24" t="inlineStr">
        <is>
          <t>NCAAF</t>
        </is>
      </c>
      <c r="F600" s="24" t="inlineStr">
        <is>
          <t>Kennesaw State Owls</t>
        </is>
      </c>
      <c r="G600" s="24" t="inlineStr">
        <is>
          <t>Arkansas State Red Wolves</t>
        </is>
      </c>
      <c r="H600" s="24" t="inlineStr">
        <is>
          <t>total</t>
        </is>
      </c>
      <c r="I600" s="24" t="inlineStr">
        <is>
          <t>under</t>
        </is>
      </c>
      <c r="J600" s="25" t="n">
        <v>53.5</v>
      </c>
      <c r="K600" s="24" t="inlineStr">
        <is>
          <t>espn_consensus</t>
        </is>
      </c>
      <c r="L600" s="26" t="n">
        <v>-115</v>
      </c>
      <c r="M600" s="27" t="n">
        <v>1.869565</v>
      </c>
      <c r="N600" s="28" t="n">
        <v>0.534884</v>
      </c>
      <c r="O600" s="28" t="n">
        <v>0.535933</v>
      </c>
      <c r="P600" s="28" t="n">
        <v>0.18</v>
      </c>
      <c r="Q600" s="28" t="n">
        <v>0.001049</v>
      </c>
      <c r="R600" s="26" t="n">
        <v>0</v>
      </c>
      <c r="S600" s="29" t="n">
        <v>1</v>
      </c>
      <c r="T600" s="24" t="inlineStr">
        <is>
          <t>cfb-total-v1</t>
        </is>
      </c>
      <c r="U600" s="24" t="inlineStr">
        <is>
          <t>settled</t>
        </is>
      </c>
      <c r="V600" s="24" t="inlineStr">
        <is>
          <t>win</t>
        </is>
      </c>
      <c r="W600" s="26" t="n">
        <v>14</v>
      </c>
      <c r="X600" s="26" t="n">
        <v>17</v>
      </c>
      <c r="Y600" s="25" t="n"/>
      <c r="Z600" s="26" t="n"/>
      <c r="AA600" s="28" t="n"/>
      <c r="AB600" s="28" t="n"/>
      <c r="AC600" s="30" t="n">
        <v>0.8696</v>
      </c>
      <c r="AD600" s="24" t="inlineStr">
        <is>
          <t>2026-09-27T04:32:00.527346Z</t>
        </is>
      </c>
      <c r="AE600" s="31" t="inlineStr">
        <is>
          <t>Projected total 52.9 pts (Weather adj: +0.0 pts). Total line 53.5 -&gt; P(Over)=0.464, P(Under)=0.536, P(Push)=0.000.</t>
        </is>
      </c>
      <c r="AF600" s="31" t="inlineStr">
        <is>
          <t>College football model; multi-market (moneyline, spread, total).</t>
        </is>
      </c>
      <c r="AG600" s="24" t="inlineStr">
        <is>
          <t>not_applicable</t>
        </is>
      </c>
      <c r="AH600" s="24" t="n"/>
      <c r="AI600" s="31" t="n"/>
      <c r="AJ600" s="31" t="n"/>
      <c r="AK600" s="24" t="inlineStr">
        <is>
          <t>paper_call</t>
        </is>
      </c>
      <c r="AL600" s="26" t="n">
        <v>4</v>
      </c>
      <c r="AM600" s="24" t="inlineStr">
        <is>
          <t>RESEARCH_OBSERVATION</t>
        </is>
      </c>
      <c r="AN600" s="24" t="inlineStr">
        <is>
          <t>CALL</t>
        </is>
      </c>
      <c r="AO600" s="24" t="inlineStr">
        <is>
          <t>PAPER_CALL_LOW_EDGE</t>
        </is>
      </c>
      <c r="AP600" s="24" t="inlineStr">
        <is>
          <t>Kennesaw State Owls</t>
        </is>
      </c>
      <c r="AQ600" s="24" t="inlineStr">
        <is>
          <t>Kennesaw State Owls</t>
        </is>
      </c>
      <c r="AR600" s="24" t="inlineStr">
        <is>
          <t>Kennesaw State Owls</t>
        </is>
      </c>
      <c r="AS600" s="24" t="inlineStr">
        <is>
          <t>Arkansas State Red Wolves</t>
        </is>
      </c>
      <c r="AT600" s="24" t="inlineStr">
        <is>
          <t>Arkansas State Red Wolves</t>
        </is>
      </c>
      <c r="AU600" s="24" t="inlineStr">
        <is>
          <t>Arkansas State Red Wolves</t>
        </is>
      </c>
      <c r="AV600" s="24" t="n"/>
      <c r="AW600" s="24" t="n"/>
      <c r="AX600" s="24" t="inlineStr">
        <is>
          <t>statistical_model</t>
        </is>
      </c>
      <c r="AY600" s="24" t="n"/>
      <c r="AZ600" s="24" t="inlineStr">
        <is>
          <t>shadow_qualified</t>
        </is>
      </c>
      <c r="BA600" s="24" t="inlineStr">
        <is>
          <t>1d168f11d221cd3c</t>
        </is>
      </c>
      <c r="BB600" s="24" t="inlineStr">
        <is>
          <t>cfb_key_number_engine</t>
        </is>
      </c>
      <c r="BC600" s="24" t="inlineStr">
        <is>
          <t>cfb-total-v1</t>
        </is>
      </c>
      <c r="BD600" s="24" t="inlineStr">
        <is>
          <t>1d168f11d221cd3c</t>
        </is>
      </c>
      <c r="BE600" s="24" t="inlineStr">
        <is>
          <t>cfb-v1</t>
        </is>
      </c>
      <c r="BF600" s="24" t="inlineStr">
        <is>
          <t>1</t>
        </is>
      </c>
      <c r="BG600" s="24" t="inlineStr">
        <is>
          <t>1d168f11d221cd3c</t>
        </is>
      </c>
      <c r="BH600" s="24" t="inlineStr">
        <is>
          <t>2026-09-26T22:34:32.504573+00:00</t>
        </is>
      </c>
      <c r="BI600" s="24" t="inlineStr">
        <is>
          <t>["same_event","same_team_same_day","same_league_same_day"]</t>
        </is>
      </c>
      <c r="BJ600" s="25" t="n">
        <v>53.5</v>
      </c>
      <c r="BK600" s="26" t="n">
        <v>-115</v>
      </c>
      <c r="BL600" s="27" t="n">
        <v>1.869565</v>
      </c>
      <c r="BM600" s="28" t="n">
        <v>0.534884</v>
      </c>
      <c r="BN600" s="28" t="n"/>
      <c r="BO600" s="28" t="n"/>
      <c r="BP600" s="25" t="n"/>
      <c r="BQ600" s="27" t="n"/>
      <c r="BR600" s="28" t="n"/>
      <c r="BS600" s="28" t="n"/>
      <c r="BT600" s="28" t="n"/>
      <c r="BU600" s="25" t="n"/>
      <c r="BV600" s="29" t="n"/>
      <c r="BW600" s="24" t="n"/>
      <c r="BX600" s="30" t="n">
        <v>1</v>
      </c>
      <c r="BY600" s="27" t="n">
        <v>0.869565</v>
      </c>
      <c r="BZ600" s="24" t="inlineStr">
        <is>
          <t>2026-09-27T04:32:00.527346Z</t>
        </is>
      </c>
      <c r="CA600" s="31" t="inlineStr">
        <is>
          <t>fixed one-unit hypothetical scoring; no real exposure or execution</t>
        </is>
      </c>
      <c r="CB600" s="24" t="n"/>
      <c r="CC600" s="24" t="n"/>
      <c r="CD600" s="24" t="n"/>
      <c r="CE600" s="24" t="n"/>
      <c r="CF600" s="24" t="n"/>
      <c r="CG600" s="24" t="n"/>
      <c r="CH600" s="24" t="n"/>
      <c r="CI600" s="24" t="n"/>
      <c r="CJ600" s="24" t="n"/>
      <c r="CK600" s="24" t="n"/>
      <c r="CL600" s="24" t="n"/>
      <c r="CM600" s="24" t="n"/>
      <c r="CN600" s="24" t="n"/>
      <c r="CO600" s="24" t="n"/>
      <c r="CP600" s="24" t="n"/>
      <c r="CQ600" s="24" t="n"/>
      <c r="CR600" s="24" t="n"/>
      <c r="CS600" s="24" t="inlineStr">
        <is>
          <t>True</t>
        </is>
      </c>
      <c r="CT600" s="24" t="n"/>
      <c r="CU600" s="24" t="n"/>
      <c r="CV600" s="24" t="n"/>
      <c r="CW600" s="24" t="n"/>
      <c r="CX600" s="24" t="n"/>
      <c r="CY600" s="24" t="n"/>
      <c r="CZ600" s="24" t="n"/>
      <c r="DA600" s="24" t="n"/>
      <c r="DB600" s="24" t="n"/>
      <c r="DC600" s="24" t="n"/>
      <c r="DD600" s="24" t="n"/>
      <c r="DE600" s="24" t="n"/>
      <c r="DF600" s="24" t="n"/>
      <c r="DG600" s="24" t="n"/>
      <c r="DH600" s="24" t="n"/>
      <c r="DI600" s="24" t="n"/>
      <c r="DJ600" s="24" t="inlineStr">
        <is>
          <t>0.534884</t>
        </is>
      </c>
      <c r="DK600" s="24" t="n"/>
      <c r="DL600" s="24" t="n"/>
      <c r="DM600" s="24" t="n"/>
      <c r="DN600" s="24" t="n"/>
      <c r="DO600" s="24" t="n"/>
      <c r="DP600" s="24" t="n"/>
      <c r="DQ600" s="24" t="inlineStr">
        <is>
          <t>{"artifact_hash": "1d168f11d221cd3c", "event_id": "401869931", "event_start_utc": "2026-09-26T23:00Z", "features": {"altitude_fatigue_penalty": 0.0, "away_team": "Kennesaw State Owls", "efficiency_gap": -0.093, "elo_away": 1459.0, "elo_home": 1378.9, "elo_home_win_prob": 0.4783, "event_id": "401869931", "game_start_utc": "2026-09-26T23:00Z", "home_field_advantage_points": 2.8, "home_team": "Arkansas State Red Wolves", "is_dome": false, "is_fbs_vs_fcs": false, "is_neutral_site": false, "projected_away_points": 26.8, "projected_home_points": 26.2, "projected_margin_home": -0.6, "projected_possessions": 12.4, "projected_total": 52.9, "stadium_elevation_ft": 300, "travel_distance_miles": 368.0,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182357617103883553553627928026662474711}, "uinteger": 0}, "spread_home_line": -6.5, "total_line": 53.5}, "market_type": "total", "model_version": "cfb-total-v1", "observed_at_utc": "2026-09-26T22:34:32.504573+00:00", "probabilities": {"over": 0.464067, "push": 0.0, "under": 0.535933}, "replay_scope": "Full precision score means, exact engine parameters and original RNG state; upstream feature construction not certified.", "schema": "cfb-joint-replay-v1", "snapshot_hash": "824972f110219bff2d0b66438e64cf62bf5494e6d241b5045177896d9e1fc516", "sport": "NCAAF"}</t>
        </is>
      </c>
    </row>
    <row r="601" ht="36" customHeight="1">
      <c r="A601" s="24" t="inlineStr">
        <is>
          <t>2298e9a3eca64c78</t>
        </is>
      </c>
      <c r="B601" s="24" t="inlineStr">
        <is>
          <t>2026-09-26T22:34:32.504573Z</t>
        </is>
      </c>
      <c r="C601" s="24" t="inlineStr">
        <is>
          <t>2026-09-26T23:00Z</t>
        </is>
      </c>
      <c r="D601" s="24" t="inlineStr">
        <is>
          <t>401870745</t>
        </is>
      </c>
      <c r="E601" s="24" t="inlineStr">
        <is>
          <t>NCAAF</t>
        </is>
      </c>
      <c r="F601" s="24" t="inlineStr">
        <is>
          <t>Mercyhurst Lakers</t>
        </is>
      </c>
      <c r="G601" s="24" t="inlineStr">
        <is>
          <t>Western Kentucky Hilltoppers</t>
        </is>
      </c>
      <c r="H601" s="24" t="inlineStr">
        <is>
          <t>spread</t>
        </is>
      </c>
      <c r="I601" s="24" t="inlineStr">
        <is>
          <t>away</t>
        </is>
      </c>
      <c r="J601" s="25" t="n">
        <v>39.5</v>
      </c>
      <c r="K601" s="24" t="inlineStr">
        <is>
          <t>espn_consensus</t>
        </is>
      </c>
      <c r="L601" s="26" t="n">
        <v>-112</v>
      </c>
      <c r="M601" s="27" t="n">
        <v>1.892857</v>
      </c>
      <c r="N601" s="28" t="n">
        <v>0.528302</v>
      </c>
      <c r="O601" s="28" t="n">
        <v>0.931467</v>
      </c>
      <c r="P601" s="28" t="n">
        <v>0.18</v>
      </c>
      <c r="Q601" s="28" t="n">
        <v>0.403165</v>
      </c>
      <c r="R601" s="26" t="n">
        <v>100</v>
      </c>
      <c r="S601" s="29" t="n">
        <v>2</v>
      </c>
      <c r="T601" s="24" t="inlineStr">
        <is>
          <t>cfb-spread-v1</t>
        </is>
      </c>
      <c r="U601" s="24" t="inlineStr">
        <is>
          <t>settled</t>
        </is>
      </c>
      <c r="V601" s="24" t="inlineStr">
        <is>
          <t>loss</t>
        </is>
      </c>
      <c r="W601" s="26" t="n">
        <v>7</v>
      </c>
      <c r="X601" s="26" t="n">
        <v>52</v>
      </c>
      <c r="Y601" s="25" t="n"/>
      <c r="Z601" s="26" t="n"/>
      <c r="AA601" s="28" t="n"/>
      <c r="AB601" s="28" t="n"/>
      <c r="AC601" s="30" t="n">
        <v>-2</v>
      </c>
      <c r="AD601" s="24" t="inlineStr">
        <is>
          <t>2026-09-27T04:32:01.188828Z</t>
        </is>
      </c>
      <c r="AE601" s="31" t="inlineStr">
        <is>
          <t>Projected home margin +9.3 pts. Spread: Home -39.5 / Away +39.5 -&gt; P(Away cover)=0.931, P(Home cover)=0.069, P(Push)=0.000.</t>
        </is>
      </c>
      <c r="AF601" s="31" t="inlineStr">
        <is>
          <t>College football model; multi-market (moneyline, spread, total).</t>
        </is>
      </c>
      <c r="AG601" s="24" t="inlineStr">
        <is>
          <t>review_required</t>
        </is>
      </c>
      <c r="AH601" s="24" t="n"/>
      <c r="AI601" s="31" t="n"/>
      <c r="AJ601" s="31" t="n"/>
      <c r="AK601" s="24" t="inlineStr">
        <is>
          <t>model_qualified</t>
        </is>
      </c>
      <c r="AL601" s="26" t="n">
        <v>4</v>
      </c>
      <c r="AM601" s="24" t="inlineStr">
        <is>
          <t>QUALIFIED_SHADOW_CALL</t>
        </is>
      </c>
      <c r="AN601" s="24" t="inlineStr">
        <is>
          <t>CALL</t>
        </is>
      </c>
      <c r="AO601" s="24" t="inlineStr">
        <is>
          <t>QUALIFIED</t>
        </is>
      </c>
      <c r="AP601" s="24" t="inlineStr">
        <is>
          <t>Mercyhurst Lakers</t>
        </is>
      </c>
      <c r="AQ601" s="24" t="inlineStr">
        <is>
          <t>Mercyhurst Lakers</t>
        </is>
      </c>
      <c r="AR601" s="24" t="inlineStr">
        <is>
          <t>Mercyhurst Lakers</t>
        </is>
      </c>
      <c r="AS601" s="24" t="inlineStr">
        <is>
          <t>Western Kentucky Hilltoppers</t>
        </is>
      </c>
      <c r="AT601" s="24" t="inlineStr">
        <is>
          <t>Western Kentucky Hilltoppers</t>
        </is>
      </c>
      <c r="AU601" s="24" t="inlineStr">
        <is>
          <t>Western Kentucky Hilltoppers</t>
        </is>
      </c>
      <c r="AV601" s="24" t="n"/>
      <c r="AW601" s="24" t="n"/>
      <c r="AX601" s="24" t="inlineStr">
        <is>
          <t>statistical_model</t>
        </is>
      </c>
      <c r="AY601" s="24" t="n"/>
      <c r="AZ601" s="24" t="inlineStr">
        <is>
          <t>shadow_qualified</t>
        </is>
      </c>
      <c r="BA601" s="24" t="inlineStr">
        <is>
          <t>1d168f11d221cd3c</t>
        </is>
      </c>
      <c r="BB601" s="24" t="inlineStr">
        <is>
          <t>cfb_key_number_engine</t>
        </is>
      </c>
      <c r="BC601" s="24" t="inlineStr">
        <is>
          <t>cfb-spread-v1</t>
        </is>
      </c>
      <c r="BD601" s="24" t="inlineStr">
        <is>
          <t>1d168f11d221cd3c</t>
        </is>
      </c>
      <c r="BE601" s="24" t="inlineStr">
        <is>
          <t>cfb-v1</t>
        </is>
      </c>
      <c r="BF601" s="24" t="inlineStr">
        <is>
          <t>1</t>
        </is>
      </c>
      <c r="BG601" s="24" t="inlineStr">
        <is>
          <t>1d168f11d221cd3c</t>
        </is>
      </c>
      <c r="BH601" s="24" t="inlineStr">
        <is>
          <t>2026-09-26T22:34:32.504573+00:00</t>
        </is>
      </c>
      <c r="BI601" s="24" t="inlineStr">
        <is>
          <t>["same_event","same_team_same_day","same_league_same_day"]</t>
        </is>
      </c>
      <c r="BJ601" s="25" t="n">
        <v>39.5</v>
      </c>
      <c r="BK601" s="26" t="n">
        <v>-112</v>
      </c>
      <c r="BL601" s="27" t="n">
        <v>1.892857</v>
      </c>
      <c r="BM601" s="28" t="n">
        <v>0.528302</v>
      </c>
      <c r="BN601" s="28" t="n"/>
      <c r="BO601" s="28" t="n"/>
      <c r="BP601" s="25" t="n"/>
      <c r="BQ601" s="27" t="n"/>
      <c r="BR601" s="28" t="n"/>
      <c r="BS601" s="28" t="n"/>
      <c r="BT601" s="28" t="n"/>
      <c r="BU601" s="25" t="n"/>
      <c r="BV601" s="29" t="n"/>
      <c r="BW601" s="24" t="n"/>
      <c r="BX601" s="30" t="n"/>
      <c r="BY601" s="27" t="n"/>
      <c r="BZ601" s="24" t="n"/>
      <c r="CA601" s="31" t="n"/>
      <c r="CB601" s="24" t="n"/>
      <c r="CC601" s="24" t="n"/>
      <c r="CD601" s="24" t="n"/>
      <c r="CE601" s="24" t="n"/>
      <c r="CF601" s="24" t="n"/>
      <c r="CG601" s="24" t="n"/>
      <c r="CH601" s="24" t="n"/>
      <c r="CI601" s="24" t="n"/>
      <c r="CJ601" s="24" t="n"/>
      <c r="CK601" s="24" t="n"/>
      <c r="CL601" s="24" t="n"/>
      <c r="CM601" s="24" t="n"/>
      <c r="CN601" s="24" t="n"/>
      <c r="CO601" s="24" t="n"/>
      <c r="CP601" s="24" t="n"/>
      <c r="CQ601" s="24" t="n"/>
      <c r="CR601" s="24" t="n"/>
      <c r="CS601" s="24" t="inlineStr">
        <is>
          <t>True</t>
        </is>
      </c>
      <c r="CT601" s="24" t="n"/>
      <c r="CU601" s="24" t="n"/>
      <c r="CV601" s="24" t="n"/>
      <c r="CW601" s="24" t="n"/>
      <c r="CX601" s="24" t="n"/>
      <c r="CY601" s="24" t="n"/>
      <c r="CZ601" s="24" t="n"/>
      <c r="DA601" s="24" t="n"/>
      <c r="DB601" s="24" t="n"/>
      <c r="DC601" s="24" t="n"/>
      <c r="DD601" s="24" t="n"/>
      <c r="DE601" s="24" t="n"/>
      <c r="DF601" s="24" t="n"/>
      <c r="DG601" s="24" t="n"/>
      <c r="DH601" s="24" t="n"/>
      <c r="DI601" s="24" t="n"/>
      <c r="DJ601" s="24" t="inlineStr">
        <is>
          <t>0.528302</t>
        </is>
      </c>
      <c r="DK601" s="24" t="n"/>
      <c r="DL601" s="24" t="n"/>
      <c r="DM601" s="24" t="n"/>
      <c r="DN601" s="24" t="n"/>
      <c r="DO601" s="24" t="n"/>
      <c r="DP601" s="24" t="n"/>
      <c r="DQ601" s="24" t="inlineStr">
        <is>
          <t>{"artifact_hash": "1d168f11d221cd3c", "event_id": "401870745", "event_start_utc": "2026-09-26T23:00Z", "features": {"altitude_fatigue_penalty": 0.0, "away_team": "Mercyhurst Lakers", "efficiency_gap": -1.145, "elo_away": 1337.5, "elo_home": 1500.5, "elo_home_win_prob": 0.7879, "event_id": "401870745", "game_start_utc": "2026-09-26T23:00Z", "home_field_advantage_points": 2.8, "home_team": "Western Kentucky Hilltoppers", "is_dome": false, "is_fbs_vs_fcs": false, "is_neutral_site": false, "projected_away_points": 21.4, "projected_home_points": 30.7, "projected_margin_home": 9.3, "projected_possessions": 12.4, "projected_total": 52.2,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21.4, "mu_home": 30.7,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178412851008220367367689351947091559264}, "uinteger": 0}, "spread_home_line": -39.5, "total_line": 58.5}, "market_type": "spread", "model_version": "cfb-spread-v1", "observed_at_utc": "2026-09-26T22:34:32.504573+00:00", "probabilities": {"away": 0.931467, "home": 0.068533, "push": 0.0}, "replay_scope": "Full precision score means, exact engine parameters and original RNG state; upstream feature construction not certified.", "schema": "cfb-joint-replay-v1", "snapshot_hash": "57c4386ab0d851fb254ade0cc0080def1204e1f16215649dd759616237252f4f", "sport": "NCAAF"}</t>
        </is>
      </c>
    </row>
    <row r="602" ht="36" customHeight="1">
      <c r="A602" s="24" t="inlineStr">
        <is>
          <t>cd60610cec894feb</t>
        </is>
      </c>
      <c r="B602" s="24" t="inlineStr">
        <is>
          <t>2026-09-26T22:34:32.504573Z</t>
        </is>
      </c>
      <c r="C602" s="24" t="inlineStr">
        <is>
          <t>2026-09-26T23:00Z</t>
        </is>
      </c>
      <c r="D602" s="24" t="inlineStr">
        <is>
          <t>401870745</t>
        </is>
      </c>
      <c r="E602" s="24" t="inlineStr">
        <is>
          <t>NCAAF</t>
        </is>
      </c>
      <c r="F602" s="24" t="inlineStr">
        <is>
          <t>Mercyhurst Lakers</t>
        </is>
      </c>
      <c r="G602" s="24" t="inlineStr">
        <is>
          <t>Western Kentucky Hilltoppers</t>
        </is>
      </c>
      <c r="H602" s="24" t="inlineStr">
        <is>
          <t>total</t>
        </is>
      </c>
      <c r="I602" s="24" t="inlineStr">
        <is>
          <t>under</t>
        </is>
      </c>
      <c r="J602" s="25" t="n">
        <v>58.5</v>
      </c>
      <c r="K602" s="24" t="inlineStr">
        <is>
          <t>espn_consensus</t>
        </is>
      </c>
      <c r="L602" s="26" t="n">
        <v>-108</v>
      </c>
      <c r="M602" s="27" t="n">
        <v>1.925926</v>
      </c>
      <c r="N602" s="28" t="n">
        <v>0.519231</v>
      </c>
      <c r="O602" s="28" t="n">
        <v>0.6356000000000001</v>
      </c>
      <c r="P602" s="28" t="n">
        <v>0.18</v>
      </c>
      <c r="Q602" s="28" t="n">
        <v>0.116369</v>
      </c>
      <c r="R602" s="26" t="n">
        <v>0</v>
      </c>
      <c r="S602" s="29" t="n">
        <v>1</v>
      </c>
      <c r="T602" s="24" t="inlineStr">
        <is>
          <t>cfb-total-v1</t>
        </is>
      </c>
      <c r="U602" s="24" t="inlineStr">
        <is>
          <t>settled</t>
        </is>
      </c>
      <c r="V602" s="24" t="inlineStr">
        <is>
          <t>loss</t>
        </is>
      </c>
      <c r="W602" s="26" t="n">
        <v>7</v>
      </c>
      <c r="X602" s="26" t="n">
        <v>52</v>
      </c>
      <c r="Y602" s="25" t="n"/>
      <c r="Z602" s="26" t="n"/>
      <c r="AA602" s="28" t="n"/>
      <c r="AB602" s="28" t="n"/>
      <c r="AC602" s="30" t="n">
        <v>-1</v>
      </c>
      <c r="AD602" s="24" t="inlineStr">
        <is>
          <t>2026-09-27T04:32:01.774963Z</t>
        </is>
      </c>
      <c r="AE602" s="31" t="inlineStr">
        <is>
          <t>Projected total 52.2 pts (Weather adj: +0.0 pts). Total line 58.5 -&gt; P(Over)=0.364, P(Under)=0.636, P(Push)=0.000.</t>
        </is>
      </c>
      <c r="AF602" s="31" t="inlineStr">
        <is>
          <t>College football model; multi-market (moneyline, spread, total).</t>
        </is>
      </c>
      <c r="AG602" s="24" t="inlineStr">
        <is>
          <t>review_required</t>
        </is>
      </c>
      <c r="AH602" s="24" t="n"/>
      <c r="AI602" s="31" t="n"/>
      <c r="AJ602" s="31" t="n"/>
      <c r="AK602" s="24" t="inlineStr">
        <is>
          <t>model_qualified</t>
        </is>
      </c>
      <c r="AL602" s="26" t="n">
        <v>4</v>
      </c>
      <c r="AM602" s="24" t="inlineStr">
        <is>
          <t>QUALIFIED_SHADOW_CALL</t>
        </is>
      </c>
      <c r="AN602" s="24" t="inlineStr">
        <is>
          <t>CALL</t>
        </is>
      </c>
      <c r="AO602" s="24" t="inlineStr">
        <is>
          <t>QUALIFIED</t>
        </is>
      </c>
      <c r="AP602" s="24" t="inlineStr">
        <is>
          <t>Mercyhurst Lakers</t>
        </is>
      </c>
      <c r="AQ602" s="24" t="inlineStr">
        <is>
          <t>Mercyhurst Lakers</t>
        </is>
      </c>
      <c r="AR602" s="24" t="inlineStr">
        <is>
          <t>Mercyhurst Lakers</t>
        </is>
      </c>
      <c r="AS602" s="24" t="inlineStr">
        <is>
          <t>Western Kentucky Hilltoppers</t>
        </is>
      </c>
      <c r="AT602" s="24" t="inlineStr">
        <is>
          <t>Western Kentucky Hilltoppers</t>
        </is>
      </c>
      <c r="AU602" s="24" t="inlineStr">
        <is>
          <t>Western Kentucky Hilltoppers</t>
        </is>
      </c>
      <c r="AV602" s="24" t="n"/>
      <c r="AW602" s="24" t="n"/>
      <c r="AX602" s="24" t="inlineStr">
        <is>
          <t>statistical_model</t>
        </is>
      </c>
      <c r="AY602" s="24" t="n"/>
      <c r="AZ602" s="24" t="inlineStr">
        <is>
          <t>shadow_qualified</t>
        </is>
      </c>
      <c r="BA602" s="24" t="inlineStr">
        <is>
          <t>1d168f11d221cd3c</t>
        </is>
      </c>
      <c r="BB602" s="24" t="inlineStr">
        <is>
          <t>cfb_key_number_engine</t>
        </is>
      </c>
      <c r="BC602" s="24" t="inlineStr">
        <is>
          <t>cfb-total-v1</t>
        </is>
      </c>
      <c r="BD602" s="24" t="inlineStr">
        <is>
          <t>1d168f11d221cd3c</t>
        </is>
      </c>
      <c r="BE602" s="24" t="inlineStr">
        <is>
          <t>cfb-v1</t>
        </is>
      </c>
      <c r="BF602" s="24" t="inlineStr">
        <is>
          <t>1</t>
        </is>
      </c>
      <c r="BG602" s="24" t="inlineStr">
        <is>
          <t>1d168f11d221cd3c</t>
        </is>
      </c>
      <c r="BH602" s="24" t="inlineStr">
        <is>
          <t>2026-09-26T22:34:32.504573+00:00</t>
        </is>
      </c>
      <c r="BI602" s="24" t="inlineStr">
        <is>
          <t>["same_event","same_team_same_day","same_league_same_day"]</t>
        </is>
      </c>
      <c r="BJ602" s="25" t="n">
        <v>58.5</v>
      </c>
      <c r="BK602" s="26" t="n">
        <v>-108</v>
      </c>
      <c r="BL602" s="27" t="n">
        <v>1.925926</v>
      </c>
      <c r="BM602" s="28" t="n">
        <v>0.519231</v>
      </c>
      <c r="BN602" s="28" t="n"/>
      <c r="BO602" s="28" t="n"/>
      <c r="BP602" s="25" t="n"/>
      <c r="BQ602" s="27" t="n"/>
      <c r="BR602" s="28" t="n"/>
      <c r="BS602" s="28" t="n"/>
      <c r="BT602" s="28" t="n"/>
      <c r="BU602" s="25" t="n"/>
      <c r="BV602" s="29" t="n"/>
      <c r="BW602" s="24" t="n"/>
      <c r="BX602" s="30" t="n"/>
      <c r="BY602" s="27" t="n"/>
      <c r="BZ602" s="24" t="n"/>
      <c r="CA602" s="31" t="n"/>
      <c r="CB602" s="24" t="n"/>
      <c r="CC602" s="24" t="n"/>
      <c r="CD602" s="24" t="n"/>
      <c r="CE602" s="24" t="n"/>
      <c r="CF602" s="24" t="n"/>
      <c r="CG602" s="24" t="n"/>
      <c r="CH602" s="24" t="n"/>
      <c r="CI602" s="24" t="n"/>
      <c r="CJ602" s="24" t="n"/>
      <c r="CK602" s="24" t="n"/>
      <c r="CL602" s="24" t="n"/>
      <c r="CM602" s="24" t="n"/>
      <c r="CN602" s="24" t="n"/>
      <c r="CO602" s="24" t="n"/>
      <c r="CP602" s="24" t="n"/>
      <c r="CQ602" s="24" t="n"/>
      <c r="CR602" s="24" t="n"/>
      <c r="CS602" s="24" t="inlineStr">
        <is>
          <t>True</t>
        </is>
      </c>
      <c r="CT602" s="24" t="n"/>
      <c r="CU602" s="24" t="n"/>
      <c r="CV602" s="24" t="n"/>
      <c r="CW602" s="24" t="n"/>
      <c r="CX602" s="24" t="n"/>
      <c r="CY602" s="24" t="n"/>
      <c r="CZ602" s="24" t="n"/>
      <c r="DA602" s="24" t="n"/>
      <c r="DB602" s="24" t="n"/>
      <c r="DC602" s="24" t="n"/>
      <c r="DD602" s="24" t="n"/>
      <c r="DE602" s="24" t="n"/>
      <c r="DF602" s="24" t="n"/>
      <c r="DG602" s="24" t="n"/>
      <c r="DH602" s="24" t="n"/>
      <c r="DI602" s="24" t="n"/>
      <c r="DJ602" s="24" t="inlineStr">
        <is>
          <t>0.519231</t>
        </is>
      </c>
      <c r="DK602" s="24" t="n"/>
      <c r="DL602" s="24" t="n"/>
      <c r="DM602" s="24" t="n"/>
      <c r="DN602" s="24" t="n"/>
      <c r="DO602" s="24" t="n"/>
      <c r="DP602" s="24" t="n"/>
      <c r="DQ602" s="24" t="inlineStr">
        <is>
          <t>{"artifact_hash": "1d168f11d221cd3c", "event_id": "401870745", "event_start_utc": "2026-09-26T23:00Z", "features": {"altitude_fatigue_penalty": 0.0, "away_team": "Mercyhurst Lakers", "efficiency_gap": -1.145, "elo_away": 1337.5, "elo_home": 1500.5, "elo_home_win_prob": 0.7879, "event_id": "401870745", "game_start_utc": "2026-09-26T23:00Z", "home_field_advantage_points": 2.8, "home_team": "Western Kentucky Hilltoppers", "is_dome": false, "is_fbs_vs_fcs": false, "is_neutral_site": false, "projected_away_points": 21.4, "projected_home_points": 30.7, "projected_margin_home": 9.3, "projected_possessions": 12.4, "projected_total": 52.2,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21.4, "mu_home": 30.7,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178412851008220367367689351947091559264}, "uinteger": 0}, "spread_home_line": -39.5, "total_line": 58.5}, "market_type": "total", "model_version": "cfb-total-v1", "observed_at_utc": "2026-09-26T22:34:32.504573+00:00", "probabilities": {"over": 0.3644, "push": 0.0, "under": 0.6356}, "replay_scope": "Full precision score means, exact engine parameters and original RNG state; upstream feature construction not certified.", "schema": "cfb-joint-replay-v1", "snapshot_hash": "316ad47cbdac1c6878d838b2d7b168229f04325b0fc63c5d7c2fd3feef24e3f1", "sport": "NCAAF"}</t>
        </is>
      </c>
    </row>
    <row r="603" ht="36" customHeight="1">
      <c r="A603" s="24" t="inlineStr">
        <is>
          <t>e0f12129470749af</t>
        </is>
      </c>
      <c r="B603" s="24" t="inlineStr">
        <is>
          <t>2026-09-26T22:34:32.504573Z</t>
        </is>
      </c>
      <c r="C603" s="24" t="inlineStr">
        <is>
          <t>2026-09-26T23:00Z</t>
        </is>
      </c>
      <c r="D603" s="24" t="inlineStr">
        <is>
          <t>401871048</t>
        </is>
      </c>
      <c r="E603" s="24" t="inlineStr">
        <is>
          <t>NCAAF</t>
        </is>
      </c>
      <c r="F603" s="24" t="inlineStr">
        <is>
          <t>Middle Tennessee Blue Raiders</t>
        </is>
      </c>
      <c r="G603" s="24" t="inlineStr">
        <is>
          <t>Jacksonville State Gamecocks</t>
        </is>
      </c>
      <c r="H603" s="24" t="inlineStr">
        <is>
          <t>moneyline</t>
        </is>
      </c>
      <c r="I603" s="24" t="inlineStr">
        <is>
          <t>home</t>
        </is>
      </c>
      <c r="J603" s="25" t="n"/>
      <c r="K603" s="24" t="inlineStr">
        <is>
          <t>espn_consensus</t>
        </is>
      </c>
      <c r="L603" s="26" t="n">
        <v>-285</v>
      </c>
      <c r="M603" s="27" t="n">
        <v>1.350877</v>
      </c>
      <c r="N603" s="28" t="n">
        <v>0.74026</v>
      </c>
      <c r="O603" s="28" t="n">
        <v>0.714765</v>
      </c>
      <c r="P603" s="28" t="n">
        <v>0.18</v>
      </c>
      <c r="Q603" s="28" t="n">
        <v>-0.025495</v>
      </c>
      <c r="R603" s="26" t="n">
        <v>0</v>
      </c>
      <c r="S603" s="29" t="n">
        <v>1</v>
      </c>
      <c r="T603" s="24" t="inlineStr">
        <is>
          <t>college-football-v1</t>
        </is>
      </c>
      <c r="U603" s="24" t="inlineStr">
        <is>
          <t>settled</t>
        </is>
      </c>
      <c r="V603" s="24" t="inlineStr">
        <is>
          <t>win</t>
        </is>
      </c>
      <c r="W603" s="26" t="n">
        <v>13</v>
      </c>
      <c r="X603" s="26" t="n">
        <v>23</v>
      </c>
      <c r="Y603" s="25" t="n"/>
      <c r="Z603" s="26" t="n"/>
      <c r="AA603" s="28" t="n"/>
      <c r="AB603" s="28" t="n"/>
      <c r="AC603" s="30" t="n">
        <v>0.3509</v>
      </c>
      <c r="AD603" s="24" t="inlineStr">
        <is>
          <t>2026-09-27T04:32:02.365696Z</t>
        </is>
      </c>
      <c r="AE603" s="31" t="inlineStr">
        <is>
          <t>CFB Joint Model (negative_binomial): proj score Middle Tennessee Blue Raiders 20.6 @ Jacksonville State Gamecocks 31.2 (Margin +10.6). Possessions: 12.4, HFA: +2.8 pts.</t>
        </is>
      </c>
      <c r="AF603" s="31" t="inlineStr">
        <is>
          <t>College football model; multi-market (moneyline, spread, total).</t>
        </is>
      </c>
      <c r="AG603" s="24" t="inlineStr">
        <is>
          <t>not_applicable</t>
        </is>
      </c>
      <c r="AH603" s="24" t="n"/>
      <c r="AI603" s="31" t="n"/>
      <c r="AJ603" s="31" t="n"/>
      <c r="AK603" s="24" t="inlineStr">
        <is>
          <t>paper_call</t>
        </is>
      </c>
      <c r="AL603" s="26" t="n">
        <v>4</v>
      </c>
      <c r="AM603" s="24" t="inlineStr">
        <is>
          <t>RESEARCH_OBSERVATION</t>
        </is>
      </c>
      <c r="AN603" s="24" t="inlineStr">
        <is>
          <t>CALL</t>
        </is>
      </c>
      <c r="AO603" s="24" t="inlineStr">
        <is>
          <t>PAPER_CALL_LOW_EDGE</t>
        </is>
      </c>
      <c r="AP603" s="24" t="inlineStr">
        <is>
          <t>Middle Tennessee Blue Raiders</t>
        </is>
      </c>
      <c r="AQ603" s="24" t="inlineStr">
        <is>
          <t>Middle Tennessee Blue Raiders</t>
        </is>
      </c>
      <c r="AR603" s="24" t="inlineStr">
        <is>
          <t>Middle Tennessee Blue Raiders</t>
        </is>
      </c>
      <c r="AS603" s="24" t="inlineStr">
        <is>
          <t>Jacksonville State Gamecocks</t>
        </is>
      </c>
      <c r="AT603" s="24" t="inlineStr">
        <is>
          <t>Jacksonville State Gamecocks</t>
        </is>
      </c>
      <c r="AU603" s="24" t="inlineStr">
        <is>
          <t>Jacksonville State Gamecocks</t>
        </is>
      </c>
      <c r="AV603" s="24" t="n"/>
      <c r="AW603" s="24" t="n"/>
      <c r="AX603" s="24" t="inlineStr">
        <is>
          <t>statistical_model</t>
        </is>
      </c>
      <c r="AY603" s="24" t="n"/>
      <c r="AZ603" s="24" t="inlineStr">
        <is>
          <t>shadow_qualified</t>
        </is>
      </c>
      <c r="BA603" s="24" t="inlineStr">
        <is>
          <t>1d168f11d221cd3c</t>
        </is>
      </c>
      <c r="BB603" s="24" t="inlineStr">
        <is>
          <t>cfb_key_number_engine</t>
        </is>
      </c>
      <c r="BC603" s="24" t="inlineStr">
        <is>
          <t>college-football-v1</t>
        </is>
      </c>
      <c r="BD603" s="24" t="inlineStr">
        <is>
          <t>1d168f11d221cd3c</t>
        </is>
      </c>
      <c r="BE603" s="24" t="inlineStr">
        <is>
          <t>cfb-v1</t>
        </is>
      </c>
      <c r="BF603" s="24" t="inlineStr">
        <is>
          <t>1</t>
        </is>
      </c>
      <c r="BG603" s="24" t="inlineStr">
        <is>
          <t>1d168f11d221cd3c</t>
        </is>
      </c>
      <c r="BH603" s="24" t="inlineStr">
        <is>
          <t>2026-09-26T22:34:32.504573+00:00</t>
        </is>
      </c>
      <c r="BI603" s="24" t="inlineStr">
        <is>
          <t>["same_event","same_team_same_day","same_league_same_day"]</t>
        </is>
      </c>
      <c r="BJ603" s="25" t="n"/>
      <c r="BK603" s="26" t="n">
        <v>-285</v>
      </c>
      <c r="BL603" s="27" t="n">
        <v>1.350877</v>
      </c>
      <c r="BM603" s="28" t="n">
        <v>0.74026</v>
      </c>
      <c r="BN603" s="28" t="n"/>
      <c r="BO603" s="28" t="n"/>
      <c r="BP603" s="25" t="n"/>
      <c r="BQ603" s="27" t="n"/>
      <c r="BR603" s="28" t="n"/>
      <c r="BS603" s="28" t="n"/>
      <c r="BT603" s="28" t="n"/>
      <c r="BU603" s="25" t="n"/>
      <c r="BV603" s="29" t="n"/>
      <c r="BW603" s="24" t="n"/>
      <c r="BX603" s="30" t="n">
        <v>1</v>
      </c>
      <c r="BY603" s="27" t="n">
        <v>0.350877</v>
      </c>
      <c r="BZ603" s="24" t="inlineStr">
        <is>
          <t>2026-09-27T04:32:02.365696Z</t>
        </is>
      </c>
      <c r="CA603" s="31" t="inlineStr">
        <is>
          <t>fixed one-unit hypothetical scoring; no real exposure or execution</t>
        </is>
      </c>
      <c r="CB603" s="24" t="n"/>
      <c r="CC603" s="24" t="n"/>
      <c r="CD603" s="24" t="n"/>
      <c r="CE603" s="24" t="n"/>
      <c r="CF603" s="24" t="n"/>
      <c r="CG603" s="24" t="n"/>
      <c r="CH603" s="24" t="n"/>
      <c r="CI603" s="24" t="n"/>
      <c r="CJ603" s="24" t="n"/>
      <c r="CK603" s="24" t="n"/>
      <c r="CL603" s="24" t="n"/>
      <c r="CM603" s="24" t="n"/>
      <c r="CN603" s="24" t="n"/>
      <c r="CO603" s="24" t="n"/>
      <c r="CP603" s="24" t="n"/>
      <c r="CQ603" s="24" t="n"/>
      <c r="CR603" s="24" t="n"/>
      <c r="CS603" s="24" t="inlineStr">
        <is>
          <t>False</t>
        </is>
      </c>
      <c r="CT603" s="24" t="n"/>
      <c r="CU603" s="24" t="n"/>
      <c r="CV603" s="24" t="n"/>
      <c r="CW603" s="24" t="n"/>
      <c r="CX603" s="24" t="n"/>
      <c r="CY603" s="24" t="n"/>
      <c r="CZ603" s="24" t="n"/>
      <c r="DA603" s="24" t="n"/>
      <c r="DB603" s="24" t="n"/>
      <c r="DC603" s="24" t="n"/>
      <c r="DD603" s="24" t="n"/>
      <c r="DE603" s="24" t="n"/>
      <c r="DF603" s="24" t="n"/>
      <c r="DG603" s="24" t="n"/>
      <c r="DH603" s="24" t="n"/>
      <c r="DI603" s="24" t="n"/>
      <c r="DJ603" s="24" t="inlineStr">
        <is>
          <t>0.74026</t>
        </is>
      </c>
      <c r="DK603" s="24" t="n"/>
      <c r="DL603" s="24" t="n"/>
      <c r="DM603" s="24" t="n"/>
      <c r="DN603" s="24" t="n"/>
      <c r="DO603" s="24" t="n"/>
      <c r="DP603" s="24" t="n"/>
      <c r="DQ603" s="24" t="inlineStr">
        <is>
          <t>{"artifact_hash": "1d168f11d221cd3c", "event_id": "401871048", "event_start_utc": "2026-09-26T23:00Z", "features": {"altitude_fatigue_penalty": 0.0, "away_team": "Middle Tennessee Blue Raiders", "efficiency_gap": -0.735, "elo_away": 1337.5, "elo_home": 1531.9, "elo_home_win_prob": 0.8165, "event_id": "401871048", "game_start_utc": "2026-09-26T23:00Z", "home_field_advantage_points": 2.8, "home_team": "Jacksonville State Gamecocks", "is_dome": false, "is_fbs_vs_fcs": false, "is_neutral_site": false, "projected_away_points": 20.6, "projected_home_points": 31.2, "projected_margin_home": 10.6, "projected_possessions": 12.4, "projected_total": 51.8, "stadium_elevation_ft": 730, "travel_distance_miles": 144.0, "uncertainty": 0.18, "weather_total_adjustment": 0.0}, "historical_source_observation_times_verified": false, "inference_inputs": {"engine_source_sha256": "449ba2f0e86fa9c445730076a0e0bf100fb4914620be53c75c6f3bfe24298f3f", "mu_away": 20.6, "mu_home": 31.2,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280619402516416111829126028277467018648}, "uinteger": 0}, "spread_home_line": -7.0, "total_line": 51.5}, "market_type": "moneyline", "model_version": "college-football-v1", "observed_at_utc": "2026-09-26T22:34:32.504573+00:00", "probabilities": {"away": 0.285235, "home": 0.714765}, "replay_scope": "Full precision score means, exact engine parameters and original RNG state; upstream feature construction not certified.", "schema": "cfb-joint-replay-v1", "snapshot_hash": "8a9e89413daecc2af1136cec7a5c3725b7e0ea4921772c02f3970102e00d4900", "sport": "NCAAF"}</t>
        </is>
      </c>
    </row>
    <row r="604" ht="36" customHeight="1">
      <c r="A604" s="24" t="inlineStr">
        <is>
          <t>7f46e2265b2f43e4</t>
        </is>
      </c>
      <c r="B604" s="24" t="inlineStr">
        <is>
          <t>2026-09-26T22:34:32.504573Z</t>
        </is>
      </c>
      <c r="C604" s="24" t="inlineStr">
        <is>
          <t>2026-09-26T23:00Z</t>
        </is>
      </c>
      <c r="D604" s="24" t="inlineStr">
        <is>
          <t>401871048</t>
        </is>
      </c>
      <c r="E604" s="24" t="inlineStr">
        <is>
          <t>NCAAF</t>
        </is>
      </c>
      <c r="F604" s="24" t="inlineStr">
        <is>
          <t>Middle Tennessee Blue Raiders</t>
        </is>
      </c>
      <c r="G604" s="24" t="inlineStr">
        <is>
          <t>Jacksonville State Gamecocks</t>
        </is>
      </c>
      <c r="H604" s="24" t="inlineStr">
        <is>
          <t>spread</t>
        </is>
      </c>
      <c r="I604" s="24" t="inlineStr">
        <is>
          <t>home</t>
        </is>
      </c>
      <c r="J604" s="25" t="n">
        <v>-7</v>
      </c>
      <c r="K604" s="24" t="inlineStr">
        <is>
          <t>espn_consensus</t>
        </is>
      </c>
      <c r="L604" s="26" t="n">
        <v>-115</v>
      </c>
      <c r="M604" s="27" t="n">
        <v>1.869565</v>
      </c>
      <c r="N604" s="28" t="n">
        <v>0.534884</v>
      </c>
      <c r="O604" s="28" t="n">
        <v>0.5702</v>
      </c>
      <c r="P604" s="28" t="n">
        <v>0.18</v>
      </c>
      <c r="Q604" s="28" t="n">
        <v>0.035316</v>
      </c>
      <c r="R604" s="26" t="n">
        <v>0</v>
      </c>
      <c r="S604" s="29" t="n">
        <v>1</v>
      </c>
      <c r="T604" s="24" t="inlineStr">
        <is>
          <t>cfb-spread-v1</t>
        </is>
      </c>
      <c r="U604" s="24" t="inlineStr">
        <is>
          <t>settled</t>
        </is>
      </c>
      <c r="V604" s="24" t="inlineStr">
        <is>
          <t>win</t>
        </is>
      </c>
      <c r="W604" s="26" t="n">
        <v>13</v>
      </c>
      <c r="X604" s="26" t="n">
        <v>23</v>
      </c>
      <c r="Y604" s="25" t="n"/>
      <c r="Z604" s="26" t="n"/>
      <c r="AA604" s="28" t="n"/>
      <c r="AB604" s="28" t="n"/>
      <c r="AC604" s="30" t="n">
        <v>0.8696</v>
      </c>
      <c r="AD604" s="24" t="inlineStr">
        <is>
          <t>2026-09-27T04:32:02.881246Z</t>
        </is>
      </c>
      <c r="AE604" s="31" t="inlineStr">
        <is>
          <t>Projected home margin +10.6 pts. Spread: Home -7.0 / Away +7.0 -&gt; P(Away cover)=0.408, P(Home cover)=0.570, P(Push)=0.021.</t>
        </is>
      </c>
      <c r="AF604" s="31" t="inlineStr">
        <is>
          <t>College football model; multi-market (moneyline, spread, total).</t>
        </is>
      </c>
      <c r="AG604" s="24" t="inlineStr">
        <is>
          <t>not_applicable</t>
        </is>
      </c>
      <c r="AH604" s="24" t="n"/>
      <c r="AI604" s="31" t="n"/>
      <c r="AJ604" s="31" t="n"/>
      <c r="AK604" s="24" t="inlineStr">
        <is>
          <t>model_qualified</t>
        </is>
      </c>
      <c r="AL604" s="26" t="n">
        <v>4</v>
      </c>
      <c r="AM604" s="24" t="inlineStr">
        <is>
          <t>QUALIFIED_SHADOW_CALL</t>
        </is>
      </c>
      <c r="AN604" s="24" t="inlineStr">
        <is>
          <t>CALL</t>
        </is>
      </c>
      <c r="AO604" s="24" t="inlineStr">
        <is>
          <t>QUALIFIED</t>
        </is>
      </c>
      <c r="AP604" s="24" t="inlineStr">
        <is>
          <t>Middle Tennessee Blue Raiders</t>
        </is>
      </c>
      <c r="AQ604" s="24" t="inlineStr">
        <is>
          <t>Middle Tennessee Blue Raiders</t>
        </is>
      </c>
      <c r="AR604" s="24" t="inlineStr">
        <is>
          <t>Middle Tennessee Blue Raiders</t>
        </is>
      </c>
      <c r="AS604" s="24" t="inlineStr">
        <is>
          <t>Jacksonville State Gamecocks</t>
        </is>
      </c>
      <c r="AT604" s="24" t="inlineStr">
        <is>
          <t>Jacksonville State Gamecocks</t>
        </is>
      </c>
      <c r="AU604" s="24" t="inlineStr">
        <is>
          <t>Jacksonville State Gamecocks</t>
        </is>
      </c>
      <c r="AV604" s="24" t="n"/>
      <c r="AW604" s="24" t="n"/>
      <c r="AX604" s="24" t="inlineStr">
        <is>
          <t>statistical_model</t>
        </is>
      </c>
      <c r="AY604" s="24" t="n"/>
      <c r="AZ604" s="24" t="inlineStr">
        <is>
          <t>shadow_qualified</t>
        </is>
      </c>
      <c r="BA604" s="24" t="inlineStr">
        <is>
          <t>1d168f11d221cd3c</t>
        </is>
      </c>
      <c r="BB604" s="24" t="inlineStr">
        <is>
          <t>cfb_key_number_engine</t>
        </is>
      </c>
      <c r="BC604" s="24" t="inlineStr">
        <is>
          <t>cfb-spread-v1</t>
        </is>
      </c>
      <c r="BD604" s="24" t="inlineStr">
        <is>
          <t>1d168f11d221cd3c</t>
        </is>
      </c>
      <c r="BE604" s="24" t="inlineStr">
        <is>
          <t>cfb-v1</t>
        </is>
      </c>
      <c r="BF604" s="24" t="inlineStr">
        <is>
          <t>1</t>
        </is>
      </c>
      <c r="BG604" s="24" t="inlineStr">
        <is>
          <t>1d168f11d221cd3c</t>
        </is>
      </c>
      <c r="BH604" s="24" t="inlineStr">
        <is>
          <t>2026-09-26T22:34:32.504573+00:00</t>
        </is>
      </c>
      <c r="BI604" s="24" t="inlineStr">
        <is>
          <t>["same_event","same_team_same_day","same_league_same_day"]</t>
        </is>
      </c>
      <c r="BJ604" s="25" t="n">
        <v>-7</v>
      </c>
      <c r="BK604" s="26" t="n">
        <v>-115</v>
      </c>
      <c r="BL604" s="27" t="n">
        <v>1.869565</v>
      </c>
      <c r="BM604" s="28" t="n">
        <v>0.534884</v>
      </c>
      <c r="BN604" s="28" t="n"/>
      <c r="BO604" s="28" t="n"/>
      <c r="BP604" s="25" t="n"/>
      <c r="BQ604" s="27" t="n"/>
      <c r="BR604" s="28" t="n"/>
      <c r="BS604" s="28" t="n"/>
      <c r="BT604" s="28" t="n"/>
      <c r="BU604" s="25" t="n"/>
      <c r="BV604" s="29" t="n"/>
      <c r="BW604" s="24" t="n"/>
      <c r="BX604" s="30" t="n"/>
      <c r="BY604" s="27" t="n"/>
      <c r="BZ604" s="24" t="n"/>
      <c r="CA604" s="31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inlineStr">
        <is>
          <t>True</t>
        </is>
      </c>
      <c r="CT604" s="24" t="n"/>
      <c r="CU604" s="24" t="n"/>
      <c r="CV604" s="24" t="n"/>
      <c r="CW604" s="24" t="n"/>
      <c r="CX604" s="24" t="n"/>
      <c r="CY604" s="24" t="n"/>
      <c r="CZ604" s="24" t="n"/>
      <c r="DA604" s="24" t="n"/>
      <c r="DB604" s="24" t="n"/>
      <c r="DC604" s="24" t="n"/>
      <c r="DD604" s="24" t="n"/>
      <c r="DE604" s="24" t="n"/>
      <c r="DF604" s="24" t="n"/>
      <c r="DG604" s="24" t="n"/>
      <c r="DH604" s="24" t="n"/>
      <c r="DI604" s="24" t="n"/>
      <c r="DJ604" s="24" t="inlineStr">
        <is>
          <t>0.534884</t>
        </is>
      </c>
      <c r="DK604" s="24" t="n"/>
      <c r="DL604" s="24" t="n"/>
      <c r="DM604" s="24" t="n"/>
      <c r="DN604" s="24" t="n"/>
      <c r="DO604" s="24" t="n"/>
      <c r="DP604" s="24" t="n"/>
      <c r="DQ604" s="24" t="inlineStr">
        <is>
          <t>{"artifact_hash": "1d168f11d221cd3c", "event_id": "401871048", "event_start_utc": "2026-09-26T23:00Z", "features": {"altitude_fatigue_penalty": 0.0, "away_team": "Middle Tennessee Blue Raiders", "efficiency_gap": -0.735, "elo_away": 1337.5, "elo_home": 1531.9, "elo_home_win_prob": 0.8165, "event_id": "401871048", "game_start_utc": "2026-09-26T23:00Z", "home_field_advantage_points": 2.8, "home_team": "Jacksonville State Gamecocks", "is_dome": false, "is_fbs_vs_fcs": false, "is_neutral_site": false, "projected_away_points": 20.6, "projected_home_points": 31.2, "projected_margin_home": 10.6, "projected_possessions": 12.4, "projected_total": 51.8, "stadium_elevation_ft": 730, "travel_distance_miles": 144.0, "uncertainty": 0.18, "weather_total_adjustment": 0.0}, "historical_source_observation_times_verified": false, "inference_inputs": {"engine_source_sha256": "449ba2f0e86fa9c445730076a0e0bf100fb4914620be53c75c6f3bfe24298f3f", "mu_away": 20.6, "mu_home": 31.2,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280619402516416111829126028277467018648}, "uinteger": 0}, "spread_home_line": -7.0, "total_line": 51.5}, "market_type": "spread", "model_version": "cfb-spread-v1", "observed_at_utc": "2026-09-26T22:34:32.504573+00:00", "probabilities": {"away": 0.408467, "home": 0.5702, "push": 0.021333}, "replay_scope": "Full precision score means, exact engine parameters and original RNG state; upstream feature construction not certified.", "schema": "cfb-joint-replay-v1", "snapshot_hash": "06d41ea0ec6f34334bacddb9f6466c95e42a96109c2cfb614f974669024d2e25", "sport": "NCAAF"}</t>
        </is>
      </c>
    </row>
    <row r="605" ht="36" customHeight="1">
      <c r="A605" s="24" t="inlineStr">
        <is>
          <t>de0516f7c6794386</t>
        </is>
      </c>
      <c r="B605" s="24" t="inlineStr">
        <is>
          <t>2026-09-26T22:34:32.504573Z</t>
        </is>
      </c>
      <c r="C605" s="24" t="inlineStr">
        <is>
          <t>2026-09-26T23:00Z</t>
        </is>
      </c>
      <c r="D605" s="24" t="inlineStr">
        <is>
          <t>401871048</t>
        </is>
      </c>
      <c r="E605" s="24" t="inlineStr">
        <is>
          <t>NCAAF</t>
        </is>
      </c>
      <c r="F605" s="24" t="inlineStr">
        <is>
          <t>Middle Tennessee Blue Raiders</t>
        </is>
      </c>
      <c r="G605" s="24" t="inlineStr">
        <is>
          <t>Jacksonville State Gamecocks</t>
        </is>
      </c>
      <c r="H605" s="24" t="inlineStr">
        <is>
          <t>total</t>
        </is>
      </c>
      <c r="I605" s="24" t="inlineStr">
        <is>
          <t>under</t>
        </is>
      </c>
      <c r="J605" s="25" t="n">
        <v>51.5</v>
      </c>
      <c r="K605" s="24" t="inlineStr">
        <is>
          <t>espn_consensus</t>
        </is>
      </c>
      <c r="L605" s="26" t="n">
        <v>-110</v>
      </c>
      <c r="M605" s="27" t="n">
        <v>1.909091</v>
      </c>
      <c r="N605" s="28" t="n">
        <v>0.52381</v>
      </c>
      <c r="O605" s="28" t="n">
        <v>0.529</v>
      </c>
      <c r="P605" s="28" t="n">
        <v>0.18</v>
      </c>
      <c r="Q605" s="28" t="n">
        <v>0.00519</v>
      </c>
      <c r="R605" s="26" t="n">
        <v>0</v>
      </c>
      <c r="S605" s="29" t="n">
        <v>1</v>
      </c>
      <c r="T605" s="24" t="inlineStr">
        <is>
          <t>cfb-total-v1</t>
        </is>
      </c>
      <c r="U605" s="24" t="inlineStr">
        <is>
          <t>settled</t>
        </is>
      </c>
      <c r="V605" s="24" t="inlineStr">
        <is>
          <t>win</t>
        </is>
      </c>
      <c r="W605" s="26" t="n">
        <v>13</v>
      </c>
      <c r="X605" s="26" t="n">
        <v>23</v>
      </c>
      <c r="Y605" s="25" t="n"/>
      <c r="Z605" s="26" t="n"/>
      <c r="AA605" s="28" t="n"/>
      <c r="AB605" s="28" t="n"/>
      <c r="AC605" s="30" t="n">
        <v>0.9091</v>
      </c>
      <c r="AD605" s="24" t="inlineStr">
        <is>
          <t>2026-09-27T04:32:03.528766Z</t>
        </is>
      </c>
      <c r="AE605" s="31" t="inlineStr">
        <is>
          <t>Projected total 51.8 pts (Weather adj: +0.0 pts). Total line 51.5 -&gt; P(Over)=0.471, P(Under)=0.529, P(Push)=0.000.</t>
        </is>
      </c>
      <c r="AF605" s="31" t="inlineStr">
        <is>
          <t>College football model; multi-market (moneyline, spread, total).</t>
        </is>
      </c>
      <c r="AG605" s="24" t="inlineStr">
        <is>
          <t>not_applicable</t>
        </is>
      </c>
      <c r="AH605" s="24" t="n"/>
      <c r="AI605" s="31" t="n"/>
      <c r="AJ605" s="31" t="n"/>
      <c r="AK605" s="24" t="inlineStr">
        <is>
          <t>paper_call</t>
        </is>
      </c>
      <c r="AL605" s="26" t="n">
        <v>4</v>
      </c>
      <c r="AM605" s="24" t="inlineStr">
        <is>
          <t>RESEARCH_OBSERVATION</t>
        </is>
      </c>
      <c r="AN605" s="24" t="inlineStr">
        <is>
          <t>CALL</t>
        </is>
      </c>
      <c r="AO605" s="24" t="inlineStr">
        <is>
          <t>PAPER_CALL_LOW_EDGE</t>
        </is>
      </c>
      <c r="AP605" s="24" t="inlineStr">
        <is>
          <t>Middle Tennessee Blue Raiders</t>
        </is>
      </c>
      <c r="AQ605" s="24" t="inlineStr">
        <is>
          <t>Middle Tennessee Blue Raiders</t>
        </is>
      </c>
      <c r="AR605" s="24" t="inlineStr">
        <is>
          <t>Middle Tennessee Blue Raiders</t>
        </is>
      </c>
      <c r="AS605" s="24" t="inlineStr">
        <is>
          <t>Jacksonville State Gamecocks</t>
        </is>
      </c>
      <c r="AT605" s="24" t="inlineStr">
        <is>
          <t>Jacksonville State Gamecocks</t>
        </is>
      </c>
      <c r="AU605" s="24" t="inlineStr">
        <is>
          <t>Jacksonville State Gamecocks</t>
        </is>
      </c>
      <c r="AV605" s="24" t="n"/>
      <c r="AW605" s="24" t="n"/>
      <c r="AX605" s="24" t="inlineStr">
        <is>
          <t>statistical_model</t>
        </is>
      </c>
      <c r="AY605" s="24" t="n"/>
      <c r="AZ605" s="24" t="inlineStr">
        <is>
          <t>shadow_qualified</t>
        </is>
      </c>
      <c r="BA605" s="24" t="inlineStr">
        <is>
          <t>1d168f11d221cd3c</t>
        </is>
      </c>
      <c r="BB605" s="24" t="inlineStr">
        <is>
          <t>cfb_key_number_engine</t>
        </is>
      </c>
      <c r="BC605" s="24" t="inlineStr">
        <is>
          <t>cfb-total-v1</t>
        </is>
      </c>
      <c r="BD605" s="24" t="inlineStr">
        <is>
          <t>1d168f11d221cd3c</t>
        </is>
      </c>
      <c r="BE605" s="24" t="inlineStr">
        <is>
          <t>cfb-v1</t>
        </is>
      </c>
      <c r="BF605" s="24" t="inlineStr">
        <is>
          <t>1</t>
        </is>
      </c>
      <c r="BG605" s="24" t="inlineStr">
        <is>
          <t>1d168f11d221cd3c</t>
        </is>
      </c>
      <c r="BH605" s="24" t="inlineStr">
        <is>
          <t>2026-09-26T22:34:32.504573+00:00</t>
        </is>
      </c>
      <c r="BI605" s="24" t="inlineStr">
        <is>
          <t>["same_event","same_team_same_day","same_league_same_day"]</t>
        </is>
      </c>
      <c r="BJ605" s="25" t="n">
        <v>51.5</v>
      </c>
      <c r="BK605" s="26" t="n">
        <v>-110</v>
      </c>
      <c r="BL605" s="27" t="n">
        <v>1.909091</v>
      </c>
      <c r="BM605" s="28" t="n">
        <v>0.52381</v>
      </c>
      <c r="BN605" s="28" t="n"/>
      <c r="BO605" s="28" t="n"/>
      <c r="BP605" s="25" t="n"/>
      <c r="BQ605" s="27" t="n"/>
      <c r="BR605" s="28" t="n"/>
      <c r="BS605" s="28" t="n"/>
      <c r="BT605" s="28" t="n"/>
      <c r="BU605" s="25" t="n"/>
      <c r="BV605" s="29" t="n"/>
      <c r="BW605" s="24" t="n"/>
      <c r="BX605" s="30" t="n">
        <v>1</v>
      </c>
      <c r="BY605" s="27" t="n">
        <v>0.909091</v>
      </c>
      <c r="BZ605" s="24" t="inlineStr">
        <is>
          <t>2026-09-27T04:32:03.528766Z</t>
        </is>
      </c>
      <c r="CA605" s="31" t="inlineStr">
        <is>
          <t>fixed one-unit hypothetical scoring; no real exposure or execution</t>
        </is>
      </c>
      <c r="CB605" s="24" t="n"/>
      <c r="CC605" s="24" t="n"/>
      <c r="CD605" s="24" t="n"/>
      <c r="CE605" s="24" t="n"/>
      <c r="CF605" s="24" t="n"/>
      <c r="CG605" s="24" t="n"/>
      <c r="CH605" s="24" t="n"/>
      <c r="CI605" s="24" t="n"/>
      <c r="CJ605" s="24" t="n"/>
      <c r="CK605" s="24" t="n"/>
      <c r="CL605" s="24" t="n"/>
      <c r="CM605" s="24" t="n"/>
      <c r="CN605" s="24" t="n"/>
      <c r="CO605" s="24" t="n"/>
      <c r="CP605" s="24" t="n"/>
      <c r="CQ605" s="24" t="n"/>
      <c r="CR605" s="24" t="n"/>
      <c r="CS605" s="24" t="inlineStr">
        <is>
          <t>True</t>
        </is>
      </c>
      <c r="CT605" s="24" t="n"/>
      <c r="CU605" s="24" t="n"/>
      <c r="CV605" s="24" t="n"/>
      <c r="CW605" s="24" t="n"/>
      <c r="CX605" s="24" t="n"/>
      <c r="CY605" s="24" t="n"/>
      <c r="CZ605" s="24" t="n"/>
      <c r="DA605" s="24" t="n"/>
      <c r="DB605" s="24" t="n"/>
      <c r="DC605" s="24" t="n"/>
      <c r="DD605" s="24" t="n"/>
      <c r="DE605" s="24" t="n"/>
      <c r="DF605" s="24" t="n"/>
      <c r="DG605" s="24" t="n"/>
      <c r="DH605" s="24" t="n"/>
      <c r="DI605" s="24" t="n"/>
      <c r="DJ605" s="24" t="inlineStr">
        <is>
          <t>0.52381</t>
        </is>
      </c>
      <c r="DK605" s="24" t="n"/>
      <c r="DL605" s="24" t="n"/>
      <c r="DM605" s="24" t="n"/>
      <c r="DN605" s="24" t="n"/>
      <c r="DO605" s="24" t="n"/>
      <c r="DP605" s="24" t="n"/>
      <c r="DQ605" s="24" t="inlineStr">
        <is>
          <t>{"artifact_hash": "1d168f11d221cd3c", "event_id": "401871048", "event_start_utc": "2026-09-26T23:00Z", "features": {"altitude_fatigue_penalty": 0.0, "away_team": "Middle Tennessee Blue Raiders", "efficiency_gap": -0.735, "elo_away": 1337.5, "elo_home": 1531.9, "elo_home_win_prob": 0.8165, "event_id": "401871048", "game_start_utc": "2026-09-26T23:00Z", "home_field_advantage_points": 2.8, "home_team": "Jacksonville State Gamecocks", "is_dome": false, "is_fbs_vs_fcs": false, "is_neutral_site": false, "projected_away_points": 20.6, "projected_home_points": 31.2, "projected_margin_home": 10.6, "projected_possessions": 12.4, "projected_total": 51.8, "stadium_elevation_ft": 730, "travel_distance_miles": 144.0, "uncertainty": 0.18, "weather_total_adjustment": 0.0}, "historical_source_observation_times_verified": false, "inference_inputs": {"engine_source_sha256": "449ba2f0e86fa9c445730076a0e0bf100fb4914620be53c75c6f3bfe24298f3f", "mu_away": 20.6, "mu_home": 31.2,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280619402516416111829126028277467018648}, "uinteger": 0}, "spread_home_line": -7.0, "total_line": 51.5}, "market_type": "total", "model_version": "cfb-total-v1", "observed_at_utc": "2026-09-26T22:34:32.504573+00:00", "probabilities": {"over": 0.471, "push": 0.0, "under": 0.529}, "replay_scope": "Full precision score means, exact engine parameters and original RNG state; upstream feature construction not certified.", "schema": "cfb-joint-replay-v1", "snapshot_hash": "915bed951ceb20ffd8826f00dd9cf6ef7050c34bb2281d552e36fd6f12688a09", "sport": "NCAAF"}</t>
        </is>
      </c>
    </row>
    <row r="606" ht="36" customHeight="1">
      <c r="A606" s="24" t="inlineStr">
        <is>
          <t>eb8c2b692cb945d3</t>
        </is>
      </c>
      <c r="B606" s="24" t="inlineStr">
        <is>
          <t>2026-09-26T22:34:32.504573Z</t>
        </is>
      </c>
      <c r="C606" s="24" t="inlineStr">
        <is>
          <t>2026-09-26T23:10Z</t>
        </is>
      </c>
      <c r="D606" s="24" t="inlineStr">
        <is>
          <t>401856696</t>
        </is>
      </c>
      <c r="E606" s="24" t="inlineStr">
        <is>
          <t>NCAAF</t>
        </is>
      </c>
      <c r="F606" s="24" t="inlineStr">
        <is>
          <t>South Carolina Gamecocks</t>
        </is>
      </c>
      <c r="G606" s="24" t="inlineStr">
        <is>
          <t>Alabama Crimson Tide</t>
        </is>
      </c>
      <c r="H606" s="24" t="inlineStr">
        <is>
          <t>moneyline</t>
        </is>
      </c>
      <c r="I606" s="24" t="inlineStr">
        <is>
          <t>home</t>
        </is>
      </c>
      <c r="J606" s="25" t="n"/>
      <c r="K606" s="24" t="inlineStr">
        <is>
          <t>espn_consensus</t>
        </is>
      </c>
      <c r="L606" s="26" t="n">
        <v>-500</v>
      </c>
      <c r="M606" s="27" t="n">
        <v>1.2</v>
      </c>
      <c r="N606" s="28" t="n">
        <v>0.833333</v>
      </c>
      <c r="O606" s="28" t="n">
        <v>0.649963</v>
      </c>
      <c r="P606" s="28" t="n">
        <v>0.165</v>
      </c>
      <c r="Q606" s="28" t="n">
        <v>-0.18337</v>
      </c>
      <c r="R606" s="26" t="n">
        <v>0</v>
      </c>
      <c r="S606" s="29" t="n">
        <v>1</v>
      </c>
      <c r="T606" s="24" t="inlineStr">
        <is>
          <t>college-football-v1</t>
        </is>
      </c>
      <c r="U606" s="24" t="inlineStr">
        <is>
          <t>settled</t>
        </is>
      </c>
      <c r="V606" s="24" t="inlineStr">
        <is>
          <t>win</t>
        </is>
      </c>
      <c r="W606" s="26" t="n">
        <v>18</v>
      </c>
      <c r="X606" s="26" t="n">
        <v>49</v>
      </c>
      <c r="Y606" s="25" t="n"/>
      <c r="Z606" s="26" t="n"/>
      <c r="AA606" s="28" t="n"/>
      <c r="AB606" s="28" t="n"/>
      <c r="AC606" s="30" t="n">
        <v>0.2</v>
      </c>
      <c r="AD606" s="24" t="inlineStr">
        <is>
          <t>2026-09-27T04:32:04.125558Z</t>
        </is>
      </c>
      <c r="AE606" s="31" t="inlineStr">
        <is>
          <t>CFB Joint Model (negative_binomial): proj score South Carolina Gamecocks 25.3 @ Alabama Crimson Tide 32.4 (Margin +7.1). Possessions: 12.4, HFA: +2.8 pts.</t>
        </is>
      </c>
      <c r="AF606" s="31" t="inlineStr">
        <is>
          <t>College football model; multi-market (moneyline, spread, total).</t>
        </is>
      </c>
      <c r="AG606" s="24" t="inlineStr">
        <is>
          <t>not_applicable</t>
        </is>
      </c>
      <c r="AH606" s="24" t="n"/>
      <c r="AI606" s="31" t="n"/>
      <c r="AJ606" s="31" t="n"/>
      <c r="AK606" s="24" t="inlineStr">
        <is>
          <t>paper_call</t>
        </is>
      </c>
      <c r="AL606" s="26" t="n">
        <v>4</v>
      </c>
      <c r="AM606" s="24" t="inlineStr">
        <is>
          <t>RESEARCH_OBSERVATION</t>
        </is>
      </c>
      <c r="AN606" s="24" t="inlineStr">
        <is>
          <t>CALL</t>
        </is>
      </c>
      <c r="AO606" s="24" t="inlineStr">
        <is>
          <t>PAPER_CALL_LOW_EDGE</t>
        </is>
      </c>
      <c r="AP606" s="24" t="inlineStr">
        <is>
          <t>South Carolina Gamecocks</t>
        </is>
      </c>
      <c r="AQ606" s="24" t="inlineStr">
        <is>
          <t>South Carolina Gamecocks</t>
        </is>
      </c>
      <c r="AR606" s="24" t="inlineStr">
        <is>
          <t>South Carolina Gamecocks</t>
        </is>
      </c>
      <c r="AS606" s="24" t="inlineStr">
        <is>
          <t>Alabama Crimson Tide</t>
        </is>
      </c>
      <c r="AT606" s="24" t="inlineStr">
        <is>
          <t>Alabama Crimson Tide</t>
        </is>
      </c>
      <c r="AU606" s="24" t="inlineStr">
        <is>
          <t>Alabama Crimson Tide</t>
        </is>
      </c>
      <c r="AV606" s="24" t="n"/>
      <c r="AW606" s="24" t="n"/>
      <c r="AX606" s="24" t="inlineStr">
        <is>
          <t>statistical_model</t>
        </is>
      </c>
      <c r="AY606" s="24" t="n"/>
      <c r="AZ606" s="24" t="inlineStr">
        <is>
          <t>shadow_qualified</t>
        </is>
      </c>
      <c r="BA606" s="24" t="inlineStr">
        <is>
          <t>1d168f11d221cd3c</t>
        </is>
      </c>
      <c r="BB606" s="24" t="inlineStr">
        <is>
          <t>cfb_key_number_engine</t>
        </is>
      </c>
      <c r="BC606" s="24" t="inlineStr">
        <is>
          <t>college-football-v1</t>
        </is>
      </c>
      <c r="BD606" s="24" t="inlineStr">
        <is>
          <t>1d168f11d221cd3c</t>
        </is>
      </c>
      <c r="BE606" s="24" t="inlineStr">
        <is>
          <t>cfb-v1</t>
        </is>
      </c>
      <c r="BF606" s="24" t="inlineStr">
        <is>
          <t>1</t>
        </is>
      </c>
      <c r="BG606" s="24" t="inlineStr">
        <is>
          <t>1d168f11d221cd3c</t>
        </is>
      </c>
      <c r="BH606" s="24" t="inlineStr">
        <is>
          <t>2026-09-26T22:34:32.504573+00:00</t>
        </is>
      </c>
      <c r="BI606" s="24" t="inlineStr">
        <is>
          <t>["same_event","same_team_same_day","same_league_same_day"]</t>
        </is>
      </c>
      <c r="BJ606" s="25" t="n"/>
      <c r="BK606" s="26" t="n">
        <v>-500</v>
      </c>
      <c r="BL606" s="27" t="n">
        <v>1.2</v>
      </c>
      <c r="BM606" s="28" t="n">
        <v>0.833333</v>
      </c>
      <c r="BN606" s="28" t="n"/>
      <c r="BO606" s="28" t="n"/>
      <c r="BP606" s="25" t="n"/>
      <c r="BQ606" s="27" t="n"/>
      <c r="BR606" s="28" t="n"/>
      <c r="BS606" s="28" t="n"/>
      <c r="BT606" s="28" t="n"/>
      <c r="BU606" s="25" t="n"/>
      <c r="BV606" s="29" t="n"/>
      <c r="BW606" s="24" t="n"/>
      <c r="BX606" s="30" t="n">
        <v>1</v>
      </c>
      <c r="BY606" s="27" t="n">
        <v>0.2</v>
      </c>
      <c r="BZ606" s="24" t="inlineStr">
        <is>
          <t>2026-09-27T04:32:04.125558Z</t>
        </is>
      </c>
      <c r="CA606" s="31" t="inlineStr">
        <is>
          <t>fixed one-unit hypothetical scoring; no real exposure or execution</t>
        </is>
      </c>
      <c r="CB606" s="24" t="n"/>
      <c r="CC606" s="24" t="n"/>
      <c r="CD606" s="24" t="n"/>
      <c r="CE606" s="24" t="n"/>
      <c r="CF606" s="24" t="n"/>
      <c r="CG606" s="24" t="n"/>
      <c r="CH606" s="24" t="n"/>
      <c r="CI606" s="24" t="n"/>
      <c r="CJ606" s="24" t="n"/>
      <c r="CK606" s="24" t="n"/>
      <c r="CL606" s="24" t="n"/>
      <c r="CM606" s="24" t="n"/>
      <c r="CN606" s="24" t="n"/>
      <c r="CO606" s="24" t="n"/>
      <c r="CP606" s="24" t="n"/>
      <c r="CQ606" s="24" t="n"/>
      <c r="CR606" s="24" t="n"/>
      <c r="CS606" s="24" t="inlineStr">
        <is>
          <t>False</t>
        </is>
      </c>
      <c r="CT606" s="24" t="n"/>
      <c r="CU606" s="24" t="n"/>
      <c r="CV606" s="24" t="n"/>
      <c r="CW606" s="24" t="n"/>
      <c r="CX606" s="24" t="n"/>
      <c r="CY606" s="24" t="n"/>
      <c r="CZ606" s="24" t="n"/>
      <c r="DA606" s="24" t="n"/>
      <c r="DB606" s="24" t="n"/>
      <c r="DC606" s="24" t="n"/>
      <c r="DD606" s="24" t="n"/>
      <c r="DE606" s="24" t="n"/>
      <c r="DF606" s="24" t="n"/>
      <c r="DG606" s="24" t="n"/>
      <c r="DH606" s="24" t="n"/>
      <c r="DI606" s="24" t="n"/>
      <c r="DJ606" s="24" t="inlineStr">
        <is>
          <t>0.833333</t>
        </is>
      </c>
      <c r="DK606" s="24" t="n"/>
      <c r="DL606" s="24" t="n"/>
      <c r="DM606" s="24" t="n"/>
      <c r="DN606" s="24" t="n"/>
      <c r="DO606" s="24" t="n"/>
      <c r="DP606" s="24" t="n"/>
      <c r="DQ606" s="24" t="inlineStr">
        <is>
          <t>{"artifact_hash": "1d168f11d221cd3c", "event_id": "401856696", "event_start_utc": "2026-09-26T23:10Z", "features": {"altitude_fatigue_penalty": 0.0, "away_team": "South Carolina Gamecocks", "efficiency_gap": -0.735, "elo_away": 1531.9, "elo_home": 1650.4, "elo_home_win_prob": 0.742, "event_id": "401856696", "game_start_utc": "2026-09-26T23:10Z", "home_field_advantage_points": 2.8, "home_team": "Alabama Crimson Tide", "is_dome": false, "is_fbs_vs_fcs": false, "is_neutral_site": false, "projected_away_points": 25.3, "projected_home_points": 32.4, "projected_margin_home": 7.1, "projected_possessions": 12.4, "projected_total": 57.8, "stadium_elevation_ft": 223, "travel_distance_miles": 380.0, "uncertainty": 0.165, "weather_total_adjustment": 0.0}, "historical_source_observation_times_verified": false, "inference_inputs": {"engine_source_sha256": "449ba2f0e86fa9c445730076a0e0bf100fb4914620be53c75c6f3bfe24298f3f", "mu_away": 25.3, "mu_home": 32.4,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173684720671377823899841029348237763175}, "uinteger": 0}, "spread_home_line": -12.5, "total_line": 53.5}, "market_type": "moneyline", "model_version": "college-football-v1", "observed_at_utc": "2026-09-26T22:34:32.504573+00:00", "probabilities": {"away": 0.350037, "home": 0.649963}, "replay_scope": "Full precision score means, exact engine parameters and original RNG state; upstream feature construction not certified.", "schema": "cfb-joint-replay-v1", "snapshot_hash": "02354e6c2c8c0e3b9c020e4fa5b56acdd1abdb257c148ff89badfcb000d5576b", "sport": "NCAAF"}</t>
        </is>
      </c>
    </row>
    <row r="607" ht="36" customHeight="1">
      <c r="A607" s="24" t="inlineStr">
        <is>
          <t>fc2c09410422469c</t>
        </is>
      </c>
      <c r="B607" s="24" t="inlineStr">
        <is>
          <t>2026-09-26T22:34:32.504573Z</t>
        </is>
      </c>
      <c r="C607" s="24" t="inlineStr">
        <is>
          <t>2026-09-26T23:10Z</t>
        </is>
      </c>
      <c r="D607" s="24" t="inlineStr">
        <is>
          <t>401856696</t>
        </is>
      </c>
      <c r="E607" s="24" t="inlineStr">
        <is>
          <t>NCAAF</t>
        </is>
      </c>
      <c r="F607" s="24" t="inlineStr">
        <is>
          <t>South Carolina Gamecocks</t>
        </is>
      </c>
      <c r="G607" s="24" t="inlineStr">
        <is>
          <t>Alabama Crimson Tide</t>
        </is>
      </c>
      <c r="H607" s="24" t="inlineStr">
        <is>
          <t>spread</t>
        </is>
      </c>
      <c r="I607" s="24" t="inlineStr">
        <is>
          <t>away</t>
        </is>
      </c>
      <c r="J607" s="25" t="n">
        <v>12.5</v>
      </c>
      <c r="K607" s="24" t="inlineStr">
        <is>
          <t>espn_consensus</t>
        </is>
      </c>
      <c r="L607" s="26" t="n">
        <v>-110</v>
      </c>
      <c r="M607" s="27" t="n">
        <v>1.909091</v>
      </c>
      <c r="N607" s="28" t="n">
        <v>0.52381</v>
      </c>
      <c r="O607" s="28" t="n">
        <v>0.6032</v>
      </c>
      <c r="P607" s="28" t="n">
        <v>0.165</v>
      </c>
      <c r="Q607" s="28" t="n">
        <v>0.07939</v>
      </c>
      <c r="R607" s="26" t="n">
        <v>0</v>
      </c>
      <c r="S607" s="29" t="n">
        <v>1</v>
      </c>
      <c r="T607" s="24" t="inlineStr">
        <is>
          <t>cfb-spread-v1</t>
        </is>
      </c>
      <c r="U607" s="24" t="inlineStr">
        <is>
          <t>settled</t>
        </is>
      </c>
      <c r="V607" s="24" t="inlineStr">
        <is>
          <t>loss</t>
        </is>
      </c>
      <c r="W607" s="26" t="n">
        <v>18</v>
      </c>
      <c r="X607" s="26" t="n">
        <v>49</v>
      </c>
      <c r="Y607" s="25" t="n"/>
      <c r="Z607" s="26" t="n"/>
      <c r="AA607" s="28" t="n"/>
      <c r="AB607" s="28" t="n"/>
      <c r="AC607" s="30" t="n">
        <v>-1</v>
      </c>
      <c r="AD607" s="24" t="inlineStr">
        <is>
          <t>2026-09-27T04:32:04.656899Z</t>
        </is>
      </c>
      <c r="AE607" s="31" t="inlineStr">
        <is>
          <t>Projected home margin +7.1 pts. Spread: Home -12.5 / Away +12.5 -&gt; P(Away cover)=0.603, P(Home cover)=0.397, P(Push)=0.000.</t>
        </is>
      </c>
      <c r="AF607" s="31" t="inlineStr">
        <is>
          <t>College football model; multi-market (moneyline, spread, total).</t>
        </is>
      </c>
      <c r="AG607" s="24" t="inlineStr">
        <is>
          <t>review_required</t>
        </is>
      </c>
      <c r="AH607" s="24" t="n"/>
      <c r="AI607" s="31" t="n"/>
      <c r="AJ607" s="31" t="n"/>
      <c r="AK607" s="24" t="inlineStr">
        <is>
          <t>model_qualified</t>
        </is>
      </c>
      <c r="AL607" s="26" t="n">
        <v>4</v>
      </c>
      <c r="AM607" s="24" t="inlineStr">
        <is>
          <t>QUALIFIED_SHADOW_CALL</t>
        </is>
      </c>
      <c r="AN607" s="24" t="inlineStr">
        <is>
          <t>CALL</t>
        </is>
      </c>
      <c r="AO607" s="24" t="inlineStr">
        <is>
          <t>QUALIFIED</t>
        </is>
      </c>
      <c r="AP607" s="24" t="inlineStr">
        <is>
          <t>South Carolina Gamecocks</t>
        </is>
      </c>
      <c r="AQ607" s="24" t="inlineStr">
        <is>
          <t>South Carolina Gamecocks</t>
        </is>
      </c>
      <c r="AR607" s="24" t="inlineStr">
        <is>
          <t>South Carolina Gamecocks</t>
        </is>
      </c>
      <c r="AS607" s="24" t="inlineStr">
        <is>
          <t>Alabama Crimson Tide</t>
        </is>
      </c>
      <c r="AT607" s="24" t="inlineStr">
        <is>
          <t>Alabama Crimson Tide</t>
        </is>
      </c>
      <c r="AU607" s="24" t="inlineStr">
        <is>
          <t>Alabama Crimson Tide</t>
        </is>
      </c>
      <c r="AV607" s="24" t="n"/>
      <c r="AW607" s="24" t="n"/>
      <c r="AX607" s="24" t="inlineStr">
        <is>
          <t>statistical_model</t>
        </is>
      </c>
      <c r="AY607" s="24" t="n"/>
      <c r="AZ607" s="24" t="inlineStr">
        <is>
          <t>shadow_qualified</t>
        </is>
      </c>
      <c r="BA607" s="24" t="inlineStr">
        <is>
          <t>1d168f11d221cd3c</t>
        </is>
      </c>
      <c r="BB607" s="24" t="inlineStr">
        <is>
          <t>cfb_key_number_engine</t>
        </is>
      </c>
      <c r="BC607" s="24" t="inlineStr">
        <is>
          <t>cfb-spread-v1</t>
        </is>
      </c>
      <c r="BD607" s="24" t="inlineStr">
        <is>
          <t>1d168f11d221cd3c</t>
        </is>
      </c>
      <c r="BE607" s="24" t="inlineStr">
        <is>
          <t>cfb-v1</t>
        </is>
      </c>
      <c r="BF607" s="24" t="inlineStr">
        <is>
          <t>1</t>
        </is>
      </c>
      <c r="BG607" s="24" t="inlineStr">
        <is>
          <t>1d168f11d221cd3c</t>
        </is>
      </c>
      <c r="BH607" s="24" t="inlineStr">
        <is>
          <t>2026-09-26T22:34:32.504573+00:00</t>
        </is>
      </c>
      <c r="BI607" s="24" t="inlineStr">
        <is>
          <t>["same_event","same_team_same_day","same_league_same_day"]</t>
        </is>
      </c>
      <c r="BJ607" s="25" t="n">
        <v>12.5</v>
      </c>
      <c r="BK607" s="26" t="n">
        <v>-110</v>
      </c>
      <c r="BL607" s="27" t="n">
        <v>1.909091</v>
      </c>
      <c r="BM607" s="28" t="n">
        <v>0.52381</v>
      </c>
      <c r="BN607" s="28" t="n"/>
      <c r="BO607" s="28" t="n"/>
      <c r="BP607" s="25" t="n"/>
      <c r="BQ607" s="27" t="n"/>
      <c r="BR607" s="28" t="n"/>
      <c r="BS607" s="28" t="n"/>
      <c r="BT607" s="28" t="n"/>
      <c r="BU607" s="25" t="n"/>
      <c r="BV607" s="29" t="n"/>
      <c r="BW607" s="24" t="n"/>
      <c r="BX607" s="30" t="n"/>
      <c r="BY607" s="27" t="n"/>
      <c r="BZ607" s="24" t="n"/>
      <c r="CA607" s="31" t="n"/>
      <c r="CB607" s="24" t="n"/>
      <c r="CC607" s="24" t="n"/>
      <c r="CD607" s="24" t="n"/>
      <c r="CE607" s="24" t="n"/>
      <c r="CF607" s="24" t="n"/>
      <c r="CG607" s="24" t="n"/>
      <c r="CH607" s="24" t="n"/>
      <c r="CI607" s="24" t="n"/>
      <c r="CJ607" s="24" t="n"/>
      <c r="CK607" s="24" t="n"/>
      <c r="CL607" s="24" t="n"/>
      <c r="CM607" s="24" t="n"/>
      <c r="CN607" s="24" t="n"/>
      <c r="CO607" s="24" t="n"/>
      <c r="CP607" s="24" t="n"/>
      <c r="CQ607" s="24" t="n"/>
      <c r="CR607" s="24" t="n"/>
      <c r="CS607" s="24" t="inlineStr">
        <is>
          <t>True</t>
        </is>
      </c>
      <c r="CT607" s="24" t="n"/>
      <c r="CU607" s="24" t="n"/>
      <c r="CV607" s="24" t="n"/>
      <c r="CW607" s="24" t="n"/>
      <c r="CX607" s="24" t="n"/>
      <c r="CY607" s="24" t="n"/>
      <c r="CZ607" s="24" t="n"/>
      <c r="DA607" s="24" t="n"/>
      <c r="DB607" s="24" t="n"/>
      <c r="DC607" s="24" t="n"/>
      <c r="DD607" s="24" t="n"/>
      <c r="DE607" s="24" t="n"/>
      <c r="DF607" s="24" t="n"/>
      <c r="DG607" s="24" t="n"/>
      <c r="DH607" s="24" t="n"/>
      <c r="DI607" s="24" t="n"/>
      <c r="DJ607" s="24" t="inlineStr">
        <is>
          <t>0.52381</t>
        </is>
      </c>
      <c r="DK607" s="24" t="n"/>
      <c r="DL607" s="24" t="n"/>
      <c r="DM607" s="24" t="n"/>
      <c r="DN607" s="24" t="n"/>
      <c r="DO607" s="24" t="n"/>
      <c r="DP607" s="24" t="n"/>
      <c r="DQ607" s="24" t="inlineStr">
        <is>
          <t>{"artifact_hash": "1d168f11d221cd3c", "event_id": "401856696", "event_start_utc": "2026-09-26T23:10Z", "features": {"altitude_fatigue_penalty": 0.0, "away_team": "South Carolina Gamecocks", "efficiency_gap": -0.735, "elo_away": 1531.9, "elo_home": 1650.4, "elo_home_win_prob": 0.742, "event_id": "401856696", "game_start_utc": "2026-09-26T23:10Z", "home_field_advantage_points": 2.8, "home_team": "Alabama Crimson Tide", "is_dome": false, "is_fbs_vs_fcs": false, "is_neutral_site": false, "projected_away_points": 25.3, "projected_home_points": 32.4, "projected_margin_home": 7.1, "projected_possessions": 12.4, "projected_total": 57.8, "stadium_elevation_ft": 223, "travel_distance_miles": 380.0, "uncertainty": 0.165, "weather_total_adjustment": 0.0}, "historical_source_observation_times_verified": false, "inference_inputs": {"engine_source_sha256": "449ba2f0e86fa9c445730076a0e0bf100fb4914620be53c75c6f3bfe24298f3f", "mu_away": 25.3, "mu_home": 32.4,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173684720671377823899841029348237763175}, "uinteger": 0}, "spread_home_line": -12.5, "total_line": 53.5}, "market_type": "spread", "model_version": "cfb-spread-v1", "observed_at_utc": "2026-09-26T22:34:32.504573+00:00", "probabilities": {"away": 0.6032, "home": 0.3968, "push": 0.0}, "replay_scope": "Full precision score means, exact engine parameters and original RNG state; upstream feature construction not certified.", "schema": "cfb-joint-replay-v1", "snapshot_hash": "e741ce66f5ed028677963ad2b1669037ed12531406b0e516d0e7e73576aed179", "sport": "NCAAF"}</t>
        </is>
      </c>
    </row>
    <row r="608" ht="36" customHeight="1">
      <c r="A608" s="24" t="inlineStr">
        <is>
          <t>230c9f1e3bf24959</t>
        </is>
      </c>
      <c r="B608" s="24" t="inlineStr">
        <is>
          <t>2026-09-26T22:34:32.504573Z</t>
        </is>
      </c>
      <c r="C608" s="24" t="inlineStr">
        <is>
          <t>2026-09-26T23:10Z</t>
        </is>
      </c>
      <c r="D608" s="24" t="inlineStr">
        <is>
          <t>401856696</t>
        </is>
      </c>
      <c r="E608" s="24" t="inlineStr">
        <is>
          <t>NCAAF</t>
        </is>
      </c>
      <c r="F608" s="24" t="inlineStr">
        <is>
          <t>South Carolina Gamecocks</t>
        </is>
      </c>
      <c r="G608" s="24" t="inlineStr">
        <is>
          <t>Alabama Crimson Tide</t>
        </is>
      </c>
      <c r="H608" s="24" t="inlineStr">
        <is>
          <t>total</t>
        </is>
      </c>
      <c r="I608" s="24" t="inlineStr">
        <is>
          <t>over</t>
        </is>
      </c>
      <c r="J608" s="25" t="n">
        <v>53.5</v>
      </c>
      <c r="K608" s="24" t="inlineStr">
        <is>
          <t>espn_consensus</t>
        </is>
      </c>
      <c r="L608" s="26" t="n">
        <v>-110</v>
      </c>
      <c r="M608" s="27" t="n">
        <v>1.909091</v>
      </c>
      <c r="N608" s="28" t="n">
        <v>0.52381</v>
      </c>
      <c r="O608" s="28" t="n">
        <v>0.543667</v>
      </c>
      <c r="P608" s="28" t="n">
        <v>0.165</v>
      </c>
      <c r="Q608" s="28" t="n">
        <v>0.019857</v>
      </c>
      <c r="R608" s="26" t="n">
        <v>0</v>
      </c>
      <c r="S608" s="29" t="n">
        <v>1</v>
      </c>
      <c r="T608" s="24" t="inlineStr">
        <is>
          <t>cfb-total-v1</t>
        </is>
      </c>
      <c r="U608" s="24" t="inlineStr">
        <is>
          <t>settled</t>
        </is>
      </c>
      <c r="V608" s="24" t="inlineStr">
        <is>
          <t>win</t>
        </is>
      </c>
      <c r="W608" s="26" t="n">
        <v>18</v>
      </c>
      <c r="X608" s="26" t="n">
        <v>49</v>
      </c>
      <c r="Y608" s="25" t="n"/>
      <c r="Z608" s="26" t="n"/>
      <c r="AA608" s="28" t="n"/>
      <c r="AB608" s="28" t="n"/>
      <c r="AC608" s="30" t="n">
        <v>0.9091</v>
      </c>
      <c r="AD608" s="24" t="inlineStr">
        <is>
          <t>2026-09-27T04:32:05.293109Z</t>
        </is>
      </c>
      <c r="AE608" s="31" t="inlineStr">
        <is>
          <t>Projected total 57.8 pts (Weather adj: +0.0 pts). Total line 53.5 -&gt; P(Over)=0.544, P(Under)=0.456, P(Push)=0.000.</t>
        </is>
      </c>
      <c r="AF608" s="31" t="inlineStr">
        <is>
          <t>College football model; multi-market (moneyline, spread, total).</t>
        </is>
      </c>
      <c r="AG608" s="24" t="inlineStr">
        <is>
          <t>not_applicable</t>
        </is>
      </c>
      <c r="AH608" s="24" t="n"/>
      <c r="AI608" s="31" t="n"/>
      <c r="AJ608" s="31" t="n"/>
      <c r="AK608" s="24" t="inlineStr">
        <is>
          <t>paper_call</t>
        </is>
      </c>
      <c r="AL608" s="26" t="n">
        <v>4</v>
      </c>
      <c r="AM608" s="24" t="inlineStr">
        <is>
          <t>RESEARCH_OBSERVATION</t>
        </is>
      </c>
      <c r="AN608" s="24" t="inlineStr">
        <is>
          <t>CALL</t>
        </is>
      </c>
      <c r="AO608" s="24" t="inlineStr">
        <is>
          <t>PAPER_CALL_LOW_EDGE</t>
        </is>
      </c>
      <c r="AP608" s="24" t="inlineStr">
        <is>
          <t>South Carolina Gamecocks</t>
        </is>
      </c>
      <c r="AQ608" s="24" t="inlineStr">
        <is>
          <t>South Carolina Gamecocks</t>
        </is>
      </c>
      <c r="AR608" s="24" t="inlineStr">
        <is>
          <t>South Carolina Gamecocks</t>
        </is>
      </c>
      <c r="AS608" s="24" t="inlineStr">
        <is>
          <t>Alabama Crimson Tide</t>
        </is>
      </c>
      <c r="AT608" s="24" t="inlineStr">
        <is>
          <t>Alabama Crimson Tide</t>
        </is>
      </c>
      <c r="AU608" s="24" t="inlineStr">
        <is>
          <t>Alabama Crimson Tide</t>
        </is>
      </c>
      <c r="AV608" s="24" t="n"/>
      <c r="AW608" s="24" t="n"/>
      <c r="AX608" s="24" t="inlineStr">
        <is>
          <t>statistical_model</t>
        </is>
      </c>
      <c r="AY608" s="24" t="n"/>
      <c r="AZ608" s="24" t="inlineStr">
        <is>
          <t>shadow_qualified</t>
        </is>
      </c>
      <c r="BA608" s="24" t="inlineStr">
        <is>
          <t>1d168f11d221cd3c</t>
        </is>
      </c>
      <c r="BB608" s="24" t="inlineStr">
        <is>
          <t>cfb_key_number_engine</t>
        </is>
      </c>
      <c r="BC608" s="24" t="inlineStr">
        <is>
          <t>cfb-total-v1</t>
        </is>
      </c>
      <c r="BD608" s="24" t="inlineStr">
        <is>
          <t>1d168f11d221cd3c</t>
        </is>
      </c>
      <c r="BE608" s="24" t="inlineStr">
        <is>
          <t>cfb-v1</t>
        </is>
      </c>
      <c r="BF608" s="24" t="inlineStr">
        <is>
          <t>1</t>
        </is>
      </c>
      <c r="BG608" s="24" t="inlineStr">
        <is>
          <t>1d168f11d221cd3c</t>
        </is>
      </c>
      <c r="BH608" s="24" t="inlineStr">
        <is>
          <t>2026-09-26T22:34:32.504573+00:00</t>
        </is>
      </c>
      <c r="BI608" s="24" t="inlineStr">
        <is>
          <t>["same_event","same_team_same_day","same_league_same_day"]</t>
        </is>
      </c>
      <c r="BJ608" s="25" t="n">
        <v>53.5</v>
      </c>
      <c r="BK608" s="26" t="n">
        <v>-110</v>
      </c>
      <c r="BL608" s="27" t="n">
        <v>1.909091</v>
      </c>
      <c r="BM608" s="28" t="n">
        <v>0.52381</v>
      </c>
      <c r="BN608" s="28" t="n"/>
      <c r="BO608" s="28" t="n"/>
      <c r="BP608" s="25" t="n"/>
      <c r="BQ608" s="27" t="n"/>
      <c r="BR608" s="28" t="n"/>
      <c r="BS608" s="28" t="n"/>
      <c r="BT608" s="28" t="n"/>
      <c r="BU608" s="25" t="n"/>
      <c r="BV608" s="29" t="n"/>
      <c r="BW608" s="24" t="n"/>
      <c r="BX608" s="30" t="n">
        <v>1</v>
      </c>
      <c r="BY608" s="27" t="n">
        <v>0.909091</v>
      </c>
      <c r="BZ608" s="24" t="inlineStr">
        <is>
          <t>2026-09-27T04:32:05.293109Z</t>
        </is>
      </c>
      <c r="CA608" s="31" t="inlineStr">
        <is>
          <t>fixed one-unit hypothetical scoring; no real exposure or execution</t>
        </is>
      </c>
      <c r="CB608" s="24" t="n"/>
      <c r="CC608" s="24" t="n"/>
      <c r="CD608" s="24" t="n"/>
      <c r="CE608" s="24" t="n"/>
      <c r="CF608" s="24" t="n"/>
      <c r="CG608" s="24" t="n"/>
      <c r="CH608" s="24" t="n"/>
      <c r="CI608" s="24" t="n"/>
      <c r="CJ608" s="24" t="n"/>
      <c r="CK608" s="24" t="n"/>
      <c r="CL608" s="24" t="n"/>
      <c r="CM608" s="24" t="n"/>
      <c r="CN608" s="24" t="n"/>
      <c r="CO608" s="24" t="n"/>
      <c r="CP608" s="24" t="n"/>
      <c r="CQ608" s="24" t="n"/>
      <c r="CR608" s="24" t="n"/>
      <c r="CS608" s="24" t="inlineStr">
        <is>
          <t>True</t>
        </is>
      </c>
      <c r="CT608" s="24" t="n"/>
      <c r="CU608" s="24" t="n"/>
      <c r="CV608" s="24" t="n"/>
      <c r="CW608" s="24" t="n"/>
      <c r="CX608" s="24" t="n"/>
      <c r="CY608" s="24" t="n"/>
      <c r="CZ608" s="24" t="n"/>
      <c r="DA608" s="24" t="n"/>
      <c r="DB608" s="24" t="n"/>
      <c r="DC608" s="24" t="n"/>
      <c r="DD608" s="24" t="n"/>
      <c r="DE608" s="24" t="n"/>
      <c r="DF608" s="24" t="n"/>
      <c r="DG608" s="24" t="n"/>
      <c r="DH608" s="24" t="n"/>
      <c r="DI608" s="24" t="n"/>
      <c r="DJ608" s="24" t="inlineStr">
        <is>
          <t>0.52381</t>
        </is>
      </c>
      <c r="DK608" s="24" t="n"/>
      <c r="DL608" s="24" t="n"/>
      <c r="DM608" s="24" t="n"/>
      <c r="DN608" s="24" t="n"/>
      <c r="DO608" s="24" t="n"/>
      <c r="DP608" s="24" t="n"/>
      <c r="DQ608" s="24" t="inlineStr">
        <is>
          <t>{"artifact_hash": "1d168f11d221cd3c", "event_id": "401856696", "event_start_utc": "2026-09-26T23:10Z", "features": {"altitude_fatigue_penalty": 0.0, "away_team": "South Carolina Gamecocks", "efficiency_gap": -0.735, "elo_away": 1531.9, "elo_home": 1650.4, "elo_home_win_prob": 0.742, "event_id": "401856696", "game_start_utc": "2026-09-26T23:10Z", "home_field_advantage_points": 2.8, "home_team": "Alabama Crimson Tide", "is_dome": false, "is_fbs_vs_fcs": false, "is_neutral_site": false, "projected_away_points": 25.3, "projected_home_points": 32.4, "projected_margin_home": 7.1, "projected_possessions": 12.4, "projected_total": 57.8, "stadium_elevation_ft": 223, "travel_distance_miles": 380.0, "uncertainty": 0.165, "weather_total_adjustment": 0.0}, "historical_source_observation_times_verified": false, "inference_inputs": {"engine_source_sha256": "449ba2f0e86fa9c445730076a0e0bf100fb4914620be53c75c6f3bfe24298f3f", "mu_away": 25.3, "mu_home": 32.4,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173684720671377823899841029348237763175}, "uinteger": 0}, "spread_home_line": -12.5, "total_line": 53.5}, "market_type": "total", "model_version": "cfb-total-v1", "observed_at_utc": "2026-09-26T22:34:32.504573+00:00", "probabilities": {"over": 0.543667, "push": 0.0, "under": 0.456333}, "replay_scope": "Full precision score means, exact engine parameters and original RNG state; upstream feature construction not certified.", "schema": "cfb-joint-replay-v1", "snapshot_hash": "70693bb9b0530eb3ac3d0403fc6e87164bdfd12d4a279428ef15f2b1b94254c7", "sport": "NCAAF"}</t>
        </is>
      </c>
    </row>
    <row r="609" ht="36" customHeight="1">
      <c r="A609" s="24" t="inlineStr">
        <is>
          <t>0e962d9607ea43cd</t>
        </is>
      </c>
      <c r="B609" s="24" t="inlineStr">
        <is>
          <t>2026-09-26T22:34:32.504573Z</t>
        </is>
      </c>
      <c r="C609" s="24" t="inlineStr">
        <is>
          <t>2026-09-26T23:30Z</t>
        </is>
      </c>
      <c r="D609" s="24" t="inlineStr">
        <is>
          <t>401856702</t>
        </is>
      </c>
      <c r="E609" s="24" t="inlineStr">
        <is>
          <t>NCAAF</t>
        </is>
      </c>
      <c r="F609" s="24" t="inlineStr">
        <is>
          <t>Texas A&amp;M Aggies</t>
        </is>
      </c>
      <c r="G609" s="24" t="inlineStr">
        <is>
          <t>LSU Tigers</t>
        </is>
      </c>
      <c r="H609" s="24" t="inlineStr">
        <is>
          <t>moneyline</t>
        </is>
      </c>
      <c r="I609" s="24" t="inlineStr">
        <is>
          <t>away</t>
        </is>
      </c>
      <c r="J609" s="25" t="n"/>
      <c r="K609" s="24" t="inlineStr">
        <is>
          <t>espn_consensus</t>
        </is>
      </c>
      <c r="L609" s="26" t="n">
        <v>275</v>
      </c>
      <c r="M609" s="27" t="n">
        <v>3.75</v>
      </c>
      <c r="N609" s="28" t="n">
        <v>0.266667</v>
      </c>
      <c r="O609" s="28" t="n">
        <v>0.537563</v>
      </c>
      <c r="P609" s="28" t="n">
        <v>0.18</v>
      </c>
      <c r="Q609" s="28" t="n">
        <v>0.270896</v>
      </c>
      <c r="R609" s="26" t="n">
        <v>77</v>
      </c>
      <c r="S609" s="29" t="n">
        <v>1.5</v>
      </c>
      <c r="T609" s="24" t="inlineStr">
        <is>
          <t>college-football-v1</t>
        </is>
      </c>
      <c r="U609" s="24" t="inlineStr">
        <is>
          <t>settled</t>
        </is>
      </c>
      <c r="V609" s="24" t="inlineStr">
        <is>
          <t>loss</t>
        </is>
      </c>
      <c r="W609" s="26" t="n">
        <v>6</v>
      </c>
      <c r="X609" s="26" t="n">
        <v>35</v>
      </c>
      <c r="Y609" s="25" t="n"/>
      <c r="Z609" s="26" t="n"/>
      <c r="AA609" s="28" t="n"/>
      <c r="AB609" s="28" t="n"/>
      <c r="AC609" s="30" t="n">
        <v>-1.5</v>
      </c>
      <c r="AD609" s="24" t="inlineStr">
        <is>
          <t>2026-09-27T04:32:05.883345Z</t>
        </is>
      </c>
      <c r="AE609" s="31" t="inlineStr">
        <is>
          <t>CFB Joint Model (negative_binomial): proj score Texas A&amp;M Aggies 29.2 @ LSU Tigers 27.3 (Margin -1.9). Possessions: 12.4, HFA: +2.8 pts.</t>
        </is>
      </c>
      <c r="AF609" s="31" t="inlineStr">
        <is>
          <t>College football model; multi-market (moneyline, spread, total).</t>
        </is>
      </c>
      <c r="AG609" s="24" t="inlineStr">
        <is>
          <t>review_required</t>
        </is>
      </c>
      <c r="AH609" s="24" t="n"/>
      <c r="AI609" s="31" t="n"/>
      <c r="AJ609" s="31" t="n"/>
      <c r="AK609" s="24" t="inlineStr">
        <is>
          <t>model_qualified</t>
        </is>
      </c>
      <c r="AL609" s="26" t="n">
        <v>4</v>
      </c>
      <c r="AM609" s="24" t="inlineStr">
        <is>
          <t>QUALIFIED_SHADOW_CALL</t>
        </is>
      </c>
      <c r="AN609" s="24" t="inlineStr">
        <is>
          <t>CALL</t>
        </is>
      </c>
      <c r="AO609" s="24" t="inlineStr">
        <is>
          <t>QUALIFIED</t>
        </is>
      </c>
      <c r="AP609" s="24" t="inlineStr">
        <is>
          <t>Texas A&amp;M Aggies</t>
        </is>
      </c>
      <c r="AQ609" s="24" t="inlineStr">
        <is>
          <t>Texas A&amp;M Aggies</t>
        </is>
      </c>
      <c r="AR609" s="24" t="inlineStr">
        <is>
          <t>Texas A&amp;M Aggies</t>
        </is>
      </c>
      <c r="AS609" s="24" t="inlineStr">
        <is>
          <t>LSU Tigers</t>
        </is>
      </c>
      <c r="AT609" s="24" t="inlineStr">
        <is>
          <t>LSU Tigers</t>
        </is>
      </c>
      <c r="AU609" s="24" t="inlineStr">
        <is>
          <t>LSU Tigers</t>
        </is>
      </c>
      <c r="AV609" s="24" t="n"/>
      <c r="AW609" s="24" t="n"/>
      <c r="AX609" s="24" t="inlineStr">
        <is>
          <t>statistical_model</t>
        </is>
      </c>
      <c r="AY609" s="24" t="n"/>
      <c r="AZ609" s="24" t="inlineStr">
        <is>
          <t>shadow_qualified</t>
        </is>
      </c>
      <c r="BA609" s="24" t="inlineStr">
        <is>
          <t>1d168f11d221cd3c</t>
        </is>
      </c>
      <c r="BB609" s="24" t="inlineStr">
        <is>
          <t>cfb_key_number_engine</t>
        </is>
      </c>
      <c r="BC609" s="24" t="inlineStr">
        <is>
          <t>college-football-v1</t>
        </is>
      </c>
      <c r="BD609" s="24" t="inlineStr">
        <is>
          <t>1d168f11d221cd3c</t>
        </is>
      </c>
      <c r="BE609" s="24" t="inlineStr">
        <is>
          <t>cfb-v1</t>
        </is>
      </c>
      <c r="BF609" s="24" t="inlineStr">
        <is>
          <t>1</t>
        </is>
      </c>
      <c r="BG609" s="24" t="inlineStr">
        <is>
          <t>1d168f11d221cd3c</t>
        </is>
      </c>
      <c r="BH609" s="24" t="inlineStr">
        <is>
          <t>2026-09-26T22:34:32.504573+00:00</t>
        </is>
      </c>
      <c r="BI609" s="24" t="inlineStr">
        <is>
          <t>["same_event","same_team_same_day","same_league_same_day"]</t>
        </is>
      </c>
      <c r="BJ609" s="25" t="n"/>
      <c r="BK609" s="26" t="n">
        <v>275</v>
      </c>
      <c r="BL609" s="27" t="n">
        <v>3.75</v>
      </c>
      <c r="BM609" s="28" t="n">
        <v>0.266667</v>
      </c>
      <c r="BN609" s="28" t="n"/>
      <c r="BO609" s="28" t="n"/>
      <c r="BP609" s="25" t="n"/>
      <c r="BQ609" s="27" t="n"/>
      <c r="BR609" s="28" t="n"/>
      <c r="BS609" s="28" t="n"/>
      <c r="BT609" s="28" t="n"/>
      <c r="BU609" s="25" t="n"/>
      <c r="BV609" s="29" t="n"/>
      <c r="BW609" s="24" t="n"/>
      <c r="BX609" s="30" t="n"/>
      <c r="BY609" s="27" t="n"/>
      <c r="BZ609" s="24" t="n"/>
      <c r="CA609" s="31" t="n"/>
      <c r="CB609" s="24" t="n"/>
      <c r="CC609" s="24" t="n"/>
      <c r="CD609" s="24" t="n"/>
      <c r="CE609" s="24" t="n"/>
      <c r="CF609" s="24" t="n"/>
      <c r="CG609" s="24" t="n"/>
      <c r="CH609" s="24" t="n"/>
      <c r="CI609" s="24" t="n"/>
      <c r="CJ609" s="24" t="n"/>
      <c r="CK609" s="24" t="n"/>
      <c r="CL609" s="24" t="n"/>
      <c r="CM609" s="24" t="n"/>
      <c r="CN609" s="24" t="n"/>
      <c r="CO609" s="24" t="n"/>
      <c r="CP609" s="24" t="n"/>
      <c r="CQ609" s="24" t="n"/>
      <c r="CR609" s="24" t="n"/>
      <c r="CS609" s="24" t="inlineStr">
        <is>
          <t>True</t>
        </is>
      </c>
      <c r="CT609" s="24" t="n"/>
      <c r="CU609" s="24" t="n"/>
      <c r="CV609" s="24" t="n"/>
      <c r="CW609" s="24" t="n"/>
      <c r="CX609" s="24" t="n"/>
      <c r="CY609" s="24" t="n"/>
      <c r="CZ609" s="24" t="n"/>
      <c r="DA609" s="24" t="n"/>
      <c r="DB609" s="24" t="n"/>
      <c r="DC609" s="24" t="n"/>
      <c r="DD609" s="24" t="n"/>
      <c r="DE609" s="24" t="n"/>
      <c r="DF609" s="24" t="n"/>
      <c r="DG609" s="24" t="n"/>
      <c r="DH609" s="24" t="n"/>
      <c r="DI609" s="24" t="n"/>
      <c r="DJ609" s="24" t="inlineStr">
        <is>
          <t>0.266667</t>
        </is>
      </c>
      <c r="DK609" s="24" t="n"/>
      <c r="DL609" s="24" t="n"/>
      <c r="DM609" s="24" t="n"/>
      <c r="DN609" s="24" t="n"/>
      <c r="DO609" s="24" t="n"/>
      <c r="DP609" s="24" t="n"/>
      <c r="DQ609" s="24" t="inlineStr">
        <is>
          <t>{"artifact_hash": "1d168f11d221cd3c", "event_id": "401856702", "event_start_utc": "2026-09-26T23:30Z", "features": {"altitude_fatigue_penalty": 0.0, "away_team": "Texas A&amp;M Aggies", "efficiency_gap": 1.258, "elo_away": 1660.5, "elo_home": 1549.1, "elo_home_win_prob": 0.4336, "event_id": "401856702", "game_start_utc": "2026-09-26T23:30Z", "home_field_advantage_points": 2.8, "home_team": "LSU Tigers", "is_dome": false, "is_fbs_vs_fcs": false, "is_neutral_site": false, "projected_away_points": 29.2, "projected_home_points": 27.3, "projected_margin_home": -1.9, "projected_possessions": 12.4, "projected_total": 56.5, "stadium_elevation_ft": 45, "travel_distance_miles": 307.0, "uncertainty": 0.18, "weather_total_adjustment": 0.0}, "historical_source_observation_times_verified": false, "inference_inputs": {"engine_source_sha256": "449ba2f0e86fa9c445730076a0e0bf100fb4914620be53c75c6f3bfe24298f3f", "mu_away": 29.2, "mu_home": 27.3,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1490925801305304065546382512930327401}, "uinteger": 0}, "spread_home_line": -8.5, "total_line": 52.5}, "market_type": "moneyline", "model_version": "college-football-v1", "observed_at_utc": "2026-09-26T22:34:32.504573+00:00", "probabilities": {"away": 0.537563, "home": 0.462437}, "replay_scope": "Full precision score means, exact engine parameters and original RNG state; upstream feature construction not certified.", "schema": "cfb-joint-replay-v1", "snapshot_hash": "8ae64c7ed21a8af6f7de50f29eaf2538f0ef7dba8e7a26f099e17bef0fb38adb", "sport": "NCAAF"}</t>
        </is>
      </c>
    </row>
    <row r="610" ht="36" customHeight="1">
      <c r="A610" s="24" t="inlineStr">
        <is>
          <t>c35f662e4d3748b3</t>
        </is>
      </c>
      <c r="B610" s="24" t="inlineStr">
        <is>
          <t>2026-09-26T22:34:32.504573Z</t>
        </is>
      </c>
      <c r="C610" s="24" t="inlineStr">
        <is>
          <t>2026-09-26T23:30Z</t>
        </is>
      </c>
      <c r="D610" s="24" t="inlineStr">
        <is>
          <t>401856702</t>
        </is>
      </c>
      <c r="E610" s="24" t="inlineStr">
        <is>
          <t>NCAAF</t>
        </is>
      </c>
      <c r="F610" s="24" t="inlineStr">
        <is>
          <t>Texas A&amp;M Aggies</t>
        </is>
      </c>
      <c r="G610" s="24" t="inlineStr">
        <is>
          <t>LSU Tigers</t>
        </is>
      </c>
      <c r="H610" s="24" t="inlineStr">
        <is>
          <t>spread</t>
        </is>
      </c>
      <c r="I610" s="24" t="inlineStr">
        <is>
          <t>away</t>
        </is>
      </c>
      <c r="J610" s="25" t="n">
        <v>8.5</v>
      </c>
      <c r="K610" s="24" t="inlineStr">
        <is>
          <t>espn_consensus</t>
        </is>
      </c>
      <c r="L610" s="26" t="n">
        <v>-112</v>
      </c>
      <c r="M610" s="27" t="n">
        <v>1.892857</v>
      </c>
      <c r="N610" s="28" t="n">
        <v>0.528302</v>
      </c>
      <c r="O610" s="28" t="n">
        <v>0.7022</v>
      </c>
      <c r="P610" s="28" t="n">
        <v>0.18</v>
      </c>
      <c r="Q610" s="28" t="n">
        <v>0.173898</v>
      </c>
      <c r="R610" s="26" t="n">
        <v>29</v>
      </c>
      <c r="S610" s="29" t="n">
        <v>1</v>
      </c>
      <c r="T610" s="24" t="inlineStr">
        <is>
          <t>cfb-spread-v1</t>
        </is>
      </c>
      <c r="U610" s="24" t="inlineStr">
        <is>
          <t>settled</t>
        </is>
      </c>
      <c r="V610" s="24" t="inlineStr">
        <is>
          <t>loss</t>
        </is>
      </c>
      <c r="W610" s="26" t="n">
        <v>6</v>
      </c>
      <c r="X610" s="26" t="n">
        <v>35</v>
      </c>
      <c r="Y610" s="25" t="n"/>
      <c r="Z610" s="26" t="n"/>
      <c r="AA610" s="28" t="n"/>
      <c r="AB610" s="28" t="n"/>
      <c r="AC610" s="30" t="n">
        <v>-1</v>
      </c>
      <c r="AD610" s="24" t="inlineStr">
        <is>
          <t>2026-09-27T04:32:06.392796Z</t>
        </is>
      </c>
      <c r="AE610" s="31" t="inlineStr">
        <is>
          <t>Projected home margin -1.9 pts. Spread: Home -8.5 / Away +8.5 -&gt; P(Away cover)=0.702, P(Home cover)=0.298, P(Push)=0.000.</t>
        </is>
      </c>
      <c r="AF610" s="31" t="inlineStr">
        <is>
          <t>College football model; multi-market (moneyline, spread, total).</t>
        </is>
      </c>
      <c r="AG610" s="24" t="inlineStr">
        <is>
          <t>review_required</t>
        </is>
      </c>
      <c r="AH610" s="24" t="n"/>
      <c r="AI610" s="31" t="n"/>
      <c r="AJ610" s="31" t="n"/>
      <c r="AK610" s="24" t="inlineStr">
        <is>
          <t>model_qualified</t>
        </is>
      </c>
      <c r="AL610" s="26" t="n">
        <v>4</v>
      </c>
      <c r="AM610" s="24" t="inlineStr">
        <is>
          <t>QUALIFIED_SHADOW_CALL</t>
        </is>
      </c>
      <c r="AN610" s="24" t="inlineStr">
        <is>
          <t>CALL</t>
        </is>
      </c>
      <c r="AO610" s="24" t="inlineStr">
        <is>
          <t>QUALIFIED</t>
        </is>
      </c>
      <c r="AP610" s="24" t="inlineStr">
        <is>
          <t>Texas A&amp;M Aggies</t>
        </is>
      </c>
      <c r="AQ610" s="24" t="inlineStr">
        <is>
          <t>Texas A&amp;M Aggies</t>
        </is>
      </c>
      <c r="AR610" s="24" t="inlineStr">
        <is>
          <t>Texas A&amp;M Aggies</t>
        </is>
      </c>
      <c r="AS610" s="24" t="inlineStr">
        <is>
          <t>LSU Tigers</t>
        </is>
      </c>
      <c r="AT610" s="24" t="inlineStr">
        <is>
          <t>LSU Tigers</t>
        </is>
      </c>
      <c r="AU610" s="24" t="inlineStr">
        <is>
          <t>LSU Tigers</t>
        </is>
      </c>
      <c r="AV610" s="24" t="n"/>
      <c r="AW610" s="24" t="n"/>
      <c r="AX610" s="24" t="inlineStr">
        <is>
          <t>statistical_model</t>
        </is>
      </c>
      <c r="AY610" s="24" t="n"/>
      <c r="AZ610" s="24" t="inlineStr">
        <is>
          <t>shadow_qualified</t>
        </is>
      </c>
      <c r="BA610" s="24" t="inlineStr">
        <is>
          <t>1d168f11d221cd3c</t>
        </is>
      </c>
      <c r="BB610" s="24" t="inlineStr">
        <is>
          <t>cfb_key_number_engine</t>
        </is>
      </c>
      <c r="BC610" s="24" t="inlineStr">
        <is>
          <t>cfb-spread-v1</t>
        </is>
      </c>
      <c r="BD610" s="24" t="inlineStr">
        <is>
          <t>1d168f11d221cd3c</t>
        </is>
      </c>
      <c r="BE610" s="24" t="inlineStr">
        <is>
          <t>cfb-v1</t>
        </is>
      </c>
      <c r="BF610" s="24" t="inlineStr">
        <is>
          <t>1</t>
        </is>
      </c>
      <c r="BG610" s="24" t="inlineStr">
        <is>
          <t>1d168f11d221cd3c</t>
        </is>
      </c>
      <c r="BH610" s="24" t="inlineStr">
        <is>
          <t>2026-09-26T22:34:32.504573+00:00</t>
        </is>
      </c>
      <c r="BI610" s="24" t="inlineStr">
        <is>
          <t>["same_event","same_team_same_day","same_league_same_day"]</t>
        </is>
      </c>
      <c r="BJ610" s="25" t="n">
        <v>8.5</v>
      </c>
      <c r="BK610" s="26" t="n">
        <v>-112</v>
      </c>
      <c r="BL610" s="27" t="n">
        <v>1.892857</v>
      </c>
      <c r="BM610" s="28" t="n">
        <v>0.528302</v>
      </c>
      <c r="BN610" s="28" t="n"/>
      <c r="BO610" s="28" t="n"/>
      <c r="BP610" s="25" t="n"/>
      <c r="BQ610" s="27" t="n"/>
      <c r="BR610" s="28" t="n"/>
      <c r="BS610" s="28" t="n"/>
      <c r="BT610" s="28" t="n"/>
      <c r="BU610" s="25" t="n"/>
      <c r="BV610" s="29" t="n"/>
      <c r="BW610" s="24" t="n"/>
      <c r="BX610" s="30" t="n"/>
      <c r="BY610" s="27" t="n"/>
      <c r="BZ610" s="24" t="n"/>
      <c r="CA610" s="31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inlineStr">
        <is>
          <t>True</t>
        </is>
      </c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n"/>
      <c r="DE610" s="24" t="n"/>
      <c r="DF610" s="24" t="n"/>
      <c r="DG610" s="24" t="n"/>
      <c r="DH610" s="24" t="n"/>
      <c r="DI610" s="24" t="n"/>
      <c r="DJ610" s="24" t="inlineStr">
        <is>
          <t>0.528302</t>
        </is>
      </c>
      <c r="DK610" s="24" t="n"/>
      <c r="DL610" s="24" t="n"/>
      <c r="DM610" s="24" t="n"/>
      <c r="DN610" s="24" t="n"/>
      <c r="DO610" s="24" t="n"/>
      <c r="DP610" s="24" t="n"/>
      <c r="DQ610" s="24" t="inlineStr">
        <is>
          <t>{"artifact_hash": "1d168f11d221cd3c", "event_id": "401856702", "event_start_utc": "2026-09-26T23:30Z", "features": {"altitude_fatigue_penalty": 0.0, "away_team": "Texas A&amp;M Aggies", "efficiency_gap": 1.258, "elo_away": 1660.5, "elo_home": 1549.1, "elo_home_win_prob": 0.4336, "event_id": "401856702", "game_start_utc": "2026-09-26T23:30Z", "home_field_advantage_points": 2.8, "home_team": "LSU Tigers", "is_dome": false, "is_fbs_vs_fcs": false, "is_neutral_site": false, "projected_away_points": 29.2, "projected_home_points": 27.3, "projected_margin_home": -1.9, "projected_possessions": 12.4, "projected_total": 56.5, "stadium_elevation_ft": 45, "travel_distance_miles": 307.0, "uncertainty": 0.18, "weather_total_adjustment": 0.0}, "historical_source_observation_times_verified": false, "inference_inputs": {"engine_source_sha256": "449ba2f0e86fa9c445730076a0e0bf100fb4914620be53c75c6f3bfe24298f3f", "mu_away": 29.2, "mu_home": 27.3,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1490925801305304065546382512930327401}, "uinteger": 0}, "spread_home_line": -8.5, "total_line": 52.5}, "market_type": "spread", "model_version": "cfb-spread-v1", "observed_at_utc": "2026-09-26T22:34:32.504573+00:00", "probabilities": {"away": 0.7022, "home": 0.2978, "push": 0.0}, "replay_scope": "Full precision score means, exact engine parameters and original RNG state; upstream feature construction not certified.", "schema": "cfb-joint-replay-v1", "snapshot_hash": "96d37049593e4ae1b5af997466d189b5329b880d4af2505aaa2b60b4ade4fd04", "sport": "NCAAF"}</t>
        </is>
      </c>
    </row>
    <row r="611" ht="36" customHeight="1">
      <c r="A611" s="24" t="inlineStr">
        <is>
          <t>b48b5d3856544a1c</t>
        </is>
      </c>
      <c r="B611" s="24" t="inlineStr">
        <is>
          <t>2026-09-26T22:34:32.504573Z</t>
        </is>
      </c>
      <c r="C611" s="24" t="inlineStr">
        <is>
          <t>2026-09-26T23:30Z</t>
        </is>
      </c>
      <c r="D611" s="24" t="inlineStr">
        <is>
          <t>401856702</t>
        </is>
      </c>
      <c r="E611" s="24" t="inlineStr">
        <is>
          <t>NCAAF</t>
        </is>
      </c>
      <c r="F611" s="24" t="inlineStr">
        <is>
          <t>Texas A&amp;M Aggies</t>
        </is>
      </c>
      <c r="G611" s="24" t="inlineStr">
        <is>
          <t>LSU Tigers</t>
        </is>
      </c>
      <c r="H611" s="24" t="inlineStr">
        <is>
          <t>total</t>
        </is>
      </c>
      <c r="I611" s="24" t="inlineStr">
        <is>
          <t>over</t>
        </is>
      </c>
      <c r="J611" s="25" t="n">
        <v>52.5</v>
      </c>
      <c r="K611" s="24" t="inlineStr">
        <is>
          <t>espn_consensus</t>
        </is>
      </c>
      <c r="L611" s="26" t="n">
        <v>-110</v>
      </c>
      <c r="M611" s="27" t="n">
        <v>1.909091</v>
      </c>
      <c r="N611" s="28" t="n">
        <v>0.52381</v>
      </c>
      <c r="O611" s="28" t="n">
        <v>0.532267</v>
      </c>
      <c r="P611" s="28" t="n">
        <v>0.18</v>
      </c>
      <c r="Q611" s="28" t="n">
        <v>0.008456999999999999</v>
      </c>
      <c r="R611" s="26" t="n">
        <v>0</v>
      </c>
      <c r="S611" s="29" t="n">
        <v>1</v>
      </c>
      <c r="T611" s="24" t="inlineStr">
        <is>
          <t>cfb-total-v1</t>
        </is>
      </c>
      <c r="U611" s="24" t="inlineStr">
        <is>
          <t>settled</t>
        </is>
      </c>
      <c r="V611" s="24" t="inlineStr">
        <is>
          <t>loss</t>
        </is>
      </c>
      <c r="W611" s="26" t="n">
        <v>6</v>
      </c>
      <c r="X611" s="26" t="n">
        <v>35</v>
      </c>
      <c r="Y611" s="25" t="n"/>
      <c r="Z611" s="26" t="n"/>
      <c r="AA611" s="28" t="n"/>
      <c r="AB611" s="28" t="n"/>
      <c r="AC611" s="30" t="n">
        <v>-1</v>
      </c>
      <c r="AD611" s="24" t="inlineStr">
        <is>
          <t>2026-09-27T04:32:07.035285Z</t>
        </is>
      </c>
      <c r="AE611" s="31" t="inlineStr">
        <is>
          <t>Projected total 56.5 pts (Weather adj: +0.0 pts). Total line 52.5 -&gt; P(Over)=0.532, P(Under)=0.468, P(Push)=0.000.</t>
        </is>
      </c>
      <c r="AF611" s="31" t="inlineStr">
        <is>
          <t>College football model; multi-market (moneyline, spread, total).</t>
        </is>
      </c>
      <c r="AG611" s="24" t="inlineStr">
        <is>
          <t>review_required</t>
        </is>
      </c>
      <c r="AH611" s="24" t="n"/>
      <c r="AI611" s="31" t="n"/>
      <c r="AJ611" s="31" t="n"/>
      <c r="AK611" s="24" t="inlineStr">
        <is>
          <t>paper_call</t>
        </is>
      </c>
      <c r="AL611" s="26" t="n">
        <v>4</v>
      </c>
      <c r="AM611" s="24" t="inlineStr">
        <is>
          <t>RESEARCH_OBSERVATION</t>
        </is>
      </c>
      <c r="AN611" s="24" t="inlineStr">
        <is>
          <t>CALL</t>
        </is>
      </c>
      <c r="AO611" s="24" t="inlineStr">
        <is>
          <t>PAPER_CALL_LOW_EDGE</t>
        </is>
      </c>
      <c r="AP611" s="24" t="inlineStr">
        <is>
          <t>Texas A&amp;M Aggies</t>
        </is>
      </c>
      <c r="AQ611" s="24" t="inlineStr">
        <is>
          <t>Texas A&amp;M Aggies</t>
        </is>
      </c>
      <c r="AR611" s="24" t="inlineStr">
        <is>
          <t>Texas A&amp;M Aggies</t>
        </is>
      </c>
      <c r="AS611" s="24" t="inlineStr">
        <is>
          <t>LSU Tigers</t>
        </is>
      </c>
      <c r="AT611" s="24" t="inlineStr">
        <is>
          <t>LSU Tigers</t>
        </is>
      </c>
      <c r="AU611" s="24" t="inlineStr">
        <is>
          <t>LSU Tigers</t>
        </is>
      </c>
      <c r="AV611" s="24" t="n"/>
      <c r="AW611" s="24" t="n"/>
      <c r="AX611" s="24" t="inlineStr">
        <is>
          <t>statistical_model</t>
        </is>
      </c>
      <c r="AY611" s="24" t="n"/>
      <c r="AZ611" s="24" t="inlineStr">
        <is>
          <t>shadow_qualified</t>
        </is>
      </c>
      <c r="BA611" s="24" t="inlineStr">
        <is>
          <t>1d168f11d221cd3c</t>
        </is>
      </c>
      <c r="BB611" s="24" t="inlineStr">
        <is>
          <t>cfb_key_number_engine</t>
        </is>
      </c>
      <c r="BC611" s="24" t="inlineStr">
        <is>
          <t>cfb-total-v1</t>
        </is>
      </c>
      <c r="BD611" s="24" t="inlineStr">
        <is>
          <t>1d168f11d221cd3c</t>
        </is>
      </c>
      <c r="BE611" s="24" t="inlineStr">
        <is>
          <t>cfb-v1</t>
        </is>
      </c>
      <c r="BF611" s="24" t="inlineStr">
        <is>
          <t>1</t>
        </is>
      </c>
      <c r="BG611" s="24" t="inlineStr">
        <is>
          <t>1d168f11d221cd3c</t>
        </is>
      </c>
      <c r="BH611" s="24" t="inlineStr">
        <is>
          <t>2026-09-26T22:34:32.504573+00:00</t>
        </is>
      </c>
      <c r="BI611" s="24" t="inlineStr">
        <is>
          <t>["same_event","same_team_same_day","same_league_same_day"]</t>
        </is>
      </c>
      <c r="BJ611" s="25" t="n">
        <v>52.5</v>
      </c>
      <c r="BK611" s="26" t="n">
        <v>-110</v>
      </c>
      <c r="BL611" s="27" t="n">
        <v>1.909091</v>
      </c>
      <c r="BM611" s="28" t="n">
        <v>0.52381</v>
      </c>
      <c r="BN611" s="28" t="n"/>
      <c r="BO611" s="28" t="n"/>
      <c r="BP611" s="25" t="n"/>
      <c r="BQ611" s="27" t="n"/>
      <c r="BR611" s="28" t="n"/>
      <c r="BS611" s="28" t="n"/>
      <c r="BT611" s="28" t="n"/>
      <c r="BU611" s="25" t="n"/>
      <c r="BV611" s="29" t="n"/>
      <c r="BW611" s="24" t="n"/>
      <c r="BX611" s="30" t="n">
        <v>1</v>
      </c>
      <c r="BY611" s="27" t="n">
        <v>-1</v>
      </c>
      <c r="BZ611" s="24" t="inlineStr">
        <is>
          <t>2026-09-27T04:32:07.035285Z</t>
        </is>
      </c>
      <c r="CA611" s="31" t="inlineStr">
        <is>
          <t>fixed one-unit hypothetical scoring; no real exposure or execution</t>
        </is>
      </c>
      <c r="CB611" s="24" t="n"/>
      <c r="CC611" s="24" t="n"/>
      <c r="CD611" s="24" t="n"/>
      <c r="CE611" s="24" t="n"/>
      <c r="CF611" s="24" t="n"/>
      <c r="CG611" s="24" t="n"/>
      <c r="CH611" s="24" t="n"/>
      <c r="CI611" s="24" t="n"/>
      <c r="CJ611" s="24" t="n"/>
      <c r="CK611" s="24" t="n"/>
      <c r="CL611" s="24" t="n"/>
      <c r="CM611" s="24" t="n"/>
      <c r="CN611" s="24" t="n"/>
      <c r="CO611" s="24" t="n"/>
      <c r="CP611" s="24" t="n"/>
      <c r="CQ611" s="24" t="n"/>
      <c r="CR611" s="24" t="n"/>
      <c r="CS611" s="24" t="inlineStr">
        <is>
          <t>True</t>
        </is>
      </c>
      <c r="CT611" s="24" t="n"/>
      <c r="CU611" s="24" t="n"/>
      <c r="CV611" s="24" t="n"/>
      <c r="CW611" s="24" t="n"/>
      <c r="CX611" s="24" t="n"/>
      <c r="CY611" s="24" t="n"/>
      <c r="CZ611" s="24" t="n"/>
      <c r="DA611" s="24" t="n"/>
      <c r="DB611" s="24" t="n"/>
      <c r="DC611" s="24" t="n"/>
      <c r="DD611" s="24" t="n"/>
      <c r="DE611" s="24" t="n"/>
      <c r="DF611" s="24" t="n"/>
      <c r="DG611" s="24" t="n"/>
      <c r="DH611" s="24" t="n"/>
      <c r="DI611" s="24" t="n"/>
      <c r="DJ611" s="24" t="inlineStr">
        <is>
          <t>0.52381</t>
        </is>
      </c>
      <c r="DK611" s="24" t="n"/>
      <c r="DL611" s="24" t="n"/>
      <c r="DM611" s="24" t="n"/>
      <c r="DN611" s="24" t="n"/>
      <c r="DO611" s="24" t="n"/>
      <c r="DP611" s="24" t="n"/>
      <c r="DQ611" s="24" t="inlineStr">
        <is>
          <t>{"artifact_hash": "1d168f11d221cd3c", "event_id": "401856702", "event_start_utc": "2026-09-26T23:30Z", "features": {"altitude_fatigue_penalty": 0.0, "away_team": "Texas A&amp;M Aggies", "efficiency_gap": 1.258, "elo_away": 1660.5, "elo_home": 1549.1, "elo_home_win_prob": 0.4336, "event_id": "401856702", "game_start_utc": "2026-09-26T23:30Z", "home_field_advantage_points": 2.8, "home_team": "LSU Tigers", "is_dome": false, "is_fbs_vs_fcs": false, "is_neutral_site": false, "projected_away_points": 29.2, "projected_home_points": 27.3, "projected_margin_home": -1.9, "projected_possessions": 12.4, "projected_total": 56.5, "stadium_elevation_ft": 45, "travel_distance_miles": 307.0, "uncertainty": 0.18, "weather_total_adjustment": 0.0}, "historical_source_observation_times_verified": false, "inference_inputs": {"engine_source_sha256": "449ba2f0e86fa9c445730076a0e0bf100fb4914620be53c75c6f3bfe24298f3f", "mu_away": 29.2, "mu_home": 27.3,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1490925801305304065546382512930327401}, "uinteger": 0}, "spread_home_line": -8.5, "total_line": 52.5}, "market_type": "total", "model_version": "cfb-total-v1", "observed_at_utc": "2026-09-26T22:34:32.504573+00:00", "probabilities": {"over": 0.532267, "push": 0.0, "under": 0.467733}, "replay_scope": "Full precision score means, exact engine parameters and original RNG state; upstream feature construction not certified.", "schema": "cfb-joint-replay-v1", "snapshot_hash": "5e6bee3e27d15e5c5e8a458cd0b0ea2738f365e7015c93219051defa322c7d85", "sport": "NCAAF"}</t>
        </is>
      </c>
    </row>
    <row r="612" ht="36" customHeight="1">
      <c r="A612" s="24" t="inlineStr">
        <is>
          <t>66140bd7289545ea</t>
        </is>
      </c>
      <c r="B612" s="24" t="inlineStr">
        <is>
          <t>2026-09-26T22:34:32.504573Z</t>
        </is>
      </c>
      <c r="C612" s="24" t="inlineStr">
        <is>
          <t>2026-09-26T23:30Z</t>
        </is>
      </c>
      <c r="D612" s="24" t="inlineStr">
        <is>
          <t>401858469</t>
        </is>
      </c>
      <c r="E612" s="24" t="inlineStr">
        <is>
          <t>NCAAF</t>
        </is>
      </c>
      <c r="F612" s="24" t="inlineStr">
        <is>
          <t>Oregon Ducks</t>
        </is>
      </c>
      <c r="G612" s="24" t="inlineStr">
        <is>
          <t>USC Trojans</t>
        </is>
      </c>
      <c r="H612" s="24" t="inlineStr">
        <is>
          <t>moneyline</t>
        </is>
      </c>
      <c r="I612" s="24" t="inlineStr">
        <is>
          <t>home</t>
        </is>
      </c>
      <c r="J612" s="25" t="n"/>
      <c r="K612" s="24" t="inlineStr">
        <is>
          <t>espn_consensus</t>
        </is>
      </c>
      <c r="L612" s="26" t="n">
        <v>154</v>
      </c>
      <c r="M612" s="27" t="n">
        <v>2.54</v>
      </c>
      <c r="N612" s="28" t="n">
        <v>0.393701</v>
      </c>
      <c r="O612" s="28" t="n">
        <v>0.523957</v>
      </c>
      <c r="P612" s="28" t="n">
        <v>0.165</v>
      </c>
      <c r="Q612" s="28" t="n">
        <v>0.130256</v>
      </c>
      <c r="R612" s="26" t="n">
        <v>16</v>
      </c>
      <c r="S612" s="29" t="n">
        <v>1</v>
      </c>
      <c r="T612" s="24" t="inlineStr">
        <is>
          <t>college-football-v1</t>
        </is>
      </c>
      <c r="U612" s="24" t="inlineStr">
        <is>
          <t>settled</t>
        </is>
      </c>
      <c r="V612" s="24" t="inlineStr">
        <is>
          <t>loss</t>
        </is>
      </c>
      <c r="W612" s="26" t="n">
        <v>41</v>
      </c>
      <c r="X612" s="26" t="n">
        <v>27</v>
      </c>
      <c r="Y612" s="25" t="n"/>
      <c r="Z612" s="26" t="n"/>
      <c r="AA612" s="28" t="n"/>
      <c r="AB612" s="28" t="n"/>
      <c r="AC612" s="30" t="n">
        <v>-1</v>
      </c>
      <c r="AD612" s="24" t="inlineStr">
        <is>
          <t>2026-09-27T04:32:07.624653Z</t>
        </is>
      </c>
      <c r="AE612" s="31" t="inlineStr">
        <is>
          <t>CFB Joint Model (negative_binomial): proj score Oregon Ducks 27.3 @ USC Trojans 28.6 (Margin +1.3). Possessions: 12.4, HFA: +2.8 pts.</t>
        </is>
      </c>
      <c r="AF612" s="31" t="inlineStr">
        <is>
          <t>College football model; multi-market (moneyline, spread, total).</t>
        </is>
      </c>
      <c r="AG612" s="24" t="inlineStr">
        <is>
          <t>review_required</t>
        </is>
      </c>
      <c r="AH612" s="24" t="n"/>
      <c r="AI612" s="31" t="n"/>
      <c r="AJ612" s="31" t="n"/>
      <c r="AK612" s="24" t="inlineStr">
        <is>
          <t>model_qualified</t>
        </is>
      </c>
      <c r="AL612" s="26" t="n">
        <v>4</v>
      </c>
      <c r="AM612" s="24" t="inlineStr">
        <is>
          <t>QUALIFIED_SHADOW_CALL</t>
        </is>
      </c>
      <c r="AN612" s="24" t="inlineStr">
        <is>
          <t>CALL</t>
        </is>
      </c>
      <c r="AO612" s="24" t="inlineStr">
        <is>
          <t>QUALIFIED</t>
        </is>
      </c>
      <c r="AP612" s="24" t="inlineStr">
        <is>
          <t>Oregon Ducks</t>
        </is>
      </c>
      <c r="AQ612" s="24" t="inlineStr">
        <is>
          <t>Oregon Ducks</t>
        </is>
      </c>
      <c r="AR612" s="24" t="inlineStr">
        <is>
          <t>Oregon Ducks</t>
        </is>
      </c>
      <c r="AS612" s="24" t="inlineStr">
        <is>
          <t>USC Trojans</t>
        </is>
      </c>
      <c r="AT612" s="24" t="inlineStr">
        <is>
          <t>USC Trojans</t>
        </is>
      </c>
      <c r="AU612" s="24" t="inlineStr">
        <is>
          <t>USC Trojans</t>
        </is>
      </c>
      <c r="AV612" s="24" t="n"/>
      <c r="AW612" s="24" t="n"/>
      <c r="AX612" s="24" t="inlineStr">
        <is>
          <t>statistical_model</t>
        </is>
      </c>
      <c r="AY612" s="24" t="n"/>
      <c r="AZ612" s="24" t="inlineStr">
        <is>
          <t>shadow_qualified</t>
        </is>
      </c>
      <c r="BA612" s="24" t="inlineStr">
        <is>
          <t>1d168f11d221cd3c</t>
        </is>
      </c>
      <c r="BB612" s="24" t="inlineStr">
        <is>
          <t>cfb_key_number_engine</t>
        </is>
      </c>
      <c r="BC612" s="24" t="inlineStr">
        <is>
          <t>college-football-v1</t>
        </is>
      </c>
      <c r="BD612" s="24" t="inlineStr">
        <is>
          <t>1d168f11d221cd3c</t>
        </is>
      </c>
      <c r="BE612" s="24" t="inlineStr">
        <is>
          <t>cfb-v1</t>
        </is>
      </c>
      <c r="BF612" s="24" t="inlineStr">
        <is>
          <t>1</t>
        </is>
      </c>
      <c r="BG612" s="24" t="inlineStr">
        <is>
          <t>1d168f11d221cd3c</t>
        </is>
      </c>
      <c r="BH612" s="24" t="inlineStr">
        <is>
          <t>2026-09-26T22:34:32.504573+00:00</t>
        </is>
      </c>
      <c r="BI612" s="24" t="inlineStr">
        <is>
          <t>["same_event","same_team_same_day","same_league_same_day"]</t>
        </is>
      </c>
      <c r="BJ612" s="25" t="n"/>
      <c r="BK612" s="26" t="n">
        <v>154</v>
      </c>
      <c r="BL612" s="27" t="n">
        <v>2.54</v>
      </c>
      <c r="BM612" s="28" t="n">
        <v>0.393701</v>
      </c>
      <c r="BN612" s="28" t="n"/>
      <c r="BO612" s="28" t="n"/>
      <c r="BP612" s="25" t="n"/>
      <c r="BQ612" s="27" t="n"/>
      <c r="BR612" s="28" t="n"/>
      <c r="BS612" s="28" t="n"/>
      <c r="BT612" s="28" t="n"/>
      <c r="BU612" s="25" t="n"/>
      <c r="BV612" s="29" t="n"/>
      <c r="BW612" s="24" t="n"/>
      <c r="BX612" s="30" t="n"/>
      <c r="BY612" s="27" t="n"/>
      <c r="BZ612" s="24" t="n"/>
      <c r="CA612" s="31" t="n"/>
      <c r="CB612" s="24" t="n"/>
      <c r="CC612" s="24" t="n"/>
      <c r="CD612" s="24" t="n"/>
      <c r="CE612" s="24" t="n"/>
      <c r="CF612" s="24" t="n"/>
      <c r="CG612" s="24" t="n"/>
      <c r="CH612" s="24" t="n"/>
      <c r="CI612" s="24" t="n"/>
      <c r="CJ612" s="24" t="n"/>
      <c r="CK612" s="24" t="n"/>
      <c r="CL612" s="24" t="n"/>
      <c r="CM612" s="24" t="n"/>
      <c r="CN612" s="24" t="n"/>
      <c r="CO612" s="24" t="n"/>
      <c r="CP612" s="24" t="n"/>
      <c r="CQ612" s="24" t="n"/>
      <c r="CR612" s="24" t="n"/>
      <c r="CS612" s="24" t="inlineStr">
        <is>
          <t>True</t>
        </is>
      </c>
      <c r="CT612" s="24" t="n"/>
      <c r="CU612" s="24" t="n"/>
      <c r="CV612" s="24" t="n"/>
      <c r="CW612" s="24" t="n"/>
      <c r="CX612" s="24" t="n"/>
      <c r="CY612" s="24" t="n"/>
      <c r="CZ612" s="24" t="n"/>
      <c r="DA612" s="24" t="n"/>
      <c r="DB612" s="24" t="n"/>
      <c r="DC612" s="24" t="n"/>
      <c r="DD612" s="24" t="n"/>
      <c r="DE612" s="24" t="n"/>
      <c r="DF612" s="24" t="n"/>
      <c r="DG612" s="24" t="n"/>
      <c r="DH612" s="24" t="n"/>
      <c r="DI612" s="24" t="n"/>
      <c r="DJ612" s="24" t="inlineStr">
        <is>
          <t>0.393701</t>
        </is>
      </c>
      <c r="DK612" s="24" t="n"/>
      <c r="DL612" s="24" t="n"/>
      <c r="DM612" s="24" t="n"/>
      <c r="DN612" s="24" t="n"/>
      <c r="DO612" s="24" t="n"/>
      <c r="DP612" s="24" t="n"/>
      <c r="DQ612" s="24" t="inlineStr">
        <is>
          <t>{"artifact_hash": "1d168f11d221cd3c", "event_id": "401858469", "event_start_utc": "2026-09-26T23:30Z", "features": {"altitude_fatigue_penalty": 0.0, "away_team": "Oregon Ducks", "efficiency_gap": 0.794, "elo_away": 1764.6, "elo_home": 1724.5, "elo_home_win_prob": 0.5357, "event_id": "401858469", "game_start_utc": "2026-09-26T23:30Z", "home_field_advantage_points": 2.8, "home_team": "USC Trojans", "is_dome": false, "is_fbs_vs_fcs": false, "is_neutral_site": false, "projected_away_points": 27.3, "projected_home_points": 28.6, "projected_margin_home": 1.3, "projected_possessions": 12.4, "projected_total": 55.9, "stadium_elevation_ft": 210, "travel_distance_miles": 740.0, "uncertainty": 0.165, "weather_total_adjustment": 0.0}, "historical_source_observation_times_verified": false, "inference_inputs": {"engine_source_sha256": "449ba2f0e86fa9c445730076a0e0bf100fb4914620be53c75c6f3bfe24298f3f", "mu_away": 27.3, "mu_home": 28.6,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167332091687958295098138185054215045495}, "uinteger": 0}, "spread_home_line": 3.5, "total_line": 60.5}, "market_type": "moneyline", "model_version": "college-football-v1", "observed_at_utc": "2026-09-26T22:34:32.504573+00:00", "probabilities": {"away": 0.476043, "home": 0.523957}, "replay_scope": "Full precision score means, exact engine parameters and original RNG state; upstream feature construction not certified.", "schema": "cfb-joint-replay-v1", "snapshot_hash": "28b90526191d3008ef0d156c312f431abb566f911838d8e2f9f1115371b86534", "sport": "NCAAF"}</t>
        </is>
      </c>
    </row>
    <row r="613" ht="36" customHeight="1">
      <c r="A613" s="24" t="inlineStr">
        <is>
          <t>e6712ed4ca0941fc</t>
        </is>
      </c>
      <c r="B613" s="24" t="inlineStr">
        <is>
          <t>2026-09-26T22:34:32.504573Z</t>
        </is>
      </c>
      <c r="C613" s="24" t="inlineStr">
        <is>
          <t>2026-09-26T23:30Z</t>
        </is>
      </c>
      <c r="D613" s="24" t="inlineStr">
        <is>
          <t>401858469</t>
        </is>
      </c>
      <c r="E613" s="24" t="inlineStr">
        <is>
          <t>NCAAF</t>
        </is>
      </c>
      <c r="F613" s="24" t="inlineStr">
        <is>
          <t>Oregon Ducks</t>
        </is>
      </c>
      <c r="G613" s="24" t="inlineStr">
        <is>
          <t>USC Trojans</t>
        </is>
      </c>
      <c r="H613" s="24" t="inlineStr">
        <is>
          <t>spread</t>
        </is>
      </c>
      <c r="I613" s="24" t="inlineStr">
        <is>
          <t>home</t>
        </is>
      </c>
      <c r="J613" s="25" t="n">
        <v>3.5</v>
      </c>
      <c r="K613" s="24" t="inlineStr">
        <is>
          <t>espn_consensus</t>
        </is>
      </c>
      <c r="L613" s="26" t="n">
        <v>-110</v>
      </c>
      <c r="M613" s="27" t="n">
        <v>1.909091</v>
      </c>
      <c r="N613" s="28" t="n">
        <v>0.52381</v>
      </c>
      <c r="O613" s="28" t="n">
        <v>0.5948</v>
      </c>
      <c r="P613" s="28" t="n">
        <v>0.165</v>
      </c>
      <c r="Q613" s="28" t="n">
        <v>0.07099</v>
      </c>
      <c r="R613" s="26" t="n">
        <v>0</v>
      </c>
      <c r="S613" s="29" t="n">
        <v>1</v>
      </c>
      <c r="T613" s="24" t="inlineStr">
        <is>
          <t>cfb-spread-v1</t>
        </is>
      </c>
      <c r="U613" s="24" t="inlineStr">
        <is>
          <t>settled</t>
        </is>
      </c>
      <c r="V613" s="24" t="inlineStr">
        <is>
          <t>loss</t>
        </is>
      </c>
      <c r="W613" s="26" t="n">
        <v>41</v>
      </c>
      <c r="X613" s="26" t="n">
        <v>27</v>
      </c>
      <c r="Y613" s="25" t="n"/>
      <c r="Z613" s="26" t="n"/>
      <c r="AA613" s="28" t="n"/>
      <c r="AB613" s="28" t="n"/>
      <c r="AC613" s="30" t="n">
        <v>-1</v>
      </c>
      <c r="AD613" s="24" t="inlineStr">
        <is>
          <t>2026-09-27T04:32:08.138522Z</t>
        </is>
      </c>
      <c r="AE613" s="31" t="inlineStr">
        <is>
          <t>Projected home margin +1.3 pts. Spread: Home +3.5 / Away -3.5 -&gt; P(Away cover)=0.405, P(Home cover)=0.595, P(Push)=0.000.</t>
        </is>
      </c>
      <c r="AF613" s="31" t="inlineStr">
        <is>
          <t>College football model; multi-market (moneyline, spread, total).</t>
        </is>
      </c>
      <c r="AG613" s="24" t="inlineStr">
        <is>
          <t>review_required</t>
        </is>
      </c>
      <c r="AH613" s="24" t="n"/>
      <c r="AI613" s="31" t="n"/>
      <c r="AJ613" s="31" t="n"/>
      <c r="AK613" s="24" t="inlineStr">
        <is>
          <t>model_qualified</t>
        </is>
      </c>
      <c r="AL613" s="26" t="n">
        <v>4</v>
      </c>
      <c r="AM613" s="24" t="inlineStr">
        <is>
          <t>QUALIFIED_SHADOW_CALL</t>
        </is>
      </c>
      <c r="AN613" s="24" t="inlineStr">
        <is>
          <t>CALL</t>
        </is>
      </c>
      <c r="AO613" s="24" t="inlineStr">
        <is>
          <t>QUALIFIED</t>
        </is>
      </c>
      <c r="AP613" s="24" t="inlineStr">
        <is>
          <t>Oregon Ducks</t>
        </is>
      </c>
      <c r="AQ613" s="24" t="inlineStr">
        <is>
          <t>Oregon Ducks</t>
        </is>
      </c>
      <c r="AR613" s="24" t="inlineStr">
        <is>
          <t>Oregon Ducks</t>
        </is>
      </c>
      <c r="AS613" s="24" t="inlineStr">
        <is>
          <t>USC Trojans</t>
        </is>
      </c>
      <c r="AT613" s="24" t="inlineStr">
        <is>
          <t>USC Trojans</t>
        </is>
      </c>
      <c r="AU613" s="24" t="inlineStr">
        <is>
          <t>USC Trojans</t>
        </is>
      </c>
      <c r="AV613" s="24" t="n"/>
      <c r="AW613" s="24" t="n"/>
      <c r="AX613" s="24" t="inlineStr">
        <is>
          <t>statistical_model</t>
        </is>
      </c>
      <c r="AY613" s="24" t="n"/>
      <c r="AZ613" s="24" t="inlineStr">
        <is>
          <t>shadow_qualified</t>
        </is>
      </c>
      <c r="BA613" s="24" t="inlineStr">
        <is>
          <t>1d168f11d221cd3c</t>
        </is>
      </c>
      <c r="BB613" s="24" t="inlineStr">
        <is>
          <t>cfb_key_number_engine</t>
        </is>
      </c>
      <c r="BC613" s="24" t="inlineStr">
        <is>
          <t>cfb-spread-v1</t>
        </is>
      </c>
      <c r="BD613" s="24" t="inlineStr">
        <is>
          <t>1d168f11d221cd3c</t>
        </is>
      </c>
      <c r="BE613" s="24" t="inlineStr">
        <is>
          <t>cfb-v1</t>
        </is>
      </c>
      <c r="BF613" s="24" t="inlineStr">
        <is>
          <t>1</t>
        </is>
      </c>
      <c r="BG613" s="24" t="inlineStr">
        <is>
          <t>1d168f11d221cd3c</t>
        </is>
      </c>
      <c r="BH613" s="24" t="inlineStr">
        <is>
          <t>2026-09-26T22:34:32.504573+00:00</t>
        </is>
      </c>
      <c r="BI613" s="24" t="inlineStr">
        <is>
          <t>["same_event","same_team_same_day","same_league_same_day"]</t>
        </is>
      </c>
      <c r="BJ613" s="25" t="n">
        <v>3.5</v>
      </c>
      <c r="BK613" s="26" t="n">
        <v>-110</v>
      </c>
      <c r="BL613" s="27" t="n">
        <v>1.909091</v>
      </c>
      <c r="BM613" s="28" t="n">
        <v>0.52381</v>
      </c>
      <c r="BN613" s="28" t="n"/>
      <c r="BO613" s="28" t="n"/>
      <c r="BP613" s="25" t="n"/>
      <c r="BQ613" s="27" t="n"/>
      <c r="BR613" s="28" t="n"/>
      <c r="BS613" s="28" t="n"/>
      <c r="BT613" s="28" t="n"/>
      <c r="BU613" s="25" t="n"/>
      <c r="BV613" s="29" t="n"/>
      <c r="BW613" s="24" t="n"/>
      <c r="BX613" s="30" t="n"/>
      <c r="BY613" s="27" t="n"/>
      <c r="BZ613" s="24" t="n"/>
      <c r="CA613" s="31" t="n"/>
      <c r="CB613" s="24" t="n"/>
      <c r="CC613" s="24" t="n"/>
      <c r="CD613" s="24" t="n"/>
      <c r="CE613" s="24" t="n"/>
      <c r="CF613" s="24" t="n"/>
      <c r="CG613" s="24" t="n"/>
      <c r="CH613" s="24" t="n"/>
      <c r="CI613" s="24" t="n"/>
      <c r="CJ613" s="24" t="n"/>
      <c r="CK613" s="24" t="n"/>
      <c r="CL613" s="24" t="n"/>
      <c r="CM613" s="24" t="n"/>
      <c r="CN613" s="24" t="n"/>
      <c r="CO613" s="24" t="n"/>
      <c r="CP613" s="24" t="n"/>
      <c r="CQ613" s="24" t="n"/>
      <c r="CR613" s="24" t="n"/>
      <c r="CS613" s="24" t="inlineStr">
        <is>
          <t>True</t>
        </is>
      </c>
      <c r="CT613" s="24" t="n"/>
      <c r="CU613" s="24" t="n"/>
      <c r="CV613" s="24" t="n"/>
      <c r="CW613" s="24" t="n"/>
      <c r="CX613" s="24" t="n"/>
      <c r="CY613" s="24" t="n"/>
      <c r="CZ613" s="24" t="n"/>
      <c r="DA613" s="24" t="n"/>
      <c r="DB613" s="24" t="n"/>
      <c r="DC613" s="24" t="n"/>
      <c r="DD613" s="24" t="n"/>
      <c r="DE613" s="24" t="n"/>
      <c r="DF613" s="24" t="n"/>
      <c r="DG613" s="24" t="n"/>
      <c r="DH613" s="24" t="n"/>
      <c r="DI613" s="24" t="n"/>
      <c r="DJ613" s="24" t="inlineStr">
        <is>
          <t>0.52381</t>
        </is>
      </c>
      <c r="DK613" s="24" t="n"/>
      <c r="DL613" s="24" t="n"/>
      <c r="DM613" s="24" t="n"/>
      <c r="DN613" s="24" t="n"/>
      <c r="DO613" s="24" t="n"/>
      <c r="DP613" s="24" t="n"/>
      <c r="DQ613" s="24" t="inlineStr">
        <is>
          <t>{"artifact_hash": "1d168f11d221cd3c", "event_id": "401858469", "event_start_utc": "2026-09-26T23:30Z", "features": {"altitude_fatigue_penalty": 0.0, "away_team": "Oregon Ducks", "efficiency_gap": 0.794, "elo_away": 1764.6, "elo_home": 1724.5, "elo_home_win_prob": 0.5357, "event_id": "401858469", "game_start_utc": "2026-09-26T23:30Z", "home_field_advantage_points": 2.8, "home_team": "USC Trojans", "is_dome": false, "is_fbs_vs_fcs": false, "is_neutral_site": false, "projected_away_points": 27.3, "projected_home_points": 28.6, "projected_margin_home": 1.3, "projected_possessions": 12.4, "projected_total": 55.9, "stadium_elevation_ft": 210, "travel_distance_miles": 740.0, "uncertainty": 0.165, "weather_total_adjustment": 0.0}, "historical_source_observation_times_verified": false, "inference_inputs": {"engine_source_sha256": "449ba2f0e86fa9c445730076a0e0bf100fb4914620be53c75c6f3bfe24298f3f", "mu_away": 27.3, "mu_home": 28.6,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167332091687958295098138185054215045495}, "uinteger": 0}, "spread_home_line": 3.5, "total_line": 60.5}, "market_type": "spread", "model_version": "cfb-spread-v1", "observed_at_utc": "2026-09-26T22:34:32.504573+00:00", "probabilities": {"away": 0.4052, "home": 0.5948, "push": 0.0}, "replay_scope": "Full precision score means, exact engine parameters and original RNG state; upstream feature construction not certified.", "schema": "cfb-joint-replay-v1", "snapshot_hash": "05463742be0c29c49ed93093ec10ab5a2f6646220d80a3d1851241a89fe87af5", "sport": "NCAAF"}</t>
        </is>
      </c>
    </row>
    <row r="614" ht="36" customHeight="1">
      <c r="A614" s="24" t="inlineStr">
        <is>
          <t>7791f2f7dc054f7e</t>
        </is>
      </c>
      <c r="B614" s="24" t="inlineStr">
        <is>
          <t>2026-09-26T22:34:32.504573Z</t>
        </is>
      </c>
      <c r="C614" s="24" t="inlineStr">
        <is>
          <t>2026-09-26T23:30Z</t>
        </is>
      </c>
      <c r="D614" s="24" t="inlineStr">
        <is>
          <t>401858469</t>
        </is>
      </c>
      <c r="E614" s="24" t="inlineStr">
        <is>
          <t>NCAAF</t>
        </is>
      </c>
      <c r="F614" s="24" t="inlineStr">
        <is>
          <t>Oregon Ducks</t>
        </is>
      </c>
      <c r="G614" s="24" t="inlineStr">
        <is>
          <t>USC Trojans</t>
        </is>
      </c>
      <c r="H614" s="24" t="inlineStr">
        <is>
          <t>total</t>
        </is>
      </c>
      <c r="I614" s="24" t="inlineStr">
        <is>
          <t>under</t>
        </is>
      </c>
      <c r="J614" s="25" t="n">
        <v>60.5</v>
      </c>
      <c r="K614" s="24" t="inlineStr">
        <is>
          <t>espn_consensus</t>
        </is>
      </c>
      <c r="L614" s="26" t="n">
        <v>-110</v>
      </c>
      <c r="M614" s="27" t="n">
        <v>1.909091</v>
      </c>
      <c r="N614" s="28" t="n">
        <v>0.52381</v>
      </c>
      <c r="O614" s="28" t="n">
        <v>0.598867</v>
      </c>
      <c r="P614" s="28" t="n">
        <v>0.165</v>
      </c>
      <c r="Q614" s="28" t="n">
        <v>0.075057</v>
      </c>
      <c r="R614" s="26" t="n">
        <v>0</v>
      </c>
      <c r="S614" s="29" t="n">
        <v>1</v>
      </c>
      <c r="T614" s="24" t="inlineStr">
        <is>
          <t>cfb-total-v1</t>
        </is>
      </c>
      <c r="U614" s="24" t="inlineStr">
        <is>
          <t>settled</t>
        </is>
      </c>
      <c r="V614" s="24" t="inlineStr">
        <is>
          <t>loss</t>
        </is>
      </c>
      <c r="W614" s="26" t="n">
        <v>41</v>
      </c>
      <c r="X614" s="26" t="n">
        <v>27</v>
      </c>
      <c r="Y614" s="25" t="n"/>
      <c r="Z614" s="26" t="n"/>
      <c r="AA614" s="28" t="n"/>
      <c r="AB614" s="28" t="n"/>
      <c r="AC614" s="30" t="n">
        <v>-1</v>
      </c>
      <c r="AD614" s="24" t="inlineStr">
        <is>
          <t>2026-09-27T04:32:08.721195Z</t>
        </is>
      </c>
      <c r="AE614" s="31" t="inlineStr">
        <is>
          <t>Projected total 55.9 pts (Weather adj: +0.0 pts). Total line 60.5 -&gt; P(Over)=0.401, P(Under)=0.599, P(Push)=0.000.</t>
        </is>
      </c>
      <c r="AF614" s="31" t="inlineStr">
        <is>
          <t>College football model; multi-market (moneyline, spread, total).</t>
        </is>
      </c>
      <c r="AG614" s="24" t="inlineStr">
        <is>
          <t>review_required</t>
        </is>
      </c>
      <c r="AH614" s="24" t="n"/>
      <c r="AI614" s="31" t="n"/>
      <c r="AJ614" s="31" t="n"/>
      <c r="AK614" s="24" t="inlineStr">
        <is>
          <t>model_qualified</t>
        </is>
      </c>
      <c r="AL614" s="26" t="n">
        <v>4</v>
      </c>
      <c r="AM614" s="24" t="inlineStr">
        <is>
          <t>QUALIFIED_SHADOW_CALL</t>
        </is>
      </c>
      <c r="AN614" s="24" t="inlineStr">
        <is>
          <t>CALL</t>
        </is>
      </c>
      <c r="AO614" s="24" t="inlineStr">
        <is>
          <t>QUALIFIED</t>
        </is>
      </c>
      <c r="AP614" s="24" t="inlineStr">
        <is>
          <t>Oregon Ducks</t>
        </is>
      </c>
      <c r="AQ614" s="24" t="inlineStr">
        <is>
          <t>Oregon Ducks</t>
        </is>
      </c>
      <c r="AR614" s="24" t="inlineStr">
        <is>
          <t>Oregon Ducks</t>
        </is>
      </c>
      <c r="AS614" s="24" t="inlineStr">
        <is>
          <t>USC Trojans</t>
        </is>
      </c>
      <c r="AT614" s="24" t="inlineStr">
        <is>
          <t>USC Trojans</t>
        </is>
      </c>
      <c r="AU614" s="24" t="inlineStr">
        <is>
          <t>USC Trojans</t>
        </is>
      </c>
      <c r="AV614" s="24" t="n"/>
      <c r="AW614" s="24" t="n"/>
      <c r="AX614" s="24" t="inlineStr">
        <is>
          <t>statistical_model</t>
        </is>
      </c>
      <c r="AY614" s="24" t="n"/>
      <c r="AZ614" s="24" t="inlineStr">
        <is>
          <t>shadow_qualified</t>
        </is>
      </c>
      <c r="BA614" s="24" t="inlineStr">
        <is>
          <t>1d168f11d221cd3c</t>
        </is>
      </c>
      <c r="BB614" s="24" t="inlineStr">
        <is>
          <t>cfb_key_number_engine</t>
        </is>
      </c>
      <c r="BC614" s="24" t="inlineStr">
        <is>
          <t>cfb-total-v1</t>
        </is>
      </c>
      <c r="BD614" s="24" t="inlineStr">
        <is>
          <t>1d168f11d221cd3c</t>
        </is>
      </c>
      <c r="BE614" s="24" t="inlineStr">
        <is>
          <t>cfb-v1</t>
        </is>
      </c>
      <c r="BF614" s="24" t="inlineStr">
        <is>
          <t>1</t>
        </is>
      </c>
      <c r="BG614" s="24" t="inlineStr">
        <is>
          <t>1d168f11d221cd3c</t>
        </is>
      </c>
      <c r="BH614" s="24" t="inlineStr">
        <is>
          <t>2026-09-26T22:34:32.504573+00:00</t>
        </is>
      </c>
      <c r="BI614" s="24" t="inlineStr">
        <is>
          <t>["same_event","same_team_same_day","same_league_same_day"]</t>
        </is>
      </c>
      <c r="BJ614" s="25" t="n">
        <v>60.5</v>
      </c>
      <c r="BK614" s="26" t="n">
        <v>-110</v>
      </c>
      <c r="BL614" s="27" t="n">
        <v>1.909091</v>
      </c>
      <c r="BM614" s="28" t="n">
        <v>0.52381</v>
      </c>
      <c r="BN614" s="28" t="n"/>
      <c r="BO614" s="28" t="n"/>
      <c r="BP614" s="25" t="n"/>
      <c r="BQ614" s="27" t="n"/>
      <c r="BR614" s="28" t="n"/>
      <c r="BS614" s="28" t="n"/>
      <c r="BT614" s="28" t="n"/>
      <c r="BU614" s="25" t="n"/>
      <c r="BV614" s="29" t="n"/>
      <c r="BW614" s="24" t="n"/>
      <c r="BX614" s="30" t="n"/>
      <c r="BY614" s="27" t="n"/>
      <c r="BZ614" s="24" t="n"/>
      <c r="CA614" s="31" t="n"/>
      <c r="CB614" s="24" t="n"/>
      <c r="CC614" s="24" t="n"/>
      <c r="CD614" s="24" t="n"/>
      <c r="CE614" s="24" t="n"/>
      <c r="CF614" s="24" t="n"/>
      <c r="CG614" s="24" t="n"/>
      <c r="CH614" s="24" t="n"/>
      <c r="CI614" s="24" t="n"/>
      <c r="CJ614" s="24" t="n"/>
      <c r="CK614" s="24" t="n"/>
      <c r="CL614" s="24" t="n"/>
      <c r="CM614" s="24" t="n"/>
      <c r="CN614" s="24" t="n"/>
      <c r="CO614" s="24" t="n"/>
      <c r="CP614" s="24" t="n"/>
      <c r="CQ614" s="24" t="n"/>
      <c r="CR614" s="24" t="n"/>
      <c r="CS614" s="24" t="inlineStr">
        <is>
          <t>True</t>
        </is>
      </c>
      <c r="CT614" s="24" t="n"/>
      <c r="CU614" s="24" t="n"/>
      <c r="CV614" s="24" t="n"/>
      <c r="CW614" s="24" t="n"/>
      <c r="CX614" s="24" t="n"/>
      <c r="CY614" s="24" t="n"/>
      <c r="CZ614" s="24" t="n"/>
      <c r="DA614" s="24" t="n"/>
      <c r="DB614" s="24" t="n"/>
      <c r="DC614" s="24" t="n"/>
      <c r="DD614" s="24" t="n"/>
      <c r="DE614" s="24" t="n"/>
      <c r="DF614" s="24" t="n"/>
      <c r="DG614" s="24" t="n"/>
      <c r="DH614" s="24" t="n"/>
      <c r="DI614" s="24" t="n"/>
      <c r="DJ614" s="24" t="inlineStr">
        <is>
          <t>0.52381</t>
        </is>
      </c>
      <c r="DK614" s="24" t="n"/>
      <c r="DL614" s="24" t="n"/>
      <c r="DM614" s="24" t="n"/>
      <c r="DN614" s="24" t="n"/>
      <c r="DO614" s="24" t="n"/>
      <c r="DP614" s="24" t="n"/>
      <c r="DQ614" s="24" t="inlineStr">
        <is>
          <t>{"artifact_hash": "1d168f11d221cd3c", "event_id": "401858469", "event_start_utc": "2026-09-26T23:30Z", "features": {"altitude_fatigue_penalty": 0.0, "away_team": "Oregon Ducks", "efficiency_gap": 0.794, "elo_away": 1764.6, "elo_home": 1724.5, "elo_home_win_prob": 0.5357, "event_id": "401858469", "game_start_utc": "2026-09-26T23:30Z", "home_field_advantage_points": 2.8, "home_team": "USC Trojans", "is_dome": false, "is_fbs_vs_fcs": false, "is_neutral_site": false, "projected_away_points": 27.3, "projected_home_points": 28.6, "projected_margin_home": 1.3, "projected_possessions": 12.4, "projected_total": 55.9, "stadium_elevation_ft": 210, "travel_distance_miles": 740.0, "uncertainty": 0.165, "weather_total_adjustment": 0.0}, "historical_source_observation_times_verified": false, "inference_inputs": {"engine_source_sha256": "449ba2f0e86fa9c445730076a0e0bf100fb4914620be53c75c6f3bfe24298f3f", "mu_away": 27.3, "mu_home": 28.6,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167332091687958295098138185054215045495}, "uinteger": 0}, "spread_home_line": 3.5, "total_line": 60.5}, "market_type": "total", "model_version": "cfb-total-v1", "observed_at_utc": "2026-09-26T22:34:32.504573+00:00", "probabilities": {"over": 0.401133, "push": 0.0, "under": 0.598867}, "replay_scope": "Full precision score means, exact engine parameters and original RNG state; upstream feature construction not certified.", "schema": "cfb-joint-replay-v1", "snapshot_hash": "a98b4aff3c6699adca030b9b0b950b86cf3b07b576dcf654fd3b470bd0302c45", "sport": "NCAAF"}</t>
        </is>
      </c>
    </row>
    <row r="615" ht="36" customHeight="1">
      <c r="A615" s="24" t="inlineStr">
        <is>
          <t>f6ce845ccbf44e0c</t>
        </is>
      </c>
      <c r="B615" s="24" t="inlineStr">
        <is>
          <t>2026-09-26T22:34:32.504573Z</t>
        </is>
      </c>
      <c r="C615" s="24" t="inlineStr">
        <is>
          <t>2026-09-26T23:30Z</t>
        </is>
      </c>
      <c r="D615" s="24" t="inlineStr">
        <is>
          <t>401856804</t>
        </is>
      </c>
      <c r="E615" s="24" t="inlineStr">
        <is>
          <t>NCAAF</t>
        </is>
      </c>
      <c r="F615" s="24" t="inlineStr">
        <is>
          <t>Arizona Wildcats</t>
        </is>
      </c>
      <c r="G615" s="24" t="inlineStr">
        <is>
          <t>Washington State Cougars</t>
        </is>
      </c>
      <c r="H615" s="24" t="inlineStr">
        <is>
          <t>moneyline</t>
        </is>
      </c>
      <c r="I615" s="24" t="inlineStr">
        <is>
          <t>away</t>
        </is>
      </c>
      <c r="J615" s="25" t="n"/>
      <c r="K615" s="24" t="inlineStr">
        <is>
          <t>espn_consensus</t>
        </is>
      </c>
      <c r="L615" s="26" t="n">
        <v>-410</v>
      </c>
      <c r="M615" s="27" t="n">
        <v>1.243902</v>
      </c>
      <c r="N615" s="28" t="n">
        <v>0.803922</v>
      </c>
      <c r="O615" s="28" t="n">
        <v>0.517032</v>
      </c>
      <c r="P615" s="28" t="n">
        <v>0.18</v>
      </c>
      <c r="Q615" s="28" t="n">
        <v>-0.28689</v>
      </c>
      <c r="R615" s="26" t="n">
        <v>0</v>
      </c>
      <c r="S615" s="29" t="n">
        <v>1</v>
      </c>
      <c r="T615" s="24" t="inlineStr">
        <is>
          <t>college-football-v1</t>
        </is>
      </c>
      <c r="U615" s="24" t="inlineStr">
        <is>
          <t>settled</t>
        </is>
      </c>
      <c r="V615" s="24" t="inlineStr">
        <is>
          <t>win</t>
        </is>
      </c>
      <c r="W615" s="26" t="n">
        <v>34</v>
      </c>
      <c r="X615" s="26" t="n">
        <v>24</v>
      </c>
      <c r="Y615" s="25" t="n"/>
      <c r="Z615" s="26" t="n"/>
      <c r="AA615" s="28" t="n"/>
      <c r="AB615" s="28" t="n"/>
      <c r="AC615" s="30" t="n">
        <v>0.2439</v>
      </c>
      <c r="AD615" s="24" t="inlineStr">
        <is>
          <t>2026-09-27T04:32:09.367983Z</t>
        </is>
      </c>
      <c r="AE615" s="31" t="inlineStr">
        <is>
          <t>CFB Joint Model (negative_binomial): proj score Arizona Wildcats 27.1 @ Washington State Cougars 26.3 (Margin -0.8). Possessions: 12.4, HFA: +2.8 pts.</t>
        </is>
      </c>
      <c r="AF615" s="31" t="inlineStr">
        <is>
          <t>College football model; multi-market (moneyline, spread, total).</t>
        </is>
      </c>
      <c r="AG615" s="24" t="inlineStr">
        <is>
          <t>not_applicable</t>
        </is>
      </c>
      <c r="AH615" s="24" t="n"/>
      <c r="AI615" s="31" t="n"/>
      <c r="AJ615" s="31" t="n"/>
      <c r="AK615" s="24" t="inlineStr">
        <is>
          <t>paper_call</t>
        </is>
      </c>
      <c r="AL615" s="26" t="n">
        <v>4</v>
      </c>
      <c r="AM615" s="24" t="inlineStr">
        <is>
          <t>RESEARCH_OBSERVATION</t>
        </is>
      </c>
      <c r="AN615" s="24" t="inlineStr">
        <is>
          <t>CALL</t>
        </is>
      </c>
      <c r="AO615" s="24" t="inlineStr">
        <is>
          <t>PAPER_CALL_LOW_EDGE</t>
        </is>
      </c>
      <c r="AP615" s="24" t="inlineStr">
        <is>
          <t>Arizona Wildcats</t>
        </is>
      </c>
      <c r="AQ615" s="24" t="inlineStr">
        <is>
          <t>Arizona Wildcats</t>
        </is>
      </c>
      <c r="AR615" s="24" t="inlineStr">
        <is>
          <t>Arizona Wildcats</t>
        </is>
      </c>
      <c r="AS615" s="24" t="inlineStr">
        <is>
          <t>Washington State Cougars</t>
        </is>
      </c>
      <c r="AT615" s="24" t="inlineStr">
        <is>
          <t>Washington State Cougars</t>
        </is>
      </c>
      <c r="AU615" s="24" t="inlineStr">
        <is>
          <t>Washington State Cougars</t>
        </is>
      </c>
      <c r="AV615" s="24" t="n"/>
      <c r="AW615" s="24" t="n"/>
      <c r="AX615" s="24" t="inlineStr">
        <is>
          <t>statistical_model</t>
        </is>
      </c>
      <c r="AY615" s="24" t="n"/>
      <c r="AZ615" s="24" t="inlineStr">
        <is>
          <t>shadow_qualified</t>
        </is>
      </c>
      <c r="BA615" s="24" t="inlineStr">
        <is>
          <t>1d168f11d221cd3c</t>
        </is>
      </c>
      <c r="BB615" s="24" t="inlineStr">
        <is>
          <t>cfb_key_number_engine</t>
        </is>
      </c>
      <c r="BC615" s="24" t="inlineStr">
        <is>
          <t>college-football-v1</t>
        </is>
      </c>
      <c r="BD615" s="24" t="inlineStr">
        <is>
          <t>1d168f11d221cd3c</t>
        </is>
      </c>
      <c r="BE615" s="24" t="inlineStr">
        <is>
          <t>cfb-v1</t>
        </is>
      </c>
      <c r="BF615" s="24" t="inlineStr">
        <is>
          <t>1</t>
        </is>
      </c>
      <c r="BG615" s="24" t="inlineStr">
        <is>
          <t>1d168f11d221cd3c</t>
        </is>
      </c>
      <c r="BH615" s="24" t="inlineStr">
        <is>
          <t>2026-09-26T22:34:32.504573+00:00</t>
        </is>
      </c>
      <c r="BI615" s="24" t="inlineStr">
        <is>
          <t>["same_event","same_team_same_day","same_league_same_day"]</t>
        </is>
      </c>
      <c r="BJ615" s="25" t="n"/>
      <c r="BK615" s="26" t="n">
        <v>-410</v>
      </c>
      <c r="BL615" s="27" t="n">
        <v>1.243902</v>
      </c>
      <c r="BM615" s="28" t="n">
        <v>0.803922</v>
      </c>
      <c r="BN615" s="28" t="n"/>
      <c r="BO615" s="28" t="n"/>
      <c r="BP615" s="25" t="n"/>
      <c r="BQ615" s="27" t="n"/>
      <c r="BR615" s="28" t="n"/>
      <c r="BS615" s="28" t="n"/>
      <c r="BT615" s="28" t="n"/>
      <c r="BU615" s="25" t="n"/>
      <c r="BV615" s="29" t="n"/>
      <c r="BW615" s="24" t="n"/>
      <c r="BX615" s="30" t="n">
        <v>1</v>
      </c>
      <c r="BY615" s="27" t="n">
        <v>0.243902</v>
      </c>
      <c r="BZ615" s="24" t="inlineStr">
        <is>
          <t>2026-09-27T04:32:09.367983Z</t>
        </is>
      </c>
      <c r="CA615" s="31" t="inlineStr">
        <is>
          <t>fixed one-unit hypothetical scoring; no real exposure or execution</t>
        </is>
      </c>
      <c r="CB615" s="24" t="n"/>
      <c r="CC615" s="24" t="n"/>
      <c r="CD615" s="24" t="n"/>
      <c r="CE615" s="24" t="n"/>
      <c r="CF615" s="24" t="n"/>
      <c r="CG615" s="24" t="n"/>
      <c r="CH615" s="24" t="n"/>
      <c r="CI615" s="24" t="n"/>
      <c r="CJ615" s="24" t="n"/>
      <c r="CK615" s="24" t="n"/>
      <c r="CL615" s="24" t="n"/>
      <c r="CM615" s="24" t="n"/>
      <c r="CN615" s="24" t="n"/>
      <c r="CO615" s="24" t="n"/>
      <c r="CP615" s="24" t="n"/>
      <c r="CQ615" s="24" t="n"/>
      <c r="CR615" s="24" t="n"/>
      <c r="CS615" s="24" t="inlineStr">
        <is>
          <t>False</t>
        </is>
      </c>
      <c r="CT615" s="24" t="n"/>
      <c r="CU615" s="24" t="n"/>
      <c r="CV615" s="24" t="n"/>
      <c r="CW615" s="24" t="n"/>
      <c r="CX615" s="24" t="n"/>
      <c r="CY615" s="24" t="n"/>
      <c r="CZ615" s="24" t="n"/>
      <c r="DA615" s="24" t="n"/>
      <c r="DB615" s="24" t="n"/>
      <c r="DC615" s="24" t="n"/>
      <c r="DD615" s="24" t="n"/>
      <c r="DE615" s="24" t="n"/>
      <c r="DF615" s="24" t="n"/>
      <c r="DG615" s="24" t="n"/>
      <c r="DH615" s="24" t="n"/>
      <c r="DI615" s="24" t="n"/>
      <c r="DJ615" s="24" t="inlineStr">
        <is>
          <t>0.803922</t>
        </is>
      </c>
      <c r="DK615" s="24" t="n"/>
      <c r="DL615" s="24" t="n"/>
      <c r="DM615" s="24" t="n"/>
      <c r="DN615" s="24" t="n"/>
      <c r="DO615" s="24" t="n"/>
      <c r="DP615" s="24" t="n"/>
      <c r="DQ615" s="24" t="inlineStr">
        <is>
          <t>{"artifact_hash": "1d168f11d221cd3c", "event_id": "401856804", "event_start_utc": "2026-09-26T23:30Z", "features": {"altitude_fatigue_penalty": 0.0, "away_team": "Arizona Wildcats", "efficiency_gap": -0.802, "elo_away": 1640.2, "elo_home": 1555.8, "elo_home_win_prob": 0.4722, "event_id": "401856804", "game_start_utc": "2026-09-26T23:30Z", "home_field_advantage_points": 2.8, "home_team": "Washington State Cougars", "is_dome": false, "is_fbs_vs_fcs": false, "is_neutral_site": false, "projected_away_points": 27.1, "projected_home_points": 26.3, "projected_margin_home": -0.8, "projected_possessions": 12.4, "projected_total": 53.4, "stadium_elevation_ft": 2530, "travel_distance_miles": 1055.0, "uncertainty": 0.18, "weather_total_adjustment": 0.0}, "historical_source_observation_times_verified": false, "inference_inputs": {"engine_source_sha256": "449ba2f0e86fa9c445730076a0e0bf100fb4914620be53c75c6f3bfe24298f3f", "mu_away": 27.1, "mu_home": 26.3,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157619183795863582706452700407191890674}, "uinteger": 0}, "spread_home_line": 10.5, "total_line": 48.5}, "market_type": "moneyline", "model_version": "college-football-v1", "observed_at_utc": "2026-09-26T22:34:32.504573+00:00", "probabilities": {"away": 0.517032, "home": 0.482968}, "replay_scope": "Full precision score means, exact engine parameters and original RNG state; upstream feature construction not certified.", "schema": "cfb-joint-replay-v1", "snapshot_hash": "a0811945b3ee6c6449d3f8fa8c4e754378b9b0e90cd973ec38a4e51fa0794ff6", "sport": "NCAAF"}</t>
        </is>
      </c>
    </row>
    <row r="616" ht="36" customHeight="1">
      <c r="A616" s="24" t="inlineStr">
        <is>
          <t>9fa2dab1d25749a7</t>
        </is>
      </c>
      <c r="B616" s="24" t="inlineStr">
        <is>
          <t>2026-09-26T22:34:32.504573Z</t>
        </is>
      </c>
      <c r="C616" s="24" t="inlineStr">
        <is>
          <t>2026-09-26T23:30Z</t>
        </is>
      </c>
      <c r="D616" s="24" t="inlineStr">
        <is>
          <t>401856804</t>
        </is>
      </c>
      <c r="E616" s="24" t="inlineStr">
        <is>
          <t>NCAAF</t>
        </is>
      </c>
      <c r="F616" s="24" t="inlineStr">
        <is>
          <t>Arizona Wildcats</t>
        </is>
      </c>
      <c r="G616" s="24" t="inlineStr">
        <is>
          <t>Washington State Cougars</t>
        </is>
      </c>
      <c r="H616" s="24" t="inlineStr">
        <is>
          <t>spread</t>
        </is>
      </c>
      <c r="I616" s="24" t="inlineStr">
        <is>
          <t>home</t>
        </is>
      </c>
      <c r="J616" s="25" t="n">
        <v>10.5</v>
      </c>
      <c r="K616" s="24" t="inlineStr">
        <is>
          <t>espn_consensus</t>
        </is>
      </c>
      <c r="L616" s="26" t="n">
        <v>-110</v>
      </c>
      <c r="M616" s="27" t="n">
        <v>1.909091</v>
      </c>
      <c r="N616" s="28" t="n">
        <v>0.52381</v>
      </c>
      <c r="O616" s="28" t="n">
        <v>0.689067</v>
      </c>
      <c r="P616" s="28" t="n">
        <v>0.18</v>
      </c>
      <c r="Q616" s="28" t="n">
        <v>0.165257</v>
      </c>
      <c r="R616" s="26" t="n">
        <v>25</v>
      </c>
      <c r="S616" s="29" t="n">
        <v>1</v>
      </c>
      <c r="T616" s="24" t="inlineStr">
        <is>
          <t>cfb-spread-v1</t>
        </is>
      </c>
      <c r="U616" s="24" t="inlineStr">
        <is>
          <t>settled</t>
        </is>
      </c>
      <c r="V616" s="24" t="inlineStr">
        <is>
          <t>win</t>
        </is>
      </c>
      <c r="W616" s="26" t="n">
        <v>34</v>
      </c>
      <c r="X616" s="26" t="n">
        <v>24</v>
      </c>
      <c r="Y616" s="25" t="n"/>
      <c r="Z616" s="26" t="n"/>
      <c r="AA616" s="28" t="n"/>
      <c r="AB616" s="28" t="n"/>
      <c r="AC616" s="30" t="n">
        <v>0.9091</v>
      </c>
      <c r="AD616" s="24" t="inlineStr">
        <is>
          <t>2026-09-27T04:32:09.883087Z</t>
        </is>
      </c>
      <c r="AE616" s="31" t="inlineStr">
        <is>
          <t>Projected home margin -0.8 pts. Spread: Home +10.5 / Away -10.5 -&gt; P(Away cover)=0.311, P(Home cover)=0.689, P(Push)=0.000.</t>
        </is>
      </c>
      <c r="AF616" s="31" t="inlineStr">
        <is>
          <t>College football model; multi-market (moneyline, spread, total).</t>
        </is>
      </c>
      <c r="AG616" s="24" t="inlineStr">
        <is>
          <t>not_applicable</t>
        </is>
      </c>
      <c r="AH616" s="24" t="n"/>
      <c r="AI616" s="31" t="n"/>
      <c r="AJ616" s="31" t="n"/>
      <c r="AK616" s="24" t="inlineStr">
        <is>
          <t>model_qualified</t>
        </is>
      </c>
      <c r="AL616" s="26" t="n">
        <v>4</v>
      </c>
      <c r="AM616" s="24" t="inlineStr">
        <is>
          <t>QUALIFIED_SHADOW_CALL</t>
        </is>
      </c>
      <c r="AN616" s="24" t="inlineStr">
        <is>
          <t>CALL</t>
        </is>
      </c>
      <c r="AO616" s="24" t="inlineStr">
        <is>
          <t>QUALIFIED</t>
        </is>
      </c>
      <c r="AP616" s="24" t="inlineStr">
        <is>
          <t>Arizona Wildcats</t>
        </is>
      </c>
      <c r="AQ616" s="24" t="inlineStr">
        <is>
          <t>Arizona Wildcats</t>
        </is>
      </c>
      <c r="AR616" s="24" t="inlineStr">
        <is>
          <t>Arizona Wildcats</t>
        </is>
      </c>
      <c r="AS616" s="24" t="inlineStr">
        <is>
          <t>Washington State Cougars</t>
        </is>
      </c>
      <c r="AT616" s="24" t="inlineStr">
        <is>
          <t>Washington State Cougars</t>
        </is>
      </c>
      <c r="AU616" s="24" t="inlineStr">
        <is>
          <t>Washington State Cougars</t>
        </is>
      </c>
      <c r="AV616" s="24" t="n"/>
      <c r="AW616" s="24" t="n"/>
      <c r="AX616" s="24" t="inlineStr">
        <is>
          <t>statistical_model</t>
        </is>
      </c>
      <c r="AY616" s="24" t="n"/>
      <c r="AZ616" s="24" t="inlineStr">
        <is>
          <t>shadow_qualified</t>
        </is>
      </c>
      <c r="BA616" s="24" t="inlineStr">
        <is>
          <t>1d168f11d221cd3c</t>
        </is>
      </c>
      <c r="BB616" s="24" t="inlineStr">
        <is>
          <t>cfb_key_number_engine</t>
        </is>
      </c>
      <c r="BC616" s="24" t="inlineStr">
        <is>
          <t>cfb-spread-v1</t>
        </is>
      </c>
      <c r="BD616" s="24" t="inlineStr">
        <is>
          <t>1d168f11d221cd3c</t>
        </is>
      </c>
      <c r="BE616" s="24" t="inlineStr">
        <is>
          <t>cfb-v1</t>
        </is>
      </c>
      <c r="BF616" s="24" t="inlineStr">
        <is>
          <t>1</t>
        </is>
      </c>
      <c r="BG616" s="24" t="inlineStr">
        <is>
          <t>1d168f11d221cd3c</t>
        </is>
      </c>
      <c r="BH616" s="24" t="inlineStr">
        <is>
          <t>2026-09-26T22:34:32.504573+00:00</t>
        </is>
      </c>
      <c r="BI616" s="24" t="inlineStr">
        <is>
          <t>["same_event","same_team_same_day","same_league_same_day"]</t>
        </is>
      </c>
      <c r="BJ616" s="25" t="n">
        <v>10.5</v>
      </c>
      <c r="BK616" s="26" t="n">
        <v>-110</v>
      </c>
      <c r="BL616" s="27" t="n">
        <v>1.909091</v>
      </c>
      <c r="BM616" s="28" t="n">
        <v>0.52381</v>
      </c>
      <c r="BN616" s="28" t="n"/>
      <c r="BO616" s="28" t="n"/>
      <c r="BP616" s="25" t="n"/>
      <c r="BQ616" s="27" t="n"/>
      <c r="BR616" s="28" t="n"/>
      <c r="BS616" s="28" t="n"/>
      <c r="BT616" s="28" t="n"/>
      <c r="BU616" s="25" t="n"/>
      <c r="BV616" s="29" t="n"/>
      <c r="BW616" s="24" t="n"/>
      <c r="BX616" s="30" t="n"/>
      <c r="BY616" s="27" t="n"/>
      <c r="BZ616" s="24" t="n"/>
      <c r="CA616" s="31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inlineStr">
        <is>
          <t>True</t>
        </is>
      </c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n"/>
      <c r="DE616" s="24" t="n"/>
      <c r="DF616" s="24" t="n"/>
      <c r="DG616" s="24" t="n"/>
      <c r="DH616" s="24" t="n"/>
      <c r="DI616" s="24" t="n"/>
      <c r="DJ616" s="24" t="inlineStr">
        <is>
          <t>0.52381</t>
        </is>
      </c>
      <c r="DK616" s="24" t="n"/>
      <c r="DL616" s="24" t="n"/>
      <c r="DM616" s="24" t="n"/>
      <c r="DN616" s="24" t="n"/>
      <c r="DO616" s="24" t="n"/>
      <c r="DP616" s="24" t="n"/>
      <c r="DQ616" s="24" t="inlineStr">
        <is>
          <t>{"artifact_hash": "1d168f11d221cd3c", "event_id": "401856804", "event_start_utc": "2026-09-26T23:30Z", "features": {"altitude_fatigue_penalty": 0.0, "away_team": "Arizona Wildcats", "efficiency_gap": -0.802, "elo_away": 1640.2, "elo_home": 1555.8, "elo_home_win_prob": 0.4722, "event_id": "401856804", "game_start_utc": "2026-09-26T23:30Z", "home_field_advantage_points": 2.8, "home_team": "Washington State Cougars", "is_dome": false, "is_fbs_vs_fcs": false, "is_neutral_site": false, "projected_away_points": 27.1, "projected_home_points": 26.3, "projected_margin_home": -0.8, "projected_possessions": 12.4, "projected_total": 53.4, "stadium_elevation_ft": 2530, "travel_distance_miles": 1055.0, "uncertainty": 0.18, "weather_total_adjustment": 0.0}, "historical_source_observation_times_verified": false, "inference_inputs": {"engine_source_sha256": "449ba2f0e86fa9c445730076a0e0bf100fb4914620be53c75c6f3bfe24298f3f", "mu_away": 27.1, "mu_home": 26.3,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157619183795863582706452700407191890674}, "uinteger": 0}, "spread_home_line": 10.5, "total_line": 48.5}, "market_type": "spread", "model_version": "cfb-spread-v1", "observed_at_utc": "2026-09-26T22:34:32.504573+00:00", "probabilities": {"away": 0.310933, "home": 0.689067, "push": 0.0}, "replay_scope": "Full precision score means, exact engine parameters and original RNG state; upstream feature construction not certified.", "schema": "cfb-joint-replay-v1", "snapshot_hash": "c4bb3e206146dc521688733e6ca5e978f40dd6facc35c708b4b6e31e63683f45", "sport": "NCAAF"}</t>
        </is>
      </c>
    </row>
    <row r="617" ht="36" customHeight="1">
      <c r="A617" s="24" t="inlineStr">
        <is>
          <t>9a3471ccbd364a82</t>
        </is>
      </c>
      <c r="B617" s="24" t="inlineStr">
        <is>
          <t>2026-09-26T22:34:32.504573Z</t>
        </is>
      </c>
      <c r="C617" s="24" t="inlineStr">
        <is>
          <t>2026-09-26T23:30Z</t>
        </is>
      </c>
      <c r="D617" s="24" t="inlineStr">
        <is>
          <t>401856804</t>
        </is>
      </c>
      <c r="E617" s="24" t="inlineStr">
        <is>
          <t>NCAAF</t>
        </is>
      </c>
      <c r="F617" s="24" t="inlineStr">
        <is>
          <t>Arizona Wildcats</t>
        </is>
      </c>
      <c r="G617" s="24" t="inlineStr">
        <is>
          <t>Washington State Cougars</t>
        </is>
      </c>
      <c r="H617" s="24" t="inlineStr">
        <is>
          <t>total</t>
        </is>
      </c>
      <c r="I617" s="24" t="inlineStr">
        <is>
          <t>over</t>
        </is>
      </c>
      <c r="J617" s="25" t="n">
        <v>48.5</v>
      </c>
      <c r="K617" s="24" t="inlineStr">
        <is>
          <t>espn_consensus</t>
        </is>
      </c>
      <c r="L617" s="26" t="n">
        <v>-105</v>
      </c>
      <c r="M617" s="27" t="n">
        <v>1.952381</v>
      </c>
      <c r="N617" s="28" t="n">
        <v>0.512195</v>
      </c>
      <c r="O617" s="28" t="n">
        <v>0.549867</v>
      </c>
      <c r="P617" s="28" t="n">
        <v>0.18</v>
      </c>
      <c r="Q617" s="28" t="n">
        <v>0.037672</v>
      </c>
      <c r="R617" s="26" t="n">
        <v>0</v>
      </c>
      <c r="S617" s="29" t="n">
        <v>1</v>
      </c>
      <c r="T617" s="24" t="inlineStr">
        <is>
          <t>cfb-total-v1</t>
        </is>
      </c>
      <c r="U617" s="24" t="inlineStr">
        <is>
          <t>settled</t>
        </is>
      </c>
      <c r="V617" s="24" t="inlineStr">
        <is>
          <t>win</t>
        </is>
      </c>
      <c r="W617" s="26" t="n">
        <v>34</v>
      </c>
      <c r="X617" s="26" t="n">
        <v>24</v>
      </c>
      <c r="Y617" s="25" t="n"/>
      <c r="Z617" s="26" t="n"/>
      <c r="AA617" s="28" t="n"/>
      <c r="AB617" s="28" t="n"/>
      <c r="AC617" s="30" t="n">
        <v>0.9524</v>
      </c>
      <c r="AD617" s="24" t="inlineStr">
        <is>
          <t>2026-09-27T04:32:10.461178Z</t>
        </is>
      </c>
      <c r="AE617" s="31" t="inlineStr">
        <is>
          <t>Projected total 53.4 pts (Weather adj: +0.0 pts). Total line 48.5 -&gt; P(Over)=0.550, P(Under)=0.450, P(Push)=0.000.</t>
        </is>
      </c>
      <c r="AF617" s="31" t="inlineStr">
        <is>
          <t>College football model; multi-market (moneyline, spread, total).</t>
        </is>
      </c>
      <c r="AG617" s="24" t="inlineStr">
        <is>
          <t>not_applicable</t>
        </is>
      </c>
      <c r="AH617" s="24" t="n"/>
      <c r="AI617" s="31" t="n"/>
      <c r="AJ617" s="31" t="n"/>
      <c r="AK617" s="24" t="inlineStr">
        <is>
          <t>model_qualified</t>
        </is>
      </c>
      <c r="AL617" s="26" t="n">
        <v>4</v>
      </c>
      <c r="AM617" s="24" t="inlineStr">
        <is>
          <t>QUALIFIED_SHADOW_CALL</t>
        </is>
      </c>
      <c r="AN617" s="24" t="inlineStr">
        <is>
          <t>CALL</t>
        </is>
      </c>
      <c r="AO617" s="24" t="inlineStr">
        <is>
          <t>QUALIFIED</t>
        </is>
      </c>
      <c r="AP617" s="24" t="inlineStr">
        <is>
          <t>Arizona Wildcats</t>
        </is>
      </c>
      <c r="AQ617" s="24" t="inlineStr">
        <is>
          <t>Arizona Wildcats</t>
        </is>
      </c>
      <c r="AR617" s="24" t="inlineStr">
        <is>
          <t>Arizona Wildcats</t>
        </is>
      </c>
      <c r="AS617" s="24" t="inlineStr">
        <is>
          <t>Washington State Cougars</t>
        </is>
      </c>
      <c r="AT617" s="24" t="inlineStr">
        <is>
          <t>Washington State Cougars</t>
        </is>
      </c>
      <c r="AU617" s="24" t="inlineStr">
        <is>
          <t>Washington State Cougars</t>
        </is>
      </c>
      <c r="AV617" s="24" t="n"/>
      <c r="AW617" s="24" t="n"/>
      <c r="AX617" s="24" t="inlineStr">
        <is>
          <t>statistical_model</t>
        </is>
      </c>
      <c r="AY617" s="24" t="n"/>
      <c r="AZ617" s="24" t="inlineStr">
        <is>
          <t>shadow_qualified</t>
        </is>
      </c>
      <c r="BA617" s="24" t="inlineStr">
        <is>
          <t>1d168f11d221cd3c</t>
        </is>
      </c>
      <c r="BB617" s="24" t="inlineStr">
        <is>
          <t>cfb_key_number_engine</t>
        </is>
      </c>
      <c r="BC617" s="24" t="inlineStr">
        <is>
          <t>cfb-total-v1</t>
        </is>
      </c>
      <c r="BD617" s="24" t="inlineStr">
        <is>
          <t>1d168f11d221cd3c</t>
        </is>
      </c>
      <c r="BE617" s="24" t="inlineStr">
        <is>
          <t>cfb-v1</t>
        </is>
      </c>
      <c r="BF617" s="24" t="inlineStr">
        <is>
          <t>1</t>
        </is>
      </c>
      <c r="BG617" s="24" t="inlineStr">
        <is>
          <t>1d168f11d221cd3c</t>
        </is>
      </c>
      <c r="BH617" s="24" t="inlineStr">
        <is>
          <t>2026-09-26T22:34:32.504573+00:00</t>
        </is>
      </c>
      <c r="BI617" s="24" t="inlineStr">
        <is>
          <t>["same_event","same_team_same_day","same_league_same_day"]</t>
        </is>
      </c>
      <c r="BJ617" s="25" t="n">
        <v>48.5</v>
      </c>
      <c r="BK617" s="26" t="n">
        <v>-105</v>
      </c>
      <c r="BL617" s="27" t="n">
        <v>1.952381</v>
      </c>
      <c r="BM617" s="28" t="n">
        <v>0.512195</v>
      </c>
      <c r="BN617" s="28" t="n"/>
      <c r="BO617" s="28" t="n"/>
      <c r="BP617" s="25" t="n"/>
      <c r="BQ617" s="27" t="n"/>
      <c r="BR617" s="28" t="n"/>
      <c r="BS617" s="28" t="n"/>
      <c r="BT617" s="28" t="n"/>
      <c r="BU617" s="25" t="n"/>
      <c r="BV617" s="29" t="n"/>
      <c r="BW617" s="24" t="n"/>
      <c r="BX617" s="30" t="n"/>
      <c r="BY617" s="27" t="n"/>
      <c r="BZ617" s="24" t="n"/>
      <c r="CA617" s="31" t="n"/>
      <c r="CB617" s="24" t="n"/>
      <c r="CC617" s="24" t="n"/>
      <c r="CD617" s="24" t="n"/>
      <c r="CE617" s="24" t="n"/>
      <c r="CF617" s="24" t="n"/>
      <c r="CG617" s="24" t="n"/>
      <c r="CH617" s="24" t="n"/>
      <c r="CI617" s="24" t="n"/>
      <c r="CJ617" s="24" t="n"/>
      <c r="CK617" s="24" t="n"/>
      <c r="CL617" s="24" t="n"/>
      <c r="CM617" s="24" t="n"/>
      <c r="CN617" s="24" t="n"/>
      <c r="CO617" s="24" t="n"/>
      <c r="CP617" s="24" t="n"/>
      <c r="CQ617" s="24" t="n"/>
      <c r="CR617" s="24" t="n"/>
      <c r="CS617" s="24" t="inlineStr">
        <is>
          <t>True</t>
        </is>
      </c>
      <c r="CT617" s="24" t="n"/>
      <c r="CU617" s="24" t="n"/>
      <c r="CV617" s="24" t="n"/>
      <c r="CW617" s="24" t="n"/>
      <c r="CX617" s="24" t="n"/>
      <c r="CY617" s="24" t="n"/>
      <c r="CZ617" s="24" t="n"/>
      <c r="DA617" s="24" t="n"/>
      <c r="DB617" s="24" t="n"/>
      <c r="DC617" s="24" t="n"/>
      <c r="DD617" s="24" t="n"/>
      <c r="DE617" s="24" t="n"/>
      <c r="DF617" s="24" t="n"/>
      <c r="DG617" s="24" t="n"/>
      <c r="DH617" s="24" t="n"/>
      <c r="DI617" s="24" t="n"/>
      <c r="DJ617" s="24" t="inlineStr">
        <is>
          <t>0.512195</t>
        </is>
      </c>
      <c r="DK617" s="24" t="n"/>
      <c r="DL617" s="24" t="n"/>
      <c r="DM617" s="24" t="n"/>
      <c r="DN617" s="24" t="n"/>
      <c r="DO617" s="24" t="n"/>
      <c r="DP617" s="24" t="n"/>
      <c r="DQ617" s="24" t="inlineStr">
        <is>
          <t>{"artifact_hash": "1d168f11d221cd3c", "event_id": "401856804", "event_start_utc": "2026-09-26T23:30Z", "features": {"altitude_fatigue_penalty": 0.0, "away_team": "Arizona Wildcats", "efficiency_gap": -0.802, "elo_away": 1640.2, "elo_home": 1555.8, "elo_home_win_prob": 0.4722, "event_id": "401856804", "game_start_utc": "2026-09-26T23:30Z", "home_field_advantage_points": 2.8, "home_team": "Washington State Cougars", "is_dome": false, "is_fbs_vs_fcs": false, "is_neutral_site": false, "projected_away_points": 27.1, "projected_home_points": 26.3, "projected_margin_home": -0.8, "projected_possessions": 12.4, "projected_total": 53.4, "stadium_elevation_ft": 2530, "travel_distance_miles": 1055.0, "uncertainty": 0.18, "weather_total_adjustment": 0.0}, "historical_source_observation_times_verified": false, "inference_inputs": {"engine_source_sha256": "449ba2f0e86fa9c445730076a0e0bf100fb4914620be53c75c6f3bfe24298f3f", "mu_away": 27.1, "mu_home": 26.3,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157619183795863582706452700407191890674}, "uinteger": 0}, "spread_home_line": 10.5, "total_line": 48.5}, "market_type": "total", "model_version": "cfb-total-v1", "observed_at_utc": "2026-09-26T22:34:32.504573+00:00", "probabilities": {"over": 0.549867, "push": 0.0, "under": 0.450133}, "replay_scope": "Full precision score means, exact engine parameters and original RNG state; upstream feature construction not certified.", "schema": "cfb-joint-replay-v1", "snapshot_hash": "ddbfaf51534df4999150a671267f3fee41b56d14878c04c63da03ccf5db6156a", "sport": "NCAAF"}</t>
        </is>
      </c>
    </row>
    <row r="618" ht="36" customHeight="1">
      <c r="A618" s="24" t="inlineStr">
        <is>
          <t>c4375e2e41ec4477</t>
        </is>
      </c>
      <c r="B618" s="24" t="inlineStr">
        <is>
          <t>2026-09-26T22:34:32.504573Z</t>
        </is>
      </c>
      <c r="C618" s="24" t="inlineStr">
        <is>
          <t>2026-09-26T23:30Z</t>
        </is>
      </c>
      <c r="D618" s="24" t="inlineStr">
        <is>
          <t>401860894</t>
        </is>
      </c>
      <c r="E618" s="24" t="inlineStr">
        <is>
          <t>NCAAF</t>
        </is>
      </c>
      <c r="F618" s="24" t="inlineStr">
        <is>
          <t>Troy Trojans</t>
        </is>
      </c>
      <c r="G618" s="24" t="inlineStr">
        <is>
          <t>Utah State Aggies</t>
        </is>
      </c>
      <c r="H618" s="24" t="inlineStr">
        <is>
          <t>moneyline</t>
        </is>
      </c>
      <c r="I618" s="24" t="inlineStr">
        <is>
          <t>home</t>
        </is>
      </c>
      <c r="J618" s="25" t="n"/>
      <c r="K618" s="24" t="inlineStr">
        <is>
          <t>espn_consensus</t>
        </is>
      </c>
      <c r="L618" s="26" t="n">
        <v>-148</v>
      </c>
      <c r="M618" s="27" t="n">
        <v>1.675676</v>
      </c>
      <c r="N618" s="28" t="n">
        <v>0.596774</v>
      </c>
      <c r="O618" s="28" t="n">
        <v>0.594213</v>
      </c>
      <c r="P618" s="28" t="n">
        <v>0.18</v>
      </c>
      <c r="Q618" s="28" t="n">
        <v>-0.002561</v>
      </c>
      <c r="R618" s="26" t="n">
        <v>0</v>
      </c>
      <c r="S618" s="29" t="n">
        <v>1</v>
      </c>
      <c r="T618" s="24" t="inlineStr">
        <is>
          <t>college-football-v1</t>
        </is>
      </c>
      <c r="U618" s="24" t="inlineStr">
        <is>
          <t>settled</t>
        </is>
      </c>
      <c r="V618" s="24" t="inlineStr">
        <is>
          <t>win</t>
        </is>
      </c>
      <c r="W618" s="26" t="n">
        <v>10</v>
      </c>
      <c r="X618" s="26" t="n">
        <v>21</v>
      </c>
      <c r="Y618" s="25" t="n"/>
      <c r="Z618" s="26" t="n"/>
      <c r="AA618" s="28" t="n"/>
      <c r="AB618" s="28" t="n"/>
      <c r="AC618" s="30" t="n">
        <v>0.6757</v>
      </c>
      <c r="AD618" s="24" t="inlineStr">
        <is>
          <t>2026-09-27T04:32:11.112491Z</t>
        </is>
      </c>
      <c r="AE618" s="31" t="inlineStr">
        <is>
          <t>CFB Joint Model (negative_binomial): proj score Troy Trojans 24.5 @ Utah State Aggies 28.9 (Margin +4.3). Possessions: 12.4, HFA: +2.8 pts.</t>
        </is>
      </c>
      <c r="AF618" s="31" t="inlineStr">
        <is>
          <t>College football model; multi-market (moneyline, spread, total).</t>
        </is>
      </c>
      <c r="AG618" s="24" t="inlineStr">
        <is>
          <t>not_applicable</t>
        </is>
      </c>
      <c r="AH618" s="24" t="n"/>
      <c r="AI618" s="31" t="n"/>
      <c r="AJ618" s="31" t="n"/>
      <c r="AK618" s="24" t="inlineStr">
        <is>
          <t>paper_call</t>
        </is>
      </c>
      <c r="AL618" s="26" t="n">
        <v>4</v>
      </c>
      <c r="AM618" s="24" t="inlineStr">
        <is>
          <t>RESEARCH_OBSERVATION</t>
        </is>
      </c>
      <c r="AN618" s="24" t="inlineStr">
        <is>
          <t>CALL</t>
        </is>
      </c>
      <c r="AO618" s="24" t="inlineStr">
        <is>
          <t>PAPER_CALL_LOW_EDGE</t>
        </is>
      </c>
      <c r="AP618" s="24" t="inlineStr">
        <is>
          <t>Troy Trojans</t>
        </is>
      </c>
      <c r="AQ618" s="24" t="inlineStr">
        <is>
          <t>Troy Trojans</t>
        </is>
      </c>
      <c r="AR618" s="24" t="inlineStr">
        <is>
          <t>Troy Trojans</t>
        </is>
      </c>
      <c r="AS618" s="24" t="inlineStr">
        <is>
          <t>Utah State Aggies</t>
        </is>
      </c>
      <c r="AT618" s="24" t="inlineStr">
        <is>
          <t>Utah State Aggies</t>
        </is>
      </c>
      <c r="AU618" s="24" t="inlineStr">
        <is>
          <t>Utah State Aggies</t>
        </is>
      </c>
      <c r="AV618" s="24" t="n"/>
      <c r="AW618" s="24" t="n"/>
      <c r="AX618" s="24" t="inlineStr">
        <is>
          <t>statistical_model</t>
        </is>
      </c>
      <c r="AY618" s="24" t="n"/>
      <c r="AZ618" s="24" t="inlineStr">
        <is>
          <t>shadow_qualified</t>
        </is>
      </c>
      <c r="BA618" s="24" t="inlineStr">
        <is>
          <t>1d168f11d221cd3c</t>
        </is>
      </c>
      <c r="BB618" s="24" t="inlineStr">
        <is>
          <t>cfb_key_number_engine</t>
        </is>
      </c>
      <c r="BC618" s="24" t="inlineStr">
        <is>
          <t>college-football-v1</t>
        </is>
      </c>
      <c r="BD618" s="24" t="inlineStr">
        <is>
          <t>1d168f11d221cd3c</t>
        </is>
      </c>
      <c r="BE618" s="24" t="inlineStr">
        <is>
          <t>cfb-v1</t>
        </is>
      </c>
      <c r="BF618" s="24" t="inlineStr">
        <is>
          <t>1</t>
        </is>
      </c>
      <c r="BG618" s="24" t="inlineStr">
        <is>
          <t>1d168f11d221cd3c</t>
        </is>
      </c>
      <c r="BH618" s="24" t="inlineStr">
        <is>
          <t>2026-09-26T22:34:32.504573+00:00</t>
        </is>
      </c>
      <c r="BI618" s="24" t="inlineStr">
        <is>
          <t>["same_event","same_team_same_day","same_league_same_day"]</t>
        </is>
      </c>
      <c r="BJ618" s="25" t="n"/>
      <c r="BK618" s="26" t="n">
        <v>-148</v>
      </c>
      <c r="BL618" s="27" t="n">
        <v>1.675676</v>
      </c>
      <c r="BM618" s="28" t="n">
        <v>0.596774</v>
      </c>
      <c r="BN618" s="28" t="n"/>
      <c r="BO618" s="28" t="n"/>
      <c r="BP618" s="25" t="n"/>
      <c r="BQ618" s="27" t="n"/>
      <c r="BR618" s="28" t="n"/>
      <c r="BS618" s="28" t="n"/>
      <c r="BT618" s="28" t="n"/>
      <c r="BU618" s="25" t="n"/>
      <c r="BV618" s="29" t="n"/>
      <c r="BW618" s="24" t="n"/>
      <c r="BX618" s="30" t="n">
        <v>1</v>
      </c>
      <c r="BY618" s="27" t="n">
        <v>0.6756760000000001</v>
      </c>
      <c r="BZ618" s="24" t="inlineStr">
        <is>
          <t>2026-09-27T04:32:11.112491Z</t>
        </is>
      </c>
      <c r="CA618" s="31" t="inlineStr">
        <is>
          <t>fixed one-unit hypothetical scoring; no real exposure or execution</t>
        </is>
      </c>
      <c r="CB618" s="24" t="n"/>
      <c r="CC618" s="24" t="n"/>
      <c r="CD618" s="24" t="n"/>
      <c r="CE618" s="24" t="n"/>
      <c r="CF618" s="24" t="n"/>
      <c r="CG618" s="24" t="n"/>
      <c r="CH618" s="24" t="n"/>
      <c r="CI618" s="24" t="n"/>
      <c r="CJ618" s="24" t="n"/>
      <c r="CK618" s="24" t="n"/>
      <c r="CL618" s="24" t="n"/>
      <c r="CM618" s="24" t="n"/>
      <c r="CN618" s="24" t="n"/>
      <c r="CO618" s="24" t="n"/>
      <c r="CP618" s="24" t="n"/>
      <c r="CQ618" s="24" t="n"/>
      <c r="CR618" s="24" t="n"/>
      <c r="CS618" s="24" t="inlineStr">
        <is>
          <t>False</t>
        </is>
      </c>
      <c r="CT618" s="24" t="n"/>
      <c r="CU618" s="24" t="n"/>
      <c r="CV618" s="24" t="n"/>
      <c r="CW618" s="24" t="n"/>
      <c r="CX618" s="24" t="n"/>
      <c r="CY618" s="24" t="n"/>
      <c r="CZ618" s="24" t="n"/>
      <c r="DA618" s="24" t="n"/>
      <c r="DB618" s="24" t="n"/>
      <c r="DC618" s="24" t="n"/>
      <c r="DD618" s="24" t="n"/>
      <c r="DE618" s="24" t="n"/>
      <c r="DF618" s="24" t="n"/>
      <c r="DG618" s="24" t="n"/>
      <c r="DH618" s="24" t="n"/>
      <c r="DI618" s="24" t="n"/>
      <c r="DJ618" s="24" t="inlineStr">
        <is>
          <t>0.596774</t>
        </is>
      </c>
      <c r="DK618" s="24" t="n"/>
      <c r="DL618" s="24" t="n"/>
      <c r="DM618" s="24" t="n"/>
      <c r="DN618" s="24" t="n"/>
      <c r="DO618" s="24" t="n"/>
      <c r="DP618" s="24" t="n"/>
      <c r="DQ618" s="24" t="inlineStr">
        <is>
          <t>{"artifact_hash": "1d168f11d221cd3c", "event_id": "401860894", "event_start_utc": "2026-09-26T23:30Z", "features": {"altitude_fatigue_penalty": 0.6, "away_team": "Troy Trojans", "efficiency_gap": 0.061, "elo_away": 1397.2, "elo_home": 1438.6, "elo_home_win_prob": 0.6486, "event_id": "401860894", "game_start_utc": "2026-09-26T23:30Z", "home_field_advantage_points": 2.8, "home_team": "Utah State Aggies", "is_dome": false, "is_fbs_vs_fcs": false, "is_neutral_site": false, "projected_away_points": 24.5, "projected_home_points": 28.9, "projected_margin_home": 4.3, "projected_possessions": 12.4, "projected_total": 53.4, "stadium_elevation_ft": 4710, "travel_distance_miles": 1579.0, "uncertainty": 0.18, "weather_total_adjustment": 0.0}, "historical_source_observation_times_verified": false, "inference_inputs": {"engine_source_sha256": "449ba2f0e86fa9c445730076a0e0bf100fb4914620be53c75c6f3bfe24298f3f", "mu_away": 24.5, "mu_home": 28.9,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297197085607987265468854495141780866182}, "uinteger": 0}, "spread_home_line": -3.0, "total_line": 47.5}, "market_type": "moneyline", "model_version": "college-football-v1", "observed_at_utc": "2026-09-26T22:34:32.504573+00:00", "probabilities": {"away": 0.405787, "home": 0.594213}, "replay_scope": "Full precision score means, exact engine parameters and original RNG state; upstream feature construction not certified.", "schema": "cfb-joint-replay-v1", "snapshot_hash": "b1c38c88d1b8989dca34550fefe9d815863760f7da866f04426880e28d70b107", "sport": "NCAAF"}</t>
        </is>
      </c>
    </row>
    <row r="619" ht="36" customHeight="1">
      <c r="A619" s="24" t="inlineStr">
        <is>
          <t>150215202d034687</t>
        </is>
      </c>
      <c r="B619" s="24" t="inlineStr">
        <is>
          <t>2026-09-26T22:34:32.504573Z</t>
        </is>
      </c>
      <c r="C619" s="24" t="inlineStr">
        <is>
          <t>2026-09-26T23:30Z</t>
        </is>
      </c>
      <c r="D619" s="24" t="inlineStr">
        <is>
          <t>401860894</t>
        </is>
      </c>
      <c r="E619" s="24" t="inlineStr">
        <is>
          <t>NCAAF</t>
        </is>
      </c>
      <c r="F619" s="24" t="inlineStr">
        <is>
          <t>Troy Trojans</t>
        </is>
      </c>
      <c r="G619" s="24" t="inlineStr">
        <is>
          <t>Utah State Aggies</t>
        </is>
      </c>
      <c r="H619" s="24" t="inlineStr">
        <is>
          <t>spread</t>
        </is>
      </c>
      <c r="I619" s="24" t="inlineStr">
        <is>
          <t>home</t>
        </is>
      </c>
      <c r="J619" s="25" t="n">
        <v>-3</v>
      </c>
      <c r="K619" s="24" t="inlineStr">
        <is>
          <t>espn_consensus</t>
        </is>
      </c>
      <c r="L619" s="26" t="n">
        <v>-108</v>
      </c>
      <c r="M619" s="27" t="n">
        <v>1.925926</v>
      </c>
      <c r="N619" s="28" t="n">
        <v>0.519231</v>
      </c>
      <c r="O619" s="28" t="n">
        <v>0.520533</v>
      </c>
      <c r="P619" s="28" t="n">
        <v>0.18</v>
      </c>
      <c r="Q619" s="28" t="n">
        <v>0.001302</v>
      </c>
      <c r="R619" s="26" t="n">
        <v>0</v>
      </c>
      <c r="S619" s="29" t="n">
        <v>1</v>
      </c>
      <c r="T619" s="24" t="inlineStr">
        <is>
          <t>cfb-spread-v1</t>
        </is>
      </c>
      <c r="U619" s="24" t="inlineStr">
        <is>
          <t>settled</t>
        </is>
      </c>
      <c r="V619" s="24" t="inlineStr">
        <is>
          <t>win</t>
        </is>
      </c>
      <c r="W619" s="26" t="n">
        <v>10</v>
      </c>
      <c r="X619" s="26" t="n">
        <v>21</v>
      </c>
      <c r="Y619" s="25" t="n"/>
      <c r="Z619" s="26" t="n"/>
      <c r="AA619" s="28" t="n"/>
      <c r="AB619" s="28" t="n"/>
      <c r="AC619" s="30" t="n">
        <v>0.9258999999999999</v>
      </c>
      <c r="AD619" s="24" t="inlineStr">
        <is>
          <t>2026-09-27T04:32:11.622931Z</t>
        </is>
      </c>
      <c r="AE619" s="31" t="inlineStr">
        <is>
          <t>Projected home margin +4.3 pts. Spread: Home -3.0 / Away +3.0 -&gt; P(Away cover)=0.457, P(Home cover)=0.521, P(Push)=0.022.</t>
        </is>
      </c>
      <c r="AF619" s="31" t="inlineStr">
        <is>
          <t>College football model; multi-market (moneyline, spread, total).</t>
        </is>
      </c>
      <c r="AG619" s="24" t="inlineStr">
        <is>
          <t>not_applicable</t>
        </is>
      </c>
      <c r="AH619" s="24" t="n"/>
      <c r="AI619" s="31" t="n"/>
      <c r="AJ619" s="31" t="n"/>
      <c r="AK619" s="24" t="inlineStr">
        <is>
          <t>paper_call</t>
        </is>
      </c>
      <c r="AL619" s="26" t="n">
        <v>4</v>
      </c>
      <c r="AM619" s="24" t="inlineStr">
        <is>
          <t>RESEARCH_OBSERVATION</t>
        </is>
      </c>
      <c r="AN619" s="24" t="inlineStr">
        <is>
          <t>CALL</t>
        </is>
      </c>
      <c r="AO619" s="24" t="inlineStr">
        <is>
          <t>PAPER_CALL_LOW_EDGE</t>
        </is>
      </c>
      <c r="AP619" s="24" t="inlineStr">
        <is>
          <t>Troy Trojans</t>
        </is>
      </c>
      <c r="AQ619" s="24" t="inlineStr">
        <is>
          <t>Troy Trojans</t>
        </is>
      </c>
      <c r="AR619" s="24" t="inlineStr">
        <is>
          <t>Troy Trojans</t>
        </is>
      </c>
      <c r="AS619" s="24" t="inlineStr">
        <is>
          <t>Utah State Aggies</t>
        </is>
      </c>
      <c r="AT619" s="24" t="inlineStr">
        <is>
          <t>Utah State Aggies</t>
        </is>
      </c>
      <c r="AU619" s="24" t="inlineStr">
        <is>
          <t>Utah State Aggies</t>
        </is>
      </c>
      <c r="AV619" s="24" t="n"/>
      <c r="AW619" s="24" t="n"/>
      <c r="AX619" s="24" t="inlineStr">
        <is>
          <t>statistical_model</t>
        </is>
      </c>
      <c r="AY619" s="24" t="n"/>
      <c r="AZ619" s="24" t="inlineStr">
        <is>
          <t>shadow_qualified</t>
        </is>
      </c>
      <c r="BA619" s="24" t="inlineStr">
        <is>
          <t>1d168f11d221cd3c</t>
        </is>
      </c>
      <c r="BB619" s="24" t="inlineStr">
        <is>
          <t>cfb_key_number_engine</t>
        </is>
      </c>
      <c r="BC619" s="24" t="inlineStr">
        <is>
          <t>cfb-spread-v1</t>
        </is>
      </c>
      <c r="BD619" s="24" t="inlineStr">
        <is>
          <t>1d168f11d221cd3c</t>
        </is>
      </c>
      <c r="BE619" s="24" t="inlineStr">
        <is>
          <t>cfb-v1</t>
        </is>
      </c>
      <c r="BF619" s="24" t="inlineStr">
        <is>
          <t>1</t>
        </is>
      </c>
      <c r="BG619" s="24" t="inlineStr">
        <is>
          <t>1d168f11d221cd3c</t>
        </is>
      </c>
      <c r="BH619" s="24" t="inlineStr">
        <is>
          <t>2026-09-26T22:34:32.504573+00:00</t>
        </is>
      </c>
      <c r="BI619" s="24" t="inlineStr">
        <is>
          <t>["same_event","same_team_same_day","same_league_same_day"]</t>
        </is>
      </c>
      <c r="BJ619" s="25" t="n">
        <v>-3</v>
      </c>
      <c r="BK619" s="26" t="n">
        <v>-108</v>
      </c>
      <c r="BL619" s="27" t="n">
        <v>1.925926</v>
      </c>
      <c r="BM619" s="28" t="n">
        <v>0.519231</v>
      </c>
      <c r="BN619" s="28" t="n"/>
      <c r="BO619" s="28" t="n"/>
      <c r="BP619" s="25" t="n"/>
      <c r="BQ619" s="27" t="n"/>
      <c r="BR619" s="28" t="n"/>
      <c r="BS619" s="28" t="n"/>
      <c r="BT619" s="28" t="n"/>
      <c r="BU619" s="25" t="n"/>
      <c r="BV619" s="29" t="n"/>
      <c r="BW619" s="24" t="n"/>
      <c r="BX619" s="30" t="n">
        <v>1</v>
      </c>
      <c r="BY619" s="27" t="n">
        <v>0.925926</v>
      </c>
      <c r="BZ619" s="24" t="inlineStr">
        <is>
          <t>2026-09-27T04:32:11.622931Z</t>
        </is>
      </c>
      <c r="CA619" s="31" t="inlineStr">
        <is>
          <t>fixed one-unit hypothetical scoring; no real exposure or execution</t>
        </is>
      </c>
      <c r="CB619" s="24" t="n"/>
      <c r="CC619" s="24" t="n"/>
      <c r="CD619" s="24" t="n"/>
      <c r="CE619" s="24" t="n"/>
      <c r="CF619" s="24" t="n"/>
      <c r="CG619" s="24" t="n"/>
      <c r="CH619" s="24" t="n"/>
      <c r="CI619" s="24" t="n"/>
      <c r="CJ619" s="24" t="n"/>
      <c r="CK619" s="24" t="n"/>
      <c r="CL619" s="24" t="n"/>
      <c r="CM619" s="24" t="n"/>
      <c r="CN619" s="24" t="n"/>
      <c r="CO619" s="24" t="n"/>
      <c r="CP619" s="24" t="n"/>
      <c r="CQ619" s="24" t="n"/>
      <c r="CR619" s="24" t="n"/>
      <c r="CS619" s="24" t="inlineStr">
        <is>
          <t>True</t>
        </is>
      </c>
      <c r="CT619" s="24" t="n"/>
      <c r="CU619" s="24" t="n"/>
      <c r="CV619" s="24" t="n"/>
      <c r="CW619" s="24" t="n"/>
      <c r="CX619" s="24" t="n"/>
      <c r="CY619" s="24" t="n"/>
      <c r="CZ619" s="24" t="n"/>
      <c r="DA619" s="24" t="n"/>
      <c r="DB619" s="24" t="n"/>
      <c r="DC619" s="24" t="n"/>
      <c r="DD619" s="24" t="n"/>
      <c r="DE619" s="24" t="n"/>
      <c r="DF619" s="24" t="n"/>
      <c r="DG619" s="24" t="n"/>
      <c r="DH619" s="24" t="n"/>
      <c r="DI619" s="24" t="n"/>
      <c r="DJ619" s="24" t="inlineStr">
        <is>
          <t>0.519231</t>
        </is>
      </c>
      <c r="DK619" s="24" t="n"/>
      <c r="DL619" s="24" t="n"/>
      <c r="DM619" s="24" t="n"/>
      <c r="DN619" s="24" t="n"/>
      <c r="DO619" s="24" t="n"/>
      <c r="DP619" s="24" t="n"/>
      <c r="DQ619" s="24" t="inlineStr">
        <is>
          <t>{"artifact_hash": "1d168f11d221cd3c", "event_id": "401860894", "event_start_utc": "2026-09-26T23:30Z", "features": {"altitude_fatigue_penalty": 0.6, "away_team": "Troy Trojans", "efficiency_gap": 0.061, "elo_away": 1397.2, "elo_home": 1438.6, "elo_home_win_prob": 0.6486, "event_id": "401860894", "game_start_utc": "2026-09-26T23:30Z", "home_field_advantage_points": 2.8, "home_team": "Utah State Aggies", "is_dome": false, "is_fbs_vs_fcs": false, "is_neutral_site": false, "projected_away_points": 24.5, "projected_home_points": 28.9, "projected_margin_home": 4.3, "projected_possessions": 12.4, "projected_total": 53.4, "stadium_elevation_ft": 4710, "travel_distance_miles": 1579.0, "uncertainty": 0.18, "weather_total_adjustment": 0.0}, "historical_source_observation_times_verified": false, "inference_inputs": {"engine_source_sha256": "449ba2f0e86fa9c445730076a0e0bf100fb4914620be53c75c6f3bfe24298f3f", "mu_away": 24.5, "mu_home": 28.9,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297197085607987265468854495141780866182}, "uinteger": 0}, "spread_home_line": -3.0, "total_line": 47.5}, "market_type": "spread", "model_version": "cfb-spread-v1", "observed_at_utc": "2026-09-26T22:34:32.504573+00:00", "probabilities": {"away": 0.457267, "home": 0.520533, "push": 0.0222}, "replay_scope": "Full precision score means, exact engine parameters and original RNG state; upstream feature construction not certified.", "schema": "cfb-joint-replay-v1", "snapshot_hash": "44300911330e0c7f67b6c6b46610a7e2a670d12ef43e148f8ab9bed22af3ce96", "sport": "NCAAF"}</t>
        </is>
      </c>
    </row>
    <row r="620" ht="36" customHeight="1">
      <c r="A620" s="24" t="inlineStr">
        <is>
          <t>296448a0f6154fa7</t>
        </is>
      </c>
      <c r="B620" s="24" t="inlineStr">
        <is>
          <t>2026-09-26T22:34:32.504573Z</t>
        </is>
      </c>
      <c r="C620" s="24" t="inlineStr">
        <is>
          <t>2026-09-26T23:30Z</t>
        </is>
      </c>
      <c r="D620" s="24" t="inlineStr">
        <is>
          <t>401860894</t>
        </is>
      </c>
      <c r="E620" s="24" t="inlineStr">
        <is>
          <t>NCAAF</t>
        </is>
      </c>
      <c r="F620" s="24" t="inlineStr">
        <is>
          <t>Troy Trojans</t>
        </is>
      </c>
      <c r="G620" s="24" t="inlineStr">
        <is>
          <t>Utah State Aggies</t>
        </is>
      </c>
      <c r="H620" s="24" t="inlineStr">
        <is>
          <t>total</t>
        </is>
      </c>
      <c r="I620" s="24" t="inlineStr">
        <is>
          <t>over</t>
        </is>
      </c>
      <c r="J620" s="25" t="n">
        <v>47.5</v>
      </c>
      <c r="K620" s="24" t="inlineStr">
        <is>
          <t>espn_consensus</t>
        </is>
      </c>
      <c r="L620" s="26" t="n">
        <v>-102</v>
      </c>
      <c r="M620" s="27" t="n">
        <v>1.980392</v>
      </c>
      <c r="N620" s="28" t="n">
        <v>0.50495</v>
      </c>
      <c r="O620" s="28" t="n">
        <v>0.564333</v>
      </c>
      <c r="P620" s="28" t="n">
        <v>0.18</v>
      </c>
      <c r="Q620" s="28" t="n">
        <v>0.059383</v>
      </c>
      <c r="R620" s="26" t="n">
        <v>0</v>
      </c>
      <c r="S620" s="29" t="n">
        <v>1</v>
      </c>
      <c r="T620" s="24" t="inlineStr">
        <is>
          <t>cfb-total-v1</t>
        </is>
      </c>
      <c r="U620" s="24" t="inlineStr">
        <is>
          <t>settled</t>
        </is>
      </c>
      <c r="V620" s="24" t="inlineStr">
        <is>
          <t>loss</t>
        </is>
      </c>
      <c r="W620" s="26" t="n">
        <v>10</v>
      </c>
      <c r="X620" s="26" t="n">
        <v>21</v>
      </c>
      <c r="Y620" s="25" t="n"/>
      <c r="Z620" s="26" t="n"/>
      <c r="AA620" s="28" t="n"/>
      <c r="AB620" s="28" t="n"/>
      <c r="AC620" s="30" t="n">
        <v>-1</v>
      </c>
      <c r="AD620" s="24" t="inlineStr">
        <is>
          <t>2026-09-27T04:32:12.204726Z</t>
        </is>
      </c>
      <c r="AE620" s="31" t="inlineStr">
        <is>
          <t>Projected total 53.4 pts (Weather adj: +0.0 pts). Total line 47.5 -&gt; P(Over)=0.564, P(Under)=0.436, P(Push)=0.000.</t>
        </is>
      </c>
      <c r="AF620" s="31" t="inlineStr">
        <is>
          <t>College football model; multi-market (moneyline, spread, total).</t>
        </is>
      </c>
      <c r="AG620" s="24" t="inlineStr">
        <is>
          <t>review_required</t>
        </is>
      </c>
      <c r="AH620" s="24" t="n"/>
      <c r="AI620" s="31" t="n"/>
      <c r="AJ620" s="31" t="n"/>
      <c r="AK620" s="24" t="inlineStr">
        <is>
          <t>model_qualified</t>
        </is>
      </c>
      <c r="AL620" s="26" t="n">
        <v>4</v>
      </c>
      <c r="AM620" s="24" t="inlineStr">
        <is>
          <t>QUALIFIED_SHADOW_CALL</t>
        </is>
      </c>
      <c r="AN620" s="24" t="inlineStr">
        <is>
          <t>CALL</t>
        </is>
      </c>
      <c r="AO620" s="24" t="inlineStr">
        <is>
          <t>QUALIFIED</t>
        </is>
      </c>
      <c r="AP620" s="24" t="inlineStr">
        <is>
          <t>Troy Trojans</t>
        </is>
      </c>
      <c r="AQ620" s="24" t="inlineStr">
        <is>
          <t>Troy Trojans</t>
        </is>
      </c>
      <c r="AR620" s="24" t="inlineStr">
        <is>
          <t>Troy Trojans</t>
        </is>
      </c>
      <c r="AS620" s="24" t="inlineStr">
        <is>
          <t>Utah State Aggies</t>
        </is>
      </c>
      <c r="AT620" s="24" t="inlineStr">
        <is>
          <t>Utah State Aggies</t>
        </is>
      </c>
      <c r="AU620" s="24" t="inlineStr">
        <is>
          <t>Utah State Aggies</t>
        </is>
      </c>
      <c r="AV620" s="24" t="n"/>
      <c r="AW620" s="24" t="n"/>
      <c r="AX620" s="24" t="inlineStr">
        <is>
          <t>statistical_model</t>
        </is>
      </c>
      <c r="AY620" s="24" t="n"/>
      <c r="AZ620" s="24" t="inlineStr">
        <is>
          <t>shadow_qualified</t>
        </is>
      </c>
      <c r="BA620" s="24" t="inlineStr">
        <is>
          <t>1d168f11d221cd3c</t>
        </is>
      </c>
      <c r="BB620" s="24" t="inlineStr">
        <is>
          <t>cfb_key_number_engine</t>
        </is>
      </c>
      <c r="BC620" s="24" t="inlineStr">
        <is>
          <t>cfb-total-v1</t>
        </is>
      </c>
      <c r="BD620" s="24" t="inlineStr">
        <is>
          <t>1d168f11d221cd3c</t>
        </is>
      </c>
      <c r="BE620" s="24" t="inlineStr">
        <is>
          <t>cfb-v1</t>
        </is>
      </c>
      <c r="BF620" s="24" t="inlineStr">
        <is>
          <t>1</t>
        </is>
      </c>
      <c r="BG620" s="24" t="inlineStr">
        <is>
          <t>1d168f11d221cd3c</t>
        </is>
      </c>
      <c r="BH620" s="24" t="inlineStr">
        <is>
          <t>2026-09-26T22:34:32.504573+00:00</t>
        </is>
      </c>
      <c r="BI620" s="24" t="inlineStr">
        <is>
          <t>["same_event","same_team_same_day","same_league_same_day"]</t>
        </is>
      </c>
      <c r="BJ620" s="25" t="n">
        <v>47.5</v>
      </c>
      <c r="BK620" s="26" t="n">
        <v>-102</v>
      </c>
      <c r="BL620" s="27" t="n">
        <v>1.980392</v>
      </c>
      <c r="BM620" s="28" t="n">
        <v>0.50495</v>
      </c>
      <c r="BN620" s="28" t="n"/>
      <c r="BO620" s="28" t="n"/>
      <c r="BP620" s="25" t="n"/>
      <c r="BQ620" s="27" t="n"/>
      <c r="BR620" s="28" t="n"/>
      <c r="BS620" s="28" t="n"/>
      <c r="BT620" s="28" t="n"/>
      <c r="BU620" s="25" t="n"/>
      <c r="BV620" s="29" t="n"/>
      <c r="BW620" s="24" t="n"/>
      <c r="BX620" s="30" t="n"/>
      <c r="BY620" s="27" t="n"/>
      <c r="BZ620" s="24" t="n"/>
      <c r="CA620" s="31" t="n"/>
      <c r="CB620" s="24" t="n"/>
      <c r="CC620" s="24" t="n"/>
      <c r="CD620" s="24" t="n"/>
      <c r="CE620" s="24" t="n"/>
      <c r="CF620" s="24" t="n"/>
      <c r="CG620" s="24" t="n"/>
      <c r="CH620" s="24" t="n"/>
      <c r="CI620" s="24" t="n"/>
      <c r="CJ620" s="24" t="n"/>
      <c r="CK620" s="24" t="n"/>
      <c r="CL620" s="24" t="n"/>
      <c r="CM620" s="24" t="n"/>
      <c r="CN620" s="24" t="n"/>
      <c r="CO620" s="24" t="n"/>
      <c r="CP620" s="24" t="n"/>
      <c r="CQ620" s="24" t="n"/>
      <c r="CR620" s="24" t="n"/>
      <c r="CS620" s="24" t="inlineStr">
        <is>
          <t>True</t>
        </is>
      </c>
      <c r="CT620" s="24" t="n"/>
      <c r="CU620" s="24" t="n"/>
      <c r="CV620" s="24" t="n"/>
      <c r="CW620" s="24" t="n"/>
      <c r="CX620" s="24" t="n"/>
      <c r="CY620" s="24" t="n"/>
      <c r="CZ620" s="24" t="n"/>
      <c r="DA620" s="24" t="n"/>
      <c r="DB620" s="24" t="n"/>
      <c r="DC620" s="24" t="n"/>
      <c r="DD620" s="24" t="n"/>
      <c r="DE620" s="24" t="n"/>
      <c r="DF620" s="24" t="n"/>
      <c r="DG620" s="24" t="n"/>
      <c r="DH620" s="24" t="n"/>
      <c r="DI620" s="24" t="n"/>
      <c r="DJ620" s="24" t="inlineStr">
        <is>
          <t>0.50495</t>
        </is>
      </c>
      <c r="DK620" s="24" t="n"/>
      <c r="DL620" s="24" t="n"/>
      <c r="DM620" s="24" t="n"/>
      <c r="DN620" s="24" t="n"/>
      <c r="DO620" s="24" t="n"/>
      <c r="DP620" s="24" t="n"/>
      <c r="DQ620" s="24" t="inlineStr">
        <is>
          <t>{"artifact_hash": "1d168f11d221cd3c", "event_id": "401860894", "event_start_utc": "2026-09-26T23:30Z", "features": {"altitude_fatigue_penalty": 0.6, "away_team": "Troy Trojans", "efficiency_gap": 0.061, "elo_away": 1397.2, "elo_home": 1438.6, "elo_home_win_prob": 0.6486, "event_id": "401860894", "game_start_utc": "2026-09-26T23:30Z", "home_field_advantage_points": 2.8, "home_team": "Utah State Aggies", "is_dome": false, "is_fbs_vs_fcs": false, "is_neutral_site": false, "projected_away_points": 24.5, "projected_home_points": 28.9, "projected_margin_home": 4.3, "projected_possessions": 12.4, "projected_total": 53.4, "stadium_elevation_ft": 4710, "travel_distance_miles": 1579.0, "uncertainty": 0.18, "weather_total_adjustment": 0.0}, "historical_source_observation_times_verified": false, "inference_inputs": {"engine_source_sha256": "449ba2f0e86fa9c445730076a0e0bf100fb4914620be53c75c6f3bfe24298f3f", "mu_away": 24.5, "mu_home": 28.9,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297197085607987265468854495141780866182}, "uinteger": 0}, "spread_home_line": -3.0, "total_line": 47.5}, "market_type": "total", "model_version": "cfb-total-v1", "observed_at_utc": "2026-09-26T22:34:32.504573+00:00", "probabilities": {"over": 0.564333, "push": 0.0, "under": 0.435667}, "replay_scope": "Full precision score means, exact engine parameters and original RNG state; upstream feature construction not certified.", "schema": "cfb-joint-replay-v1", "snapshot_hash": "bd5396c24e413796c227a7c96f085c0b0fde2e491a42458f56ce422af56a8f45", "sport": "NCAAF"}</t>
        </is>
      </c>
    </row>
    <row r="621" ht="36" customHeight="1">
      <c r="A621" s="24" t="inlineStr">
        <is>
          <t>2ca5aa20a1594e21</t>
        </is>
      </c>
      <c r="B621" s="24" t="inlineStr">
        <is>
          <t>2026-09-26T22:34:32.504573Z</t>
        </is>
      </c>
      <c r="C621" s="24" t="inlineStr">
        <is>
          <t>2026-09-26T23:30Z</t>
        </is>
      </c>
      <c r="D621" s="24" t="inlineStr">
        <is>
          <t>401862783</t>
        </is>
      </c>
      <c r="E621" s="24" t="inlineStr">
        <is>
          <t>NCAAF</t>
        </is>
      </c>
      <c r="F621" s="24" t="inlineStr">
        <is>
          <t>Houston Christian Huskies</t>
        </is>
      </c>
      <c r="G621" s="24" t="inlineStr">
        <is>
          <t>North Texas Mean Green</t>
        </is>
      </c>
      <c r="H621" s="24" t="inlineStr">
        <is>
          <t>spread</t>
        </is>
      </c>
      <c r="I621" s="24" t="inlineStr">
        <is>
          <t>away</t>
        </is>
      </c>
      <c r="J621" s="25" t="n">
        <v>38.5</v>
      </c>
      <c r="K621" s="24" t="inlineStr">
        <is>
          <t>espn_consensus</t>
        </is>
      </c>
      <c r="L621" s="26" t="n">
        <v>-115</v>
      </c>
      <c r="M621" s="27" t="n">
        <v>1.869565</v>
      </c>
      <c r="N621" s="28" t="n">
        <v>0.534884</v>
      </c>
      <c r="O621" s="28" t="n">
        <v>0.9012</v>
      </c>
      <c r="P621" s="28" t="n">
        <v>0.18</v>
      </c>
      <c r="Q621" s="28" t="n">
        <v>0.366316</v>
      </c>
      <c r="R621" s="26" t="n">
        <v>100</v>
      </c>
      <c r="S621" s="29" t="n">
        <v>2</v>
      </c>
      <c r="T621" s="24" t="inlineStr">
        <is>
          <t>cfb-spread-v1</t>
        </is>
      </c>
      <c r="U621" s="24" t="inlineStr">
        <is>
          <t>settled</t>
        </is>
      </c>
      <c r="V621" s="24" t="inlineStr">
        <is>
          <t>loss</t>
        </is>
      </c>
      <c r="W621" s="26" t="n">
        <v>14</v>
      </c>
      <c r="X621" s="26" t="n">
        <v>63</v>
      </c>
      <c r="Y621" s="25" t="n"/>
      <c r="Z621" s="26" t="n"/>
      <c r="AA621" s="28" t="n"/>
      <c r="AB621" s="28" t="n"/>
      <c r="AC621" s="30" t="n">
        <v>-2</v>
      </c>
      <c r="AD621" s="24" t="inlineStr">
        <is>
          <t>2026-09-27T04:32:12.852123Z</t>
        </is>
      </c>
      <c r="AE621" s="31" t="inlineStr">
        <is>
          <t>Projected home margin +12.9 pts. Spread: Home -38.5 / Away +38.5 -&gt; P(Away cover)=0.901, P(Home cover)=0.099, P(Push)=0.000.</t>
        </is>
      </c>
      <c r="AF621" s="31" t="inlineStr">
        <is>
          <t>College football model; multi-market (moneyline, spread, total).</t>
        </is>
      </c>
      <c r="AG621" s="24" t="inlineStr">
        <is>
          <t>review_required</t>
        </is>
      </c>
      <c r="AH621" s="24" t="n"/>
      <c r="AI621" s="31" t="n"/>
      <c r="AJ621" s="31" t="n"/>
      <c r="AK621" s="24" t="inlineStr">
        <is>
          <t>model_qualified</t>
        </is>
      </c>
      <c r="AL621" s="26" t="n">
        <v>4</v>
      </c>
      <c r="AM621" s="24" t="inlineStr">
        <is>
          <t>QUALIFIED_SHADOW_CALL</t>
        </is>
      </c>
      <c r="AN621" s="24" t="inlineStr">
        <is>
          <t>CALL</t>
        </is>
      </c>
      <c r="AO621" s="24" t="inlineStr">
        <is>
          <t>QUALIFIED</t>
        </is>
      </c>
      <c r="AP621" s="24" t="inlineStr">
        <is>
          <t>Houston Christian Huskies</t>
        </is>
      </c>
      <c r="AQ621" s="24" t="inlineStr">
        <is>
          <t>Houston Christian Huskies</t>
        </is>
      </c>
      <c r="AR621" s="24" t="inlineStr">
        <is>
          <t>Houston Christian Huskies</t>
        </is>
      </c>
      <c r="AS621" s="24" t="inlineStr">
        <is>
          <t>North Texas Mean Green</t>
        </is>
      </c>
      <c r="AT621" s="24" t="inlineStr">
        <is>
          <t>North Texas Mean Green</t>
        </is>
      </c>
      <c r="AU621" s="24" t="inlineStr">
        <is>
          <t>North Texas Mean Green</t>
        </is>
      </c>
      <c r="AV621" s="24" t="n"/>
      <c r="AW621" s="24" t="n"/>
      <c r="AX621" s="24" t="inlineStr">
        <is>
          <t>statistical_model</t>
        </is>
      </c>
      <c r="AY621" s="24" t="n"/>
      <c r="AZ621" s="24" t="inlineStr">
        <is>
          <t>shadow_qualified</t>
        </is>
      </c>
      <c r="BA621" s="24" t="inlineStr">
        <is>
          <t>1d168f11d221cd3c</t>
        </is>
      </c>
      <c r="BB621" s="24" t="inlineStr">
        <is>
          <t>cfb_key_number_engine</t>
        </is>
      </c>
      <c r="BC621" s="24" t="inlineStr">
        <is>
          <t>cfb-spread-v1</t>
        </is>
      </c>
      <c r="BD621" s="24" t="inlineStr">
        <is>
          <t>1d168f11d221cd3c</t>
        </is>
      </c>
      <c r="BE621" s="24" t="inlineStr">
        <is>
          <t>cfb-v1</t>
        </is>
      </c>
      <c r="BF621" s="24" t="inlineStr">
        <is>
          <t>1</t>
        </is>
      </c>
      <c r="BG621" s="24" t="inlineStr">
        <is>
          <t>1d168f11d221cd3c</t>
        </is>
      </c>
      <c r="BH621" s="24" t="inlineStr">
        <is>
          <t>2026-09-26T22:34:32.504573+00:00</t>
        </is>
      </c>
      <c r="BI621" s="24" t="inlineStr">
        <is>
          <t>["same_event","same_team_same_day","same_league_same_day"]</t>
        </is>
      </c>
      <c r="BJ621" s="25" t="n">
        <v>38.5</v>
      </c>
      <c r="BK621" s="26" t="n">
        <v>-115</v>
      </c>
      <c r="BL621" s="27" t="n">
        <v>1.869565</v>
      </c>
      <c r="BM621" s="28" t="n">
        <v>0.534884</v>
      </c>
      <c r="BN621" s="28" t="n"/>
      <c r="BO621" s="28" t="n"/>
      <c r="BP621" s="25" t="n"/>
      <c r="BQ621" s="27" t="n"/>
      <c r="BR621" s="28" t="n"/>
      <c r="BS621" s="28" t="n"/>
      <c r="BT621" s="28" t="n"/>
      <c r="BU621" s="25" t="n"/>
      <c r="BV621" s="29" t="n"/>
      <c r="BW621" s="24" t="n"/>
      <c r="BX621" s="30" t="n"/>
      <c r="BY621" s="27" t="n"/>
      <c r="BZ621" s="24" t="n"/>
      <c r="CA621" s="31" t="n"/>
      <c r="CB621" s="24" t="n"/>
      <c r="CC621" s="24" t="n"/>
      <c r="CD621" s="24" t="n"/>
      <c r="CE621" s="24" t="n"/>
      <c r="CF621" s="24" t="n"/>
      <c r="CG621" s="24" t="n"/>
      <c r="CH621" s="24" t="n"/>
      <c r="CI621" s="24" t="n"/>
      <c r="CJ621" s="24" t="n"/>
      <c r="CK621" s="24" t="n"/>
      <c r="CL621" s="24" t="n"/>
      <c r="CM621" s="24" t="n"/>
      <c r="CN621" s="24" t="n"/>
      <c r="CO621" s="24" t="n"/>
      <c r="CP621" s="24" t="n"/>
      <c r="CQ621" s="24" t="n"/>
      <c r="CR621" s="24" t="n"/>
      <c r="CS621" s="24" t="inlineStr">
        <is>
          <t>True</t>
        </is>
      </c>
      <c r="CT621" s="24" t="n"/>
      <c r="CU621" s="24" t="n"/>
      <c r="CV621" s="24" t="n"/>
      <c r="CW621" s="24" t="n"/>
      <c r="CX621" s="24" t="n"/>
      <c r="CY621" s="24" t="n"/>
      <c r="CZ621" s="24" t="n"/>
      <c r="DA621" s="24" t="n"/>
      <c r="DB621" s="24" t="n"/>
      <c r="DC621" s="24" t="n"/>
      <c r="DD621" s="24" t="n"/>
      <c r="DE621" s="24" t="n"/>
      <c r="DF621" s="24" t="n"/>
      <c r="DG621" s="24" t="n"/>
      <c r="DH621" s="24" t="n"/>
      <c r="DI621" s="24" t="n"/>
      <c r="DJ621" s="24" t="inlineStr">
        <is>
          <t>0.534884</t>
        </is>
      </c>
      <c r="DK621" s="24" t="n"/>
      <c r="DL621" s="24" t="n"/>
      <c r="DM621" s="24" t="n"/>
      <c r="DN621" s="24" t="n"/>
      <c r="DO621" s="24" t="n"/>
      <c r="DP621" s="24" t="n"/>
      <c r="DQ621" s="24" t="inlineStr">
        <is>
          <t>{"artifact_hash": "1d168f11d221cd3c", "event_id": "401862783", "event_start_utc": "2026-09-26T23:30Z", "features": {"altitude_fatigue_penalty": 0.0, "away_team": "Houston Christian Huskies", "efficiency_gap": -0.684, "elo_away": 1337.5, "elo_home": 1588.6, "elo_home_win_prob": 0.8605, "event_id": "401862783", "game_start_utc": "2026-09-26T23:30Z", "home_field_advantage_points": 2.8, "home_team": "North Texas Mean Green", "is_dome": false, "is_fbs_vs_fcs": false, "is_neutral_site": false, "projected_away_points": 19.9, "projected_home_points": 32.8, "projected_margin_home": 12.9,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19.9, "mu_home": 32.8,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48041943139624071763835153715030570227}, "uinteger": 0}, "spread_home_line": -38.5, "total_line": 60.5}, "market_type": "spread", "model_version": "cfb-spread-v1", "observed_at_utc": "2026-09-26T22:34:32.504573+00:00", "probabilities": {"away": 0.9012, "home": 0.0988, "push": 0.0}, "replay_scope": "Full precision score means, exact engine parameters and original RNG state; upstream feature construction not certified.", "schema": "cfb-joint-replay-v1", "snapshot_hash": "32da4e2d1f619fe47d3b59d06cf944317f41eb0057199cbc6ec19befb8827bc4", "sport": "NCAAF"}</t>
        </is>
      </c>
    </row>
    <row r="622" ht="36" customHeight="1">
      <c r="A622" s="24" t="inlineStr">
        <is>
          <t>d4aaae4a6a6f4129</t>
        </is>
      </c>
      <c r="B622" s="24" t="inlineStr">
        <is>
          <t>2026-09-26T22:34:32.504573Z</t>
        </is>
      </c>
      <c r="C622" s="24" t="inlineStr">
        <is>
          <t>2026-09-26T23:30Z</t>
        </is>
      </c>
      <c r="D622" s="24" t="inlineStr">
        <is>
          <t>401862783</t>
        </is>
      </c>
      <c r="E622" s="24" t="inlineStr">
        <is>
          <t>NCAAF</t>
        </is>
      </c>
      <c r="F622" s="24" t="inlineStr">
        <is>
          <t>Houston Christian Huskies</t>
        </is>
      </c>
      <c r="G622" s="24" t="inlineStr">
        <is>
          <t>North Texas Mean Green</t>
        </is>
      </c>
      <c r="H622" s="24" t="inlineStr">
        <is>
          <t>total</t>
        </is>
      </c>
      <c r="I622" s="24" t="inlineStr">
        <is>
          <t>under</t>
        </is>
      </c>
      <c r="J622" s="25" t="n">
        <v>60.5</v>
      </c>
      <c r="K622" s="24" t="inlineStr">
        <is>
          <t>espn_consensus</t>
        </is>
      </c>
      <c r="L622" s="26" t="n">
        <v>-108</v>
      </c>
      <c r="M622" s="27" t="n">
        <v>1.925926</v>
      </c>
      <c r="N622" s="28" t="n">
        <v>0.519231</v>
      </c>
      <c r="O622" s="28" t="n">
        <v>0.653933</v>
      </c>
      <c r="P622" s="28" t="n">
        <v>0.18</v>
      </c>
      <c r="Q622" s="28" t="n">
        <v>0.134702</v>
      </c>
      <c r="R622" s="26" t="n">
        <v>9</v>
      </c>
      <c r="S622" s="29" t="n">
        <v>1</v>
      </c>
      <c r="T622" s="24" t="inlineStr">
        <is>
          <t>cfb-total-v1</t>
        </is>
      </c>
      <c r="U622" s="24" t="inlineStr">
        <is>
          <t>settled</t>
        </is>
      </c>
      <c r="V622" s="24" t="inlineStr">
        <is>
          <t>loss</t>
        </is>
      </c>
      <c r="W622" s="26" t="n">
        <v>14</v>
      </c>
      <c r="X622" s="26" t="n">
        <v>63</v>
      </c>
      <c r="Y622" s="25" t="n"/>
      <c r="Z622" s="26" t="n"/>
      <c r="AA622" s="28" t="n"/>
      <c r="AB622" s="28" t="n"/>
      <c r="AC622" s="30" t="n">
        <v>-1</v>
      </c>
      <c r="AD622" s="24" t="inlineStr">
        <is>
          <t>2026-09-27T04:32:13.428627Z</t>
        </is>
      </c>
      <c r="AE622" s="31" t="inlineStr">
        <is>
          <t>Projected total 52.7 pts (Weather adj: +0.0 pts). Total line 60.5 -&gt; P(Over)=0.346, P(Under)=0.654, P(Push)=0.000.</t>
        </is>
      </c>
      <c r="AF622" s="31" t="inlineStr">
        <is>
          <t>College football model; multi-market (moneyline, spread, total).</t>
        </is>
      </c>
      <c r="AG622" s="24" t="inlineStr">
        <is>
          <t>review_required</t>
        </is>
      </c>
      <c r="AH622" s="24" t="n"/>
      <c r="AI622" s="31" t="n"/>
      <c r="AJ622" s="31" t="n"/>
      <c r="AK622" s="24" t="inlineStr">
        <is>
          <t>model_qualified</t>
        </is>
      </c>
      <c r="AL622" s="26" t="n">
        <v>4</v>
      </c>
      <c r="AM622" s="24" t="inlineStr">
        <is>
          <t>QUALIFIED_SHADOW_CALL</t>
        </is>
      </c>
      <c r="AN622" s="24" t="inlineStr">
        <is>
          <t>CALL</t>
        </is>
      </c>
      <c r="AO622" s="24" t="inlineStr">
        <is>
          <t>QUALIFIED</t>
        </is>
      </c>
      <c r="AP622" s="24" t="inlineStr">
        <is>
          <t>Houston Christian Huskies</t>
        </is>
      </c>
      <c r="AQ622" s="24" t="inlineStr">
        <is>
          <t>Houston Christian Huskies</t>
        </is>
      </c>
      <c r="AR622" s="24" t="inlineStr">
        <is>
          <t>Houston Christian Huskies</t>
        </is>
      </c>
      <c r="AS622" s="24" t="inlineStr">
        <is>
          <t>North Texas Mean Green</t>
        </is>
      </c>
      <c r="AT622" s="24" t="inlineStr">
        <is>
          <t>North Texas Mean Green</t>
        </is>
      </c>
      <c r="AU622" s="24" t="inlineStr">
        <is>
          <t>North Texas Mean Green</t>
        </is>
      </c>
      <c r="AV622" s="24" t="n"/>
      <c r="AW622" s="24" t="n"/>
      <c r="AX622" s="24" t="inlineStr">
        <is>
          <t>statistical_model</t>
        </is>
      </c>
      <c r="AY622" s="24" t="n"/>
      <c r="AZ622" s="24" t="inlineStr">
        <is>
          <t>shadow_qualified</t>
        </is>
      </c>
      <c r="BA622" s="24" t="inlineStr">
        <is>
          <t>1d168f11d221cd3c</t>
        </is>
      </c>
      <c r="BB622" s="24" t="inlineStr">
        <is>
          <t>cfb_key_number_engine</t>
        </is>
      </c>
      <c r="BC622" s="24" t="inlineStr">
        <is>
          <t>cfb-total-v1</t>
        </is>
      </c>
      <c r="BD622" s="24" t="inlineStr">
        <is>
          <t>1d168f11d221cd3c</t>
        </is>
      </c>
      <c r="BE622" s="24" t="inlineStr">
        <is>
          <t>cfb-v1</t>
        </is>
      </c>
      <c r="BF622" s="24" t="inlineStr">
        <is>
          <t>1</t>
        </is>
      </c>
      <c r="BG622" s="24" t="inlineStr">
        <is>
          <t>1d168f11d221cd3c</t>
        </is>
      </c>
      <c r="BH622" s="24" t="inlineStr">
        <is>
          <t>2026-09-26T22:34:32.504573+00:00</t>
        </is>
      </c>
      <c r="BI622" s="24" t="inlineStr">
        <is>
          <t>["same_event","same_team_same_day","same_league_same_day"]</t>
        </is>
      </c>
      <c r="BJ622" s="25" t="n">
        <v>60.5</v>
      </c>
      <c r="BK622" s="26" t="n">
        <v>-108</v>
      </c>
      <c r="BL622" s="27" t="n">
        <v>1.925926</v>
      </c>
      <c r="BM622" s="28" t="n">
        <v>0.519231</v>
      </c>
      <c r="BN622" s="28" t="n"/>
      <c r="BO622" s="28" t="n"/>
      <c r="BP622" s="25" t="n"/>
      <c r="BQ622" s="27" t="n"/>
      <c r="BR622" s="28" t="n"/>
      <c r="BS622" s="28" t="n"/>
      <c r="BT622" s="28" t="n"/>
      <c r="BU622" s="25" t="n"/>
      <c r="BV622" s="29" t="n"/>
      <c r="BW622" s="24" t="n"/>
      <c r="BX622" s="30" t="n"/>
      <c r="BY622" s="27" t="n"/>
      <c r="BZ622" s="24" t="n"/>
      <c r="CA622" s="31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  <c r="CS622" s="24" t="inlineStr">
        <is>
          <t>True</t>
        </is>
      </c>
      <c r="CT622" s="24" t="n"/>
      <c r="CU622" s="24" t="n"/>
      <c r="CV622" s="24" t="n"/>
      <c r="CW622" s="24" t="n"/>
      <c r="CX622" s="24" t="n"/>
      <c r="CY622" s="24" t="n"/>
      <c r="CZ622" s="24" t="n"/>
      <c r="DA622" s="24" t="n"/>
      <c r="DB622" s="24" t="n"/>
      <c r="DC622" s="24" t="n"/>
      <c r="DD622" s="24" t="n"/>
      <c r="DE622" s="24" t="n"/>
      <c r="DF622" s="24" t="n"/>
      <c r="DG622" s="24" t="n"/>
      <c r="DH622" s="24" t="n"/>
      <c r="DI622" s="24" t="n"/>
      <c r="DJ622" s="24" t="inlineStr">
        <is>
          <t>0.519231</t>
        </is>
      </c>
      <c r="DK622" s="24" t="n"/>
      <c r="DL622" s="24" t="n"/>
      <c r="DM622" s="24" t="n"/>
      <c r="DN622" s="24" t="n"/>
      <c r="DO622" s="24" t="n"/>
      <c r="DP622" s="24" t="n"/>
      <c r="DQ622" s="24" t="inlineStr">
        <is>
          <t>{"artifact_hash": "1d168f11d221cd3c", "event_id": "401862783", "event_start_utc": "2026-09-26T23:30Z", "features": {"altitude_fatigue_penalty": 0.0, "away_team": "Houston Christian Huskies", "efficiency_gap": -0.684, "elo_away": 1337.5, "elo_home": 1588.6, "elo_home_win_prob": 0.8605, "event_id": "401862783", "game_start_utc": "2026-09-26T23:30Z", "home_field_advantage_points": 2.8, "home_team": "North Texas Mean Green", "is_dome": false, "is_fbs_vs_fcs": false, "is_neutral_site": false, "projected_away_points": 19.9, "projected_home_points": 32.8, "projected_margin_home": 12.9,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19.9, "mu_home": 32.8,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48041943139624071763835153715030570227}, "uinteger": 0}, "spread_home_line": -38.5, "total_line": 60.5}, "market_type": "total", "model_version": "cfb-total-v1", "observed_at_utc": "2026-09-26T22:34:32.504573+00:00", "probabilities": {"over": 0.346067, "push": 0.0, "under": 0.653933}, "replay_scope": "Full precision score means, exact engine parameters and original RNG state; upstream feature construction not certified.", "schema": "cfb-joint-replay-v1", "snapshot_hash": "23708fbcd521df0972d31e53024ef2fdfe60f2c257e06d277ca1b379f8b52d57", "sport": "NCAAF"}</t>
        </is>
      </c>
    </row>
    <row r="623" ht="36" customHeight="1">
      <c r="A623" s="24" t="inlineStr">
        <is>
          <t>0fa71fcd37ac4c56</t>
        </is>
      </c>
      <c r="B623" s="24" t="inlineStr">
        <is>
          <t>2026-09-26T22:34:32.504573Z</t>
        </is>
      </c>
      <c r="C623" s="24" t="inlineStr">
        <is>
          <t>2026-09-26T23:30Z</t>
        </is>
      </c>
      <c r="D623" s="24" t="inlineStr">
        <is>
          <t>401864572</t>
        </is>
      </c>
      <c r="E623" s="24" t="inlineStr">
        <is>
          <t>NCAAF</t>
        </is>
      </c>
      <c r="F623" s="24" t="inlineStr">
        <is>
          <t>App State Mountaineers</t>
        </is>
      </c>
      <c r="G623" s="24" t="inlineStr">
        <is>
          <t>NC State Wolfpack</t>
        </is>
      </c>
      <c r="H623" s="24" t="inlineStr">
        <is>
          <t>moneyline</t>
        </is>
      </c>
      <c r="I623" s="24" t="inlineStr">
        <is>
          <t>home</t>
        </is>
      </c>
      <c r="J623" s="25" t="n"/>
      <c r="K623" s="24" t="inlineStr">
        <is>
          <t>espn_consensus</t>
        </is>
      </c>
      <c r="L623" s="26" t="n">
        <v>-535</v>
      </c>
      <c r="M623" s="27" t="n">
        <v>1.186916</v>
      </c>
      <c r="N623" s="28" t="n">
        <v>0.84252</v>
      </c>
      <c r="O623" s="28" t="n">
        <v>0.628243</v>
      </c>
      <c r="P623" s="28" t="n">
        <v>0.18</v>
      </c>
      <c r="Q623" s="28" t="n">
        <v>-0.214277</v>
      </c>
      <c r="R623" s="26" t="n">
        <v>0</v>
      </c>
      <c r="S623" s="29" t="n">
        <v>1</v>
      </c>
      <c r="T623" s="24" t="inlineStr">
        <is>
          <t>college-football-v1</t>
        </is>
      </c>
      <c r="U623" s="24" t="inlineStr">
        <is>
          <t>settled</t>
        </is>
      </c>
      <c r="V623" s="24" t="inlineStr">
        <is>
          <t>win</t>
        </is>
      </c>
      <c r="W623" s="26" t="n">
        <v>31</v>
      </c>
      <c r="X623" s="26" t="n">
        <v>41</v>
      </c>
      <c r="Y623" s="25" t="n"/>
      <c r="Z623" s="26" t="n"/>
      <c r="AA623" s="28" t="n"/>
      <c r="AB623" s="28" t="n"/>
      <c r="AC623" s="30" t="n">
        <v>0.1869</v>
      </c>
      <c r="AD623" s="24" t="inlineStr">
        <is>
          <t>2026-09-27T04:32:14.018049Z</t>
        </is>
      </c>
      <c r="AE623" s="31" t="inlineStr">
        <is>
          <t>CFB Joint Model (negative_binomial): proj score App State Mountaineers 23.3 @ NC State Wolfpack 29.5 (Margin +6.2). Possessions: 12.4, HFA: +2.8 pts.</t>
        </is>
      </c>
      <c r="AF623" s="31" t="inlineStr">
        <is>
          <t>College football model; multi-market (moneyline, spread, total).</t>
        </is>
      </c>
      <c r="AG623" s="24" t="inlineStr">
        <is>
          <t>not_applicable</t>
        </is>
      </c>
      <c r="AH623" s="24" t="n"/>
      <c r="AI623" s="31" t="n"/>
      <c r="AJ623" s="31" t="n"/>
      <c r="AK623" s="24" t="inlineStr">
        <is>
          <t>paper_call</t>
        </is>
      </c>
      <c r="AL623" s="26" t="n">
        <v>4</v>
      </c>
      <c r="AM623" s="24" t="inlineStr">
        <is>
          <t>RESEARCH_OBSERVATION</t>
        </is>
      </c>
      <c r="AN623" s="24" t="inlineStr">
        <is>
          <t>CALL</t>
        </is>
      </c>
      <c r="AO623" s="24" t="inlineStr">
        <is>
          <t>PAPER_CALL_LOW_EDGE</t>
        </is>
      </c>
      <c r="AP623" s="24" t="inlineStr">
        <is>
          <t>App State Mountaineers</t>
        </is>
      </c>
      <c r="AQ623" s="24" t="inlineStr">
        <is>
          <t>App State Mountaineers</t>
        </is>
      </c>
      <c r="AR623" s="24" t="inlineStr">
        <is>
          <t>App State Mountaineers</t>
        </is>
      </c>
      <c r="AS623" s="24" t="inlineStr">
        <is>
          <t>NC State Wolfpack</t>
        </is>
      </c>
      <c r="AT623" s="24" t="inlineStr">
        <is>
          <t>NC State Wolfpack</t>
        </is>
      </c>
      <c r="AU623" s="24" t="inlineStr">
        <is>
          <t>NC State Wolfpack</t>
        </is>
      </c>
      <c r="AV623" s="24" t="n"/>
      <c r="AW623" s="24" t="n"/>
      <c r="AX623" s="24" t="inlineStr">
        <is>
          <t>statistical_model</t>
        </is>
      </c>
      <c r="AY623" s="24" t="n"/>
      <c r="AZ623" s="24" t="inlineStr">
        <is>
          <t>shadow_qualified</t>
        </is>
      </c>
      <c r="BA623" s="24" t="inlineStr">
        <is>
          <t>1d168f11d221cd3c</t>
        </is>
      </c>
      <c r="BB623" s="24" t="inlineStr">
        <is>
          <t>cfb_key_number_engine</t>
        </is>
      </c>
      <c r="BC623" s="24" t="inlineStr">
        <is>
          <t>college-football-v1</t>
        </is>
      </c>
      <c r="BD623" s="24" t="inlineStr">
        <is>
          <t>1d168f11d221cd3c</t>
        </is>
      </c>
      <c r="BE623" s="24" t="inlineStr">
        <is>
          <t>cfb-v1</t>
        </is>
      </c>
      <c r="BF623" s="24" t="inlineStr">
        <is>
          <t>1</t>
        </is>
      </c>
      <c r="BG623" s="24" t="inlineStr">
        <is>
          <t>1d168f11d221cd3c</t>
        </is>
      </c>
      <c r="BH623" s="24" t="inlineStr">
        <is>
          <t>2026-09-26T22:34:32.504573+00:00</t>
        </is>
      </c>
      <c r="BI623" s="24" t="inlineStr">
        <is>
          <t>["same_event","same_team_same_day","same_league_same_day"]</t>
        </is>
      </c>
      <c r="BJ623" s="25" t="n"/>
      <c r="BK623" s="26" t="n">
        <v>-535</v>
      </c>
      <c r="BL623" s="27" t="n">
        <v>1.186916</v>
      </c>
      <c r="BM623" s="28" t="n">
        <v>0.84252</v>
      </c>
      <c r="BN623" s="28" t="n"/>
      <c r="BO623" s="28" t="n"/>
      <c r="BP623" s="25" t="n"/>
      <c r="BQ623" s="27" t="n"/>
      <c r="BR623" s="28" t="n"/>
      <c r="BS623" s="28" t="n"/>
      <c r="BT623" s="28" t="n"/>
      <c r="BU623" s="25" t="n"/>
      <c r="BV623" s="29" t="n"/>
      <c r="BW623" s="24" t="n"/>
      <c r="BX623" s="30" t="n">
        <v>1</v>
      </c>
      <c r="BY623" s="27" t="n">
        <v>0.186916</v>
      </c>
      <c r="BZ623" s="24" t="inlineStr">
        <is>
          <t>2026-09-27T04:32:14.018049Z</t>
        </is>
      </c>
      <c r="CA623" s="31" t="inlineStr">
        <is>
          <t>fixed one-unit hypothetical scoring; no real exposure or execution</t>
        </is>
      </c>
      <c r="CB623" s="24" t="n"/>
      <c r="CC623" s="24" t="n"/>
      <c r="CD623" s="24" t="n"/>
      <c r="CE623" s="24" t="n"/>
      <c r="CF623" s="24" t="n"/>
      <c r="CG623" s="24" t="n"/>
      <c r="CH623" s="24" t="n"/>
      <c r="CI623" s="24" t="n"/>
      <c r="CJ623" s="24" t="n"/>
      <c r="CK623" s="24" t="n"/>
      <c r="CL623" s="24" t="n"/>
      <c r="CM623" s="24" t="n"/>
      <c r="CN623" s="24" t="n"/>
      <c r="CO623" s="24" t="n"/>
      <c r="CP623" s="24" t="n"/>
      <c r="CQ623" s="24" t="n"/>
      <c r="CR623" s="24" t="n"/>
      <c r="CS623" s="24" t="inlineStr">
        <is>
          <t>False</t>
        </is>
      </c>
      <c r="CT623" s="24" t="n"/>
      <c r="CU623" s="24" t="n"/>
      <c r="CV623" s="24" t="n"/>
      <c r="CW623" s="24" t="n"/>
      <c r="CX623" s="24" t="n"/>
      <c r="CY623" s="24" t="n"/>
      <c r="CZ623" s="24" t="n"/>
      <c r="DA623" s="24" t="n"/>
      <c r="DB623" s="24" t="n"/>
      <c r="DC623" s="24" t="n"/>
      <c r="DD623" s="24" t="n"/>
      <c r="DE623" s="24" t="n"/>
      <c r="DF623" s="24" t="n"/>
      <c r="DG623" s="24" t="n"/>
      <c r="DH623" s="24" t="n"/>
      <c r="DI623" s="24" t="n"/>
      <c r="DJ623" s="24" t="inlineStr">
        <is>
          <t>0.84252</t>
        </is>
      </c>
      <c r="DK623" s="24" t="n"/>
      <c r="DL623" s="24" t="n"/>
      <c r="DM623" s="24" t="n"/>
      <c r="DN623" s="24" t="n"/>
      <c r="DO623" s="24" t="n"/>
      <c r="DP623" s="24" t="n"/>
      <c r="DQ623" s="24" t="inlineStr">
        <is>
          <t>{"artifact_hash": "1d168f11d221cd3c", "event_id": "401864572", "event_start_utc": "2026-09-26T23:30Z", "features": {"altitude_fatigue_penalty": 0.0, "away_team": "App State Mountaineers", "efficiency_gap": -0.391, "elo_away": 1425.0, "elo_home": 1510.8, "elo_home_win_prob": 0.7043, "event_id": "401864572", "game_start_utc": "2026-09-26T23:30Z", "home_field_advantage_points": 2.8, "home_team": "NC State Wolfpack", "is_dome": false, "is_fbs_vs_fcs": false, "is_neutral_site": false, "projected_away_points": 23.3, "projected_home_points": 29.5, "projected_margin_home": 6.2, "projected_possessions": 12.4, "projected_total": 52.8, "stadium_elevation_ft": 380, "travel_distance_miles": 168.0, "uncertainty": 0.18, "weather_total_adjustment": 0.0}, "historical_source_observation_times_verified": false, "inference_inputs": {"engine_source_sha256": "449ba2f0e86fa9c445730076a0e0bf100fb4914620be53c75c6f3bfe24298f3f", "mu_away": 23.3, "mu_home": 29.5,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89688437785892703976481412737680994333}, "uinteger": 0}, "spread_home_line": -12.5, "total_line": 55.5}, "market_type": "moneyline", "model_version": "college-football-v1", "observed_at_utc": "2026-09-26T22:34:32.504573+00:00", "probabilities": {"away": 0.371757, "home": 0.628243}, "replay_scope": "Full precision score means, exact engine parameters and original RNG state; upstream feature construction not certified.", "schema": "cfb-joint-replay-v1", "snapshot_hash": "8aed1c07b2651fff0ac3ae0575f64f2cd8f25f1b253721065472402f713768df", "sport": "NCAAF"}</t>
        </is>
      </c>
    </row>
    <row r="624" ht="36" customHeight="1">
      <c r="A624" s="24" t="inlineStr">
        <is>
          <t>a7763436c37d4747</t>
        </is>
      </c>
      <c r="B624" s="24" t="inlineStr">
        <is>
          <t>2026-09-26T22:34:32.504573Z</t>
        </is>
      </c>
      <c r="C624" s="24" t="inlineStr">
        <is>
          <t>2026-09-26T23:30Z</t>
        </is>
      </c>
      <c r="D624" s="24" t="inlineStr">
        <is>
          <t>401864572</t>
        </is>
      </c>
      <c r="E624" s="24" t="inlineStr">
        <is>
          <t>NCAAF</t>
        </is>
      </c>
      <c r="F624" s="24" t="inlineStr">
        <is>
          <t>App State Mountaineers</t>
        </is>
      </c>
      <c r="G624" s="24" t="inlineStr">
        <is>
          <t>NC State Wolfpack</t>
        </is>
      </c>
      <c r="H624" s="24" t="inlineStr">
        <is>
          <t>spread</t>
        </is>
      </c>
      <c r="I624" s="24" t="inlineStr">
        <is>
          <t>away</t>
        </is>
      </c>
      <c r="J624" s="25" t="n">
        <v>12.5</v>
      </c>
      <c r="K624" s="24" t="inlineStr">
        <is>
          <t>espn_consensus</t>
        </is>
      </c>
      <c r="L624" s="26" t="n">
        <v>-108</v>
      </c>
      <c r="M624" s="27" t="n">
        <v>1.925926</v>
      </c>
      <c r="N624" s="28" t="n">
        <v>0.519231</v>
      </c>
      <c r="O624" s="28" t="n">
        <v>0.624667</v>
      </c>
      <c r="P624" s="28" t="n">
        <v>0.18</v>
      </c>
      <c r="Q624" s="28" t="n">
        <v>0.105436</v>
      </c>
      <c r="R624" s="26" t="n">
        <v>0</v>
      </c>
      <c r="S624" s="29" t="n">
        <v>1</v>
      </c>
      <c r="T624" s="24" t="inlineStr">
        <is>
          <t>cfb-spread-v1</t>
        </is>
      </c>
      <c r="U624" s="24" t="inlineStr">
        <is>
          <t>settled</t>
        </is>
      </c>
      <c r="V624" s="24" t="inlineStr">
        <is>
          <t>win</t>
        </is>
      </c>
      <c r="W624" s="26" t="n">
        <v>31</v>
      </c>
      <c r="X624" s="26" t="n">
        <v>41</v>
      </c>
      <c r="Y624" s="25" t="n"/>
      <c r="Z624" s="26" t="n"/>
      <c r="AA624" s="28" t="n"/>
      <c r="AB624" s="28" t="n"/>
      <c r="AC624" s="30" t="n">
        <v>0.9258999999999999</v>
      </c>
      <c r="AD624" s="24" t="inlineStr">
        <is>
          <t>2026-09-27T04:32:14.603151Z</t>
        </is>
      </c>
      <c r="AE624" s="31" t="inlineStr">
        <is>
          <t>Projected home margin +6.2 pts. Spread: Home -12.5 / Away +12.5 -&gt; P(Away cover)=0.625, P(Home cover)=0.375, P(Push)=0.000.</t>
        </is>
      </c>
      <c r="AF624" s="31" t="inlineStr">
        <is>
          <t>College football model; multi-market (moneyline, spread, total).</t>
        </is>
      </c>
      <c r="AG624" s="24" t="inlineStr">
        <is>
          <t>not_applicable</t>
        </is>
      </c>
      <c r="AH624" s="24" t="n"/>
      <c r="AI624" s="31" t="n"/>
      <c r="AJ624" s="31" t="n"/>
      <c r="AK624" s="24" t="inlineStr">
        <is>
          <t>model_qualified</t>
        </is>
      </c>
      <c r="AL624" s="26" t="n">
        <v>4</v>
      </c>
      <c r="AM624" s="24" t="inlineStr">
        <is>
          <t>QUALIFIED_SHADOW_CALL</t>
        </is>
      </c>
      <c r="AN624" s="24" t="inlineStr">
        <is>
          <t>CALL</t>
        </is>
      </c>
      <c r="AO624" s="24" t="inlineStr">
        <is>
          <t>QUALIFIED</t>
        </is>
      </c>
      <c r="AP624" s="24" t="inlineStr">
        <is>
          <t>App State Mountaineers</t>
        </is>
      </c>
      <c r="AQ624" s="24" t="inlineStr">
        <is>
          <t>App State Mountaineers</t>
        </is>
      </c>
      <c r="AR624" s="24" t="inlineStr">
        <is>
          <t>App State Mountaineers</t>
        </is>
      </c>
      <c r="AS624" s="24" t="inlineStr">
        <is>
          <t>NC State Wolfpack</t>
        </is>
      </c>
      <c r="AT624" s="24" t="inlineStr">
        <is>
          <t>NC State Wolfpack</t>
        </is>
      </c>
      <c r="AU624" s="24" t="inlineStr">
        <is>
          <t>NC State Wolfpack</t>
        </is>
      </c>
      <c r="AV624" s="24" t="n"/>
      <c r="AW624" s="24" t="n"/>
      <c r="AX624" s="24" t="inlineStr">
        <is>
          <t>statistical_model</t>
        </is>
      </c>
      <c r="AY624" s="24" t="n"/>
      <c r="AZ624" s="24" t="inlineStr">
        <is>
          <t>shadow_qualified</t>
        </is>
      </c>
      <c r="BA624" s="24" t="inlineStr">
        <is>
          <t>1d168f11d221cd3c</t>
        </is>
      </c>
      <c r="BB624" s="24" t="inlineStr">
        <is>
          <t>cfb_key_number_engine</t>
        </is>
      </c>
      <c r="BC624" s="24" t="inlineStr">
        <is>
          <t>cfb-spread-v1</t>
        </is>
      </c>
      <c r="BD624" s="24" t="inlineStr">
        <is>
          <t>1d168f11d221cd3c</t>
        </is>
      </c>
      <c r="BE624" s="24" t="inlineStr">
        <is>
          <t>cfb-v1</t>
        </is>
      </c>
      <c r="BF624" s="24" t="inlineStr">
        <is>
          <t>1</t>
        </is>
      </c>
      <c r="BG624" s="24" t="inlineStr">
        <is>
          <t>1d168f11d221cd3c</t>
        </is>
      </c>
      <c r="BH624" s="24" t="inlineStr">
        <is>
          <t>2026-09-26T22:34:32.504573+00:00</t>
        </is>
      </c>
      <c r="BI624" s="24" t="inlineStr">
        <is>
          <t>["same_event","same_team_same_day","same_league_same_day"]</t>
        </is>
      </c>
      <c r="BJ624" s="25" t="n">
        <v>12.5</v>
      </c>
      <c r="BK624" s="26" t="n">
        <v>-108</v>
      </c>
      <c r="BL624" s="27" t="n">
        <v>1.925926</v>
      </c>
      <c r="BM624" s="28" t="n">
        <v>0.519231</v>
      </c>
      <c r="BN624" s="28" t="n"/>
      <c r="BO624" s="28" t="n"/>
      <c r="BP624" s="25" t="n"/>
      <c r="BQ624" s="27" t="n"/>
      <c r="BR624" s="28" t="n"/>
      <c r="BS624" s="28" t="n"/>
      <c r="BT624" s="28" t="n"/>
      <c r="BU624" s="25" t="n"/>
      <c r="BV624" s="29" t="n"/>
      <c r="BW624" s="24" t="n"/>
      <c r="BX624" s="30" t="n"/>
      <c r="BY624" s="27" t="n"/>
      <c r="BZ624" s="24" t="n"/>
      <c r="CA624" s="31" t="n"/>
      <c r="CB624" s="24" t="n"/>
      <c r="CC624" s="24" t="n"/>
      <c r="CD624" s="24" t="n"/>
      <c r="CE624" s="24" t="n"/>
      <c r="CF624" s="24" t="n"/>
      <c r="CG624" s="24" t="n"/>
      <c r="CH624" s="24" t="n"/>
      <c r="CI624" s="24" t="n"/>
      <c r="CJ624" s="24" t="n"/>
      <c r="CK624" s="24" t="n"/>
      <c r="CL624" s="24" t="n"/>
      <c r="CM624" s="24" t="n"/>
      <c r="CN624" s="24" t="n"/>
      <c r="CO624" s="24" t="n"/>
      <c r="CP624" s="24" t="n"/>
      <c r="CQ624" s="24" t="n"/>
      <c r="CR624" s="24" t="n"/>
      <c r="CS624" s="24" t="inlineStr">
        <is>
          <t>True</t>
        </is>
      </c>
      <c r="CT624" s="24" t="n"/>
      <c r="CU624" s="24" t="n"/>
      <c r="CV624" s="24" t="n"/>
      <c r="CW624" s="24" t="n"/>
      <c r="CX624" s="24" t="n"/>
      <c r="CY624" s="24" t="n"/>
      <c r="CZ624" s="24" t="n"/>
      <c r="DA624" s="24" t="n"/>
      <c r="DB624" s="24" t="n"/>
      <c r="DC624" s="24" t="n"/>
      <c r="DD624" s="24" t="n"/>
      <c r="DE624" s="24" t="n"/>
      <c r="DF624" s="24" t="n"/>
      <c r="DG624" s="24" t="n"/>
      <c r="DH624" s="24" t="n"/>
      <c r="DI624" s="24" t="n"/>
      <c r="DJ624" s="24" t="inlineStr">
        <is>
          <t>0.519231</t>
        </is>
      </c>
      <c r="DK624" s="24" t="n"/>
      <c r="DL624" s="24" t="n"/>
      <c r="DM624" s="24" t="n"/>
      <c r="DN624" s="24" t="n"/>
      <c r="DO624" s="24" t="n"/>
      <c r="DP624" s="24" t="n"/>
      <c r="DQ624" s="24" t="inlineStr">
        <is>
          <t>{"artifact_hash": "1d168f11d221cd3c", "event_id": "401864572", "event_start_utc": "2026-09-26T23:30Z", "features": {"altitude_fatigue_penalty": 0.0, "away_team": "App State Mountaineers", "efficiency_gap": -0.391, "elo_away": 1425.0, "elo_home": 1510.8, "elo_home_win_prob": 0.7043, "event_id": "401864572", "game_start_utc": "2026-09-26T23:30Z", "home_field_advantage_points": 2.8, "home_team": "NC State Wolfpack", "is_dome": false, "is_fbs_vs_fcs": false, "is_neutral_site": false, "projected_away_points": 23.3, "projected_home_points": 29.5, "projected_margin_home": 6.2, "projected_possessions": 12.4, "projected_total": 52.8, "stadium_elevation_ft": 380, "travel_distance_miles": 168.0, "uncertainty": 0.18, "weather_total_adjustment": 0.0}, "historical_source_observation_times_verified": false, "inference_inputs": {"engine_source_sha256": "449ba2f0e86fa9c445730076a0e0bf100fb4914620be53c75c6f3bfe24298f3f", "mu_away": 23.3, "mu_home": 29.5,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89688437785892703976481412737680994333}, "uinteger": 0}, "spread_home_line": -12.5, "total_line": 55.5}, "market_type": "spread", "model_version": "cfb-spread-v1", "observed_at_utc": "2026-09-26T22:34:32.504573+00:00", "probabilities": {"away": 0.624667, "home": 0.375333, "push": 0.0}, "replay_scope": "Full precision score means, exact engine parameters and original RNG state; upstream feature construction not certified.", "schema": "cfb-joint-replay-v1", "snapshot_hash": "f3ff1626f2b386fa84d670d322ba7ab5c323dc9a7b41791f266946955bcd6c52", "sport": "NCAAF"}</t>
        </is>
      </c>
    </row>
    <row r="625" ht="36" customHeight="1">
      <c r="A625" s="24" t="inlineStr">
        <is>
          <t>80d8c1f4ba614320</t>
        </is>
      </c>
      <c r="B625" s="24" t="inlineStr">
        <is>
          <t>2026-09-26T22:34:32.504573Z</t>
        </is>
      </c>
      <c r="C625" s="24" t="inlineStr">
        <is>
          <t>2026-09-26T23:30Z</t>
        </is>
      </c>
      <c r="D625" s="24" t="inlineStr">
        <is>
          <t>401864572</t>
        </is>
      </c>
      <c r="E625" s="24" t="inlineStr">
        <is>
          <t>NCAAF</t>
        </is>
      </c>
      <c r="F625" s="24" t="inlineStr">
        <is>
          <t>App State Mountaineers</t>
        </is>
      </c>
      <c r="G625" s="24" t="inlineStr">
        <is>
          <t>NC State Wolfpack</t>
        </is>
      </c>
      <c r="H625" s="24" t="inlineStr">
        <is>
          <t>total</t>
        </is>
      </c>
      <c r="I625" s="24" t="inlineStr">
        <is>
          <t>under</t>
        </is>
      </c>
      <c r="J625" s="25" t="n">
        <v>55.5</v>
      </c>
      <c r="K625" s="24" t="inlineStr">
        <is>
          <t>espn_consensus</t>
        </is>
      </c>
      <c r="L625" s="26" t="n">
        <v>-110</v>
      </c>
      <c r="M625" s="27" t="n">
        <v>1.909091</v>
      </c>
      <c r="N625" s="28" t="n">
        <v>0.52381</v>
      </c>
      <c r="O625" s="28" t="n">
        <v>0.575467</v>
      </c>
      <c r="P625" s="28" t="n">
        <v>0.18</v>
      </c>
      <c r="Q625" s="28" t="n">
        <v>0.051657</v>
      </c>
      <c r="R625" s="26" t="n">
        <v>0</v>
      </c>
      <c r="S625" s="29" t="n">
        <v>1</v>
      </c>
      <c r="T625" s="24" t="inlineStr">
        <is>
          <t>cfb-total-v1</t>
        </is>
      </c>
      <c r="U625" s="24" t="inlineStr">
        <is>
          <t>settled</t>
        </is>
      </c>
      <c r="V625" s="24" t="inlineStr">
        <is>
          <t>loss</t>
        </is>
      </c>
      <c r="W625" s="26" t="n">
        <v>31</v>
      </c>
      <c r="X625" s="26" t="n">
        <v>41</v>
      </c>
      <c r="Y625" s="25" t="n"/>
      <c r="Z625" s="26" t="n"/>
      <c r="AA625" s="28" t="n"/>
      <c r="AB625" s="28" t="n"/>
      <c r="AC625" s="30" t="n">
        <v>-1</v>
      </c>
      <c r="AD625" s="24" t="inlineStr">
        <is>
          <t>2026-09-27T04:32:15.202528Z</t>
        </is>
      </c>
      <c r="AE625" s="31" t="inlineStr">
        <is>
          <t>Projected total 52.8 pts (Weather adj: +0.0 pts). Total line 55.5 -&gt; P(Over)=0.425, P(Under)=0.575, P(Push)=0.000.</t>
        </is>
      </c>
      <c r="AF625" s="31" t="inlineStr">
        <is>
          <t>College football model; multi-market (moneyline, spread, total).</t>
        </is>
      </c>
      <c r="AG625" s="24" t="inlineStr">
        <is>
          <t>review_required</t>
        </is>
      </c>
      <c r="AH625" s="24" t="n"/>
      <c r="AI625" s="31" t="n"/>
      <c r="AJ625" s="31" t="n"/>
      <c r="AK625" s="24" t="inlineStr">
        <is>
          <t>model_qualified</t>
        </is>
      </c>
      <c r="AL625" s="26" t="n">
        <v>4</v>
      </c>
      <c r="AM625" s="24" t="inlineStr">
        <is>
          <t>QUALIFIED_SHADOW_CALL</t>
        </is>
      </c>
      <c r="AN625" s="24" t="inlineStr">
        <is>
          <t>CALL</t>
        </is>
      </c>
      <c r="AO625" s="24" t="inlineStr">
        <is>
          <t>QUALIFIED</t>
        </is>
      </c>
      <c r="AP625" s="24" t="inlineStr">
        <is>
          <t>App State Mountaineers</t>
        </is>
      </c>
      <c r="AQ625" s="24" t="inlineStr">
        <is>
          <t>App State Mountaineers</t>
        </is>
      </c>
      <c r="AR625" s="24" t="inlineStr">
        <is>
          <t>App State Mountaineers</t>
        </is>
      </c>
      <c r="AS625" s="24" t="inlineStr">
        <is>
          <t>NC State Wolfpack</t>
        </is>
      </c>
      <c r="AT625" s="24" t="inlineStr">
        <is>
          <t>NC State Wolfpack</t>
        </is>
      </c>
      <c r="AU625" s="24" t="inlineStr">
        <is>
          <t>NC State Wolfpack</t>
        </is>
      </c>
      <c r="AV625" s="24" t="n"/>
      <c r="AW625" s="24" t="n"/>
      <c r="AX625" s="24" t="inlineStr">
        <is>
          <t>statistical_model</t>
        </is>
      </c>
      <c r="AY625" s="24" t="n"/>
      <c r="AZ625" s="24" t="inlineStr">
        <is>
          <t>shadow_qualified</t>
        </is>
      </c>
      <c r="BA625" s="24" t="inlineStr">
        <is>
          <t>1d168f11d221cd3c</t>
        </is>
      </c>
      <c r="BB625" s="24" t="inlineStr">
        <is>
          <t>cfb_key_number_engine</t>
        </is>
      </c>
      <c r="BC625" s="24" t="inlineStr">
        <is>
          <t>cfb-total-v1</t>
        </is>
      </c>
      <c r="BD625" s="24" t="inlineStr">
        <is>
          <t>1d168f11d221cd3c</t>
        </is>
      </c>
      <c r="BE625" s="24" t="inlineStr">
        <is>
          <t>cfb-v1</t>
        </is>
      </c>
      <c r="BF625" s="24" t="inlineStr">
        <is>
          <t>1</t>
        </is>
      </c>
      <c r="BG625" s="24" t="inlineStr">
        <is>
          <t>1d168f11d221cd3c</t>
        </is>
      </c>
      <c r="BH625" s="24" t="inlineStr">
        <is>
          <t>2026-09-26T22:34:32.504573+00:00</t>
        </is>
      </c>
      <c r="BI625" s="24" t="inlineStr">
        <is>
          <t>["same_event","same_team_same_day","same_league_same_day"]</t>
        </is>
      </c>
      <c r="BJ625" s="25" t="n">
        <v>55.5</v>
      </c>
      <c r="BK625" s="26" t="n">
        <v>-110</v>
      </c>
      <c r="BL625" s="27" t="n">
        <v>1.909091</v>
      </c>
      <c r="BM625" s="28" t="n">
        <v>0.52381</v>
      </c>
      <c r="BN625" s="28" t="n"/>
      <c r="BO625" s="28" t="n"/>
      <c r="BP625" s="25" t="n"/>
      <c r="BQ625" s="27" t="n"/>
      <c r="BR625" s="28" t="n"/>
      <c r="BS625" s="28" t="n"/>
      <c r="BT625" s="28" t="n"/>
      <c r="BU625" s="25" t="n"/>
      <c r="BV625" s="29" t="n"/>
      <c r="BW625" s="24" t="n"/>
      <c r="BX625" s="30" t="n"/>
      <c r="BY625" s="27" t="n"/>
      <c r="BZ625" s="24" t="n"/>
      <c r="CA625" s="31" t="n"/>
      <c r="CB625" s="24" t="n"/>
      <c r="CC625" s="24" t="n"/>
      <c r="CD625" s="24" t="n"/>
      <c r="CE625" s="24" t="n"/>
      <c r="CF625" s="24" t="n"/>
      <c r="CG625" s="24" t="n"/>
      <c r="CH625" s="24" t="n"/>
      <c r="CI625" s="24" t="n"/>
      <c r="CJ625" s="24" t="n"/>
      <c r="CK625" s="24" t="n"/>
      <c r="CL625" s="24" t="n"/>
      <c r="CM625" s="24" t="n"/>
      <c r="CN625" s="24" t="n"/>
      <c r="CO625" s="24" t="n"/>
      <c r="CP625" s="24" t="n"/>
      <c r="CQ625" s="24" t="n"/>
      <c r="CR625" s="24" t="n"/>
      <c r="CS625" s="24" t="inlineStr">
        <is>
          <t>True</t>
        </is>
      </c>
      <c r="CT625" s="24" t="n"/>
      <c r="CU625" s="24" t="n"/>
      <c r="CV625" s="24" t="n"/>
      <c r="CW625" s="24" t="n"/>
      <c r="CX625" s="24" t="n"/>
      <c r="CY625" s="24" t="n"/>
      <c r="CZ625" s="24" t="n"/>
      <c r="DA625" s="24" t="n"/>
      <c r="DB625" s="24" t="n"/>
      <c r="DC625" s="24" t="n"/>
      <c r="DD625" s="24" t="n"/>
      <c r="DE625" s="24" t="n"/>
      <c r="DF625" s="24" t="n"/>
      <c r="DG625" s="24" t="n"/>
      <c r="DH625" s="24" t="n"/>
      <c r="DI625" s="24" t="n"/>
      <c r="DJ625" s="24" t="inlineStr">
        <is>
          <t>0.52381</t>
        </is>
      </c>
      <c r="DK625" s="24" t="n"/>
      <c r="DL625" s="24" t="n"/>
      <c r="DM625" s="24" t="n"/>
      <c r="DN625" s="24" t="n"/>
      <c r="DO625" s="24" t="n"/>
      <c r="DP625" s="24" t="n"/>
      <c r="DQ625" s="24" t="inlineStr">
        <is>
          <t>{"artifact_hash": "1d168f11d221cd3c", "event_id": "401864572", "event_start_utc": "2026-09-26T23:30Z", "features": {"altitude_fatigue_penalty": 0.0, "away_team": "App State Mountaineers", "efficiency_gap": -0.391, "elo_away": 1425.0, "elo_home": 1510.8, "elo_home_win_prob": 0.7043, "event_id": "401864572", "game_start_utc": "2026-09-26T23:30Z", "home_field_advantage_points": 2.8, "home_team": "NC State Wolfpack", "is_dome": false, "is_fbs_vs_fcs": false, "is_neutral_site": false, "projected_away_points": 23.3, "projected_home_points": 29.5, "projected_margin_home": 6.2, "projected_possessions": 12.4, "projected_total": 52.8, "stadium_elevation_ft": 380, "travel_distance_miles": 168.0, "uncertainty": 0.18, "weather_total_adjustment": 0.0}, "historical_source_observation_times_verified": false, "inference_inputs": {"engine_source_sha256": "449ba2f0e86fa9c445730076a0e0bf100fb4914620be53c75c6f3bfe24298f3f", "mu_away": 23.3, "mu_home": 29.5,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89688437785892703976481412737680994333}, "uinteger": 0}, "spread_home_line": -12.5, "total_line": 55.5}, "market_type": "total", "model_version": "cfb-total-v1", "observed_at_utc": "2026-09-26T22:34:32.504573+00:00", "probabilities": {"over": 0.424533, "push": 0.0, "under": 0.575467}, "replay_scope": "Full precision score means, exact engine parameters and original RNG state; upstream feature construction not certified.", "schema": "cfb-joint-replay-v1", "snapshot_hash": "aae408229094d4e68c34c187f46ae67335b976cc410634a373c74b8bf0322a13", "sport": "NCAAF"}</t>
        </is>
      </c>
    </row>
    <row r="626" ht="36" customHeight="1">
      <c r="A626" s="24" t="inlineStr">
        <is>
          <t>77ae5d9d705a4352</t>
        </is>
      </c>
      <c r="B626" s="24" t="inlineStr">
        <is>
          <t>2026-09-26T22:34:32.504573Z</t>
        </is>
      </c>
      <c r="C626" s="24" t="inlineStr">
        <is>
          <t>2026-09-26T23:45Z</t>
        </is>
      </c>
      <c r="D626" s="24" t="inlineStr">
        <is>
          <t>401856703</t>
        </is>
      </c>
      <c r="E626" s="24" t="inlineStr">
        <is>
          <t>NCAAF</t>
        </is>
      </c>
      <c r="F626" s="24" t="inlineStr">
        <is>
          <t>Missouri Tigers</t>
        </is>
      </c>
      <c r="G626" s="24" t="inlineStr">
        <is>
          <t>Mississippi State Bulldogs</t>
        </is>
      </c>
      <c r="H626" s="24" t="inlineStr">
        <is>
          <t>moneyline</t>
        </is>
      </c>
      <c r="I626" s="24" t="inlineStr">
        <is>
          <t>away</t>
        </is>
      </c>
      <c r="J626" s="25" t="n"/>
      <c r="K626" s="24" t="inlineStr">
        <is>
          <t>espn_consensus</t>
        </is>
      </c>
      <c r="L626" s="26" t="n">
        <v>145</v>
      </c>
      <c r="M626" s="27" t="n">
        <v>2.45</v>
      </c>
      <c r="N626" s="28" t="n">
        <v>0.408163</v>
      </c>
      <c r="O626" s="28" t="n">
        <v>0.59096</v>
      </c>
      <c r="P626" s="28" t="n">
        <v>0.18</v>
      </c>
      <c r="Q626" s="28" t="n">
        <v>0.182797</v>
      </c>
      <c r="R626" s="26" t="n">
        <v>33</v>
      </c>
      <c r="S626" s="29" t="n">
        <v>1</v>
      </c>
      <c r="T626" s="24" t="inlineStr">
        <is>
          <t>college-football-v1</t>
        </is>
      </c>
      <c r="U626" s="24" t="inlineStr">
        <is>
          <t>settled</t>
        </is>
      </c>
      <c r="V626" s="24" t="inlineStr">
        <is>
          <t>loss</t>
        </is>
      </c>
      <c r="W626" s="26" t="n">
        <v>24</v>
      </c>
      <c r="X626" s="26" t="n">
        <v>31</v>
      </c>
      <c r="Y626" s="25" t="n"/>
      <c r="Z626" s="26" t="n"/>
      <c r="AA626" s="28" t="n"/>
      <c r="AB626" s="28" t="n"/>
      <c r="AC626" s="30" t="n">
        <v>-1</v>
      </c>
      <c r="AD626" s="24" t="inlineStr">
        <is>
          <t>2026-09-27T04:32:15.788725Z</t>
        </is>
      </c>
      <c r="AE626" s="31" t="inlineStr">
        <is>
          <t>CFB Joint Model (negative_binomial): proj score Missouri Tigers 30.7 @ Mississippi State Bulldogs 26.4 (Margin -4.4). Possessions: 12.4, HFA: +2.8 pts.</t>
        </is>
      </c>
      <c r="AF626" s="31" t="inlineStr">
        <is>
          <t>College football model; multi-market (moneyline, spread, total).</t>
        </is>
      </c>
      <c r="AG626" s="24" t="inlineStr">
        <is>
          <t>review_required</t>
        </is>
      </c>
      <c r="AH626" s="24" t="n"/>
      <c r="AI626" s="31" t="n"/>
      <c r="AJ626" s="31" t="n"/>
      <c r="AK626" s="24" t="inlineStr">
        <is>
          <t>model_qualified</t>
        </is>
      </c>
      <c r="AL626" s="26" t="n">
        <v>4</v>
      </c>
      <c r="AM626" s="24" t="inlineStr">
        <is>
          <t>QUALIFIED_SHADOW_CALL</t>
        </is>
      </c>
      <c r="AN626" s="24" t="inlineStr">
        <is>
          <t>CALL</t>
        </is>
      </c>
      <c r="AO626" s="24" t="inlineStr">
        <is>
          <t>QUALIFIED</t>
        </is>
      </c>
      <c r="AP626" s="24" t="inlineStr">
        <is>
          <t>Missouri Tigers</t>
        </is>
      </c>
      <c r="AQ626" s="24" t="inlineStr">
        <is>
          <t>Missouri Tigers</t>
        </is>
      </c>
      <c r="AR626" s="24" t="inlineStr">
        <is>
          <t>Missouri Tigers</t>
        </is>
      </c>
      <c r="AS626" s="24" t="inlineStr">
        <is>
          <t>Mississippi State Bulldogs</t>
        </is>
      </c>
      <c r="AT626" s="24" t="inlineStr">
        <is>
          <t>Mississippi State Bulldogs</t>
        </is>
      </c>
      <c r="AU626" s="24" t="inlineStr">
        <is>
          <t>Mississippi State Bulldogs</t>
        </is>
      </c>
      <c r="AV626" s="24" t="n"/>
      <c r="AW626" s="24" t="n"/>
      <c r="AX626" s="24" t="inlineStr">
        <is>
          <t>statistical_model</t>
        </is>
      </c>
      <c r="AY626" s="24" t="n"/>
      <c r="AZ626" s="24" t="inlineStr">
        <is>
          <t>shadow_qualified</t>
        </is>
      </c>
      <c r="BA626" s="24" t="inlineStr">
        <is>
          <t>1d168f11d221cd3c</t>
        </is>
      </c>
      <c r="BB626" s="24" t="inlineStr">
        <is>
          <t>cfb_key_number_engine</t>
        </is>
      </c>
      <c r="BC626" s="24" t="inlineStr">
        <is>
          <t>college-football-v1</t>
        </is>
      </c>
      <c r="BD626" s="24" t="inlineStr">
        <is>
          <t>1d168f11d221cd3c</t>
        </is>
      </c>
      <c r="BE626" s="24" t="inlineStr">
        <is>
          <t>cfb-v1</t>
        </is>
      </c>
      <c r="BF626" s="24" t="inlineStr">
        <is>
          <t>1</t>
        </is>
      </c>
      <c r="BG626" s="24" t="inlineStr">
        <is>
          <t>1d168f11d221cd3c</t>
        </is>
      </c>
      <c r="BH626" s="24" t="inlineStr">
        <is>
          <t>2026-09-26T22:34:32.504573+00:00</t>
        </is>
      </c>
      <c r="BI626" s="24" t="inlineStr">
        <is>
          <t>["same_event","same_team_same_day","same_league_same_day"]</t>
        </is>
      </c>
      <c r="BJ626" s="25" t="n"/>
      <c r="BK626" s="26" t="n">
        <v>145</v>
      </c>
      <c r="BL626" s="27" t="n">
        <v>2.45</v>
      </c>
      <c r="BM626" s="28" t="n">
        <v>0.408163</v>
      </c>
      <c r="BN626" s="28" t="n"/>
      <c r="BO626" s="28" t="n"/>
      <c r="BP626" s="25" t="n"/>
      <c r="BQ626" s="27" t="n"/>
      <c r="BR626" s="28" t="n"/>
      <c r="BS626" s="28" t="n"/>
      <c r="BT626" s="28" t="n"/>
      <c r="BU626" s="25" t="n"/>
      <c r="BV626" s="29" t="n"/>
      <c r="BW626" s="24" t="n"/>
      <c r="BX626" s="30" t="n"/>
      <c r="BY626" s="27" t="n"/>
      <c r="BZ626" s="24" t="n"/>
      <c r="CA626" s="31" t="n"/>
      <c r="CB626" s="24" t="n"/>
      <c r="CC626" s="24" t="n"/>
      <c r="CD626" s="24" t="n"/>
      <c r="CE626" s="24" t="n"/>
      <c r="CF626" s="24" t="n"/>
      <c r="CG626" s="24" t="n"/>
      <c r="CH626" s="24" t="n"/>
      <c r="CI626" s="24" t="n"/>
      <c r="CJ626" s="24" t="n"/>
      <c r="CK626" s="24" t="n"/>
      <c r="CL626" s="24" t="n"/>
      <c r="CM626" s="24" t="n"/>
      <c r="CN626" s="24" t="n"/>
      <c r="CO626" s="24" t="n"/>
      <c r="CP626" s="24" t="n"/>
      <c r="CQ626" s="24" t="n"/>
      <c r="CR626" s="24" t="n"/>
      <c r="CS626" s="24" t="inlineStr">
        <is>
          <t>True</t>
        </is>
      </c>
      <c r="CT626" s="24" t="n"/>
      <c r="CU626" s="24" t="n"/>
      <c r="CV626" s="24" t="n"/>
      <c r="CW626" s="24" t="n"/>
      <c r="CX626" s="24" t="n"/>
      <c r="CY626" s="24" t="n"/>
      <c r="CZ626" s="24" t="n"/>
      <c r="DA626" s="24" t="n"/>
      <c r="DB626" s="24" t="n"/>
      <c r="DC626" s="24" t="n"/>
      <c r="DD626" s="24" t="n"/>
      <c r="DE626" s="24" t="n"/>
      <c r="DF626" s="24" t="n"/>
      <c r="DG626" s="24" t="n"/>
      <c r="DH626" s="24" t="n"/>
      <c r="DI626" s="24" t="n"/>
      <c r="DJ626" s="24" t="inlineStr">
        <is>
          <t>0.408163</t>
        </is>
      </c>
      <c r="DK626" s="24" t="n"/>
      <c r="DL626" s="24" t="n"/>
      <c r="DM626" s="24" t="n"/>
      <c r="DN626" s="24" t="n"/>
      <c r="DO626" s="24" t="n"/>
      <c r="DP626" s="24" t="n"/>
      <c r="DQ626" s="24" t="inlineStr">
        <is>
          <t>{"artifact_hash": "1d168f11d221cd3c", "event_id": "401856703", "event_start_utc": "2026-09-26T23:45Z", "features": {"altitude_fatigue_penalty": 0.0, "away_team": "Missouri Tigers", "efficiency_gap": 1.568, "elo_away": 1560.8, "elo_home": 1388.2, "elo_home_win_prob": 0.3499, "event_id": "401856703", "game_start_utc": "2026-09-26T23:45Z", "home_field_advantage_points": 2.8, "home_team": "Mississippi State Bulldogs", "is_dome": false, "is_fbs_vs_fcs": false, "is_neutral_site": false, "projected_away_points": 30.7, "projected_home_points": 26.4, "projected_margin_home": -4.4, "projected_possessions": 12.4, "projected_total": 57.1, "stadium_elevation_ft": 360, "travel_distance_miles": 427.0, "uncertainty": 0.18, "weather_total_adjustment": 0.0}, "historical_source_observation_times_verified": false, "inference_inputs": {"engine_source_sha256": "449ba2f0e86fa9c445730076a0e0bf100fb4914620be53c75c6f3bfe24298f3f", "mu_away": 30.7, "mu_home": 26.4,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183828829465884609552877429408546330814}, "uinteger": 0}, "spread_home_line": -3.5, "total_line": 58.5}, "market_type": "moneyline", "model_version": "college-football-v1", "observed_at_utc": "2026-09-26T22:34:32.504573+00:00", "probabilities": {"away": 0.59096, "home": 0.40904}, "replay_scope": "Full precision score means, exact engine parameters and original RNG state; upstream feature construction not certified.", "schema": "cfb-joint-replay-v1", "snapshot_hash": "a41defa9a686cf47e55d29ce136ef52812b509855555ddd51126762ef30784be", "sport": "NCAAF"}</t>
        </is>
      </c>
    </row>
    <row r="627" ht="36" customHeight="1">
      <c r="A627" s="24" t="inlineStr">
        <is>
          <t>845783e4d4fd4d32</t>
        </is>
      </c>
      <c r="B627" s="24" t="inlineStr">
        <is>
          <t>2026-09-26T22:34:32.504573Z</t>
        </is>
      </c>
      <c r="C627" s="24" t="inlineStr">
        <is>
          <t>2026-09-26T23:45Z</t>
        </is>
      </c>
      <c r="D627" s="24" t="inlineStr">
        <is>
          <t>401856703</t>
        </is>
      </c>
      <c r="E627" s="24" t="inlineStr">
        <is>
          <t>NCAAF</t>
        </is>
      </c>
      <c r="F627" s="24" t="inlineStr">
        <is>
          <t>Missouri Tigers</t>
        </is>
      </c>
      <c r="G627" s="24" t="inlineStr">
        <is>
          <t>Mississippi State Bulldogs</t>
        </is>
      </c>
      <c r="H627" s="24" t="inlineStr">
        <is>
          <t>spread</t>
        </is>
      </c>
      <c r="I627" s="24" t="inlineStr">
        <is>
          <t>away</t>
        </is>
      </c>
      <c r="J627" s="25" t="n">
        <v>3.5</v>
      </c>
      <c r="K627" s="24" t="inlineStr">
        <is>
          <t>espn_consensus</t>
        </is>
      </c>
      <c r="L627" s="26" t="n">
        <v>-112</v>
      </c>
      <c r="M627" s="27" t="n">
        <v>1.892857</v>
      </c>
      <c r="N627" s="28" t="n">
        <v>0.528302</v>
      </c>
      <c r="O627" s="28" t="n">
        <v>0.659067</v>
      </c>
      <c r="P627" s="28" t="n">
        <v>0.18</v>
      </c>
      <c r="Q627" s="28" t="n">
        <v>0.130765</v>
      </c>
      <c r="R627" s="26" t="n">
        <v>7</v>
      </c>
      <c r="S627" s="29" t="n">
        <v>1</v>
      </c>
      <c r="T627" s="24" t="inlineStr">
        <is>
          <t>cfb-spread-v1</t>
        </is>
      </c>
      <c r="U627" s="24" t="inlineStr">
        <is>
          <t>settled</t>
        </is>
      </c>
      <c r="V627" s="24" t="inlineStr">
        <is>
          <t>loss</t>
        </is>
      </c>
      <c r="W627" s="26" t="n">
        <v>24</v>
      </c>
      <c r="X627" s="26" t="n">
        <v>31</v>
      </c>
      <c r="Y627" s="25" t="n"/>
      <c r="Z627" s="26" t="n"/>
      <c r="AA627" s="28" t="n"/>
      <c r="AB627" s="28" t="n"/>
      <c r="AC627" s="30" t="n">
        <v>-1</v>
      </c>
      <c r="AD627" s="24" t="inlineStr">
        <is>
          <t>2026-09-27T04:32:16.302783Z</t>
        </is>
      </c>
      <c r="AE627" s="31" t="inlineStr">
        <is>
          <t>Projected home margin -4.4 pts. Spread: Home -3.5 / Away +3.5 -&gt; P(Away cover)=0.659, P(Home cover)=0.341, P(Push)=0.000.</t>
        </is>
      </c>
      <c r="AF627" s="31" t="inlineStr">
        <is>
          <t>College football model; multi-market (moneyline, spread, total).</t>
        </is>
      </c>
      <c r="AG627" s="24" t="inlineStr">
        <is>
          <t>review_required</t>
        </is>
      </c>
      <c r="AH627" s="24" t="n"/>
      <c r="AI627" s="31" t="n"/>
      <c r="AJ627" s="31" t="n"/>
      <c r="AK627" s="24" t="inlineStr">
        <is>
          <t>model_qualified</t>
        </is>
      </c>
      <c r="AL627" s="26" t="n">
        <v>4</v>
      </c>
      <c r="AM627" s="24" t="inlineStr">
        <is>
          <t>QUALIFIED_SHADOW_CALL</t>
        </is>
      </c>
      <c r="AN627" s="24" t="inlineStr">
        <is>
          <t>CALL</t>
        </is>
      </c>
      <c r="AO627" s="24" t="inlineStr">
        <is>
          <t>QUALIFIED</t>
        </is>
      </c>
      <c r="AP627" s="24" t="inlineStr">
        <is>
          <t>Missouri Tigers</t>
        </is>
      </c>
      <c r="AQ627" s="24" t="inlineStr">
        <is>
          <t>Missouri Tigers</t>
        </is>
      </c>
      <c r="AR627" s="24" t="inlineStr">
        <is>
          <t>Missouri Tigers</t>
        </is>
      </c>
      <c r="AS627" s="24" t="inlineStr">
        <is>
          <t>Mississippi State Bulldogs</t>
        </is>
      </c>
      <c r="AT627" s="24" t="inlineStr">
        <is>
          <t>Mississippi State Bulldogs</t>
        </is>
      </c>
      <c r="AU627" s="24" t="inlineStr">
        <is>
          <t>Mississippi State Bulldogs</t>
        </is>
      </c>
      <c r="AV627" s="24" t="n"/>
      <c r="AW627" s="24" t="n"/>
      <c r="AX627" s="24" t="inlineStr">
        <is>
          <t>statistical_model</t>
        </is>
      </c>
      <c r="AY627" s="24" t="n"/>
      <c r="AZ627" s="24" t="inlineStr">
        <is>
          <t>shadow_qualified</t>
        </is>
      </c>
      <c r="BA627" s="24" t="inlineStr">
        <is>
          <t>1d168f11d221cd3c</t>
        </is>
      </c>
      <c r="BB627" s="24" t="inlineStr">
        <is>
          <t>cfb_key_number_engine</t>
        </is>
      </c>
      <c r="BC627" s="24" t="inlineStr">
        <is>
          <t>cfb-spread-v1</t>
        </is>
      </c>
      <c r="BD627" s="24" t="inlineStr">
        <is>
          <t>1d168f11d221cd3c</t>
        </is>
      </c>
      <c r="BE627" s="24" t="inlineStr">
        <is>
          <t>cfb-v1</t>
        </is>
      </c>
      <c r="BF627" s="24" t="inlineStr">
        <is>
          <t>1</t>
        </is>
      </c>
      <c r="BG627" s="24" t="inlineStr">
        <is>
          <t>1d168f11d221cd3c</t>
        </is>
      </c>
      <c r="BH627" s="24" t="inlineStr">
        <is>
          <t>2026-09-26T22:34:32.504573+00:00</t>
        </is>
      </c>
      <c r="BI627" s="24" t="inlineStr">
        <is>
          <t>["same_event","same_team_same_day","same_league_same_day"]</t>
        </is>
      </c>
      <c r="BJ627" s="25" t="n">
        <v>3.5</v>
      </c>
      <c r="BK627" s="26" t="n">
        <v>-112</v>
      </c>
      <c r="BL627" s="27" t="n">
        <v>1.892857</v>
      </c>
      <c r="BM627" s="28" t="n">
        <v>0.528302</v>
      </c>
      <c r="BN627" s="28" t="n"/>
      <c r="BO627" s="28" t="n"/>
      <c r="BP627" s="25" t="n"/>
      <c r="BQ627" s="27" t="n"/>
      <c r="BR627" s="28" t="n"/>
      <c r="BS627" s="28" t="n"/>
      <c r="BT627" s="28" t="n"/>
      <c r="BU627" s="25" t="n"/>
      <c r="BV627" s="29" t="n"/>
      <c r="BW627" s="24" t="n"/>
      <c r="BX627" s="30" t="n"/>
      <c r="BY627" s="27" t="n"/>
      <c r="BZ627" s="24" t="n"/>
      <c r="CA627" s="31" t="n"/>
      <c r="CB627" s="24" t="n"/>
      <c r="CC627" s="24" t="n"/>
      <c r="CD627" s="24" t="n"/>
      <c r="CE627" s="24" t="n"/>
      <c r="CF627" s="24" t="n"/>
      <c r="CG627" s="24" t="n"/>
      <c r="CH627" s="24" t="n"/>
      <c r="CI627" s="24" t="n"/>
      <c r="CJ627" s="24" t="n"/>
      <c r="CK627" s="24" t="n"/>
      <c r="CL627" s="24" t="n"/>
      <c r="CM627" s="24" t="n"/>
      <c r="CN627" s="24" t="n"/>
      <c r="CO627" s="24" t="n"/>
      <c r="CP627" s="24" t="n"/>
      <c r="CQ627" s="24" t="n"/>
      <c r="CR627" s="24" t="n"/>
      <c r="CS627" s="24" t="inlineStr">
        <is>
          <t>True</t>
        </is>
      </c>
      <c r="CT627" s="24" t="n"/>
      <c r="CU627" s="24" t="n"/>
      <c r="CV627" s="24" t="n"/>
      <c r="CW627" s="24" t="n"/>
      <c r="CX627" s="24" t="n"/>
      <c r="CY627" s="24" t="n"/>
      <c r="CZ627" s="24" t="n"/>
      <c r="DA627" s="24" t="n"/>
      <c r="DB627" s="24" t="n"/>
      <c r="DC627" s="24" t="n"/>
      <c r="DD627" s="24" t="n"/>
      <c r="DE627" s="24" t="n"/>
      <c r="DF627" s="24" t="n"/>
      <c r="DG627" s="24" t="n"/>
      <c r="DH627" s="24" t="n"/>
      <c r="DI627" s="24" t="n"/>
      <c r="DJ627" s="24" t="inlineStr">
        <is>
          <t>0.528302</t>
        </is>
      </c>
      <c r="DK627" s="24" t="n"/>
      <c r="DL627" s="24" t="n"/>
      <c r="DM627" s="24" t="n"/>
      <c r="DN627" s="24" t="n"/>
      <c r="DO627" s="24" t="n"/>
      <c r="DP627" s="24" t="n"/>
      <c r="DQ627" s="24" t="inlineStr">
        <is>
          <t>{"artifact_hash": "1d168f11d221cd3c", "event_id": "401856703", "event_start_utc": "2026-09-26T23:45Z", "features": {"altitude_fatigue_penalty": 0.0, "away_team": "Missouri Tigers", "efficiency_gap": 1.568, "elo_away": 1560.8, "elo_home": 1388.2, "elo_home_win_prob": 0.3499, "event_id": "401856703", "game_start_utc": "2026-09-26T23:45Z", "home_field_advantage_points": 2.8, "home_team": "Mississippi State Bulldogs", "is_dome": false, "is_fbs_vs_fcs": false, "is_neutral_site": false, "projected_away_points": 30.7, "projected_home_points": 26.4, "projected_margin_home": -4.4, "projected_possessions": 12.4, "projected_total": 57.1, "stadium_elevation_ft": 360, "travel_distance_miles": 427.0, "uncertainty": 0.18, "weather_total_adjustment": 0.0}, "historical_source_observation_times_verified": false, "inference_inputs": {"engine_source_sha256": "449ba2f0e86fa9c445730076a0e0bf100fb4914620be53c75c6f3bfe24298f3f", "mu_away": 30.7, "mu_home": 26.4,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183828829465884609552877429408546330814}, "uinteger": 0}, "spread_home_line": -3.5, "total_line": 58.5}, "market_type": "spread", "model_version": "cfb-spread-v1", "observed_at_utc": "2026-09-26T22:34:32.504573+00:00", "probabilities": {"away": 0.659067, "home": 0.340933, "push": 0.0}, "replay_scope": "Full precision score means, exact engine parameters and original RNG state; upstream feature construction not certified.", "schema": "cfb-joint-replay-v1", "snapshot_hash": "c98a15f65eff8ab3c46398df8f8d6df4b10f511f0fa32503b9c2980e67d5c28d", "sport": "NCAAF"}</t>
        </is>
      </c>
    </row>
    <row r="628" ht="36" customHeight="1">
      <c r="A628" s="24" t="inlineStr">
        <is>
          <t>09094ec82d3c4e21</t>
        </is>
      </c>
      <c r="B628" s="24" t="inlineStr">
        <is>
          <t>2026-09-26T22:34:32.504573Z</t>
        </is>
      </c>
      <c r="C628" s="24" t="inlineStr">
        <is>
          <t>2026-09-26T23:45Z</t>
        </is>
      </c>
      <c r="D628" s="24" t="inlineStr">
        <is>
          <t>401856703</t>
        </is>
      </c>
      <c r="E628" s="24" t="inlineStr">
        <is>
          <t>NCAAF</t>
        </is>
      </c>
      <c r="F628" s="24" t="inlineStr">
        <is>
          <t>Missouri Tigers</t>
        </is>
      </c>
      <c r="G628" s="24" t="inlineStr">
        <is>
          <t>Mississippi State Bulldogs</t>
        </is>
      </c>
      <c r="H628" s="24" t="inlineStr">
        <is>
          <t>total</t>
        </is>
      </c>
      <c r="I628" s="24" t="inlineStr">
        <is>
          <t>under</t>
        </is>
      </c>
      <c r="J628" s="25" t="n">
        <v>58.5</v>
      </c>
      <c r="K628" s="24" t="inlineStr">
        <is>
          <t>espn_consensus</t>
        </is>
      </c>
      <c r="L628" s="26" t="n">
        <v>-108</v>
      </c>
      <c r="M628" s="27" t="n">
        <v>1.925926</v>
      </c>
      <c r="N628" s="28" t="n">
        <v>0.519231</v>
      </c>
      <c r="O628" s="28" t="n">
        <v>0.551333</v>
      </c>
      <c r="P628" s="28" t="n">
        <v>0.18</v>
      </c>
      <c r="Q628" s="28" t="n">
        <v>0.032102</v>
      </c>
      <c r="R628" s="26" t="n">
        <v>0</v>
      </c>
      <c r="S628" s="29" t="n">
        <v>1</v>
      </c>
      <c r="T628" s="24" t="inlineStr">
        <is>
          <t>cfb-total-v1</t>
        </is>
      </c>
      <c r="U628" s="24" t="inlineStr">
        <is>
          <t>settled</t>
        </is>
      </c>
      <c r="V628" s="24" t="inlineStr">
        <is>
          <t>win</t>
        </is>
      </c>
      <c r="W628" s="26" t="n">
        <v>24</v>
      </c>
      <c r="X628" s="26" t="n">
        <v>31</v>
      </c>
      <c r="Y628" s="25" t="n"/>
      <c r="Z628" s="26" t="n"/>
      <c r="AA628" s="28" t="n"/>
      <c r="AB628" s="28" t="n"/>
      <c r="AC628" s="30" t="n">
        <v>0.9258999999999999</v>
      </c>
      <c r="AD628" s="24" t="inlineStr">
        <is>
          <t>2026-09-27T04:32:16.947291Z</t>
        </is>
      </c>
      <c r="AE628" s="31" t="inlineStr">
        <is>
          <t>Projected total 57.1 pts (Weather adj: +0.0 pts). Total line 58.5 -&gt; P(Over)=0.449, P(Under)=0.551, P(Push)=0.000.</t>
        </is>
      </c>
      <c r="AF628" s="31" t="inlineStr">
        <is>
          <t>College football model; multi-market (moneyline, spread, total).</t>
        </is>
      </c>
      <c r="AG628" s="24" t="inlineStr">
        <is>
          <t>not_applicable</t>
        </is>
      </c>
      <c r="AH628" s="24" t="n"/>
      <c r="AI628" s="31" t="n"/>
      <c r="AJ628" s="31" t="n"/>
      <c r="AK628" s="24" t="inlineStr">
        <is>
          <t>model_qualified</t>
        </is>
      </c>
      <c r="AL628" s="26" t="n">
        <v>4</v>
      </c>
      <c r="AM628" s="24" t="inlineStr">
        <is>
          <t>QUALIFIED_SHADOW_CALL</t>
        </is>
      </c>
      <c r="AN628" s="24" t="inlineStr">
        <is>
          <t>CALL</t>
        </is>
      </c>
      <c r="AO628" s="24" t="inlineStr">
        <is>
          <t>QUALIFIED</t>
        </is>
      </c>
      <c r="AP628" s="24" t="inlineStr">
        <is>
          <t>Missouri Tigers</t>
        </is>
      </c>
      <c r="AQ628" s="24" t="inlineStr">
        <is>
          <t>Missouri Tigers</t>
        </is>
      </c>
      <c r="AR628" s="24" t="inlineStr">
        <is>
          <t>Missouri Tigers</t>
        </is>
      </c>
      <c r="AS628" s="24" t="inlineStr">
        <is>
          <t>Mississippi State Bulldogs</t>
        </is>
      </c>
      <c r="AT628" s="24" t="inlineStr">
        <is>
          <t>Mississippi State Bulldogs</t>
        </is>
      </c>
      <c r="AU628" s="24" t="inlineStr">
        <is>
          <t>Mississippi State Bulldogs</t>
        </is>
      </c>
      <c r="AV628" s="24" t="n"/>
      <c r="AW628" s="24" t="n"/>
      <c r="AX628" s="24" t="inlineStr">
        <is>
          <t>statistical_model</t>
        </is>
      </c>
      <c r="AY628" s="24" t="n"/>
      <c r="AZ628" s="24" t="inlineStr">
        <is>
          <t>shadow_qualified</t>
        </is>
      </c>
      <c r="BA628" s="24" t="inlineStr">
        <is>
          <t>1d168f11d221cd3c</t>
        </is>
      </c>
      <c r="BB628" s="24" t="inlineStr">
        <is>
          <t>cfb_key_number_engine</t>
        </is>
      </c>
      <c r="BC628" s="24" t="inlineStr">
        <is>
          <t>cfb-total-v1</t>
        </is>
      </c>
      <c r="BD628" s="24" t="inlineStr">
        <is>
          <t>1d168f11d221cd3c</t>
        </is>
      </c>
      <c r="BE628" s="24" t="inlineStr">
        <is>
          <t>cfb-v1</t>
        </is>
      </c>
      <c r="BF628" s="24" t="inlineStr">
        <is>
          <t>1</t>
        </is>
      </c>
      <c r="BG628" s="24" t="inlineStr">
        <is>
          <t>1d168f11d221cd3c</t>
        </is>
      </c>
      <c r="BH628" s="24" t="inlineStr">
        <is>
          <t>2026-09-26T22:34:32.504573+00:00</t>
        </is>
      </c>
      <c r="BI628" s="24" t="inlineStr">
        <is>
          <t>["same_event","same_team_same_day","same_league_same_day"]</t>
        </is>
      </c>
      <c r="BJ628" s="25" t="n">
        <v>58.5</v>
      </c>
      <c r="BK628" s="26" t="n">
        <v>-108</v>
      </c>
      <c r="BL628" s="27" t="n">
        <v>1.925926</v>
      </c>
      <c r="BM628" s="28" t="n">
        <v>0.519231</v>
      </c>
      <c r="BN628" s="28" t="n"/>
      <c r="BO628" s="28" t="n"/>
      <c r="BP628" s="25" t="n"/>
      <c r="BQ628" s="27" t="n"/>
      <c r="BR628" s="28" t="n"/>
      <c r="BS628" s="28" t="n"/>
      <c r="BT628" s="28" t="n"/>
      <c r="BU628" s="25" t="n"/>
      <c r="BV628" s="29" t="n"/>
      <c r="BW628" s="24" t="n"/>
      <c r="BX628" s="30" t="n"/>
      <c r="BY628" s="27" t="n"/>
      <c r="BZ628" s="24" t="n"/>
      <c r="CA628" s="31" t="n"/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  <c r="CL628" s="24" t="n"/>
      <c r="CM628" s="24" t="n"/>
      <c r="CN628" s="24" t="n"/>
      <c r="CO628" s="24" t="n"/>
      <c r="CP628" s="24" t="n"/>
      <c r="CQ628" s="24" t="n"/>
      <c r="CR628" s="24" t="n"/>
      <c r="CS628" s="24" t="inlineStr">
        <is>
          <t>True</t>
        </is>
      </c>
      <c r="CT628" s="24" t="n"/>
      <c r="CU628" s="24" t="n"/>
      <c r="CV628" s="24" t="n"/>
      <c r="CW628" s="24" t="n"/>
      <c r="CX628" s="24" t="n"/>
      <c r="CY628" s="24" t="n"/>
      <c r="CZ628" s="24" t="n"/>
      <c r="DA628" s="24" t="n"/>
      <c r="DB628" s="24" t="n"/>
      <c r="DC628" s="24" t="n"/>
      <c r="DD628" s="24" t="n"/>
      <c r="DE628" s="24" t="n"/>
      <c r="DF628" s="24" t="n"/>
      <c r="DG628" s="24" t="n"/>
      <c r="DH628" s="24" t="n"/>
      <c r="DI628" s="24" t="n"/>
      <c r="DJ628" s="24" t="inlineStr">
        <is>
          <t>0.519231</t>
        </is>
      </c>
      <c r="DK628" s="24" t="n"/>
      <c r="DL628" s="24" t="n"/>
      <c r="DM628" s="24" t="n"/>
      <c r="DN628" s="24" t="n"/>
      <c r="DO628" s="24" t="n"/>
      <c r="DP628" s="24" t="n"/>
      <c r="DQ628" s="24" t="inlineStr">
        <is>
          <t>{"artifact_hash": "1d168f11d221cd3c", "event_id": "401856703", "event_start_utc": "2026-09-26T23:45Z", "features": {"altitude_fatigue_penalty": 0.0, "away_team": "Missouri Tigers", "efficiency_gap": 1.568, "elo_away": 1560.8, "elo_home": 1388.2, "elo_home_win_prob": 0.3499, "event_id": "401856703", "game_start_utc": "2026-09-26T23:45Z", "home_field_advantage_points": 2.8, "home_team": "Mississippi State Bulldogs", "is_dome": false, "is_fbs_vs_fcs": false, "is_neutral_site": false, "projected_away_points": 30.7, "projected_home_points": 26.4, "projected_margin_home": -4.4, "projected_possessions": 12.4, "projected_total": 57.1, "stadium_elevation_ft": 360, "travel_distance_miles": 427.0, "uncertainty": 0.18, "weather_total_adjustment": 0.0}, "historical_source_observation_times_verified": false, "inference_inputs": {"engine_source_sha256": "449ba2f0e86fa9c445730076a0e0bf100fb4914620be53c75c6f3bfe24298f3f", "mu_away": 30.7, "mu_home": 26.4,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183828829465884609552877429408546330814}, "uinteger": 0}, "spread_home_line": -3.5, "total_line": 58.5}, "market_type": "total", "model_version": "cfb-total-v1", "observed_at_utc": "2026-09-26T22:34:32.504573+00:00", "probabilities": {"over": 0.448667, "push": 0.0, "under": 0.551333}, "replay_scope": "Full precision score means, exact engine parameters and original RNG state; upstream feature construction not certified.", "schema": "cfb-joint-replay-v1", "snapshot_hash": "25561d8b04c91f93213cc4e8641bea36ad87a5351ca1919acea1d38e9b3cb0de", "sport": "NCAAF"}</t>
        </is>
      </c>
    </row>
    <row r="629" ht="36" customHeight="1">
      <c r="A629" s="24" t="inlineStr">
        <is>
          <t>65b674bde4cc461d</t>
        </is>
      </c>
      <c r="B629" s="24" t="inlineStr">
        <is>
          <t>2026-09-26T22:34:32.504573Z</t>
        </is>
      </c>
      <c r="C629" s="24" t="inlineStr">
        <is>
          <t>2026-09-27T00:00Z</t>
        </is>
      </c>
      <c r="D629" s="24" t="inlineStr">
        <is>
          <t>401856697</t>
        </is>
      </c>
      <c r="E629" s="24" t="inlineStr">
        <is>
          <t>NCAAF</t>
        </is>
      </c>
      <c r="F629" s="24" t="inlineStr">
        <is>
          <t>Tulsa Golden Hurricane</t>
        </is>
      </c>
      <c r="G629" s="24" t="inlineStr">
        <is>
          <t>Arkansas Razorbacks</t>
        </is>
      </c>
      <c r="H629" s="24" t="inlineStr">
        <is>
          <t>moneyline</t>
        </is>
      </c>
      <c r="I629" s="24" t="inlineStr">
        <is>
          <t>away</t>
        </is>
      </c>
      <c r="J629" s="25" t="n"/>
      <c r="K629" s="24" t="inlineStr">
        <is>
          <t>espn_consensus</t>
        </is>
      </c>
      <c r="L629" s="26" t="n">
        <v>220</v>
      </c>
      <c r="M629" s="27" t="n">
        <v>3.2</v>
      </c>
      <c r="N629" s="28" t="n">
        <v>0.3125</v>
      </c>
      <c r="O629" s="28" t="n">
        <v>0.534355</v>
      </c>
      <c r="P629" s="28" t="n">
        <v>0.18</v>
      </c>
      <c r="Q629" s="28" t="n">
        <v>0.221855</v>
      </c>
      <c r="R629" s="26" t="n">
        <v>53</v>
      </c>
      <c r="S629" s="29" t="n">
        <v>1.25</v>
      </c>
      <c r="T629" s="24" t="inlineStr">
        <is>
          <t>college-football-v1</t>
        </is>
      </c>
      <c r="U629" s="24" t="inlineStr">
        <is>
          <t>settled</t>
        </is>
      </c>
      <c r="V629" s="24" t="inlineStr">
        <is>
          <t>loss</t>
        </is>
      </c>
      <c r="W629" s="26" t="n">
        <v>6</v>
      </c>
      <c r="X629" s="26" t="n">
        <v>34</v>
      </c>
      <c r="Y629" s="25" t="n"/>
      <c r="Z629" s="26" t="n"/>
      <c r="AA629" s="28" t="n"/>
      <c r="AB629" s="28" t="n"/>
      <c r="AC629" s="30" t="n">
        <v>-1.25</v>
      </c>
      <c r="AD629" s="24" t="inlineStr">
        <is>
          <t>2026-09-27T04:32:17.530707Z</t>
        </is>
      </c>
      <c r="AE629" s="31" t="inlineStr">
        <is>
          <t>CFB Joint Model (negative_binomial): proj score Tulsa Golden Hurricane 27.9 @ Arkansas Razorbacks 26.5 (Margin -1.5). Possessions: 12.4, HFA: +2.8 pts.</t>
        </is>
      </c>
      <c r="AF629" s="31" t="inlineStr">
        <is>
          <t>College football model; multi-market (moneyline, spread, total).</t>
        </is>
      </c>
      <c r="AG629" s="24" t="inlineStr">
        <is>
          <t>review_required</t>
        </is>
      </c>
      <c r="AH629" s="24" t="n"/>
      <c r="AI629" s="31" t="n"/>
      <c r="AJ629" s="31" t="n"/>
      <c r="AK629" s="24" t="inlineStr">
        <is>
          <t>model_qualified</t>
        </is>
      </c>
      <c r="AL629" s="26" t="n">
        <v>4</v>
      </c>
      <c r="AM629" s="24" t="inlineStr">
        <is>
          <t>QUALIFIED_SHADOW_CALL</t>
        </is>
      </c>
      <c r="AN629" s="24" t="inlineStr">
        <is>
          <t>CALL</t>
        </is>
      </c>
      <c r="AO629" s="24" t="inlineStr">
        <is>
          <t>QUALIFIED</t>
        </is>
      </c>
      <c r="AP629" s="24" t="inlineStr">
        <is>
          <t>Tulsa Golden Hurricane</t>
        </is>
      </c>
      <c r="AQ629" s="24" t="inlineStr">
        <is>
          <t>Tulsa Golden Hurricane</t>
        </is>
      </c>
      <c r="AR629" s="24" t="inlineStr">
        <is>
          <t>Tulsa Golden Hurricane</t>
        </is>
      </c>
      <c r="AS629" s="24" t="inlineStr">
        <is>
          <t>Arkansas Razorbacks</t>
        </is>
      </c>
      <c r="AT629" s="24" t="inlineStr">
        <is>
          <t>Arkansas Razorbacks</t>
        </is>
      </c>
      <c r="AU629" s="24" t="inlineStr">
        <is>
          <t>Arkansas Razorbacks</t>
        </is>
      </c>
      <c r="AV629" s="24" t="n"/>
      <c r="AW629" s="24" t="n"/>
      <c r="AX629" s="24" t="inlineStr">
        <is>
          <t>statistical_model</t>
        </is>
      </c>
      <c r="AY629" s="24" t="n"/>
      <c r="AZ629" s="24" t="inlineStr">
        <is>
          <t>shadow_qualified</t>
        </is>
      </c>
      <c r="BA629" s="24" t="inlineStr">
        <is>
          <t>1d168f11d221cd3c</t>
        </is>
      </c>
      <c r="BB629" s="24" t="inlineStr">
        <is>
          <t>cfb_key_number_engine</t>
        </is>
      </c>
      <c r="BC629" s="24" t="inlineStr">
        <is>
          <t>college-football-v1</t>
        </is>
      </c>
      <c r="BD629" s="24" t="inlineStr">
        <is>
          <t>1d168f11d221cd3c</t>
        </is>
      </c>
      <c r="BE629" s="24" t="inlineStr">
        <is>
          <t>cfb-v1</t>
        </is>
      </c>
      <c r="BF629" s="24" t="inlineStr">
        <is>
          <t>1</t>
        </is>
      </c>
      <c r="BG629" s="24" t="inlineStr">
        <is>
          <t>1d168f11d221cd3c</t>
        </is>
      </c>
      <c r="BH629" s="24" t="inlineStr">
        <is>
          <t>2026-09-26T22:34:32.504573+00:00</t>
        </is>
      </c>
      <c r="BI629" s="24" t="inlineStr">
        <is>
          <t>["same_event","same_team_same_day","same_league_same_day"]</t>
        </is>
      </c>
      <c r="BJ629" s="25" t="n"/>
      <c r="BK629" s="26" t="n">
        <v>220</v>
      </c>
      <c r="BL629" s="27" t="n">
        <v>3.2</v>
      </c>
      <c r="BM629" s="28" t="n">
        <v>0.3125</v>
      </c>
      <c r="BN629" s="28" t="n"/>
      <c r="BO629" s="28" t="n"/>
      <c r="BP629" s="25" t="n"/>
      <c r="BQ629" s="27" t="n"/>
      <c r="BR629" s="28" t="n"/>
      <c r="BS629" s="28" t="n"/>
      <c r="BT629" s="28" t="n"/>
      <c r="BU629" s="25" t="n"/>
      <c r="BV629" s="29" t="n"/>
      <c r="BW629" s="24" t="n"/>
      <c r="BX629" s="30" t="n"/>
      <c r="BY629" s="27" t="n"/>
      <c r="BZ629" s="24" t="n"/>
      <c r="CA629" s="31" t="n"/>
      <c r="CB629" s="24" t="n"/>
      <c r="CC629" s="24" t="n"/>
      <c r="CD629" s="24" t="n"/>
      <c r="CE629" s="24" t="n"/>
      <c r="CF629" s="24" t="n"/>
      <c r="CG629" s="24" t="n"/>
      <c r="CH629" s="24" t="n"/>
      <c r="CI629" s="24" t="n"/>
      <c r="CJ629" s="24" t="n"/>
      <c r="CK629" s="24" t="n"/>
      <c r="CL629" s="24" t="n"/>
      <c r="CM629" s="24" t="n"/>
      <c r="CN629" s="24" t="n"/>
      <c r="CO629" s="24" t="n"/>
      <c r="CP629" s="24" t="n"/>
      <c r="CQ629" s="24" t="n"/>
      <c r="CR629" s="24" t="n"/>
      <c r="CS629" s="24" t="inlineStr">
        <is>
          <t>True</t>
        </is>
      </c>
      <c r="CT629" s="24" t="n"/>
      <c r="CU629" s="24" t="n"/>
      <c r="CV629" s="24" t="n"/>
      <c r="CW629" s="24" t="n"/>
      <c r="CX629" s="24" t="n"/>
      <c r="CY629" s="24" t="n"/>
      <c r="CZ629" s="24" t="n"/>
      <c r="DA629" s="24" t="n"/>
      <c r="DB629" s="24" t="n"/>
      <c r="DC629" s="24" t="n"/>
      <c r="DD629" s="24" t="n"/>
      <c r="DE629" s="24" t="n"/>
      <c r="DF629" s="24" t="n"/>
      <c r="DG629" s="24" t="n"/>
      <c r="DH629" s="24" t="n"/>
      <c r="DI629" s="24" t="n"/>
      <c r="DJ629" s="24" t="inlineStr">
        <is>
          <t>0.3125</t>
        </is>
      </c>
      <c r="DK629" s="24" t="n"/>
      <c r="DL629" s="24" t="n"/>
      <c r="DM629" s="24" t="n"/>
      <c r="DN629" s="24" t="n"/>
      <c r="DO629" s="24" t="n"/>
      <c r="DP629" s="24" t="n"/>
      <c r="DQ629" s="24" t="inlineStr">
        <is>
          <t>{"artifact_hash": "1d168f11d221cd3c", "event_id": "401856697", "event_start_utc": "2026-09-27T00:00Z", "features": {"altitude_fatigue_penalty": 0.0, "away_team": "Tulsa Golden Hurricane", "efficiency_gap": 0.577, "elo_away": 1358.1, "elo_home": 1257.0, "elo_home_win_prob": 0.4482, "event_id": "401856697", "game_start_utc": "2026-09-27T00:00Z", "home_field_advantage_points": 2.8, "home_team": "Arkansas Razorbacks", "is_dome": false, "is_fbs_vs_fcs": false, "is_neutral_site": false, "projected_away_points": 27.9, "projected_home_points": 26.5, "projected_margin_home": -1.5, "projected_possessions": 12.4, "projected_total": 54.4, "stadium_elevation_ft": 1400, "travel_distance_miles": 99.0, "uncertainty": 0.18, "weather_total_adjustment": 0.0}, "historical_source_observation_times_verified": false, "inference_inputs": {"engine_source_sha256": "449ba2f0e86fa9c445730076a0e0bf100fb4914620be53c75c6f3bfe24298f3f", "mu_away": 27.9, "mu_home": 26.5,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66191805885232455773291812659454194368}, "uinteger": 0}, "spread_home_line": -7.0, "total_line": 50.5}, "market_type": "moneyline", "model_version": "college-football-v1", "observed_at_utc": "2026-09-26T22:34:32.504573+00:00", "probabilities": {"away": 0.534355, "home": 0.465645}, "replay_scope": "Full precision score means, exact engine parameters and original RNG state; upstream feature construction not certified.", "schema": "cfb-joint-replay-v1", "snapshot_hash": "545e7991fd78da3c88b9bfe2a6acc327e95ab6628c3e0b7ea0e4e4fdd11827f9", "sport": "NCAAF"}</t>
        </is>
      </c>
    </row>
    <row r="630" ht="36" customHeight="1">
      <c r="A630" s="24" t="inlineStr">
        <is>
          <t>cbc2411432aa4c6e</t>
        </is>
      </c>
      <c r="B630" s="24" t="inlineStr">
        <is>
          <t>2026-09-26T22:34:32.504573Z</t>
        </is>
      </c>
      <c r="C630" s="24" t="inlineStr">
        <is>
          <t>2026-09-27T00:00Z</t>
        </is>
      </c>
      <c r="D630" s="24" t="inlineStr">
        <is>
          <t>401856697</t>
        </is>
      </c>
      <c r="E630" s="24" t="inlineStr">
        <is>
          <t>NCAAF</t>
        </is>
      </c>
      <c r="F630" s="24" t="inlineStr">
        <is>
          <t>Tulsa Golden Hurricane</t>
        </is>
      </c>
      <c r="G630" s="24" t="inlineStr">
        <is>
          <t>Arkansas Razorbacks</t>
        </is>
      </c>
      <c r="H630" s="24" t="inlineStr">
        <is>
          <t>spread</t>
        </is>
      </c>
      <c r="I630" s="24" t="inlineStr">
        <is>
          <t>away</t>
        </is>
      </c>
      <c r="J630" s="25" t="n">
        <v>7</v>
      </c>
      <c r="K630" s="24" t="inlineStr">
        <is>
          <t>espn_consensus</t>
        </is>
      </c>
      <c r="L630" s="26" t="n">
        <v>-108</v>
      </c>
      <c r="M630" s="27" t="n">
        <v>1.925926</v>
      </c>
      <c r="N630" s="28" t="n">
        <v>0.519231</v>
      </c>
      <c r="O630" s="28" t="n">
        <v>0.662733</v>
      </c>
      <c r="P630" s="28" t="n">
        <v>0.18</v>
      </c>
      <c r="Q630" s="28" t="n">
        <v>0.143502</v>
      </c>
      <c r="R630" s="26" t="n">
        <v>14</v>
      </c>
      <c r="S630" s="29" t="n">
        <v>1</v>
      </c>
      <c r="T630" s="24" t="inlineStr">
        <is>
          <t>cfb-spread-v1</t>
        </is>
      </c>
      <c r="U630" s="24" t="inlineStr">
        <is>
          <t>settled</t>
        </is>
      </c>
      <c r="V630" s="24" t="inlineStr">
        <is>
          <t>loss</t>
        </is>
      </c>
      <c r="W630" s="26" t="n">
        <v>6</v>
      </c>
      <c r="X630" s="26" t="n">
        <v>34</v>
      </c>
      <c r="Y630" s="25" t="n"/>
      <c r="Z630" s="26" t="n"/>
      <c r="AA630" s="28" t="n"/>
      <c r="AB630" s="28" t="n"/>
      <c r="AC630" s="30" t="n">
        <v>-1</v>
      </c>
      <c r="AD630" s="24" t="inlineStr">
        <is>
          <t>2026-09-27T04:32:18.038994Z</t>
        </is>
      </c>
      <c r="AE630" s="31" t="inlineStr">
        <is>
          <t>Projected home margin -1.5 pts. Spread: Home -7.0 / Away +7.0 -&gt; P(Away cover)=0.663, P(Home cover)=0.320, P(Push)=0.018.</t>
        </is>
      </c>
      <c r="AF630" s="31" t="inlineStr">
        <is>
          <t>College football model; multi-market (moneyline, spread, total).</t>
        </is>
      </c>
      <c r="AG630" s="24" t="inlineStr">
        <is>
          <t>review_required</t>
        </is>
      </c>
      <c r="AH630" s="24" t="n"/>
      <c r="AI630" s="31" t="n"/>
      <c r="AJ630" s="31" t="n"/>
      <c r="AK630" s="24" t="inlineStr">
        <is>
          <t>model_qualified</t>
        </is>
      </c>
      <c r="AL630" s="26" t="n">
        <v>4</v>
      </c>
      <c r="AM630" s="24" t="inlineStr">
        <is>
          <t>QUALIFIED_SHADOW_CALL</t>
        </is>
      </c>
      <c r="AN630" s="24" t="inlineStr">
        <is>
          <t>CALL</t>
        </is>
      </c>
      <c r="AO630" s="24" t="inlineStr">
        <is>
          <t>QUALIFIED</t>
        </is>
      </c>
      <c r="AP630" s="24" t="inlineStr">
        <is>
          <t>Tulsa Golden Hurricane</t>
        </is>
      </c>
      <c r="AQ630" s="24" t="inlineStr">
        <is>
          <t>Tulsa Golden Hurricane</t>
        </is>
      </c>
      <c r="AR630" s="24" t="inlineStr">
        <is>
          <t>Tulsa Golden Hurricane</t>
        </is>
      </c>
      <c r="AS630" s="24" t="inlineStr">
        <is>
          <t>Arkansas Razorbacks</t>
        </is>
      </c>
      <c r="AT630" s="24" t="inlineStr">
        <is>
          <t>Arkansas Razorbacks</t>
        </is>
      </c>
      <c r="AU630" s="24" t="inlineStr">
        <is>
          <t>Arkansas Razorbacks</t>
        </is>
      </c>
      <c r="AV630" s="24" t="n"/>
      <c r="AW630" s="24" t="n"/>
      <c r="AX630" s="24" t="inlineStr">
        <is>
          <t>statistical_model</t>
        </is>
      </c>
      <c r="AY630" s="24" t="n"/>
      <c r="AZ630" s="24" t="inlineStr">
        <is>
          <t>shadow_qualified</t>
        </is>
      </c>
      <c r="BA630" s="24" t="inlineStr">
        <is>
          <t>1d168f11d221cd3c</t>
        </is>
      </c>
      <c r="BB630" s="24" t="inlineStr">
        <is>
          <t>cfb_key_number_engine</t>
        </is>
      </c>
      <c r="BC630" s="24" t="inlineStr">
        <is>
          <t>cfb-spread-v1</t>
        </is>
      </c>
      <c r="BD630" s="24" t="inlineStr">
        <is>
          <t>1d168f11d221cd3c</t>
        </is>
      </c>
      <c r="BE630" s="24" t="inlineStr">
        <is>
          <t>cfb-v1</t>
        </is>
      </c>
      <c r="BF630" s="24" t="inlineStr">
        <is>
          <t>1</t>
        </is>
      </c>
      <c r="BG630" s="24" t="inlineStr">
        <is>
          <t>1d168f11d221cd3c</t>
        </is>
      </c>
      <c r="BH630" s="24" t="inlineStr">
        <is>
          <t>2026-09-26T22:34:32.504573+00:00</t>
        </is>
      </c>
      <c r="BI630" s="24" t="inlineStr">
        <is>
          <t>["same_event","same_team_same_day","same_league_same_day"]</t>
        </is>
      </c>
      <c r="BJ630" s="25" t="n">
        <v>7</v>
      </c>
      <c r="BK630" s="26" t="n">
        <v>-108</v>
      </c>
      <c r="BL630" s="27" t="n">
        <v>1.925926</v>
      </c>
      <c r="BM630" s="28" t="n">
        <v>0.519231</v>
      </c>
      <c r="BN630" s="28" t="n"/>
      <c r="BO630" s="28" t="n"/>
      <c r="BP630" s="25" t="n"/>
      <c r="BQ630" s="27" t="n"/>
      <c r="BR630" s="28" t="n"/>
      <c r="BS630" s="28" t="n"/>
      <c r="BT630" s="28" t="n"/>
      <c r="BU630" s="25" t="n"/>
      <c r="BV630" s="29" t="n"/>
      <c r="BW630" s="24" t="n"/>
      <c r="BX630" s="30" t="n"/>
      <c r="BY630" s="27" t="n"/>
      <c r="BZ630" s="24" t="n"/>
      <c r="CA630" s="31" t="n"/>
      <c r="CB630" s="24" t="n"/>
      <c r="CC630" s="24" t="n"/>
      <c r="CD630" s="24" t="n"/>
      <c r="CE630" s="24" t="n"/>
      <c r="CF630" s="24" t="n"/>
      <c r="CG630" s="24" t="n"/>
      <c r="CH630" s="24" t="n"/>
      <c r="CI630" s="24" t="n"/>
      <c r="CJ630" s="24" t="n"/>
      <c r="CK630" s="24" t="n"/>
      <c r="CL630" s="24" t="n"/>
      <c r="CM630" s="24" t="n"/>
      <c r="CN630" s="24" t="n"/>
      <c r="CO630" s="24" t="n"/>
      <c r="CP630" s="24" t="n"/>
      <c r="CQ630" s="24" t="n"/>
      <c r="CR630" s="24" t="n"/>
      <c r="CS630" s="24" t="inlineStr">
        <is>
          <t>True</t>
        </is>
      </c>
      <c r="CT630" s="24" t="n"/>
      <c r="CU630" s="24" t="n"/>
      <c r="CV630" s="24" t="n"/>
      <c r="CW630" s="24" t="n"/>
      <c r="CX630" s="24" t="n"/>
      <c r="CY630" s="24" t="n"/>
      <c r="CZ630" s="24" t="n"/>
      <c r="DA630" s="24" t="n"/>
      <c r="DB630" s="24" t="n"/>
      <c r="DC630" s="24" t="n"/>
      <c r="DD630" s="24" t="n"/>
      <c r="DE630" s="24" t="n"/>
      <c r="DF630" s="24" t="n"/>
      <c r="DG630" s="24" t="n"/>
      <c r="DH630" s="24" t="n"/>
      <c r="DI630" s="24" t="n"/>
      <c r="DJ630" s="24" t="inlineStr">
        <is>
          <t>0.519231</t>
        </is>
      </c>
      <c r="DK630" s="24" t="n"/>
      <c r="DL630" s="24" t="n"/>
      <c r="DM630" s="24" t="n"/>
      <c r="DN630" s="24" t="n"/>
      <c r="DO630" s="24" t="n"/>
      <c r="DP630" s="24" t="n"/>
      <c r="DQ630" s="24" t="inlineStr">
        <is>
          <t>{"artifact_hash": "1d168f11d221cd3c", "event_id": "401856697", "event_start_utc": "2026-09-27T00:00Z", "features": {"altitude_fatigue_penalty": 0.0, "away_team": "Tulsa Golden Hurricane", "efficiency_gap": 0.577, "elo_away": 1358.1, "elo_home": 1257.0, "elo_home_win_prob": 0.4482, "event_id": "401856697", "game_start_utc": "2026-09-27T00:00Z", "home_field_advantage_points": 2.8, "home_team": "Arkansas Razorbacks", "is_dome": false, "is_fbs_vs_fcs": false, "is_neutral_site": false, "projected_away_points": 27.9, "projected_home_points": 26.5, "projected_margin_home": -1.5, "projected_possessions": 12.4, "projected_total": 54.4, "stadium_elevation_ft": 1400, "travel_distance_miles": 99.0, "uncertainty": 0.18, "weather_total_adjustment": 0.0}, "historical_source_observation_times_verified": false, "inference_inputs": {"engine_source_sha256": "449ba2f0e86fa9c445730076a0e0bf100fb4914620be53c75c6f3bfe24298f3f", "mu_away": 27.9, "mu_home": 26.5,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66191805885232455773291812659454194368}, "uinteger": 0}, "spread_home_line": -7.0, "total_line": 50.5}, "market_type": "spread", "model_version": "cfb-spread-v1", "observed_at_utc": "2026-09-26T22:34:32.504573+00:00", "probabilities": {"away": 0.662733, "home": 0.319533, "push": 0.017733}, "replay_scope": "Full precision score means, exact engine parameters and original RNG state; upstream feature construction not certified.", "schema": "cfb-joint-replay-v1", "snapshot_hash": "33ed51f7bea2429909069810aafdd0ff3da11b5287aae3c0ef594e59e09a98bd", "sport": "NCAAF"}</t>
        </is>
      </c>
    </row>
    <row r="631" ht="36" customHeight="1">
      <c r="A631" s="24" t="inlineStr">
        <is>
          <t>4b8024065b344508</t>
        </is>
      </c>
      <c r="B631" s="24" t="inlineStr">
        <is>
          <t>2026-09-26T22:34:32.504573Z</t>
        </is>
      </c>
      <c r="C631" s="24" t="inlineStr">
        <is>
          <t>2026-09-27T00:00Z</t>
        </is>
      </c>
      <c r="D631" s="24" t="inlineStr">
        <is>
          <t>401856697</t>
        </is>
      </c>
      <c r="E631" s="24" t="inlineStr">
        <is>
          <t>NCAAF</t>
        </is>
      </c>
      <c r="F631" s="24" t="inlineStr">
        <is>
          <t>Tulsa Golden Hurricane</t>
        </is>
      </c>
      <c r="G631" s="24" t="inlineStr">
        <is>
          <t>Arkansas Razorbacks</t>
        </is>
      </c>
      <c r="H631" s="24" t="inlineStr">
        <is>
          <t>total</t>
        </is>
      </c>
      <c r="I631" s="24" t="inlineStr">
        <is>
          <t>over</t>
        </is>
      </c>
      <c r="J631" s="25" t="n">
        <v>50.5</v>
      </c>
      <c r="K631" s="24" t="inlineStr">
        <is>
          <t>espn_consensus</t>
        </is>
      </c>
      <c r="L631" s="26" t="n">
        <v>-110</v>
      </c>
      <c r="M631" s="27" t="n">
        <v>1.909091</v>
      </c>
      <c r="N631" s="28" t="n">
        <v>0.52381</v>
      </c>
      <c r="O631" s="28" t="n">
        <v>0.524667</v>
      </c>
      <c r="P631" s="28" t="n">
        <v>0.18</v>
      </c>
      <c r="Q631" s="28" t="n">
        <v>0.000857</v>
      </c>
      <c r="R631" s="26" t="n">
        <v>0</v>
      </c>
      <c r="S631" s="29" t="n">
        <v>1</v>
      </c>
      <c r="T631" s="24" t="inlineStr">
        <is>
          <t>cfb-total-v1</t>
        </is>
      </c>
      <c r="U631" s="24" t="inlineStr">
        <is>
          <t>settled</t>
        </is>
      </c>
      <c r="V631" s="24" t="inlineStr">
        <is>
          <t>loss</t>
        </is>
      </c>
      <c r="W631" s="26" t="n">
        <v>6</v>
      </c>
      <c r="X631" s="26" t="n">
        <v>34</v>
      </c>
      <c r="Y631" s="25" t="n"/>
      <c r="Z631" s="26" t="n"/>
      <c r="AA631" s="28" t="n"/>
      <c r="AB631" s="28" t="n"/>
      <c r="AC631" s="30" t="n">
        <v>-1</v>
      </c>
      <c r="AD631" s="24" t="inlineStr">
        <is>
          <t>2026-09-27T04:32:18.691292Z</t>
        </is>
      </c>
      <c r="AE631" s="31" t="inlineStr">
        <is>
          <t>Projected total 54.4 pts (Weather adj: +0.0 pts). Total line 50.5 -&gt; P(Over)=0.525, P(Under)=0.475, P(Push)=0.000.</t>
        </is>
      </c>
      <c r="AF631" s="31" t="inlineStr">
        <is>
          <t>College football model; multi-market (moneyline, spread, total).</t>
        </is>
      </c>
      <c r="AG631" s="24" t="inlineStr">
        <is>
          <t>review_required</t>
        </is>
      </c>
      <c r="AH631" s="24" t="n"/>
      <c r="AI631" s="31" t="n"/>
      <c r="AJ631" s="31" t="n"/>
      <c r="AK631" s="24" t="inlineStr">
        <is>
          <t>paper_call</t>
        </is>
      </c>
      <c r="AL631" s="26" t="n">
        <v>4</v>
      </c>
      <c r="AM631" s="24" t="inlineStr">
        <is>
          <t>RESEARCH_OBSERVATION</t>
        </is>
      </c>
      <c r="AN631" s="24" t="inlineStr">
        <is>
          <t>CALL</t>
        </is>
      </c>
      <c r="AO631" s="24" t="inlineStr">
        <is>
          <t>PAPER_CALL_LOW_EDGE</t>
        </is>
      </c>
      <c r="AP631" s="24" t="inlineStr">
        <is>
          <t>Tulsa Golden Hurricane</t>
        </is>
      </c>
      <c r="AQ631" s="24" t="inlineStr">
        <is>
          <t>Tulsa Golden Hurricane</t>
        </is>
      </c>
      <c r="AR631" s="24" t="inlineStr">
        <is>
          <t>Tulsa Golden Hurricane</t>
        </is>
      </c>
      <c r="AS631" s="24" t="inlineStr">
        <is>
          <t>Arkansas Razorbacks</t>
        </is>
      </c>
      <c r="AT631" s="24" t="inlineStr">
        <is>
          <t>Arkansas Razorbacks</t>
        </is>
      </c>
      <c r="AU631" s="24" t="inlineStr">
        <is>
          <t>Arkansas Razorbacks</t>
        </is>
      </c>
      <c r="AV631" s="24" t="n"/>
      <c r="AW631" s="24" t="n"/>
      <c r="AX631" s="24" t="inlineStr">
        <is>
          <t>statistical_model</t>
        </is>
      </c>
      <c r="AY631" s="24" t="n"/>
      <c r="AZ631" s="24" t="inlineStr">
        <is>
          <t>shadow_qualified</t>
        </is>
      </c>
      <c r="BA631" s="24" t="inlineStr">
        <is>
          <t>1d168f11d221cd3c</t>
        </is>
      </c>
      <c r="BB631" s="24" t="inlineStr">
        <is>
          <t>cfb_key_number_engine</t>
        </is>
      </c>
      <c r="BC631" s="24" t="inlineStr">
        <is>
          <t>cfb-total-v1</t>
        </is>
      </c>
      <c r="BD631" s="24" t="inlineStr">
        <is>
          <t>1d168f11d221cd3c</t>
        </is>
      </c>
      <c r="BE631" s="24" t="inlineStr">
        <is>
          <t>cfb-v1</t>
        </is>
      </c>
      <c r="BF631" s="24" t="inlineStr">
        <is>
          <t>1</t>
        </is>
      </c>
      <c r="BG631" s="24" t="inlineStr">
        <is>
          <t>1d168f11d221cd3c</t>
        </is>
      </c>
      <c r="BH631" s="24" t="inlineStr">
        <is>
          <t>2026-09-26T22:34:32.504573+00:00</t>
        </is>
      </c>
      <c r="BI631" s="24" t="inlineStr">
        <is>
          <t>["same_event","same_team_same_day","same_league_same_day"]</t>
        </is>
      </c>
      <c r="BJ631" s="25" t="n">
        <v>50.5</v>
      </c>
      <c r="BK631" s="26" t="n">
        <v>-110</v>
      </c>
      <c r="BL631" s="27" t="n">
        <v>1.909091</v>
      </c>
      <c r="BM631" s="28" t="n">
        <v>0.52381</v>
      </c>
      <c r="BN631" s="28" t="n"/>
      <c r="BO631" s="28" t="n"/>
      <c r="BP631" s="25" t="n"/>
      <c r="BQ631" s="27" t="n"/>
      <c r="BR631" s="28" t="n"/>
      <c r="BS631" s="28" t="n"/>
      <c r="BT631" s="28" t="n"/>
      <c r="BU631" s="25" t="n"/>
      <c r="BV631" s="29" t="n"/>
      <c r="BW631" s="24" t="n"/>
      <c r="BX631" s="30" t="n">
        <v>1</v>
      </c>
      <c r="BY631" s="27" t="n">
        <v>-1</v>
      </c>
      <c r="BZ631" s="24" t="inlineStr">
        <is>
          <t>2026-09-27T04:32:18.691292Z</t>
        </is>
      </c>
      <c r="CA631" s="31" t="inlineStr">
        <is>
          <t>fixed one-unit hypothetical scoring; no real exposure or execution</t>
        </is>
      </c>
      <c r="CB631" s="24" t="n"/>
      <c r="CC631" s="24" t="n"/>
      <c r="CD631" s="24" t="n"/>
      <c r="CE631" s="24" t="n"/>
      <c r="CF631" s="24" t="n"/>
      <c r="CG631" s="24" t="n"/>
      <c r="CH631" s="24" t="n"/>
      <c r="CI631" s="24" t="n"/>
      <c r="CJ631" s="24" t="n"/>
      <c r="CK631" s="24" t="n"/>
      <c r="CL631" s="24" t="n"/>
      <c r="CM631" s="24" t="n"/>
      <c r="CN631" s="24" t="n"/>
      <c r="CO631" s="24" t="n"/>
      <c r="CP631" s="24" t="n"/>
      <c r="CQ631" s="24" t="n"/>
      <c r="CR631" s="24" t="n"/>
      <c r="CS631" s="24" t="inlineStr">
        <is>
          <t>True</t>
        </is>
      </c>
      <c r="CT631" s="24" t="n"/>
      <c r="CU631" s="24" t="n"/>
      <c r="CV631" s="24" t="n"/>
      <c r="CW631" s="24" t="n"/>
      <c r="CX631" s="24" t="n"/>
      <c r="CY631" s="24" t="n"/>
      <c r="CZ631" s="24" t="n"/>
      <c r="DA631" s="24" t="n"/>
      <c r="DB631" s="24" t="n"/>
      <c r="DC631" s="24" t="n"/>
      <c r="DD631" s="24" t="n"/>
      <c r="DE631" s="24" t="n"/>
      <c r="DF631" s="24" t="n"/>
      <c r="DG631" s="24" t="n"/>
      <c r="DH631" s="24" t="n"/>
      <c r="DI631" s="24" t="n"/>
      <c r="DJ631" s="24" t="inlineStr">
        <is>
          <t>0.52381</t>
        </is>
      </c>
      <c r="DK631" s="24" t="n"/>
      <c r="DL631" s="24" t="n"/>
      <c r="DM631" s="24" t="n"/>
      <c r="DN631" s="24" t="n"/>
      <c r="DO631" s="24" t="n"/>
      <c r="DP631" s="24" t="n"/>
      <c r="DQ631" s="24" t="inlineStr">
        <is>
          <t>{"artifact_hash": "1d168f11d221cd3c", "event_id": "401856697", "event_start_utc": "2026-09-27T00:00Z", "features": {"altitude_fatigue_penalty": 0.0, "away_team": "Tulsa Golden Hurricane", "efficiency_gap": 0.577, "elo_away": 1358.1, "elo_home": 1257.0, "elo_home_win_prob": 0.4482, "event_id": "401856697", "game_start_utc": "2026-09-27T00:00Z", "home_field_advantage_points": 2.8, "home_team": "Arkansas Razorbacks", "is_dome": false, "is_fbs_vs_fcs": false, "is_neutral_site": false, "projected_away_points": 27.9, "projected_home_points": 26.5, "projected_margin_home": -1.5, "projected_possessions": 12.4, "projected_total": 54.4, "stadium_elevation_ft": 1400, "travel_distance_miles": 99.0, "uncertainty": 0.18, "weather_total_adjustment": 0.0}, "historical_source_observation_times_verified": false, "inference_inputs": {"engine_source_sha256": "449ba2f0e86fa9c445730076a0e0bf100fb4914620be53c75c6f3bfe24298f3f", "mu_away": 27.9, "mu_home": 26.5,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66191805885232455773291812659454194368}, "uinteger": 0}, "spread_home_line": -7.0, "total_line": 50.5}, "market_type": "total", "model_version": "cfb-total-v1", "observed_at_utc": "2026-09-26T22:34:32.504573+00:00", "probabilities": {"over": 0.524667, "push": 0.0, "under": 0.475333}, "replay_scope": "Full precision score means, exact engine parameters and original RNG state; upstream feature construction not certified.", "schema": "cfb-joint-replay-v1", "snapshot_hash": "ffbee2d76f09992058a4e3f69e80a43320bf2056e564684c09081e1eac49e62d", "sport": "NCAAF"}</t>
        </is>
      </c>
    </row>
    <row r="632" ht="36" customHeight="1">
      <c r="A632" s="24" t="inlineStr">
        <is>
          <t>0eb1070374e441d7</t>
        </is>
      </c>
      <c r="B632" s="24" t="inlineStr">
        <is>
          <t>2026-09-26T22:34:32.504573Z</t>
        </is>
      </c>
      <c r="C632" s="24" t="inlineStr">
        <is>
          <t>2026-09-27T00:00Z</t>
        </is>
      </c>
      <c r="D632" s="24" t="inlineStr">
        <is>
          <t>401862782</t>
        </is>
      </c>
      <c r="E632" s="24" t="inlineStr">
        <is>
          <t>NCAAF</t>
        </is>
      </c>
      <c r="F632" s="24" t="inlineStr">
        <is>
          <t>Florida Atlantic Owls</t>
        </is>
      </c>
      <c r="G632" s="24" t="inlineStr">
        <is>
          <t>UL Monroe Warhawks</t>
        </is>
      </c>
      <c r="H632" s="24" t="inlineStr">
        <is>
          <t>moneyline</t>
        </is>
      </c>
      <c r="I632" s="24" t="inlineStr">
        <is>
          <t>away</t>
        </is>
      </c>
      <c r="J632" s="25" t="n"/>
      <c r="K632" s="24" t="inlineStr">
        <is>
          <t>espn_consensus</t>
        </is>
      </c>
      <c r="L632" s="26" t="n">
        <v>-485</v>
      </c>
      <c r="M632" s="27" t="n">
        <v>1.206186</v>
      </c>
      <c r="N632" s="28" t="n">
        <v>0.82906</v>
      </c>
      <c r="O632" s="28" t="n">
        <v>0.545677</v>
      </c>
      <c r="P632" s="28" t="n">
        <v>0.165</v>
      </c>
      <c r="Q632" s="28" t="n">
        <v>-0.283383</v>
      </c>
      <c r="R632" s="26" t="n">
        <v>0</v>
      </c>
      <c r="S632" s="29" t="n">
        <v>1</v>
      </c>
      <c r="T632" s="24" t="inlineStr">
        <is>
          <t>college-football-v1</t>
        </is>
      </c>
      <c r="U632" s="24" t="inlineStr">
        <is>
          <t>settled</t>
        </is>
      </c>
      <c r="V632" s="24" t="inlineStr">
        <is>
          <t>win</t>
        </is>
      </c>
      <c r="W632" s="26" t="n">
        <v>45</v>
      </c>
      <c r="X632" s="26" t="n">
        <v>17</v>
      </c>
      <c r="Y632" s="25" t="n"/>
      <c r="Z632" s="26" t="n"/>
      <c r="AA632" s="28" t="n"/>
      <c r="AB632" s="28" t="n"/>
      <c r="AC632" s="30" t="n">
        <v>0.2062</v>
      </c>
      <c r="AD632" s="24" t="inlineStr">
        <is>
          <t>2026-09-27T04:32:19.279225Z</t>
        </is>
      </c>
      <c r="AE632" s="31" t="inlineStr">
        <is>
          <t>CFB Joint Model (negative_binomial): proj score Florida Atlantic Owls 27.3 @ UL Monroe Warhawks 25.3 (Margin -2.0). Possessions: 12.4, HFA: +2.8 pts.</t>
        </is>
      </c>
      <c r="AF632" s="31" t="inlineStr">
        <is>
          <t>College football model; multi-market (moneyline, spread, total).</t>
        </is>
      </c>
      <c r="AG632" s="24" t="inlineStr">
        <is>
          <t>not_applicable</t>
        </is>
      </c>
      <c r="AH632" s="24" t="n"/>
      <c r="AI632" s="31" t="n"/>
      <c r="AJ632" s="31" t="n"/>
      <c r="AK632" s="24" t="inlineStr">
        <is>
          <t>paper_call</t>
        </is>
      </c>
      <c r="AL632" s="26" t="n">
        <v>4</v>
      </c>
      <c r="AM632" s="24" t="inlineStr">
        <is>
          <t>RESEARCH_OBSERVATION</t>
        </is>
      </c>
      <c r="AN632" s="24" t="inlineStr">
        <is>
          <t>CALL</t>
        </is>
      </c>
      <c r="AO632" s="24" t="inlineStr">
        <is>
          <t>PAPER_CALL_LOW_EDGE</t>
        </is>
      </c>
      <c r="AP632" s="24" t="inlineStr">
        <is>
          <t>Florida Atlantic Owls</t>
        </is>
      </c>
      <c r="AQ632" s="24" t="inlineStr">
        <is>
          <t>Florida Atlantic Owls</t>
        </is>
      </c>
      <c r="AR632" s="24" t="inlineStr">
        <is>
          <t>Florida Atlantic Owls</t>
        </is>
      </c>
      <c r="AS632" s="24" t="inlineStr">
        <is>
          <t>UL Monroe Warhawks</t>
        </is>
      </c>
      <c r="AT632" s="24" t="inlineStr">
        <is>
          <t>UL Monroe Warhawks</t>
        </is>
      </c>
      <c r="AU632" s="24" t="inlineStr">
        <is>
          <t>UL Monroe Warhawks</t>
        </is>
      </c>
      <c r="AV632" s="24" t="n"/>
      <c r="AW632" s="24" t="n"/>
      <c r="AX632" s="24" t="inlineStr">
        <is>
          <t>statistical_model</t>
        </is>
      </c>
      <c r="AY632" s="24" t="n"/>
      <c r="AZ632" s="24" t="inlineStr">
        <is>
          <t>shadow_qualified</t>
        </is>
      </c>
      <c r="BA632" s="24" t="inlineStr">
        <is>
          <t>1d168f11d221cd3c</t>
        </is>
      </c>
      <c r="BB632" s="24" t="inlineStr">
        <is>
          <t>cfb_key_number_engine</t>
        </is>
      </c>
      <c r="BC632" s="24" t="inlineStr">
        <is>
          <t>college-football-v1</t>
        </is>
      </c>
      <c r="BD632" s="24" t="inlineStr">
        <is>
          <t>1d168f11d221cd3c</t>
        </is>
      </c>
      <c r="BE632" s="24" t="inlineStr">
        <is>
          <t>cfb-v1</t>
        </is>
      </c>
      <c r="BF632" s="24" t="inlineStr">
        <is>
          <t>1</t>
        </is>
      </c>
      <c r="BG632" s="24" t="inlineStr">
        <is>
          <t>1d168f11d221cd3c</t>
        </is>
      </c>
      <c r="BH632" s="24" t="inlineStr">
        <is>
          <t>2026-09-26T22:34:32.504573+00:00</t>
        </is>
      </c>
      <c r="BI632" s="24" t="inlineStr">
        <is>
          <t>["same_event","same_team_same_day","same_league_same_day"]</t>
        </is>
      </c>
      <c r="BJ632" s="25" t="n"/>
      <c r="BK632" s="26" t="n">
        <v>-485</v>
      </c>
      <c r="BL632" s="27" t="n">
        <v>1.206186</v>
      </c>
      <c r="BM632" s="28" t="n">
        <v>0.82906</v>
      </c>
      <c r="BN632" s="28" t="n"/>
      <c r="BO632" s="28" t="n"/>
      <c r="BP632" s="25" t="n"/>
      <c r="BQ632" s="27" t="n"/>
      <c r="BR632" s="28" t="n"/>
      <c r="BS632" s="28" t="n"/>
      <c r="BT632" s="28" t="n"/>
      <c r="BU632" s="25" t="n"/>
      <c r="BV632" s="29" t="n"/>
      <c r="BW632" s="24" t="n"/>
      <c r="BX632" s="30" t="n">
        <v>1</v>
      </c>
      <c r="BY632" s="27" t="n">
        <v>0.206186</v>
      </c>
      <c r="BZ632" s="24" t="inlineStr">
        <is>
          <t>2026-09-27T04:32:19.279225Z</t>
        </is>
      </c>
      <c r="CA632" s="31" t="inlineStr">
        <is>
          <t>fixed one-unit hypothetical scoring; no real exposure or execution</t>
        </is>
      </c>
      <c r="CB632" s="24" t="n"/>
      <c r="CC632" s="24" t="n"/>
      <c r="CD632" s="24" t="n"/>
      <c r="CE632" s="24" t="n"/>
      <c r="CF632" s="24" t="n"/>
      <c r="CG632" s="24" t="n"/>
      <c r="CH632" s="24" t="n"/>
      <c r="CI632" s="24" t="n"/>
      <c r="CJ632" s="24" t="n"/>
      <c r="CK632" s="24" t="n"/>
      <c r="CL632" s="24" t="n"/>
      <c r="CM632" s="24" t="n"/>
      <c r="CN632" s="24" t="n"/>
      <c r="CO632" s="24" t="n"/>
      <c r="CP632" s="24" t="n"/>
      <c r="CQ632" s="24" t="n"/>
      <c r="CR632" s="24" t="n"/>
      <c r="CS632" s="24" t="inlineStr">
        <is>
          <t>False</t>
        </is>
      </c>
      <c r="CT632" s="24" t="n"/>
      <c r="CU632" s="24" t="n"/>
      <c r="CV632" s="24" t="n"/>
      <c r="CW632" s="24" t="n"/>
      <c r="CX632" s="24" t="n"/>
      <c r="CY632" s="24" t="n"/>
      <c r="CZ632" s="24" t="n"/>
      <c r="DA632" s="24" t="n"/>
      <c r="DB632" s="24" t="n"/>
      <c r="DC632" s="24" t="n"/>
      <c r="DD632" s="24" t="n"/>
      <c r="DE632" s="24" t="n"/>
      <c r="DF632" s="24" t="n"/>
      <c r="DG632" s="24" t="n"/>
      <c r="DH632" s="24" t="n"/>
      <c r="DI632" s="24" t="n"/>
      <c r="DJ632" s="24" t="inlineStr">
        <is>
          <t>0.82906</t>
        </is>
      </c>
      <c r="DK632" s="24" t="n"/>
      <c r="DL632" s="24" t="n"/>
      <c r="DM632" s="24" t="n"/>
      <c r="DN632" s="24" t="n"/>
      <c r="DO632" s="24" t="n"/>
      <c r="DP632" s="24" t="n"/>
      <c r="DQ632" s="24" t="inlineStr">
        <is>
          <t>{"artifact_hash": "1d168f11d221cd3c", "event_id": "401862782", "event_start_utc": "2026-09-27T00:00Z", "features": {"altitude_fatigue_penalty": 0.0, "away_team": "Florida Atlantic Owls", "efficiency_gap": -0.321, "elo_away": 1256.5, "elo_home": 1138.8, "elo_home_win_prob": 0.4248, "event_id": "401862782", "game_start_utc": "2026-09-27T00:00Z", "home_field_advantage_points": 2.8, "home_team": "UL Monroe Warhawks", "is_dome": false, "is_fbs_vs_fcs": false, "is_neutral_site": false, "projected_away_points": 27.3, "projected_home_points": 25.3, "projected_margin_home": -2.0, "projected_possessions": 12.4, "projected_total": 52.5, "stadium_elevation_ft": 80, "travel_distance_miles": 835.0, "uncertainty": 0.165, "weather_total_adjustment": 0.0}, "historical_source_observation_times_verified": false, "inference_inputs": {"engine_source_sha256": "449ba2f0e86fa9c445730076a0e0bf100fb4914620be53c75c6f3bfe24298f3f", "mu_away": 27.3, "mu_home": 25.3,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304738719507377305323102776162136981668}, "uinteger": 0}, "spread_home_line": 11.5, "total_line": 58.5}, "market_type": "moneyline", "model_version": "college-football-v1", "observed_at_utc": "2026-09-26T22:34:32.504573+00:00", "probabilities": {"away": 0.545677, "home": 0.454323}, "replay_scope": "Full precision score means, exact engine parameters and original RNG state; upstream feature construction not certified.", "schema": "cfb-joint-replay-v1", "snapshot_hash": "074ec19ade0d24b817d906f918a4d39b0ea89b7a408a93ae627b32c78d287eab", "sport": "NCAAF"}</t>
        </is>
      </c>
    </row>
    <row r="633" ht="36" customHeight="1">
      <c r="A633" s="24" t="inlineStr">
        <is>
          <t>d77a6ed504f04c5e</t>
        </is>
      </c>
      <c r="B633" s="24" t="inlineStr">
        <is>
          <t>2026-09-26T22:34:32.504573Z</t>
        </is>
      </c>
      <c r="C633" s="24" t="inlineStr">
        <is>
          <t>2026-09-27T00:00Z</t>
        </is>
      </c>
      <c r="D633" s="24" t="inlineStr">
        <is>
          <t>401862782</t>
        </is>
      </c>
      <c r="E633" s="24" t="inlineStr">
        <is>
          <t>NCAAF</t>
        </is>
      </c>
      <c r="F633" s="24" t="inlineStr">
        <is>
          <t>Florida Atlantic Owls</t>
        </is>
      </c>
      <c r="G633" s="24" t="inlineStr">
        <is>
          <t>UL Monroe Warhawks</t>
        </is>
      </c>
      <c r="H633" s="24" t="inlineStr">
        <is>
          <t>spread</t>
        </is>
      </c>
      <c r="I633" s="24" t="inlineStr">
        <is>
          <t>home</t>
        </is>
      </c>
      <c r="J633" s="25" t="n">
        <v>11.5</v>
      </c>
      <c r="K633" s="24" t="inlineStr">
        <is>
          <t>espn_consensus</t>
        </is>
      </c>
      <c r="L633" s="26" t="n">
        <v>-108</v>
      </c>
      <c r="M633" s="27" t="n">
        <v>1.925926</v>
      </c>
      <c r="N633" s="28" t="n">
        <v>0.519231</v>
      </c>
      <c r="O633" s="28" t="n">
        <v>0.693133</v>
      </c>
      <c r="P633" s="28" t="n">
        <v>0.165</v>
      </c>
      <c r="Q633" s="28" t="n">
        <v>0.173902</v>
      </c>
      <c r="R633" s="26" t="n">
        <v>38</v>
      </c>
      <c r="S633" s="29" t="n">
        <v>1</v>
      </c>
      <c r="T633" s="24" t="inlineStr">
        <is>
          <t>cfb-spread-v1</t>
        </is>
      </c>
      <c r="U633" s="24" t="inlineStr">
        <is>
          <t>settled</t>
        </is>
      </c>
      <c r="V633" s="24" t="inlineStr">
        <is>
          <t>loss</t>
        </is>
      </c>
      <c r="W633" s="26" t="n">
        <v>45</v>
      </c>
      <c r="X633" s="26" t="n">
        <v>17</v>
      </c>
      <c r="Y633" s="25" t="n"/>
      <c r="Z633" s="26" t="n"/>
      <c r="AA633" s="28" t="n"/>
      <c r="AB633" s="28" t="n"/>
      <c r="AC633" s="30" t="n">
        <v>-1</v>
      </c>
      <c r="AD633" s="24" t="inlineStr">
        <is>
          <t>2026-09-27T04:32:19.806893Z</t>
        </is>
      </c>
      <c r="AE633" s="31" t="inlineStr">
        <is>
          <t>Projected home margin -2.0 pts. Spread: Home +11.5 / Away -11.5 -&gt; P(Away cover)=0.307, P(Home cover)=0.693, P(Push)=0.000.</t>
        </is>
      </c>
      <c r="AF633" s="31" t="inlineStr">
        <is>
          <t>College football model; multi-market (moneyline, spread, total).</t>
        </is>
      </c>
      <c r="AG633" s="24" t="inlineStr">
        <is>
          <t>review_required</t>
        </is>
      </c>
      <c r="AH633" s="24" t="n"/>
      <c r="AI633" s="31" t="n"/>
      <c r="AJ633" s="31" t="n"/>
      <c r="AK633" s="24" t="inlineStr">
        <is>
          <t>model_qualified</t>
        </is>
      </c>
      <c r="AL633" s="26" t="n">
        <v>4</v>
      </c>
      <c r="AM633" s="24" t="inlineStr">
        <is>
          <t>QUALIFIED_SHADOW_CALL</t>
        </is>
      </c>
      <c r="AN633" s="24" t="inlineStr">
        <is>
          <t>CALL</t>
        </is>
      </c>
      <c r="AO633" s="24" t="inlineStr">
        <is>
          <t>QUALIFIED</t>
        </is>
      </c>
      <c r="AP633" s="24" t="inlineStr">
        <is>
          <t>Florida Atlantic Owls</t>
        </is>
      </c>
      <c r="AQ633" s="24" t="inlineStr">
        <is>
          <t>Florida Atlantic Owls</t>
        </is>
      </c>
      <c r="AR633" s="24" t="inlineStr">
        <is>
          <t>Florida Atlantic Owls</t>
        </is>
      </c>
      <c r="AS633" s="24" t="inlineStr">
        <is>
          <t>UL Monroe Warhawks</t>
        </is>
      </c>
      <c r="AT633" s="24" t="inlineStr">
        <is>
          <t>UL Monroe Warhawks</t>
        </is>
      </c>
      <c r="AU633" s="24" t="inlineStr">
        <is>
          <t>UL Monroe Warhawks</t>
        </is>
      </c>
      <c r="AV633" s="24" t="n"/>
      <c r="AW633" s="24" t="n"/>
      <c r="AX633" s="24" t="inlineStr">
        <is>
          <t>statistical_model</t>
        </is>
      </c>
      <c r="AY633" s="24" t="n"/>
      <c r="AZ633" s="24" t="inlineStr">
        <is>
          <t>shadow_qualified</t>
        </is>
      </c>
      <c r="BA633" s="24" t="inlineStr">
        <is>
          <t>1d168f11d221cd3c</t>
        </is>
      </c>
      <c r="BB633" s="24" t="inlineStr">
        <is>
          <t>cfb_key_number_engine</t>
        </is>
      </c>
      <c r="BC633" s="24" t="inlineStr">
        <is>
          <t>cfb-spread-v1</t>
        </is>
      </c>
      <c r="BD633" s="24" t="inlineStr">
        <is>
          <t>1d168f11d221cd3c</t>
        </is>
      </c>
      <c r="BE633" s="24" t="inlineStr">
        <is>
          <t>cfb-v1</t>
        </is>
      </c>
      <c r="BF633" s="24" t="inlineStr">
        <is>
          <t>1</t>
        </is>
      </c>
      <c r="BG633" s="24" t="inlineStr">
        <is>
          <t>1d168f11d221cd3c</t>
        </is>
      </c>
      <c r="BH633" s="24" t="inlineStr">
        <is>
          <t>2026-09-26T22:34:32.504573+00:00</t>
        </is>
      </c>
      <c r="BI633" s="24" t="inlineStr">
        <is>
          <t>["same_event","same_team_same_day","same_league_same_day"]</t>
        </is>
      </c>
      <c r="BJ633" s="25" t="n">
        <v>11.5</v>
      </c>
      <c r="BK633" s="26" t="n">
        <v>-108</v>
      </c>
      <c r="BL633" s="27" t="n">
        <v>1.925926</v>
      </c>
      <c r="BM633" s="28" t="n">
        <v>0.519231</v>
      </c>
      <c r="BN633" s="28" t="n"/>
      <c r="BO633" s="28" t="n"/>
      <c r="BP633" s="25" t="n"/>
      <c r="BQ633" s="27" t="n"/>
      <c r="BR633" s="28" t="n"/>
      <c r="BS633" s="28" t="n"/>
      <c r="BT633" s="28" t="n"/>
      <c r="BU633" s="25" t="n"/>
      <c r="BV633" s="29" t="n"/>
      <c r="BW633" s="24" t="n"/>
      <c r="BX633" s="30" t="n"/>
      <c r="BY633" s="27" t="n"/>
      <c r="BZ633" s="24" t="n"/>
      <c r="CA633" s="31" t="n"/>
      <c r="CB633" s="24" t="n"/>
      <c r="CC633" s="24" t="n"/>
      <c r="CD633" s="24" t="n"/>
      <c r="CE633" s="24" t="n"/>
      <c r="CF633" s="24" t="n"/>
      <c r="CG633" s="24" t="n"/>
      <c r="CH633" s="24" t="n"/>
      <c r="CI633" s="24" t="n"/>
      <c r="CJ633" s="24" t="n"/>
      <c r="CK633" s="24" t="n"/>
      <c r="CL633" s="24" t="n"/>
      <c r="CM633" s="24" t="n"/>
      <c r="CN633" s="24" t="n"/>
      <c r="CO633" s="24" t="n"/>
      <c r="CP633" s="24" t="n"/>
      <c r="CQ633" s="24" t="n"/>
      <c r="CR633" s="24" t="n"/>
      <c r="CS633" s="24" t="inlineStr">
        <is>
          <t>True</t>
        </is>
      </c>
      <c r="CT633" s="24" t="n"/>
      <c r="CU633" s="24" t="n"/>
      <c r="CV633" s="24" t="n"/>
      <c r="CW633" s="24" t="n"/>
      <c r="CX633" s="24" t="n"/>
      <c r="CY633" s="24" t="n"/>
      <c r="CZ633" s="24" t="n"/>
      <c r="DA633" s="24" t="n"/>
      <c r="DB633" s="24" t="n"/>
      <c r="DC633" s="24" t="n"/>
      <c r="DD633" s="24" t="n"/>
      <c r="DE633" s="24" t="n"/>
      <c r="DF633" s="24" t="n"/>
      <c r="DG633" s="24" t="n"/>
      <c r="DH633" s="24" t="n"/>
      <c r="DI633" s="24" t="n"/>
      <c r="DJ633" s="24" t="inlineStr">
        <is>
          <t>0.519231</t>
        </is>
      </c>
      <c r="DK633" s="24" t="n"/>
      <c r="DL633" s="24" t="n"/>
      <c r="DM633" s="24" t="n"/>
      <c r="DN633" s="24" t="n"/>
      <c r="DO633" s="24" t="n"/>
      <c r="DP633" s="24" t="n"/>
      <c r="DQ633" s="24" t="inlineStr">
        <is>
          <t>{"artifact_hash": "1d168f11d221cd3c", "event_id": "401862782", "event_start_utc": "2026-09-27T00:00Z", "features": {"altitude_fatigue_penalty": 0.0, "away_team": "Florida Atlantic Owls", "efficiency_gap": -0.321, "elo_away": 1256.5, "elo_home": 1138.8, "elo_home_win_prob": 0.4248, "event_id": "401862782", "game_start_utc": "2026-09-27T00:00Z", "home_field_advantage_points": 2.8, "home_team": "UL Monroe Warhawks", "is_dome": false, "is_fbs_vs_fcs": false, "is_neutral_site": false, "projected_away_points": 27.3, "projected_home_points": 25.3, "projected_margin_home": -2.0, "projected_possessions": 12.4, "projected_total": 52.5, "stadium_elevation_ft": 80, "travel_distance_miles": 835.0, "uncertainty": 0.165, "weather_total_adjustment": 0.0}, "historical_source_observation_times_verified": false, "inference_inputs": {"engine_source_sha256": "449ba2f0e86fa9c445730076a0e0bf100fb4914620be53c75c6f3bfe24298f3f", "mu_away": 27.3, "mu_home": 25.3,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304738719507377305323102776162136981668}, "uinteger": 0}, "spread_home_line": 11.5, "total_line": 58.5}, "market_type": "spread", "model_version": "cfb-spread-v1", "observed_at_utc": "2026-09-26T22:34:32.504573+00:00", "probabilities": {"away": 0.306867, "home": 0.693133, "push": 0.0}, "replay_scope": "Full precision score means, exact engine parameters and original RNG state; upstream feature construction not certified.", "schema": "cfb-joint-replay-v1", "snapshot_hash": "53c93a5ac0109e5d8fa84de478fc962fffae7ab8c94f597529131f3c445197b8", "sport": "NCAAF"}</t>
        </is>
      </c>
    </row>
    <row r="634" ht="36" customHeight="1">
      <c r="A634" s="24" t="inlineStr">
        <is>
          <t>4f77318715f841e1</t>
        </is>
      </c>
      <c r="B634" s="24" t="inlineStr">
        <is>
          <t>2026-09-26T22:34:32.504573Z</t>
        </is>
      </c>
      <c r="C634" s="24" t="inlineStr">
        <is>
          <t>2026-09-27T00:00Z</t>
        </is>
      </c>
      <c r="D634" s="24" t="inlineStr">
        <is>
          <t>401862782</t>
        </is>
      </c>
      <c r="E634" s="24" t="inlineStr">
        <is>
          <t>NCAAF</t>
        </is>
      </c>
      <c r="F634" s="24" t="inlineStr">
        <is>
          <t>Florida Atlantic Owls</t>
        </is>
      </c>
      <c r="G634" s="24" t="inlineStr">
        <is>
          <t>UL Monroe Warhawks</t>
        </is>
      </c>
      <c r="H634" s="24" t="inlineStr">
        <is>
          <t>total</t>
        </is>
      </c>
      <c r="I634" s="24" t="inlineStr">
        <is>
          <t>under</t>
        </is>
      </c>
      <c r="J634" s="25" t="n">
        <v>58.5</v>
      </c>
      <c r="K634" s="24" t="inlineStr">
        <is>
          <t>espn_consensus</t>
        </is>
      </c>
      <c r="L634" s="26" t="n">
        <v>-115</v>
      </c>
      <c r="M634" s="27" t="n">
        <v>1.869565</v>
      </c>
      <c r="N634" s="28" t="n">
        <v>0.534884</v>
      </c>
      <c r="O634" s="28" t="n">
        <v>0.633</v>
      </c>
      <c r="P634" s="28" t="n">
        <v>0.165</v>
      </c>
      <c r="Q634" s="28" t="n">
        <v>0.09811599999999999</v>
      </c>
      <c r="R634" s="26" t="n">
        <v>0</v>
      </c>
      <c r="S634" s="29" t="n">
        <v>1</v>
      </c>
      <c r="T634" s="24" t="inlineStr">
        <is>
          <t>cfb-total-v1</t>
        </is>
      </c>
      <c r="U634" s="24" t="inlineStr">
        <is>
          <t>settled</t>
        </is>
      </c>
      <c r="V634" s="24" t="inlineStr">
        <is>
          <t>loss</t>
        </is>
      </c>
      <c r="W634" s="26" t="n">
        <v>45</v>
      </c>
      <c r="X634" s="26" t="n">
        <v>17</v>
      </c>
      <c r="Y634" s="25" t="n"/>
      <c r="Z634" s="26" t="n"/>
      <c r="AA634" s="28" t="n"/>
      <c r="AB634" s="28" t="n"/>
      <c r="AC634" s="30" t="n">
        <v>-1</v>
      </c>
      <c r="AD634" s="24" t="inlineStr">
        <is>
          <t>2026-09-27T04:32:20.454658Z</t>
        </is>
      </c>
      <c r="AE634" s="31" t="inlineStr">
        <is>
          <t>Projected total 52.5 pts (Weather adj: +0.0 pts). Total line 58.5 -&gt; P(Over)=0.367, P(Under)=0.633, P(Push)=0.000.</t>
        </is>
      </c>
      <c r="AF634" s="31" t="inlineStr">
        <is>
          <t>College football model; multi-market (moneyline, spread, total).</t>
        </is>
      </c>
      <c r="AG634" s="24" t="inlineStr">
        <is>
          <t>review_required</t>
        </is>
      </c>
      <c r="AH634" s="24" t="n"/>
      <c r="AI634" s="31" t="n"/>
      <c r="AJ634" s="31" t="n"/>
      <c r="AK634" s="24" t="inlineStr">
        <is>
          <t>model_qualified</t>
        </is>
      </c>
      <c r="AL634" s="26" t="n">
        <v>4</v>
      </c>
      <c r="AM634" s="24" t="inlineStr">
        <is>
          <t>QUALIFIED_SHADOW_CALL</t>
        </is>
      </c>
      <c r="AN634" s="24" t="inlineStr">
        <is>
          <t>CALL</t>
        </is>
      </c>
      <c r="AO634" s="24" t="inlineStr">
        <is>
          <t>QUALIFIED</t>
        </is>
      </c>
      <c r="AP634" s="24" t="inlineStr">
        <is>
          <t>Florida Atlantic Owls</t>
        </is>
      </c>
      <c r="AQ634" s="24" t="inlineStr">
        <is>
          <t>Florida Atlantic Owls</t>
        </is>
      </c>
      <c r="AR634" s="24" t="inlineStr">
        <is>
          <t>Florida Atlantic Owls</t>
        </is>
      </c>
      <c r="AS634" s="24" t="inlineStr">
        <is>
          <t>UL Monroe Warhawks</t>
        </is>
      </c>
      <c r="AT634" s="24" t="inlineStr">
        <is>
          <t>UL Monroe Warhawks</t>
        </is>
      </c>
      <c r="AU634" s="24" t="inlineStr">
        <is>
          <t>UL Monroe Warhawks</t>
        </is>
      </c>
      <c r="AV634" s="24" t="n"/>
      <c r="AW634" s="24" t="n"/>
      <c r="AX634" s="24" t="inlineStr">
        <is>
          <t>statistical_model</t>
        </is>
      </c>
      <c r="AY634" s="24" t="n"/>
      <c r="AZ634" s="24" t="inlineStr">
        <is>
          <t>shadow_qualified</t>
        </is>
      </c>
      <c r="BA634" s="24" t="inlineStr">
        <is>
          <t>1d168f11d221cd3c</t>
        </is>
      </c>
      <c r="BB634" s="24" t="inlineStr">
        <is>
          <t>cfb_key_number_engine</t>
        </is>
      </c>
      <c r="BC634" s="24" t="inlineStr">
        <is>
          <t>cfb-total-v1</t>
        </is>
      </c>
      <c r="BD634" s="24" t="inlineStr">
        <is>
          <t>1d168f11d221cd3c</t>
        </is>
      </c>
      <c r="BE634" s="24" t="inlineStr">
        <is>
          <t>cfb-v1</t>
        </is>
      </c>
      <c r="BF634" s="24" t="inlineStr">
        <is>
          <t>1</t>
        </is>
      </c>
      <c r="BG634" s="24" t="inlineStr">
        <is>
          <t>1d168f11d221cd3c</t>
        </is>
      </c>
      <c r="BH634" s="24" t="inlineStr">
        <is>
          <t>2026-09-26T22:34:32.504573+00:00</t>
        </is>
      </c>
      <c r="BI634" s="24" t="inlineStr">
        <is>
          <t>["same_event","same_team_same_day","same_league_same_day"]</t>
        </is>
      </c>
      <c r="BJ634" s="25" t="n">
        <v>58.5</v>
      </c>
      <c r="BK634" s="26" t="n">
        <v>-115</v>
      </c>
      <c r="BL634" s="27" t="n">
        <v>1.869565</v>
      </c>
      <c r="BM634" s="28" t="n">
        <v>0.534884</v>
      </c>
      <c r="BN634" s="28" t="n"/>
      <c r="BO634" s="28" t="n"/>
      <c r="BP634" s="25" t="n"/>
      <c r="BQ634" s="27" t="n"/>
      <c r="BR634" s="28" t="n"/>
      <c r="BS634" s="28" t="n"/>
      <c r="BT634" s="28" t="n"/>
      <c r="BU634" s="25" t="n"/>
      <c r="BV634" s="29" t="n"/>
      <c r="BW634" s="24" t="n"/>
      <c r="BX634" s="30" t="n"/>
      <c r="BY634" s="27" t="n"/>
      <c r="BZ634" s="24" t="n"/>
      <c r="CA634" s="31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inlineStr">
        <is>
          <t>True</t>
        </is>
      </c>
      <c r="CT634" s="24" t="n"/>
      <c r="CU634" s="24" t="n"/>
      <c r="CV634" s="24" t="n"/>
      <c r="CW634" s="24" t="n"/>
      <c r="CX634" s="24" t="n"/>
      <c r="CY634" s="24" t="n"/>
      <c r="CZ634" s="24" t="n"/>
      <c r="DA634" s="24" t="n"/>
      <c r="DB634" s="24" t="n"/>
      <c r="DC634" s="24" t="n"/>
      <c r="DD634" s="24" t="n"/>
      <c r="DE634" s="24" t="n"/>
      <c r="DF634" s="24" t="n"/>
      <c r="DG634" s="24" t="n"/>
      <c r="DH634" s="24" t="n"/>
      <c r="DI634" s="24" t="n"/>
      <c r="DJ634" s="24" t="inlineStr">
        <is>
          <t>0.534884</t>
        </is>
      </c>
      <c r="DK634" s="24" t="n"/>
      <c r="DL634" s="24" t="n"/>
      <c r="DM634" s="24" t="n"/>
      <c r="DN634" s="24" t="n"/>
      <c r="DO634" s="24" t="n"/>
      <c r="DP634" s="24" t="n"/>
      <c r="DQ634" s="24" t="inlineStr">
        <is>
          <t>{"artifact_hash": "1d168f11d221cd3c", "event_id": "401862782", "event_start_utc": "2026-09-27T00:00Z", "features": {"altitude_fatigue_penalty": 0.0, "away_team": "Florida Atlantic Owls", "efficiency_gap": -0.321, "elo_away": 1256.5, "elo_home": 1138.8, "elo_home_win_prob": 0.4248, "event_id": "401862782", "game_start_utc": "2026-09-27T00:00Z", "home_field_advantage_points": 2.8, "home_team": "UL Monroe Warhawks", "is_dome": false, "is_fbs_vs_fcs": false, "is_neutral_site": false, "projected_away_points": 27.3, "projected_home_points": 25.3, "projected_margin_home": -2.0, "projected_possessions": 12.4, "projected_total": 52.5, "stadium_elevation_ft": 80, "travel_distance_miles": 835.0, "uncertainty": 0.165, "weather_total_adjustment": 0.0}, "historical_source_observation_times_verified": false, "inference_inputs": {"engine_source_sha256": "449ba2f0e86fa9c445730076a0e0bf100fb4914620be53c75c6f3bfe24298f3f", "mu_away": 27.3, "mu_home": 25.3,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304738719507377305323102776162136981668}, "uinteger": 0}, "spread_home_line": 11.5, "total_line": 58.5}, "market_type": "total", "model_version": "cfb-total-v1", "observed_at_utc": "2026-09-26T22:34:32.504573+00:00", "probabilities": {"over": 0.367, "push": 0.0, "under": 0.633}, "replay_scope": "Full precision score means, exact engine parameters and original RNG state; upstream feature construction not certified.", "schema": "cfb-joint-replay-v1", "snapshot_hash": "d2c4ad75abc1838c5213c907936e8947f8dae610e779cc793e4d98715b791cc7", "sport": "NCAAF"}</t>
        </is>
      </c>
    </row>
    <row r="635" ht="36" customHeight="1">
      <c r="A635" s="24" t="inlineStr">
        <is>
          <t>fc4d00b8b56f402c</t>
        </is>
      </c>
      <c r="B635" s="24" t="inlineStr">
        <is>
          <t>2026-09-26T22:34:32.504573Z</t>
        </is>
      </c>
      <c r="C635" s="24" t="inlineStr">
        <is>
          <t>2026-09-27T01:00Z</t>
        </is>
      </c>
      <c r="D635" s="24" t="inlineStr">
        <is>
          <t>401858241</t>
        </is>
      </c>
      <c r="E635" s="24" t="inlineStr">
        <is>
          <t>NCAAF</t>
        </is>
      </c>
      <c r="F635" s="24" t="inlineStr">
        <is>
          <t>Missouri State Bears</t>
        </is>
      </c>
      <c r="G635" s="24" t="inlineStr">
        <is>
          <t>SMU Mustangs</t>
        </is>
      </c>
      <c r="H635" s="24" t="inlineStr">
        <is>
          <t>moneyline</t>
        </is>
      </c>
      <c r="I635" s="24" t="inlineStr">
        <is>
          <t>home</t>
        </is>
      </c>
      <c r="J635" s="25" t="n"/>
      <c r="K635" s="24" t="inlineStr">
        <is>
          <t>espn_consensus</t>
        </is>
      </c>
      <c r="L635" s="26" t="n">
        <v>-9000</v>
      </c>
      <c r="M635" s="27" t="n">
        <v>1.011111</v>
      </c>
      <c r="N635" s="28" t="n">
        <v>0.989011</v>
      </c>
      <c r="O635" s="28" t="n">
        <v>0.852125</v>
      </c>
      <c r="P635" s="28" t="n">
        <v>0.18</v>
      </c>
      <c r="Q635" s="28" t="n">
        <v>-0.136886</v>
      </c>
      <c r="R635" s="26" t="n">
        <v>0</v>
      </c>
      <c r="S635" s="29" t="n">
        <v>1</v>
      </c>
      <c r="T635" s="24" t="inlineStr">
        <is>
          <t>college-football-v1</t>
        </is>
      </c>
      <c r="U635" s="24" t="inlineStr">
        <is>
          <t>settled</t>
        </is>
      </c>
      <c r="V635" s="24" t="inlineStr">
        <is>
          <t>win</t>
        </is>
      </c>
      <c r="W635" s="26" t="n">
        <v>24</v>
      </c>
      <c r="X635" s="26" t="n">
        <v>34</v>
      </c>
      <c r="Y635" s="25" t="n"/>
      <c r="Z635" s="26" t="n"/>
      <c r="AA635" s="28" t="n"/>
      <c r="AB635" s="28" t="n"/>
      <c r="AC635" s="30" t="n">
        <v>0.0111</v>
      </c>
      <c r="AD635" s="24" t="inlineStr">
        <is>
          <t>2026-09-27T04:32:21.064902Z</t>
        </is>
      </c>
      <c r="AE635" s="31" t="inlineStr">
        <is>
          <t>CFB Joint Model (negative_binomial): proj score Missouri State Bears 17.0 @ SMU Mustangs 36.6 (Margin +19.5). Possessions: 12.4, HFA: +2.8 pts.</t>
        </is>
      </c>
      <c r="AF635" s="31" t="inlineStr">
        <is>
          <t>College football model; multi-market (moneyline, spread, total).</t>
        </is>
      </c>
      <c r="AG635" s="24" t="inlineStr">
        <is>
          <t>not_applicable</t>
        </is>
      </c>
      <c r="AH635" s="24" t="n"/>
      <c r="AI635" s="31" t="n"/>
      <c r="AJ635" s="31" t="n"/>
      <c r="AK635" s="24" t="inlineStr">
        <is>
          <t>paper_call</t>
        </is>
      </c>
      <c r="AL635" s="26" t="n">
        <v>4</v>
      </c>
      <c r="AM635" s="24" t="inlineStr">
        <is>
          <t>RESEARCH_OBSERVATION</t>
        </is>
      </c>
      <c r="AN635" s="24" t="inlineStr">
        <is>
          <t>CALL</t>
        </is>
      </c>
      <c r="AO635" s="24" t="inlineStr">
        <is>
          <t>PAPER_CALL_LOW_EDGE</t>
        </is>
      </c>
      <c r="AP635" s="24" t="inlineStr">
        <is>
          <t>Missouri State Bears</t>
        </is>
      </c>
      <c r="AQ635" s="24" t="inlineStr">
        <is>
          <t>Missouri State Bears</t>
        </is>
      </c>
      <c r="AR635" s="24" t="inlineStr">
        <is>
          <t>Missouri State Bears</t>
        </is>
      </c>
      <c r="AS635" s="24" t="inlineStr">
        <is>
          <t>SMU Mustangs</t>
        </is>
      </c>
      <c r="AT635" s="24" t="inlineStr">
        <is>
          <t>SMU Mustangs</t>
        </is>
      </c>
      <c r="AU635" s="24" t="inlineStr">
        <is>
          <t>SMU Mustangs</t>
        </is>
      </c>
      <c r="AV635" s="24" t="n"/>
      <c r="AW635" s="24" t="n"/>
      <c r="AX635" s="24" t="inlineStr">
        <is>
          <t>statistical_model</t>
        </is>
      </c>
      <c r="AY635" s="24" t="n"/>
      <c r="AZ635" s="24" t="inlineStr">
        <is>
          <t>shadow_qualified</t>
        </is>
      </c>
      <c r="BA635" s="24" t="inlineStr">
        <is>
          <t>1d168f11d221cd3c</t>
        </is>
      </c>
      <c r="BB635" s="24" t="inlineStr">
        <is>
          <t>cfb_key_number_engine</t>
        </is>
      </c>
      <c r="BC635" s="24" t="inlineStr">
        <is>
          <t>college-football-v1</t>
        </is>
      </c>
      <c r="BD635" s="24" t="inlineStr">
        <is>
          <t>1d168f11d221cd3c</t>
        </is>
      </c>
      <c r="BE635" s="24" t="inlineStr">
        <is>
          <t>cfb-v1</t>
        </is>
      </c>
      <c r="BF635" s="24" t="inlineStr">
        <is>
          <t>1</t>
        </is>
      </c>
      <c r="BG635" s="24" t="inlineStr">
        <is>
          <t>1d168f11d221cd3c</t>
        </is>
      </c>
      <c r="BH635" s="24" t="inlineStr">
        <is>
          <t>2026-09-26T22:34:32.504573+00:00</t>
        </is>
      </c>
      <c r="BI635" s="24" t="inlineStr">
        <is>
          <t>["same_event","same_team_same_day","same_league_same_day"]</t>
        </is>
      </c>
      <c r="BJ635" s="25" t="n"/>
      <c r="BK635" s="26" t="n">
        <v>-9000</v>
      </c>
      <c r="BL635" s="27" t="n">
        <v>1.011111</v>
      </c>
      <c r="BM635" s="28" t="n">
        <v>0.989011</v>
      </c>
      <c r="BN635" s="28" t="n"/>
      <c r="BO635" s="28" t="n"/>
      <c r="BP635" s="25" t="n"/>
      <c r="BQ635" s="27" t="n"/>
      <c r="BR635" s="28" t="n"/>
      <c r="BS635" s="28" t="n"/>
      <c r="BT635" s="28" t="n"/>
      <c r="BU635" s="25" t="n"/>
      <c r="BV635" s="29" t="n"/>
      <c r="BW635" s="24" t="n"/>
      <c r="BX635" s="30" t="n">
        <v>1</v>
      </c>
      <c r="BY635" s="27" t="n">
        <v>0.011111</v>
      </c>
      <c r="BZ635" s="24" t="inlineStr">
        <is>
          <t>2026-09-27T04:32:21.064902Z</t>
        </is>
      </c>
      <c r="CA635" s="31" t="inlineStr">
        <is>
          <t>fixed one-unit hypothetical scoring; no real exposure or execution</t>
        </is>
      </c>
      <c r="CB635" s="24" t="n"/>
      <c r="CC635" s="24" t="n"/>
      <c r="CD635" s="24" t="n"/>
      <c r="CE635" s="24" t="n"/>
      <c r="CF635" s="24" t="n"/>
      <c r="CG635" s="24" t="n"/>
      <c r="CH635" s="24" t="n"/>
      <c r="CI635" s="24" t="n"/>
      <c r="CJ635" s="24" t="n"/>
      <c r="CK635" s="24" t="n"/>
      <c r="CL635" s="24" t="n"/>
      <c r="CM635" s="24" t="n"/>
      <c r="CN635" s="24" t="n"/>
      <c r="CO635" s="24" t="n"/>
      <c r="CP635" s="24" t="n"/>
      <c r="CQ635" s="24" t="n"/>
      <c r="CR635" s="24" t="n"/>
      <c r="CS635" s="24" t="inlineStr">
        <is>
          <t>False</t>
        </is>
      </c>
      <c r="CT635" s="24" t="n"/>
      <c r="CU635" s="24" t="n"/>
      <c r="CV635" s="24" t="n"/>
      <c r="CW635" s="24" t="n"/>
      <c r="CX635" s="24" t="n"/>
      <c r="CY635" s="24" t="n"/>
      <c r="CZ635" s="24" t="n"/>
      <c r="DA635" s="24" t="n"/>
      <c r="DB635" s="24" t="n"/>
      <c r="DC635" s="24" t="n"/>
      <c r="DD635" s="24" t="n"/>
      <c r="DE635" s="24" t="n"/>
      <c r="DF635" s="24" t="n"/>
      <c r="DG635" s="24" t="n"/>
      <c r="DH635" s="24" t="n"/>
      <c r="DI635" s="24" t="n"/>
      <c r="DJ635" s="24" t="inlineStr">
        <is>
          <t>0.989011</t>
        </is>
      </c>
      <c r="DK635" s="24" t="n"/>
      <c r="DL635" s="24" t="n"/>
      <c r="DM635" s="24" t="n"/>
      <c r="DN635" s="24" t="n"/>
      <c r="DO635" s="24" t="n"/>
      <c r="DP635" s="24" t="n"/>
      <c r="DQ635" s="24" t="inlineStr">
        <is>
          <t>{"artifact_hash": "1d168f11d221cd3c", "event_id": "401858241", "event_start_utc": "2026-09-27T01:00Z", "features": {"altitude_fatigue_penalty": 0.0, "away_team": "Missouri State Bears", "efficiency_gap": 1.158, "elo_away": 1337.5, "elo_home": 1750.8, "elo_home_win_prob": 0.9401, "event_id": "401858241", "game_start_utc": "2026-09-27T01:00Z", "home_field_advantage_points": 2.8, "home_team": "SMU Mustangs", "is_dome": false, "is_fbs_vs_fcs": false, "is_neutral_site": false, "projected_away_points": 17.0, "projected_home_points": 36.6, "projected_margin_home": 19.5,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148775390785963503476179327483296824674}, "uinteger": 0}, "spread_home_line": -30.5, "total_line": 60.5}, "market_type": "moneyline", "model_version": "college-football-v1", "observed_at_utc": "2026-09-26T22:34:32.504573+00:00", "probabilities": {"away": 0.147875, "home": 0.852125}, "replay_scope": "Full precision score means, exact engine parameters and original RNG state; upstream feature construction not certified.", "schema": "cfb-joint-replay-v1", "snapshot_hash": "2785dc7107a14c2d6ef8a4002613415d3f93617d297ba94d1a29cb52ffa29a47", "sport": "NCAAF"}</t>
        </is>
      </c>
    </row>
    <row r="636" ht="36" customHeight="1">
      <c r="A636" s="24" t="inlineStr">
        <is>
          <t>633426a7ebfa40ff</t>
        </is>
      </c>
      <c r="B636" s="24" t="inlineStr">
        <is>
          <t>2026-09-26T22:34:32.504573Z</t>
        </is>
      </c>
      <c r="C636" s="24" t="inlineStr">
        <is>
          <t>2026-09-27T01:00Z</t>
        </is>
      </c>
      <c r="D636" s="24" t="inlineStr">
        <is>
          <t>401858241</t>
        </is>
      </c>
      <c r="E636" s="24" t="inlineStr">
        <is>
          <t>NCAAF</t>
        </is>
      </c>
      <c r="F636" s="24" t="inlineStr">
        <is>
          <t>Missouri State Bears</t>
        </is>
      </c>
      <c r="G636" s="24" t="inlineStr">
        <is>
          <t>SMU Mustangs</t>
        </is>
      </c>
      <c r="H636" s="24" t="inlineStr">
        <is>
          <t>spread</t>
        </is>
      </c>
      <c r="I636" s="24" t="inlineStr">
        <is>
          <t>away</t>
        </is>
      </c>
      <c r="J636" s="25" t="n">
        <v>30.5</v>
      </c>
      <c r="K636" s="24" t="inlineStr">
        <is>
          <t>espn_consensus</t>
        </is>
      </c>
      <c r="L636" s="26" t="n">
        <v>-105</v>
      </c>
      <c r="M636" s="27" t="n">
        <v>1.952381</v>
      </c>
      <c r="N636" s="28" t="n">
        <v>0.512195</v>
      </c>
      <c r="O636" s="28" t="n">
        <v>0.729267</v>
      </c>
      <c r="P636" s="28" t="n">
        <v>0.18</v>
      </c>
      <c r="Q636" s="28" t="n">
        <v>0.217072</v>
      </c>
      <c r="R636" s="26" t="n">
        <v>51</v>
      </c>
      <c r="S636" s="29" t="n">
        <v>1.25</v>
      </c>
      <c r="T636" s="24" t="inlineStr">
        <is>
          <t>cfb-spread-v1</t>
        </is>
      </c>
      <c r="U636" s="24" t="inlineStr">
        <is>
          <t>settled</t>
        </is>
      </c>
      <c r="V636" s="24" t="inlineStr">
        <is>
          <t>win</t>
        </is>
      </c>
      <c r="W636" s="26" t="n">
        <v>24</v>
      </c>
      <c r="X636" s="26" t="n">
        <v>34</v>
      </c>
      <c r="Y636" s="25" t="n"/>
      <c r="Z636" s="26" t="n"/>
      <c r="AA636" s="28" t="n"/>
      <c r="AB636" s="28" t="n"/>
      <c r="AC636" s="30" t="n">
        <v>1.1905</v>
      </c>
      <c r="AD636" s="24" t="inlineStr">
        <is>
          <t>2026-09-27T04:32:21.574643Z</t>
        </is>
      </c>
      <c r="AE636" s="31" t="inlineStr">
        <is>
          <t>Projected home margin +19.5 pts. Spread: Home -30.5 / Away +30.5 -&gt; P(Away cover)=0.729, P(Home cover)=0.271, P(Push)=0.000.</t>
        </is>
      </c>
      <c r="AF636" s="31" t="inlineStr">
        <is>
          <t>College football model; multi-market (moneyline, spread, total).</t>
        </is>
      </c>
      <c r="AG636" s="24" t="inlineStr">
        <is>
          <t>not_applicable</t>
        </is>
      </c>
      <c r="AH636" s="24" t="n"/>
      <c r="AI636" s="31" t="n"/>
      <c r="AJ636" s="31" t="n"/>
      <c r="AK636" s="24" t="inlineStr">
        <is>
          <t>model_qualified</t>
        </is>
      </c>
      <c r="AL636" s="26" t="n">
        <v>4</v>
      </c>
      <c r="AM636" s="24" t="inlineStr">
        <is>
          <t>QUALIFIED_SHADOW_CALL</t>
        </is>
      </c>
      <c r="AN636" s="24" t="inlineStr">
        <is>
          <t>CALL</t>
        </is>
      </c>
      <c r="AO636" s="24" t="inlineStr">
        <is>
          <t>QUALIFIED</t>
        </is>
      </c>
      <c r="AP636" s="24" t="inlineStr">
        <is>
          <t>Missouri State Bears</t>
        </is>
      </c>
      <c r="AQ636" s="24" t="inlineStr">
        <is>
          <t>Missouri State Bears</t>
        </is>
      </c>
      <c r="AR636" s="24" t="inlineStr">
        <is>
          <t>Missouri State Bears</t>
        </is>
      </c>
      <c r="AS636" s="24" t="inlineStr">
        <is>
          <t>SMU Mustangs</t>
        </is>
      </c>
      <c r="AT636" s="24" t="inlineStr">
        <is>
          <t>SMU Mustangs</t>
        </is>
      </c>
      <c r="AU636" s="24" t="inlineStr">
        <is>
          <t>SMU Mustangs</t>
        </is>
      </c>
      <c r="AV636" s="24" t="n"/>
      <c r="AW636" s="24" t="n"/>
      <c r="AX636" s="24" t="inlineStr">
        <is>
          <t>statistical_model</t>
        </is>
      </c>
      <c r="AY636" s="24" t="n"/>
      <c r="AZ636" s="24" t="inlineStr">
        <is>
          <t>shadow_qualified</t>
        </is>
      </c>
      <c r="BA636" s="24" t="inlineStr">
        <is>
          <t>1d168f11d221cd3c</t>
        </is>
      </c>
      <c r="BB636" s="24" t="inlineStr">
        <is>
          <t>cfb_key_number_engine</t>
        </is>
      </c>
      <c r="BC636" s="24" t="inlineStr">
        <is>
          <t>cfb-spread-v1</t>
        </is>
      </c>
      <c r="BD636" s="24" t="inlineStr">
        <is>
          <t>1d168f11d221cd3c</t>
        </is>
      </c>
      <c r="BE636" s="24" t="inlineStr">
        <is>
          <t>cfb-v1</t>
        </is>
      </c>
      <c r="BF636" s="24" t="inlineStr">
        <is>
          <t>1</t>
        </is>
      </c>
      <c r="BG636" s="24" t="inlineStr">
        <is>
          <t>1d168f11d221cd3c</t>
        </is>
      </c>
      <c r="BH636" s="24" t="inlineStr">
        <is>
          <t>2026-09-26T22:34:32.504573+00:00</t>
        </is>
      </c>
      <c r="BI636" s="24" t="inlineStr">
        <is>
          <t>["same_event","same_team_same_day","same_league_same_day"]</t>
        </is>
      </c>
      <c r="BJ636" s="25" t="n">
        <v>30.5</v>
      </c>
      <c r="BK636" s="26" t="n">
        <v>-105</v>
      </c>
      <c r="BL636" s="27" t="n">
        <v>1.952381</v>
      </c>
      <c r="BM636" s="28" t="n">
        <v>0.512195</v>
      </c>
      <c r="BN636" s="28" t="n"/>
      <c r="BO636" s="28" t="n"/>
      <c r="BP636" s="25" t="n"/>
      <c r="BQ636" s="27" t="n"/>
      <c r="BR636" s="28" t="n"/>
      <c r="BS636" s="28" t="n"/>
      <c r="BT636" s="28" t="n"/>
      <c r="BU636" s="25" t="n"/>
      <c r="BV636" s="29" t="n"/>
      <c r="BW636" s="24" t="n"/>
      <c r="BX636" s="30" t="n"/>
      <c r="BY636" s="27" t="n"/>
      <c r="BZ636" s="24" t="n"/>
      <c r="CA636" s="31" t="n"/>
      <c r="CB636" s="24" t="n"/>
      <c r="CC636" s="24" t="n"/>
      <c r="CD636" s="24" t="n"/>
      <c r="CE636" s="24" t="n"/>
      <c r="CF636" s="24" t="n"/>
      <c r="CG636" s="24" t="n"/>
      <c r="CH636" s="24" t="n"/>
      <c r="CI636" s="24" t="n"/>
      <c r="CJ636" s="24" t="n"/>
      <c r="CK636" s="24" t="n"/>
      <c r="CL636" s="24" t="n"/>
      <c r="CM636" s="24" t="n"/>
      <c r="CN636" s="24" t="n"/>
      <c r="CO636" s="24" t="n"/>
      <c r="CP636" s="24" t="n"/>
      <c r="CQ636" s="24" t="n"/>
      <c r="CR636" s="24" t="n"/>
      <c r="CS636" s="24" t="inlineStr">
        <is>
          <t>True</t>
        </is>
      </c>
      <c r="CT636" s="24" t="n"/>
      <c r="CU636" s="24" t="n"/>
      <c r="CV636" s="24" t="n"/>
      <c r="CW636" s="24" t="n"/>
      <c r="CX636" s="24" t="n"/>
      <c r="CY636" s="24" t="n"/>
      <c r="CZ636" s="24" t="n"/>
      <c r="DA636" s="24" t="n"/>
      <c r="DB636" s="24" t="n"/>
      <c r="DC636" s="24" t="n"/>
      <c r="DD636" s="24" t="n"/>
      <c r="DE636" s="24" t="n"/>
      <c r="DF636" s="24" t="n"/>
      <c r="DG636" s="24" t="n"/>
      <c r="DH636" s="24" t="n"/>
      <c r="DI636" s="24" t="n"/>
      <c r="DJ636" s="24" t="inlineStr">
        <is>
          <t>0.512195</t>
        </is>
      </c>
      <c r="DK636" s="24" t="n"/>
      <c r="DL636" s="24" t="n"/>
      <c r="DM636" s="24" t="n"/>
      <c r="DN636" s="24" t="n"/>
      <c r="DO636" s="24" t="n"/>
      <c r="DP636" s="24" t="n"/>
      <c r="DQ636" s="24" t="inlineStr">
        <is>
          <t>{"artifact_hash": "1d168f11d221cd3c", "event_id": "401858241", "event_start_utc": "2026-09-27T01:00Z", "features": {"altitude_fatigue_penalty": 0.0, "away_team": "Missouri State Bears", "efficiency_gap": 1.158, "elo_away": 1337.5, "elo_home": 1750.8, "elo_home_win_prob": 0.9401, "event_id": "401858241", "game_start_utc": "2026-09-27T01:00Z", "home_field_advantage_points": 2.8, "home_team": "SMU Mustangs", "is_dome": false, "is_fbs_vs_fcs": false, "is_neutral_site": false, "projected_away_points": 17.0, "projected_home_points": 36.6, "projected_margin_home": 19.5,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148775390785963503476179327483296824674}, "uinteger": 0}, "spread_home_line": -30.5, "total_line": 60.5}, "market_type": "spread", "model_version": "cfb-spread-v1", "observed_at_utc": "2026-09-26T22:34:32.504573+00:00", "probabilities": {"away": 0.729267, "home": 0.270733, "push": 0.0}, "replay_scope": "Full precision score means, exact engine parameters and original RNG state; upstream feature construction not certified.", "schema": "cfb-joint-replay-v1", "snapshot_hash": "17c9091a474553645bd96cff30a00ae02286d3d24e00339d6ac97932b8cfc6b4", "sport": "NCAAF"}</t>
        </is>
      </c>
    </row>
    <row r="637" ht="36" customHeight="1">
      <c r="A637" s="24" t="inlineStr">
        <is>
          <t>cf34dec9e237418a</t>
        </is>
      </c>
      <c r="B637" s="24" t="inlineStr">
        <is>
          <t>2026-09-26T22:34:32.504573Z</t>
        </is>
      </c>
      <c r="C637" s="24" t="inlineStr">
        <is>
          <t>2026-09-27T01:00Z</t>
        </is>
      </c>
      <c r="D637" s="24" t="inlineStr">
        <is>
          <t>401858241</t>
        </is>
      </c>
      <c r="E637" s="24" t="inlineStr">
        <is>
          <t>NCAAF</t>
        </is>
      </c>
      <c r="F637" s="24" t="inlineStr">
        <is>
          <t>Missouri State Bears</t>
        </is>
      </c>
      <c r="G637" s="24" t="inlineStr">
        <is>
          <t>SMU Mustangs</t>
        </is>
      </c>
      <c r="H637" s="24" t="inlineStr">
        <is>
          <t>total</t>
        </is>
      </c>
      <c r="I637" s="24" t="inlineStr">
        <is>
          <t>under</t>
        </is>
      </c>
      <c r="J637" s="25" t="n">
        <v>60.5</v>
      </c>
      <c r="K637" s="24" t="inlineStr">
        <is>
          <t>espn_consensus</t>
        </is>
      </c>
      <c r="L637" s="26" t="n">
        <v>-112</v>
      </c>
      <c r="M637" s="27" t="n">
        <v>1.892857</v>
      </c>
      <c r="N637" s="28" t="n">
        <v>0.528302</v>
      </c>
      <c r="O637" s="28" t="n">
        <v>0.636067</v>
      </c>
      <c r="P637" s="28" t="n">
        <v>0.18</v>
      </c>
      <c r="Q637" s="28" t="n">
        <v>0.107765</v>
      </c>
      <c r="R637" s="26" t="n">
        <v>0</v>
      </c>
      <c r="S637" s="29" t="n">
        <v>1</v>
      </c>
      <c r="T637" s="24" t="inlineStr">
        <is>
          <t>cfb-total-v1</t>
        </is>
      </c>
      <c r="U637" s="24" t="inlineStr">
        <is>
          <t>settled</t>
        </is>
      </c>
      <c r="V637" s="24" t="inlineStr">
        <is>
          <t>win</t>
        </is>
      </c>
      <c r="W637" s="26" t="n">
        <v>24</v>
      </c>
      <c r="X637" s="26" t="n">
        <v>34</v>
      </c>
      <c r="Y637" s="25" t="n"/>
      <c r="Z637" s="26" t="n"/>
      <c r="AA637" s="28" t="n"/>
      <c r="AB637" s="28" t="n"/>
      <c r="AC637" s="30" t="n">
        <v>0.8929</v>
      </c>
      <c r="AD637" s="24" t="inlineStr">
        <is>
          <t>2026-09-27T04:32:22.182313Z</t>
        </is>
      </c>
      <c r="AE637" s="31" t="inlineStr">
        <is>
          <t>Projected total 53.6 pts (Weather adj: +0.0 pts). Total line 60.5 -&gt; P(Over)=0.364, P(Under)=0.636, P(Push)=0.000.</t>
        </is>
      </c>
      <c r="AF637" s="31" t="inlineStr">
        <is>
          <t>College football model; multi-market (moneyline, spread, total).</t>
        </is>
      </c>
      <c r="AG637" s="24" t="inlineStr">
        <is>
          <t>not_applicable</t>
        </is>
      </c>
      <c r="AH637" s="24" t="n"/>
      <c r="AI637" s="31" t="n"/>
      <c r="AJ637" s="31" t="n"/>
      <c r="AK637" s="24" t="inlineStr">
        <is>
          <t>model_qualified</t>
        </is>
      </c>
      <c r="AL637" s="26" t="n">
        <v>4</v>
      </c>
      <c r="AM637" s="24" t="inlineStr">
        <is>
          <t>QUALIFIED_SHADOW_CALL</t>
        </is>
      </c>
      <c r="AN637" s="24" t="inlineStr">
        <is>
          <t>CALL</t>
        </is>
      </c>
      <c r="AO637" s="24" t="inlineStr">
        <is>
          <t>QUALIFIED</t>
        </is>
      </c>
      <c r="AP637" s="24" t="inlineStr">
        <is>
          <t>Missouri State Bears</t>
        </is>
      </c>
      <c r="AQ637" s="24" t="inlineStr">
        <is>
          <t>Missouri State Bears</t>
        </is>
      </c>
      <c r="AR637" s="24" t="inlineStr">
        <is>
          <t>Missouri State Bears</t>
        </is>
      </c>
      <c r="AS637" s="24" t="inlineStr">
        <is>
          <t>SMU Mustangs</t>
        </is>
      </c>
      <c r="AT637" s="24" t="inlineStr">
        <is>
          <t>SMU Mustangs</t>
        </is>
      </c>
      <c r="AU637" s="24" t="inlineStr">
        <is>
          <t>SMU Mustangs</t>
        </is>
      </c>
      <c r="AV637" s="24" t="n"/>
      <c r="AW637" s="24" t="n"/>
      <c r="AX637" s="24" t="inlineStr">
        <is>
          <t>statistical_model</t>
        </is>
      </c>
      <c r="AY637" s="24" t="n"/>
      <c r="AZ637" s="24" t="inlineStr">
        <is>
          <t>shadow_qualified</t>
        </is>
      </c>
      <c r="BA637" s="24" t="inlineStr">
        <is>
          <t>1d168f11d221cd3c</t>
        </is>
      </c>
      <c r="BB637" s="24" t="inlineStr">
        <is>
          <t>cfb_key_number_engine</t>
        </is>
      </c>
      <c r="BC637" s="24" t="inlineStr">
        <is>
          <t>cfb-total-v1</t>
        </is>
      </c>
      <c r="BD637" s="24" t="inlineStr">
        <is>
          <t>1d168f11d221cd3c</t>
        </is>
      </c>
      <c r="BE637" s="24" t="inlineStr">
        <is>
          <t>cfb-v1</t>
        </is>
      </c>
      <c r="BF637" s="24" t="inlineStr">
        <is>
          <t>1</t>
        </is>
      </c>
      <c r="BG637" s="24" t="inlineStr">
        <is>
          <t>1d168f11d221cd3c</t>
        </is>
      </c>
      <c r="BH637" s="24" t="inlineStr">
        <is>
          <t>2026-09-26T22:34:32.504573+00:00</t>
        </is>
      </c>
      <c r="BI637" s="24" t="inlineStr">
        <is>
          <t>["same_event","same_team_same_day","same_league_same_day"]</t>
        </is>
      </c>
      <c r="BJ637" s="25" t="n">
        <v>60.5</v>
      </c>
      <c r="BK637" s="26" t="n">
        <v>-112</v>
      </c>
      <c r="BL637" s="27" t="n">
        <v>1.892857</v>
      </c>
      <c r="BM637" s="28" t="n">
        <v>0.528302</v>
      </c>
      <c r="BN637" s="28" t="n"/>
      <c r="BO637" s="28" t="n"/>
      <c r="BP637" s="25" t="n"/>
      <c r="BQ637" s="27" t="n"/>
      <c r="BR637" s="28" t="n"/>
      <c r="BS637" s="28" t="n"/>
      <c r="BT637" s="28" t="n"/>
      <c r="BU637" s="25" t="n"/>
      <c r="BV637" s="29" t="n"/>
      <c r="BW637" s="24" t="n"/>
      <c r="BX637" s="30" t="n"/>
      <c r="BY637" s="27" t="n"/>
      <c r="BZ637" s="24" t="n"/>
      <c r="CA637" s="31" t="n"/>
      <c r="CB637" s="24" t="n"/>
      <c r="CC637" s="24" t="n"/>
      <c r="CD637" s="24" t="n"/>
      <c r="CE637" s="24" t="n"/>
      <c r="CF637" s="24" t="n"/>
      <c r="CG637" s="24" t="n"/>
      <c r="CH637" s="24" t="n"/>
      <c r="CI637" s="24" t="n"/>
      <c r="CJ637" s="24" t="n"/>
      <c r="CK637" s="24" t="n"/>
      <c r="CL637" s="24" t="n"/>
      <c r="CM637" s="24" t="n"/>
      <c r="CN637" s="24" t="n"/>
      <c r="CO637" s="24" t="n"/>
      <c r="CP637" s="24" t="n"/>
      <c r="CQ637" s="24" t="n"/>
      <c r="CR637" s="24" t="n"/>
      <c r="CS637" s="24" t="inlineStr">
        <is>
          <t>True</t>
        </is>
      </c>
      <c r="CT637" s="24" t="n"/>
      <c r="CU637" s="24" t="n"/>
      <c r="CV637" s="24" t="n"/>
      <c r="CW637" s="24" t="n"/>
      <c r="CX637" s="24" t="n"/>
      <c r="CY637" s="24" t="n"/>
      <c r="CZ637" s="24" t="n"/>
      <c r="DA637" s="24" t="n"/>
      <c r="DB637" s="24" t="n"/>
      <c r="DC637" s="24" t="n"/>
      <c r="DD637" s="24" t="n"/>
      <c r="DE637" s="24" t="n"/>
      <c r="DF637" s="24" t="n"/>
      <c r="DG637" s="24" t="n"/>
      <c r="DH637" s="24" t="n"/>
      <c r="DI637" s="24" t="n"/>
      <c r="DJ637" s="24" t="inlineStr">
        <is>
          <t>0.528302</t>
        </is>
      </c>
      <c r="DK637" s="24" t="n"/>
      <c r="DL637" s="24" t="n"/>
      <c r="DM637" s="24" t="n"/>
      <c r="DN637" s="24" t="n"/>
      <c r="DO637" s="24" t="n"/>
      <c r="DP637" s="24" t="n"/>
      <c r="DQ637" s="24" t="inlineStr">
        <is>
          <t>{"artifact_hash": "1d168f11d221cd3c", "event_id": "401858241", "event_start_utc": "2026-09-27T01:00Z", "features": {"altitude_fatigue_penalty": 0.0, "away_team": "Missouri State Bears", "efficiency_gap": 1.158, "elo_away": 1337.5, "elo_home": 1750.8, "elo_home_win_prob": 0.9401, "event_id": "401858241", "game_start_utc": "2026-09-27T01:00Z", "home_field_advantage_points": 2.8, "home_team": "SMU Mustangs", "is_dome": false, "is_fbs_vs_fcs": false, "is_neutral_site": false, "projected_away_points": 17.0, "projected_home_points": 36.6, "projected_margin_home": 19.5, "projected_possessions": 12.4, "projected_total": 53.6,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17.0, "mu_home": 36.6,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148775390785963503476179327483296824674}, "uinteger": 0}, "spread_home_line": -30.5, "total_line": 60.5}, "market_type": "total", "model_version": "cfb-total-v1", "observed_at_utc": "2026-09-26T22:34:32.504573+00:00", "probabilities": {"over": 0.363933, "push": 0.0, "under": 0.636067}, "replay_scope": "Full precision score means, exact engine parameters and original RNG state; upstream feature construction not certified.", "schema": "cfb-joint-replay-v1", "snapshot_hash": "55661a24e631e76d7b6ed1f65ee10378196d28e7e558f6abbb0fab95d65403f5", "sport": "NCAAF"}</t>
        </is>
      </c>
    </row>
    <row r="638" ht="36" customHeight="1">
      <c r="A638" s="24" t="inlineStr">
        <is>
          <t>8d1dccb769de4594</t>
        </is>
      </c>
      <c r="B638" s="24" t="inlineStr">
        <is>
          <t>2026-09-26T22:34:32.504573Z</t>
        </is>
      </c>
      <c r="C638" s="24" t="inlineStr">
        <is>
          <t>2026-09-27T01:00Z</t>
        </is>
      </c>
      <c r="D638" s="24" t="inlineStr">
        <is>
          <t>401860895</t>
        </is>
      </c>
      <c r="E638" s="24" t="inlineStr">
        <is>
          <t>NCAAF</t>
        </is>
      </c>
      <c r="F638" s="24" t="inlineStr">
        <is>
          <t>Oregon State Beavers</t>
        </is>
      </c>
      <c r="G638" s="24" t="inlineStr">
        <is>
          <t>UTEP Miners</t>
        </is>
      </c>
      <c r="H638" s="24" t="inlineStr">
        <is>
          <t>moneyline</t>
        </is>
      </c>
      <c r="I638" s="24" t="inlineStr">
        <is>
          <t>home</t>
        </is>
      </c>
      <c r="J638" s="25" t="n"/>
      <c r="K638" s="24" t="inlineStr">
        <is>
          <t>espn_consensus</t>
        </is>
      </c>
      <c r="L638" s="26" t="n">
        <v>340</v>
      </c>
      <c r="M638" s="27" t="n">
        <v>4.4</v>
      </c>
      <c r="N638" s="28" t="n">
        <v>0.227273</v>
      </c>
      <c r="O638" s="28" t="n">
        <v>0.52604</v>
      </c>
      <c r="P638" s="28" t="n">
        <v>0.165</v>
      </c>
      <c r="Q638" s="28" t="n">
        <v>0.298767</v>
      </c>
      <c r="R638" s="26" t="n">
        <v>100</v>
      </c>
      <c r="S638" s="29" t="n">
        <v>2</v>
      </c>
      <c r="T638" s="24" t="inlineStr">
        <is>
          <t>college-football-v1</t>
        </is>
      </c>
      <c r="U638" s="24" t="inlineStr">
        <is>
          <t>settled</t>
        </is>
      </c>
      <c r="V638" s="24" t="inlineStr">
        <is>
          <t>loss</t>
        </is>
      </c>
      <c r="W638" s="26" t="n">
        <v>33</v>
      </c>
      <c r="X638" s="26" t="n">
        <v>7</v>
      </c>
      <c r="Y638" s="25" t="n"/>
      <c r="Z638" s="26" t="n"/>
      <c r="AA638" s="28" t="n"/>
      <c r="AB638" s="28" t="n"/>
      <c r="AC638" s="30" t="n">
        <v>-2</v>
      </c>
      <c r="AD638" s="24" t="inlineStr">
        <is>
          <t>2026-09-27T04:32:22.843021Z</t>
        </is>
      </c>
      <c r="AE638" s="31" t="inlineStr">
        <is>
          <t>CFB Joint Model (negative_binomial): proj score Oregon State Beavers 25.2 @ UTEP Miners 26.5 (Margin +1.4). Possessions: 12.4, HFA: +2.8 pts.</t>
        </is>
      </c>
      <c r="AF638" s="31" t="inlineStr">
        <is>
          <t>College football model; multi-market (moneyline, spread, total).</t>
        </is>
      </c>
      <c r="AG638" s="24" t="inlineStr">
        <is>
          <t>review_required</t>
        </is>
      </c>
      <c r="AH638" s="24" t="n"/>
      <c r="AI638" s="31" t="n"/>
      <c r="AJ638" s="31" t="n"/>
      <c r="AK638" s="24" t="inlineStr">
        <is>
          <t>model_qualified</t>
        </is>
      </c>
      <c r="AL638" s="26" t="n">
        <v>4</v>
      </c>
      <c r="AM638" s="24" t="inlineStr">
        <is>
          <t>QUALIFIED_SHADOW_CALL</t>
        </is>
      </c>
      <c r="AN638" s="24" t="inlineStr">
        <is>
          <t>CALL</t>
        </is>
      </c>
      <c r="AO638" s="24" t="inlineStr">
        <is>
          <t>QUALIFIED</t>
        </is>
      </c>
      <c r="AP638" s="24" t="inlineStr">
        <is>
          <t>Oregon State Beavers</t>
        </is>
      </c>
      <c r="AQ638" s="24" t="inlineStr">
        <is>
          <t>Oregon State Beavers</t>
        </is>
      </c>
      <c r="AR638" s="24" t="inlineStr">
        <is>
          <t>Oregon State Beavers</t>
        </is>
      </c>
      <c r="AS638" s="24" t="inlineStr">
        <is>
          <t>UTEP Miners</t>
        </is>
      </c>
      <c r="AT638" s="24" t="inlineStr">
        <is>
          <t>UTEP Miners</t>
        </is>
      </c>
      <c r="AU638" s="24" t="inlineStr">
        <is>
          <t>UTEP Miners</t>
        </is>
      </c>
      <c r="AV638" s="24" t="n"/>
      <c r="AW638" s="24" t="n"/>
      <c r="AX638" s="24" t="inlineStr">
        <is>
          <t>statistical_model</t>
        </is>
      </c>
      <c r="AY638" s="24" t="n"/>
      <c r="AZ638" s="24" t="inlineStr">
        <is>
          <t>shadow_qualified</t>
        </is>
      </c>
      <c r="BA638" s="24" t="inlineStr">
        <is>
          <t>1d168f11d221cd3c</t>
        </is>
      </c>
      <c r="BB638" s="24" t="inlineStr">
        <is>
          <t>cfb_key_number_engine</t>
        </is>
      </c>
      <c r="BC638" s="24" t="inlineStr">
        <is>
          <t>college-football-v1</t>
        </is>
      </c>
      <c r="BD638" s="24" t="inlineStr">
        <is>
          <t>1d168f11d221cd3c</t>
        </is>
      </c>
      <c r="BE638" s="24" t="inlineStr">
        <is>
          <t>cfb-v1</t>
        </is>
      </c>
      <c r="BF638" s="24" t="inlineStr">
        <is>
          <t>1</t>
        </is>
      </c>
      <c r="BG638" s="24" t="inlineStr">
        <is>
          <t>1d168f11d221cd3c</t>
        </is>
      </c>
      <c r="BH638" s="24" t="inlineStr">
        <is>
          <t>2026-09-26T22:34:32.504573+00:00</t>
        </is>
      </c>
      <c r="BI638" s="24" t="inlineStr">
        <is>
          <t>["same_event","same_team_same_day","same_league_same_day"]</t>
        </is>
      </c>
      <c r="BJ638" s="25" t="n"/>
      <c r="BK638" s="26" t="n">
        <v>340</v>
      </c>
      <c r="BL638" s="27" t="n">
        <v>4.4</v>
      </c>
      <c r="BM638" s="28" t="n">
        <v>0.227273</v>
      </c>
      <c r="BN638" s="28" t="n"/>
      <c r="BO638" s="28" t="n"/>
      <c r="BP638" s="25" t="n"/>
      <c r="BQ638" s="27" t="n"/>
      <c r="BR638" s="28" t="n"/>
      <c r="BS638" s="28" t="n"/>
      <c r="BT638" s="28" t="n"/>
      <c r="BU638" s="25" t="n"/>
      <c r="BV638" s="29" t="n"/>
      <c r="BW638" s="24" t="n"/>
      <c r="BX638" s="30" t="n"/>
      <c r="BY638" s="27" t="n"/>
      <c r="BZ638" s="24" t="n"/>
      <c r="CA638" s="31" t="n"/>
      <c r="CB638" s="24" t="n"/>
      <c r="CC638" s="24" t="n"/>
      <c r="CD638" s="24" t="n"/>
      <c r="CE638" s="24" t="n"/>
      <c r="CF638" s="24" t="n"/>
      <c r="CG638" s="24" t="n"/>
      <c r="CH638" s="24" t="n"/>
      <c r="CI638" s="24" t="n"/>
      <c r="CJ638" s="24" t="n"/>
      <c r="CK638" s="24" t="n"/>
      <c r="CL638" s="24" t="n"/>
      <c r="CM638" s="24" t="n"/>
      <c r="CN638" s="24" t="n"/>
      <c r="CO638" s="24" t="n"/>
      <c r="CP638" s="24" t="n"/>
      <c r="CQ638" s="24" t="n"/>
      <c r="CR638" s="24" t="n"/>
      <c r="CS638" s="24" t="inlineStr">
        <is>
          <t>True</t>
        </is>
      </c>
      <c r="CT638" s="24" t="n"/>
      <c r="CU638" s="24" t="n"/>
      <c r="CV638" s="24" t="n"/>
      <c r="CW638" s="24" t="n"/>
      <c r="CX638" s="24" t="n"/>
      <c r="CY638" s="24" t="n"/>
      <c r="CZ638" s="24" t="n"/>
      <c r="DA638" s="24" t="n"/>
      <c r="DB638" s="24" t="n"/>
      <c r="DC638" s="24" t="n"/>
      <c r="DD638" s="24" t="n"/>
      <c r="DE638" s="24" t="n"/>
      <c r="DF638" s="24" t="n"/>
      <c r="DG638" s="24" t="n"/>
      <c r="DH638" s="24" t="n"/>
      <c r="DI638" s="24" t="n"/>
      <c r="DJ638" s="24" t="inlineStr">
        <is>
          <t>0.227273</t>
        </is>
      </c>
      <c r="DK638" s="24" t="n"/>
      <c r="DL638" s="24" t="n"/>
      <c r="DM638" s="24" t="n"/>
      <c r="DN638" s="24" t="n"/>
      <c r="DO638" s="24" t="n"/>
      <c r="DP638" s="24" t="n"/>
      <c r="DQ638" s="24" t="inlineStr">
        <is>
          <t>{"artifact_hash": "1d168f11d221cd3c", "event_id": "401860895", "event_start_utc": "2026-09-27T01:00Z", "features": {"altitude_fatigue_penalty": 0.0, "away_team": "Oregon State Beavers", "efficiency_gap": -2.22, "elo_away": 1148.0, "elo_home": 1127.5, "elo_home_win_prob": 0.5636, "event_id": "401860895", "game_start_utc": "2026-09-27T01:00Z", "home_field_advantage_points": 2.8, "home_team": "UTEP Miners", "is_dome": false, "is_fbs_vs_fcs": false, "is_neutral_site": false, "projected_away_points": 25.2, "projected_home_points": 26.5, "projected_margin_home": 1.4, "projected_possessions": 12.4, "projected_total": 51.7, "stadium_elevation_ft": 3910, "travel_distance_miles": 1264.0, "uncertainty": 0.165, "weather_total_adjustment": 0.0}, "historical_source_observation_times_verified": false, "inference_inputs": {"engine_source_sha256": "449ba2f0e86fa9c445730076a0e0bf100fb4914620be53c75c6f3bfe24298f3f", "mu_away": 25.2, "mu_home": 26.5,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111504698288671821098624909015251006977}, "uinteger": 0}, "spread_home_line": 11.5, "total_line": 56.5}, "market_type": "moneyline", "model_version": "college-football-v1", "observed_at_utc": "2026-09-26T22:34:32.504573+00:00", "probabilities": {"away": 0.47396, "home": 0.52604}, "replay_scope": "Full precision score means, exact engine parameters and original RNG state; upstream feature construction not certified.", "schema": "cfb-joint-replay-v1", "snapshot_hash": "e81684b229b12cb2dc584dfc36dab113c1bc5dd8022d21711689b2b6ef37d581", "sport": "NCAAF"}</t>
        </is>
      </c>
    </row>
    <row r="639" ht="36" customHeight="1">
      <c r="A639" s="24" t="inlineStr">
        <is>
          <t>0059152a7aa64d3e</t>
        </is>
      </c>
      <c r="B639" s="24" t="inlineStr">
        <is>
          <t>2026-09-26T22:34:32.504573Z</t>
        </is>
      </c>
      <c r="C639" s="24" t="inlineStr">
        <is>
          <t>2026-09-27T01:00Z</t>
        </is>
      </c>
      <c r="D639" s="24" t="inlineStr">
        <is>
          <t>401860895</t>
        </is>
      </c>
      <c r="E639" s="24" t="inlineStr">
        <is>
          <t>NCAAF</t>
        </is>
      </c>
      <c r="F639" s="24" t="inlineStr">
        <is>
          <t>Oregon State Beavers</t>
        </is>
      </c>
      <c r="G639" s="24" t="inlineStr">
        <is>
          <t>UTEP Miners</t>
        </is>
      </c>
      <c r="H639" s="24" t="inlineStr">
        <is>
          <t>spread</t>
        </is>
      </c>
      <c r="I639" s="24" t="inlineStr">
        <is>
          <t>home</t>
        </is>
      </c>
      <c r="J639" s="25" t="n">
        <v>11.5</v>
      </c>
      <c r="K639" s="24" t="inlineStr">
        <is>
          <t>espn_consensus</t>
        </is>
      </c>
      <c r="L639" s="26" t="n">
        <v>-115</v>
      </c>
      <c r="M639" s="27" t="n">
        <v>1.869565</v>
      </c>
      <c r="N639" s="28" t="n">
        <v>0.534884</v>
      </c>
      <c r="O639" s="28" t="n">
        <v>0.742333</v>
      </c>
      <c r="P639" s="28" t="n">
        <v>0.165</v>
      </c>
      <c r="Q639" s="28" t="n">
        <v>0.207449</v>
      </c>
      <c r="R639" s="26" t="n">
        <v>55</v>
      </c>
      <c r="S639" s="29" t="n">
        <v>1.25</v>
      </c>
      <c r="T639" s="24" t="inlineStr">
        <is>
          <t>cfb-spread-v1</t>
        </is>
      </c>
      <c r="U639" s="24" t="inlineStr">
        <is>
          <t>settled</t>
        </is>
      </c>
      <c r="V639" s="24" t="inlineStr">
        <is>
          <t>loss</t>
        </is>
      </c>
      <c r="W639" s="26" t="n">
        <v>33</v>
      </c>
      <c r="X639" s="26" t="n">
        <v>7</v>
      </c>
      <c r="Y639" s="25" t="n"/>
      <c r="Z639" s="26" t="n"/>
      <c r="AA639" s="28" t="n"/>
      <c r="AB639" s="28" t="n"/>
      <c r="AC639" s="30" t="n">
        <v>-1.25</v>
      </c>
      <c r="AD639" s="24" t="inlineStr">
        <is>
          <t>2026-09-27T04:32:23.354584Z</t>
        </is>
      </c>
      <c r="AE639" s="31" t="inlineStr">
        <is>
          <t>Projected home margin +1.4 pts. Spread: Home +11.5 / Away -11.5 -&gt; P(Away cover)=0.258, P(Home cover)=0.742, P(Push)=0.000.</t>
        </is>
      </c>
      <c r="AF639" s="31" t="inlineStr">
        <is>
          <t>College football model; multi-market (moneyline, spread, total).</t>
        </is>
      </c>
      <c r="AG639" s="24" t="inlineStr">
        <is>
          <t>review_required</t>
        </is>
      </c>
      <c r="AH639" s="24" t="n"/>
      <c r="AI639" s="31" t="n"/>
      <c r="AJ639" s="31" t="n"/>
      <c r="AK639" s="24" t="inlineStr">
        <is>
          <t>model_qualified</t>
        </is>
      </c>
      <c r="AL639" s="26" t="n">
        <v>4</v>
      </c>
      <c r="AM639" s="24" t="inlineStr">
        <is>
          <t>QUALIFIED_SHADOW_CALL</t>
        </is>
      </c>
      <c r="AN639" s="24" t="inlineStr">
        <is>
          <t>CALL</t>
        </is>
      </c>
      <c r="AO639" s="24" t="inlineStr">
        <is>
          <t>QUALIFIED</t>
        </is>
      </c>
      <c r="AP639" s="24" t="inlineStr">
        <is>
          <t>Oregon State Beavers</t>
        </is>
      </c>
      <c r="AQ639" s="24" t="inlineStr">
        <is>
          <t>Oregon State Beavers</t>
        </is>
      </c>
      <c r="AR639" s="24" t="inlineStr">
        <is>
          <t>Oregon State Beavers</t>
        </is>
      </c>
      <c r="AS639" s="24" t="inlineStr">
        <is>
          <t>UTEP Miners</t>
        </is>
      </c>
      <c r="AT639" s="24" t="inlineStr">
        <is>
          <t>UTEP Miners</t>
        </is>
      </c>
      <c r="AU639" s="24" t="inlineStr">
        <is>
          <t>UTEP Miners</t>
        </is>
      </c>
      <c r="AV639" s="24" t="n"/>
      <c r="AW639" s="24" t="n"/>
      <c r="AX639" s="24" t="inlineStr">
        <is>
          <t>statistical_model</t>
        </is>
      </c>
      <c r="AY639" s="24" t="n"/>
      <c r="AZ639" s="24" t="inlineStr">
        <is>
          <t>shadow_qualified</t>
        </is>
      </c>
      <c r="BA639" s="24" t="inlineStr">
        <is>
          <t>1d168f11d221cd3c</t>
        </is>
      </c>
      <c r="BB639" s="24" t="inlineStr">
        <is>
          <t>cfb_key_number_engine</t>
        </is>
      </c>
      <c r="BC639" s="24" t="inlineStr">
        <is>
          <t>cfb-spread-v1</t>
        </is>
      </c>
      <c r="BD639" s="24" t="inlineStr">
        <is>
          <t>1d168f11d221cd3c</t>
        </is>
      </c>
      <c r="BE639" s="24" t="inlineStr">
        <is>
          <t>cfb-v1</t>
        </is>
      </c>
      <c r="BF639" s="24" t="inlineStr">
        <is>
          <t>1</t>
        </is>
      </c>
      <c r="BG639" s="24" t="inlineStr">
        <is>
          <t>1d168f11d221cd3c</t>
        </is>
      </c>
      <c r="BH639" s="24" t="inlineStr">
        <is>
          <t>2026-09-26T22:34:32.504573+00:00</t>
        </is>
      </c>
      <c r="BI639" s="24" t="inlineStr">
        <is>
          <t>["same_event","same_team_same_day","same_league_same_day"]</t>
        </is>
      </c>
      <c r="BJ639" s="25" t="n">
        <v>11.5</v>
      </c>
      <c r="BK639" s="26" t="n">
        <v>-115</v>
      </c>
      <c r="BL639" s="27" t="n">
        <v>1.869565</v>
      </c>
      <c r="BM639" s="28" t="n">
        <v>0.534884</v>
      </c>
      <c r="BN639" s="28" t="n"/>
      <c r="BO639" s="28" t="n"/>
      <c r="BP639" s="25" t="n"/>
      <c r="BQ639" s="27" t="n"/>
      <c r="BR639" s="28" t="n"/>
      <c r="BS639" s="28" t="n"/>
      <c r="BT639" s="28" t="n"/>
      <c r="BU639" s="25" t="n"/>
      <c r="BV639" s="29" t="n"/>
      <c r="BW639" s="24" t="n"/>
      <c r="BX639" s="30" t="n"/>
      <c r="BY639" s="27" t="n"/>
      <c r="BZ639" s="24" t="n"/>
      <c r="CA639" s="31" t="n"/>
      <c r="CB639" s="24" t="n"/>
      <c r="CC639" s="24" t="n"/>
      <c r="CD639" s="24" t="n"/>
      <c r="CE639" s="24" t="n"/>
      <c r="CF639" s="24" t="n"/>
      <c r="CG639" s="24" t="n"/>
      <c r="CH639" s="24" t="n"/>
      <c r="CI639" s="24" t="n"/>
      <c r="CJ639" s="24" t="n"/>
      <c r="CK639" s="24" t="n"/>
      <c r="CL639" s="24" t="n"/>
      <c r="CM639" s="24" t="n"/>
      <c r="CN639" s="24" t="n"/>
      <c r="CO639" s="24" t="n"/>
      <c r="CP639" s="24" t="n"/>
      <c r="CQ639" s="24" t="n"/>
      <c r="CR639" s="24" t="n"/>
      <c r="CS639" s="24" t="inlineStr">
        <is>
          <t>True</t>
        </is>
      </c>
      <c r="CT639" s="24" t="n"/>
      <c r="CU639" s="24" t="n"/>
      <c r="CV639" s="24" t="n"/>
      <c r="CW639" s="24" t="n"/>
      <c r="CX639" s="24" t="n"/>
      <c r="CY639" s="24" t="n"/>
      <c r="CZ639" s="24" t="n"/>
      <c r="DA639" s="24" t="n"/>
      <c r="DB639" s="24" t="n"/>
      <c r="DC639" s="24" t="n"/>
      <c r="DD639" s="24" t="n"/>
      <c r="DE639" s="24" t="n"/>
      <c r="DF639" s="24" t="n"/>
      <c r="DG639" s="24" t="n"/>
      <c r="DH639" s="24" t="n"/>
      <c r="DI639" s="24" t="n"/>
      <c r="DJ639" s="24" t="inlineStr">
        <is>
          <t>0.534884</t>
        </is>
      </c>
      <c r="DK639" s="24" t="n"/>
      <c r="DL639" s="24" t="n"/>
      <c r="DM639" s="24" t="n"/>
      <c r="DN639" s="24" t="n"/>
      <c r="DO639" s="24" t="n"/>
      <c r="DP639" s="24" t="n"/>
      <c r="DQ639" s="24" t="inlineStr">
        <is>
          <t>{"artifact_hash": "1d168f11d221cd3c", "event_id": "401860895", "event_start_utc": "2026-09-27T01:00Z", "features": {"altitude_fatigue_penalty": 0.0, "away_team": "Oregon State Beavers", "efficiency_gap": -2.22, "elo_away": 1148.0, "elo_home": 1127.5, "elo_home_win_prob": 0.5636, "event_id": "401860895", "game_start_utc": "2026-09-27T01:00Z", "home_field_advantage_points": 2.8, "home_team": "UTEP Miners", "is_dome": false, "is_fbs_vs_fcs": false, "is_neutral_site": false, "projected_away_points": 25.2, "projected_home_points": 26.5, "projected_margin_home": 1.4, "projected_possessions": 12.4, "projected_total": 51.7, "stadium_elevation_ft": 3910, "travel_distance_miles": 1264.0, "uncertainty": 0.165, "weather_total_adjustment": 0.0}, "historical_source_observation_times_verified": false, "inference_inputs": {"engine_source_sha256": "449ba2f0e86fa9c445730076a0e0bf100fb4914620be53c75c6f3bfe24298f3f", "mu_away": 25.2, "mu_home": 26.5,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111504698288671821098624909015251006977}, "uinteger": 0}, "spread_home_line": 11.5, "total_line": 56.5}, "market_type": "spread", "model_version": "cfb-spread-v1", "observed_at_utc": "2026-09-26T22:34:32.504573+00:00", "probabilities": {"away": 0.257667, "home": 0.742333, "push": 0.0}, "replay_scope": "Full precision score means, exact engine parameters and original RNG state; upstream feature construction not certified.", "schema": "cfb-joint-replay-v1", "snapshot_hash": "89d805fc60b377e46586c18ad8eb11b5340059572ef0446320a812d095d034ba", "sport": "NCAAF"}</t>
        </is>
      </c>
    </row>
    <row r="640" ht="36" customHeight="1">
      <c r="A640" s="24" t="inlineStr">
        <is>
          <t>c0a651ddc6c44a3c</t>
        </is>
      </c>
      <c r="B640" s="24" t="inlineStr">
        <is>
          <t>2026-09-26T22:34:32.504573Z</t>
        </is>
      </c>
      <c r="C640" s="24" t="inlineStr">
        <is>
          <t>2026-09-27T01:00Z</t>
        </is>
      </c>
      <c r="D640" s="24" t="inlineStr">
        <is>
          <t>401860895</t>
        </is>
      </c>
      <c r="E640" s="24" t="inlineStr">
        <is>
          <t>NCAAF</t>
        </is>
      </c>
      <c r="F640" s="24" t="inlineStr">
        <is>
          <t>Oregon State Beavers</t>
        </is>
      </c>
      <c r="G640" s="24" t="inlineStr">
        <is>
          <t>UTEP Miners</t>
        </is>
      </c>
      <c r="H640" s="24" t="inlineStr">
        <is>
          <t>total</t>
        </is>
      </c>
      <c r="I640" s="24" t="inlineStr">
        <is>
          <t>under</t>
        </is>
      </c>
      <c r="J640" s="25" t="n">
        <v>56.5</v>
      </c>
      <c r="K640" s="24" t="inlineStr">
        <is>
          <t>espn_consensus</t>
        </is>
      </c>
      <c r="L640" s="26" t="n">
        <v>-115</v>
      </c>
      <c r="M640" s="27" t="n">
        <v>1.869565</v>
      </c>
      <c r="N640" s="28" t="n">
        <v>0.534884</v>
      </c>
      <c r="O640" s="28" t="n">
        <v>0.606867</v>
      </c>
      <c r="P640" s="28" t="n">
        <v>0.165</v>
      </c>
      <c r="Q640" s="28" t="n">
        <v>0.07198300000000001</v>
      </c>
      <c r="R640" s="26" t="n">
        <v>0</v>
      </c>
      <c r="S640" s="29" t="n">
        <v>1</v>
      </c>
      <c r="T640" s="24" t="inlineStr">
        <is>
          <t>cfb-total-v1</t>
        </is>
      </c>
      <c r="U640" s="24" t="inlineStr">
        <is>
          <t>settled</t>
        </is>
      </c>
      <c r="V640" s="24" t="inlineStr">
        <is>
          <t>win</t>
        </is>
      </c>
      <c r="W640" s="26" t="n">
        <v>33</v>
      </c>
      <c r="X640" s="26" t="n">
        <v>7</v>
      </c>
      <c r="Y640" s="25" t="n"/>
      <c r="Z640" s="26" t="n"/>
      <c r="AA640" s="28" t="n"/>
      <c r="AB640" s="28" t="n"/>
      <c r="AC640" s="30" t="n">
        <v>0.8696</v>
      </c>
      <c r="AD640" s="24" t="inlineStr">
        <is>
          <t>2026-09-27T04:32:23.935244Z</t>
        </is>
      </c>
      <c r="AE640" s="31" t="inlineStr">
        <is>
          <t>Projected total 51.7 pts (Weather adj: +0.0 pts). Total line 56.5 -&gt; P(Over)=0.393, P(Under)=0.607, P(Push)=0.000.</t>
        </is>
      </c>
      <c r="AF640" s="31" t="inlineStr">
        <is>
          <t>College football model; multi-market (moneyline, spread, total).</t>
        </is>
      </c>
      <c r="AG640" s="24" t="inlineStr">
        <is>
          <t>not_applicable</t>
        </is>
      </c>
      <c r="AH640" s="24" t="n"/>
      <c r="AI640" s="31" t="n"/>
      <c r="AJ640" s="31" t="n"/>
      <c r="AK640" s="24" t="inlineStr">
        <is>
          <t>model_qualified</t>
        </is>
      </c>
      <c r="AL640" s="26" t="n">
        <v>4</v>
      </c>
      <c r="AM640" s="24" t="inlineStr">
        <is>
          <t>QUALIFIED_SHADOW_CALL</t>
        </is>
      </c>
      <c r="AN640" s="24" t="inlineStr">
        <is>
          <t>CALL</t>
        </is>
      </c>
      <c r="AO640" s="24" t="inlineStr">
        <is>
          <t>QUALIFIED</t>
        </is>
      </c>
      <c r="AP640" s="24" t="inlineStr">
        <is>
          <t>Oregon State Beavers</t>
        </is>
      </c>
      <c r="AQ640" s="24" t="inlineStr">
        <is>
          <t>Oregon State Beavers</t>
        </is>
      </c>
      <c r="AR640" s="24" t="inlineStr">
        <is>
          <t>Oregon State Beavers</t>
        </is>
      </c>
      <c r="AS640" s="24" t="inlineStr">
        <is>
          <t>UTEP Miners</t>
        </is>
      </c>
      <c r="AT640" s="24" t="inlineStr">
        <is>
          <t>UTEP Miners</t>
        </is>
      </c>
      <c r="AU640" s="24" t="inlineStr">
        <is>
          <t>UTEP Miners</t>
        </is>
      </c>
      <c r="AV640" s="24" t="n"/>
      <c r="AW640" s="24" t="n"/>
      <c r="AX640" s="24" t="inlineStr">
        <is>
          <t>statistical_model</t>
        </is>
      </c>
      <c r="AY640" s="24" t="n"/>
      <c r="AZ640" s="24" t="inlineStr">
        <is>
          <t>shadow_qualified</t>
        </is>
      </c>
      <c r="BA640" s="24" t="inlineStr">
        <is>
          <t>1d168f11d221cd3c</t>
        </is>
      </c>
      <c r="BB640" s="24" t="inlineStr">
        <is>
          <t>cfb_key_number_engine</t>
        </is>
      </c>
      <c r="BC640" s="24" t="inlineStr">
        <is>
          <t>cfb-total-v1</t>
        </is>
      </c>
      <c r="BD640" s="24" t="inlineStr">
        <is>
          <t>1d168f11d221cd3c</t>
        </is>
      </c>
      <c r="BE640" s="24" t="inlineStr">
        <is>
          <t>cfb-v1</t>
        </is>
      </c>
      <c r="BF640" s="24" t="inlineStr">
        <is>
          <t>1</t>
        </is>
      </c>
      <c r="BG640" s="24" t="inlineStr">
        <is>
          <t>1d168f11d221cd3c</t>
        </is>
      </c>
      <c r="BH640" s="24" t="inlineStr">
        <is>
          <t>2026-09-26T22:34:32.504573+00:00</t>
        </is>
      </c>
      <c r="BI640" s="24" t="inlineStr">
        <is>
          <t>["same_event","same_team_same_day","same_league_same_day"]</t>
        </is>
      </c>
      <c r="BJ640" s="25" t="n">
        <v>56.5</v>
      </c>
      <c r="BK640" s="26" t="n">
        <v>-115</v>
      </c>
      <c r="BL640" s="27" t="n">
        <v>1.869565</v>
      </c>
      <c r="BM640" s="28" t="n">
        <v>0.534884</v>
      </c>
      <c r="BN640" s="28" t="n"/>
      <c r="BO640" s="28" t="n"/>
      <c r="BP640" s="25" t="n"/>
      <c r="BQ640" s="27" t="n"/>
      <c r="BR640" s="28" t="n"/>
      <c r="BS640" s="28" t="n"/>
      <c r="BT640" s="28" t="n"/>
      <c r="BU640" s="25" t="n"/>
      <c r="BV640" s="29" t="n"/>
      <c r="BW640" s="24" t="n"/>
      <c r="BX640" s="30" t="n"/>
      <c r="BY640" s="27" t="n"/>
      <c r="BZ640" s="24" t="n"/>
      <c r="CA640" s="31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inlineStr">
        <is>
          <t>True</t>
        </is>
      </c>
      <c r="CT640" s="24" t="n"/>
      <c r="CU640" s="24" t="n"/>
      <c r="CV640" s="24" t="n"/>
      <c r="CW640" s="24" t="n"/>
      <c r="CX640" s="24" t="n"/>
      <c r="CY640" s="24" t="n"/>
      <c r="CZ640" s="24" t="n"/>
      <c r="DA640" s="24" t="n"/>
      <c r="DB640" s="24" t="n"/>
      <c r="DC640" s="24" t="n"/>
      <c r="DD640" s="24" t="n"/>
      <c r="DE640" s="24" t="n"/>
      <c r="DF640" s="24" t="n"/>
      <c r="DG640" s="24" t="n"/>
      <c r="DH640" s="24" t="n"/>
      <c r="DI640" s="24" t="n"/>
      <c r="DJ640" s="24" t="inlineStr">
        <is>
          <t>0.534884</t>
        </is>
      </c>
      <c r="DK640" s="24" t="n"/>
      <c r="DL640" s="24" t="n"/>
      <c r="DM640" s="24" t="n"/>
      <c r="DN640" s="24" t="n"/>
      <c r="DO640" s="24" t="n"/>
      <c r="DP640" s="24" t="n"/>
      <c r="DQ640" s="24" t="inlineStr">
        <is>
          <t>{"artifact_hash": "1d168f11d221cd3c", "event_id": "401860895", "event_start_utc": "2026-09-27T01:00Z", "features": {"altitude_fatigue_penalty": 0.0, "away_team": "Oregon State Beavers", "efficiency_gap": -2.22, "elo_away": 1148.0, "elo_home": 1127.5, "elo_home_win_prob": 0.5636, "event_id": "401860895", "game_start_utc": "2026-09-27T01:00Z", "home_field_advantage_points": 2.8, "home_team": "UTEP Miners", "is_dome": false, "is_fbs_vs_fcs": false, "is_neutral_site": false, "projected_away_points": 25.2, "projected_home_points": 26.5, "projected_margin_home": 1.4, "projected_possessions": 12.4, "projected_total": 51.7, "stadium_elevation_ft": 3910, "travel_distance_miles": 1264.0, "uncertainty": 0.165, "weather_total_adjustment": 0.0}, "historical_source_observation_times_verified": false, "inference_inputs": {"engine_source_sha256": "449ba2f0e86fa9c445730076a0e0bf100fb4914620be53c75c6f3bfe24298f3f", "mu_away": 25.2, "mu_home": 26.5,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111504698288671821098624909015251006977}, "uinteger": 0}, "spread_home_line": 11.5, "total_line": 56.5}, "market_type": "total", "model_version": "cfb-total-v1", "observed_at_utc": "2026-09-26T22:34:32.504573+00:00", "probabilities": {"over": 0.393133, "push": 0.0, "under": 0.606867}, "replay_scope": "Full precision score means, exact engine parameters and original RNG state; upstream feature construction not certified.", "schema": "cfb-joint-replay-v1", "snapshot_hash": "e5d35ac470a7f3a3218d5ca72f203c3b75ae7d0f6d2c000b88a144ce58a7b371", "sport": "NCAAF"}</t>
        </is>
      </c>
    </row>
    <row r="641" ht="36" customHeight="1">
      <c r="A641" s="24" t="inlineStr">
        <is>
          <t>3cdb8474714c46c2</t>
        </is>
      </c>
      <c r="B641" s="24" t="inlineStr">
        <is>
          <t>2026-09-26T22:34:32.504573Z</t>
        </is>
      </c>
      <c r="C641" s="24" t="inlineStr">
        <is>
          <t>2026-09-27T01:00Z</t>
        </is>
      </c>
      <c r="D641" s="24" t="inlineStr">
        <is>
          <t>401866429</t>
        </is>
      </c>
      <c r="E641" s="24" t="inlineStr">
        <is>
          <t>NCAAF</t>
        </is>
      </c>
      <c r="F641" s="24" t="inlineStr">
        <is>
          <t>Massachusetts Minutemen</t>
        </is>
      </c>
      <c r="G641" s="24" t="inlineStr">
        <is>
          <t>Sacramento State Hornets</t>
        </is>
      </c>
      <c r="H641" s="24" t="inlineStr">
        <is>
          <t>moneyline</t>
        </is>
      </c>
      <c r="I641" s="24" t="inlineStr">
        <is>
          <t>home</t>
        </is>
      </c>
      <c r="J641" s="25" t="n"/>
      <c r="K641" s="24" t="inlineStr">
        <is>
          <t>espn_consensus</t>
        </is>
      </c>
      <c r="L641" s="26" t="n">
        <v>160</v>
      </c>
      <c r="M641" s="27" t="n">
        <v>2.6</v>
      </c>
      <c r="N641" s="28" t="n">
        <v>0.384615</v>
      </c>
      <c r="O641" s="28" t="n">
        <v>0.718619</v>
      </c>
      <c r="P641" s="28" t="n">
        <v>0.18</v>
      </c>
      <c r="Q641" s="28" t="n">
        <v>0.334004</v>
      </c>
      <c r="R641" s="26" t="n">
        <v>100</v>
      </c>
      <c r="S641" s="29" t="n">
        <v>2</v>
      </c>
      <c r="T641" s="24" t="inlineStr">
        <is>
          <t>college-football-v1</t>
        </is>
      </c>
      <c r="U641" s="24" t="inlineStr">
        <is>
          <t>settled</t>
        </is>
      </c>
      <c r="V641" s="24" t="inlineStr">
        <is>
          <t>loss</t>
        </is>
      </c>
      <c r="W641" s="26" t="n">
        <v>35</v>
      </c>
      <c r="X641" s="26" t="n">
        <v>6</v>
      </c>
      <c r="Y641" s="25" t="n"/>
      <c r="Z641" s="26" t="n"/>
      <c r="AA641" s="28" t="n"/>
      <c r="AB641" s="28" t="n"/>
      <c r="AC641" s="30" t="n">
        <v>-2</v>
      </c>
      <c r="AD641" s="24" t="inlineStr">
        <is>
          <t>2026-09-27T04:32:24.638042Z</t>
        </is>
      </c>
      <c r="AE641" s="31" t="inlineStr">
        <is>
          <t>CFB Joint Model (negative_binomial): proj score Massachusetts Minutemen 21.2 @ Sacramento State Hornets 32.3 (Margin +11.1). Possessions: 12.4, HFA: +2.8 pts.</t>
        </is>
      </c>
      <c r="AF641" s="31" t="inlineStr">
        <is>
          <t>College football model; multi-market (moneyline, spread, total).</t>
        </is>
      </c>
      <c r="AG641" s="24" t="inlineStr">
        <is>
          <t>review_required</t>
        </is>
      </c>
      <c r="AH641" s="24" t="n"/>
      <c r="AI641" s="31" t="n"/>
      <c r="AJ641" s="31" t="n"/>
      <c r="AK641" s="24" t="inlineStr">
        <is>
          <t>model_qualified</t>
        </is>
      </c>
      <c r="AL641" s="26" t="n">
        <v>4</v>
      </c>
      <c r="AM641" s="24" t="inlineStr">
        <is>
          <t>QUALIFIED_SHADOW_CALL</t>
        </is>
      </c>
      <c r="AN641" s="24" t="inlineStr">
        <is>
          <t>CALL</t>
        </is>
      </c>
      <c r="AO641" s="24" t="inlineStr">
        <is>
          <t>QUALIFIED</t>
        </is>
      </c>
      <c r="AP641" s="24" t="inlineStr">
        <is>
          <t>Massachusetts Minutemen</t>
        </is>
      </c>
      <c r="AQ641" s="24" t="inlineStr">
        <is>
          <t>Massachusetts Minutemen</t>
        </is>
      </c>
      <c r="AR641" s="24" t="inlineStr">
        <is>
          <t>Massachusetts Minutemen</t>
        </is>
      </c>
      <c r="AS641" s="24" t="inlineStr">
        <is>
          <t>Sacramento State Hornets</t>
        </is>
      </c>
      <c r="AT641" s="24" t="inlineStr">
        <is>
          <t>Sacramento State Hornets</t>
        </is>
      </c>
      <c r="AU641" s="24" t="inlineStr">
        <is>
          <t>Sacramento State Hornets</t>
        </is>
      </c>
      <c r="AV641" s="24" t="n"/>
      <c r="AW641" s="24" t="n"/>
      <c r="AX641" s="24" t="inlineStr">
        <is>
          <t>statistical_model</t>
        </is>
      </c>
      <c r="AY641" s="24" t="n"/>
      <c r="AZ641" s="24" t="inlineStr">
        <is>
          <t>shadow_qualified</t>
        </is>
      </c>
      <c r="BA641" s="24" t="inlineStr">
        <is>
          <t>1d168f11d221cd3c</t>
        </is>
      </c>
      <c r="BB641" s="24" t="inlineStr">
        <is>
          <t>cfb_key_number_engine</t>
        </is>
      </c>
      <c r="BC641" s="24" t="inlineStr">
        <is>
          <t>college-football-v1</t>
        </is>
      </c>
      <c r="BD641" s="24" t="inlineStr">
        <is>
          <t>1d168f11d221cd3c</t>
        </is>
      </c>
      <c r="BE641" s="24" t="inlineStr">
        <is>
          <t>cfb-v1</t>
        </is>
      </c>
      <c r="BF641" s="24" t="inlineStr">
        <is>
          <t>1</t>
        </is>
      </c>
      <c r="BG641" s="24" t="inlineStr">
        <is>
          <t>1d168f11d221cd3c</t>
        </is>
      </c>
      <c r="BH641" s="24" t="inlineStr">
        <is>
          <t>2026-09-26T22:34:32.504573+00:00</t>
        </is>
      </c>
      <c r="BI641" s="24" t="inlineStr">
        <is>
          <t>["same_event","same_team_same_day","same_league_same_day"]</t>
        </is>
      </c>
      <c r="BJ641" s="25" t="n"/>
      <c r="BK641" s="26" t="n">
        <v>160</v>
      </c>
      <c r="BL641" s="27" t="n">
        <v>2.6</v>
      </c>
      <c r="BM641" s="28" t="n">
        <v>0.384615</v>
      </c>
      <c r="BN641" s="28" t="n"/>
      <c r="BO641" s="28" t="n"/>
      <c r="BP641" s="25" t="n"/>
      <c r="BQ641" s="27" t="n"/>
      <c r="BR641" s="28" t="n"/>
      <c r="BS641" s="28" t="n"/>
      <c r="BT641" s="28" t="n"/>
      <c r="BU641" s="25" t="n"/>
      <c r="BV641" s="29" t="n"/>
      <c r="BW641" s="24" t="n"/>
      <c r="BX641" s="30" t="n"/>
      <c r="BY641" s="27" t="n"/>
      <c r="BZ641" s="24" t="n"/>
      <c r="CA641" s="31" t="n"/>
      <c r="CB641" s="24" t="n"/>
      <c r="CC641" s="24" t="n"/>
      <c r="CD641" s="24" t="n"/>
      <c r="CE641" s="24" t="n"/>
      <c r="CF641" s="24" t="n"/>
      <c r="CG641" s="24" t="n"/>
      <c r="CH641" s="24" t="n"/>
      <c r="CI641" s="24" t="n"/>
      <c r="CJ641" s="24" t="n"/>
      <c r="CK641" s="24" t="n"/>
      <c r="CL641" s="24" t="n"/>
      <c r="CM641" s="24" t="n"/>
      <c r="CN641" s="24" t="n"/>
      <c r="CO641" s="24" t="n"/>
      <c r="CP641" s="24" t="n"/>
      <c r="CQ641" s="24" t="n"/>
      <c r="CR641" s="24" t="n"/>
      <c r="CS641" s="24" t="inlineStr">
        <is>
          <t>True</t>
        </is>
      </c>
      <c r="CT641" s="24" t="n"/>
      <c r="CU641" s="24" t="n"/>
      <c r="CV641" s="24" t="n"/>
      <c r="CW641" s="24" t="n"/>
      <c r="CX641" s="24" t="n"/>
      <c r="CY641" s="24" t="n"/>
      <c r="CZ641" s="24" t="n"/>
      <c r="DA641" s="24" t="n"/>
      <c r="DB641" s="24" t="n"/>
      <c r="DC641" s="24" t="n"/>
      <c r="DD641" s="24" t="n"/>
      <c r="DE641" s="24" t="n"/>
      <c r="DF641" s="24" t="n"/>
      <c r="DG641" s="24" t="n"/>
      <c r="DH641" s="24" t="n"/>
      <c r="DI641" s="24" t="n"/>
      <c r="DJ641" s="24" t="inlineStr">
        <is>
          <t>0.384615</t>
        </is>
      </c>
      <c r="DK641" s="24" t="n"/>
      <c r="DL641" s="24" t="n"/>
      <c r="DM641" s="24" t="n"/>
      <c r="DN641" s="24" t="n"/>
      <c r="DO641" s="24" t="n"/>
      <c r="DP641" s="24" t="n"/>
      <c r="DQ641" s="24" t="inlineStr">
        <is>
          <t>{"artifact_hash": "1d168f11d221cd3c", "event_id": "401866429", "event_start_utc": "2026-09-27T01:00Z", "features": {"altitude_fatigue_penalty": 0.0, "away_team": "Massachusetts Minutemen", "efficiency_gap": -0.871, "elo_away": 1129.7, "elo_home": 1337.5, "elo_home_win_prob": 0.8278, "event_id": "401866429", "game_start_utc": "2026-09-27T01:00Z", "home_field_advantage_points": 2.8, "home_team": "Sacramento State Hornets", "is_dome": false, "is_fbs_vs_fcs": false, "is_neutral_site": false, "projected_away_points": 21.2, "projected_home_points": 32.3, "projected_margin_home": 11.1, "projected_possessions": 12.4, "projected_total": 53.5,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21.2, "mu_home": 32.3,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70437646313747340178033255920483162979}, "uinteger": 0}, "spread_home_line": 4.5, "total_line": 49.5}, "market_type": "moneyline", "model_version": "college-football-v1", "observed_at_utc": "2026-09-26T22:34:32.504573+00:00", "probabilities": {"away": 0.281381, "home": 0.718619}, "replay_scope": "Full precision score means, exact engine parameters and original RNG state; upstream feature construction not certified.", "schema": "cfb-joint-replay-v1", "snapshot_hash": "b4342dc4c8bbec670b81a3aae5393a2b1aab722abf8441048ecfcbe4c0f95fe9", "sport": "NCAAF"}</t>
        </is>
      </c>
    </row>
    <row r="642" ht="36" customHeight="1">
      <c r="A642" s="24" t="inlineStr">
        <is>
          <t>809ba17b490742f0</t>
        </is>
      </c>
      <c r="B642" s="24" t="inlineStr">
        <is>
          <t>2026-09-26T22:34:32.504573Z</t>
        </is>
      </c>
      <c r="C642" s="24" t="inlineStr">
        <is>
          <t>2026-09-27T01:00Z</t>
        </is>
      </c>
      <c r="D642" s="24" t="inlineStr">
        <is>
          <t>401866429</t>
        </is>
      </c>
      <c r="E642" s="24" t="inlineStr">
        <is>
          <t>NCAAF</t>
        </is>
      </c>
      <c r="F642" s="24" t="inlineStr">
        <is>
          <t>Massachusetts Minutemen</t>
        </is>
      </c>
      <c r="G642" s="24" t="inlineStr">
        <is>
          <t>Sacramento State Hornets</t>
        </is>
      </c>
      <c r="H642" s="24" t="inlineStr">
        <is>
          <t>spread</t>
        </is>
      </c>
      <c r="I642" s="24" t="inlineStr">
        <is>
          <t>home</t>
        </is>
      </c>
      <c r="J642" s="25" t="n">
        <v>4.5</v>
      </c>
      <c r="K642" s="24" t="inlineStr">
        <is>
          <t>espn_consensus</t>
        </is>
      </c>
      <c r="L642" s="26" t="n">
        <v>-110</v>
      </c>
      <c r="M642" s="27" t="n">
        <v>1.909091</v>
      </c>
      <c r="N642" s="28" t="n">
        <v>0.52381</v>
      </c>
      <c r="O642" s="28" t="n">
        <v>0.788067</v>
      </c>
      <c r="P642" s="28" t="n">
        <v>0.18</v>
      </c>
      <c r="Q642" s="28" t="n">
        <v>0.264257</v>
      </c>
      <c r="R642" s="26" t="n">
        <v>74</v>
      </c>
      <c r="S642" s="29" t="n">
        <v>1.5</v>
      </c>
      <c r="T642" s="24" t="inlineStr">
        <is>
          <t>cfb-spread-v1</t>
        </is>
      </c>
      <c r="U642" s="24" t="inlineStr">
        <is>
          <t>settled</t>
        </is>
      </c>
      <c r="V642" s="24" t="inlineStr">
        <is>
          <t>loss</t>
        </is>
      </c>
      <c r="W642" s="26" t="n">
        <v>35</v>
      </c>
      <c r="X642" s="26" t="n">
        <v>6</v>
      </c>
      <c r="Y642" s="25" t="n"/>
      <c r="Z642" s="26" t="n"/>
      <c r="AA642" s="28" t="n"/>
      <c r="AB642" s="28" t="n"/>
      <c r="AC642" s="30" t="n">
        <v>-1.5</v>
      </c>
      <c r="AD642" s="24" t="inlineStr">
        <is>
          <t>2026-09-27T04:32:25.149623Z</t>
        </is>
      </c>
      <c r="AE642" s="31" t="inlineStr">
        <is>
          <t>Projected home margin +11.1 pts. Spread: Home +4.5 / Away -4.5 -&gt; P(Away cover)=0.212, P(Home cover)=0.788, P(Push)=0.000.</t>
        </is>
      </c>
      <c r="AF642" s="31" t="inlineStr">
        <is>
          <t>College football model; multi-market (moneyline, spread, total).</t>
        </is>
      </c>
      <c r="AG642" s="24" t="inlineStr">
        <is>
          <t>review_required</t>
        </is>
      </c>
      <c r="AH642" s="24" t="n"/>
      <c r="AI642" s="31" t="n"/>
      <c r="AJ642" s="31" t="n"/>
      <c r="AK642" s="24" t="inlineStr">
        <is>
          <t>model_qualified</t>
        </is>
      </c>
      <c r="AL642" s="26" t="n">
        <v>4</v>
      </c>
      <c r="AM642" s="24" t="inlineStr">
        <is>
          <t>QUALIFIED_SHADOW_CALL</t>
        </is>
      </c>
      <c r="AN642" s="24" t="inlineStr">
        <is>
          <t>CALL</t>
        </is>
      </c>
      <c r="AO642" s="24" t="inlineStr">
        <is>
          <t>QUALIFIED</t>
        </is>
      </c>
      <c r="AP642" s="24" t="inlineStr">
        <is>
          <t>Massachusetts Minutemen</t>
        </is>
      </c>
      <c r="AQ642" s="24" t="inlineStr">
        <is>
          <t>Massachusetts Minutemen</t>
        </is>
      </c>
      <c r="AR642" s="24" t="inlineStr">
        <is>
          <t>Massachusetts Minutemen</t>
        </is>
      </c>
      <c r="AS642" s="24" t="inlineStr">
        <is>
          <t>Sacramento State Hornets</t>
        </is>
      </c>
      <c r="AT642" s="24" t="inlineStr">
        <is>
          <t>Sacramento State Hornets</t>
        </is>
      </c>
      <c r="AU642" s="24" t="inlineStr">
        <is>
          <t>Sacramento State Hornets</t>
        </is>
      </c>
      <c r="AV642" s="24" t="n"/>
      <c r="AW642" s="24" t="n"/>
      <c r="AX642" s="24" t="inlineStr">
        <is>
          <t>statistical_model</t>
        </is>
      </c>
      <c r="AY642" s="24" t="n"/>
      <c r="AZ642" s="24" t="inlineStr">
        <is>
          <t>shadow_qualified</t>
        </is>
      </c>
      <c r="BA642" s="24" t="inlineStr">
        <is>
          <t>1d168f11d221cd3c</t>
        </is>
      </c>
      <c r="BB642" s="24" t="inlineStr">
        <is>
          <t>cfb_key_number_engine</t>
        </is>
      </c>
      <c r="BC642" s="24" t="inlineStr">
        <is>
          <t>cfb-spread-v1</t>
        </is>
      </c>
      <c r="BD642" s="24" t="inlineStr">
        <is>
          <t>1d168f11d221cd3c</t>
        </is>
      </c>
      <c r="BE642" s="24" t="inlineStr">
        <is>
          <t>cfb-v1</t>
        </is>
      </c>
      <c r="BF642" s="24" t="inlineStr">
        <is>
          <t>1</t>
        </is>
      </c>
      <c r="BG642" s="24" t="inlineStr">
        <is>
          <t>1d168f11d221cd3c</t>
        </is>
      </c>
      <c r="BH642" s="24" t="inlineStr">
        <is>
          <t>2026-09-26T22:34:32.504573+00:00</t>
        </is>
      </c>
      <c r="BI642" s="24" t="inlineStr">
        <is>
          <t>["same_event","same_team_same_day","same_league_same_day"]</t>
        </is>
      </c>
      <c r="BJ642" s="25" t="n">
        <v>4.5</v>
      </c>
      <c r="BK642" s="26" t="n">
        <v>-110</v>
      </c>
      <c r="BL642" s="27" t="n">
        <v>1.909091</v>
      </c>
      <c r="BM642" s="28" t="n">
        <v>0.52381</v>
      </c>
      <c r="BN642" s="28" t="n"/>
      <c r="BO642" s="28" t="n"/>
      <c r="BP642" s="25" t="n"/>
      <c r="BQ642" s="27" t="n"/>
      <c r="BR642" s="28" t="n"/>
      <c r="BS642" s="28" t="n"/>
      <c r="BT642" s="28" t="n"/>
      <c r="BU642" s="25" t="n"/>
      <c r="BV642" s="29" t="n"/>
      <c r="BW642" s="24" t="n"/>
      <c r="BX642" s="30" t="n"/>
      <c r="BY642" s="27" t="n"/>
      <c r="BZ642" s="24" t="n"/>
      <c r="CA642" s="31" t="n"/>
      <c r="CB642" s="24" t="n"/>
      <c r="CC642" s="24" t="n"/>
      <c r="CD642" s="24" t="n"/>
      <c r="CE642" s="24" t="n"/>
      <c r="CF642" s="24" t="n"/>
      <c r="CG642" s="24" t="n"/>
      <c r="CH642" s="24" t="n"/>
      <c r="CI642" s="24" t="n"/>
      <c r="CJ642" s="24" t="n"/>
      <c r="CK642" s="24" t="n"/>
      <c r="CL642" s="24" t="n"/>
      <c r="CM642" s="24" t="n"/>
      <c r="CN642" s="24" t="n"/>
      <c r="CO642" s="24" t="n"/>
      <c r="CP642" s="24" t="n"/>
      <c r="CQ642" s="24" t="n"/>
      <c r="CR642" s="24" t="n"/>
      <c r="CS642" s="24" t="inlineStr">
        <is>
          <t>True</t>
        </is>
      </c>
      <c r="CT642" s="24" t="n"/>
      <c r="CU642" s="24" t="n"/>
      <c r="CV642" s="24" t="n"/>
      <c r="CW642" s="24" t="n"/>
      <c r="CX642" s="24" t="n"/>
      <c r="CY642" s="24" t="n"/>
      <c r="CZ642" s="24" t="n"/>
      <c r="DA642" s="24" t="n"/>
      <c r="DB642" s="24" t="n"/>
      <c r="DC642" s="24" t="n"/>
      <c r="DD642" s="24" t="n"/>
      <c r="DE642" s="24" t="n"/>
      <c r="DF642" s="24" t="n"/>
      <c r="DG642" s="24" t="n"/>
      <c r="DH642" s="24" t="n"/>
      <c r="DI642" s="24" t="n"/>
      <c r="DJ642" s="24" t="inlineStr">
        <is>
          <t>0.52381</t>
        </is>
      </c>
      <c r="DK642" s="24" t="n"/>
      <c r="DL642" s="24" t="n"/>
      <c r="DM642" s="24" t="n"/>
      <c r="DN642" s="24" t="n"/>
      <c r="DO642" s="24" t="n"/>
      <c r="DP642" s="24" t="n"/>
      <c r="DQ642" s="24" t="inlineStr">
        <is>
          <t>{"artifact_hash": "1d168f11d221cd3c", "event_id": "401866429", "event_start_utc": "2026-09-27T01:00Z", "features": {"altitude_fatigue_penalty": 0.0, "away_team": "Massachusetts Minutemen", "efficiency_gap": -0.871, "elo_away": 1129.7, "elo_home": 1337.5, "elo_home_win_prob": 0.8278, "event_id": "401866429", "game_start_utc": "2026-09-27T01:00Z", "home_field_advantage_points": 2.8, "home_team": "Sacramento State Hornets", "is_dome": false, "is_fbs_vs_fcs": false, "is_neutral_site": false, "projected_away_points": 21.2, "projected_home_points": 32.3, "projected_margin_home": 11.1, "projected_possessions": 12.4, "projected_total": 53.5,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21.2, "mu_home": 32.3,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70437646313747340178033255920483162979}, "uinteger": 0}, "spread_home_line": 4.5, "total_line": 49.5}, "market_type": "spread", "model_version": "cfb-spread-v1", "observed_at_utc": "2026-09-26T22:34:32.504573+00:00", "probabilities": {"away": 0.211933, "home": 0.788067, "push": 0.0}, "replay_scope": "Full precision score means, exact engine parameters and original RNG state; upstream feature construction not certified.", "schema": "cfb-joint-replay-v1", "snapshot_hash": "7e5ecf3d7f5cce9d036ca451e0dd29344734b8836598e4e42df133cc3806db66", "sport": "NCAAF"}</t>
        </is>
      </c>
    </row>
    <row r="643" ht="36" customHeight="1">
      <c r="A643" s="24" t="inlineStr">
        <is>
          <t>9c588257a2cd4dcb</t>
        </is>
      </c>
      <c r="B643" s="24" t="inlineStr">
        <is>
          <t>2026-09-26T22:34:32.504573Z</t>
        </is>
      </c>
      <c r="C643" s="24" t="inlineStr">
        <is>
          <t>2026-09-27T01:00Z</t>
        </is>
      </c>
      <c r="D643" s="24" t="inlineStr">
        <is>
          <t>401866429</t>
        </is>
      </c>
      <c r="E643" s="24" t="inlineStr">
        <is>
          <t>NCAAF</t>
        </is>
      </c>
      <c r="F643" s="24" t="inlineStr">
        <is>
          <t>Massachusetts Minutemen</t>
        </is>
      </c>
      <c r="G643" s="24" t="inlineStr">
        <is>
          <t>Sacramento State Hornets</t>
        </is>
      </c>
      <c r="H643" s="24" t="inlineStr">
        <is>
          <t>total</t>
        </is>
      </c>
      <c r="I643" s="24" t="inlineStr">
        <is>
          <t>over</t>
        </is>
      </c>
      <c r="J643" s="25" t="n">
        <v>49.5</v>
      </c>
      <c r="K643" s="24" t="inlineStr">
        <is>
          <t>espn_consensus</t>
        </is>
      </c>
      <c r="L643" s="26" t="n">
        <v>-108</v>
      </c>
      <c r="M643" s="27" t="n">
        <v>1.925926</v>
      </c>
      <c r="N643" s="28" t="n">
        <v>0.519231</v>
      </c>
      <c r="O643" s="28" t="n">
        <v>0.526667</v>
      </c>
      <c r="P643" s="28" t="n">
        <v>0.18</v>
      </c>
      <c r="Q643" s="28" t="n">
        <v>0.007436</v>
      </c>
      <c r="R643" s="26" t="n">
        <v>0</v>
      </c>
      <c r="S643" s="29" t="n">
        <v>1</v>
      </c>
      <c r="T643" s="24" t="inlineStr">
        <is>
          <t>cfb-total-v1</t>
        </is>
      </c>
      <c r="U643" s="24" t="inlineStr">
        <is>
          <t>settled</t>
        </is>
      </c>
      <c r="V643" s="24" t="inlineStr">
        <is>
          <t>loss</t>
        </is>
      </c>
      <c r="W643" s="26" t="n">
        <v>35</v>
      </c>
      <c r="X643" s="26" t="n">
        <v>6</v>
      </c>
      <c r="Y643" s="25" t="n"/>
      <c r="Z643" s="26" t="n"/>
      <c r="AA643" s="28" t="n"/>
      <c r="AB643" s="28" t="n"/>
      <c r="AC643" s="30" t="n">
        <v>-1</v>
      </c>
      <c r="AD643" s="24" t="inlineStr">
        <is>
          <t>2026-09-27T04:32:25.730540Z</t>
        </is>
      </c>
      <c r="AE643" s="31" t="inlineStr">
        <is>
          <t>Projected total 53.5 pts (Weather adj: +0.0 pts). Total line 49.5 -&gt; P(Over)=0.527, P(Under)=0.473, P(Push)=0.000.</t>
        </is>
      </c>
      <c r="AF643" s="31" t="inlineStr">
        <is>
          <t>College football model; multi-market (moneyline, spread, total).</t>
        </is>
      </c>
      <c r="AG643" s="24" t="inlineStr">
        <is>
          <t>review_required</t>
        </is>
      </c>
      <c r="AH643" s="24" t="n"/>
      <c r="AI643" s="31" t="n"/>
      <c r="AJ643" s="31" t="n"/>
      <c r="AK643" s="24" t="inlineStr">
        <is>
          <t>paper_call</t>
        </is>
      </c>
      <c r="AL643" s="26" t="n">
        <v>4</v>
      </c>
      <c r="AM643" s="24" t="inlineStr">
        <is>
          <t>RESEARCH_OBSERVATION</t>
        </is>
      </c>
      <c r="AN643" s="24" t="inlineStr">
        <is>
          <t>CALL</t>
        </is>
      </c>
      <c r="AO643" s="24" t="inlineStr">
        <is>
          <t>PAPER_CALL_LOW_EDGE</t>
        </is>
      </c>
      <c r="AP643" s="24" t="inlineStr">
        <is>
          <t>Massachusetts Minutemen</t>
        </is>
      </c>
      <c r="AQ643" s="24" t="inlineStr">
        <is>
          <t>Massachusetts Minutemen</t>
        </is>
      </c>
      <c r="AR643" s="24" t="inlineStr">
        <is>
          <t>Massachusetts Minutemen</t>
        </is>
      </c>
      <c r="AS643" s="24" t="inlineStr">
        <is>
          <t>Sacramento State Hornets</t>
        </is>
      </c>
      <c r="AT643" s="24" t="inlineStr">
        <is>
          <t>Sacramento State Hornets</t>
        </is>
      </c>
      <c r="AU643" s="24" t="inlineStr">
        <is>
          <t>Sacramento State Hornets</t>
        </is>
      </c>
      <c r="AV643" s="24" t="n"/>
      <c r="AW643" s="24" t="n"/>
      <c r="AX643" s="24" t="inlineStr">
        <is>
          <t>statistical_model</t>
        </is>
      </c>
      <c r="AY643" s="24" t="n"/>
      <c r="AZ643" s="24" t="inlineStr">
        <is>
          <t>shadow_qualified</t>
        </is>
      </c>
      <c r="BA643" s="24" t="inlineStr">
        <is>
          <t>1d168f11d221cd3c</t>
        </is>
      </c>
      <c r="BB643" s="24" t="inlineStr">
        <is>
          <t>cfb_key_number_engine</t>
        </is>
      </c>
      <c r="BC643" s="24" t="inlineStr">
        <is>
          <t>cfb-total-v1</t>
        </is>
      </c>
      <c r="BD643" s="24" t="inlineStr">
        <is>
          <t>1d168f11d221cd3c</t>
        </is>
      </c>
      <c r="BE643" s="24" t="inlineStr">
        <is>
          <t>cfb-v1</t>
        </is>
      </c>
      <c r="BF643" s="24" t="inlineStr">
        <is>
          <t>1</t>
        </is>
      </c>
      <c r="BG643" s="24" t="inlineStr">
        <is>
          <t>1d168f11d221cd3c</t>
        </is>
      </c>
      <c r="BH643" s="24" t="inlineStr">
        <is>
          <t>2026-09-26T22:34:32.504573+00:00</t>
        </is>
      </c>
      <c r="BI643" s="24" t="inlineStr">
        <is>
          <t>["same_event","same_team_same_day","same_league_same_day"]</t>
        </is>
      </c>
      <c r="BJ643" s="25" t="n">
        <v>49.5</v>
      </c>
      <c r="BK643" s="26" t="n">
        <v>-108</v>
      </c>
      <c r="BL643" s="27" t="n">
        <v>1.925926</v>
      </c>
      <c r="BM643" s="28" t="n">
        <v>0.519231</v>
      </c>
      <c r="BN643" s="28" t="n"/>
      <c r="BO643" s="28" t="n"/>
      <c r="BP643" s="25" t="n"/>
      <c r="BQ643" s="27" t="n"/>
      <c r="BR643" s="28" t="n"/>
      <c r="BS643" s="28" t="n"/>
      <c r="BT643" s="28" t="n"/>
      <c r="BU643" s="25" t="n"/>
      <c r="BV643" s="29" t="n"/>
      <c r="BW643" s="24" t="n"/>
      <c r="BX643" s="30" t="n">
        <v>1</v>
      </c>
      <c r="BY643" s="27" t="n">
        <v>-1</v>
      </c>
      <c r="BZ643" s="24" t="inlineStr">
        <is>
          <t>2026-09-27T04:32:25.730540Z</t>
        </is>
      </c>
      <c r="CA643" s="31" t="inlineStr">
        <is>
          <t>fixed one-unit hypothetical scoring; no real exposure or execution</t>
        </is>
      </c>
      <c r="CB643" s="24" t="n"/>
      <c r="CC643" s="24" t="n"/>
      <c r="CD643" s="24" t="n"/>
      <c r="CE643" s="24" t="n"/>
      <c r="CF643" s="24" t="n"/>
      <c r="CG643" s="24" t="n"/>
      <c r="CH643" s="24" t="n"/>
      <c r="CI643" s="24" t="n"/>
      <c r="CJ643" s="24" t="n"/>
      <c r="CK643" s="24" t="n"/>
      <c r="CL643" s="24" t="n"/>
      <c r="CM643" s="24" t="n"/>
      <c r="CN643" s="24" t="n"/>
      <c r="CO643" s="24" t="n"/>
      <c r="CP643" s="24" t="n"/>
      <c r="CQ643" s="24" t="n"/>
      <c r="CR643" s="24" t="n"/>
      <c r="CS643" s="24" t="inlineStr">
        <is>
          <t>True</t>
        </is>
      </c>
      <c r="CT643" s="24" t="n"/>
      <c r="CU643" s="24" t="n"/>
      <c r="CV643" s="24" t="n"/>
      <c r="CW643" s="24" t="n"/>
      <c r="CX643" s="24" t="n"/>
      <c r="CY643" s="24" t="n"/>
      <c r="CZ643" s="24" t="n"/>
      <c r="DA643" s="24" t="n"/>
      <c r="DB643" s="24" t="n"/>
      <c r="DC643" s="24" t="n"/>
      <c r="DD643" s="24" t="n"/>
      <c r="DE643" s="24" t="n"/>
      <c r="DF643" s="24" t="n"/>
      <c r="DG643" s="24" t="n"/>
      <c r="DH643" s="24" t="n"/>
      <c r="DI643" s="24" t="n"/>
      <c r="DJ643" s="24" t="inlineStr">
        <is>
          <t>0.519231</t>
        </is>
      </c>
      <c r="DK643" s="24" t="n"/>
      <c r="DL643" s="24" t="n"/>
      <c r="DM643" s="24" t="n"/>
      <c r="DN643" s="24" t="n"/>
      <c r="DO643" s="24" t="n"/>
      <c r="DP643" s="24" t="n"/>
      <c r="DQ643" s="24" t="inlineStr">
        <is>
          <t>{"artifact_hash": "1d168f11d221cd3c", "event_id": "401866429", "event_start_utc": "2026-09-27T01:00Z", "features": {"altitude_fatigue_penalty": 0.0, "away_team": "Massachusetts Minutemen", "efficiency_gap": -0.871, "elo_away": 1129.7, "elo_home": 1337.5, "elo_home_win_prob": 0.8278, "event_id": "401866429", "game_start_utc": "2026-09-27T01:00Z", "home_field_advantage_points": 2.8, "home_team": "Sacramento State Hornets", "is_dome": false, "is_fbs_vs_fcs": false, "is_neutral_site": false, "projected_away_points": 21.2, "projected_home_points": 32.3, "projected_margin_home": 11.1, "projected_possessions": 12.4, "projected_total": 53.5,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21.2, "mu_home": 32.3,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70437646313747340178033255920483162979}, "uinteger": 0}, "spread_home_line": 4.5, "total_line": 49.5}, "market_type": "total", "model_version": "cfb-total-v1", "observed_at_utc": "2026-09-26T22:34:32.504573+00:00", "probabilities": {"over": 0.526667, "push": 0.0, "under": 0.473333}, "replay_scope": "Full precision score means, exact engine parameters and original RNG state; upstream feature construction not certified.", "schema": "cfb-joint-replay-v1", "snapshot_hash": "752b42f28105153f28091dc24193b5444409ae2ba932e4bd16b9add8683c58f6", "sport": "NCAAF"}</t>
        </is>
      </c>
    </row>
    <row r="644" ht="36" customHeight="1">
      <c r="A644" s="24" t="inlineStr">
        <is>
          <t>4902a7b9dfb6415a</t>
        </is>
      </c>
      <c r="B644" s="24" t="inlineStr">
        <is>
          <t>2026-09-26T22:34:32.504573Z</t>
        </is>
      </c>
      <c r="C644" s="24" t="inlineStr">
        <is>
          <t>2026-09-27T02:00Z</t>
        </is>
      </c>
      <c r="D644" s="24" t="inlineStr">
        <is>
          <t>401860891</t>
        </is>
      </c>
      <c r="E644" s="24" t="inlineStr">
        <is>
          <t>NCAAF</t>
        </is>
      </c>
      <c r="F644" s="24" t="inlineStr">
        <is>
          <t>Rice Owls</t>
        </is>
      </c>
      <c r="G644" s="24" t="inlineStr">
        <is>
          <t>Fresno State Bulldogs</t>
        </is>
      </c>
      <c r="H644" s="24" t="inlineStr">
        <is>
          <t>moneyline</t>
        </is>
      </c>
      <c r="I644" s="24" t="inlineStr">
        <is>
          <t>home</t>
        </is>
      </c>
      <c r="J644" s="25" t="n"/>
      <c r="K644" s="24" t="inlineStr">
        <is>
          <t>espn_consensus</t>
        </is>
      </c>
      <c r="L644" s="26" t="n">
        <v>-520</v>
      </c>
      <c r="M644" s="27" t="n">
        <v>1.192308</v>
      </c>
      <c r="N644" s="28" t="n">
        <v>0.83871</v>
      </c>
      <c r="O644" s="28" t="n">
        <v>0.769563</v>
      </c>
      <c r="P644" s="28" t="n">
        <v>0.18</v>
      </c>
      <c r="Q644" s="28" t="n">
        <v>-0.069147</v>
      </c>
      <c r="R644" s="26" t="n">
        <v>0</v>
      </c>
      <c r="S644" s="29" t="n">
        <v>1</v>
      </c>
      <c r="T644" s="24" t="inlineStr">
        <is>
          <t>college-football-v1</t>
        </is>
      </c>
      <c r="U644" s="24" t="inlineStr">
        <is>
          <t>settled</t>
        </is>
      </c>
      <c r="V644" s="24" t="inlineStr">
        <is>
          <t>win</t>
        </is>
      </c>
      <c r="W644" s="26" t="n">
        <v>24</v>
      </c>
      <c r="X644" s="26" t="n">
        <v>38</v>
      </c>
      <c r="Y644" s="25" t="n"/>
      <c r="Z644" s="26" t="n"/>
      <c r="AA644" s="28" t="n"/>
      <c r="AB644" s="28" t="n"/>
      <c r="AC644" s="30" t="n">
        <v>0.1923</v>
      </c>
      <c r="AD644" s="24" t="inlineStr">
        <is>
          <t>2026-09-27T10:00:15.996932Z</t>
        </is>
      </c>
      <c r="AE644" s="31" t="inlineStr">
        <is>
          <t>CFB Joint Model (negative_binomial): proj score Rice Owls 19.0 @ Fresno State Bulldogs 33.2 (Margin +14.2). Possessions: 12.4, HFA: +2.8 pts.</t>
        </is>
      </c>
      <c r="AF644" s="31" t="inlineStr">
        <is>
          <t>College football model; multi-market (moneyline, spread, total).</t>
        </is>
      </c>
      <c r="AG644" s="24" t="inlineStr">
        <is>
          <t>not_applicable</t>
        </is>
      </c>
      <c r="AH644" s="24" t="n"/>
      <c r="AI644" s="31" t="n"/>
      <c r="AJ644" s="31" t="n"/>
      <c r="AK644" s="24" t="inlineStr">
        <is>
          <t>paper_call</t>
        </is>
      </c>
      <c r="AL644" s="26" t="n">
        <v>4</v>
      </c>
      <c r="AM644" s="24" t="inlineStr">
        <is>
          <t>RESEARCH_OBSERVATION</t>
        </is>
      </c>
      <c r="AN644" s="24" t="inlineStr">
        <is>
          <t>CALL</t>
        </is>
      </c>
      <c r="AO644" s="24" t="inlineStr">
        <is>
          <t>PAPER_CALL_LOW_EDGE</t>
        </is>
      </c>
      <c r="AP644" s="24" t="inlineStr">
        <is>
          <t>Rice Owls</t>
        </is>
      </c>
      <c r="AQ644" s="24" t="inlineStr">
        <is>
          <t>Rice Owls</t>
        </is>
      </c>
      <c r="AR644" s="24" t="inlineStr">
        <is>
          <t>Rice Owls</t>
        </is>
      </c>
      <c r="AS644" s="24" t="inlineStr">
        <is>
          <t>Fresno State Bulldogs</t>
        </is>
      </c>
      <c r="AT644" s="24" t="inlineStr">
        <is>
          <t>Fresno State Bulldogs</t>
        </is>
      </c>
      <c r="AU644" s="24" t="inlineStr">
        <is>
          <t>Fresno State Bulldogs</t>
        </is>
      </c>
      <c r="AV644" s="24" t="n"/>
      <c r="AW644" s="24" t="n"/>
      <c r="AX644" s="24" t="inlineStr">
        <is>
          <t>statistical_model</t>
        </is>
      </c>
      <c r="AY644" s="24" t="n"/>
      <c r="AZ644" s="24" t="inlineStr">
        <is>
          <t>shadow_qualified</t>
        </is>
      </c>
      <c r="BA644" s="24" t="inlineStr">
        <is>
          <t>1d168f11d221cd3c</t>
        </is>
      </c>
      <c r="BB644" s="24" t="inlineStr">
        <is>
          <t>cfb_key_number_engine</t>
        </is>
      </c>
      <c r="BC644" s="24" t="inlineStr">
        <is>
          <t>college-football-v1</t>
        </is>
      </c>
      <c r="BD644" s="24" t="inlineStr">
        <is>
          <t>1d168f11d221cd3c</t>
        </is>
      </c>
      <c r="BE644" s="24" t="inlineStr">
        <is>
          <t>cfb-v1</t>
        </is>
      </c>
      <c r="BF644" s="24" t="inlineStr">
        <is>
          <t>1</t>
        </is>
      </c>
      <c r="BG644" s="24" t="inlineStr">
        <is>
          <t>1d168f11d221cd3c</t>
        </is>
      </c>
      <c r="BH644" s="24" t="inlineStr">
        <is>
          <t>2026-09-26T22:34:32.504573+00:00</t>
        </is>
      </c>
      <c r="BI644" s="24" t="inlineStr">
        <is>
          <t>["same_event","same_team_same_day","same_league_same_day"]</t>
        </is>
      </c>
      <c r="BJ644" s="25" t="n"/>
      <c r="BK644" s="26" t="n">
        <v>-520</v>
      </c>
      <c r="BL644" s="27" t="n">
        <v>1.192308</v>
      </c>
      <c r="BM644" s="28" t="n">
        <v>0.83871</v>
      </c>
      <c r="BN644" s="28" t="n"/>
      <c r="BO644" s="28" t="n"/>
      <c r="BP644" s="25" t="n"/>
      <c r="BQ644" s="27" t="n"/>
      <c r="BR644" s="28" t="n"/>
      <c r="BS644" s="28" t="n"/>
      <c r="BT644" s="28" t="n"/>
      <c r="BU644" s="25" t="n"/>
      <c r="BV644" s="29" t="n"/>
      <c r="BW644" s="24" t="n"/>
      <c r="BX644" s="30" t="n">
        <v>1</v>
      </c>
      <c r="BY644" s="27" t="n">
        <v>0.192308</v>
      </c>
      <c r="BZ644" s="24" t="inlineStr">
        <is>
          <t>2026-09-27T10:00:15.996932Z</t>
        </is>
      </c>
      <c r="CA644" s="31" t="inlineStr">
        <is>
          <t>fixed one-unit hypothetical scoring; no real exposure or execution</t>
        </is>
      </c>
      <c r="CB644" s="24" t="n"/>
      <c r="CC644" s="24" t="n"/>
      <c r="CD644" s="24" t="n"/>
      <c r="CE644" s="24" t="n"/>
      <c r="CF644" s="24" t="n"/>
      <c r="CG644" s="24" t="n"/>
      <c r="CH644" s="24" t="n"/>
      <c r="CI644" s="24" t="n"/>
      <c r="CJ644" s="24" t="n"/>
      <c r="CK644" s="24" t="n"/>
      <c r="CL644" s="24" t="n"/>
      <c r="CM644" s="24" t="n"/>
      <c r="CN644" s="24" t="n"/>
      <c r="CO644" s="24" t="n"/>
      <c r="CP644" s="24" t="n"/>
      <c r="CQ644" s="24" t="n"/>
      <c r="CR644" s="24" t="n"/>
      <c r="CS644" s="24" t="inlineStr">
        <is>
          <t>False</t>
        </is>
      </c>
      <c r="CT644" s="24" t="n"/>
      <c r="CU644" s="24" t="n"/>
      <c r="CV644" s="24" t="n"/>
      <c r="CW644" s="24" t="n"/>
      <c r="CX644" s="24" t="n"/>
      <c r="CY644" s="24" t="n"/>
      <c r="CZ644" s="24" t="n"/>
      <c r="DA644" s="24" t="n"/>
      <c r="DB644" s="24" t="n"/>
      <c r="DC644" s="24" t="n"/>
      <c r="DD644" s="24" t="n"/>
      <c r="DE644" s="24" t="n"/>
      <c r="DF644" s="24" t="n"/>
      <c r="DG644" s="24" t="n"/>
      <c r="DH644" s="24" t="n"/>
      <c r="DI644" s="24" t="n"/>
      <c r="DJ644" s="24" t="inlineStr">
        <is>
          <t>0.83871</t>
        </is>
      </c>
      <c r="DK644" s="24" t="n"/>
      <c r="DL644" s="24" t="n"/>
      <c r="DM644" s="24" t="n"/>
      <c r="DN644" s="24" t="n"/>
      <c r="DO644" s="24" t="n"/>
      <c r="DP644" s="24" t="n"/>
      <c r="DQ644" s="24" t="inlineStr">
        <is>
          <t>{"artifact_hash": "1d168f11d221cd3c", "event_id": "401860891", "event_start_utc": "2026-09-27T02:00Z", "features": {"altitude_fatigue_penalty": 0.0, "away_team": "Rice Owls", "efficiency_gap": -1.596, "elo_away": 1242.5, "elo_home": 1524.4, "elo_home_win_prob": 0.8804, "event_id": "401860891", "game_start_utc": "2026-09-27T02:00Z", "home_field_advantage_points": 2.8, "home_team": "Fresno State Bulldogs", "is_dome": false, "is_fbs_vs_fcs": false, "is_neutral_site": false, "projected_away_points": 19.0, "projected_home_points": 33.2, "projected_margin_home": 14.2, "projected_possessions": 12.4, "projected_total": 52.2, "stadium_elevation_ft": 340, "travel_distance_miles": 1484.0, "uncertainty": 0.18, "weather_total_adjustment": 0.0}, "historical_source_observation_times_verified": false, "inference_inputs": {"engine_source_sha256": "449ba2f0e86fa9c445730076a0e0bf100fb4914620be53c75c6f3bfe24298f3f", "mu_away": 19.0, "mu_home": 33.2,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307907413546369377630594854609392148759}, "uinteger": 0}, "spread_home_line": -12.5, "total_line": 43.5}, "market_type": "moneyline", "model_version": "college-football-v1", "observed_at_utc": "2026-09-26T22:34:32.504573+00:00", "probabilities": {"away": 0.230437, "home": 0.769563}, "replay_scope": "Full precision score means, exact engine parameters and original RNG state; upstream feature construction not certified.", "schema": "cfb-joint-replay-v1", "snapshot_hash": "25fa4b9f8feedf3c2915ed6a01a611d2006e9ae02875bad6a5ac0da3d8af788f", "sport": "NCAAF"}</t>
        </is>
      </c>
    </row>
    <row r="645" ht="36" customHeight="1">
      <c r="A645" s="24" t="inlineStr">
        <is>
          <t>a2c976d7d5dd4dc6</t>
        </is>
      </c>
      <c r="B645" s="24" t="inlineStr">
        <is>
          <t>2026-09-26T22:34:32.504573Z</t>
        </is>
      </c>
      <c r="C645" s="24" t="inlineStr">
        <is>
          <t>2026-09-27T02:00Z</t>
        </is>
      </c>
      <c r="D645" s="24" t="inlineStr">
        <is>
          <t>401860891</t>
        </is>
      </c>
      <c r="E645" s="24" t="inlineStr">
        <is>
          <t>NCAAF</t>
        </is>
      </c>
      <c r="F645" s="24" t="inlineStr">
        <is>
          <t>Rice Owls</t>
        </is>
      </c>
      <c r="G645" s="24" t="inlineStr">
        <is>
          <t>Fresno State Bulldogs</t>
        </is>
      </c>
      <c r="H645" s="24" t="inlineStr">
        <is>
          <t>spread</t>
        </is>
      </c>
      <c r="I645" s="24" t="inlineStr">
        <is>
          <t>home</t>
        </is>
      </c>
      <c r="J645" s="25" t="n">
        <v>-12.5</v>
      </c>
      <c r="K645" s="24" t="inlineStr">
        <is>
          <t>espn_consensus</t>
        </is>
      </c>
      <c r="L645" s="26" t="n">
        <v>-112</v>
      </c>
      <c r="M645" s="27" t="n">
        <v>1.892857</v>
      </c>
      <c r="N645" s="28" t="n">
        <v>0.528302</v>
      </c>
      <c r="O645" s="28" t="n">
        <v>0.532</v>
      </c>
      <c r="P645" s="28" t="n">
        <v>0.18</v>
      </c>
      <c r="Q645" s="28" t="n">
        <v>0.003698</v>
      </c>
      <c r="R645" s="26" t="n">
        <v>0</v>
      </c>
      <c r="S645" s="29" t="n">
        <v>1</v>
      </c>
      <c r="T645" s="24" t="inlineStr">
        <is>
          <t>cfb-spread-v1</t>
        </is>
      </c>
      <c r="U645" s="24" t="inlineStr">
        <is>
          <t>settled</t>
        </is>
      </c>
      <c r="V645" s="24" t="inlineStr">
        <is>
          <t>win</t>
        </is>
      </c>
      <c r="W645" s="26" t="n">
        <v>24</v>
      </c>
      <c r="X645" s="26" t="n">
        <v>38</v>
      </c>
      <c r="Y645" s="25" t="n"/>
      <c r="Z645" s="26" t="n"/>
      <c r="AA645" s="28" t="n"/>
      <c r="AB645" s="28" t="n"/>
      <c r="AC645" s="30" t="n">
        <v>0.8929</v>
      </c>
      <c r="AD645" s="24" t="inlineStr">
        <is>
          <t>2026-09-27T10:00:16.535804Z</t>
        </is>
      </c>
      <c r="AE645" s="31" t="inlineStr">
        <is>
          <t>Projected home margin +14.2 pts. Spread: Home -12.5 / Away +12.5 -&gt; P(Away cover)=0.468, P(Home cover)=0.532, P(Push)=0.000.</t>
        </is>
      </c>
      <c r="AF645" s="31" t="inlineStr">
        <is>
          <t>College football model; multi-market (moneyline, spread, total).</t>
        </is>
      </c>
      <c r="AG645" s="24" t="inlineStr">
        <is>
          <t>not_applicable</t>
        </is>
      </c>
      <c r="AH645" s="24" t="n"/>
      <c r="AI645" s="31" t="n"/>
      <c r="AJ645" s="31" t="n"/>
      <c r="AK645" s="24" t="inlineStr">
        <is>
          <t>paper_call</t>
        </is>
      </c>
      <c r="AL645" s="26" t="n">
        <v>4</v>
      </c>
      <c r="AM645" s="24" t="inlineStr">
        <is>
          <t>RESEARCH_OBSERVATION</t>
        </is>
      </c>
      <c r="AN645" s="24" t="inlineStr">
        <is>
          <t>CALL</t>
        </is>
      </c>
      <c r="AO645" s="24" t="inlineStr">
        <is>
          <t>PAPER_CALL_LOW_EDGE</t>
        </is>
      </c>
      <c r="AP645" s="24" t="inlineStr">
        <is>
          <t>Rice Owls</t>
        </is>
      </c>
      <c r="AQ645" s="24" t="inlineStr">
        <is>
          <t>Rice Owls</t>
        </is>
      </c>
      <c r="AR645" s="24" t="inlineStr">
        <is>
          <t>Rice Owls</t>
        </is>
      </c>
      <c r="AS645" s="24" t="inlineStr">
        <is>
          <t>Fresno State Bulldogs</t>
        </is>
      </c>
      <c r="AT645" s="24" t="inlineStr">
        <is>
          <t>Fresno State Bulldogs</t>
        </is>
      </c>
      <c r="AU645" s="24" t="inlineStr">
        <is>
          <t>Fresno State Bulldogs</t>
        </is>
      </c>
      <c r="AV645" s="24" t="n"/>
      <c r="AW645" s="24" t="n"/>
      <c r="AX645" s="24" t="inlineStr">
        <is>
          <t>statistical_model</t>
        </is>
      </c>
      <c r="AY645" s="24" t="n"/>
      <c r="AZ645" s="24" t="inlineStr">
        <is>
          <t>shadow_qualified</t>
        </is>
      </c>
      <c r="BA645" s="24" t="inlineStr">
        <is>
          <t>1d168f11d221cd3c</t>
        </is>
      </c>
      <c r="BB645" s="24" t="inlineStr">
        <is>
          <t>cfb_key_number_engine</t>
        </is>
      </c>
      <c r="BC645" s="24" t="inlineStr">
        <is>
          <t>cfb-spread-v1</t>
        </is>
      </c>
      <c r="BD645" s="24" t="inlineStr">
        <is>
          <t>1d168f11d221cd3c</t>
        </is>
      </c>
      <c r="BE645" s="24" t="inlineStr">
        <is>
          <t>cfb-v1</t>
        </is>
      </c>
      <c r="BF645" s="24" t="inlineStr">
        <is>
          <t>1</t>
        </is>
      </c>
      <c r="BG645" s="24" t="inlineStr">
        <is>
          <t>1d168f11d221cd3c</t>
        </is>
      </c>
      <c r="BH645" s="24" t="inlineStr">
        <is>
          <t>2026-09-26T22:34:32.504573+00:00</t>
        </is>
      </c>
      <c r="BI645" s="24" t="inlineStr">
        <is>
          <t>["same_event","same_team_same_day","same_league_same_day"]</t>
        </is>
      </c>
      <c r="BJ645" s="25" t="n">
        <v>-12.5</v>
      </c>
      <c r="BK645" s="26" t="n">
        <v>-112</v>
      </c>
      <c r="BL645" s="27" t="n">
        <v>1.892857</v>
      </c>
      <c r="BM645" s="28" t="n">
        <v>0.528302</v>
      </c>
      <c r="BN645" s="28" t="n"/>
      <c r="BO645" s="28" t="n"/>
      <c r="BP645" s="25" t="n"/>
      <c r="BQ645" s="27" t="n"/>
      <c r="BR645" s="28" t="n"/>
      <c r="BS645" s="28" t="n"/>
      <c r="BT645" s="28" t="n"/>
      <c r="BU645" s="25" t="n"/>
      <c r="BV645" s="29" t="n"/>
      <c r="BW645" s="24" t="n"/>
      <c r="BX645" s="30" t="n">
        <v>1</v>
      </c>
      <c r="BY645" s="27" t="n">
        <v>0.892857</v>
      </c>
      <c r="BZ645" s="24" t="inlineStr">
        <is>
          <t>2026-09-27T10:00:16.535804Z</t>
        </is>
      </c>
      <c r="CA645" s="31" t="inlineStr">
        <is>
          <t>fixed one-unit hypothetical scoring; no real exposure or execution</t>
        </is>
      </c>
      <c r="CB645" s="24" t="n"/>
      <c r="CC645" s="24" t="n"/>
      <c r="CD645" s="24" t="n"/>
      <c r="CE645" s="24" t="n"/>
      <c r="CF645" s="24" t="n"/>
      <c r="CG645" s="24" t="n"/>
      <c r="CH645" s="24" t="n"/>
      <c r="CI645" s="24" t="n"/>
      <c r="CJ645" s="24" t="n"/>
      <c r="CK645" s="24" t="n"/>
      <c r="CL645" s="24" t="n"/>
      <c r="CM645" s="24" t="n"/>
      <c r="CN645" s="24" t="n"/>
      <c r="CO645" s="24" t="n"/>
      <c r="CP645" s="24" t="n"/>
      <c r="CQ645" s="24" t="n"/>
      <c r="CR645" s="24" t="n"/>
      <c r="CS645" s="24" t="inlineStr">
        <is>
          <t>True</t>
        </is>
      </c>
      <c r="CT645" s="24" t="n"/>
      <c r="CU645" s="24" t="n"/>
      <c r="CV645" s="24" t="n"/>
      <c r="CW645" s="24" t="n"/>
      <c r="CX645" s="24" t="n"/>
      <c r="CY645" s="24" t="n"/>
      <c r="CZ645" s="24" t="n"/>
      <c r="DA645" s="24" t="n"/>
      <c r="DB645" s="24" t="n"/>
      <c r="DC645" s="24" t="n"/>
      <c r="DD645" s="24" t="n"/>
      <c r="DE645" s="24" t="n"/>
      <c r="DF645" s="24" t="n"/>
      <c r="DG645" s="24" t="n"/>
      <c r="DH645" s="24" t="n"/>
      <c r="DI645" s="24" t="n"/>
      <c r="DJ645" s="24" t="inlineStr">
        <is>
          <t>0.528302</t>
        </is>
      </c>
      <c r="DK645" s="24" t="n"/>
      <c r="DL645" s="24" t="n"/>
      <c r="DM645" s="24" t="n"/>
      <c r="DN645" s="24" t="n"/>
      <c r="DO645" s="24" t="n"/>
      <c r="DP645" s="24" t="n"/>
      <c r="DQ645" s="24" t="inlineStr">
        <is>
          <t>{"artifact_hash": "1d168f11d221cd3c", "event_id": "401860891", "event_start_utc": "2026-09-27T02:00Z", "features": {"altitude_fatigue_penalty": 0.0, "away_team": "Rice Owls", "efficiency_gap": -1.596, "elo_away": 1242.5, "elo_home": 1524.4, "elo_home_win_prob": 0.8804, "event_id": "401860891", "game_start_utc": "2026-09-27T02:00Z", "home_field_advantage_points": 2.8, "home_team": "Fresno State Bulldogs", "is_dome": false, "is_fbs_vs_fcs": false, "is_neutral_site": false, "projected_away_points": 19.0, "projected_home_points": 33.2, "projected_margin_home": 14.2, "projected_possessions": 12.4, "projected_total": 52.2, "stadium_elevation_ft": 340, "travel_distance_miles": 1484.0, "uncertainty": 0.18, "weather_total_adjustment": 0.0}, "historical_source_observation_times_verified": false, "inference_inputs": {"engine_source_sha256": "449ba2f0e86fa9c445730076a0e0bf100fb4914620be53c75c6f3bfe24298f3f", "mu_away": 19.0, "mu_home": 33.2,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307907413546369377630594854609392148759}, "uinteger": 0}, "spread_home_line": -12.5, "total_line": 43.5}, "market_type": "spread", "model_version": "cfb-spread-v1", "observed_at_utc": "2026-09-26T22:34:32.504573+00:00", "probabilities": {"away": 0.468, "home": 0.532, "push": 0.0}, "replay_scope": "Full precision score means, exact engine parameters and original RNG state; upstream feature construction not certified.", "schema": "cfb-joint-replay-v1", "snapshot_hash": "6ead4300a8d7d048b03913bcc598cb48595d386e164f67b9de1262854059a79d", "sport": "NCAAF"}</t>
        </is>
      </c>
    </row>
    <row r="646" ht="36" customHeight="1">
      <c r="A646" s="24" t="inlineStr">
        <is>
          <t>e373265d6e9b47ac</t>
        </is>
      </c>
      <c r="B646" s="24" t="inlineStr">
        <is>
          <t>2026-09-26T22:34:32.504573Z</t>
        </is>
      </c>
      <c r="C646" s="24" t="inlineStr">
        <is>
          <t>2026-09-27T02:00Z</t>
        </is>
      </c>
      <c r="D646" s="24" t="inlineStr">
        <is>
          <t>401860891</t>
        </is>
      </c>
      <c r="E646" s="24" t="inlineStr">
        <is>
          <t>NCAAF</t>
        </is>
      </c>
      <c r="F646" s="24" t="inlineStr">
        <is>
          <t>Rice Owls</t>
        </is>
      </c>
      <c r="G646" s="24" t="inlineStr">
        <is>
          <t>Fresno State Bulldogs</t>
        </is>
      </c>
      <c r="H646" s="24" t="inlineStr">
        <is>
          <t>total</t>
        </is>
      </c>
      <c r="I646" s="24" t="inlineStr">
        <is>
          <t>over</t>
        </is>
      </c>
      <c r="J646" s="25" t="n">
        <v>43.5</v>
      </c>
      <c r="K646" s="24" t="inlineStr">
        <is>
          <t>espn_consensus</t>
        </is>
      </c>
      <c r="L646" s="26" t="n">
        <v>-115</v>
      </c>
      <c r="M646" s="27" t="n">
        <v>1.869565</v>
      </c>
      <c r="N646" s="28" t="n">
        <v>0.534884</v>
      </c>
      <c r="O646" s="28" t="n">
        <v>0.620267</v>
      </c>
      <c r="P646" s="28" t="n">
        <v>0.18</v>
      </c>
      <c r="Q646" s="28" t="n">
        <v>0.085383</v>
      </c>
      <c r="R646" s="26" t="n">
        <v>0</v>
      </c>
      <c r="S646" s="29" t="n">
        <v>1</v>
      </c>
      <c r="T646" s="24" t="inlineStr">
        <is>
          <t>cfb-total-v1</t>
        </is>
      </c>
      <c r="U646" s="24" t="inlineStr">
        <is>
          <t>settled</t>
        </is>
      </c>
      <c r="V646" s="24" t="inlineStr">
        <is>
          <t>win</t>
        </is>
      </c>
      <c r="W646" s="26" t="n">
        <v>24</v>
      </c>
      <c r="X646" s="26" t="n">
        <v>38</v>
      </c>
      <c r="Y646" s="25" t="n"/>
      <c r="Z646" s="26" t="n"/>
      <c r="AA646" s="28" t="n"/>
      <c r="AB646" s="28" t="n"/>
      <c r="AC646" s="30" t="n">
        <v>0.8696</v>
      </c>
      <c r="AD646" s="24" t="inlineStr">
        <is>
          <t>2026-09-27T10:00:17.057846Z</t>
        </is>
      </c>
      <c r="AE646" s="31" t="inlineStr">
        <is>
          <t>Projected total 52.2 pts (Weather adj: +0.0 pts). Total line 43.5 -&gt; P(Over)=0.620, P(Under)=0.380, P(Push)=0.000.</t>
        </is>
      </c>
      <c r="AF646" s="31" t="inlineStr">
        <is>
          <t>College football model; multi-market (moneyline, spread, total).</t>
        </is>
      </c>
      <c r="AG646" s="24" t="inlineStr">
        <is>
          <t>not_applicable</t>
        </is>
      </c>
      <c r="AH646" s="24" t="n"/>
      <c r="AI646" s="31" t="n"/>
      <c r="AJ646" s="31" t="n"/>
      <c r="AK646" s="24" t="inlineStr">
        <is>
          <t>model_qualified</t>
        </is>
      </c>
      <c r="AL646" s="26" t="n">
        <v>4</v>
      </c>
      <c r="AM646" s="24" t="inlineStr">
        <is>
          <t>QUALIFIED_SHADOW_CALL</t>
        </is>
      </c>
      <c r="AN646" s="24" t="inlineStr">
        <is>
          <t>CALL</t>
        </is>
      </c>
      <c r="AO646" s="24" t="inlineStr">
        <is>
          <t>QUALIFIED</t>
        </is>
      </c>
      <c r="AP646" s="24" t="inlineStr">
        <is>
          <t>Rice Owls</t>
        </is>
      </c>
      <c r="AQ646" s="24" t="inlineStr">
        <is>
          <t>Rice Owls</t>
        </is>
      </c>
      <c r="AR646" s="24" t="inlineStr">
        <is>
          <t>Rice Owls</t>
        </is>
      </c>
      <c r="AS646" s="24" t="inlineStr">
        <is>
          <t>Fresno State Bulldogs</t>
        </is>
      </c>
      <c r="AT646" s="24" t="inlineStr">
        <is>
          <t>Fresno State Bulldogs</t>
        </is>
      </c>
      <c r="AU646" s="24" t="inlineStr">
        <is>
          <t>Fresno State Bulldogs</t>
        </is>
      </c>
      <c r="AV646" s="24" t="n"/>
      <c r="AW646" s="24" t="n"/>
      <c r="AX646" s="24" t="inlineStr">
        <is>
          <t>statistical_model</t>
        </is>
      </c>
      <c r="AY646" s="24" t="n"/>
      <c r="AZ646" s="24" t="inlineStr">
        <is>
          <t>shadow_qualified</t>
        </is>
      </c>
      <c r="BA646" s="24" t="inlineStr">
        <is>
          <t>1d168f11d221cd3c</t>
        </is>
      </c>
      <c r="BB646" s="24" t="inlineStr">
        <is>
          <t>cfb_key_number_engine</t>
        </is>
      </c>
      <c r="BC646" s="24" t="inlineStr">
        <is>
          <t>cfb-total-v1</t>
        </is>
      </c>
      <c r="BD646" s="24" t="inlineStr">
        <is>
          <t>1d168f11d221cd3c</t>
        </is>
      </c>
      <c r="BE646" s="24" t="inlineStr">
        <is>
          <t>cfb-v1</t>
        </is>
      </c>
      <c r="BF646" s="24" t="inlineStr">
        <is>
          <t>1</t>
        </is>
      </c>
      <c r="BG646" s="24" t="inlineStr">
        <is>
          <t>1d168f11d221cd3c</t>
        </is>
      </c>
      <c r="BH646" s="24" t="inlineStr">
        <is>
          <t>2026-09-26T22:34:32.504573+00:00</t>
        </is>
      </c>
      <c r="BI646" s="24" t="inlineStr">
        <is>
          <t>["same_event","same_team_same_day","same_league_same_day"]</t>
        </is>
      </c>
      <c r="BJ646" s="25" t="n">
        <v>43.5</v>
      </c>
      <c r="BK646" s="26" t="n">
        <v>-115</v>
      </c>
      <c r="BL646" s="27" t="n">
        <v>1.869565</v>
      </c>
      <c r="BM646" s="28" t="n">
        <v>0.534884</v>
      </c>
      <c r="BN646" s="28" t="n"/>
      <c r="BO646" s="28" t="n"/>
      <c r="BP646" s="25" t="n"/>
      <c r="BQ646" s="27" t="n"/>
      <c r="BR646" s="28" t="n"/>
      <c r="BS646" s="28" t="n"/>
      <c r="BT646" s="28" t="n"/>
      <c r="BU646" s="25" t="n"/>
      <c r="BV646" s="29" t="n"/>
      <c r="BW646" s="24" t="n"/>
      <c r="BX646" s="30" t="n"/>
      <c r="BY646" s="27" t="n"/>
      <c r="BZ646" s="24" t="n"/>
      <c r="CA646" s="31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inlineStr">
        <is>
          <t>True</t>
        </is>
      </c>
      <c r="CT646" s="24" t="n"/>
      <c r="CU646" s="24" t="n"/>
      <c r="CV646" s="24" t="n"/>
      <c r="CW646" s="24" t="n"/>
      <c r="CX646" s="24" t="n"/>
      <c r="CY646" s="24" t="n"/>
      <c r="CZ646" s="24" t="n"/>
      <c r="DA646" s="24" t="n"/>
      <c r="DB646" s="24" t="n"/>
      <c r="DC646" s="24" t="n"/>
      <c r="DD646" s="24" t="n"/>
      <c r="DE646" s="24" t="n"/>
      <c r="DF646" s="24" t="n"/>
      <c r="DG646" s="24" t="n"/>
      <c r="DH646" s="24" t="n"/>
      <c r="DI646" s="24" t="n"/>
      <c r="DJ646" s="24" t="inlineStr">
        <is>
          <t>0.534884</t>
        </is>
      </c>
      <c r="DK646" s="24" t="n"/>
      <c r="DL646" s="24" t="n"/>
      <c r="DM646" s="24" t="n"/>
      <c r="DN646" s="24" t="n"/>
      <c r="DO646" s="24" t="n"/>
      <c r="DP646" s="24" t="n"/>
      <c r="DQ646" s="24" t="inlineStr">
        <is>
          <t>{"artifact_hash": "1d168f11d221cd3c", "event_id": "401860891", "event_start_utc": "2026-09-27T02:00Z", "features": {"altitude_fatigue_penalty": 0.0, "away_team": "Rice Owls", "efficiency_gap": -1.596, "elo_away": 1242.5, "elo_home": 1524.4, "elo_home_win_prob": 0.8804, "event_id": "401860891", "game_start_utc": "2026-09-27T02:00Z", "home_field_advantage_points": 2.8, "home_team": "Fresno State Bulldogs", "is_dome": false, "is_fbs_vs_fcs": false, "is_neutral_site": false, "projected_away_points": 19.0, "projected_home_points": 33.2, "projected_margin_home": 14.2, "projected_possessions": 12.4, "projected_total": 52.2, "stadium_elevation_ft": 340, "travel_distance_miles": 1484.0, "uncertainty": 0.18, "weather_total_adjustment": 0.0}, "historical_source_observation_times_verified": false, "inference_inputs": {"engine_source_sha256": "449ba2f0e86fa9c445730076a0e0bf100fb4914620be53c75c6f3bfe24298f3f", "mu_away": 19.0, "mu_home": 33.2,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307907413546369377630594854609392148759}, "uinteger": 0}, "spread_home_line": -12.5, "total_line": 43.5}, "market_type": "total", "model_version": "cfb-total-v1", "observed_at_utc": "2026-09-26T22:34:32.504573+00:00", "probabilities": {"over": 0.620267, "push": 0.0, "under": 0.379733}, "replay_scope": "Full precision score means, exact engine parameters and original RNG state; upstream feature construction not certified.", "schema": "cfb-joint-replay-v1", "snapshot_hash": "750244a18e8e2356ac7ac2c394e52a5d62ea9188bbb24f76a615aeeb4df03b7c", "sport": "NCAAF"}</t>
        </is>
      </c>
    </row>
    <row r="647" ht="36" customHeight="1">
      <c r="A647" s="24" t="inlineStr">
        <is>
          <t>4c6556a7cc9f479b</t>
        </is>
      </c>
      <c r="B647" s="24" t="inlineStr">
        <is>
          <t>2026-09-26T22:34:32.504573Z</t>
        </is>
      </c>
      <c r="C647" s="24" t="inlineStr">
        <is>
          <t>2026-09-27T02:30Z</t>
        </is>
      </c>
      <c r="D647" s="24" t="inlineStr">
        <is>
          <t>401858240</t>
        </is>
      </c>
      <c r="E647" s="24" t="inlineStr">
        <is>
          <t>NCAAF</t>
        </is>
      </c>
      <c r="F647" s="24" t="inlineStr">
        <is>
          <t>Georgia Tech Yellow Jackets</t>
        </is>
      </c>
      <c r="G647" s="24" t="inlineStr">
        <is>
          <t>Stanford Cardinal</t>
        </is>
      </c>
      <c r="H647" s="24" t="inlineStr">
        <is>
          <t>moneyline</t>
        </is>
      </c>
      <c r="I647" s="24" t="inlineStr">
        <is>
          <t>away</t>
        </is>
      </c>
      <c r="J647" s="25" t="n"/>
      <c r="K647" s="24" t="inlineStr">
        <is>
          <t>espn_consensus</t>
        </is>
      </c>
      <c r="L647" s="26" t="n">
        <v>-155</v>
      </c>
      <c r="M647" s="27" t="n">
        <v>1.645161</v>
      </c>
      <c r="N647" s="28" t="n">
        <v>0.607843</v>
      </c>
      <c r="O647" s="28" t="n">
        <v>0.536968</v>
      </c>
      <c r="P647" s="28" t="n">
        <v>0.165</v>
      </c>
      <c r="Q647" s="28" t="n">
        <v>-0.07087499999999999</v>
      </c>
      <c r="R647" s="26" t="n">
        <v>0</v>
      </c>
      <c r="S647" s="29" t="n">
        <v>1</v>
      </c>
      <c r="T647" s="24" t="inlineStr">
        <is>
          <t>college-football-v1</t>
        </is>
      </c>
      <c r="U647" s="24" t="inlineStr">
        <is>
          <t>settled</t>
        </is>
      </c>
      <c r="V647" s="24" t="inlineStr">
        <is>
          <t>loss</t>
        </is>
      </c>
      <c r="W647" s="26" t="n">
        <v>27</v>
      </c>
      <c r="X647" s="26" t="n">
        <v>34</v>
      </c>
      <c r="Y647" s="25" t="n"/>
      <c r="Z647" s="26" t="n"/>
      <c r="AA647" s="28" t="n"/>
      <c r="AB647" s="28" t="n"/>
      <c r="AC647" s="30" t="n">
        <v>-1</v>
      </c>
      <c r="AD647" s="24" t="inlineStr">
        <is>
          <t>2026-09-27T10:00:17.595752Z</t>
        </is>
      </c>
      <c r="AE647" s="31" t="inlineStr">
        <is>
          <t>CFB Joint Model (negative_binomial): proj score Georgia Tech Yellow Jackets 27.4 @ Stanford Cardinal 25.8 (Margin -1.5). Possessions: 12.4, HFA: +2.8 pts.</t>
        </is>
      </c>
      <c r="AF647" s="31" t="inlineStr">
        <is>
          <t>College football model; multi-market (moneyline, spread, total).</t>
        </is>
      </c>
      <c r="AG647" s="24" t="inlineStr">
        <is>
          <t>review_required</t>
        </is>
      </c>
      <c r="AH647" s="24" t="n"/>
      <c r="AI647" s="31" t="n"/>
      <c r="AJ647" s="31" t="n"/>
      <c r="AK647" s="24" t="inlineStr">
        <is>
          <t>paper_call</t>
        </is>
      </c>
      <c r="AL647" s="26" t="n">
        <v>4</v>
      </c>
      <c r="AM647" s="24" t="inlineStr">
        <is>
          <t>RESEARCH_OBSERVATION</t>
        </is>
      </c>
      <c r="AN647" s="24" t="inlineStr">
        <is>
          <t>CALL</t>
        </is>
      </c>
      <c r="AO647" s="24" t="inlineStr">
        <is>
          <t>PAPER_CALL_LOW_EDGE</t>
        </is>
      </c>
      <c r="AP647" s="24" t="inlineStr">
        <is>
          <t>Georgia Tech Yellow Jackets</t>
        </is>
      </c>
      <c r="AQ647" s="24" t="inlineStr">
        <is>
          <t>Georgia Tech Yellow Jackets</t>
        </is>
      </c>
      <c r="AR647" s="24" t="inlineStr">
        <is>
          <t>Georgia Tech Yellow Jackets</t>
        </is>
      </c>
      <c r="AS647" s="24" t="inlineStr">
        <is>
          <t>Stanford Cardinal</t>
        </is>
      </c>
      <c r="AT647" s="24" t="inlineStr">
        <is>
          <t>Stanford Cardinal</t>
        </is>
      </c>
      <c r="AU647" s="24" t="inlineStr">
        <is>
          <t>Stanford Cardinal</t>
        </is>
      </c>
      <c r="AV647" s="24" t="n"/>
      <c r="AW647" s="24" t="n"/>
      <c r="AX647" s="24" t="inlineStr">
        <is>
          <t>statistical_model</t>
        </is>
      </c>
      <c r="AY647" s="24" t="n"/>
      <c r="AZ647" s="24" t="inlineStr">
        <is>
          <t>shadow_qualified</t>
        </is>
      </c>
      <c r="BA647" s="24" t="inlineStr">
        <is>
          <t>1d168f11d221cd3c</t>
        </is>
      </c>
      <c r="BB647" s="24" t="inlineStr">
        <is>
          <t>cfb_key_number_engine</t>
        </is>
      </c>
      <c r="BC647" s="24" t="inlineStr">
        <is>
          <t>college-football-v1</t>
        </is>
      </c>
      <c r="BD647" s="24" t="inlineStr">
        <is>
          <t>1d168f11d221cd3c</t>
        </is>
      </c>
      <c r="BE647" s="24" t="inlineStr">
        <is>
          <t>cfb-v1</t>
        </is>
      </c>
      <c r="BF647" s="24" t="inlineStr">
        <is>
          <t>1</t>
        </is>
      </c>
      <c r="BG647" s="24" t="inlineStr">
        <is>
          <t>1d168f11d221cd3c</t>
        </is>
      </c>
      <c r="BH647" s="24" t="inlineStr">
        <is>
          <t>2026-09-26T22:34:32.504573+00:00</t>
        </is>
      </c>
      <c r="BI647" s="24" t="inlineStr">
        <is>
          <t>["same_event","same_team_same_day","same_league_same_day"]</t>
        </is>
      </c>
      <c r="BJ647" s="25" t="n"/>
      <c r="BK647" s="26" t="n">
        <v>-155</v>
      </c>
      <c r="BL647" s="27" t="n">
        <v>1.645161</v>
      </c>
      <c r="BM647" s="28" t="n">
        <v>0.607843</v>
      </c>
      <c r="BN647" s="28" t="n"/>
      <c r="BO647" s="28" t="n"/>
      <c r="BP647" s="25" t="n"/>
      <c r="BQ647" s="27" t="n"/>
      <c r="BR647" s="28" t="n"/>
      <c r="BS647" s="28" t="n"/>
      <c r="BT647" s="28" t="n"/>
      <c r="BU647" s="25" t="n"/>
      <c r="BV647" s="29" t="n"/>
      <c r="BW647" s="24" t="n"/>
      <c r="BX647" s="30" t="n">
        <v>1</v>
      </c>
      <c r="BY647" s="27" t="n">
        <v>-1</v>
      </c>
      <c r="BZ647" s="24" t="inlineStr">
        <is>
          <t>2026-09-27T10:00:17.595752Z</t>
        </is>
      </c>
      <c r="CA647" s="31" t="inlineStr">
        <is>
          <t>fixed one-unit hypothetical scoring; no real exposure or execution</t>
        </is>
      </c>
      <c r="CB647" s="24" t="n"/>
      <c r="CC647" s="24" t="n"/>
      <c r="CD647" s="24" t="n"/>
      <c r="CE647" s="24" t="n"/>
      <c r="CF647" s="24" t="n"/>
      <c r="CG647" s="24" t="n"/>
      <c r="CH647" s="24" t="n"/>
      <c r="CI647" s="24" t="n"/>
      <c r="CJ647" s="24" t="n"/>
      <c r="CK647" s="24" t="n"/>
      <c r="CL647" s="24" t="n"/>
      <c r="CM647" s="24" t="n"/>
      <c r="CN647" s="24" t="n"/>
      <c r="CO647" s="24" t="n"/>
      <c r="CP647" s="24" t="n"/>
      <c r="CQ647" s="24" t="n"/>
      <c r="CR647" s="24" t="n"/>
      <c r="CS647" s="24" t="inlineStr">
        <is>
          <t>False</t>
        </is>
      </c>
      <c r="CT647" s="24" t="n"/>
      <c r="CU647" s="24" t="n"/>
      <c r="CV647" s="24" t="n"/>
      <c r="CW647" s="24" t="n"/>
      <c r="CX647" s="24" t="n"/>
      <c r="CY647" s="24" t="n"/>
      <c r="CZ647" s="24" t="n"/>
      <c r="DA647" s="24" t="n"/>
      <c r="DB647" s="24" t="n"/>
      <c r="DC647" s="24" t="n"/>
      <c r="DD647" s="24" t="n"/>
      <c r="DE647" s="24" t="n"/>
      <c r="DF647" s="24" t="n"/>
      <c r="DG647" s="24" t="n"/>
      <c r="DH647" s="24" t="n"/>
      <c r="DI647" s="24" t="n"/>
      <c r="DJ647" s="24" t="inlineStr">
        <is>
          <t>0.607843</t>
        </is>
      </c>
      <c r="DK647" s="24" t="n"/>
      <c r="DL647" s="24" t="n"/>
      <c r="DM647" s="24" t="n"/>
      <c r="DN647" s="24" t="n"/>
      <c r="DO647" s="24" t="n"/>
      <c r="DP647" s="24" t="n"/>
      <c r="DQ647" s="24" t="inlineStr">
        <is>
          <t>{"artifact_hash": "1d168f11d221cd3c", "event_id": "401858240", "event_start_utc": "2026-09-27T02:30Z", "features": {"altitude_fatigue_penalty": 0.0, "away_team": "Georgia Tech Yellow Jackets", "efficiency_gap": -0.523, "elo_away": 1441.2, "elo_home": 1335.9, "elo_home_win_prob": 0.4422, "event_id": "401858240", "game_start_utc": "2026-09-27T02:30Z", "home_field_advantage_points": 2.8, "home_team": "Stanford Cardinal", "is_dome": false, "is_fbs_vs_fcs": false, "is_neutral_site": false, "projected_away_points": 27.4, "projected_home_points": 25.8, "projected_margin_home": -1.5, "projected_possessions": 12.4, "projected_total": 53.2, "stadium_elevation_ft": 60, "travel_distance_miles": 2123.0, "uncertainty": 0.165, "weather_total_adjustment": 0.0}, "historical_source_observation_times_verified": false, "inference_inputs": {"engine_source_sha256": "449ba2f0e86fa9c445730076a0e0bf100fb4914620be53c75c6f3bfe24298f3f", "mu_away": 27.4, "mu_home": 25.8,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112952002924367006295252819105234080331}, "uinteger": 0}, "spread_home_line": 3.0, "total_line": 48.5}, "market_type": "moneyline", "model_version": "college-football-v1", "observed_at_utc": "2026-09-26T22:34:32.504573+00:00", "probabilities": {"away": 0.536968, "home": 0.463032}, "replay_scope": "Full precision score means, exact engine parameters and original RNG state; upstream feature construction not certified.", "schema": "cfb-joint-replay-v1", "snapshot_hash": "dfca41cd908cc696dcc007f7f7f9e2362917c815da56086da5810c5156ba68a0", "sport": "NCAAF"}</t>
        </is>
      </c>
    </row>
    <row r="648" ht="36" customHeight="1">
      <c r="A648" s="24" t="inlineStr">
        <is>
          <t>f455e189f7b74792</t>
        </is>
      </c>
      <c r="B648" s="24" t="inlineStr">
        <is>
          <t>2026-09-26T22:34:32.504573Z</t>
        </is>
      </c>
      <c r="C648" s="24" t="inlineStr">
        <is>
          <t>2026-09-27T02:30Z</t>
        </is>
      </c>
      <c r="D648" s="24" t="inlineStr">
        <is>
          <t>401858240</t>
        </is>
      </c>
      <c r="E648" s="24" t="inlineStr">
        <is>
          <t>NCAAF</t>
        </is>
      </c>
      <c r="F648" s="24" t="inlineStr">
        <is>
          <t>Georgia Tech Yellow Jackets</t>
        </is>
      </c>
      <c r="G648" s="24" t="inlineStr">
        <is>
          <t>Stanford Cardinal</t>
        </is>
      </c>
      <c r="H648" s="24" t="inlineStr">
        <is>
          <t>spread</t>
        </is>
      </c>
      <c r="I648" s="24" t="inlineStr">
        <is>
          <t>home</t>
        </is>
      </c>
      <c r="J648" s="25" t="n">
        <v>3</v>
      </c>
      <c r="K648" s="24" t="inlineStr">
        <is>
          <t>espn_consensus</t>
        </is>
      </c>
      <c r="L648" s="26" t="n">
        <v>-110</v>
      </c>
      <c r="M648" s="27" t="n">
        <v>1.909091</v>
      </c>
      <c r="N648" s="28" t="n">
        <v>0.52381</v>
      </c>
      <c r="O648" s="28" t="n">
        <v>0.517733</v>
      </c>
      <c r="P648" s="28" t="n">
        <v>0.165</v>
      </c>
      <c r="Q648" s="28" t="n">
        <v>-0.006077</v>
      </c>
      <c r="R648" s="26" t="n">
        <v>0</v>
      </c>
      <c r="S648" s="29" t="n">
        <v>1</v>
      </c>
      <c r="T648" s="24" t="inlineStr">
        <is>
          <t>cfb-spread-v1</t>
        </is>
      </c>
      <c r="U648" s="24" t="inlineStr">
        <is>
          <t>settled</t>
        </is>
      </c>
      <c r="V648" s="24" t="inlineStr">
        <is>
          <t>win</t>
        </is>
      </c>
      <c r="W648" s="26" t="n">
        <v>27</v>
      </c>
      <c r="X648" s="26" t="n">
        <v>34</v>
      </c>
      <c r="Y648" s="25" t="n"/>
      <c r="Z648" s="26" t="n"/>
      <c r="AA648" s="28" t="n"/>
      <c r="AB648" s="28" t="n"/>
      <c r="AC648" s="30" t="n">
        <v>0.9091</v>
      </c>
      <c r="AD648" s="24" t="inlineStr">
        <is>
          <t>2026-09-27T10:00:18.130135Z</t>
        </is>
      </c>
      <c r="AE648" s="31" t="inlineStr">
        <is>
          <t>Projected home margin -1.5 pts. Spread: Home +3.0 / Away -3.0 -&gt; P(Away cover)=0.461, P(Home cover)=0.518, P(Push)=0.021.</t>
        </is>
      </c>
      <c r="AF648" s="31" t="inlineStr">
        <is>
          <t>College football model; multi-market (moneyline, spread, total).</t>
        </is>
      </c>
      <c r="AG648" s="24" t="inlineStr">
        <is>
          <t>not_applicable</t>
        </is>
      </c>
      <c r="AH648" s="24" t="n"/>
      <c r="AI648" s="31" t="n"/>
      <c r="AJ648" s="31" t="n"/>
      <c r="AK648" s="24" t="inlineStr">
        <is>
          <t>paper_call</t>
        </is>
      </c>
      <c r="AL648" s="26" t="n">
        <v>4</v>
      </c>
      <c r="AM648" s="24" t="inlineStr">
        <is>
          <t>RESEARCH_OBSERVATION</t>
        </is>
      </c>
      <c r="AN648" s="24" t="inlineStr">
        <is>
          <t>CALL</t>
        </is>
      </c>
      <c r="AO648" s="24" t="inlineStr">
        <is>
          <t>PAPER_CALL_LOW_EDGE</t>
        </is>
      </c>
      <c r="AP648" s="24" t="inlineStr">
        <is>
          <t>Georgia Tech Yellow Jackets</t>
        </is>
      </c>
      <c r="AQ648" s="24" t="inlineStr">
        <is>
          <t>Georgia Tech Yellow Jackets</t>
        </is>
      </c>
      <c r="AR648" s="24" t="inlineStr">
        <is>
          <t>Georgia Tech Yellow Jackets</t>
        </is>
      </c>
      <c r="AS648" s="24" t="inlineStr">
        <is>
          <t>Stanford Cardinal</t>
        </is>
      </c>
      <c r="AT648" s="24" t="inlineStr">
        <is>
          <t>Stanford Cardinal</t>
        </is>
      </c>
      <c r="AU648" s="24" t="inlineStr">
        <is>
          <t>Stanford Cardinal</t>
        </is>
      </c>
      <c r="AV648" s="24" t="n"/>
      <c r="AW648" s="24" t="n"/>
      <c r="AX648" s="24" t="inlineStr">
        <is>
          <t>statistical_model</t>
        </is>
      </c>
      <c r="AY648" s="24" t="n"/>
      <c r="AZ648" s="24" t="inlineStr">
        <is>
          <t>shadow_qualified</t>
        </is>
      </c>
      <c r="BA648" s="24" t="inlineStr">
        <is>
          <t>1d168f11d221cd3c</t>
        </is>
      </c>
      <c r="BB648" s="24" t="inlineStr">
        <is>
          <t>cfb_key_number_engine</t>
        </is>
      </c>
      <c r="BC648" s="24" t="inlineStr">
        <is>
          <t>cfb-spread-v1</t>
        </is>
      </c>
      <c r="BD648" s="24" t="inlineStr">
        <is>
          <t>1d168f11d221cd3c</t>
        </is>
      </c>
      <c r="BE648" s="24" t="inlineStr">
        <is>
          <t>cfb-v1</t>
        </is>
      </c>
      <c r="BF648" s="24" t="inlineStr">
        <is>
          <t>1</t>
        </is>
      </c>
      <c r="BG648" s="24" t="inlineStr">
        <is>
          <t>1d168f11d221cd3c</t>
        </is>
      </c>
      <c r="BH648" s="24" t="inlineStr">
        <is>
          <t>2026-09-26T22:34:32.504573+00:00</t>
        </is>
      </c>
      <c r="BI648" s="24" t="inlineStr">
        <is>
          <t>["same_event","same_team_same_day","same_league_same_day"]</t>
        </is>
      </c>
      <c r="BJ648" s="25" t="n">
        <v>3</v>
      </c>
      <c r="BK648" s="26" t="n">
        <v>-110</v>
      </c>
      <c r="BL648" s="27" t="n">
        <v>1.909091</v>
      </c>
      <c r="BM648" s="28" t="n">
        <v>0.52381</v>
      </c>
      <c r="BN648" s="28" t="n"/>
      <c r="BO648" s="28" t="n"/>
      <c r="BP648" s="25" t="n"/>
      <c r="BQ648" s="27" t="n"/>
      <c r="BR648" s="28" t="n"/>
      <c r="BS648" s="28" t="n"/>
      <c r="BT648" s="28" t="n"/>
      <c r="BU648" s="25" t="n"/>
      <c r="BV648" s="29" t="n"/>
      <c r="BW648" s="24" t="n"/>
      <c r="BX648" s="30" t="n">
        <v>1</v>
      </c>
      <c r="BY648" s="27" t="n">
        <v>0.909091</v>
      </c>
      <c r="BZ648" s="24" t="inlineStr">
        <is>
          <t>2026-09-27T10:00:18.130135Z</t>
        </is>
      </c>
      <c r="CA648" s="31" t="inlineStr">
        <is>
          <t>fixed one-unit hypothetical scoring; no real exposure or execution</t>
        </is>
      </c>
      <c r="CB648" s="24" t="n"/>
      <c r="CC648" s="24" t="n"/>
      <c r="CD648" s="24" t="n"/>
      <c r="CE648" s="24" t="n"/>
      <c r="CF648" s="24" t="n"/>
      <c r="CG648" s="24" t="n"/>
      <c r="CH648" s="24" t="n"/>
      <c r="CI648" s="24" t="n"/>
      <c r="CJ648" s="24" t="n"/>
      <c r="CK648" s="24" t="n"/>
      <c r="CL648" s="24" t="n"/>
      <c r="CM648" s="24" t="n"/>
      <c r="CN648" s="24" t="n"/>
      <c r="CO648" s="24" t="n"/>
      <c r="CP648" s="24" t="n"/>
      <c r="CQ648" s="24" t="n"/>
      <c r="CR648" s="24" t="n"/>
      <c r="CS648" s="24" t="inlineStr">
        <is>
          <t>False</t>
        </is>
      </c>
      <c r="CT648" s="24" t="n"/>
      <c r="CU648" s="24" t="n"/>
      <c r="CV648" s="24" t="n"/>
      <c r="CW648" s="24" t="n"/>
      <c r="CX648" s="24" t="n"/>
      <c r="CY648" s="24" t="n"/>
      <c r="CZ648" s="24" t="n"/>
      <c r="DA648" s="24" t="n"/>
      <c r="DB648" s="24" t="n"/>
      <c r="DC648" s="24" t="n"/>
      <c r="DD648" s="24" t="n"/>
      <c r="DE648" s="24" t="n"/>
      <c r="DF648" s="24" t="n"/>
      <c r="DG648" s="24" t="n"/>
      <c r="DH648" s="24" t="n"/>
      <c r="DI648" s="24" t="n"/>
      <c r="DJ648" s="24" t="inlineStr">
        <is>
          <t>0.52381</t>
        </is>
      </c>
      <c r="DK648" s="24" t="n"/>
      <c r="DL648" s="24" t="n"/>
      <c r="DM648" s="24" t="n"/>
      <c r="DN648" s="24" t="n"/>
      <c r="DO648" s="24" t="n"/>
      <c r="DP648" s="24" t="n"/>
      <c r="DQ648" s="24" t="inlineStr">
        <is>
          <t>{"artifact_hash": "1d168f11d221cd3c", "event_id": "401858240", "event_start_utc": "2026-09-27T02:30Z", "features": {"altitude_fatigue_penalty": 0.0, "away_team": "Georgia Tech Yellow Jackets", "efficiency_gap": -0.523, "elo_away": 1441.2, "elo_home": 1335.9, "elo_home_win_prob": 0.4422, "event_id": "401858240", "game_start_utc": "2026-09-27T02:30Z", "home_field_advantage_points": 2.8, "home_team": "Stanford Cardinal", "is_dome": false, "is_fbs_vs_fcs": false, "is_neutral_site": false, "projected_away_points": 27.4, "projected_home_points": 25.8, "projected_margin_home": -1.5, "projected_possessions": 12.4, "projected_total": 53.2, "stadium_elevation_ft": 60, "travel_distance_miles": 2123.0, "uncertainty": 0.165, "weather_total_adjustment": 0.0}, "historical_source_observation_times_verified": false, "inference_inputs": {"engine_source_sha256": "449ba2f0e86fa9c445730076a0e0bf100fb4914620be53c75c6f3bfe24298f3f", "mu_away": 27.4, "mu_home": 25.8,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112952002924367006295252819105234080331}, "uinteger": 0}, "spread_home_line": 3.0, "total_line": 48.5}, "market_type": "spread", "model_version": "cfb-spread-v1", "observed_at_utc": "2026-09-26T22:34:32.504573+00:00", "probabilities": {"away": 0.461, "home": 0.517733, "push": 0.021267}, "replay_scope": "Full precision score means, exact engine parameters and original RNG state; upstream feature construction not certified.", "schema": "cfb-joint-replay-v1", "snapshot_hash": "f885dda1c1563c4e344999f25b1183e38e7fc8d4b10f3bc0be7a9ebcdba4618a", "sport": "NCAAF"}</t>
        </is>
      </c>
    </row>
    <row r="649" ht="36" customHeight="1">
      <c r="A649" s="24" t="inlineStr">
        <is>
          <t>76659f3344c04af9</t>
        </is>
      </c>
      <c r="B649" s="24" t="inlineStr">
        <is>
          <t>2026-09-26T22:34:32.504573Z</t>
        </is>
      </c>
      <c r="C649" s="24" t="inlineStr">
        <is>
          <t>2026-09-27T02:30Z</t>
        </is>
      </c>
      <c r="D649" s="24" t="inlineStr">
        <is>
          <t>401858240</t>
        </is>
      </c>
      <c r="E649" s="24" t="inlineStr">
        <is>
          <t>NCAAF</t>
        </is>
      </c>
      <c r="F649" s="24" t="inlineStr">
        <is>
          <t>Georgia Tech Yellow Jackets</t>
        </is>
      </c>
      <c r="G649" s="24" t="inlineStr">
        <is>
          <t>Stanford Cardinal</t>
        </is>
      </c>
      <c r="H649" s="24" t="inlineStr">
        <is>
          <t>total</t>
        </is>
      </c>
      <c r="I649" s="24" t="inlineStr">
        <is>
          <t>over</t>
        </is>
      </c>
      <c r="J649" s="25" t="n">
        <v>48.5</v>
      </c>
      <c r="K649" s="24" t="inlineStr">
        <is>
          <t>espn_consensus</t>
        </is>
      </c>
      <c r="L649" s="26" t="n">
        <v>-115</v>
      </c>
      <c r="M649" s="27" t="n">
        <v>1.869565</v>
      </c>
      <c r="N649" s="28" t="n">
        <v>0.534884</v>
      </c>
      <c r="O649" s="28" t="n">
        <v>0.539867</v>
      </c>
      <c r="P649" s="28" t="n">
        <v>0.165</v>
      </c>
      <c r="Q649" s="28" t="n">
        <v>0.004983</v>
      </c>
      <c r="R649" s="26" t="n">
        <v>0</v>
      </c>
      <c r="S649" s="29" t="n">
        <v>1</v>
      </c>
      <c r="T649" s="24" t="inlineStr">
        <is>
          <t>cfb-total-v1</t>
        </is>
      </c>
      <c r="U649" s="24" t="inlineStr">
        <is>
          <t>settled</t>
        </is>
      </c>
      <c r="V649" s="24" t="inlineStr">
        <is>
          <t>win</t>
        </is>
      </c>
      <c r="W649" s="26" t="n">
        <v>27</v>
      </c>
      <c r="X649" s="26" t="n">
        <v>34</v>
      </c>
      <c r="Y649" s="25" t="n"/>
      <c r="Z649" s="26" t="n"/>
      <c r="AA649" s="28" t="n"/>
      <c r="AB649" s="28" t="n"/>
      <c r="AC649" s="30" t="n">
        <v>0.8696</v>
      </c>
      <c r="AD649" s="24" t="inlineStr">
        <is>
          <t>2026-09-27T10:00:18.656895Z</t>
        </is>
      </c>
      <c r="AE649" s="31" t="inlineStr">
        <is>
          <t>Projected total 53.2 pts (Weather adj: +0.0 pts). Total line 48.5 -&gt; P(Over)=0.540, P(Under)=0.460, P(Push)=0.000.</t>
        </is>
      </c>
      <c r="AF649" s="31" t="inlineStr">
        <is>
          <t>College football model; multi-market (moneyline, spread, total).</t>
        </is>
      </c>
      <c r="AG649" s="24" t="inlineStr">
        <is>
          <t>not_applicable</t>
        </is>
      </c>
      <c r="AH649" s="24" t="n"/>
      <c r="AI649" s="31" t="n"/>
      <c r="AJ649" s="31" t="n"/>
      <c r="AK649" s="24" t="inlineStr">
        <is>
          <t>paper_call</t>
        </is>
      </c>
      <c r="AL649" s="26" t="n">
        <v>4</v>
      </c>
      <c r="AM649" s="24" t="inlineStr">
        <is>
          <t>RESEARCH_OBSERVATION</t>
        </is>
      </c>
      <c r="AN649" s="24" t="inlineStr">
        <is>
          <t>CALL</t>
        </is>
      </c>
      <c r="AO649" s="24" t="inlineStr">
        <is>
          <t>PAPER_CALL_LOW_EDGE</t>
        </is>
      </c>
      <c r="AP649" s="24" t="inlineStr">
        <is>
          <t>Georgia Tech Yellow Jackets</t>
        </is>
      </c>
      <c r="AQ649" s="24" t="inlineStr">
        <is>
          <t>Georgia Tech Yellow Jackets</t>
        </is>
      </c>
      <c r="AR649" s="24" t="inlineStr">
        <is>
          <t>Georgia Tech Yellow Jackets</t>
        </is>
      </c>
      <c r="AS649" s="24" t="inlineStr">
        <is>
          <t>Stanford Cardinal</t>
        </is>
      </c>
      <c r="AT649" s="24" t="inlineStr">
        <is>
          <t>Stanford Cardinal</t>
        </is>
      </c>
      <c r="AU649" s="24" t="inlineStr">
        <is>
          <t>Stanford Cardinal</t>
        </is>
      </c>
      <c r="AV649" s="24" t="n"/>
      <c r="AW649" s="24" t="n"/>
      <c r="AX649" s="24" t="inlineStr">
        <is>
          <t>statistical_model</t>
        </is>
      </c>
      <c r="AY649" s="24" t="n"/>
      <c r="AZ649" s="24" t="inlineStr">
        <is>
          <t>shadow_qualified</t>
        </is>
      </c>
      <c r="BA649" s="24" t="inlineStr">
        <is>
          <t>1d168f11d221cd3c</t>
        </is>
      </c>
      <c r="BB649" s="24" t="inlineStr">
        <is>
          <t>cfb_key_number_engine</t>
        </is>
      </c>
      <c r="BC649" s="24" t="inlineStr">
        <is>
          <t>cfb-total-v1</t>
        </is>
      </c>
      <c r="BD649" s="24" t="inlineStr">
        <is>
          <t>1d168f11d221cd3c</t>
        </is>
      </c>
      <c r="BE649" s="24" t="inlineStr">
        <is>
          <t>cfb-v1</t>
        </is>
      </c>
      <c r="BF649" s="24" t="inlineStr">
        <is>
          <t>1</t>
        </is>
      </c>
      <c r="BG649" s="24" t="inlineStr">
        <is>
          <t>1d168f11d221cd3c</t>
        </is>
      </c>
      <c r="BH649" s="24" t="inlineStr">
        <is>
          <t>2026-09-26T22:34:32.504573+00:00</t>
        </is>
      </c>
      <c r="BI649" s="24" t="inlineStr">
        <is>
          <t>["same_event","same_team_same_day","same_league_same_day"]</t>
        </is>
      </c>
      <c r="BJ649" s="25" t="n">
        <v>48.5</v>
      </c>
      <c r="BK649" s="26" t="n">
        <v>-115</v>
      </c>
      <c r="BL649" s="27" t="n">
        <v>1.869565</v>
      </c>
      <c r="BM649" s="28" t="n">
        <v>0.534884</v>
      </c>
      <c r="BN649" s="28" t="n"/>
      <c r="BO649" s="28" t="n"/>
      <c r="BP649" s="25" t="n"/>
      <c r="BQ649" s="27" t="n"/>
      <c r="BR649" s="28" t="n"/>
      <c r="BS649" s="28" t="n"/>
      <c r="BT649" s="28" t="n"/>
      <c r="BU649" s="25" t="n"/>
      <c r="BV649" s="29" t="n"/>
      <c r="BW649" s="24" t="n"/>
      <c r="BX649" s="30" t="n">
        <v>1</v>
      </c>
      <c r="BY649" s="27" t="n">
        <v>0.869565</v>
      </c>
      <c r="BZ649" s="24" t="inlineStr">
        <is>
          <t>2026-09-27T10:00:18.656895Z</t>
        </is>
      </c>
      <c r="CA649" s="31" t="inlineStr">
        <is>
          <t>fixed one-unit hypothetical scoring; no real exposure or execution</t>
        </is>
      </c>
      <c r="CB649" s="24" t="n"/>
      <c r="CC649" s="24" t="n"/>
      <c r="CD649" s="24" t="n"/>
      <c r="CE649" s="24" t="n"/>
      <c r="CF649" s="24" t="n"/>
      <c r="CG649" s="24" t="n"/>
      <c r="CH649" s="24" t="n"/>
      <c r="CI649" s="24" t="n"/>
      <c r="CJ649" s="24" t="n"/>
      <c r="CK649" s="24" t="n"/>
      <c r="CL649" s="24" t="n"/>
      <c r="CM649" s="24" t="n"/>
      <c r="CN649" s="24" t="n"/>
      <c r="CO649" s="24" t="n"/>
      <c r="CP649" s="24" t="n"/>
      <c r="CQ649" s="24" t="n"/>
      <c r="CR649" s="24" t="n"/>
      <c r="CS649" s="24" t="inlineStr">
        <is>
          <t>True</t>
        </is>
      </c>
      <c r="CT649" s="24" t="n"/>
      <c r="CU649" s="24" t="n"/>
      <c r="CV649" s="24" t="n"/>
      <c r="CW649" s="24" t="n"/>
      <c r="CX649" s="24" t="n"/>
      <c r="CY649" s="24" t="n"/>
      <c r="CZ649" s="24" t="n"/>
      <c r="DA649" s="24" t="n"/>
      <c r="DB649" s="24" t="n"/>
      <c r="DC649" s="24" t="n"/>
      <c r="DD649" s="24" t="n"/>
      <c r="DE649" s="24" t="n"/>
      <c r="DF649" s="24" t="n"/>
      <c r="DG649" s="24" t="n"/>
      <c r="DH649" s="24" t="n"/>
      <c r="DI649" s="24" t="n"/>
      <c r="DJ649" s="24" t="inlineStr">
        <is>
          <t>0.534884</t>
        </is>
      </c>
      <c r="DK649" s="24" t="n"/>
      <c r="DL649" s="24" t="n"/>
      <c r="DM649" s="24" t="n"/>
      <c r="DN649" s="24" t="n"/>
      <c r="DO649" s="24" t="n"/>
      <c r="DP649" s="24" t="n"/>
      <c r="DQ649" s="24" t="inlineStr">
        <is>
          <t>{"artifact_hash": "1d168f11d221cd3c", "event_id": "401858240", "event_start_utc": "2026-09-27T02:30Z", "features": {"altitude_fatigue_penalty": 0.0, "away_team": "Georgia Tech Yellow Jackets", "efficiency_gap": -0.523, "elo_away": 1441.2, "elo_home": 1335.9, "elo_home_win_prob": 0.4422, "event_id": "401858240", "game_start_utc": "2026-09-27T02:30Z", "home_field_advantage_points": 2.8, "home_team": "Stanford Cardinal", "is_dome": false, "is_fbs_vs_fcs": false, "is_neutral_site": false, "projected_away_points": 27.4, "projected_home_points": 25.8, "projected_margin_home": -1.5, "projected_possessions": 12.4, "projected_total": 53.2, "stadium_elevation_ft": 60, "travel_distance_miles": 2123.0, "uncertainty": 0.165, "weather_total_adjustment": 0.0}, "historical_source_observation_times_verified": false, "inference_inputs": {"engine_source_sha256": "449ba2f0e86fa9c445730076a0e0bf100fb4914620be53c75c6f3bfe24298f3f", "mu_away": 27.4, "mu_home": 25.8,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112952002924367006295252819105234080331}, "uinteger": 0}, "spread_home_line": 3.0, "total_line": 48.5}, "market_type": "total", "model_version": "cfb-total-v1", "observed_at_utc": "2026-09-26T22:34:32.504573+00:00", "probabilities": {"over": 0.539867, "push": 0.0, "under": 0.460133}, "replay_scope": "Full precision score means, exact engine parameters and original RNG state; upstream feature construction not certified.", "schema": "cfb-joint-replay-v1", "snapshot_hash": "402e6ef71da104cdaf3d079dd42d42399aad57cbe6e1c0107096721e88202c9b", "sport": "NCAAF"}</t>
        </is>
      </c>
    </row>
    <row r="650" ht="36" customHeight="1">
      <c r="A650" s="24" t="inlineStr">
        <is>
          <t>5acf23753aa5416b</t>
        </is>
      </c>
      <c r="B650" s="24" t="inlineStr">
        <is>
          <t>2026-09-26T22:34:32.504573Z</t>
        </is>
      </c>
      <c r="C650" s="24" t="inlineStr">
        <is>
          <t>2026-09-27T02:30Z</t>
        </is>
      </c>
      <c r="D650" s="24" t="inlineStr">
        <is>
          <t>401864509</t>
        </is>
      </c>
      <c r="E650" s="24" t="inlineStr">
        <is>
          <t>NCAAF</t>
        </is>
      </c>
      <c r="F650" s="24" t="inlineStr">
        <is>
          <t>Air Force Falcons</t>
        </is>
      </c>
      <c r="G650" s="24" t="inlineStr">
        <is>
          <t>Nevada Wolf Pack</t>
        </is>
      </c>
      <c r="H650" s="24" t="inlineStr">
        <is>
          <t>moneyline</t>
        </is>
      </c>
      <c r="I650" s="24" t="inlineStr">
        <is>
          <t>home</t>
        </is>
      </c>
      <c r="J650" s="25" t="n"/>
      <c r="K650" s="24" t="inlineStr">
        <is>
          <t>espn_consensus</t>
        </is>
      </c>
      <c r="L650" s="26" t="n">
        <v>195</v>
      </c>
      <c r="M650" s="27" t="n">
        <v>2.95</v>
      </c>
      <c r="N650" s="28" t="n">
        <v>0.338983</v>
      </c>
      <c r="O650" s="28" t="n">
        <v>0.533747</v>
      </c>
      <c r="P650" s="28" t="n">
        <v>0.18</v>
      </c>
      <c r="Q650" s="28" t="n">
        <v>0.194764</v>
      </c>
      <c r="R650" s="26" t="n">
        <v>39</v>
      </c>
      <c r="S650" s="29" t="n">
        <v>1</v>
      </c>
      <c r="T650" s="24" t="inlineStr">
        <is>
          <t>college-football-v1</t>
        </is>
      </c>
      <c r="U650" s="24" t="inlineStr">
        <is>
          <t>settled</t>
        </is>
      </c>
      <c r="V650" s="24" t="inlineStr">
        <is>
          <t>loss</t>
        </is>
      </c>
      <c r="W650" s="26" t="n">
        <v>36</v>
      </c>
      <c r="X650" s="26" t="n">
        <v>33</v>
      </c>
      <c r="Y650" s="25" t="n"/>
      <c r="Z650" s="26" t="n"/>
      <c r="AA650" s="28" t="n"/>
      <c r="AB650" s="28" t="n"/>
      <c r="AC650" s="30" t="n">
        <v>-1</v>
      </c>
      <c r="AD650" s="24" t="inlineStr">
        <is>
          <t>2026-09-27T10:00:19.195811Z</t>
        </is>
      </c>
      <c r="AE650" s="31" t="inlineStr">
        <is>
          <t>CFB Joint Model (negative_binomial): proj score Air Force Falcons 26.5 @ Nevada Wolf Pack 28.3 (Margin +1.8). Possessions: 12.4, HFA: +2.8 pts.</t>
        </is>
      </c>
      <c r="AF650" s="31" t="inlineStr">
        <is>
          <t>College football model; multi-market (moneyline, spread, total).</t>
        </is>
      </c>
      <c r="AG650" s="24" t="inlineStr">
        <is>
          <t>review_required</t>
        </is>
      </c>
      <c r="AH650" s="24" t="n"/>
      <c r="AI650" s="31" t="n"/>
      <c r="AJ650" s="31" t="n"/>
      <c r="AK650" s="24" t="inlineStr">
        <is>
          <t>model_qualified</t>
        </is>
      </c>
      <c r="AL650" s="26" t="n">
        <v>4</v>
      </c>
      <c r="AM650" s="24" t="inlineStr">
        <is>
          <t>QUALIFIED_SHADOW_CALL</t>
        </is>
      </c>
      <c r="AN650" s="24" t="inlineStr">
        <is>
          <t>CALL</t>
        </is>
      </c>
      <c r="AO650" s="24" t="inlineStr">
        <is>
          <t>QUALIFIED</t>
        </is>
      </c>
      <c r="AP650" s="24" t="inlineStr">
        <is>
          <t>Air Force Falcons</t>
        </is>
      </c>
      <c r="AQ650" s="24" t="inlineStr">
        <is>
          <t>Air Force Falcons</t>
        </is>
      </c>
      <c r="AR650" s="24" t="inlineStr">
        <is>
          <t>Air Force Falcons</t>
        </is>
      </c>
      <c r="AS650" s="24" t="inlineStr">
        <is>
          <t>Nevada Wolf Pack</t>
        </is>
      </c>
      <c r="AT650" s="24" t="inlineStr">
        <is>
          <t>Nevada Wolf Pack</t>
        </is>
      </c>
      <c r="AU650" s="24" t="inlineStr">
        <is>
          <t>Nevada Wolf Pack</t>
        </is>
      </c>
      <c r="AV650" s="24" t="n"/>
      <c r="AW650" s="24" t="n"/>
      <c r="AX650" s="24" t="inlineStr">
        <is>
          <t>statistical_model</t>
        </is>
      </c>
      <c r="AY650" s="24" t="n"/>
      <c r="AZ650" s="24" t="inlineStr">
        <is>
          <t>shadow_qualified</t>
        </is>
      </c>
      <c r="BA650" s="24" t="inlineStr">
        <is>
          <t>1d168f11d221cd3c</t>
        </is>
      </c>
      <c r="BB650" s="24" t="inlineStr">
        <is>
          <t>cfb_key_number_engine</t>
        </is>
      </c>
      <c r="BC650" s="24" t="inlineStr">
        <is>
          <t>college-football-v1</t>
        </is>
      </c>
      <c r="BD650" s="24" t="inlineStr">
        <is>
          <t>1d168f11d221cd3c</t>
        </is>
      </c>
      <c r="BE650" s="24" t="inlineStr">
        <is>
          <t>cfb-v1</t>
        </is>
      </c>
      <c r="BF650" s="24" t="inlineStr">
        <is>
          <t>1</t>
        </is>
      </c>
      <c r="BG650" s="24" t="inlineStr">
        <is>
          <t>1d168f11d221cd3c</t>
        </is>
      </c>
      <c r="BH650" s="24" t="inlineStr">
        <is>
          <t>2026-09-26T22:34:32.504573+00:00</t>
        </is>
      </c>
      <c r="BI650" s="24" t="inlineStr">
        <is>
          <t>["same_event","same_team_same_day","same_league_same_day"]</t>
        </is>
      </c>
      <c r="BJ650" s="25" t="n"/>
      <c r="BK650" s="26" t="n">
        <v>195</v>
      </c>
      <c r="BL650" s="27" t="n">
        <v>2.95</v>
      </c>
      <c r="BM650" s="28" t="n">
        <v>0.338983</v>
      </c>
      <c r="BN650" s="28" t="n"/>
      <c r="BO650" s="28" t="n"/>
      <c r="BP650" s="25" t="n"/>
      <c r="BQ650" s="27" t="n"/>
      <c r="BR650" s="28" t="n"/>
      <c r="BS650" s="28" t="n"/>
      <c r="BT650" s="28" t="n"/>
      <c r="BU650" s="25" t="n"/>
      <c r="BV650" s="29" t="n"/>
      <c r="BW650" s="24" t="n"/>
      <c r="BX650" s="30" t="n"/>
      <c r="BY650" s="27" t="n"/>
      <c r="BZ650" s="24" t="n"/>
      <c r="CA650" s="31" t="n"/>
      <c r="CB650" s="24" t="n"/>
      <c r="CC650" s="24" t="n"/>
      <c r="CD650" s="24" t="n"/>
      <c r="CE650" s="24" t="n"/>
      <c r="CF650" s="24" t="n"/>
      <c r="CG650" s="24" t="n"/>
      <c r="CH650" s="24" t="n"/>
      <c r="CI650" s="24" t="n"/>
      <c r="CJ650" s="24" t="n"/>
      <c r="CK650" s="24" t="n"/>
      <c r="CL650" s="24" t="n"/>
      <c r="CM650" s="24" t="n"/>
      <c r="CN650" s="24" t="n"/>
      <c r="CO650" s="24" t="n"/>
      <c r="CP650" s="24" t="n"/>
      <c r="CQ650" s="24" t="n"/>
      <c r="CR650" s="24" t="n"/>
      <c r="CS650" s="24" t="inlineStr">
        <is>
          <t>True</t>
        </is>
      </c>
      <c r="CT650" s="24" t="n"/>
      <c r="CU650" s="24" t="n"/>
      <c r="CV650" s="24" t="n"/>
      <c r="CW650" s="24" t="n"/>
      <c r="CX650" s="24" t="n"/>
      <c r="CY650" s="24" t="n"/>
      <c r="CZ650" s="24" t="n"/>
      <c r="DA650" s="24" t="n"/>
      <c r="DB650" s="24" t="n"/>
      <c r="DC650" s="24" t="n"/>
      <c r="DD650" s="24" t="n"/>
      <c r="DE650" s="24" t="n"/>
      <c r="DF650" s="24" t="n"/>
      <c r="DG650" s="24" t="n"/>
      <c r="DH650" s="24" t="n"/>
      <c r="DI650" s="24" t="n"/>
      <c r="DJ650" s="24" t="inlineStr">
        <is>
          <t>0.338983</t>
        </is>
      </c>
      <c r="DK650" s="24" t="n"/>
      <c r="DL650" s="24" t="n"/>
      <c r="DM650" s="24" t="n"/>
      <c r="DN650" s="24" t="n"/>
      <c r="DO650" s="24" t="n"/>
      <c r="DP650" s="24" t="n"/>
      <c r="DQ650" s="24" t="inlineStr">
        <is>
          <t>{"artifact_hash": "1d168f11d221cd3c", "event_id": "401864509", "event_start_utc": "2026-09-27T02:30Z", "features": {"altitude_fatigue_penalty": 0.56, "away_team": "Air Force Falcons", "efficiency_gap": 1.452, "elo_away": 1436.6, "elo_home": 1415.9, "elo_home_win_prob": 0.5633, "event_id": "401864509", "game_start_utc": "2026-09-27T02:30Z", "home_field_advantage_points": 2.8, "home_team": "Nevada Wolf Pack", "is_dome": false, "is_fbs_vs_fcs": false, "is_neutral_site": false, "projected_away_points": 26.5, "projected_home_points": 28.3, "projected_margin_home": 1.8, "projected_possessions": 12.4, "projected_total": 54.8, "stadium_elevation_ft": 4610, "travel_distance_miles": 801.0, "uncertainty": 0.18, "weather_total_adjustment": 0.0}, "historical_source_observation_times_verified": false, "inference_inputs": {"engine_source_sha256": "449ba2f0e86fa9c445730076a0e0bf100fb4914620be53c75c6f3bfe24298f3f", "mu_away": 26.5,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96874415960609589822309141271179103468}, "uinteger": 0}, "spread_home_line": 5.5, "total_line": 50.5}, "market_type": "moneyline", "model_version": "college-football-v1", "observed_at_utc": "2026-09-26T22:34:32.504573+00:00", "probabilities": {"away": 0.466253, "home": 0.533747}, "replay_scope": "Full precision score means, exact engine parameters and original RNG state; upstream feature construction not certified.", "schema": "cfb-joint-replay-v1", "snapshot_hash": "1e3fcfa6c4f309e4c9a03b1d0a65a4b23f35ab545371630a77ae892006a8e22f", "sport": "NCAAF"}</t>
        </is>
      </c>
    </row>
    <row r="651" ht="36" customHeight="1">
      <c r="A651" s="24" t="inlineStr">
        <is>
          <t>93d9048ca54f4a23</t>
        </is>
      </c>
      <c r="B651" s="24" t="inlineStr">
        <is>
          <t>2026-09-26T22:34:32.504573Z</t>
        </is>
      </c>
      <c r="C651" s="24" t="inlineStr">
        <is>
          <t>2026-09-27T02:30Z</t>
        </is>
      </c>
      <c r="D651" s="24" t="inlineStr">
        <is>
          <t>401864509</t>
        </is>
      </c>
      <c r="E651" s="24" t="inlineStr">
        <is>
          <t>NCAAF</t>
        </is>
      </c>
      <c r="F651" s="24" t="inlineStr">
        <is>
          <t>Air Force Falcons</t>
        </is>
      </c>
      <c r="G651" s="24" t="inlineStr">
        <is>
          <t>Nevada Wolf Pack</t>
        </is>
      </c>
      <c r="H651" s="24" t="inlineStr">
        <is>
          <t>spread</t>
        </is>
      </c>
      <c r="I651" s="24" t="inlineStr">
        <is>
          <t>home</t>
        </is>
      </c>
      <c r="J651" s="25" t="n">
        <v>5.5</v>
      </c>
      <c r="K651" s="24" t="inlineStr">
        <is>
          <t>espn_consensus</t>
        </is>
      </c>
      <c r="L651" s="26" t="n">
        <v>-108</v>
      </c>
      <c r="M651" s="27" t="n">
        <v>1.925926</v>
      </c>
      <c r="N651" s="28" t="n">
        <v>0.519231</v>
      </c>
      <c r="O651" s="28" t="n">
        <v>0.6402</v>
      </c>
      <c r="P651" s="28" t="n">
        <v>0.18</v>
      </c>
      <c r="Q651" s="28" t="n">
        <v>0.120969</v>
      </c>
      <c r="R651" s="26" t="n">
        <v>2</v>
      </c>
      <c r="S651" s="29" t="n">
        <v>1</v>
      </c>
      <c r="T651" s="24" t="inlineStr">
        <is>
          <t>cfb-spread-v1</t>
        </is>
      </c>
      <c r="U651" s="24" t="inlineStr">
        <is>
          <t>settled</t>
        </is>
      </c>
      <c r="V651" s="24" t="inlineStr">
        <is>
          <t>win</t>
        </is>
      </c>
      <c r="W651" s="26" t="n">
        <v>36</v>
      </c>
      <c r="X651" s="26" t="n">
        <v>33</v>
      </c>
      <c r="Y651" s="25" t="n"/>
      <c r="Z651" s="26" t="n"/>
      <c r="AA651" s="28" t="n"/>
      <c r="AB651" s="28" t="n"/>
      <c r="AC651" s="30" t="n">
        <v>0.9258999999999999</v>
      </c>
      <c r="AD651" s="24" t="inlineStr">
        <is>
          <t>2026-09-27T10:00:19.658169Z</t>
        </is>
      </c>
      <c r="AE651" s="31" t="inlineStr">
        <is>
          <t>Projected home margin +1.8 pts. Spread: Home +5.5 / Away -5.5 -&gt; P(Away cover)=0.360, P(Home cover)=0.640, P(Push)=0.000.</t>
        </is>
      </c>
      <c r="AF651" s="31" t="inlineStr">
        <is>
          <t>College football model; multi-market (moneyline, spread, total).</t>
        </is>
      </c>
      <c r="AG651" s="24" t="inlineStr">
        <is>
          <t>not_applicable</t>
        </is>
      </c>
      <c r="AH651" s="24" t="n"/>
      <c r="AI651" s="31" t="n"/>
      <c r="AJ651" s="31" t="n"/>
      <c r="AK651" s="24" t="inlineStr">
        <is>
          <t>model_qualified</t>
        </is>
      </c>
      <c r="AL651" s="26" t="n">
        <v>4</v>
      </c>
      <c r="AM651" s="24" t="inlineStr">
        <is>
          <t>QUALIFIED_SHADOW_CALL</t>
        </is>
      </c>
      <c r="AN651" s="24" t="inlineStr">
        <is>
          <t>CALL</t>
        </is>
      </c>
      <c r="AO651" s="24" t="inlineStr">
        <is>
          <t>QUALIFIED</t>
        </is>
      </c>
      <c r="AP651" s="24" t="inlineStr">
        <is>
          <t>Air Force Falcons</t>
        </is>
      </c>
      <c r="AQ651" s="24" t="inlineStr">
        <is>
          <t>Air Force Falcons</t>
        </is>
      </c>
      <c r="AR651" s="24" t="inlineStr">
        <is>
          <t>Air Force Falcons</t>
        </is>
      </c>
      <c r="AS651" s="24" t="inlineStr">
        <is>
          <t>Nevada Wolf Pack</t>
        </is>
      </c>
      <c r="AT651" s="24" t="inlineStr">
        <is>
          <t>Nevada Wolf Pack</t>
        </is>
      </c>
      <c r="AU651" s="24" t="inlineStr">
        <is>
          <t>Nevada Wolf Pack</t>
        </is>
      </c>
      <c r="AV651" s="24" t="n"/>
      <c r="AW651" s="24" t="n"/>
      <c r="AX651" s="24" t="inlineStr">
        <is>
          <t>statistical_model</t>
        </is>
      </c>
      <c r="AY651" s="24" t="n"/>
      <c r="AZ651" s="24" t="inlineStr">
        <is>
          <t>shadow_qualified</t>
        </is>
      </c>
      <c r="BA651" s="24" t="inlineStr">
        <is>
          <t>1d168f11d221cd3c</t>
        </is>
      </c>
      <c r="BB651" s="24" t="inlineStr">
        <is>
          <t>cfb_key_number_engine</t>
        </is>
      </c>
      <c r="BC651" s="24" t="inlineStr">
        <is>
          <t>cfb-spread-v1</t>
        </is>
      </c>
      <c r="BD651" s="24" t="inlineStr">
        <is>
          <t>1d168f11d221cd3c</t>
        </is>
      </c>
      <c r="BE651" s="24" t="inlineStr">
        <is>
          <t>cfb-v1</t>
        </is>
      </c>
      <c r="BF651" s="24" t="inlineStr">
        <is>
          <t>1</t>
        </is>
      </c>
      <c r="BG651" s="24" t="inlineStr">
        <is>
          <t>1d168f11d221cd3c</t>
        </is>
      </c>
      <c r="BH651" s="24" t="inlineStr">
        <is>
          <t>2026-09-26T22:34:32.504573+00:00</t>
        </is>
      </c>
      <c r="BI651" s="24" t="inlineStr">
        <is>
          <t>["same_event","same_team_same_day","same_league_same_day"]</t>
        </is>
      </c>
      <c r="BJ651" s="25" t="n">
        <v>5.5</v>
      </c>
      <c r="BK651" s="26" t="n">
        <v>-108</v>
      </c>
      <c r="BL651" s="27" t="n">
        <v>1.925926</v>
      </c>
      <c r="BM651" s="28" t="n">
        <v>0.519231</v>
      </c>
      <c r="BN651" s="28" t="n"/>
      <c r="BO651" s="28" t="n"/>
      <c r="BP651" s="25" t="n"/>
      <c r="BQ651" s="27" t="n"/>
      <c r="BR651" s="28" t="n"/>
      <c r="BS651" s="28" t="n"/>
      <c r="BT651" s="28" t="n"/>
      <c r="BU651" s="25" t="n"/>
      <c r="BV651" s="29" t="n"/>
      <c r="BW651" s="24" t="n"/>
      <c r="BX651" s="30" t="n"/>
      <c r="BY651" s="27" t="n"/>
      <c r="BZ651" s="24" t="n"/>
      <c r="CA651" s="31" t="n"/>
      <c r="CB651" s="24" t="n"/>
      <c r="CC651" s="24" t="n"/>
      <c r="CD651" s="24" t="n"/>
      <c r="CE651" s="24" t="n"/>
      <c r="CF651" s="24" t="n"/>
      <c r="CG651" s="24" t="n"/>
      <c r="CH651" s="24" t="n"/>
      <c r="CI651" s="24" t="n"/>
      <c r="CJ651" s="24" t="n"/>
      <c r="CK651" s="24" t="n"/>
      <c r="CL651" s="24" t="n"/>
      <c r="CM651" s="24" t="n"/>
      <c r="CN651" s="24" t="n"/>
      <c r="CO651" s="24" t="n"/>
      <c r="CP651" s="24" t="n"/>
      <c r="CQ651" s="24" t="n"/>
      <c r="CR651" s="24" t="n"/>
      <c r="CS651" s="24" t="inlineStr">
        <is>
          <t>True</t>
        </is>
      </c>
      <c r="CT651" s="24" t="n"/>
      <c r="CU651" s="24" t="n"/>
      <c r="CV651" s="24" t="n"/>
      <c r="CW651" s="24" t="n"/>
      <c r="CX651" s="24" t="n"/>
      <c r="CY651" s="24" t="n"/>
      <c r="CZ651" s="24" t="n"/>
      <c r="DA651" s="24" t="n"/>
      <c r="DB651" s="24" t="n"/>
      <c r="DC651" s="24" t="n"/>
      <c r="DD651" s="24" t="n"/>
      <c r="DE651" s="24" t="n"/>
      <c r="DF651" s="24" t="n"/>
      <c r="DG651" s="24" t="n"/>
      <c r="DH651" s="24" t="n"/>
      <c r="DI651" s="24" t="n"/>
      <c r="DJ651" s="24" t="inlineStr">
        <is>
          <t>0.519231</t>
        </is>
      </c>
      <c r="DK651" s="24" t="n"/>
      <c r="DL651" s="24" t="n"/>
      <c r="DM651" s="24" t="n"/>
      <c r="DN651" s="24" t="n"/>
      <c r="DO651" s="24" t="n"/>
      <c r="DP651" s="24" t="n"/>
      <c r="DQ651" s="24" t="inlineStr">
        <is>
          <t>{"artifact_hash": "1d168f11d221cd3c", "event_id": "401864509", "event_start_utc": "2026-09-27T02:30Z", "features": {"altitude_fatigue_penalty": 0.56, "away_team": "Air Force Falcons", "efficiency_gap": 1.452, "elo_away": 1436.6, "elo_home": 1415.9, "elo_home_win_prob": 0.5633, "event_id": "401864509", "game_start_utc": "2026-09-27T02:30Z", "home_field_advantage_points": 2.8, "home_team": "Nevada Wolf Pack", "is_dome": false, "is_fbs_vs_fcs": false, "is_neutral_site": false, "projected_away_points": 26.5, "projected_home_points": 28.3, "projected_margin_home": 1.8, "projected_possessions": 12.4, "projected_total": 54.8, "stadium_elevation_ft": 4610, "travel_distance_miles": 801.0, "uncertainty": 0.18, "weather_total_adjustment": 0.0}, "historical_source_observation_times_verified": false, "inference_inputs": {"engine_source_sha256": "449ba2f0e86fa9c445730076a0e0bf100fb4914620be53c75c6f3bfe24298f3f", "mu_away": 26.5,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96874415960609589822309141271179103468}, "uinteger": 0}, "spread_home_line": 5.5, "total_line": 50.5}, "market_type": "spread", "model_version": "cfb-spread-v1", "observed_at_utc": "2026-09-26T22:34:32.504573+00:00", "probabilities": {"away": 0.3598, "home": 0.6402, "push": 0.0}, "replay_scope": "Full precision score means, exact engine parameters and original RNG state; upstream feature construction not certified.", "schema": "cfb-joint-replay-v1", "snapshot_hash": "c2794a88a5a6b5f544e8e1aef1f7cc38ba5e2506da865da9243b3d33b3535e05", "sport": "NCAAF"}</t>
        </is>
      </c>
    </row>
    <row r="652" ht="36" customHeight="1">
      <c r="A652" s="24" t="inlineStr">
        <is>
          <t>aaf8eff4ce7f43a1</t>
        </is>
      </c>
      <c r="B652" s="24" t="inlineStr">
        <is>
          <t>2026-09-26T22:34:32.504573Z</t>
        </is>
      </c>
      <c r="C652" s="24" t="inlineStr">
        <is>
          <t>2026-09-27T02:30Z</t>
        </is>
      </c>
      <c r="D652" s="24" t="inlineStr">
        <is>
          <t>401864509</t>
        </is>
      </c>
      <c r="E652" s="24" t="inlineStr">
        <is>
          <t>NCAAF</t>
        </is>
      </c>
      <c r="F652" s="24" t="inlineStr">
        <is>
          <t>Air Force Falcons</t>
        </is>
      </c>
      <c r="G652" s="24" t="inlineStr">
        <is>
          <t>Nevada Wolf Pack</t>
        </is>
      </c>
      <c r="H652" s="24" t="inlineStr">
        <is>
          <t>total</t>
        </is>
      </c>
      <c r="I652" s="24" t="inlineStr">
        <is>
          <t>over</t>
        </is>
      </c>
      <c r="J652" s="25" t="n">
        <v>50.5</v>
      </c>
      <c r="K652" s="24" t="inlineStr">
        <is>
          <t>espn_consensus</t>
        </is>
      </c>
      <c r="L652" s="26" t="n">
        <v>-110</v>
      </c>
      <c r="M652" s="27" t="n">
        <v>1.909091</v>
      </c>
      <c r="N652" s="28" t="n">
        <v>0.52381</v>
      </c>
      <c r="O652" s="28" t="n">
        <v>0.533267</v>
      </c>
      <c r="P652" s="28" t="n">
        <v>0.18</v>
      </c>
      <c r="Q652" s="28" t="n">
        <v>0.009457</v>
      </c>
      <c r="R652" s="26" t="n">
        <v>0</v>
      </c>
      <c r="S652" s="29" t="n">
        <v>1</v>
      </c>
      <c r="T652" s="24" t="inlineStr">
        <is>
          <t>cfb-total-v1</t>
        </is>
      </c>
      <c r="U652" s="24" t="inlineStr">
        <is>
          <t>settled</t>
        </is>
      </c>
      <c r="V652" s="24" t="inlineStr">
        <is>
          <t>win</t>
        </is>
      </c>
      <c r="W652" s="26" t="n">
        <v>36</v>
      </c>
      <c r="X652" s="26" t="n">
        <v>33</v>
      </c>
      <c r="Y652" s="25" t="n"/>
      <c r="Z652" s="26" t="n"/>
      <c r="AA652" s="28" t="n"/>
      <c r="AB652" s="28" t="n"/>
      <c r="AC652" s="30" t="n">
        <v>0.9091</v>
      </c>
      <c r="AD652" s="24" t="inlineStr">
        <is>
          <t>2026-09-27T10:00:20.244686Z</t>
        </is>
      </c>
      <c r="AE652" s="31" t="inlineStr">
        <is>
          <t>Projected total 54.8 pts (Weather adj: +0.0 pts). Total line 50.5 -&gt; P(Over)=0.533, P(Under)=0.467, P(Push)=0.000.</t>
        </is>
      </c>
      <c r="AF652" s="31" t="inlineStr">
        <is>
          <t>College football model; multi-market (moneyline, spread, total).</t>
        </is>
      </c>
      <c r="AG652" s="24" t="inlineStr">
        <is>
          <t>not_applicable</t>
        </is>
      </c>
      <c r="AH652" s="24" t="n"/>
      <c r="AI652" s="31" t="n"/>
      <c r="AJ652" s="31" t="n"/>
      <c r="AK652" s="24" t="inlineStr">
        <is>
          <t>paper_call</t>
        </is>
      </c>
      <c r="AL652" s="26" t="n">
        <v>4</v>
      </c>
      <c r="AM652" s="24" t="inlineStr">
        <is>
          <t>RESEARCH_OBSERVATION</t>
        </is>
      </c>
      <c r="AN652" s="24" t="inlineStr">
        <is>
          <t>CALL</t>
        </is>
      </c>
      <c r="AO652" s="24" t="inlineStr">
        <is>
          <t>PAPER_CALL_LOW_EDGE</t>
        </is>
      </c>
      <c r="AP652" s="24" t="inlineStr">
        <is>
          <t>Air Force Falcons</t>
        </is>
      </c>
      <c r="AQ652" s="24" t="inlineStr">
        <is>
          <t>Air Force Falcons</t>
        </is>
      </c>
      <c r="AR652" s="24" t="inlineStr">
        <is>
          <t>Air Force Falcons</t>
        </is>
      </c>
      <c r="AS652" s="24" t="inlineStr">
        <is>
          <t>Nevada Wolf Pack</t>
        </is>
      </c>
      <c r="AT652" s="24" t="inlineStr">
        <is>
          <t>Nevada Wolf Pack</t>
        </is>
      </c>
      <c r="AU652" s="24" t="inlineStr">
        <is>
          <t>Nevada Wolf Pack</t>
        </is>
      </c>
      <c r="AV652" s="24" t="n"/>
      <c r="AW652" s="24" t="n"/>
      <c r="AX652" s="24" t="inlineStr">
        <is>
          <t>statistical_model</t>
        </is>
      </c>
      <c r="AY652" s="24" t="n"/>
      <c r="AZ652" s="24" t="inlineStr">
        <is>
          <t>shadow_qualified</t>
        </is>
      </c>
      <c r="BA652" s="24" t="inlineStr">
        <is>
          <t>1d168f11d221cd3c</t>
        </is>
      </c>
      <c r="BB652" s="24" t="inlineStr">
        <is>
          <t>cfb_key_number_engine</t>
        </is>
      </c>
      <c r="BC652" s="24" t="inlineStr">
        <is>
          <t>cfb-total-v1</t>
        </is>
      </c>
      <c r="BD652" s="24" t="inlineStr">
        <is>
          <t>1d168f11d221cd3c</t>
        </is>
      </c>
      <c r="BE652" s="24" t="inlineStr">
        <is>
          <t>cfb-v1</t>
        </is>
      </c>
      <c r="BF652" s="24" t="inlineStr">
        <is>
          <t>1</t>
        </is>
      </c>
      <c r="BG652" s="24" t="inlineStr">
        <is>
          <t>1d168f11d221cd3c</t>
        </is>
      </c>
      <c r="BH652" s="24" t="inlineStr">
        <is>
          <t>2026-09-26T22:34:32.504573+00:00</t>
        </is>
      </c>
      <c r="BI652" s="24" t="inlineStr">
        <is>
          <t>["same_event","same_team_same_day","same_league_same_day"]</t>
        </is>
      </c>
      <c r="BJ652" s="25" t="n">
        <v>50.5</v>
      </c>
      <c r="BK652" s="26" t="n">
        <v>-110</v>
      </c>
      <c r="BL652" s="27" t="n">
        <v>1.909091</v>
      </c>
      <c r="BM652" s="28" t="n">
        <v>0.52381</v>
      </c>
      <c r="BN652" s="28" t="n"/>
      <c r="BO652" s="28" t="n"/>
      <c r="BP652" s="25" t="n"/>
      <c r="BQ652" s="27" t="n"/>
      <c r="BR652" s="28" t="n"/>
      <c r="BS652" s="28" t="n"/>
      <c r="BT652" s="28" t="n"/>
      <c r="BU652" s="25" t="n"/>
      <c r="BV652" s="29" t="n"/>
      <c r="BW652" s="24" t="n"/>
      <c r="BX652" s="30" t="n">
        <v>1</v>
      </c>
      <c r="BY652" s="27" t="n">
        <v>0.909091</v>
      </c>
      <c r="BZ652" s="24" t="inlineStr">
        <is>
          <t>2026-09-27T10:00:20.244686Z</t>
        </is>
      </c>
      <c r="CA652" s="31" t="inlineStr">
        <is>
          <t>fixed one-unit hypothetical scoring; no real exposure or execution</t>
        </is>
      </c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inlineStr">
        <is>
          <t>True</t>
        </is>
      </c>
      <c r="CT652" s="24" t="n"/>
      <c r="CU652" s="24" t="n"/>
      <c r="CV652" s="24" t="n"/>
      <c r="CW652" s="24" t="n"/>
      <c r="CX652" s="24" t="n"/>
      <c r="CY652" s="24" t="n"/>
      <c r="CZ652" s="24" t="n"/>
      <c r="DA652" s="24" t="n"/>
      <c r="DB652" s="24" t="n"/>
      <c r="DC652" s="24" t="n"/>
      <c r="DD652" s="24" t="n"/>
      <c r="DE652" s="24" t="n"/>
      <c r="DF652" s="24" t="n"/>
      <c r="DG652" s="24" t="n"/>
      <c r="DH652" s="24" t="n"/>
      <c r="DI652" s="24" t="n"/>
      <c r="DJ652" s="24" t="inlineStr">
        <is>
          <t>0.52381</t>
        </is>
      </c>
      <c r="DK652" s="24" t="n"/>
      <c r="DL652" s="24" t="n"/>
      <c r="DM652" s="24" t="n"/>
      <c r="DN652" s="24" t="n"/>
      <c r="DO652" s="24" t="n"/>
      <c r="DP652" s="24" t="n"/>
      <c r="DQ652" s="24" t="inlineStr">
        <is>
          <t>{"artifact_hash": "1d168f11d221cd3c", "event_id": "401864509", "event_start_utc": "2026-09-27T02:30Z", "features": {"altitude_fatigue_penalty": 0.56, "away_team": "Air Force Falcons", "efficiency_gap": 1.452, "elo_away": 1436.6, "elo_home": 1415.9, "elo_home_win_prob": 0.5633, "event_id": "401864509", "game_start_utc": "2026-09-27T02:30Z", "home_field_advantage_points": 2.8, "home_team": "Nevada Wolf Pack", "is_dome": false, "is_fbs_vs_fcs": false, "is_neutral_site": false, "projected_away_points": 26.5, "projected_home_points": 28.3, "projected_margin_home": 1.8, "projected_possessions": 12.4, "projected_total": 54.8, "stadium_elevation_ft": 4610, "travel_distance_miles": 801.0, "uncertainty": 0.18, "weather_total_adjustment": 0.0}, "historical_source_observation_times_verified": false, "inference_inputs": {"engine_source_sha256": "449ba2f0e86fa9c445730076a0e0bf100fb4914620be53c75c6f3bfe24298f3f", "mu_away": 26.5,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96874415960609589822309141271179103468}, "uinteger": 0}, "spread_home_line": 5.5, "total_line": 50.5}, "market_type": "total", "model_version": "cfb-total-v1", "observed_at_utc": "2026-09-26T22:34:32.504573+00:00", "probabilities": {"over": 0.533267, "push": 0.0, "under": 0.466733}, "replay_scope": "Full precision score means, exact engine parameters and original RNG state; upstream feature construction not certified.", "schema": "cfb-joint-replay-v1", "snapshot_hash": "2d16f3f3ee50e9b13ce62a45545e09c9df1f27b54027cc016ccffbf90c03b522", "sport": "NCAAF"}</t>
        </is>
      </c>
    </row>
    <row r="653" ht="36" customHeight="1">
      <c r="A653" s="24" t="inlineStr">
        <is>
          <t>1453001091be47e7</t>
        </is>
      </c>
      <c r="B653" s="24" t="inlineStr">
        <is>
          <t>2026-09-26T22:34:32.504573Z</t>
        </is>
      </c>
      <c r="C653" s="24" t="inlineStr">
        <is>
          <t>2026-09-27T03:00Z</t>
        </is>
      </c>
      <c r="D653" s="24" t="inlineStr">
        <is>
          <t>401858470</t>
        </is>
      </c>
      <c r="E653" s="24" t="inlineStr">
        <is>
          <t>NCAAF</t>
        </is>
      </c>
      <c r="F653" s="24" t="inlineStr">
        <is>
          <t>Minnesota Golden Gophers</t>
        </is>
      </c>
      <c r="G653" s="24" t="inlineStr">
        <is>
          <t>Washington Huskies</t>
        </is>
      </c>
      <c r="H653" s="24" t="inlineStr">
        <is>
          <t>moneyline</t>
        </is>
      </c>
      <c r="I653" s="24" t="inlineStr">
        <is>
          <t>home</t>
        </is>
      </c>
      <c r="J653" s="25" t="n"/>
      <c r="K653" s="24" t="inlineStr">
        <is>
          <t>espn_consensus</t>
        </is>
      </c>
      <c r="L653" s="26" t="n">
        <v>-455</v>
      </c>
      <c r="M653" s="27" t="n">
        <v>1.21978</v>
      </c>
      <c r="N653" s="28" t="n">
        <v>0.81982</v>
      </c>
      <c r="O653" s="28" t="n">
        <v>0.680149</v>
      </c>
      <c r="P653" s="28" t="n">
        <v>0.18</v>
      </c>
      <c r="Q653" s="28" t="n">
        <v>-0.139671</v>
      </c>
      <c r="R653" s="26" t="n">
        <v>0</v>
      </c>
      <c r="S653" s="29" t="n">
        <v>1</v>
      </c>
      <c r="T653" s="24" t="inlineStr">
        <is>
          <t>college-football-v1</t>
        </is>
      </c>
      <c r="U653" s="24" t="inlineStr">
        <is>
          <t>settled</t>
        </is>
      </c>
      <c r="V653" s="24" t="inlineStr">
        <is>
          <t>loss</t>
        </is>
      </c>
      <c r="W653" s="26" t="n">
        <v>27</v>
      </c>
      <c r="X653" s="26" t="n">
        <v>24</v>
      </c>
      <c r="Y653" s="25" t="n"/>
      <c r="Z653" s="26" t="n"/>
      <c r="AA653" s="28" t="n"/>
      <c r="AB653" s="28" t="n"/>
      <c r="AC653" s="30" t="n">
        <v>-1</v>
      </c>
      <c r="AD653" s="24" t="inlineStr">
        <is>
          <t>2026-09-27T10:00:20.778739Z</t>
        </is>
      </c>
      <c r="AE653" s="31" t="inlineStr">
        <is>
          <t>CFB Joint Model (negative_binomial): proj score Minnesota Golden Gophers 22.9 @ Washington Huskies 31.9 (Margin +9.0). Possessions: 12.4, HFA: +2.8 pts.</t>
        </is>
      </c>
      <c r="AF653" s="31" t="inlineStr">
        <is>
          <t>College football model; multi-market (moneyline, spread, total).</t>
        </is>
      </c>
      <c r="AG653" s="24" t="inlineStr">
        <is>
          <t>review_required</t>
        </is>
      </c>
      <c r="AH653" s="24" t="n"/>
      <c r="AI653" s="31" t="n"/>
      <c r="AJ653" s="31" t="n"/>
      <c r="AK653" s="24" t="inlineStr">
        <is>
          <t>paper_call</t>
        </is>
      </c>
      <c r="AL653" s="26" t="n">
        <v>4</v>
      </c>
      <c r="AM653" s="24" t="inlineStr">
        <is>
          <t>RESEARCH_OBSERVATION</t>
        </is>
      </c>
      <c r="AN653" s="24" t="inlineStr">
        <is>
          <t>CALL</t>
        </is>
      </c>
      <c r="AO653" s="24" t="inlineStr">
        <is>
          <t>PAPER_CALL_LOW_EDGE</t>
        </is>
      </c>
      <c r="AP653" s="24" t="inlineStr">
        <is>
          <t>Minnesota Golden Gophers</t>
        </is>
      </c>
      <c r="AQ653" s="24" t="inlineStr">
        <is>
          <t>Minnesota Golden Gophers</t>
        </is>
      </c>
      <c r="AR653" s="24" t="inlineStr">
        <is>
          <t>Minnesota Golden Gophers</t>
        </is>
      </c>
      <c r="AS653" s="24" t="inlineStr">
        <is>
          <t>Washington Huskies</t>
        </is>
      </c>
      <c r="AT653" s="24" t="inlineStr">
        <is>
          <t>Washington Huskies</t>
        </is>
      </c>
      <c r="AU653" s="24" t="inlineStr">
        <is>
          <t>Washington Huskies</t>
        </is>
      </c>
      <c r="AV653" s="24" t="n"/>
      <c r="AW653" s="24" t="n"/>
      <c r="AX653" s="24" t="inlineStr">
        <is>
          <t>statistical_model</t>
        </is>
      </c>
      <c r="AY653" s="24" t="n"/>
      <c r="AZ653" s="24" t="inlineStr">
        <is>
          <t>shadow_qualified</t>
        </is>
      </c>
      <c r="BA653" s="24" t="inlineStr">
        <is>
          <t>1d168f11d221cd3c</t>
        </is>
      </c>
      <c r="BB653" s="24" t="inlineStr">
        <is>
          <t>cfb_key_number_engine</t>
        </is>
      </c>
      <c r="BC653" s="24" t="inlineStr">
        <is>
          <t>college-football-v1</t>
        </is>
      </c>
      <c r="BD653" s="24" t="inlineStr">
        <is>
          <t>1d168f11d221cd3c</t>
        </is>
      </c>
      <c r="BE653" s="24" t="inlineStr">
        <is>
          <t>cfb-v1</t>
        </is>
      </c>
      <c r="BF653" s="24" t="inlineStr">
        <is>
          <t>1</t>
        </is>
      </c>
      <c r="BG653" s="24" t="inlineStr">
        <is>
          <t>1d168f11d221cd3c</t>
        </is>
      </c>
      <c r="BH653" s="24" t="inlineStr">
        <is>
          <t>2026-09-26T22:34:32.504573+00:00</t>
        </is>
      </c>
      <c r="BI653" s="24" t="inlineStr">
        <is>
          <t>["same_event","same_team_same_day","same_league_same_day"]</t>
        </is>
      </c>
      <c r="BJ653" s="25" t="n"/>
      <c r="BK653" s="26" t="n">
        <v>-455</v>
      </c>
      <c r="BL653" s="27" t="n">
        <v>1.21978</v>
      </c>
      <c r="BM653" s="28" t="n">
        <v>0.81982</v>
      </c>
      <c r="BN653" s="28" t="n"/>
      <c r="BO653" s="28" t="n"/>
      <c r="BP653" s="25" t="n"/>
      <c r="BQ653" s="27" t="n"/>
      <c r="BR653" s="28" t="n"/>
      <c r="BS653" s="28" t="n"/>
      <c r="BT653" s="28" t="n"/>
      <c r="BU653" s="25" t="n"/>
      <c r="BV653" s="29" t="n"/>
      <c r="BW653" s="24" t="n"/>
      <c r="BX653" s="30" t="n">
        <v>1</v>
      </c>
      <c r="BY653" s="27" t="n">
        <v>-1</v>
      </c>
      <c r="BZ653" s="24" t="inlineStr">
        <is>
          <t>2026-09-27T10:00:20.778739Z</t>
        </is>
      </c>
      <c r="CA653" s="31" t="inlineStr">
        <is>
          <t>fixed one-unit hypothetical scoring; no real exposure or execution</t>
        </is>
      </c>
      <c r="CB653" s="24" t="n"/>
      <c r="CC653" s="24" t="n"/>
      <c r="CD653" s="24" t="n"/>
      <c r="CE653" s="24" t="n"/>
      <c r="CF653" s="24" t="n"/>
      <c r="CG653" s="24" t="n"/>
      <c r="CH653" s="24" t="n"/>
      <c r="CI653" s="24" t="n"/>
      <c r="CJ653" s="24" t="n"/>
      <c r="CK653" s="24" t="n"/>
      <c r="CL653" s="24" t="n"/>
      <c r="CM653" s="24" t="n"/>
      <c r="CN653" s="24" t="n"/>
      <c r="CO653" s="24" t="n"/>
      <c r="CP653" s="24" t="n"/>
      <c r="CQ653" s="24" t="n"/>
      <c r="CR653" s="24" t="n"/>
      <c r="CS653" s="24" t="inlineStr">
        <is>
          <t>False</t>
        </is>
      </c>
      <c r="CT653" s="24" t="n"/>
      <c r="CU653" s="24" t="n"/>
      <c r="CV653" s="24" t="n"/>
      <c r="CW653" s="24" t="n"/>
      <c r="CX653" s="24" t="n"/>
      <c r="CY653" s="24" t="n"/>
      <c r="CZ653" s="24" t="n"/>
      <c r="DA653" s="24" t="n"/>
      <c r="DB653" s="24" t="n"/>
      <c r="DC653" s="24" t="n"/>
      <c r="DD653" s="24" t="n"/>
      <c r="DE653" s="24" t="n"/>
      <c r="DF653" s="24" t="n"/>
      <c r="DG653" s="24" t="n"/>
      <c r="DH653" s="24" t="n"/>
      <c r="DI653" s="24" t="n"/>
      <c r="DJ653" s="24" t="inlineStr">
        <is>
          <t>0.81982</t>
        </is>
      </c>
      <c r="DK653" s="24" t="n"/>
      <c r="DL653" s="24" t="n"/>
      <c r="DM653" s="24" t="n"/>
      <c r="DN653" s="24" t="n"/>
      <c r="DO653" s="24" t="n"/>
      <c r="DP653" s="24" t="n"/>
      <c r="DQ653" s="24" t="inlineStr">
        <is>
          <t>{"artifact_hash": "1d168f11d221cd3c", "event_id": "401858470", "event_start_utc": "2026-09-27T03:00Z", "features": {"altitude_fatigue_penalty": 0.0, "away_team": "Minnesota Golden Gophers", "efficiency_gap": 0.252, "elo_away": 1541.0, "elo_home": 1695.9, "elo_home_win_prob": 0.78, "event_id": "401858470", "game_start_utc": "2026-09-27T03:00Z", "home_field_advantage_points": 2.8, "home_team": "Washington Huskies", "is_dome": false, "is_fbs_vs_fcs": false, "is_neutral_site": false, "projected_away_points": 22.9, "projected_home_points": 31.9, "projected_margin_home": 9.0, "projected_possessions": 12.4, "projected_total": 54.8, "stadium_elevation_ft": 40, "travel_distance_miles": 1392.0, "uncertainty": 0.18, "weather_total_adjustment": 0.0}, "historical_source_observation_times_verified": false, "inference_inputs": {"engine_source_sha256": "449ba2f0e86fa9c445730076a0e0bf100fb4914620be53c75c6f3bfe24298f3f", "mu_away": 22.9,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158255400059808411227230723947000792234}, "uinteger": 0}, "spread_home_line": -11.5, "total_line": 46.5}, "market_type": "moneyline", "model_version": "college-football-v1", "observed_at_utc": "2026-09-26T22:34:32.504573+00:00", "probabilities": {"away": 0.319851, "home": 0.680149}, "replay_scope": "Full precision score means, exact engine parameters and original RNG state; upstream feature construction not certified.", "schema": "cfb-joint-replay-v1", "snapshot_hash": "d1f698a63d315fb81263ae6e6bfc5f652aab7bc6b185979c754fe86fd1827331", "sport": "NCAAF"}</t>
        </is>
      </c>
    </row>
    <row r="654" ht="36" customHeight="1">
      <c r="A654" s="24" t="inlineStr">
        <is>
          <t>bd34f297dff94881</t>
        </is>
      </c>
      <c r="B654" s="24" t="inlineStr">
        <is>
          <t>2026-09-26T22:34:32.504573Z</t>
        </is>
      </c>
      <c r="C654" s="24" t="inlineStr">
        <is>
          <t>2026-09-27T03:00Z</t>
        </is>
      </c>
      <c r="D654" s="24" t="inlineStr">
        <is>
          <t>401858470</t>
        </is>
      </c>
      <c r="E654" s="24" t="inlineStr">
        <is>
          <t>NCAAF</t>
        </is>
      </c>
      <c r="F654" s="24" t="inlineStr">
        <is>
          <t>Minnesota Golden Gophers</t>
        </is>
      </c>
      <c r="G654" s="24" t="inlineStr">
        <is>
          <t>Washington Huskies</t>
        </is>
      </c>
      <c r="H654" s="24" t="inlineStr">
        <is>
          <t>spread</t>
        </is>
      </c>
      <c r="I654" s="24" t="inlineStr">
        <is>
          <t>away</t>
        </is>
      </c>
      <c r="J654" s="25" t="n">
        <v>11.5</v>
      </c>
      <c r="K654" s="24" t="inlineStr">
        <is>
          <t>espn_consensus</t>
        </is>
      </c>
      <c r="L654" s="26" t="n">
        <v>-110</v>
      </c>
      <c r="M654" s="27" t="n">
        <v>1.909091</v>
      </c>
      <c r="N654" s="28" t="n">
        <v>0.52381</v>
      </c>
      <c r="O654" s="28" t="n">
        <v>0.549867</v>
      </c>
      <c r="P654" s="28" t="n">
        <v>0.18</v>
      </c>
      <c r="Q654" s="28" t="n">
        <v>0.026057</v>
      </c>
      <c r="R654" s="26" t="n">
        <v>0</v>
      </c>
      <c r="S654" s="29" t="n">
        <v>1</v>
      </c>
      <c r="T654" s="24" t="inlineStr">
        <is>
          <t>cfb-spread-v1</t>
        </is>
      </c>
      <c r="U654" s="24" t="inlineStr">
        <is>
          <t>settled</t>
        </is>
      </c>
      <c r="V654" s="24" t="inlineStr">
        <is>
          <t>win</t>
        </is>
      </c>
      <c r="W654" s="26" t="n">
        <v>27</v>
      </c>
      <c r="X654" s="26" t="n">
        <v>24</v>
      </c>
      <c r="Y654" s="25" t="n"/>
      <c r="Z654" s="26" t="n"/>
      <c r="AA654" s="28" t="n"/>
      <c r="AB654" s="28" t="n"/>
      <c r="AC654" s="30" t="n">
        <v>0.9091</v>
      </c>
      <c r="AD654" s="24" t="inlineStr">
        <is>
          <t>2026-09-27T10:00:21.248523Z</t>
        </is>
      </c>
      <c r="AE654" s="31" t="inlineStr">
        <is>
          <t>Projected home margin +9.0 pts. Spread: Home -11.5 / Away +11.5 -&gt; P(Away cover)=0.550, P(Home cover)=0.450, P(Push)=0.000.</t>
        </is>
      </c>
      <c r="AF654" s="31" t="inlineStr">
        <is>
          <t>College football model; multi-market (moneyline, spread, total).</t>
        </is>
      </c>
      <c r="AG654" s="24" t="inlineStr">
        <is>
          <t>not_applicable</t>
        </is>
      </c>
      <c r="AH654" s="24" t="n"/>
      <c r="AI654" s="31" t="n"/>
      <c r="AJ654" s="31" t="n"/>
      <c r="AK654" s="24" t="inlineStr">
        <is>
          <t>paper_call</t>
        </is>
      </c>
      <c r="AL654" s="26" t="n">
        <v>4</v>
      </c>
      <c r="AM654" s="24" t="inlineStr">
        <is>
          <t>RESEARCH_OBSERVATION</t>
        </is>
      </c>
      <c r="AN654" s="24" t="inlineStr">
        <is>
          <t>CALL</t>
        </is>
      </c>
      <c r="AO654" s="24" t="inlineStr">
        <is>
          <t>PAPER_CALL_LOW_EDGE</t>
        </is>
      </c>
      <c r="AP654" s="24" t="inlineStr">
        <is>
          <t>Minnesota Golden Gophers</t>
        </is>
      </c>
      <c r="AQ654" s="24" t="inlineStr">
        <is>
          <t>Minnesota Golden Gophers</t>
        </is>
      </c>
      <c r="AR654" s="24" t="inlineStr">
        <is>
          <t>Minnesota Golden Gophers</t>
        </is>
      </c>
      <c r="AS654" s="24" t="inlineStr">
        <is>
          <t>Washington Huskies</t>
        </is>
      </c>
      <c r="AT654" s="24" t="inlineStr">
        <is>
          <t>Washington Huskies</t>
        </is>
      </c>
      <c r="AU654" s="24" t="inlineStr">
        <is>
          <t>Washington Huskies</t>
        </is>
      </c>
      <c r="AV654" s="24" t="n"/>
      <c r="AW654" s="24" t="n"/>
      <c r="AX654" s="24" t="inlineStr">
        <is>
          <t>statistical_model</t>
        </is>
      </c>
      <c r="AY654" s="24" t="n"/>
      <c r="AZ654" s="24" t="inlineStr">
        <is>
          <t>shadow_qualified</t>
        </is>
      </c>
      <c r="BA654" s="24" t="inlineStr">
        <is>
          <t>1d168f11d221cd3c</t>
        </is>
      </c>
      <c r="BB654" s="24" t="inlineStr">
        <is>
          <t>cfb_key_number_engine</t>
        </is>
      </c>
      <c r="BC654" s="24" t="inlineStr">
        <is>
          <t>cfb-spread-v1</t>
        </is>
      </c>
      <c r="BD654" s="24" t="inlineStr">
        <is>
          <t>1d168f11d221cd3c</t>
        </is>
      </c>
      <c r="BE654" s="24" t="inlineStr">
        <is>
          <t>cfb-v1</t>
        </is>
      </c>
      <c r="BF654" s="24" t="inlineStr">
        <is>
          <t>1</t>
        </is>
      </c>
      <c r="BG654" s="24" t="inlineStr">
        <is>
          <t>1d168f11d221cd3c</t>
        </is>
      </c>
      <c r="BH654" s="24" t="inlineStr">
        <is>
          <t>2026-09-26T22:34:32.504573+00:00</t>
        </is>
      </c>
      <c r="BI654" s="24" t="inlineStr">
        <is>
          <t>["same_event","same_team_same_day","same_league_same_day"]</t>
        </is>
      </c>
      <c r="BJ654" s="25" t="n">
        <v>11.5</v>
      </c>
      <c r="BK654" s="26" t="n">
        <v>-110</v>
      </c>
      <c r="BL654" s="27" t="n">
        <v>1.909091</v>
      </c>
      <c r="BM654" s="28" t="n">
        <v>0.52381</v>
      </c>
      <c r="BN654" s="28" t="n"/>
      <c r="BO654" s="28" t="n"/>
      <c r="BP654" s="25" t="n"/>
      <c r="BQ654" s="27" t="n"/>
      <c r="BR654" s="28" t="n"/>
      <c r="BS654" s="28" t="n"/>
      <c r="BT654" s="28" t="n"/>
      <c r="BU654" s="25" t="n"/>
      <c r="BV654" s="29" t="n"/>
      <c r="BW654" s="24" t="n"/>
      <c r="BX654" s="30" t="n">
        <v>1</v>
      </c>
      <c r="BY654" s="27" t="n">
        <v>0.909091</v>
      </c>
      <c r="BZ654" s="24" t="inlineStr">
        <is>
          <t>2026-09-27T10:00:21.248523Z</t>
        </is>
      </c>
      <c r="CA654" s="31" t="inlineStr">
        <is>
          <t>fixed one-unit hypothetical scoring; no real exposure or execution</t>
        </is>
      </c>
      <c r="CB654" s="24" t="n"/>
      <c r="CC654" s="24" t="n"/>
      <c r="CD654" s="24" t="n"/>
      <c r="CE654" s="24" t="n"/>
      <c r="CF654" s="24" t="n"/>
      <c r="CG654" s="24" t="n"/>
      <c r="CH654" s="24" t="n"/>
      <c r="CI654" s="24" t="n"/>
      <c r="CJ654" s="24" t="n"/>
      <c r="CK654" s="24" t="n"/>
      <c r="CL654" s="24" t="n"/>
      <c r="CM654" s="24" t="n"/>
      <c r="CN654" s="24" t="n"/>
      <c r="CO654" s="24" t="n"/>
      <c r="CP654" s="24" t="n"/>
      <c r="CQ654" s="24" t="n"/>
      <c r="CR654" s="24" t="n"/>
      <c r="CS654" s="24" t="inlineStr">
        <is>
          <t>True</t>
        </is>
      </c>
      <c r="CT654" s="24" t="n"/>
      <c r="CU654" s="24" t="n"/>
      <c r="CV654" s="24" t="n"/>
      <c r="CW654" s="24" t="n"/>
      <c r="CX654" s="24" t="n"/>
      <c r="CY654" s="24" t="n"/>
      <c r="CZ654" s="24" t="n"/>
      <c r="DA654" s="24" t="n"/>
      <c r="DB654" s="24" t="n"/>
      <c r="DC654" s="24" t="n"/>
      <c r="DD654" s="24" t="n"/>
      <c r="DE654" s="24" t="n"/>
      <c r="DF654" s="24" t="n"/>
      <c r="DG654" s="24" t="n"/>
      <c r="DH654" s="24" t="n"/>
      <c r="DI654" s="24" t="n"/>
      <c r="DJ654" s="24" t="inlineStr">
        <is>
          <t>0.52381</t>
        </is>
      </c>
      <c r="DK654" s="24" t="n"/>
      <c r="DL654" s="24" t="n"/>
      <c r="DM654" s="24" t="n"/>
      <c r="DN654" s="24" t="n"/>
      <c r="DO654" s="24" t="n"/>
      <c r="DP654" s="24" t="n"/>
      <c r="DQ654" s="24" t="inlineStr">
        <is>
          <t>{"artifact_hash": "1d168f11d221cd3c", "event_id": "401858470", "event_start_utc": "2026-09-27T03:00Z", "features": {"altitude_fatigue_penalty": 0.0, "away_team": "Minnesota Golden Gophers", "efficiency_gap": 0.252, "elo_away": 1541.0, "elo_home": 1695.9, "elo_home_win_prob": 0.78, "event_id": "401858470", "game_start_utc": "2026-09-27T03:00Z", "home_field_advantage_points": 2.8, "home_team": "Washington Huskies", "is_dome": false, "is_fbs_vs_fcs": false, "is_neutral_site": false, "projected_away_points": 22.9, "projected_home_points": 31.9, "projected_margin_home": 9.0, "projected_possessions": 12.4, "projected_total": 54.8, "stadium_elevation_ft": 40, "travel_distance_miles": 1392.0, "uncertainty": 0.18, "weather_total_adjustment": 0.0}, "historical_source_observation_times_verified": false, "inference_inputs": {"engine_source_sha256": "449ba2f0e86fa9c445730076a0e0bf100fb4914620be53c75c6f3bfe24298f3f", "mu_away": 22.9,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158255400059808411227230723947000792234}, "uinteger": 0}, "spread_home_line": -11.5, "total_line": 46.5}, "market_type": "spread", "model_version": "cfb-spread-v1", "observed_at_utc": "2026-09-26T22:34:32.504573+00:00", "probabilities": {"away": 0.549867, "home": 0.450133, "push": 0.0}, "replay_scope": "Full precision score means, exact engine parameters and original RNG state; upstream feature construction not certified.", "schema": "cfb-joint-replay-v1", "snapshot_hash": "2c06e40d1b0b5a82e01c2684a89f29c588788292c0b4eb69b52b495fbd90c686", "sport": "NCAAF"}</t>
        </is>
      </c>
    </row>
    <row r="655" ht="36" customHeight="1">
      <c r="A655" s="24" t="inlineStr">
        <is>
          <t>fd2ed1721da4432b</t>
        </is>
      </c>
      <c r="B655" s="24" t="inlineStr">
        <is>
          <t>2026-09-26T22:34:32.504573Z</t>
        </is>
      </c>
      <c r="C655" s="24" t="inlineStr">
        <is>
          <t>2026-09-27T03:00Z</t>
        </is>
      </c>
      <c r="D655" s="24" t="inlineStr">
        <is>
          <t>401858470</t>
        </is>
      </c>
      <c r="E655" s="24" t="inlineStr">
        <is>
          <t>NCAAF</t>
        </is>
      </c>
      <c r="F655" s="24" t="inlineStr">
        <is>
          <t>Minnesota Golden Gophers</t>
        </is>
      </c>
      <c r="G655" s="24" t="inlineStr">
        <is>
          <t>Washington Huskies</t>
        </is>
      </c>
      <c r="H655" s="24" t="inlineStr">
        <is>
          <t>total</t>
        </is>
      </c>
      <c r="I655" s="24" t="inlineStr">
        <is>
          <t>over</t>
        </is>
      </c>
      <c r="J655" s="25" t="n">
        <v>46.5</v>
      </c>
      <c r="K655" s="24" t="inlineStr">
        <is>
          <t>espn_consensus</t>
        </is>
      </c>
      <c r="L655" s="26" t="n">
        <v>-105</v>
      </c>
      <c r="M655" s="27" t="n">
        <v>1.952381</v>
      </c>
      <c r="N655" s="28" t="n">
        <v>0.512195</v>
      </c>
      <c r="O655" s="28" t="n">
        <v>0.6022</v>
      </c>
      <c r="P655" s="28" t="n">
        <v>0.18</v>
      </c>
      <c r="Q655" s="28" t="n">
        <v>0.090005</v>
      </c>
      <c r="R655" s="26" t="n">
        <v>0</v>
      </c>
      <c r="S655" s="29" t="n">
        <v>1</v>
      </c>
      <c r="T655" s="24" t="inlineStr">
        <is>
          <t>cfb-total-v1</t>
        </is>
      </c>
      <c r="U655" s="24" t="inlineStr">
        <is>
          <t>settled</t>
        </is>
      </c>
      <c r="V655" s="24" t="inlineStr">
        <is>
          <t>win</t>
        </is>
      </c>
      <c r="W655" s="26" t="n">
        <v>27</v>
      </c>
      <c r="X655" s="26" t="n">
        <v>24</v>
      </c>
      <c r="Y655" s="25" t="n"/>
      <c r="Z655" s="26" t="n"/>
      <c r="AA655" s="28" t="n"/>
      <c r="AB655" s="28" t="n"/>
      <c r="AC655" s="30" t="n">
        <v>0.9524</v>
      </c>
      <c r="AD655" s="24" t="inlineStr">
        <is>
          <t>2026-09-27T10:00:21.847555Z</t>
        </is>
      </c>
      <c r="AE655" s="31" t="inlineStr">
        <is>
          <t>Projected total 54.8 pts (Weather adj: +0.0 pts). Total line 46.5 -&gt; P(Over)=0.602, P(Under)=0.398, P(Push)=0.000.</t>
        </is>
      </c>
      <c r="AF655" s="31" t="inlineStr">
        <is>
          <t>College football model; multi-market (moneyline, spread, total).</t>
        </is>
      </c>
      <c r="AG655" s="24" t="inlineStr">
        <is>
          <t>not_applicable</t>
        </is>
      </c>
      <c r="AH655" s="24" t="n"/>
      <c r="AI655" s="31" t="n"/>
      <c r="AJ655" s="31" t="n"/>
      <c r="AK655" s="24" t="inlineStr">
        <is>
          <t>model_qualified</t>
        </is>
      </c>
      <c r="AL655" s="26" t="n">
        <v>4</v>
      </c>
      <c r="AM655" s="24" t="inlineStr">
        <is>
          <t>QUALIFIED_SHADOW_CALL</t>
        </is>
      </c>
      <c r="AN655" s="24" t="inlineStr">
        <is>
          <t>CALL</t>
        </is>
      </c>
      <c r="AO655" s="24" t="inlineStr">
        <is>
          <t>QUALIFIED</t>
        </is>
      </c>
      <c r="AP655" s="24" t="inlineStr">
        <is>
          <t>Minnesota Golden Gophers</t>
        </is>
      </c>
      <c r="AQ655" s="24" t="inlineStr">
        <is>
          <t>Minnesota Golden Gophers</t>
        </is>
      </c>
      <c r="AR655" s="24" t="inlineStr">
        <is>
          <t>Minnesota Golden Gophers</t>
        </is>
      </c>
      <c r="AS655" s="24" t="inlineStr">
        <is>
          <t>Washington Huskies</t>
        </is>
      </c>
      <c r="AT655" s="24" t="inlineStr">
        <is>
          <t>Washington Huskies</t>
        </is>
      </c>
      <c r="AU655" s="24" t="inlineStr">
        <is>
          <t>Washington Huskies</t>
        </is>
      </c>
      <c r="AV655" s="24" t="n"/>
      <c r="AW655" s="24" t="n"/>
      <c r="AX655" s="24" t="inlineStr">
        <is>
          <t>statistical_model</t>
        </is>
      </c>
      <c r="AY655" s="24" t="n"/>
      <c r="AZ655" s="24" t="inlineStr">
        <is>
          <t>shadow_qualified</t>
        </is>
      </c>
      <c r="BA655" s="24" t="inlineStr">
        <is>
          <t>1d168f11d221cd3c</t>
        </is>
      </c>
      <c r="BB655" s="24" t="inlineStr">
        <is>
          <t>cfb_key_number_engine</t>
        </is>
      </c>
      <c r="BC655" s="24" t="inlineStr">
        <is>
          <t>cfb-total-v1</t>
        </is>
      </c>
      <c r="BD655" s="24" t="inlineStr">
        <is>
          <t>1d168f11d221cd3c</t>
        </is>
      </c>
      <c r="BE655" s="24" t="inlineStr">
        <is>
          <t>cfb-v1</t>
        </is>
      </c>
      <c r="BF655" s="24" t="inlineStr">
        <is>
          <t>1</t>
        </is>
      </c>
      <c r="BG655" s="24" t="inlineStr">
        <is>
          <t>1d168f11d221cd3c</t>
        </is>
      </c>
      <c r="BH655" s="24" t="inlineStr">
        <is>
          <t>2026-09-26T22:34:32.504573+00:00</t>
        </is>
      </c>
      <c r="BI655" s="24" t="inlineStr">
        <is>
          <t>["same_event","same_team_same_day","same_league_same_day"]</t>
        </is>
      </c>
      <c r="BJ655" s="25" t="n">
        <v>46.5</v>
      </c>
      <c r="BK655" s="26" t="n">
        <v>-105</v>
      </c>
      <c r="BL655" s="27" t="n">
        <v>1.952381</v>
      </c>
      <c r="BM655" s="28" t="n">
        <v>0.512195</v>
      </c>
      <c r="BN655" s="28" t="n"/>
      <c r="BO655" s="28" t="n"/>
      <c r="BP655" s="25" t="n"/>
      <c r="BQ655" s="27" t="n"/>
      <c r="BR655" s="28" t="n"/>
      <c r="BS655" s="28" t="n"/>
      <c r="BT655" s="28" t="n"/>
      <c r="BU655" s="25" t="n"/>
      <c r="BV655" s="29" t="n"/>
      <c r="BW655" s="24" t="n"/>
      <c r="BX655" s="30" t="n"/>
      <c r="BY655" s="27" t="n"/>
      <c r="BZ655" s="24" t="n"/>
      <c r="CA655" s="31" t="n"/>
      <c r="CB655" s="24" t="n"/>
      <c r="CC655" s="24" t="n"/>
      <c r="CD655" s="24" t="n"/>
      <c r="CE655" s="24" t="n"/>
      <c r="CF655" s="24" t="n"/>
      <c r="CG655" s="24" t="n"/>
      <c r="CH655" s="24" t="n"/>
      <c r="CI655" s="24" t="n"/>
      <c r="CJ655" s="24" t="n"/>
      <c r="CK655" s="24" t="n"/>
      <c r="CL655" s="24" t="n"/>
      <c r="CM655" s="24" t="n"/>
      <c r="CN655" s="24" t="n"/>
      <c r="CO655" s="24" t="n"/>
      <c r="CP655" s="24" t="n"/>
      <c r="CQ655" s="24" t="n"/>
      <c r="CR655" s="24" t="n"/>
      <c r="CS655" s="24" t="inlineStr">
        <is>
          <t>True</t>
        </is>
      </c>
      <c r="CT655" s="24" t="n"/>
      <c r="CU655" s="24" t="n"/>
      <c r="CV655" s="24" t="n"/>
      <c r="CW655" s="24" t="n"/>
      <c r="CX655" s="24" t="n"/>
      <c r="CY655" s="24" t="n"/>
      <c r="CZ655" s="24" t="n"/>
      <c r="DA655" s="24" t="n"/>
      <c r="DB655" s="24" t="n"/>
      <c r="DC655" s="24" t="n"/>
      <c r="DD655" s="24" t="n"/>
      <c r="DE655" s="24" t="n"/>
      <c r="DF655" s="24" t="n"/>
      <c r="DG655" s="24" t="n"/>
      <c r="DH655" s="24" t="n"/>
      <c r="DI655" s="24" t="n"/>
      <c r="DJ655" s="24" t="inlineStr">
        <is>
          <t>0.512195</t>
        </is>
      </c>
      <c r="DK655" s="24" t="n"/>
      <c r="DL655" s="24" t="n"/>
      <c r="DM655" s="24" t="n"/>
      <c r="DN655" s="24" t="n"/>
      <c r="DO655" s="24" t="n"/>
      <c r="DP655" s="24" t="n"/>
      <c r="DQ655" s="24" t="inlineStr">
        <is>
          <t>{"artifact_hash": "1d168f11d221cd3c", "event_id": "401858470", "event_start_utc": "2026-09-27T03:00Z", "features": {"altitude_fatigue_penalty": 0.0, "away_team": "Minnesota Golden Gophers", "efficiency_gap": 0.252, "elo_away": 1541.0, "elo_home": 1695.9, "elo_home_win_prob": 0.78, "event_id": "401858470", "game_start_utc": "2026-09-27T03:00Z", "home_field_advantage_points": 2.8, "home_team": "Washington Huskies", "is_dome": false, "is_fbs_vs_fcs": false, "is_neutral_site": false, "projected_away_points": 22.9, "projected_home_points": 31.9, "projected_margin_home": 9.0, "projected_possessions": 12.4, "projected_total": 54.8, "stadium_elevation_ft": 40, "travel_distance_miles": 1392.0, "uncertainty": 0.18, "weather_total_adjustment": 0.0}, "historical_source_observation_times_verified": false, "inference_inputs": {"engine_source_sha256": "449ba2f0e86fa9c445730076a0e0bf100fb4914620be53c75c6f3bfe24298f3f", "mu_away": 22.9, "mu_home": 31.9,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158255400059808411227230723947000792234}, "uinteger": 0}, "spread_home_line": -11.5, "total_line": 46.5}, "market_type": "total", "model_version": "cfb-total-v1", "observed_at_utc": "2026-09-26T22:34:32.504573+00:00", "probabilities": {"over": 0.6022, "push": 0.0, "under": 0.3978}, "replay_scope": "Full precision score means, exact engine parameters and original RNG state; upstream feature construction not certified.", "schema": "cfb-joint-replay-v1", "snapshot_hash": "3f6bcb455e8293602076cb30c749acc127f9afb3f815f79a7402847b073461e2", "sport": "NCAAF"}</t>
        </is>
      </c>
    </row>
    <row r="656" ht="36" customHeight="1">
      <c r="A656" s="24" t="inlineStr">
        <is>
          <t>44fdc85076084d4b</t>
        </is>
      </c>
      <c r="B656" s="24" t="inlineStr">
        <is>
          <t>2026-10-01T22:06:45.952874Z</t>
        </is>
      </c>
      <c r="C656" s="24" t="inlineStr">
        <is>
          <t>2026-10-02T00:00Z</t>
        </is>
      </c>
      <c r="D656" s="24" t="inlineStr">
        <is>
          <t>401871049</t>
        </is>
      </c>
      <c r="E656" s="24" t="inlineStr">
        <is>
          <t>NCAAF</t>
        </is>
      </c>
      <c r="F656" s="24" t="inlineStr">
        <is>
          <t>Western Kentucky Hilltoppers</t>
        </is>
      </c>
      <c r="G656" s="24" t="inlineStr">
        <is>
          <t>New Mexico State Aggies</t>
        </is>
      </c>
      <c r="H656" s="24" t="inlineStr">
        <is>
          <t>moneyline</t>
        </is>
      </c>
      <c r="I656" s="24" t="inlineStr">
        <is>
          <t>away</t>
        </is>
      </c>
      <c r="J656" s="25" t="n"/>
      <c r="K656" s="24" t="inlineStr">
        <is>
          <t>espn_consensus</t>
        </is>
      </c>
      <c r="L656" s="26" t="n">
        <v>110</v>
      </c>
      <c r="M656" s="27" t="n">
        <v>2.1</v>
      </c>
      <c r="N656" s="28" t="n">
        <v>0.47619</v>
      </c>
      <c r="O656" s="28" t="n">
        <v>0.638581</v>
      </c>
      <c r="P656" s="28" t="n">
        <v>0.165</v>
      </c>
      <c r="Q656" s="28" t="n">
        <v>0.162391</v>
      </c>
      <c r="R656" s="26" t="n">
        <v>32</v>
      </c>
      <c r="S656" s="29" t="n">
        <v>1</v>
      </c>
      <c r="T656" s="24" t="inlineStr">
        <is>
          <t>college-football-v1</t>
        </is>
      </c>
      <c r="U656" s="24" t="inlineStr">
        <is>
          <t>settled</t>
        </is>
      </c>
      <c r="V656" s="24" t="inlineStr">
        <is>
          <t>loss</t>
        </is>
      </c>
      <c r="W656" s="26" t="n">
        <v>13</v>
      </c>
      <c r="X656" s="26" t="n">
        <v>34</v>
      </c>
      <c r="Y656" s="25" t="n"/>
      <c r="Z656" s="26" t="n"/>
      <c r="AA656" s="28" t="n"/>
      <c r="AB656" s="28" t="n"/>
      <c r="AC656" s="30" t="n">
        <v>-1</v>
      </c>
      <c r="AD656" s="24" t="inlineStr">
        <is>
          <t>2026-10-02T04:30:18.262977Z</t>
        </is>
      </c>
      <c r="AE656" s="31" t="inlineStr">
        <is>
          <t>CFB Joint Model (negative_binomial): proj score Western Kentucky Hilltoppers 29.1 @ New Mexico State Aggies 22.5 (Margin -6.6). Possessions: 12.4, HFA: +2.8 pts.</t>
        </is>
      </c>
      <c r="AF656" s="31" t="inlineStr">
        <is>
          <t>College football model; multi-market (moneyline, spread, total).</t>
        </is>
      </c>
      <c r="AG656" s="24" t="inlineStr">
        <is>
          <t>review_required</t>
        </is>
      </c>
      <c r="AH656" s="24" t="n"/>
      <c r="AI656" s="31" t="n"/>
      <c r="AJ656" s="31" t="n"/>
      <c r="AK656" s="24" t="inlineStr">
        <is>
          <t>model_qualified</t>
        </is>
      </c>
      <c r="AL656" s="26" t="n">
        <v>4</v>
      </c>
      <c r="AM656" s="24" t="inlineStr">
        <is>
          <t>QUALIFIED_SHADOW_CALL</t>
        </is>
      </c>
      <c r="AN656" s="24" t="inlineStr">
        <is>
          <t>CALL</t>
        </is>
      </c>
      <c r="AO656" s="24" t="inlineStr">
        <is>
          <t>QUALIFIED</t>
        </is>
      </c>
      <c r="AP656" s="24" t="inlineStr">
        <is>
          <t>Western Kentucky Hilltoppers</t>
        </is>
      </c>
      <c r="AQ656" s="24" t="inlineStr">
        <is>
          <t>Western Kentucky Hilltoppers</t>
        </is>
      </c>
      <c r="AR656" s="24" t="inlineStr">
        <is>
          <t>Western Kentucky Hilltoppers</t>
        </is>
      </c>
      <c r="AS656" s="24" t="inlineStr">
        <is>
          <t>New Mexico State Aggies</t>
        </is>
      </c>
      <c r="AT656" s="24" t="inlineStr">
        <is>
          <t>New Mexico State Aggies</t>
        </is>
      </c>
      <c r="AU656" s="24" t="inlineStr">
        <is>
          <t>New Mexico State Aggies</t>
        </is>
      </c>
      <c r="AV656" s="24" t="n"/>
      <c r="AW656" s="24" t="n"/>
      <c r="AX656" s="24" t="inlineStr">
        <is>
          <t>statistical_model</t>
        </is>
      </c>
      <c r="AY656" s="24" t="n"/>
      <c r="AZ656" s="24" t="inlineStr">
        <is>
          <t>shadow_qualified</t>
        </is>
      </c>
      <c r="BA656" s="24" t="inlineStr">
        <is>
          <t>1d168f11d221cd3c</t>
        </is>
      </c>
      <c r="BB656" s="24" t="inlineStr">
        <is>
          <t>cfb_key_number_engine</t>
        </is>
      </c>
      <c r="BC656" s="24" t="inlineStr">
        <is>
          <t>college-football-v1</t>
        </is>
      </c>
      <c r="BD656" s="24" t="inlineStr">
        <is>
          <t>1d168f11d221cd3c</t>
        </is>
      </c>
      <c r="BE656" s="24" t="inlineStr">
        <is>
          <t>cfb-v1</t>
        </is>
      </c>
      <c r="BF656" s="24" t="inlineStr">
        <is>
          <t>1</t>
        </is>
      </c>
      <c r="BG656" s="24" t="inlineStr">
        <is>
          <t>1d168f11d221cd3c</t>
        </is>
      </c>
      <c r="BH656" s="24" t="inlineStr">
        <is>
          <t>2026-10-01T22:06:45.952874+00:00</t>
        </is>
      </c>
      <c r="BI656" s="24" t="inlineStr">
        <is>
          <t>["same_event","same_team_same_day","same_league_same_day"]</t>
        </is>
      </c>
      <c r="BJ656" s="25" t="n"/>
      <c r="BK656" s="26" t="n">
        <v>110</v>
      </c>
      <c r="BL656" s="27" t="n">
        <v>2.1</v>
      </c>
      <c r="BM656" s="28" t="n">
        <v>0.47619</v>
      </c>
      <c r="BN656" s="28" t="n"/>
      <c r="BO656" s="28" t="n"/>
      <c r="BP656" s="25" t="n"/>
      <c r="BQ656" s="27" t="n"/>
      <c r="BR656" s="28" t="n"/>
      <c r="BS656" s="28" t="n"/>
      <c r="BT656" s="28" t="n"/>
      <c r="BU656" s="25" t="n"/>
      <c r="BV656" s="29" t="n"/>
      <c r="BW656" s="24" t="n"/>
      <c r="BX656" s="30" t="n"/>
      <c r="BY656" s="27" t="n"/>
      <c r="BZ656" s="24" t="n"/>
      <c r="CA656" s="31" t="n"/>
      <c r="CB656" s="24" t="n"/>
      <c r="CC656" s="24" t="n"/>
      <c r="CD656" s="24" t="n"/>
      <c r="CE656" s="24" t="n"/>
      <c r="CF656" s="24" t="n"/>
      <c r="CG656" s="24" t="n"/>
      <c r="CH656" s="24" t="n"/>
      <c r="CI656" s="24" t="n"/>
      <c r="CJ656" s="24" t="n"/>
      <c r="CK656" s="24" t="n"/>
      <c r="CL656" s="24" t="n"/>
      <c r="CM656" s="24" t="n"/>
      <c r="CN656" s="24" t="n"/>
      <c r="CO656" s="24" t="n"/>
      <c r="CP656" s="24" t="n"/>
      <c r="CQ656" s="24" t="n"/>
      <c r="CR656" s="24" t="n"/>
      <c r="CS656" s="24" t="inlineStr">
        <is>
          <t>True</t>
        </is>
      </c>
      <c r="CT656" s="24" t="n"/>
      <c r="CU656" s="24" t="n"/>
      <c r="CV656" s="24" t="n"/>
      <c r="CW656" s="24" t="n"/>
      <c r="CX656" s="24" t="n"/>
      <c r="CY656" s="24" t="n"/>
      <c r="CZ656" s="24" t="n"/>
      <c r="DA656" s="24" t="n"/>
      <c r="DB656" s="24" t="n"/>
      <c r="DC656" s="24" t="n"/>
      <c r="DD656" s="24" t="n"/>
      <c r="DE656" s="24" t="n"/>
      <c r="DF656" s="24" t="n"/>
      <c r="DG656" s="24" t="n"/>
      <c r="DH656" s="24" t="n"/>
      <c r="DI656" s="24" t="n"/>
      <c r="DJ656" s="24" t="inlineStr">
        <is>
          <t>0.47619</t>
        </is>
      </c>
      <c r="DK656" s="24" t="n"/>
      <c r="DL656" s="24" t="n"/>
      <c r="DM656" s="24" t="n"/>
      <c r="DN656" s="24" t="n"/>
      <c r="DO656" s="24" t="n"/>
      <c r="DP656" s="24" t="n"/>
      <c r="DQ656" s="24" t="inlineStr">
        <is>
          <t>{"artifact_hash": "1d168f11d221cd3c", "event_id": "401871049", "event_start_utc": "2026-10-02T00:00Z", "features": {"altitude_fatigue_penalty": 0.0, "away_team": "Western Kentucky Hilltoppers", "efficiency_gap": 0.871, "elo_away": 1500.5, "elo_home": 1256.5, "elo_home_win_prob": 0.263, "event_id": "401871049", "game_start_utc": "2026-10-02T00:00Z", "home_field_advantage_points": 2.8, "home_team": "New Mexico State Aggies", "is_dome": false, "is_fbs_vs_fcs": false, "is_neutral_site": false, "projected_away_points": 29.1, "projected_home_points": 22.5, "projected_margin_home": -6.6, "projected_possessions": 12.4, "projected_total": 51.6, "stadium_elevation_ft": 3980, "travel_distance_miles": 1195.0, "uncertainty": 0.165, "weather_total_adjustment": 0.0}, "historical_source_observation_times_verified": false, "inference_inputs": {"engine_source_sha256": "449ba2f0e86fa9c445730076a0e0bf100fb4914620be53c75c6f3bfe24298f3f", "mu_away": 29.1, "mu_home": 22.5,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-2.5, "total_line": 55.5}, "market_type": "moneyline", "model_version": "college-football-v1", "observed_at_utc": "2026-10-01T22:06:45.952874+00:00", "probabilities": {"away": 0.638581, "home": 0.361419}, "replay_scope": "Full precision score means, exact engine parameters and original RNG state; upstream feature construction not certified.", "schema": "cfb-joint-replay-v1", "snapshot_hash": "1b6c5335d169767907a27a35f436003713aa60ac01d8e43570767d66ffb258b4", "sport": "NCAAF"}</t>
        </is>
      </c>
    </row>
    <row r="657" ht="36" customHeight="1">
      <c r="A657" s="24" t="inlineStr">
        <is>
          <t>9a7bf75478a94674</t>
        </is>
      </c>
      <c r="B657" s="24" t="inlineStr">
        <is>
          <t>2026-10-01T22:06:45.952874Z</t>
        </is>
      </c>
      <c r="C657" s="24" t="inlineStr">
        <is>
          <t>2026-10-02T00:00Z</t>
        </is>
      </c>
      <c r="D657" s="24" t="inlineStr">
        <is>
          <t>401871049</t>
        </is>
      </c>
      <c r="E657" s="24" t="inlineStr">
        <is>
          <t>NCAAF</t>
        </is>
      </c>
      <c r="F657" s="24" t="inlineStr">
        <is>
          <t>Western Kentucky Hilltoppers</t>
        </is>
      </c>
      <c r="G657" s="24" t="inlineStr">
        <is>
          <t>New Mexico State Aggies</t>
        </is>
      </c>
      <c r="H657" s="24" t="inlineStr">
        <is>
          <t>spread</t>
        </is>
      </c>
      <c r="I657" s="24" t="inlineStr">
        <is>
          <t>away</t>
        </is>
      </c>
      <c r="J657" s="25" t="n">
        <v>2.5</v>
      </c>
      <c r="K657" s="24" t="inlineStr">
        <is>
          <t>espn_consensus</t>
        </is>
      </c>
      <c r="L657" s="26" t="n">
        <v>-115</v>
      </c>
      <c r="M657" s="27" t="n">
        <v>1.869565</v>
      </c>
      <c r="N657" s="28" t="n">
        <v>0.534884</v>
      </c>
      <c r="O657" s="28" t="n">
        <v>0.6879999999999999</v>
      </c>
      <c r="P657" s="28" t="n">
        <v>0.165</v>
      </c>
      <c r="Q657" s="28" t="n">
        <v>0.153116</v>
      </c>
      <c r="R657" s="26" t="n">
        <v>28</v>
      </c>
      <c r="S657" s="29" t="n">
        <v>1</v>
      </c>
      <c r="T657" s="24" t="inlineStr">
        <is>
          <t>cfb-spread-v1</t>
        </is>
      </c>
      <c r="U657" s="24" t="inlineStr">
        <is>
          <t>settled</t>
        </is>
      </c>
      <c r="V657" s="24" t="inlineStr">
        <is>
          <t>loss</t>
        </is>
      </c>
      <c r="W657" s="26" t="n">
        <v>13</v>
      </c>
      <c r="X657" s="26" t="n">
        <v>34</v>
      </c>
      <c r="Y657" s="25" t="n"/>
      <c r="Z657" s="26" t="n"/>
      <c r="AA657" s="28" t="n"/>
      <c r="AB657" s="28" t="n"/>
      <c r="AC657" s="30" t="n">
        <v>-1</v>
      </c>
      <c r="AD657" s="24" t="inlineStr">
        <is>
          <t>2026-10-02T04:30:18.746193Z</t>
        </is>
      </c>
      <c r="AE657" s="31" t="inlineStr">
        <is>
          <t>Projected home margin -6.6 pts. Spread: Home -2.5 / Away +2.5 -&gt; P(Away cover)=0.688, P(Home cover)=0.312, P(Push)=0.000.</t>
        </is>
      </c>
      <c r="AF657" s="31" t="inlineStr">
        <is>
          <t>College football model; multi-market (moneyline, spread, total).</t>
        </is>
      </c>
      <c r="AG657" s="24" t="inlineStr">
        <is>
          <t>review_required</t>
        </is>
      </c>
      <c r="AH657" s="24" t="n"/>
      <c r="AI657" s="31" t="n"/>
      <c r="AJ657" s="31" t="n"/>
      <c r="AK657" s="24" t="inlineStr">
        <is>
          <t>model_qualified</t>
        </is>
      </c>
      <c r="AL657" s="26" t="n">
        <v>4</v>
      </c>
      <c r="AM657" s="24" t="inlineStr">
        <is>
          <t>QUALIFIED_SHADOW_CALL</t>
        </is>
      </c>
      <c r="AN657" s="24" t="inlineStr">
        <is>
          <t>CALL</t>
        </is>
      </c>
      <c r="AO657" s="24" t="inlineStr">
        <is>
          <t>QUALIFIED</t>
        </is>
      </c>
      <c r="AP657" s="24" t="inlineStr">
        <is>
          <t>Western Kentucky Hilltoppers</t>
        </is>
      </c>
      <c r="AQ657" s="24" t="inlineStr">
        <is>
          <t>Western Kentucky Hilltoppers</t>
        </is>
      </c>
      <c r="AR657" s="24" t="inlineStr">
        <is>
          <t>Western Kentucky Hilltoppers</t>
        </is>
      </c>
      <c r="AS657" s="24" t="inlineStr">
        <is>
          <t>New Mexico State Aggies</t>
        </is>
      </c>
      <c r="AT657" s="24" t="inlineStr">
        <is>
          <t>New Mexico State Aggies</t>
        </is>
      </c>
      <c r="AU657" s="24" t="inlineStr">
        <is>
          <t>New Mexico State Aggies</t>
        </is>
      </c>
      <c r="AV657" s="24" t="n"/>
      <c r="AW657" s="24" t="n"/>
      <c r="AX657" s="24" t="inlineStr">
        <is>
          <t>statistical_model</t>
        </is>
      </c>
      <c r="AY657" s="24" t="n"/>
      <c r="AZ657" s="24" t="inlineStr">
        <is>
          <t>shadow_qualified</t>
        </is>
      </c>
      <c r="BA657" s="24" t="inlineStr">
        <is>
          <t>1d168f11d221cd3c</t>
        </is>
      </c>
      <c r="BB657" s="24" t="inlineStr">
        <is>
          <t>cfb_key_number_engine</t>
        </is>
      </c>
      <c r="BC657" s="24" t="inlineStr">
        <is>
          <t>cfb-spread-v1</t>
        </is>
      </c>
      <c r="BD657" s="24" t="inlineStr">
        <is>
          <t>1d168f11d221cd3c</t>
        </is>
      </c>
      <c r="BE657" s="24" t="inlineStr">
        <is>
          <t>cfb-v1</t>
        </is>
      </c>
      <c r="BF657" s="24" t="inlineStr">
        <is>
          <t>1</t>
        </is>
      </c>
      <c r="BG657" s="24" t="inlineStr">
        <is>
          <t>1d168f11d221cd3c</t>
        </is>
      </c>
      <c r="BH657" s="24" t="inlineStr">
        <is>
          <t>2026-10-01T22:06:45.952874+00:00</t>
        </is>
      </c>
      <c r="BI657" s="24" t="inlineStr">
        <is>
          <t>["same_event","same_team_same_day","same_league_same_day"]</t>
        </is>
      </c>
      <c r="BJ657" s="25" t="n">
        <v>2.5</v>
      </c>
      <c r="BK657" s="26" t="n">
        <v>-115</v>
      </c>
      <c r="BL657" s="27" t="n">
        <v>1.869565</v>
      </c>
      <c r="BM657" s="28" t="n">
        <v>0.534884</v>
      </c>
      <c r="BN657" s="28" t="n"/>
      <c r="BO657" s="28" t="n"/>
      <c r="BP657" s="25" t="n"/>
      <c r="BQ657" s="27" t="n"/>
      <c r="BR657" s="28" t="n"/>
      <c r="BS657" s="28" t="n"/>
      <c r="BT657" s="28" t="n"/>
      <c r="BU657" s="25" t="n"/>
      <c r="BV657" s="29" t="n"/>
      <c r="BW657" s="24" t="n"/>
      <c r="BX657" s="30" t="n"/>
      <c r="BY657" s="27" t="n"/>
      <c r="BZ657" s="24" t="n"/>
      <c r="CA657" s="31" t="n"/>
      <c r="CB657" s="24" t="n"/>
      <c r="CC657" s="24" t="n"/>
      <c r="CD657" s="24" t="n"/>
      <c r="CE657" s="24" t="n"/>
      <c r="CF657" s="24" t="n"/>
      <c r="CG657" s="24" t="n"/>
      <c r="CH657" s="24" t="n"/>
      <c r="CI657" s="24" t="n"/>
      <c r="CJ657" s="24" t="n"/>
      <c r="CK657" s="24" t="n"/>
      <c r="CL657" s="24" t="n"/>
      <c r="CM657" s="24" t="n"/>
      <c r="CN657" s="24" t="n"/>
      <c r="CO657" s="24" t="n"/>
      <c r="CP657" s="24" t="n"/>
      <c r="CQ657" s="24" t="n"/>
      <c r="CR657" s="24" t="n"/>
      <c r="CS657" s="24" t="inlineStr">
        <is>
          <t>True</t>
        </is>
      </c>
      <c r="CT657" s="24" t="n"/>
      <c r="CU657" s="24" t="n"/>
      <c r="CV657" s="24" t="n"/>
      <c r="CW657" s="24" t="n"/>
      <c r="CX657" s="24" t="n"/>
      <c r="CY657" s="24" t="n"/>
      <c r="CZ657" s="24" t="n"/>
      <c r="DA657" s="24" t="n"/>
      <c r="DB657" s="24" t="n"/>
      <c r="DC657" s="24" t="n"/>
      <c r="DD657" s="24" t="n"/>
      <c r="DE657" s="24" t="n"/>
      <c r="DF657" s="24" t="n"/>
      <c r="DG657" s="24" t="n"/>
      <c r="DH657" s="24" t="n"/>
      <c r="DI657" s="24" t="n"/>
      <c r="DJ657" s="24" t="inlineStr">
        <is>
          <t>0.534884</t>
        </is>
      </c>
      <c r="DK657" s="24" t="n"/>
      <c r="DL657" s="24" t="n"/>
      <c r="DM657" s="24" t="n"/>
      <c r="DN657" s="24" t="n"/>
      <c r="DO657" s="24" t="n"/>
      <c r="DP657" s="24" t="n"/>
      <c r="DQ657" s="24" t="inlineStr">
        <is>
          <t>{"artifact_hash": "1d168f11d221cd3c", "event_id": "401871049", "event_start_utc": "2026-10-02T00:00Z", "features": {"altitude_fatigue_penalty": 0.0, "away_team": "Western Kentucky Hilltoppers", "efficiency_gap": 0.871, "elo_away": 1500.5, "elo_home": 1256.5, "elo_home_win_prob": 0.263, "event_id": "401871049", "game_start_utc": "2026-10-02T00:00Z", "home_field_advantage_points": 2.8, "home_team": "New Mexico State Aggies", "is_dome": false, "is_fbs_vs_fcs": false, "is_neutral_site": false, "projected_away_points": 29.1, "projected_home_points": 22.5, "projected_margin_home": -6.6, "projected_possessions": 12.4, "projected_total": 51.6, "stadium_elevation_ft": 3980, "travel_distance_miles": 1195.0, "uncertainty": 0.165, "weather_total_adjustment": 0.0}, "historical_source_observation_times_verified": false, "inference_inputs": {"engine_source_sha256": "449ba2f0e86fa9c445730076a0e0bf100fb4914620be53c75c6f3bfe24298f3f", "mu_away": 29.1, "mu_home": 22.5,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-2.5, "total_line": 55.5}, "market_type": "spread", "model_version": "cfb-spread-v1", "observed_at_utc": "2026-10-01T22:06:45.952874+00:00", "probabilities": {"away": 0.688, "home": 0.312, "push": 0.0}, "replay_scope": "Full precision score means, exact engine parameters and original RNG state; upstream feature construction not certified.", "schema": "cfb-joint-replay-v1", "snapshot_hash": "874c0b23fad407d9d622dff1fa144101f966f284b002a8a0b38d497251a093ee", "sport": "NCAAF"}</t>
        </is>
      </c>
    </row>
    <row r="658" ht="36" customHeight="1">
      <c r="A658" s="24" t="inlineStr">
        <is>
          <t>3dee142a66bf48eb</t>
        </is>
      </c>
      <c r="B658" s="24" t="inlineStr">
        <is>
          <t>2026-10-01T22:06:45.952874Z</t>
        </is>
      </c>
      <c r="C658" s="24" t="inlineStr">
        <is>
          <t>2026-10-02T00:00Z</t>
        </is>
      </c>
      <c r="D658" s="24" t="inlineStr">
        <is>
          <t>401871049</t>
        </is>
      </c>
      <c r="E658" s="24" t="inlineStr">
        <is>
          <t>NCAAF</t>
        </is>
      </c>
      <c r="F658" s="24" t="inlineStr">
        <is>
          <t>Western Kentucky Hilltoppers</t>
        </is>
      </c>
      <c r="G658" s="24" t="inlineStr">
        <is>
          <t>New Mexico State Aggies</t>
        </is>
      </c>
      <c r="H658" s="24" t="inlineStr">
        <is>
          <t>total</t>
        </is>
      </c>
      <c r="I658" s="24" t="inlineStr">
        <is>
          <t>under</t>
        </is>
      </c>
      <c r="J658" s="25" t="n">
        <v>55.5</v>
      </c>
      <c r="K658" s="24" t="inlineStr">
        <is>
          <t>espn_consensus</t>
        </is>
      </c>
      <c r="L658" s="26" t="n">
        <v>-108</v>
      </c>
      <c r="M658" s="27" t="n">
        <v>1.925926</v>
      </c>
      <c r="N658" s="28" t="n">
        <v>0.519231</v>
      </c>
      <c r="O658" s="28" t="n">
        <v>0.592</v>
      </c>
      <c r="P658" s="28" t="n">
        <v>0.165</v>
      </c>
      <c r="Q658" s="28" t="n">
        <v>0.072769</v>
      </c>
      <c r="R658" s="26" t="n">
        <v>0</v>
      </c>
      <c r="S658" s="29" t="n">
        <v>1</v>
      </c>
      <c r="T658" s="24" t="inlineStr">
        <is>
          <t>cfb-total-v1</t>
        </is>
      </c>
      <c r="U658" s="24" t="inlineStr">
        <is>
          <t>settled</t>
        </is>
      </c>
      <c r="V658" s="24" t="inlineStr">
        <is>
          <t>win</t>
        </is>
      </c>
      <c r="W658" s="26" t="n">
        <v>13</v>
      </c>
      <c r="X658" s="26" t="n">
        <v>34</v>
      </c>
      <c r="Y658" s="25" t="n"/>
      <c r="Z658" s="26" t="n"/>
      <c r="AA658" s="28" t="n"/>
      <c r="AB658" s="28" t="n"/>
      <c r="AC658" s="30" t="n">
        <v>0.9258999999999999</v>
      </c>
      <c r="AD658" s="24" t="inlineStr">
        <is>
          <t>2026-10-02T04:30:19.279444Z</t>
        </is>
      </c>
      <c r="AE658" s="31" t="inlineStr">
        <is>
          <t>Projected total 51.6 pts (Weather adj: +0.0 pts). Total line 55.5 -&gt; P(Over)=0.408, P(Under)=0.592, P(Push)=0.000.</t>
        </is>
      </c>
      <c r="AF658" s="31" t="inlineStr">
        <is>
          <t>College football model; multi-market (moneyline, spread, total).</t>
        </is>
      </c>
      <c r="AG658" s="24" t="inlineStr">
        <is>
          <t>not_applicable</t>
        </is>
      </c>
      <c r="AH658" s="24" t="n"/>
      <c r="AI658" s="31" t="n"/>
      <c r="AJ658" s="31" t="n"/>
      <c r="AK658" s="24" t="inlineStr">
        <is>
          <t>model_qualified</t>
        </is>
      </c>
      <c r="AL658" s="26" t="n">
        <v>4</v>
      </c>
      <c r="AM658" s="24" t="inlineStr">
        <is>
          <t>QUALIFIED_SHADOW_CALL</t>
        </is>
      </c>
      <c r="AN658" s="24" t="inlineStr">
        <is>
          <t>CALL</t>
        </is>
      </c>
      <c r="AO658" s="24" t="inlineStr">
        <is>
          <t>QUALIFIED</t>
        </is>
      </c>
      <c r="AP658" s="24" t="inlineStr">
        <is>
          <t>Western Kentucky Hilltoppers</t>
        </is>
      </c>
      <c r="AQ658" s="24" t="inlineStr">
        <is>
          <t>Western Kentucky Hilltoppers</t>
        </is>
      </c>
      <c r="AR658" s="24" t="inlineStr">
        <is>
          <t>Western Kentucky Hilltoppers</t>
        </is>
      </c>
      <c r="AS658" s="24" t="inlineStr">
        <is>
          <t>New Mexico State Aggies</t>
        </is>
      </c>
      <c r="AT658" s="24" t="inlineStr">
        <is>
          <t>New Mexico State Aggies</t>
        </is>
      </c>
      <c r="AU658" s="24" t="inlineStr">
        <is>
          <t>New Mexico State Aggies</t>
        </is>
      </c>
      <c r="AV658" s="24" t="n"/>
      <c r="AW658" s="24" t="n"/>
      <c r="AX658" s="24" t="inlineStr">
        <is>
          <t>statistical_model</t>
        </is>
      </c>
      <c r="AY658" s="24" t="n"/>
      <c r="AZ658" s="24" t="inlineStr">
        <is>
          <t>shadow_qualified</t>
        </is>
      </c>
      <c r="BA658" s="24" t="inlineStr">
        <is>
          <t>1d168f11d221cd3c</t>
        </is>
      </c>
      <c r="BB658" s="24" t="inlineStr">
        <is>
          <t>cfb_key_number_engine</t>
        </is>
      </c>
      <c r="BC658" s="24" t="inlineStr">
        <is>
          <t>cfb-total-v1</t>
        </is>
      </c>
      <c r="BD658" s="24" t="inlineStr">
        <is>
          <t>1d168f11d221cd3c</t>
        </is>
      </c>
      <c r="BE658" s="24" t="inlineStr">
        <is>
          <t>cfb-v1</t>
        </is>
      </c>
      <c r="BF658" s="24" t="inlineStr">
        <is>
          <t>1</t>
        </is>
      </c>
      <c r="BG658" s="24" t="inlineStr">
        <is>
          <t>1d168f11d221cd3c</t>
        </is>
      </c>
      <c r="BH658" s="24" t="inlineStr">
        <is>
          <t>2026-10-01T22:06:45.952874+00:00</t>
        </is>
      </c>
      <c r="BI658" s="24" t="inlineStr">
        <is>
          <t>["same_event","same_team_same_day","same_league_same_day"]</t>
        </is>
      </c>
      <c r="BJ658" s="25" t="n">
        <v>55.5</v>
      </c>
      <c r="BK658" s="26" t="n">
        <v>-108</v>
      </c>
      <c r="BL658" s="27" t="n">
        <v>1.925926</v>
      </c>
      <c r="BM658" s="28" t="n">
        <v>0.519231</v>
      </c>
      <c r="BN658" s="28" t="n"/>
      <c r="BO658" s="28" t="n"/>
      <c r="BP658" s="25" t="n"/>
      <c r="BQ658" s="27" t="n"/>
      <c r="BR658" s="28" t="n"/>
      <c r="BS658" s="28" t="n"/>
      <c r="BT658" s="28" t="n"/>
      <c r="BU658" s="25" t="n"/>
      <c r="BV658" s="29" t="n"/>
      <c r="BW658" s="24" t="n"/>
      <c r="BX658" s="30" t="n"/>
      <c r="BY658" s="27" t="n"/>
      <c r="BZ658" s="24" t="n"/>
      <c r="CA658" s="31" t="n"/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inlineStr">
        <is>
          <t>True</t>
        </is>
      </c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n"/>
      <c r="DE658" s="24" t="n"/>
      <c r="DF658" s="24" t="n"/>
      <c r="DG658" s="24" t="n"/>
      <c r="DH658" s="24" t="n"/>
      <c r="DI658" s="24" t="n"/>
      <c r="DJ658" s="24" t="inlineStr">
        <is>
          <t>0.519231</t>
        </is>
      </c>
      <c r="DK658" s="24" t="n"/>
      <c r="DL658" s="24" t="n"/>
      <c r="DM658" s="24" t="n"/>
      <c r="DN658" s="24" t="n"/>
      <c r="DO658" s="24" t="n"/>
      <c r="DP658" s="24" t="n"/>
      <c r="DQ658" s="24" t="inlineStr">
        <is>
          <t>{"artifact_hash": "1d168f11d221cd3c", "event_id": "401871049", "event_start_utc": "2026-10-02T00:00Z", "features": {"altitude_fatigue_penalty": 0.0, "away_team": "Western Kentucky Hilltoppers", "efficiency_gap": 0.871, "elo_away": 1500.5, "elo_home": 1256.5, "elo_home_win_prob": 0.263, "event_id": "401871049", "game_start_utc": "2026-10-02T00:00Z", "home_field_advantage_points": 2.8, "home_team": "New Mexico State Aggies", "is_dome": false, "is_fbs_vs_fcs": false, "is_neutral_site": false, "projected_away_points": 29.1, "projected_home_points": 22.5, "projected_margin_home": -6.6, "projected_possessions": 12.4, "projected_total": 51.6, "stadium_elevation_ft": 3980, "travel_distance_miles": 1195.0, "uncertainty": 0.165, "weather_total_adjustment": 0.0}, "historical_source_observation_times_verified": false, "inference_inputs": {"engine_source_sha256": "449ba2f0e86fa9c445730076a0e0bf100fb4914620be53c75c6f3bfe24298f3f", "mu_away": 29.1, "mu_home": 22.5,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-2.5, "total_line": 55.5}, "market_type": "total", "model_version": "cfb-total-v1", "observed_at_utc": "2026-10-01T22:06:45.952874+00:00", "probabilities": {"over": 0.408, "push": 0.0, "under": 0.592}, "replay_scope": "Full precision score means, exact engine parameters and original RNG state; upstream feature construction not certified.", "schema": "cfb-joint-replay-v1", "snapshot_hash": "9c981233e9c41890abd0b9382c64b41eba09c3855901e3f535141bb48e65ff45", "sport": "NCAAF"}</t>
        </is>
      </c>
    </row>
    <row r="659" ht="36" customHeight="1">
      <c r="A659" s="24" t="inlineStr">
        <is>
          <t>d6fc0e65cd4b4c15</t>
        </is>
      </c>
      <c r="B659" s="24" t="inlineStr">
        <is>
          <t>2026-10-01T22:06:45.952874Z</t>
        </is>
      </c>
      <c r="C659" s="24" t="inlineStr">
        <is>
          <t>2026-10-02T01:00Z</t>
        </is>
      </c>
      <c r="D659" s="24" t="inlineStr">
        <is>
          <t>401862786</t>
        </is>
      </c>
      <c r="E659" s="24" t="inlineStr">
        <is>
          <t>NCAAF</t>
        </is>
      </c>
      <c r="F659" s="24" t="inlineStr">
        <is>
          <t>North Texas Mean Green</t>
        </is>
      </c>
      <c r="G659" s="24" t="inlineStr">
        <is>
          <t>Tulsa Golden Hurricane</t>
        </is>
      </c>
      <c r="H659" s="24" t="inlineStr">
        <is>
          <t>moneyline</t>
        </is>
      </c>
      <c r="I659" s="24" t="inlineStr">
        <is>
          <t>away</t>
        </is>
      </c>
      <c r="J659" s="25" t="n"/>
      <c r="K659" s="24" t="inlineStr">
        <is>
          <t>espn_consensus</t>
        </is>
      </c>
      <c r="L659" s="26" t="n">
        <v>-142</v>
      </c>
      <c r="M659" s="27" t="n">
        <v>1.704225</v>
      </c>
      <c r="N659" s="28" t="n">
        <v>0.586777</v>
      </c>
      <c r="O659" s="28" t="n">
        <v>0.619984</v>
      </c>
      <c r="P659" s="28" t="n">
        <v>0.165</v>
      </c>
      <c r="Q659" s="28" t="n">
        <v>0.033207</v>
      </c>
      <c r="R659" s="26" t="n">
        <v>0</v>
      </c>
      <c r="S659" s="29" t="n">
        <v>1</v>
      </c>
      <c r="T659" s="24" t="inlineStr">
        <is>
          <t>college-football-v1</t>
        </is>
      </c>
      <c r="U659" s="24" t="inlineStr">
        <is>
          <t>settled</t>
        </is>
      </c>
      <c r="V659" s="24" t="inlineStr">
        <is>
          <t>win</t>
        </is>
      </c>
      <c r="W659" s="26" t="n">
        <v>45</v>
      </c>
      <c r="X659" s="26" t="n">
        <v>44</v>
      </c>
      <c r="Y659" s="25" t="n"/>
      <c r="Z659" s="26" t="n"/>
      <c r="AA659" s="28" t="n"/>
      <c r="AB659" s="28" t="n"/>
      <c r="AC659" s="30" t="n">
        <v>0.7042</v>
      </c>
      <c r="AD659" s="24" t="inlineStr">
        <is>
          <t>2026-10-02T10:00:13.321283Z</t>
        </is>
      </c>
      <c r="AE659" s="31" t="inlineStr">
        <is>
          <t>CFB Joint Model (negative_binomial): proj score North Texas Mean Green 29.3 @ Tulsa Golden Hurricane 23.5 (Margin -5.8). Possessions: 12.4, HFA: +2.8 pts.</t>
        </is>
      </c>
      <c r="AF659" s="31" t="inlineStr">
        <is>
          <t>College football model; multi-market (moneyline, spread, total).</t>
        </is>
      </c>
      <c r="AG659" s="24" t="inlineStr">
        <is>
          <t>not_applicable</t>
        </is>
      </c>
      <c r="AH659" s="24" t="n"/>
      <c r="AI659" s="31" t="n"/>
      <c r="AJ659" s="31" t="n"/>
      <c r="AK659" s="24" t="inlineStr">
        <is>
          <t>model_qualified</t>
        </is>
      </c>
      <c r="AL659" s="26" t="n">
        <v>4</v>
      </c>
      <c r="AM659" s="24" t="inlineStr">
        <is>
          <t>QUALIFIED_SHADOW_CALL</t>
        </is>
      </c>
      <c r="AN659" s="24" t="inlineStr">
        <is>
          <t>CALL</t>
        </is>
      </c>
      <c r="AO659" s="24" t="inlineStr">
        <is>
          <t>QUALIFIED</t>
        </is>
      </c>
      <c r="AP659" s="24" t="inlineStr">
        <is>
          <t>North Texas Mean Green</t>
        </is>
      </c>
      <c r="AQ659" s="24" t="inlineStr">
        <is>
          <t>North Texas Mean Green</t>
        </is>
      </c>
      <c r="AR659" s="24" t="inlineStr">
        <is>
          <t>North Texas Mean Green</t>
        </is>
      </c>
      <c r="AS659" s="24" t="inlineStr">
        <is>
          <t>Tulsa Golden Hurricane</t>
        </is>
      </c>
      <c r="AT659" s="24" t="inlineStr">
        <is>
          <t>Tulsa Golden Hurricane</t>
        </is>
      </c>
      <c r="AU659" s="24" t="inlineStr">
        <is>
          <t>Tulsa Golden Hurricane</t>
        </is>
      </c>
      <c r="AV659" s="24" t="n"/>
      <c r="AW659" s="24" t="n"/>
      <c r="AX659" s="24" t="inlineStr">
        <is>
          <t>statistical_model</t>
        </is>
      </c>
      <c r="AY659" s="24" t="n"/>
      <c r="AZ659" s="24" t="inlineStr">
        <is>
          <t>shadow_qualified</t>
        </is>
      </c>
      <c r="BA659" s="24" t="inlineStr">
        <is>
          <t>1d168f11d221cd3c</t>
        </is>
      </c>
      <c r="BB659" s="24" t="inlineStr">
        <is>
          <t>cfb_key_number_engine</t>
        </is>
      </c>
      <c r="BC659" s="24" t="inlineStr">
        <is>
          <t>college-football-v1</t>
        </is>
      </c>
      <c r="BD659" s="24" t="inlineStr">
        <is>
          <t>1d168f11d221cd3c</t>
        </is>
      </c>
      <c r="BE659" s="24" t="inlineStr">
        <is>
          <t>cfb-v1</t>
        </is>
      </c>
      <c r="BF659" s="24" t="inlineStr">
        <is>
          <t>1</t>
        </is>
      </c>
      <c r="BG659" s="24" t="inlineStr">
        <is>
          <t>1d168f11d221cd3c</t>
        </is>
      </c>
      <c r="BH659" s="24" t="inlineStr">
        <is>
          <t>2026-10-01T22:06:45.952874+00:00</t>
        </is>
      </c>
      <c r="BI659" s="24" t="inlineStr">
        <is>
          <t>["same_event","same_team_same_day","same_league_same_day"]</t>
        </is>
      </c>
      <c r="BJ659" s="25" t="n"/>
      <c r="BK659" s="26" t="n">
        <v>-142</v>
      </c>
      <c r="BL659" s="27" t="n">
        <v>1.704225</v>
      </c>
      <c r="BM659" s="28" t="n">
        <v>0.586777</v>
      </c>
      <c r="BN659" s="28" t="n"/>
      <c r="BO659" s="28" t="n"/>
      <c r="BP659" s="25" t="n"/>
      <c r="BQ659" s="27" t="n"/>
      <c r="BR659" s="28" t="n"/>
      <c r="BS659" s="28" t="n"/>
      <c r="BT659" s="28" t="n"/>
      <c r="BU659" s="25" t="n"/>
      <c r="BV659" s="29" t="n"/>
      <c r="BW659" s="24" t="n"/>
      <c r="BX659" s="30" t="n"/>
      <c r="BY659" s="27" t="n"/>
      <c r="BZ659" s="24" t="n"/>
      <c r="CA659" s="31" t="n"/>
      <c r="CB659" s="24" t="n"/>
      <c r="CC659" s="24" t="n"/>
      <c r="CD659" s="24" t="n"/>
      <c r="CE659" s="24" t="n"/>
      <c r="CF659" s="24" t="n"/>
      <c r="CG659" s="24" t="n"/>
      <c r="CH659" s="24" t="n"/>
      <c r="CI659" s="24" t="n"/>
      <c r="CJ659" s="24" t="n"/>
      <c r="CK659" s="24" t="n"/>
      <c r="CL659" s="24" t="n"/>
      <c r="CM659" s="24" t="n"/>
      <c r="CN659" s="24" t="n"/>
      <c r="CO659" s="24" t="n"/>
      <c r="CP659" s="24" t="n"/>
      <c r="CQ659" s="24" t="n"/>
      <c r="CR659" s="24" t="n"/>
      <c r="CS659" s="24" t="inlineStr">
        <is>
          <t>True</t>
        </is>
      </c>
      <c r="CT659" s="24" t="n"/>
      <c r="CU659" s="24" t="n"/>
      <c r="CV659" s="24" t="n"/>
      <c r="CW659" s="24" t="n"/>
      <c r="CX659" s="24" t="n"/>
      <c r="CY659" s="24" t="n"/>
      <c r="CZ659" s="24" t="n"/>
      <c r="DA659" s="24" t="n"/>
      <c r="DB659" s="24" t="n"/>
      <c r="DC659" s="24" t="n"/>
      <c r="DD659" s="24" t="n"/>
      <c r="DE659" s="24" t="n"/>
      <c r="DF659" s="24" t="n"/>
      <c r="DG659" s="24" t="n"/>
      <c r="DH659" s="24" t="n"/>
      <c r="DI659" s="24" t="n"/>
      <c r="DJ659" s="24" t="inlineStr">
        <is>
          <t>0.586777</t>
        </is>
      </c>
      <c r="DK659" s="24" t="n"/>
      <c r="DL659" s="24" t="n"/>
      <c r="DM659" s="24" t="n"/>
      <c r="DN659" s="24" t="n"/>
      <c r="DO659" s="24" t="n"/>
      <c r="DP659" s="24" t="n"/>
      <c r="DQ659" s="24" t="inlineStr">
        <is>
          <t>{"artifact_hash": "1d168f11d221cd3c", "event_id": "401862786", "event_start_utc": "2026-10-02T01:00Z", "features": {"altitude_fatigue_penalty": 0.0, "away_team": "North Texas Mean Green", "efficiency_gap": 2.419, "elo_away": 1588.6, "elo_home": 1358.1, "elo_home_win_prob": 0.2783, "event_id": "401862786", "game_start_utc": "2026-10-02T01:00Z", "home_field_advantage_points": 2.8, "home_team": "Tulsa Golden Hurricane", "is_dome": false, "is_fbs_vs_fcs": false, "is_neutral_site": false, "projected_away_points": 29.3, "projected_home_points": 23.5, "projected_margin_home": -5.8, "projected_possessions": 12.4, "projected_total": 52.8, "stadium_elevation_ft": 740, "travel_distance_miles": 215.0, "uncertainty": 0.165, "weather_total_adjustment": 0.0}, "historical_source_observation_times_verified": false, "inference_inputs": {"engine_source_sha256": "449ba2f0e86fa9c445730076a0e0bf100fb4914620be53c75c6f3bfe24298f3f", "mu_away": 29.3, "mu_home": 23.5,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96279089031671989189446205417286315716}, "uinteger": 0}, "spread_home_line": 2.5, "total_line": 56.5}, "market_type": "moneyline", "model_version": "college-football-v1", "observed_at_utc": "2026-10-01T22:06:45.952874+00:00", "probabilities": {"away": 0.619984, "home": 0.380016}, "replay_scope": "Full precision score means, exact engine parameters and original RNG state; upstream feature construction not certified.", "schema": "cfb-joint-replay-v1", "snapshot_hash": "861e82cc1b7d309c95bdebe3a5d46ed56430a65eb3219db8ffa39591e210d583", "sport": "NCAAF"}</t>
        </is>
      </c>
    </row>
    <row r="660" ht="36" customHeight="1">
      <c r="A660" s="24" t="inlineStr">
        <is>
          <t>7af10a9cb4d64600</t>
        </is>
      </c>
      <c r="B660" s="24" t="inlineStr">
        <is>
          <t>2026-10-01T22:06:45.952874Z</t>
        </is>
      </c>
      <c r="C660" s="24" t="inlineStr">
        <is>
          <t>2026-10-02T01:00Z</t>
        </is>
      </c>
      <c r="D660" s="24" t="inlineStr">
        <is>
          <t>401862786</t>
        </is>
      </c>
      <c r="E660" s="24" t="inlineStr">
        <is>
          <t>NCAAF</t>
        </is>
      </c>
      <c r="F660" s="24" t="inlineStr">
        <is>
          <t>North Texas Mean Green</t>
        </is>
      </c>
      <c r="G660" s="24" t="inlineStr">
        <is>
          <t>Tulsa Golden Hurricane</t>
        </is>
      </c>
      <c r="H660" s="24" t="inlineStr">
        <is>
          <t>spread</t>
        </is>
      </c>
      <c r="I660" s="24" t="inlineStr">
        <is>
          <t>away</t>
        </is>
      </c>
      <c r="J660" s="25" t="n">
        <v>-2.5</v>
      </c>
      <c r="K660" s="24" t="inlineStr">
        <is>
          <t>espn_consensus</t>
        </is>
      </c>
      <c r="L660" s="26" t="n">
        <v>-118</v>
      </c>
      <c r="M660" s="27" t="n">
        <v>1.847458</v>
      </c>
      <c r="N660" s="28" t="n">
        <v>0.541284</v>
      </c>
      <c r="O660" s="28" t="n">
        <v>0.567267</v>
      </c>
      <c r="P660" s="28" t="n">
        <v>0.165</v>
      </c>
      <c r="Q660" s="28" t="n">
        <v>0.025983</v>
      </c>
      <c r="R660" s="26" t="n">
        <v>0</v>
      </c>
      <c r="S660" s="29" t="n">
        <v>1</v>
      </c>
      <c r="T660" s="24" t="inlineStr">
        <is>
          <t>cfb-spread-v1</t>
        </is>
      </c>
      <c r="U660" s="24" t="inlineStr">
        <is>
          <t>settled</t>
        </is>
      </c>
      <c r="V660" s="24" t="inlineStr">
        <is>
          <t>loss</t>
        </is>
      </c>
      <c r="W660" s="26" t="n">
        <v>45</v>
      </c>
      <c r="X660" s="26" t="n">
        <v>44</v>
      </c>
      <c r="Y660" s="25" t="n"/>
      <c r="Z660" s="26" t="n"/>
      <c r="AA660" s="28" t="n"/>
      <c r="AB660" s="28" t="n"/>
      <c r="AC660" s="30" t="n">
        <v>-1</v>
      </c>
      <c r="AD660" s="24" t="inlineStr">
        <is>
          <t>2026-10-02T10:00:14.169056Z</t>
        </is>
      </c>
      <c r="AE660" s="31" t="inlineStr">
        <is>
          <t>Projected home margin -5.8 pts. Spread: Home +2.5 / Away -2.5 -&gt; P(Away cover)=0.567, P(Home cover)=0.433, P(Push)=0.000.</t>
        </is>
      </c>
      <c r="AF660" s="31" t="inlineStr">
        <is>
          <t>College football model; multi-market (moneyline, spread, total).</t>
        </is>
      </c>
      <c r="AG660" s="24" t="inlineStr">
        <is>
          <t>review_required</t>
        </is>
      </c>
      <c r="AH660" s="24" t="n"/>
      <c r="AI660" s="31" t="n"/>
      <c r="AJ660" s="31" t="n"/>
      <c r="AK660" s="24" t="inlineStr">
        <is>
          <t>paper_call</t>
        </is>
      </c>
      <c r="AL660" s="26" t="n">
        <v>4</v>
      </c>
      <c r="AM660" s="24" t="inlineStr">
        <is>
          <t>RESEARCH_OBSERVATION</t>
        </is>
      </c>
      <c r="AN660" s="24" t="inlineStr">
        <is>
          <t>CALL</t>
        </is>
      </c>
      <c r="AO660" s="24" t="inlineStr">
        <is>
          <t>PAPER_CALL_LOW_EDGE</t>
        </is>
      </c>
      <c r="AP660" s="24" t="inlineStr">
        <is>
          <t>North Texas Mean Green</t>
        </is>
      </c>
      <c r="AQ660" s="24" t="inlineStr">
        <is>
          <t>North Texas Mean Green</t>
        </is>
      </c>
      <c r="AR660" s="24" t="inlineStr">
        <is>
          <t>North Texas Mean Green</t>
        </is>
      </c>
      <c r="AS660" s="24" t="inlineStr">
        <is>
          <t>Tulsa Golden Hurricane</t>
        </is>
      </c>
      <c r="AT660" s="24" t="inlineStr">
        <is>
          <t>Tulsa Golden Hurricane</t>
        </is>
      </c>
      <c r="AU660" s="24" t="inlineStr">
        <is>
          <t>Tulsa Golden Hurricane</t>
        </is>
      </c>
      <c r="AV660" s="24" t="n"/>
      <c r="AW660" s="24" t="n"/>
      <c r="AX660" s="24" t="inlineStr">
        <is>
          <t>statistical_model</t>
        </is>
      </c>
      <c r="AY660" s="24" t="n"/>
      <c r="AZ660" s="24" t="inlineStr">
        <is>
          <t>shadow_qualified</t>
        </is>
      </c>
      <c r="BA660" s="24" t="inlineStr">
        <is>
          <t>1d168f11d221cd3c</t>
        </is>
      </c>
      <c r="BB660" s="24" t="inlineStr">
        <is>
          <t>cfb_key_number_engine</t>
        </is>
      </c>
      <c r="BC660" s="24" t="inlineStr">
        <is>
          <t>cfb-spread-v1</t>
        </is>
      </c>
      <c r="BD660" s="24" t="inlineStr">
        <is>
          <t>1d168f11d221cd3c</t>
        </is>
      </c>
      <c r="BE660" s="24" t="inlineStr">
        <is>
          <t>cfb-v1</t>
        </is>
      </c>
      <c r="BF660" s="24" t="inlineStr">
        <is>
          <t>1</t>
        </is>
      </c>
      <c r="BG660" s="24" t="inlineStr">
        <is>
          <t>1d168f11d221cd3c</t>
        </is>
      </c>
      <c r="BH660" s="24" t="inlineStr">
        <is>
          <t>2026-10-01T22:06:45.952874+00:00</t>
        </is>
      </c>
      <c r="BI660" s="24" t="inlineStr">
        <is>
          <t>["same_event","same_team_same_day","same_league_same_day"]</t>
        </is>
      </c>
      <c r="BJ660" s="25" t="n">
        <v>-2.5</v>
      </c>
      <c r="BK660" s="26" t="n">
        <v>-118</v>
      </c>
      <c r="BL660" s="27" t="n">
        <v>1.847458</v>
      </c>
      <c r="BM660" s="28" t="n">
        <v>0.541284</v>
      </c>
      <c r="BN660" s="28" t="n"/>
      <c r="BO660" s="28" t="n"/>
      <c r="BP660" s="25" t="n"/>
      <c r="BQ660" s="27" t="n"/>
      <c r="BR660" s="28" t="n"/>
      <c r="BS660" s="28" t="n"/>
      <c r="BT660" s="28" t="n"/>
      <c r="BU660" s="25" t="n"/>
      <c r="BV660" s="29" t="n"/>
      <c r="BW660" s="24" t="n"/>
      <c r="BX660" s="30" t="n">
        <v>1</v>
      </c>
      <c r="BY660" s="27" t="n">
        <v>-1</v>
      </c>
      <c r="BZ660" s="24" t="inlineStr">
        <is>
          <t>2026-10-02T10:00:14.169056Z</t>
        </is>
      </c>
      <c r="CA660" s="31" t="inlineStr">
        <is>
          <t>fixed one-unit hypothetical scoring; no real exposure or execution</t>
        </is>
      </c>
      <c r="CB660" s="24" t="n"/>
      <c r="CC660" s="24" t="n"/>
      <c r="CD660" s="24" t="n"/>
      <c r="CE660" s="24" t="n"/>
      <c r="CF660" s="24" t="n"/>
      <c r="CG660" s="24" t="n"/>
      <c r="CH660" s="24" t="n"/>
      <c r="CI660" s="24" t="n"/>
      <c r="CJ660" s="24" t="n"/>
      <c r="CK660" s="24" t="n"/>
      <c r="CL660" s="24" t="n"/>
      <c r="CM660" s="24" t="n"/>
      <c r="CN660" s="24" t="n"/>
      <c r="CO660" s="24" t="n"/>
      <c r="CP660" s="24" t="n"/>
      <c r="CQ660" s="24" t="n"/>
      <c r="CR660" s="24" t="n"/>
      <c r="CS660" s="24" t="inlineStr">
        <is>
          <t>True</t>
        </is>
      </c>
      <c r="CT660" s="24" t="n"/>
      <c r="CU660" s="24" t="n"/>
      <c r="CV660" s="24" t="n"/>
      <c r="CW660" s="24" t="n"/>
      <c r="CX660" s="24" t="n"/>
      <c r="CY660" s="24" t="n"/>
      <c r="CZ660" s="24" t="n"/>
      <c r="DA660" s="24" t="n"/>
      <c r="DB660" s="24" t="n"/>
      <c r="DC660" s="24" t="n"/>
      <c r="DD660" s="24" t="n"/>
      <c r="DE660" s="24" t="n"/>
      <c r="DF660" s="24" t="n"/>
      <c r="DG660" s="24" t="n"/>
      <c r="DH660" s="24" t="n"/>
      <c r="DI660" s="24" t="n"/>
      <c r="DJ660" s="24" t="inlineStr">
        <is>
          <t>0.541284</t>
        </is>
      </c>
      <c r="DK660" s="24" t="n"/>
      <c r="DL660" s="24" t="n"/>
      <c r="DM660" s="24" t="n"/>
      <c r="DN660" s="24" t="n"/>
      <c r="DO660" s="24" t="n"/>
      <c r="DP660" s="24" t="n"/>
      <c r="DQ660" s="24" t="inlineStr">
        <is>
          <t>{"artifact_hash": "1d168f11d221cd3c", "event_id": "401862786", "event_start_utc": "2026-10-02T01:00Z", "features": {"altitude_fatigue_penalty": 0.0, "away_team": "North Texas Mean Green", "efficiency_gap": 2.419, "elo_away": 1588.6, "elo_home": 1358.1, "elo_home_win_prob": 0.2783, "event_id": "401862786", "game_start_utc": "2026-10-02T01:00Z", "home_field_advantage_points": 2.8, "home_team": "Tulsa Golden Hurricane", "is_dome": false, "is_fbs_vs_fcs": false, "is_neutral_site": false, "projected_away_points": 29.3, "projected_home_points": 23.5, "projected_margin_home": -5.8, "projected_possessions": 12.4, "projected_total": 52.8, "stadium_elevation_ft": 740, "travel_distance_miles": 215.0, "uncertainty": 0.165, "weather_total_adjustment": 0.0}, "historical_source_observation_times_verified": false, "inference_inputs": {"engine_source_sha256": "449ba2f0e86fa9c445730076a0e0bf100fb4914620be53c75c6f3bfe24298f3f", "mu_away": 29.3, "mu_home": 23.5,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96279089031671989189446205417286315716}, "uinteger": 0}, "spread_home_line": 2.5, "total_line": 56.5}, "market_type": "spread", "model_version": "cfb-spread-v1", "observed_at_utc": "2026-10-01T22:06:45.952874+00:00", "probabilities": {"away": 0.567267, "home": 0.432733, "push": 0.0}, "replay_scope": "Full precision score means, exact engine parameters and original RNG state; upstream feature construction not certified.", "schema": "cfb-joint-replay-v1", "snapshot_hash": "0e77a95604b27d9402f3d7427addbdb8f6e60335eed7846f2b361161afade352", "sport": "NCAAF"}</t>
        </is>
      </c>
    </row>
    <row r="661" ht="36" customHeight="1">
      <c r="A661" s="24" t="inlineStr">
        <is>
          <t>1dbec2a8dd334b90</t>
        </is>
      </c>
      <c r="B661" s="24" t="inlineStr">
        <is>
          <t>2026-10-01T22:06:45.952874Z</t>
        </is>
      </c>
      <c r="C661" s="24" t="inlineStr">
        <is>
          <t>2026-10-02T01:00Z</t>
        </is>
      </c>
      <c r="D661" s="24" t="inlineStr">
        <is>
          <t>401862786</t>
        </is>
      </c>
      <c r="E661" s="24" t="inlineStr">
        <is>
          <t>NCAAF</t>
        </is>
      </c>
      <c r="F661" s="24" t="inlineStr">
        <is>
          <t>North Texas Mean Green</t>
        </is>
      </c>
      <c r="G661" s="24" t="inlineStr">
        <is>
          <t>Tulsa Golden Hurricane</t>
        </is>
      </c>
      <c r="H661" s="24" t="inlineStr">
        <is>
          <t>total</t>
        </is>
      </c>
      <c r="I661" s="24" t="inlineStr">
        <is>
          <t>under</t>
        </is>
      </c>
      <c r="J661" s="25" t="n">
        <v>56.5</v>
      </c>
      <c r="K661" s="24" t="inlineStr">
        <is>
          <t>espn_consensus</t>
        </is>
      </c>
      <c r="L661" s="26" t="n">
        <v>-110</v>
      </c>
      <c r="M661" s="27" t="n">
        <v>1.909091</v>
      </c>
      <c r="N661" s="28" t="n">
        <v>0.52381</v>
      </c>
      <c r="O661" s="28" t="n">
        <v>0.590733</v>
      </c>
      <c r="P661" s="28" t="n">
        <v>0.165</v>
      </c>
      <c r="Q661" s="28" t="n">
        <v>0.066923</v>
      </c>
      <c r="R661" s="26" t="n">
        <v>0</v>
      </c>
      <c r="S661" s="29" t="n">
        <v>1</v>
      </c>
      <c r="T661" s="24" t="inlineStr">
        <is>
          <t>cfb-total-v1</t>
        </is>
      </c>
      <c r="U661" s="24" t="inlineStr">
        <is>
          <t>settled</t>
        </is>
      </c>
      <c r="V661" s="24" t="inlineStr">
        <is>
          <t>loss</t>
        </is>
      </c>
      <c r="W661" s="26" t="n">
        <v>45</v>
      </c>
      <c r="X661" s="26" t="n">
        <v>44</v>
      </c>
      <c r="Y661" s="25" t="n"/>
      <c r="Z661" s="26" t="n"/>
      <c r="AA661" s="28" t="n"/>
      <c r="AB661" s="28" t="n"/>
      <c r="AC661" s="30" t="n">
        <v>-1</v>
      </c>
      <c r="AD661" s="24" t="inlineStr">
        <is>
          <t>2026-10-02T10:00:14.717069Z</t>
        </is>
      </c>
      <c r="AE661" s="31" t="inlineStr">
        <is>
          <t>Projected total 52.8 pts (Weather adj: +0.0 pts). Total line 56.5 -&gt; P(Over)=0.409, P(Under)=0.591, P(Push)=0.000.</t>
        </is>
      </c>
      <c r="AF661" s="31" t="inlineStr">
        <is>
          <t>College football model; multi-market (moneyline, spread, total).</t>
        </is>
      </c>
      <c r="AG661" s="24" t="inlineStr">
        <is>
          <t>review_required</t>
        </is>
      </c>
      <c r="AH661" s="24" t="n"/>
      <c r="AI661" s="31" t="n"/>
      <c r="AJ661" s="31" t="n"/>
      <c r="AK661" s="24" t="inlineStr">
        <is>
          <t>model_qualified</t>
        </is>
      </c>
      <c r="AL661" s="26" t="n">
        <v>4</v>
      </c>
      <c r="AM661" s="24" t="inlineStr">
        <is>
          <t>QUALIFIED_SHADOW_CALL</t>
        </is>
      </c>
      <c r="AN661" s="24" t="inlineStr">
        <is>
          <t>CALL</t>
        </is>
      </c>
      <c r="AO661" s="24" t="inlineStr">
        <is>
          <t>QUALIFIED</t>
        </is>
      </c>
      <c r="AP661" s="24" t="inlineStr">
        <is>
          <t>North Texas Mean Green</t>
        </is>
      </c>
      <c r="AQ661" s="24" t="inlineStr">
        <is>
          <t>North Texas Mean Green</t>
        </is>
      </c>
      <c r="AR661" s="24" t="inlineStr">
        <is>
          <t>North Texas Mean Green</t>
        </is>
      </c>
      <c r="AS661" s="24" t="inlineStr">
        <is>
          <t>Tulsa Golden Hurricane</t>
        </is>
      </c>
      <c r="AT661" s="24" t="inlineStr">
        <is>
          <t>Tulsa Golden Hurricane</t>
        </is>
      </c>
      <c r="AU661" s="24" t="inlineStr">
        <is>
          <t>Tulsa Golden Hurricane</t>
        </is>
      </c>
      <c r="AV661" s="24" t="n"/>
      <c r="AW661" s="24" t="n"/>
      <c r="AX661" s="24" t="inlineStr">
        <is>
          <t>statistical_model</t>
        </is>
      </c>
      <c r="AY661" s="24" t="n"/>
      <c r="AZ661" s="24" t="inlineStr">
        <is>
          <t>shadow_qualified</t>
        </is>
      </c>
      <c r="BA661" s="24" t="inlineStr">
        <is>
          <t>1d168f11d221cd3c</t>
        </is>
      </c>
      <c r="BB661" s="24" t="inlineStr">
        <is>
          <t>cfb_key_number_engine</t>
        </is>
      </c>
      <c r="BC661" s="24" t="inlineStr">
        <is>
          <t>cfb-total-v1</t>
        </is>
      </c>
      <c r="BD661" s="24" t="inlineStr">
        <is>
          <t>1d168f11d221cd3c</t>
        </is>
      </c>
      <c r="BE661" s="24" t="inlineStr">
        <is>
          <t>cfb-v1</t>
        </is>
      </c>
      <c r="BF661" s="24" t="inlineStr">
        <is>
          <t>1</t>
        </is>
      </c>
      <c r="BG661" s="24" t="inlineStr">
        <is>
          <t>1d168f11d221cd3c</t>
        </is>
      </c>
      <c r="BH661" s="24" t="inlineStr">
        <is>
          <t>2026-10-01T22:06:45.952874+00:00</t>
        </is>
      </c>
      <c r="BI661" s="24" t="inlineStr">
        <is>
          <t>["same_event","same_team_same_day","same_league_same_day"]</t>
        </is>
      </c>
      <c r="BJ661" s="25" t="n">
        <v>56.5</v>
      </c>
      <c r="BK661" s="26" t="n">
        <v>-110</v>
      </c>
      <c r="BL661" s="27" t="n">
        <v>1.909091</v>
      </c>
      <c r="BM661" s="28" t="n">
        <v>0.52381</v>
      </c>
      <c r="BN661" s="28" t="n"/>
      <c r="BO661" s="28" t="n"/>
      <c r="BP661" s="25" t="n"/>
      <c r="BQ661" s="27" t="n"/>
      <c r="BR661" s="28" t="n"/>
      <c r="BS661" s="28" t="n"/>
      <c r="BT661" s="28" t="n"/>
      <c r="BU661" s="25" t="n"/>
      <c r="BV661" s="29" t="n"/>
      <c r="BW661" s="24" t="n"/>
      <c r="BX661" s="30" t="n"/>
      <c r="BY661" s="27" t="n"/>
      <c r="BZ661" s="24" t="n"/>
      <c r="CA661" s="31" t="n"/>
      <c r="CB661" s="24" t="n"/>
      <c r="CC661" s="24" t="n"/>
      <c r="CD661" s="24" t="n"/>
      <c r="CE661" s="24" t="n"/>
      <c r="CF661" s="24" t="n"/>
      <c r="CG661" s="24" t="n"/>
      <c r="CH661" s="24" t="n"/>
      <c r="CI661" s="24" t="n"/>
      <c r="CJ661" s="24" t="n"/>
      <c r="CK661" s="24" t="n"/>
      <c r="CL661" s="24" t="n"/>
      <c r="CM661" s="24" t="n"/>
      <c r="CN661" s="24" t="n"/>
      <c r="CO661" s="24" t="n"/>
      <c r="CP661" s="24" t="n"/>
      <c r="CQ661" s="24" t="n"/>
      <c r="CR661" s="24" t="n"/>
      <c r="CS661" s="24" t="inlineStr">
        <is>
          <t>True</t>
        </is>
      </c>
      <c r="CT661" s="24" t="n"/>
      <c r="CU661" s="24" t="n"/>
      <c r="CV661" s="24" t="n"/>
      <c r="CW661" s="24" t="n"/>
      <c r="CX661" s="24" t="n"/>
      <c r="CY661" s="24" t="n"/>
      <c r="CZ661" s="24" t="n"/>
      <c r="DA661" s="24" t="n"/>
      <c r="DB661" s="24" t="n"/>
      <c r="DC661" s="24" t="n"/>
      <c r="DD661" s="24" t="n"/>
      <c r="DE661" s="24" t="n"/>
      <c r="DF661" s="24" t="n"/>
      <c r="DG661" s="24" t="n"/>
      <c r="DH661" s="24" t="n"/>
      <c r="DI661" s="24" t="n"/>
      <c r="DJ661" s="24" t="inlineStr">
        <is>
          <t>0.52381</t>
        </is>
      </c>
      <c r="DK661" s="24" t="n"/>
      <c r="DL661" s="24" t="n"/>
      <c r="DM661" s="24" t="n"/>
      <c r="DN661" s="24" t="n"/>
      <c r="DO661" s="24" t="n"/>
      <c r="DP661" s="24" t="n"/>
      <c r="DQ661" s="24" t="inlineStr">
        <is>
          <t>{"artifact_hash": "1d168f11d221cd3c", "event_id": "401862786", "event_start_utc": "2026-10-02T01:00Z", "features": {"altitude_fatigue_penalty": 0.0, "away_team": "North Texas Mean Green", "efficiency_gap": 2.419, "elo_away": 1588.6, "elo_home": 1358.1, "elo_home_win_prob": 0.2783, "event_id": "401862786", "game_start_utc": "2026-10-02T01:00Z", "home_field_advantage_points": 2.8, "home_team": "Tulsa Golden Hurricane", "is_dome": false, "is_fbs_vs_fcs": false, "is_neutral_site": false, "projected_away_points": 29.3, "projected_home_points": 23.5, "projected_margin_home": -5.8, "projected_possessions": 12.4, "projected_total": 52.8, "stadium_elevation_ft": 740, "travel_distance_miles": 215.0, "uncertainty": 0.165, "weather_total_adjustment": 0.0}, "historical_source_observation_times_verified": false, "inference_inputs": {"engine_source_sha256": "449ba2f0e86fa9c445730076a0e0bf100fb4914620be53c75c6f3bfe24298f3f", "mu_away": 29.3, "mu_home": 23.5,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96279089031671989189446205417286315716}, "uinteger": 0}, "spread_home_line": 2.5, "total_line": 56.5}, "market_type": "total", "model_version": "cfb-total-v1", "observed_at_utc": "2026-10-01T22:06:45.952874+00:00", "probabilities": {"over": 0.409267, "push": 0.0, "under": 0.590733}, "replay_scope": "Full precision score means, exact engine parameters and original RNG state; upstream feature construction not certified.", "schema": "cfb-joint-replay-v1", "snapshot_hash": "d3c79eb1f2debde782eeb8718bfa0b40eee71bd11816d59166209007908c8635", "sport": "NCAAF"}</t>
        </is>
      </c>
    </row>
    <row r="662" ht="36" customHeight="1">
      <c r="A662" s="24" t="inlineStr">
        <is>
          <t>163d5bba31e749e4</t>
        </is>
      </c>
      <c r="B662" s="24" t="inlineStr">
        <is>
          <t>2026-10-02T22:06:17.356400Z</t>
        </is>
      </c>
      <c r="C662" s="24" t="inlineStr">
        <is>
          <t>2026-10-02T23:00Z</t>
        </is>
      </c>
      <c r="D662" s="24" t="inlineStr">
        <is>
          <t>401858245</t>
        </is>
      </c>
      <c r="E662" s="24" t="inlineStr">
        <is>
          <t>NCAAF</t>
        </is>
      </c>
      <c r="F662" s="24" t="inlineStr">
        <is>
          <t>Pittsburgh Panthers</t>
        </is>
      </c>
      <c r="G662" s="24" t="inlineStr">
        <is>
          <t>Virginia Tech Hokies</t>
        </is>
      </c>
      <c r="H662" s="24" t="inlineStr">
        <is>
          <t>moneyline</t>
        </is>
      </c>
      <c r="I662" s="24" t="inlineStr">
        <is>
          <t>away</t>
        </is>
      </c>
      <c r="J662" s="25" t="n"/>
      <c r="K662" s="24" t="inlineStr">
        <is>
          <t>espn_consensus</t>
        </is>
      </c>
      <c r="L662" s="26" t="n">
        <v>105</v>
      </c>
      <c r="M662" s="27" t="n">
        <v>2.05</v>
      </c>
      <c r="N662" s="28" t="n">
        <v>0.487805</v>
      </c>
      <c r="O662" s="28" t="n">
        <v>0.716616</v>
      </c>
      <c r="P662" s="28" t="n">
        <v>0.18</v>
      </c>
      <c r="Q662" s="28" t="n">
        <v>0.228811</v>
      </c>
      <c r="R662" s="26" t="n">
        <v>56</v>
      </c>
      <c r="S662" s="29" t="n">
        <v>1.25</v>
      </c>
      <c r="T662" s="24" t="inlineStr">
        <is>
          <t>college-football-v1</t>
        </is>
      </c>
      <c r="U662" s="24" t="inlineStr">
        <is>
          <t>settled</t>
        </is>
      </c>
      <c r="V662" s="24" t="inlineStr">
        <is>
          <t>win</t>
        </is>
      </c>
      <c r="W662" s="26" t="n">
        <v>35</v>
      </c>
      <c r="X662" s="26" t="n">
        <v>33</v>
      </c>
      <c r="Y662" s="25" t="n"/>
      <c r="Z662" s="26" t="n"/>
      <c r="AA662" s="28" t="n"/>
      <c r="AB662" s="28" t="n"/>
      <c r="AC662" s="30" t="n">
        <v>1.3125</v>
      </c>
      <c r="AD662" s="24" t="inlineStr">
        <is>
          <t>2026-10-03T04:30:19.020663Z</t>
        </is>
      </c>
      <c r="AE662" s="31" t="inlineStr">
        <is>
          <t>CFB Joint Model (negative_binomial): proj score Pittsburgh Panthers 33.9 @ Virginia Tech Hokies 22.6 (Margin -11.4). Possessions: 12.4, HFA: +2.8 pts.</t>
        </is>
      </c>
      <c r="AF662" s="31" t="inlineStr">
        <is>
          <t>College football model; multi-market (moneyline, spread, total).</t>
        </is>
      </c>
      <c r="AG662" s="24" t="inlineStr">
        <is>
          <t>not_applicable</t>
        </is>
      </c>
      <c r="AH662" s="24" t="n"/>
      <c r="AI662" s="31" t="n"/>
      <c r="AJ662" s="31" t="n"/>
      <c r="AK662" s="24" t="inlineStr">
        <is>
          <t>model_qualified</t>
        </is>
      </c>
      <c r="AL662" s="26" t="n">
        <v>4</v>
      </c>
      <c r="AM662" s="24" t="inlineStr">
        <is>
          <t>QUALIFIED_SHADOW_CALL</t>
        </is>
      </c>
      <c r="AN662" s="24" t="inlineStr">
        <is>
          <t>CALL</t>
        </is>
      </c>
      <c r="AO662" s="24" t="inlineStr">
        <is>
          <t>QUALIFIED</t>
        </is>
      </c>
      <c r="AP662" s="24" t="inlineStr">
        <is>
          <t>Pittsburgh Panthers</t>
        </is>
      </c>
      <c r="AQ662" s="24" t="inlineStr">
        <is>
          <t>Pittsburgh Panthers</t>
        </is>
      </c>
      <c r="AR662" s="24" t="inlineStr">
        <is>
          <t>Pittsburgh Panthers</t>
        </is>
      </c>
      <c r="AS662" s="24" t="inlineStr">
        <is>
          <t>Virginia Tech Hokies</t>
        </is>
      </c>
      <c r="AT662" s="24" t="inlineStr">
        <is>
          <t>Virginia Tech Hokies</t>
        </is>
      </c>
      <c r="AU662" s="24" t="inlineStr">
        <is>
          <t>Virginia Tech Hokies</t>
        </is>
      </c>
      <c r="AV662" s="24" t="n"/>
      <c r="AW662" s="24" t="n"/>
      <c r="AX662" s="24" t="inlineStr">
        <is>
          <t>statistical_model</t>
        </is>
      </c>
      <c r="AY662" s="24" t="n"/>
      <c r="AZ662" s="24" t="inlineStr">
        <is>
          <t>shadow_qualified</t>
        </is>
      </c>
      <c r="BA662" s="24" t="inlineStr">
        <is>
          <t>1d168f11d221cd3c</t>
        </is>
      </c>
      <c r="BB662" s="24" t="inlineStr">
        <is>
          <t>cfb_key_number_engine</t>
        </is>
      </c>
      <c r="BC662" s="24" t="inlineStr">
        <is>
          <t>college-football-v1</t>
        </is>
      </c>
      <c r="BD662" s="24" t="inlineStr">
        <is>
          <t>1d168f11d221cd3c</t>
        </is>
      </c>
      <c r="BE662" s="24" t="inlineStr">
        <is>
          <t>cfb-v1</t>
        </is>
      </c>
      <c r="BF662" s="24" t="inlineStr">
        <is>
          <t>1</t>
        </is>
      </c>
      <c r="BG662" s="24" t="inlineStr">
        <is>
          <t>1d168f11d221cd3c</t>
        </is>
      </c>
      <c r="BH662" s="24" t="inlineStr">
        <is>
          <t>2026-10-02T22:06:17.356400+00:00</t>
        </is>
      </c>
      <c r="BI662" s="24" t="inlineStr">
        <is>
          <t>["same_event","same_team_same_day","same_league_same_day"]</t>
        </is>
      </c>
      <c r="BJ662" s="25" t="n"/>
      <c r="BK662" s="26" t="n">
        <v>105</v>
      </c>
      <c r="BL662" s="27" t="n">
        <v>2.05</v>
      </c>
      <c r="BM662" s="28" t="n">
        <v>0.487805</v>
      </c>
      <c r="BN662" s="28" t="n"/>
      <c r="BO662" s="28" t="n"/>
      <c r="BP662" s="25" t="n"/>
      <c r="BQ662" s="27" t="n"/>
      <c r="BR662" s="28" t="n"/>
      <c r="BS662" s="28" t="n"/>
      <c r="BT662" s="28" t="n"/>
      <c r="BU662" s="25" t="n"/>
      <c r="BV662" s="29" t="n"/>
      <c r="BW662" s="24" t="n"/>
      <c r="BX662" s="30" t="n"/>
      <c r="BY662" s="27" t="n"/>
      <c r="BZ662" s="24" t="n"/>
      <c r="CA662" s="31" t="n"/>
      <c r="CB662" s="24" t="n"/>
      <c r="CC662" s="24" t="n"/>
      <c r="CD662" s="24" t="n"/>
      <c r="CE662" s="24" t="n"/>
      <c r="CF662" s="24" t="n"/>
      <c r="CG662" s="24" t="n"/>
      <c r="CH662" s="24" t="n"/>
      <c r="CI662" s="24" t="n"/>
      <c r="CJ662" s="24" t="n"/>
      <c r="CK662" s="24" t="n"/>
      <c r="CL662" s="24" t="n"/>
      <c r="CM662" s="24" t="n"/>
      <c r="CN662" s="24" t="n"/>
      <c r="CO662" s="24" t="n"/>
      <c r="CP662" s="24" t="n"/>
      <c r="CQ662" s="24" t="n"/>
      <c r="CR662" s="24" t="n"/>
      <c r="CS662" s="24" t="inlineStr">
        <is>
          <t>True</t>
        </is>
      </c>
      <c r="CT662" s="24" t="n"/>
      <c r="CU662" s="24" t="n"/>
      <c r="CV662" s="24" t="n"/>
      <c r="CW662" s="24" t="n"/>
      <c r="CX662" s="24" t="n"/>
      <c r="CY662" s="24" t="n"/>
      <c r="CZ662" s="24" t="n"/>
      <c r="DA662" s="24" t="n"/>
      <c r="DB662" s="24" t="n"/>
      <c r="DC662" s="24" t="n"/>
      <c r="DD662" s="24" t="n"/>
      <c r="DE662" s="24" t="n"/>
      <c r="DF662" s="24" t="n"/>
      <c r="DG662" s="24" t="n"/>
      <c r="DH662" s="24" t="n"/>
      <c r="DI662" s="24" t="n"/>
      <c r="DJ662" s="24" t="inlineStr">
        <is>
          <t>0.487805</t>
        </is>
      </c>
      <c r="DK662" s="24" t="n"/>
      <c r="DL662" s="24" t="n"/>
      <c r="DM662" s="24" t="n"/>
      <c r="DN662" s="24" t="n"/>
      <c r="DO662" s="24" t="n"/>
      <c r="DP662" s="24" t="n"/>
      <c r="DQ662" s="24" t="inlineStr">
        <is>
          <t>{"artifact_hash": "1d168f11d221cd3c", "event_id": "401858245", "event_start_utc": "2026-10-02T23:00Z", "features": {"altitude_fatigue_penalty": 0.0, "away_team": "Pittsburgh Panthers", "efficiency_gap": -2.032, "elo_away": 1575.2, "elo_home": 1232.1, "elo_home_win_prob": 0.1678, "event_id": "401858245", "game_start_utc": "2026-10-02T23:00Z", "home_field_advantage_points": 2.8, "home_team": "Virginia Tech Hokies", "is_dome": false, "is_fbs_vs_fcs": false, "is_neutral_site": false, "projected_away_points": 33.9, "projected_home_points": 22.6, "projected_margin_home": -11.4, "projected_possessions": 12.4, "projected_total": 56.5, "stadium_elevation_ft": 2080, "travel_distance_miles": 224.0, "uncertainty": 0.18, "weather_total_adjustment": 0.0}, "historical_source_observation_times_verified": false, "inference_inputs": {"engine_source_sha256": "449ba2f0e86fa9c445730076a0e0bf100fb4914620be53c75c6f3bfe24298f3f", "mu_away": 33.9, "mu_home": 22.6,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-2.5, "total_line": 53.5}, "market_type": "moneyline", "model_version": "college-football-v1", "observed_at_utc": "2026-10-02T22:06:17.356400+00:00", "probabilities": {"away": 0.716616, "home": 0.283384}, "replay_scope": "Full precision score means, exact engine parameters and original RNG state; upstream feature construction not certified.", "schema": "cfb-joint-replay-v1", "snapshot_hash": "0ea9208834cfb2776f4432eea6965e4bd89e90846aadf53e3583790eaa34b06f", "sport": "NCAAF"}</t>
        </is>
      </c>
    </row>
    <row r="663" ht="36" customHeight="1">
      <c r="A663" s="24" t="inlineStr">
        <is>
          <t>00a4337959054e9a</t>
        </is>
      </c>
      <c r="B663" s="24" t="inlineStr">
        <is>
          <t>2026-10-02T22:06:17.356400Z</t>
        </is>
      </c>
      <c r="C663" s="24" t="inlineStr">
        <is>
          <t>2026-10-02T23:00Z</t>
        </is>
      </c>
      <c r="D663" s="24" t="inlineStr">
        <is>
          <t>401858245</t>
        </is>
      </c>
      <c r="E663" s="24" t="inlineStr">
        <is>
          <t>NCAAF</t>
        </is>
      </c>
      <c r="F663" s="24" t="inlineStr">
        <is>
          <t>Pittsburgh Panthers</t>
        </is>
      </c>
      <c r="G663" s="24" t="inlineStr">
        <is>
          <t>Virginia Tech Hokies</t>
        </is>
      </c>
      <c r="H663" s="24" t="inlineStr">
        <is>
          <t>spread</t>
        </is>
      </c>
      <c r="I663" s="24" t="inlineStr">
        <is>
          <t>away</t>
        </is>
      </c>
      <c r="J663" s="25" t="n">
        <v>2.5</v>
      </c>
      <c r="K663" s="24" t="inlineStr">
        <is>
          <t>espn_consensus</t>
        </is>
      </c>
      <c r="L663" s="26" t="n">
        <v>-115</v>
      </c>
      <c r="M663" s="27" t="n">
        <v>1.869565</v>
      </c>
      <c r="N663" s="28" t="n">
        <v>0.534884</v>
      </c>
      <c r="O663" s="28" t="n">
        <v>0.7566000000000001</v>
      </c>
      <c r="P663" s="28" t="n">
        <v>0.18</v>
      </c>
      <c r="Q663" s="28" t="n">
        <v>0.221716</v>
      </c>
      <c r="R663" s="26" t="n">
        <v>53</v>
      </c>
      <c r="S663" s="29" t="n">
        <v>1.25</v>
      </c>
      <c r="T663" s="24" t="inlineStr">
        <is>
          <t>cfb-spread-v1</t>
        </is>
      </c>
      <c r="U663" s="24" t="inlineStr">
        <is>
          <t>settled</t>
        </is>
      </c>
      <c r="V663" s="24" t="inlineStr">
        <is>
          <t>win</t>
        </is>
      </c>
      <c r="W663" s="26" t="n">
        <v>35</v>
      </c>
      <c r="X663" s="26" t="n">
        <v>33</v>
      </c>
      <c r="Y663" s="25" t="n"/>
      <c r="Z663" s="26" t="n"/>
      <c r="AA663" s="28" t="n"/>
      <c r="AB663" s="28" t="n"/>
      <c r="AC663" s="30" t="n">
        <v>1.087</v>
      </c>
      <c r="AD663" s="24" t="inlineStr">
        <is>
          <t>2026-10-03T04:30:19.559755Z</t>
        </is>
      </c>
      <c r="AE663" s="31" t="inlineStr">
        <is>
          <t>Projected home margin -11.4 pts. Spread: Home -2.5 / Away +2.5 -&gt; P(Away cover)=0.757, P(Home cover)=0.243, P(Push)=0.000.</t>
        </is>
      </c>
      <c r="AF663" s="31" t="inlineStr">
        <is>
          <t>College football model; multi-market (moneyline, spread, total).</t>
        </is>
      </c>
      <c r="AG663" s="24" t="inlineStr">
        <is>
          <t>not_applicable</t>
        </is>
      </c>
      <c r="AH663" s="24" t="n"/>
      <c r="AI663" s="31" t="n"/>
      <c r="AJ663" s="31" t="n"/>
      <c r="AK663" s="24" t="inlineStr">
        <is>
          <t>model_qualified</t>
        </is>
      </c>
      <c r="AL663" s="26" t="n">
        <v>4</v>
      </c>
      <c r="AM663" s="24" t="inlineStr">
        <is>
          <t>QUALIFIED_SHADOW_CALL</t>
        </is>
      </c>
      <c r="AN663" s="24" t="inlineStr">
        <is>
          <t>CALL</t>
        </is>
      </c>
      <c r="AO663" s="24" t="inlineStr">
        <is>
          <t>QUALIFIED</t>
        </is>
      </c>
      <c r="AP663" s="24" t="inlineStr">
        <is>
          <t>Pittsburgh Panthers</t>
        </is>
      </c>
      <c r="AQ663" s="24" t="inlineStr">
        <is>
          <t>Pittsburgh Panthers</t>
        </is>
      </c>
      <c r="AR663" s="24" t="inlineStr">
        <is>
          <t>Pittsburgh Panthers</t>
        </is>
      </c>
      <c r="AS663" s="24" t="inlineStr">
        <is>
          <t>Virginia Tech Hokies</t>
        </is>
      </c>
      <c r="AT663" s="24" t="inlineStr">
        <is>
          <t>Virginia Tech Hokies</t>
        </is>
      </c>
      <c r="AU663" s="24" t="inlineStr">
        <is>
          <t>Virginia Tech Hokies</t>
        </is>
      </c>
      <c r="AV663" s="24" t="n"/>
      <c r="AW663" s="24" t="n"/>
      <c r="AX663" s="24" t="inlineStr">
        <is>
          <t>statistical_model</t>
        </is>
      </c>
      <c r="AY663" s="24" t="n"/>
      <c r="AZ663" s="24" t="inlineStr">
        <is>
          <t>shadow_qualified</t>
        </is>
      </c>
      <c r="BA663" s="24" t="inlineStr">
        <is>
          <t>1d168f11d221cd3c</t>
        </is>
      </c>
      <c r="BB663" s="24" t="inlineStr">
        <is>
          <t>cfb_key_number_engine</t>
        </is>
      </c>
      <c r="BC663" s="24" t="inlineStr">
        <is>
          <t>cfb-spread-v1</t>
        </is>
      </c>
      <c r="BD663" s="24" t="inlineStr">
        <is>
          <t>1d168f11d221cd3c</t>
        </is>
      </c>
      <c r="BE663" s="24" t="inlineStr">
        <is>
          <t>cfb-v1</t>
        </is>
      </c>
      <c r="BF663" s="24" t="inlineStr">
        <is>
          <t>1</t>
        </is>
      </c>
      <c r="BG663" s="24" t="inlineStr">
        <is>
          <t>1d168f11d221cd3c</t>
        </is>
      </c>
      <c r="BH663" s="24" t="inlineStr">
        <is>
          <t>2026-10-02T22:06:17.356400+00:00</t>
        </is>
      </c>
      <c r="BI663" s="24" t="inlineStr">
        <is>
          <t>["same_event","same_team_same_day","same_league_same_day"]</t>
        </is>
      </c>
      <c r="BJ663" s="25" t="n">
        <v>2.5</v>
      </c>
      <c r="BK663" s="26" t="n">
        <v>-115</v>
      </c>
      <c r="BL663" s="27" t="n">
        <v>1.869565</v>
      </c>
      <c r="BM663" s="28" t="n">
        <v>0.534884</v>
      </c>
      <c r="BN663" s="28" t="n"/>
      <c r="BO663" s="28" t="n"/>
      <c r="BP663" s="25" t="n"/>
      <c r="BQ663" s="27" t="n"/>
      <c r="BR663" s="28" t="n"/>
      <c r="BS663" s="28" t="n"/>
      <c r="BT663" s="28" t="n"/>
      <c r="BU663" s="25" t="n"/>
      <c r="BV663" s="29" t="n"/>
      <c r="BW663" s="24" t="n"/>
      <c r="BX663" s="30" t="n"/>
      <c r="BY663" s="27" t="n"/>
      <c r="BZ663" s="24" t="n"/>
      <c r="CA663" s="31" t="n"/>
      <c r="CB663" s="24" t="n"/>
      <c r="CC663" s="24" t="n"/>
      <c r="CD663" s="24" t="n"/>
      <c r="CE663" s="24" t="n"/>
      <c r="CF663" s="24" t="n"/>
      <c r="CG663" s="24" t="n"/>
      <c r="CH663" s="24" t="n"/>
      <c r="CI663" s="24" t="n"/>
      <c r="CJ663" s="24" t="n"/>
      <c r="CK663" s="24" t="n"/>
      <c r="CL663" s="24" t="n"/>
      <c r="CM663" s="24" t="n"/>
      <c r="CN663" s="24" t="n"/>
      <c r="CO663" s="24" t="n"/>
      <c r="CP663" s="24" t="n"/>
      <c r="CQ663" s="24" t="n"/>
      <c r="CR663" s="24" t="n"/>
      <c r="CS663" s="24" t="inlineStr">
        <is>
          <t>True</t>
        </is>
      </c>
      <c r="CT663" s="24" t="n"/>
      <c r="CU663" s="24" t="n"/>
      <c r="CV663" s="24" t="n"/>
      <c r="CW663" s="24" t="n"/>
      <c r="CX663" s="24" t="n"/>
      <c r="CY663" s="24" t="n"/>
      <c r="CZ663" s="24" t="n"/>
      <c r="DA663" s="24" t="n"/>
      <c r="DB663" s="24" t="n"/>
      <c r="DC663" s="24" t="n"/>
      <c r="DD663" s="24" t="n"/>
      <c r="DE663" s="24" t="n"/>
      <c r="DF663" s="24" t="n"/>
      <c r="DG663" s="24" t="n"/>
      <c r="DH663" s="24" t="n"/>
      <c r="DI663" s="24" t="n"/>
      <c r="DJ663" s="24" t="inlineStr">
        <is>
          <t>0.534884</t>
        </is>
      </c>
      <c r="DK663" s="24" t="n"/>
      <c r="DL663" s="24" t="n"/>
      <c r="DM663" s="24" t="n"/>
      <c r="DN663" s="24" t="n"/>
      <c r="DO663" s="24" t="n"/>
      <c r="DP663" s="24" t="n"/>
      <c r="DQ663" s="24" t="inlineStr">
        <is>
          <t>{"artifact_hash": "1d168f11d221cd3c", "event_id": "401858245", "event_start_utc": "2026-10-02T23:00Z", "features": {"altitude_fatigue_penalty": 0.0, "away_team": "Pittsburgh Panthers", "efficiency_gap": -2.032, "elo_away": 1575.2, "elo_home": 1232.1, "elo_home_win_prob": 0.1678, "event_id": "401858245", "game_start_utc": "2026-10-02T23:00Z", "home_field_advantage_points": 2.8, "home_team": "Virginia Tech Hokies", "is_dome": false, "is_fbs_vs_fcs": false, "is_neutral_site": false, "projected_away_points": 33.9, "projected_home_points": 22.6, "projected_margin_home": -11.4, "projected_possessions": 12.4, "projected_total": 56.5, "stadium_elevation_ft": 2080, "travel_distance_miles": 224.0, "uncertainty": 0.18, "weather_total_adjustment": 0.0}, "historical_source_observation_times_verified": false, "inference_inputs": {"engine_source_sha256": "449ba2f0e86fa9c445730076a0e0bf100fb4914620be53c75c6f3bfe24298f3f", "mu_away": 33.9, "mu_home": 22.6,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-2.5, "total_line": 53.5}, "market_type": "spread", "model_version": "cfb-spread-v1", "observed_at_utc": "2026-10-02T22:06:17.356400+00:00", "probabilities": {"away": 0.7566, "home": 0.2434, "push": 0.0}, "replay_scope": "Full precision score means, exact engine parameters and original RNG state; upstream feature construction not certified.", "schema": "cfb-joint-replay-v1", "snapshot_hash": "1bda0dc8a62ef0d81e61f23465600772f6f940f073ac3cf32ed4e69cb1ee17a9", "sport": "NCAAF"}</t>
        </is>
      </c>
    </row>
    <row r="664" ht="36" customHeight="1">
      <c r="A664" s="24" t="inlineStr">
        <is>
          <t>b09dad38524c4f65</t>
        </is>
      </c>
      <c r="B664" s="24" t="inlineStr">
        <is>
          <t>2026-10-02T22:06:17.356400Z</t>
        </is>
      </c>
      <c r="C664" s="24" t="inlineStr">
        <is>
          <t>2026-10-02T23:00Z</t>
        </is>
      </c>
      <c r="D664" s="24" t="inlineStr">
        <is>
          <t>401858245</t>
        </is>
      </c>
      <c r="E664" s="24" t="inlineStr">
        <is>
          <t>NCAAF</t>
        </is>
      </c>
      <c r="F664" s="24" t="inlineStr">
        <is>
          <t>Pittsburgh Panthers</t>
        </is>
      </c>
      <c r="G664" s="24" t="inlineStr">
        <is>
          <t>Virginia Tech Hokies</t>
        </is>
      </c>
      <c r="H664" s="24" t="inlineStr">
        <is>
          <t>total</t>
        </is>
      </c>
      <c r="I664" s="24" t="inlineStr">
        <is>
          <t>over</t>
        </is>
      </c>
      <c r="J664" s="25" t="n">
        <v>53.5</v>
      </c>
      <c r="K664" s="24" t="inlineStr">
        <is>
          <t>espn_consensus</t>
        </is>
      </c>
      <c r="L664" s="26" t="n">
        <v>-115</v>
      </c>
      <c r="M664" s="27" t="n">
        <v>1.869565</v>
      </c>
      <c r="N664" s="28" t="n">
        <v>0.534884</v>
      </c>
      <c r="O664" s="28" t="n">
        <v>0.517</v>
      </c>
      <c r="P664" s="28" t="n">
        <v>0.18</v>
      </c>
      <c r="Q664" s="28" t="n">
        <v>-0.017884</v>
      </c>
      <c r="R664" s="26" t="n">
        <v>0</v>
      </c>
      <c r="S664" s="29" t="n">
        <v>1</v>
      </c>
      <c r="T664" s="24" t="inlineStr">
        <is>
          <t>cfb-total-v1</t>
        </is>
      </c>
      <c r="U664" s="24" t="inlineStr">
        <is>
          <t>settled</t>
        </is>
      </c>
      <c r="V664" s="24" t="inlineStr">
        <is>
          <t>win</t>
        </is>
      </c>
      <c r="W664" s="26" t="n">
        <v>35</v>
      </c>
      <c r="X664" s="26" t="n">
        <v>33</v>
      </c>
      <c r="Y664" s="25" t="n"/>
      <c r="Z664" s="26" t="n"/>
      <c r="AA664" s="28" t="n"/>
      <c r="AB664" s="28" t="n"/>
      <c r="AC664" s="30" t="n">
        <v>0.8696</v>
      </c>
      <c r="AD664" s="24" t="inlineStr">
        <is>
          <t>2026-10-03T04:30:20.099179Z</t>
        </is>
      </c>
      <c r="AE664" s="31" t="inlineStr">
        <is>
          <t>Projected total 56.5 pts (Weather adj: +0.0 pts). Total line 53.5 -&gt; P(Over)=0.517, P(Under)=0.483, P(Push)=0.000.</t>
        </is>
      </c>
      <c r="AF664" s="31" t="inlineStr">
        <is>
          <t>College football model; multi-market (moneyline, spread, total).</t>
        </is>
      </c>
      <c r="AG664" s="24" t="inlineStr">
        <is>
          <t>not_applicable</t>
        </is>
      </c>
      <c r="AH664" s="24" t="n"/>
      <c r="AI664" s="31" t="n"/>
      <c r="AJ664" s="31" t="n"/>
      <c r="AK664" s="24" t="inlineStr">
        <is>
          <t>paper_call</t>
        </is>
      </c>
      <c r="AL664" s="26" t="n">
        <v>4</v>
      </c>
      <c r="AM664" s="24" t="inlineStr">
        <is>
          <t>RESEARCH_OBSERVATION</t>
        </is>
      </c>
      <c r="AN664" s="24" t="inlineStr">
        <is>
          <t>CALL</t>
        </is>
      </c>
      <c r="AO664" s="24" t="inlineStr">
        <is>
          <t>PAPER_CALL_LOW_EDGE</t>
        </is>
      </c>
      <c r="AP664" s="24" t="inlineStr">
        <is>
          <t>Pittsburgh Panthers</t>
        </is>
      </c>
      <c r="AQ664" s="24" t="inlineStr">
        <is>
          <t>Pittsburgh Panthers</t>
        </is>
      </c>
      <c r="AR664" s="24" t="inlineStr">
        <is>
          <t>Pittsburgh Panthers</t>
        </is>
      </c>
      <c r="AS664" s="24" t="inlineStr">
        <is>
          <t>Virginia Tech Hokies</t>
        </is>
      </c>
      <c r="AT664" s="24" t="inlineStr">
        <is>
          <t>Virginia Tech Hokies</t>
        </is>
      </c>
      <c r="AU664" s="24" t="inlineStr">
        <is>
          <t>Virginia Tech Hokies</t>
        </is>
      </c>
      <c r="AV664" s="24" t="n"/>
      <c r="AW664" s="24" t="n"/>
      <c r="AX664" s="24" t="inlineStr">
        <is>
          <t>statistical_model</t>
        </is>
      </c>
      <c r="AY664" s="24" t="n"/>
      <c r="AZ664" s="24" t="inlineStr">
        <is>
          <t>shadow_qualified</t>
        </is>
      </c>
      <c r="BA664" s="24" t="inlineStr">
        <is>
          <t>1d168f11d221cd3c</t>
        </is>
      </c>
      <c r="BB664" s="24" t="inlineStr">
        <is>
          <t>cfb_key_number_engine</t>
        </is>
      </c>
      <c r="BC664" s="24" t="inlineStr">
        <is>
          <t>cfb-total-v1</t>
        </is>
      </c>
      <c r="BD664" s="24" t="inlineStr">
        <is>
          <t>1d168f11d221cd3c</t>
        </is>
      </c>
      <c r="BE664" s="24" t="inlineStr">
        <is>
          <t>cfb-v1</t>
        </is>
      </c>
      <c r="BF664" s="24" t="inlineStr">
        <is>
          <t>1</t>
        </is>
      </c>
      <c r="BG664" s="24" t="inlineStr">
        <is>
          <t>1d168f11d221cd3c</t>
        </is>
      </c>
      <c r="BH664" s="24" t="inlineStr">
        <is>
          <t>2026-10-02T22:06:17.356400+00:00</t>
        </is>
      </c>
      <c r="BI664" s="24" t="inlineStr">
        <is>
          <t>["same_event","same_team_same_day","same_league_same_day"]</t>
        </is>
      </c>
      <c r="BJ664" s="25" t="n">
        <v>53.5</v>
      </c>
      <c r="BK664" s="26" t="n">
        <v>-115</v>
      </c>
      <c r="BL664" s="27" t="n">
        <v>1.869565</v>
      </c>
      <c r="BM664" s="28" t="n">
        <v>0.534884</v>
      </c>
      <c r="BN664" s="28" t="n"/>
      <c r="BO664" s="28" t="n"/>
      <c r="BP664" s="25" t="n"/>
      <c r="BQ664" s="27" t="n"/>
      <c r="BR664" s="28" t="n"/>
      <c r="BS664" s="28" t="n"/>
      <c r="BT664" s="28" t="n"/>
      <c r="BU664" s="25" t="n"/>
      <c r="BV664" s="29" t="n"/>
      <c r="BW664" s="24" t="n"/>
      <c r="BX664" s="30" t="n">
        <v>1</v>
      </c>
      <c r="BY664" s="27" t="n">
        <v>0.869565</v>
      </c>
      <c r="BZ664" s="24" t="inlineStr">
        <is>
          <t>2026-10-03T04:30:20.099179Z</t>
        </is>
      </c>
      <c r="CA664" s="31" t="inlineStr">
        <is>
          <t>fixed one-unit hypothetical scoring; no real exposure or execution</t>
        </is>
      </c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inlineStr">
        <is>
          <t>False</t>
        </is>
      </c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n"/>
      <c r="DE664" s="24" t="n"/>
      <c r="DF664" s="24" t="n"/>
      <c r="DG664" s="24" t="n"/>
      <c r="DH664" s="24" t="n"/>
      <c r="DI664" s="24" t="n"/>
      <c r="DJ664" s="24" t="inlineStr">
        <is>
          <t>0.534884</t>
        </is>
      </c>
      <c r="DK664" s="24" t="n"/>
      <c r="DL664" s="24" t="n"/>
      <c r="DM664" s="24" t="n"/>
      <c r="DN664" s="24" t="n"/>
      <c r="DO664" s="24" t="n"/>
      <c r="DP664" s="24" t="n"/>
      <c r="DQ664" s="24" t="inlineStr">
        <is>
          <t>{"artifact_hash": "1d168f11d221cd3c", "event_id": "401858245", "event_start_utc": "2026-10-02T23:00Z", "features": {"altitude_fatigue_penalty": 0.0, "away_team": "Pittsburgh Panthers", "efficiency_gap": -2.032, "elo_away": 1575.2, "elo_home": 1232.1, "elo_home_win_prob": 0.1678, "event_id": "401858245", "game_start_utc": "2026-10-02T23:00Z", "home_field_advantage_points": 2.8, "home_team": "Virginia Tech Hokies", "is_dome": false, "is_fbs_vs_fcs": false, "is_neutral_site": false, "projected_away_points": 33.9, "projected_home_points": 22.6, "projected_margin_home": -11.4, "projected_possessions": 12.4, "projected_total": 56.5, "stadium_elevation_ft": 2080, "travel_distance_miles": 224.0, "uncertainty": 0.18, "weather_total_adjustment": 0.0}, "historical_source_observation_times_verified": false, "inference_inputs": {"engine_source_sha256": "449ba2f0e86fa9c445730076a0e0bf100fb4914620be53c75c6f3bfe24298f3f", "mu_away": 33.9, "mu_home": 22.6,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-2.5, "total_line": 53.5}, "market_type": "total", "model_version": "cfb-total-v1", "observed_at_utc": "2026-10-02T22:06:17.356400+00:00", "probabilities": {"over": 0.517, "push": 0.0, "under": 0.483}, "replay_scope": "Full precision score means, exact engine parameters and original RNG state; upstream feature construction not certified.", "schema": "cfb-joint-replay-v1", "snapshot_hash": "dea0733cef2baafc2adaa3af588be2b995fd872c13be9d5b0a8f42b71ab0ab18", "sport": "NCAAF"}</t>
        </is>
      </c>
    </row>
    <row r="665" ht="36" customHeight="1">
      <c r="A665" s="24" t="inlineStr">
        <is>
          <t>537ba1b4a4d440c4</t>
        </is>
      </c>
      <c r="B665" s="24" t="inlineStr">
        <is>
          <t>2026-10-02T22:06:17.356400Z</t>
        </is>
      </c>
      <c r="C665" s="24" t="inlineStr">
        <is>
          <t>2026-10-02T23:00Z</t>
        </is>
      </c>
      <c r="D665" s="24" t="inlineStr">
        <is>
          <t>401871050</t>
        </is>
      </c>
      <c r="E665" s="24" t="inlineStr">
        <is>
          <t>NCAAF</t>
        </is>
      </c>
      <c r="F665" s="24" t="inlineStr">
        <is>
          <t>Liberty Flames</t>
        </is>
      </c>
      <c r="G665" s="24" t="inlineStr">
        <is>
          <t>Delaware Blue Hens</t>
        </is>
      </c>
      <c r="H665" s="24" t="inlineStr">
        <is>
          <t>moneyline</t>
        </is>
      </c>
      <c r="I665" s="24" t="inlineStr">
        <is>
          <t>home</t>
        </is>
      </c>
      <c r="J665" s="25" t="n"/>
      <c r="K665" s="24" t="inlineStr">
        <is>
          <t>espn_consensus</t>
        </is>
      </c>
      <c r="L665" s="26" t="n">
        <v>220</v>
      </c>
      <c r="M665" s="27" t="n">
        <v>3.2</v>
      </c>
      <c r="N665" s="28" t="n">
        <v>0.3125</v>
      </c>
      <c r="O665" s="28" t="n">
        <v>0.558173</v>
      </c>
      <c r="P665" s="28" t="n">
        <v>0.18</v>
      </c>
      <c r="Q665" s="28" t="n">
        <v>0.245673</v>
      </c>
      <c r="R665" s="26" t="n">
        <v>65</v>
      </c>
      <c r="S665" s="29" t="n">
        <v>1.5</v>
      </c>
      <c r="T665" s="24" t="inlineStr">
        <is>
          <t>college-football-v1</t>
        </is>
      </c>
      <c r="U665" s="24" t="inlineStr">
        <is>
          <t>settled</t>
        </is>
      </c>
      <c r="V665" s="24" t="inlineStr">
        <is>
          <t>loss</t>
        </is>
      </c>
      <c r="W665" s="26" t="n">
        <v>30</v>
      </c>
      <c r="X665" s="26" t="n">
        <v>14</v>
      </c>
      <c r="Y665" s="25" t="n"/>
      <c r="Z665" s="26" t="n"/>
      <c r="AA665" s="28" t="n"/>
      <c r="AB665" s="28" t="n"/>
      <c r="AC665" s="30" t="n">
        <v>-1.5</v>
      </c>
      <c r="AD665" s="24" t="inlineStr">
        <is>
          <t>2026-10-03T04:30:20.657137Z</t>
        </is>
      </c>
      <c r="AE665" s="31" t="inlineStr">
        <is>
          <t>CFB Joint Model (negative_binomial): proj score Liberty Flames 24.6 @ Delaware Blue Hens 27.4 (Margin +2.8). Possessions: 12.4, HFA: +2.8 pts.</t>
        </is>
      </c>
      <c r="AF665" s="31" t="inlineStr">
        <is>
          <t>College football model; multi-market (moneyline, spread, total).</t>
        </is>
      </c>
      <c r="AG665" s="24" t="inlineStr">
        <is>
          <t>review_required</t>
        </is>
      </c>
      <c r="AH665" s="24" t="n"/>
      <c r="AI665" s="31" t="n"/>
      <c r="AJ665" s="31" t="n"/>
      <c r="AK665" s="24" t="inlineStr">
        <is>
          <t>model_qualified</t>
        </is>
      </c>
      <c r="AL665" s="26" t="n">
        <v>4</v>
      </c>
      <c r="AM665" s="24" t="inlineStr">
        <is>
          <t>QUALIFIED_SHADOW_CALL</t>
        </is>
      </c>
      <c r="AN665" s="24" t="inlineStr">
        <is>
          <t>CALL</t>
        </is>
      </c>
      <c r="AO665" s="24" t="inlineStr">
        <is>
          <t>QUALIFIED</t>
        </is>
      </c>
      <c r="AP665" s="24" t="inlineStr">
        <is>
          <t>Liberty Flames</t>
        </is>
      </c>
      <c r="AQ665" s="24" t="inlineStr">
        <is>
          <t>Liberty Flames</t>
        </is>
      </c>
      <c r="AR665" s="24" t="inlineStr">
        <is>
          <t>Liberty Flames</t>
        </is>
      </c>
      <c r="AS665" s="24" t="inlineStr">
        <is>
          <t>Delaware Blue Hens</t>
        </is>
      </c>
      <c r="AT665" s="24" t="inlineStr">
        <is>
          <t>Delaware Blue Hens</t>
        </is>
      </c>
      <c r="AU665" s="24" t="inlineStr">
        <is>
          <t>Delaware Blue Hens</t>
        </is>
      </c>
      <c r="AV665" s="24" t="n"/>
      <c r="AW665" s="24" t="n"/>
      <c r="AX665" s="24" t="inlineStr">
        <is>
          <t>statistical_model</t>
        </is>
      </c>
      <c r="AY665" s="24" t="n"/>
      <c r="AZ665" s="24" t="inlineStr">
        <is>
          <t>shadow_qualified</t>
        </is>
      </c>
      <c r="BA665" s="24" t="inlineStr">
        <is>
          <t>1d168f11d221cd3c</t>
        </is>
      </c>
      <c r="BB665" s="24" t="inlineStr">
        <is>
          <t>cfb_key_number_engine</t>
        </is>
      </c>
      <c r="BC665" s="24" t="inlineStr">
        <is>
          <t>college-football-v1</t>
        </is>
      </c>
      <c r="BD665" s="24" t="inlineStr">
        <is>
          <t>1d168f11d221cd3c</t>
        </is>
      </c>
      <c r="BE665" s="24" t="inlineStr">
        <is>
          <t>cfb-v1</t>
        </is>
      </c>
      <c r="BF665" s="24" t="inlineStr">
        <is>
          <t>1</t>
        </is>
      </c>
      <c r="BG665" s="24" t="inlineStr">
        <is>
          <t>1d168f11d221cd3c</t>
        </is>
      </c>
      <c r="BH665" s="24" t="inlineStr">
        <is>
          <t>2026-10-02T22:06:17.356400+00:00</t>
        </is>
      </c>
      <c r="BI665" s="24" t="inlineStr">
        <is>
          <t>["same_event","same_team_same_day","same_league_same_day"]</t>
        </is>
      </c>
      <c r="BJ665" s="25" t="n"/>
      <c r="BK665" s="26" t="n">
        <v>220</v>
      </c>
      <c r="BL665" s="27" t="n">
        <v>3.2</v>
      </c>
      <c r="BM665" s="28" t="n">
        <v>0.3125</v>
      </c>
      <c r="BN665" s="28" t="n"/>
      <c r="BO665" s="28" t="n"/>
      <c r="BP665" s="25" t="n"/>
      <c r="BQ665" s="27" t="n"/>
      <c r="BR665" s="28" t="n"/>
      <c r="BS665" s="28" t="n"/>
      <c r="BT665" s="28" t="n"/>
      <c r="BU665" s="25" t="n"/>
      <c r="BV665" s="29" t="n"/>
      <c r="BW665" s="24" t="n"/>
      <c r="BX665" s="30" t="n"/>
      <c r="BY665" s="27" t="n"/>
      <c r="BZ665" s="24" t="n"/>
      <c r="CA665" s="31" t="n"/>
      <c r="CB665" s="24" t="n"/>
      <c r="CC665" s="24" t="n"/>
      <c r="CD665" s="24" t="n"/>
      <c r="CE665" s="24" t="n"/>
      <c r="CF665" s="24" t="n"/>
      <c r="CG665" s="24" t="n"/>
      <c r="CH665" s="24" t="n"/>
      <c r="CI665" s="24" t="n"/>
      <c r="CJ665" s="24" t="n"/>
      <c r="CK665" s="24" t="n"/>
      <c r="CL665" s="24" t="n"/>
      <c r="CM665" s="24" t="n"/>
      <c r="CN665" s="24" t="n"/>
      <c r="CO665" s="24" t="n"/>
      <c r="CP665" s="24" t="n"/>
      <c r="CQ665" s="24" t="n"/>
      <c r="CR665" s="24" t="n"/>
      <c r="CS665" s="24" t="inlineStr">
        <is>
          <t>True</t>
        </is>
      </c>
      <c r="CT665" s="24" t="n"/>
      <c r="CU665" s="24" t="n"/>
      <c r="CV665" s="24" t="n"/>
      <c r="CW665" s="24" t="n"/>
      <c r="CX665" s="24" t="n"/>
      <c r="CY665" s="24" t="n"/>
      <c r="CZ665" s="24" t="n"/>
      <c r="DA665" s="24" t="n"/>
      <c r="DB665" s="24" t="n"/>
      <c r="DC665" s="24" t="n"/>
      <c r="DD665" s="24" t="n"/>
      <c r="DE665" s="24" t="n"/>
      <c r="DF665" s="24" t="n"/>
      <c r="DG665" s="24" t="n"/>
      <c r="DH665" s="24" t="n"/>
      <c r="DI665" s="24" t="n"/>
      <c r="DJ665" s="24" t="inlineStr">
        <is>
          <t>0.3125</t>
        </is>
      </c>
      <c r="DK665" s="24" t="n"/>
      <c r="DL665" s="24" t="n"/>
      <c r="DM665" s="24" t="n"/>
      <c r="DN665" s="24" t="n"/>
      <c r="DO665" s="24" t="n"/>
      <c r="DP665" s="24" t="n"/>
      <c r="DQ665" s="24" t="inlineStr">
        <is>
          <t>{"artifact_hash": "1d168f11d221cd3c", "event_id": "401871050", "event_start_utc": "2026-10-02T23:00Z", "features": {"altitude_fatigue_penalty": 0.0, "away_team": "Liberty Flames", "efficiency_gap": 0.0, "elo_away": 1384.7, "elo_home": 1388.3, "elo_home_win_prob": 0.5975, "event_id": "401871050", "game_start_utc": "2026-10-02T23:00Z", "home_field_advantage_points": 2.8, "home_team": "Delaware Blue Hens", "is_dome": false, "is_fbs_vs_fcs": false, "is_neutral_site": false, "projected_away_points": 24.6, "projected_home_points": 27.4, "projected_margin_home": 2.8, "projected_possessions": 12.4, "projected_total": 52.0, "stadium_elevation_ft": 90, "travel_distance_miles": 244.0, "uncertainty": 0.18, "weather_total_adjustment": 0.0}, "historical_source_observation_times_verified": false, "inference_inputs": {"engine_source_sha256": "449ba2f0e86fa9c445730076a0e0bf100fb4914620be53c75c6f3bfe24298f3f", "mu_away": 24.6,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137013743428843572070106082173847332122}, "uinteger": 0}, "spread_home_line": 7.0, "total_line": 51.5}, "market_type": "moneyline", "model_version": "college-football-v1", "observed_at_utc": "2026-10-02T22:06:17.356400+00:00", "probabilities": {"away": 0.441827, "home": 0.558173}, "replay_scope": "Full precision score means, exact engine parameters and original RNG state; upstream feature construction not certified.", "schema": "cfb-joint-replay-v1", "snapshot_hash": "8b8066f81cc74aa06489a6b714a3cdf46b46698524b5b6afa091b15bffef4085", "sport": "NCAAF"}</t>
        </is>
      </c>
    </row>
    <row r="666" ht="36" customHeight="1">
      <c r="A666" s="24" t="inlineStr">
        <is>
          <t>739ee2a9cf9d409d</t>
        </is>
      </c>
      <c r="B666" s="24" t="inlineStr">
        <is>
          <t>2026-10-02T22:06:17.356400Z</t>
        </is>
      </c>
      <c r="C666" s="24" t="inlineStr">
        <is>
          <t>2026-10-02T23:00Z</t>
        </is>
      </c>
      <c r="D666" s="24" t="inlineStr">
        <is>
          <t>401871050</t>
        </is>
      </c>
      <c r="E666" s="24" t="inlineStr">
        <is>
          <t>NCAAF</t>
        </is>
      </c>
      <c r="F666" s="24" t="inlineStr">
        <is>
          <t>Liberty Flames</t>
        </is>
      </c>
      <c r="G666" s="24" t="inlineStr">
        <is>
          <t>Delaware Blue Hens</t>
        </is>
      </c>
      <c r="H666" s="24" t="inlineStr">
        <is>
          <t>spread</t>
        </is>
      </c>
      <c r="I666" s="24" t="inlineStr">
        <is>
          <t>home</t>
        </is>
      </c>
      <c r="J666" s="25" t="n">
        <v>7</v>
      </c>
      <c r="K666" s="24" t="inlineStr">
        <is>
          <t>espn_consensus</t>
        </is>
      </c>
      <c r="L666" s="26" t="n">
        <v>-112</v>
      </c>
      <c r="M666" s="27" t="n">
        <v>1.892857</v>
      </c>
      <c r="N666" s="28" t="n">
        <v>0.528302</v>
      </c>
      <c r="O666" s="28" t="n">
        <v>0.685867</v>
      </c>
      <c r="P666" s="28" t="n">
        <v>0.18</v>
      </c>
      <c r="Q666" s="28" t="n">
        <v>0.157565</v>
      </c>
      <c r="R666" s="26" t="n">
        <v>21</v>
      </c>
      <c r="S666" s="29" t="n">
        <v>1</v>
      </c>
      <c r="T666" s="24" t="inlineStr">
        <is>
          <t>cfb-spread-v1</t>
        </is>
      </c>
      <c r="U666" s="24" t="inlineStr">
        <is>
          <t>settled</t>
        </is>
      </c>
      <c r="V666" s="24" t="inlineStr">
        <is>
          <t>loss</t>
        </is>
      </c>
      <c r="W666" s="26" t="n">
        <v>30</v>
      </c>
      <c r="X666" s="26" t="n">
        <v>14</v>
      </c>
      <c r="Y666" s="25" t="n"/>
      <c r="Z666" s="26" t="n"/>
      <c r="AA666" s="28" t="n"/>
      <c r="AB666" s="28" t="n"/>
      <c r="AC666" s="30" t="n">
        <v>-1</v>
      </c>
      <c r="AD666" s="24" t="inlineStr">
        <is>
          <t>2026-10-03T04:30:21.198721Z</t>
        </is>
      </c>
      <c r="AE666" s="31" t="inlineStr">
        <is>
          <t>Projected home margin +2.8 pts. Spread: Home +7.0 / Away -7.0 -&gt; P(Away cover)=0.298, P(Home cover)=0.686, P(Push)=0.016.</t>
        </is>
      </c>
      <c r="AF666" s="31" t="inlineStr">
        <is>
          <t>College football model; multi-market (moneyline, spread, total).</t>
        </is>
      </c>
      <c r="AG666" s="24" t="inlineStr">
        <is>
          <t>review_required</t>
        </is>
      </c>
      <c r="AH666" s="24" t="n"/>
      <c r="AI666" s="31" t="n"/>
      <c r="AJ666" s="31" t="n"/>
      <c r="AK666" s="24" t="inlineStr">
        <is>
          <t>model_qualified</t>
        </is>
      </c>
      <c r="AL666" s="26" t="n">
        <v>4</v>
      </c>
      <c r="AM666" s="24" t="inlineStr">
        <is>
          <t>QUALIFIED_SHADOW_CALL</t>
        </is>
      </c>
      <c r="AN666" s="24" t="inlineStr">
        <is>
          <t>CALL</t>
        </is>
      </c>
      <c r="AO666" s="24" t="inlineStr">
        <is>
          <t>QUALIFIED</t>
        </is>
      </c>
      <c r="AP666" s="24" t="inlineStr">
        <is>
          <t>Liberty Flames</t>
        </is>
      </c>
      <c r="AQ666" s="24" t="inlineStr">
        <is>
          <t>Liberty Flames</t>
        </is>
      </c>
      <c r="AR666" s="24" t="inlineStr">
        <is>
          <t>Liberty Flames</t>
        </is>
      </c>
      <c r="AS666" s="24" t="inlineStr">
        <is>
          <t>Delaware Blue Hens</t>
        </is>
      </c>
      <c r="AT666" s="24" t="inlineStr">
        <is>
          <t>Delaware Blue Hens</t>
        </is>
      </c>
      <c r="AU666" s="24" t="inlineStr">
        <is>
          <t>Delaware Blue Hens</t>
        </is>
      </c>
      <c r="AV666" s="24" t="n"/>
      <c r="AW666" s="24" t="n"/>
      <c r="AX666" s="24" t="inlineStr">
        <is>
          <t>statistical_model</t>
        </is>
      </c>
      <c r="AY666" s="24" t="n"/>
      <c r="AZ666" s="24" t="inlineStr">
        <is>
          <t>shadow_qualified</t>
        </is>
      </c>
      <c r="BA666" s="24" t="inlineStr">
        <is>
          <t>1d168f11d221cd3c</t>
        </is>
      </c>
      <c r="BB666" s="24" t="inlineStr">
        <is>
          <t>cfb_key_number_engine</t>
        </is>
      </c>
      <c r="BC666" s="24" t="inlineStr">
        <is>
          <t>cfb-spread-v1</t>
        </is>
      </c>
      <c r="BD666" s="24" t="inlineStr">
        <is>
          <t>1d168f11d221cd3c</t>
        </is>
      </c>
      <c r="BE666" s="24" t="inlineStr">
        <is>
          <t>cfb-v1</t>
        </is>
      </c>
      <c r="BF666" s="24" t="inlineStr">
        <is>
          <t>1</t>
        </is>
      </c>
      <c r="BG666" s="24" t="inlineStr">
        <is>
          <t>1d168f11d221cd3c</t>
        </is>
      </c>
      <c r="BH666" s="24" t="inlineStr">
        <is>
          <t>2026-10-02T22:06:17.356400+00:00</t>
        </is>
      </c>
      <c r="BI666" s="24" t="inlineStr">
        <is>
          <t>["same_event","same_team_same_day","same_league_same_day"]</t>
        </is>
      </c>
      <c r="BJ666" s="25" t="n">
        <v>7</v>
      </c>
      <c r="BK666" s="26" t="n">
        <v>-112</v>
      </c>
      <c r="BL666" s="27" t="n">
        <v>1.892857</v>
      </c>
      <c r="BM666" s="28" t="n">
        <v>0.528302</v>
      </c>
      <c r="BN666" s="28" t="n"/>
      <c r="BO666" s="28" t="n"/>
      <c r="BP666" s="25" t="n"/>
      <c r="BQ666" s="27" t="n"/>
      <c r="BR666" s="28" t="n"/>
      <c r="BS666" s="28" t="n"/>
      <c r="BT666" s="28" t="n"/>
      <c r="BU666" s="25" t="n"/>
      <c r="BV666" s="29" t="n"/>
      <c r="BW666" s="24" t="n"/>
      <c r="BX666" s="30" t="n"/>
      <c r="BY666" s="27" t="n"/>
      <c r="BZ666" s="24" t="n"/>
      <c r="CA666" s="31" t="n"/>
      <c r="CB666" s="24" t="n"/>
      <c r="CC666" s="24" t="n"/>
      <c r="CD666" s="24" t="n"/>
      <c r="CE666" s="24" t="n"/>
      <c r="CF666" s="24" t="n"/>
      <c r="CG666" s="24" t="n"/>
      <c r="CH666" s="24" t="n"/>
      <c r="CI666" s="24" t="n"/>
      <c r="CJ666" s="24" t="n"/>
      <c r="CK666" s="24" t="n"/>
      <c r="CL666" s="24" t="n"/>
      <c r="CM666" s="24" t="n"/>
      <c r="CN666" s="24" t="n"/>
      <c r="CO666" s="24" t="n"/>
      <c r="CP666" s="24" t="n"/>
      <c r="CQ666" s="24" t="n"/>
      <c r="CR666" s="24" t="n"/>
      <c r="CS666" s="24" t="inlineStr">
        <is>
          <t>True</t>
        </is>
      </c>
      <c r="CT666" s="24" t="n"/>
      <c r="CU666" s="24" t="n"/>
      <c r="CV666" s="24" t="n"/>
      <c r="CW666" s="24" t="n"/>
      <c r="CX666" s="24" t="n"/>
      <c r="CY666" s="24" t="n"/>
      <c r="CZ666" s="24" t="n"/>
      <c r="DA666" s="24" t="n"/>
      <c r="DB666" s="24" t="n"/>
      <c r="DC666" s="24" t="n"/>
      <c r="DD666" s="24" t="n"/>
      <c r="DE666" s="24" t="n"/>
      <c r="DF666" s="24" t="n"/>
      <c r="DG666" s="24" t="n"/>
      <c r="DH666" s="24" t="n"/>
      <c r="DI666" s="24" t="n"/>
      <c r="DJ666" s="24" t="inlineStr">
        <is>
          <t>0.528302</t>
        </is>
      </c>
      <c r="DK666" s="24" t="n"/>
      <c r="DL666" s="24" t="n"/>
      <c r="DM666" s="24" t="n"/>
      <c r="DN666" s="24" t="n"/>
      <c r="DO666" s="24" t="n"/>
      <c r="DP666" s="24" t="n"/>
      <c r="DQ666" s="24" t="inlineStr">
        <is>
          <t>{"artifact_hash": "1d168f11d221cd3c", "event_id": "401871050", "event_start_utc": "2026-10-02T23:00Z", "features": {"altitude_fatigue_penalty": 0.0, "away_team": "Liberty Flames", "efficiency_gap": 0.0, "elo_away": 1384.7, "elo_home": 1388.3, "elo_home_win_prob": 0.5975, "event_id": "401871050", "game_start_utc": "2026-10-02T23:00Z", "home_field_advantage_points": 2.8, "home_team": "Delaware Blue Hens", "is_dome": false, "is_fbs_vs_fcs": false, "is_neutral_site": false, "projected_away_points": 24.6, "projected_home_points": 27.4, "projected_margin_home": 2.8, "projected_possessions": 12.4, "projected_total": 52.0, "stadium_elevation_ft": 90, "travel_distance_miles": 244.0, "uncertainty": 0.18, "weather_total_adjustment": 0.0}, "historical_source_observation_times_verified": false, "inference_inputs": {"engine_source_sha256": "449ba2f0e86fa9c445730076a0e0bf100fb4914620be53c75c6f3bfe24298f3f", "mu_away": 24.6,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137013743428843572070106082173847332122}, "uinteger": 0}, "spread_home_line": 7.0, "total_line": 51.5}, "market_type": "spread", "model_version": "cfb-spread-v1", "observed_at_utc": "2026-10-02T22:06:17.356400+00:00", "probabilities": {"away": 0.298133, "home": 0.685867, "push": 0.016}, "replay_scope": "Full precision score means, exact engine parameters and original RNG state; upstream feature construction not certified.", "schema": "cfb-joint-replay-v1", "snapshot_hash": "3e125ce7a53c6eea17a182e68d7f015f694dfd9bdab4a46177dfc13f47560114", "sport": "NCAAF"}</t>
        </is>
      </c>
    </row>
    <row r="667" ht="36" customHeight="1">
      <c r="A667" s="24" t="inlineStr">
        <is>
          <t>89007c76d4c749a5</t>
        </is>
      </c>
      <c r="B667" s="24" t="inlineStr">
        <is>
          <t>2026-10-02T22:06:17.356400Z</t>
        </is>
      </c>
      <c r="C667" s="24" t="inlineStr">
        <is>
          <t>2026-10-02T23:00Z</t>
        </is>
      </c>
      <c r="D667" s="24" t="inlineStr">
        <is>
          <t>401871050</t>
        </is>
      </c>
      <c r="E667" s="24" t="inlineStr">
        <is>
          <t>NCAAF</t>
        </is>
      </c>
      <c r="F667" s="24" t="inlineStr">
        <is>
          <t>Liberty Flames</t>
        </is>
      </c>
      <c r="G667" s="24" t="inlineStr">
        <is>
          <t>Delaware Blue Hens</t>
        </is>
      </c>
      <c r="H667" s="24" t="inlineStr">
        <is>
          <t>total</t>
        </is>
      </c>
      <c r="I667" s="24" t="inlineStr">
        <is>
          <t>under</t>
        </is>
      </c>
      <c r="J667" s="25" t="n">
        <v>51.5</v>
      </c>
      <c r="K667" s="24" t="inlineStr">
        <is>
          <t>espn_consensus</t>
        </is>
      </c>
      <c r="L667" s="26" t="n">
        <v>-108</v>
      </c>
      <c r="M667" s="27" t="n">
        <v>1.925926</v>
      </c>
      <c r="N667" s="28" t="n">
        <v>0.519231</v>
      </c>
      <c r="O667" s="28" t="n">
        <v>0.526067</v>
      </c>
      <c r="P667" s="28" t="n">
        <v>0.18</v>
      </c>
      <c r="Q667" s="28" t="n">
        <v>0.006836</v>
      </c>
      <c r="R667" s="26" t="n">
        <v>0</v>
      </c>
      <c r="S667" s="29" t="n">
        <v>1</v>
      </c>
      <c r="T667" s="24" t="inlineStr">
        <is>
          <t>cfb-total-v1</t>
        </is>
      </c>
      <c r="U667" s="24" t="inlineStr">
        <is>
          <t>settled</t>
        </is>
      </c>
      <c r="V667" s="24" t="inlineStr">
        <is>
          <t>win</t>
        </is>
      </c>
      <c r="W667" s="26" t="n">
        <v>30</v>
      </c>
      <c r="X667" s="26" t="n">
        <v>14</v>
      </c>
      <c r="Y667" s="25" t="n"/>
      <c r="Z667" s="26" t="n"/>
      <c r="AA667" s="28" t="n"/>
      <c r="AB667" s="28" t="n"/>
      <c r="AC667" s="30" t="n">
        <v>0.9258999999999999</v>
      </c>
      <c r="AD667" s="24" t="inlineStr">
        <is>
          <t>2026-10-03T04:30:21.735596Z</t>
        </is>
      </c>
      <c r="AE667" s="31" t="inlineStr">
        <is>
          <t>Projected total 52.0 pts (Weather adj: +0.0 pts). Total line 51.5 -&gt; P(Over)=0.474, P(Under)=0.526, P(Push)=0.000.</t>
        </is>
      </c>
      <c r="AF667" s="31" t="inlineStr">
        <is>
          <t>College football model; multi-market (moneyline, spread, total).</t>
        </is>
      </c>
      <c r="AG667" s="24" t="inlineStr">
        <is>
          <t>not_applicable</t>
        </is>
      </c>
      <c r="AH667" s="24" t="n"/>
      <c r="AI667" s="31" t="n"/>
      <c r="AJ667" s="31" t="n"/>
      <c r="AK667" s="24" t="inlineStr">
        <is>
          <t>paper_call</t>
        </is>
      </c>
      <c r="AL667" s="26" t="n">
        <v>4</v>
      </c>
      <c r="AM667" s="24" t="inlineStr">
        <is>
          <t>RESEARCH_OBSERVATION</t>
        </is>
      </c>
      <c r="AN667" s="24" t="inlineStr">
        <is>
          <t>CALL</t>
        </is>
      </c>
      <c r="AO667" s="24" t="inlineStr">
        <is>
          <t>PAPER_CALL_LOW_EDGE</t>
        </is>
      </c>
      <c r="AP667" s="24" t="inlineStr">
        <is>
          <t>Liberty Flames</t>
        </is>
      </c>
      <c r="AQ667" s="24" t="inlineStr">
        <is>
          <t>Liberty Flames</t>
        </is>
      </c>
      <c r="AR667" s="24" t="inlineStr">
        <is>
          <t>Liberty Flames</t>
        </is>
      </c>
      <c r="AS667" s="24" t="inlineStr">
        <is>
          <t>Delaware Blue Hens</t>
        </is>
      </c>
      <c r="AT667" s="24" t="inlineStr">
        <is>
          <t>Delaware Blue Hens</t>
        </is>
      </c>
      <c r="AU667" s="24" t="inlineStr">
        <is>
          <t>Delaware Blue Hens</t>
        </is>
      </c>
      <c r="AV667" s="24" t="n"/>
      <c r="AW667" s="24" t="n"/>
      <c r="AX667" s="24" t="inlineStr">
        <is>
          <t>statistical_model</t>
        </is>
      </c>
      <c r="AY667" s="24" t="n"/>
      <c r="AZ667" s="24" t="inlineStr">
        <is>
          <t>shadow_qualified</t>
        </is>
      </c>
      <c r="BA667" s="24" t="inlineStr">
        <is>
          <t>1d168f11d221cd3c</t>
        </is>
      </c>
      <c r="BB667" s="24" t="inlineStr">
        <is>
          <t>cfb_key_number_engine</t>
        </is>
      </c>
      <c r="BC667" s="24" t="inlineStr">
        <is>
          <t>cfb-total-v1</t>
        </is>
      </c>
      <c r="BD667" s="24" t="inlineStr">
        <is>
          <t>1d168f11d221cd3c</t>
        </is>
      </c>
      <c r="BE667" s="24" t="inlineStr">
        <is>
          <t>cfb-v1</t>
        </is>
      </c>
      <c r="BF667" s="24" t="inlineStr">
        <is>
          <t>1</t>
        </is>
      </c>
      <c r="BG667" s="24" t="inlineStr">
        <is>
          <t>1d168f11d221cd3c</t>
        </is>
      </c>
      <c r="BH667" s="24" t="inlineStr">
        <is>
          <t>2026-10-02T22:06:17.356400+00:00</t>
        </is>
      </c>
      <c r="BI667" s="24" t="inlineStr">
        <is>
          <t>["same_event","same_team_same_day","same_league_same_day"]</t>
        </is>
      </c>
      <c r="BJ667" s="25" t="n">
        <v>51.5</v>
      </c>
      <c r="BK667" s="26" t="n">
        <v>-108</v>
      </c>
      <c r="BL667" s="27" t="n">
        <v>1.925926</v>
      </c>
      <c r="BM667" s="28" t="n">
        <v>0.519231</v>
      </c>
      <c r="BN667" s="28" t="n"/>
      <c r="BO667" s="28" t="n"/>
      <c r="BP667" s="25" t="n"/>
      <c r="BQ667" s="27" t="n"/>
      <c r="BR667" s="28" t="n"/>
      <c r="BS667" s="28" t="n"/>
      <c r="BT667" s="28" t="n"/>
      <c r="BU667" s="25" t="n"/>
      <c r="BV667" s="29" t="n"/>
      <c r="BW667" s="24" t="n"/>
      <c r="BX667" s="30" t="n">
        <v>1</v>
      </c>
      <c r="BY667" s="27" t="n">
        <v>0.925926</v>
      </c>
      <c r="BZ667" s="24" t="inlineStr">
        <is>
          <t>2026-10-03T04:30:21.735596Z</t>
        </is>
      </c>
      <c r="CA667" s="31" t="inlineStr">
        <is>
          <t>fixed one-unit hypothetical scoring; no real exposure or execution</t>
        </is>
      </c>
      <c r="CB667" s="24" t="n"/>
      <c r="CC667" s="24" t="n"/>
      <c r="CD667" s="24" t="n"/>
      <c r="CE667" s="24" t="n"/>
      <c r="CF667" s="24" t="n"/>
      <c r="CG667" s="24" t="n"/>
      <c r="CH667" s="24" t="n"/>
      <c r="CI667" s="24" t="n"/>
      <c r="CJ667" s="24" t="n"/>
      <c r="CK667" s="24" t="n"/>
      <c r="CL667" s="24" t="n"/>
      <c r="CM667" s="24" t="n"/>
      <c r="CN667" s="24" t="n"/>
      <c r="CO667" s="24" t="n"/>
      <c r="CP667" s="24" t="n"/>
      <c r="CQ667" s="24" t="n"/>
      <c r="CR667" s="24" t="n"/>
      <c r="CS667" s="24" t="inlineStr">
        <is>
          <t>True</t>
        </is>
      </c>
      <c r="CT667" s="24" t="n"/>
      <c r="CU667" s="24" t="n"/>
      <c r="CV667" s="24" t="n"/>
      <c r="CW667" s="24" t="n"/>
      <c r="CX667" s="24" t="n"/>
      <c r="CY667" s="24" t="n"/>
      <c r="CZ667" s="24" t="n"/>
      <c r="DA667" s="24" t="n"/>
      <c r="DB667" s="24" t="n"/>
      <c r="DC667" s="24" t="n"/>
      <c r="DD667" s="24" t="n"/>
      <c r="DE667" s="24" t="n"/>
      <c r="DF667" s="24" t="n"/>
      <c r="DG667" s="24" t="n"/>
      <c r="DH667" s="24" t="n"/>
      <c r="DI667" s="24" t="n"/>
      <c r="DJ667" s="24" t="inlineStr">
        <is>
          <t>0.519231</t>
        </is>
      </c>
      <c r="DK667" s="24" t="n"/>
      <c r="DL667" s="24" t="n"/>
      <c r="DM667" s="24" t="n"/>
      <c r="DN667" s="24" t="n"/>
      <c r="DO667" s="24" t="n"/>
      <c r="DP667" s="24" t="n"/>
      <c r="DQ667" s="24" t="inlineStr">
        <is>
          <t>{"artifact_hash": "1d168f11d221cd3c", "event_id": "401871050", "event_start_utc": "2026-10-02T23:00Z", "features": {"altitude_fatigue_penalty": 0.0, "away_team": "Liberty Flames", "efficiency_gap": 0.0, "elo_away": 1384.7, "elo_home": 1388.3, "elo_home_win_prob": 0.5975, "event_id": "401871050", "game_start_utc": "2026-10-02T23:00Z", "home_field_advantage_points": 2.8, "home_team": "Delaware Blue Hens", "is_dome": false, "is_fbs_vs_fcs": false, "is_neutral_site": false, "projected_away_points": 24.6, "projected_home_points": 27.4, "projected_margin_home": 2.8, "projected_possessions": 12.4, "projected_total": 52.0, "stadium_elevation_ft": 90, "travel_distance_miles": 244.0, "uncertainty": 0.18, "weather_total_adjustment": 0.0}, "historical_source_observation_times_verified": false, "inference_inputs": {"engine_source_sha256": "449ba2f0e86fa9c445730076a0e0bf100fb4914620be53c75c6f3bfe24298f3f", "mu_away": 24.6,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137013743428843572070106082173847332122}, "uinteger": 0}, "spread_home_line": 7.0, "total_line": 51.5}, "market_type": "total", "model_version": "cfb-total-v1", "observed_at_utc": "2026-10-02T22:06:17.356400+00:00", "probabilities": {"over": 0.473933, "push": 0.0, "under": 0.526067}, "replay_scope": "Full precision score means, exact engine parameters and original RNG state; upstream feature construction not certified.", "schema": "cfb-joint-replay-v1", "snapshot_hash": "9d80c54cb9179259c96b74d6039203585e85ccb2f4f90cfd4e989bdda891fd76", "sport": "NCAAF"}</t>
        </is>
      </c>
    </row>
    <row r="668" ht="36" customHeight="1">
      <c r="A668" s="24" t="inlineStr">
        <is>
          <t>858552621e9b4cc4</t>
        </is>
      </c>
      <c r="B668" s="24" t="inlineStr">
        <is>
          <t>2026-10-02T22:06:17.356400Z</t>
        </is>
      </c>
      <c r="C668" s="24" t="inlineStr">
        <is>
          <t>2026-10-03T00:00Z</t>
        </is>
      </c>
      <c r="D668" s="24" t="inlineStr">
        <is>
          <t>401858476</t>
        </is>
      </c>
      <c r="E668" s="24" t="inlineStr">
        <is>
          <t>NCAAF</t>
        </is>
      </c>
      <c r="F668" s="24" t="inlineStr">
        <is>
          <t>Penn State Nittany Lions</t>
        </is>
      </c>
      <c r="G668" s="24" t="inlineStr">
        <is>
          <t>Northwestern Wildcats</t>
        </is>
      </c>
      <c r="H668" s="24" t="inlineStr">
        <is>
          <t>moneyline</t>
        </is>
      </c>
      <c r="I668" s="24" t="inlineStr">
        <is>
          <t>away</t>
        </is>
      </c>
      <c r="J668" s="25" t="n"/>
      <c r="K668" s="24" t="inlineStr">
        <is>
          <t>espn_consensus</t>
        </is>
      </c>
      <c r="L668" s="26" t="n">
        <v>-135</v>
      </c>
      <c r="M668" s="27" t="n">
        <v>1.740741</v>
      </c>
      <c r="N668" s="28" t="n">
        <v>0.574468</v>
      </c>
      <c r="O668" s="28" t="n">
        <v>0.580904</v>
      </c>
      <c r="P668" s="28" t="n">
        <v>0.165</v>
      </c>
      <c r="Q668" s="28" t="n">
        <v>0.006436</v>
      </c>
      <c r="R668" s="26" t="n">
        <v>0</v>
      </c>
      <c r="S668" s="29" t="n">
        <v>1</v>
      </c>
      <c r="T668" s="24" t="inlineStr">
        <is>
          <t>college-football-v1</t>
        </is>
      </c>
      <c r="U668" s="24" t="inlineStr">
        <is>
          <t>settled</t>
        </is>
      </c>
      <c r="V668" s="24" t="inlineStr">
        <is>
          <t>loss</t>
        </is>
      </c>
      <c r="W668" s="26" t="n">
        <v>13</v>
      </c>
      <c r="X668" s="26" t="n">
        <v>34</v>
      </c>
      <c r="Y668" s="25" t="n"/>
      <c r="Z668" s="26" t="n"/>
      <c r="AA668" s="28" t="n"/>
      <c r="AB668" s="28" t="n"/>
      <c r="AC668" s="30" t="n">
        <v>-1</v>
      </c>
      <c r="AD668" s="24" t="inlineStr">
        <is>
          <t>2026-10-03T04:30:22.283618Z</t>
        </is>
      </c>
      <c r="AE668" s="31" t="inlineStr">
        <is>
          <t>CFB Joint Model (negative_binomial): proj score Penn State Nittany Lions 30.1 @ Northwestern Wildcats 26.2 (Margin -3.8). Possessions: 12.4, HFA: +2.8 pts.</t>
        </is>
      </c>
      <c r="AF668" s="31" t="inlineStr">
        <is>
          <t>College football model; multi-market (moneyline, spread, total).</t>
        </is>
      </c>
      <c r="AG668" s="24" t="inlineStr">
        <is>
          <t>review_required</t>
        </is>
      </c>
      <c r="AH668" s="24" t="n"/>
      <c r="AI668" s="31" t="n"/>
      <c r="AJ668" s="31" t="n"/>
      <c r="AK668" s="24" t="inlineStr">
        <is>
          <t>paper_call</t>
        </is>
      </c>
      <c r="AL668" s="26" t="n">
        <v>4</v>
      </c>
      <c r="AM668" s="24" t="inlineStr">
        <is>
          <t>RESEARCH_OBSERVATION</t>
        </is>
      </c>
      <c r="AN668" s="24" t="inlineStr">
        <is>
          <t>CALL</t>
        </is>
      </c>
      <c r="AO668" s="24" t="inlineStr">
        <is>
          <t>PAPER_CALL_LOW_EDGE</t>
        </is>
      </c>
      <c r="AP668" s="24" t="inlineStr">
        <is>
          <t>Penn State Nittany Lions</t>
        </is>
      </c>
      <c r="AQ668" s="24" t="inlineStr">
        <is>
          <t>Penn State Nittany Lions</t>
        </is>
      </c>
      <c r="AR668" s="24" t="inlineStr">
        <is>
          <t>Penn State Nittany Lions</t>
        </is>
      </c>
      <c r="AS668" s="24" t="inlineStr">
        <is>
          <t>Northwestern Wildcats</t>
        </is>
      </c>
      <c r="AT668" s="24" t="inlineStr">
        <is>
          <t>Northwestern Wildcats</t>
        </is>
      </c>
      <c r="AU668" s="24" t="inlineStr">
        <is>
          <t>Northwestern Wildcats</t>
        </is>
      </c>
      <c r="AV668" s="24" t="n"/>
      <c r="AW668" s="24" t="n"/>
      <c r="AX668" s="24" t="inlineStr">
        <is>
          <t>statistical_model</t>
        </is>
      </c>
      <c r="AY668" s="24" t="n"/>
      <c r="AZ668" s="24" t="inlineStr">
        <is>
          <t>shadow_qualified</t>
        </is>
      </c>
      <c r="BA668" s="24" t="inlineStr">
        <is>
          <t>1d168f11d221cd3c</t>
        </is>
      </c>
      <c r="BB668" s="24" t="inlineStr">
        <is>
          <t>cfb_key_number_engine</t>
        </is>
      </c>
      <c r="BC668" s="24" t="inlineStr">
        <is>
          <t>college-football-v1</t>
        </is>
      </c>
      <c r="BD668" s="24" t="inlineStr">
        <is>
          <t>1d168f11d221cd3c</t>
        </is>
      </c>
      <c r="BE668" s="24" t="inlineStr">
        <is>
          <t>cfb-v1</t>
        </is>
      </c>
      <c r="BF668" s="24" t="inlineStr">
        <is>
          <t>1</t>
        </is>
      </c>
      <c r="BG668" s="24" t="inlineStr">
        <is>
          <t>1d168f11d221cd3c</t>
        </is>
      </c>
      <c r="BH668" s="24" t="inlineStr">
        <is>
          <t>2026-10-02T22:06:17.356400+00:00</t>
        </is>
      </c>
      <c r="BI668" s="24" t="inlineStr">
        <is>
          <t>["same_event","same_team_same_day","same_league_same_day"]</t>
        </is>
      </c>
      <c r="BJ668" s="25" t="n"/>
      <c r="BK668" s="26" t="n">
        <v>-135</v>
      </c>
      <c r="BL668" s="27" t="n">
        <v>1.740741</v>
      </c>
      <c r="BM668" s="28" t="n">
        <v>0.574468</v>
      </c>
      <c r="BN668" s="28" t="n"/>
      <c r="BO668" s="28" t="n"/>
      <c r="BP668" s="25" t="n"/>
      <c r="BQ668" s="27" t="n"/>
      <c r="BR668" s="28" t="n"/>
      <c r="BS668" s="28" t="n"/>
      <c r="BT668" s="28" t="n"/>
      <c r="BU668" s="25" t="n"/>
      <c r="BV668" s="29" t="n"/>
      <c r="BW668" s="24" t="n"/>
      <c r="BX668" s="30" t="n">
        <v>1</v>
      </c>
      <c r="BY668" s="27" t="n">
        <v>-1</v>
      </c>
      <c r="BZ668" s="24" t="inlineStr">
        <is>
          <t>2026-10-03T04:30:22.283618Z</t>
        </is>
      </c>
      <c r="CA668" s="31" t="inlineStr">
        <is>
          <t>fixed one-unit hypothetical scoring; no real exposure or execution</t>
        </is>
      </c>
      <c r="CB668" s="24" t="n"/>
      <c r="CC668" s="24" t="n"/>
      <c r="CD668" s="24" t="n"/>
      <c r="CE668" s="24" t="n"/>
      <c r="CF668" s="24" t="n"/>
      <c r="CG668" s="24" t="n"/>
      <c r="CH668" s="24" t="n"/>
      <c r="CI668" s="24" t="n"/>
      <c r="CJ668" s="24" t="n"/>
      <c r="CK668" s="24" t="n"/>
      <c r="CL668" s="24" t="n"/>
      <c r="CM668" s="24" t="n"/>
      <c r="CN668" s="24" t="n"/>
      <c r="CO668" s="24" t="n"/>
      <c r="CP668" s="24" t="n"/>
      <c r="CQ668" s="24" t="n"/>
      <c r="CR668" s="24" t="n"/>
      <c r="CS668" s="24" t="inlineStr">
        <is>
          <t>True</t>
        </is>
      </c>
      <c r="CT668" s="24" t="n"/>
      <c r="CU668" s="24" t="n"/>
      <c r="CV668" s="24" t="n"/>
      <c r="CW668" s="24" t="n"/>
      <c r="CX668" s="24" t="n"/>
      <c r="CY668" s="24" t="n"/>
      <c r="CZ668" s="24" t="n"/>
      <c r="DA668" s="24" t="n"/>
      <c r="DB668" s="24" t="n"/>
      <c r="DC668" s="24" t="n"/>
      <c r="DD668" s="24" t="n"/>
      <c r="DE668" s="24" t="n"/>
      <c r="DF668" s="24" t="n"/>
      <c r="DG668" s="24" t="n"/>
      <c r="DH668" s="24" t="n"/>
      <c r="DI668" s="24" t="n"/>
      <c r="DJ668" s="24" t="inlineStr">
        <is>
          <t>0.574468</t>
        </is>
      </c>
      <c r="DK668" s="24" t="n"/>
      <c r="DL668" s="24" t="n"/>
      <c r="DM668" s="24" t="n"/>
      <c r="DN668" s="24" t="n"/>
      <c r="DO668" s="24" t="n"/>
      <c r="DP668" s="24" t="n"/>
      <c r="DQ668" s="24" t="inlineStr">
        <is>
          <t>{"artifact_hash": "1d168f11d221cd3c", "event_id": "401858476", "event_start_utc": "2026-10-03T00:00Z", "features": {"altitude_fatigue_penalty": 0.0, "away_team": "Penn State Nittany Lions", "efficiency_gap": -1.403, "elo_away": 1730.7, "elo_home": 1573.4, "elo_home_win_prob": 0.3701, "event_id": "401858476", "game_start_utc": "2026-10-03T00:00Z", "home_field_advantage_points": 2.8, "home_team": "Northwestern Wildcats", "is_dome": false, "is_fbs_vs_fcs": false, "is_neutral_site": false, "projected_away_points": 30.1, "projected_home_points": 26.2, "projected_margin_home": -3.8, "projected_possessions": 12.4, "projected_total": 56.3, "stadium_elevation_ft": 590, "travel_distance_miles": 516.0, "uncertainty": 0.165, "weather_total_adjustment": 0.0}, "historical_source_observation_times_verified": false, "inference_inputs": {"engine_source_sha256": "449ba2f0e86fa9c445730076a0e0bf100fb4914620be53c75c6f3bfe24298f3f", "mu_away": 30.1, "mu_home": 26.2,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176042579371843663512717824847417502541}, "uinteger": 0}, "spread_home_line": 2.5, "total_line": 46.5}, "market_type": "moneyline", "model_version": "college-football-v1", "observed_at_utc": "2026-10-02T22:06:17.356400+00:00", "probabilities": {"away": 0.580904, "home": 0.419096}, "replay_scope": "Full precision score means, exact engine parameters and original RNG state; upstream feature construction not certified.", "schema": "cfb-joint-replay-v1", "snapshot_hash": "185a4d74b74d82294b389138e73570d1debff2f64ed0b039d12f786ea700c78f", "sport": "NCAAF"}</t>
        </is>
      </c>
    </row>
    <row r="669" ht="36" customHeight="1">
      <c r="A669" s="24" t="inlineStr">
        <is>
          <t>b8c53bf18f4f4ab9</t>
        </is>
      </c>
      <c r="B669" s="24" t="inlineStr">
        <is>
          <t>2026-10-02T22:06:17.356400Z</t>
        </is>
      </c>
      <c r="C669" s="24" t="inlineStr">
        <is>
          <t>2026-10-03T00:00Z</t>
        </is>
      </c>
      <c r="D669" s="24" t="inlineStr">
        <is>
          <t>401858476</t>
        </is>
      </c>
      <c r="E669" s="24" t="inlineStr">
        <is>
          <t>NCAAF</t>
        </is>
      </c>
      <c r="F669" s="24" t="inlineStr">
        <is>
          <t>Penn State Nittany Lions</t>
        </is>
      </c>
      <c r="G669" s="24" t="inlineStr">
        <is>
          <t>Northwestern Wildcats</t>
        </is>
      </c>
      <c r="H669" s="24" t="inlineStr">
        <is>
          <t>spread</t>
        </is>
      </c>
      <c r="I669" s="24" t="inlineStr">
        <is>
          <t>away</t>
        </is>
      </c>
      <c r="J669" s="25" t="n">
        <v>-2.5</v>
      </c>
      <c r="K669" s="24" t="inlineStr">
        <is>
          <t>espn_consensus</t>
        </is>
      </c>
      <c r="L669" s="26" t="n">
        <v>-118</v>
      </c>
      <c r="M669" s="27" t="n">
        <v>1.847458</v>
      </c>
      <c r="N669" s="28" t="n">
        <v>0.541284</v>
      </c>
      <c r="O669" s="28" t="n">
        <v>0.528867</v>
      </c>
      <c r="P669" s="28" t="n">
        <v>0.165</v>
      </c>
      <c r="Q669" s="28" t="n">
        <v>-0.012417</v>
      </c>
      <c r="R669" s="26" t="n">
        <v>0</v>
      </c>
      <c r="S669" s="29" t="n">
        <v>1</v>
      </c>
      <c r="T669" s="24" t="inlineStr">
        <is>
          <t>cfb-spread-v1</t>
        </is>
      </c>
      <c r="U669" s="24" t="inlineStr">
        <is>
          <t>settled</t>
        </is>
      </c>
      <c r="V669" s="24" t="inlineStr">
        <is>
          <t>loss</t>
        </is>
      </c>
      <c r="W669" s="26" t="n">
        <v>13</v>
      </c>
      <c r="X669" s="26" t="n">
        <v>34</v>
      </c>
      <c r="Y669" s="25" t="n"/>
      <c r="Z669" s="26" t="n"/>
      <c r="AA669" s="28" t="n"/>
      <c r="AB669" s="28" t="n"/>
      <c r="AC669" s="30" t="n">
        <v>-1</v>
      </c>
      <c r="AD669" s="24" t="inlineStr">
        <is>
          <t>2026-10-03T04:30:22.824412Z</t>
        </is>
      </c>
      <c r="AE669" s="31" t="inlineStr">
        <is>
          <t>Projected home margin -3.8 pts. Spread: Home +2.5 / Away -2.5 -&gt; P(Away cover)=0.529, P(Home cover)=0.471, P(Push)=0.000.</t>
        </is>
      </c>
      <c r="AF669" s="31" t="inlineStr">
        <is>
          <t>College football model; multi-market (moneyline, spread, total).</t>
        </is>
      </c>
      <c r="AG669" s="24" t="inlineStr">
        <is>
          <t>review_required</t>
        </is>
      </c>
      <c r="AH669" s="24" t="n"/>
      <c r="AI669" s="31" t="n"/>
      <c r="AJ669" s="31" t="n"/>
      <c r="AK669" s="24" t="inlineStr">
        <is>
          <t>paper_call</t>
        </is>
      </c>
      <c r="AL669" s="26" t="n">
        <v>4</v>
      </c>
      <c r="AM669" s="24" t="inlineStr">
        <is>
          <t>RESEARCH_OBSERVATION</t>
        </is>
      </c>
      <c r="AN669" s="24" t="inlineStr">
        <is>
          <t>CALL</t>
        </is>
      </c>
      <c r="AO669" s="24" t="inlineStr">
        <is>
          <t>PAPER_CALL_LOW_EDGE</t>
        </is>
      </c>
      <c r="AP669" s="24" t="inlineStr">
        <is>
          <t>Penn State Nittany Lions</t>
        </is>
      </c>
      <c r="AQ669" s="24" t="inlineStr">
        <is>
          <t>Penn State Nittany Lions</t>
        </is>
      </c>
      <c r="AR669" s="24" t="inlineStr">
        <is>
          <t>Penn State Nittany Lions</t>
        </is>
      </c>
      <c r="AS669" s="24" t="inlineStr">
        <is>
          <t>Northwestern Wildcats</t>
        </is>
      </c>
      <c r="AT669" s="24" t="inlineStr">
        <is>
          <t>Northwestern Wildcats</t>
        </is>
      </c>
      <c r="AU669" s="24" t="inlineStr">
        <is>
          <t>Northwestern Wildcats</t>
        </is>
      </c>
      <c r="AV669" s="24" t="n"/>
      <c r="AW669" s="24" t="n"/>
      <c r="AX669" s="24" t="inlineStr">
        <is>
          <t>statistical_model</t>
        </is>
      </c>
      <c r="AY669" s="24" t="n"/>
      <c r="AZ669" s="24" t="inlineStr">
        <is>
          <t>shadow_qualified</t>
        </is>
      </c>
      <c r="BA669" s="24" t="inlineStr">
        <is>
          <t>1d168f11d221cd3c</t>
        </is>
      </c>
      <c r="BB669" s="24" t="inlineStr">
        <is>
          <t>cfb_key_number_engine</t>
        </is>
      </c>
      <c r="BC669" s="24" t="inlineStr">
        <is>
          <t>cfb-spread-v1</t>
        </is>
      </c>
      <c r="BD669" s="24" t="inlineStr">
        <is>
          <t>1d168f11d221cd3c</t>
        </is>
      </c>
      <c r="BE669" s="24" t="inlineStr">
        <is>
          <t>cfb-v1</t>
        </is>
      </c>
      <c r="BF669" s="24" t="inlineStr">
        <is>
          <t>1</t>
        </is>
      </c>
      <c r="BG669" s="24" t="inlineStr">
        <is>
          <t>1d168f11d221cd3c</t>
        </is>
      </c>
      <c r="BH669" s="24" t="inlineStr">
        <is>
          <t>2026-10-02T22:06:17.356400+00:00</t>
        </is>
      </c>
      <c r="BI669" s="24" t="inlineStr">
        <is>
          <t>["same_event","same_team_same_day","same_league_same_day"]</t>
        </is>
      </c>
      <c r="BJ669" s="25" t="n">
        <v>-2.5</v>
      </c>
      <c r="BK669" s="26" t="n">
        <v>-118</v>
      </c>
      <c r="BL669" s="27" t="n">
        <v>1.847458</v>
      </c>
      <c r="BM669" s="28" t="n">
        <v>0.541284</v>
      </c>
      <c r="BN669" s="28" t="n"/>
      <c r="BO669" s="28" t="n"/>
      <c r="BP669" s="25" t="n"/>
      <c r="BQ669" s="27" t="n"/>
      <c r="BR669" s="28" t="n"/>
      <c r="BS669" s="28" t="n"/>
      <c r="BT669" s="28" t="n"/>
      <c r="BU669" s="25" t="n"/>
      <c r="BV669" s="29" t="n"/>
      <c r="BW669" s="24" t="n"/>
      <c r="BX669" s="30" t="n">
        <v>1</v>
      </c>
      <c r="BY669" s="27" t="n">
        <v>-1</v>
      </c>
      <c r="BZ669" s="24" t="inlineStr">
        <is>
          <t>2026-10-03T04:30:22.824412Z</t>
        </is>
      </c>
      <c r="CA669" s="31" t="inlineStr">
        <is>
          <t>fixed one-unit hypothetical scoring; no real exposure or execution</t>
        </is>
      </c>
      <c r="CB669" s="24" t="n"/>
      <c r="CC669" s="24" t="n"/>
      <c r="CD669" s="24" t="n"/>
      <c r="CE669" s="24" t="n"/>
      <c r="CF669" s="24" t="n"/>
      <c r="CG669" s="24" t="n"/>
      <c r="CH669" s="24" t="n"/>
      <c r="CI669" s="24" t="n"/>
      <c r="CJ669" s="24" t="n"/>
      <c r="CK669" s="24" t="n"/>
      <c r="CL669" s="24" t="n"/>
      <c r="CM669" s="24" t="n"/>
      <c r="CN669" s="24" t="n"/>
      <c r="CO669" s="24" t="n"/>
      <c r="CP669" s="24" t="n"/>
      <c r="CQ669" s="24" t="n"/>
      <c r="CR669" s="24" t="n"/>
      <c r="CS669" s="24" t="inlineStr">
        <is>
          <t>False</t>
        </is>
      </c>
      <c r="CT669" s="24" t="n"/>
      <c r="CU669" s="24" t="n"/>
      <c r="CV669" s="24" t="n"/>
      <c r="CW669" s="24" t="n"/>
      <c r="CX669" s="24" t="n"/>
      <c r="CY669" s="24" t="n"/>
      <c r="CZ669" s="24" t="n"/>
      <c r="DA669" s="24" t="n"/>
      <c r="DB669" s="24" t="n"/>
      <c r="DC669" s="24" t="n"/>
      <c r="DD669" s="24" t="n"/>
      <c r="DE669" s="24" t="n"/>
      <c r="DF669" s="24" t="n"/>
      <c r="DG669" s="24" t="n"/>
      <c r="DH669" s="24" t="n"/>
      <c r="DI669" s="24" t="n"/>
      <c r="DJ669" s="24" t="inlineStr">
        <is>
          <t>0.541284</t>
        </is>
      </c>
      <c r="DK669" s="24" t="n"/>
      <c r="DL669" s="24" t="n"/>
      <c r="DM669" s="24" t="n"/>
      <c r="DN669" s="24" t="n"/>
      <c r="DO669" s="24" t="n"/>
      <c r="DP669" s="24" t="n"/>
      <c r="DQ669" s="24" t="inlineStr">
        <is>
          <t>{"artifact_hash": "1d168f11d221cd3c", "event_id": "401858476", "event_start_utc": "2026-10-03T00:00Z", "features": {"altitude_fatigue_penalty": 0.0, "away_team": "Penn State Nittany Lions", "efficiency_gap": -1.403, "elo_away": 1730.7, "elo_home": 1573.4, "elo_home_win_prob": 0.3701, "event_id": "401858476", "game_start_utc": "2026-10-03T00:00Z", "home_field_advantage_points": 2.8, "home_team": "Northwestern Wildcats", "is_dome": false, "is_fbs_vs_fcs": false, "is_neutral_site": false, "projected_away_points": 30.1, "projected_home_points": 26.2, "projected_margin_home": -3.8, "projected_possessions": 12.4, "projected_total": 56.3, "stadium_elevation_ft": 590, "travel_distance_miles": 516.0, "uncertainty": 0.165, "weather_total_adjustment": 0.0}, "historical_source_observation_times_verified": false, "inference_inputs": {"engine_source_sha256": "449ba2f0e86fa9c445730076a0e0bf100fb4914620be53c75c6f3bfe24298f3f", "mu_away": 30.1, "mu_home": 26.2,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176042579371843663512717824847417502541}, "uinteger": 0}, "spread_home_line": 2.5, "total_line": 46.5}, "market_type": "spread", "model_version": "cfb-spread-v1", "observed_at_utc": "2026-10-02T22:06:17.356400+00:00", "probabilities": {"away": 0.528867, "home": 0.471133, "push": 0.0}, "replay_scope": "Full precision score means, exact engine parameters and original RNG state; upstream feature construction not certified.", "schema": "cfb-joint-replay-v1", "snapshot_hash": "140acc523110a7ff1fcca99ccacf40ddd9f165bd333fa578de265568602e25d2", "sport": "NCAAF"}</t>
        </is>
      </c>
    </row>
    <row r="670" ht="36" customHeight="1">
      <c r="A670" s="24" t="inlineStr">
        <is>
          <t>11d46f018fa846ae</t>
        </is>
      </c>
      <c r="B670" s="24" t="inlineStr">
        <is>
          <t>2026-10-02T22:06:17.356400Z</t>
        </is>
      </c>
      <c r="C670" s="24" t="inlineStr">
        <is>
          <t>2026-10-03T00:00Z</t>
        </is>
      </c>
      <c r="D670" s="24" t="inlineStr">
        <is>
          <t>401858476</t>
        </is>
      </c>
      <c r="E670" s="24" t="inlineStr">
        <is>
          <t>NCAAF</t>
        </is>
      </c>
      <c r="F670" s="24" t="inlineStr">
        <is>
          <t>Penn State Nittany Lions</t>
        </is>
      </c>
      <c r="G670" s="24" t="inlineStr">
        <is>
          <t>Northwestern Wildcats</t>
        </is>
      </c>
      <c r="H670" s="24" t="inlineStr">
        <is>
          <t>total</t>
        </is>
      </c>
      <c r="I670" s="24" t="inlineStr">
        <is>
          <t>over</t>
        </is>
      </c>
      <c r="J670" s="25" t="n">
        <v>46.5</v>
      </c>
      <c r="K670" s="24" t="inlineStr">
        <is>
          <t>espn_consensus</t>
        </is>
      </c>
      <c r="L670" s="26" t="n">
        <v>-115</v>
      </c>
      <c r="M670" s="27" t="n">
        <v>1.869565</v>
      </c>
      <c r="N670" s="28" t="n">
        <v>0.534884</v>
      </c>
      <c r="O670" s="28" t="n">
        <v>0.6342</v>
      </c>
      <c r="P670" s="28" t="n">
        <v>0.165</v>
      </c>
      <c r="Q670" s="28" t="n">
        <v>0.099316</v>
      </c>
      <c r="R670" s="26" t="n">
        <v>1</v>
      </c>
      <c r="S670" s="29" t="n">
        <v>1</v>
      </c>
      <c r="T670" s="24" t="inlineStr">
        <is>
          <t>cfb-total-v1</t>
        </is>
      </c>
      <c r="U670" s="24" t="inlineStr">
        <is>
          <t>settled</t>
        </is>
      </c>
      <c r="V670" s="24" t="inlineStr">
        <is>
          <t>win</t>
        </is>
      </c>
      <c r="W670" s="26" t="n">
        <v>13</v>
      </c>
      <c r="X670" s="26" t="n">
        <v>34</v>
      </c>
      <c r="Y670" s="25" t="n"/>
      <c r="Z670" s="26" t="n"/>
      <c r="AA670" s="28" t="n"/>
      <c r="AB670" s="28" t="n"/>
      <c r="AC670" s="30" t="n">
        <v>0.8696</v>
      </c>
      <c r="AD670" s="24" t="inlineStr">
        <is>
          <t>2026-10-03T04:30:23.362546Z</t>
        </is>
      </c>
      <c r="AE670" s="31" t="inlineStr">
        <is>
          <t>Projected total 56.3 pts (Weather adj: +0.0 pts). Total line 46.5 -&gt; P(Over)=0.634, P(Under)=0.366, P(Push)=0.000.</t>
        </is>
      </c>
      <c r="AF670" s="31" t="inlineStr">
        <is>
          <t>College football model; multi-market (moneyline, spread, total).</t>
        </is>
      </c>
      <c r="AG670" s="24" t="inlineStr">
        <is>
          <t>not_applicable</t>
        </is>
      </c>
      <c r="AH670" s="24" t="n"/>
      <c r="AI670" s="31" t="n"/>
      <c r="AJ670" s="31" t="n"/>
      <c r="AK670" s="24" t="inlineStr">
        <is>
          <t>model_qualified</t>
        </is>
      </c>
      <c r="AL670" s="26" t="n">
        <v>4</v>
      </c>
      <c r="AM670" s="24" t="inlineStr">
        <is>
          <t>QUALIFIED_SHADOW_CALL</t>
        </is>
      </c>
      <c r="AN670" s="24" t="inlineStr">
        <is>
          <t>CALL</t>
        </is>
      </c>
      <c r="AO670" s="24" t="inlineStr">
        <is>
          <t>QUALIFIED</t>
        </is>
      </c>
      <c r="AP670" s="24" t="inlineStr">
        <is>
          <t>Penn State Nittany Lions</t>
        </is>
      </c>
      <c r="AQ670" s="24" t="inlineStr">
        <is>
          <t>Penn State Nittany Lions</t>
        </is>
      </c>
      <c r="AR670" s="24" t="inlineStr">
        <is>
          <t>Penn State Nittany Lions</t>
        </is>
      </c>
      <c r="AS670" s="24" t="inlineStr">
        <is>
          <t>Northwestern Wildcats</t>
        </is>
      </c>
      <c r="AT670" s="24" t="inlineStr">
        <is>
          <t>Northwestern Wildcats</t>
        </is>
      </c>
      <c r="AU670" s="24" t="inlineStr">
        <is>
          <t>Northwestern Wildcats</t>
        </is>
      </c>
      <c r="AV670" s="24" t="n"/>
      <c r="AW670" s="24" t="n"/>
      <c r="AX670" s="24" t="inlineStr">
        <is>
          <t>statistical_model</t>
        </is>
      </c>
      <c r="AY670" s="24" t="n"/>
      <c r="AZ670" s="24" t="inlineStr">
        <is>
          <t>shadow_qualified</t>
        </is>
      </c>
      <c r="BA670" s="24" t="inlineStr">
        <is>
          <t>1d168f11d221cd3c</t>
        </is>
      </c>
      <c r="BB670" s="24" t="inlineStr">
        <is>
          <t>cfb_key_number_engine</t>
        </is>
      </c>
      <c r="BC670" s="24" t="inlineStr">
        <is>
          <t>cfb-total-v1</t>
        </is>
      </c>
      <c r="BD670" s="24" t="inlineStr">
        <is>
          <t>1d168f11d221cd3c</t>
        </is>
      </c>
      <c r="BE670" s="24" t="inlineStr">
        <is>
          <t>cfb-v1</t>
        </is>
      </c>
      <c r="BF670" s="24" t="inlineStr">
        <is>
          <t>1</t>
        </is>
      </c>
      <c r="BG670" s="24" t="inlineStr">
        <is>
          <t>1d168f11d221cd3c</t>
        </is>
      </c>
      <c r="BH670" s="24" t="inlineStr">
        <is>
          <t>2026-10-02T22:06:17.356400+00:00</t>
        </is>
      </c>
      <c r="BI670" s="24" t="inlineStr">
        <is>
          <t>["same_event","same_team_same_day","same_league_same_day"]</t>
        </is>
      </c>
      <c r="BJ670" s="25" t="n">
        <v>46.5</v>
      </c>
      <c r="BK670" s="26" t="n">
        <v>-115</v>
      </c>
      <c r="BL670" s="27" t="n">
        <v>1.869565</v>
      </c>
      <c r="BM670" s="28" t="n">
        <v>0.534884</v>
      </c>
      <c r="BN670" s="28" t="n"/>
      <c r="BO670" s="28" t="n"/>
      <c r="BP670" s="25" t="n"/>
      <c r="BQ670" s="27" t="n"/>
      <c r="BR670" s="28" t="n"/>
      <c r="BS670" s="28" t="n"/>
      <c r="BT670" s="28" t="n"/>
      <c r="BU670" s="25" t="n"/>
      <c r="BV670" s="29" t="n"/>
      <c r="BW670" s="24" t="n"/>
      <c r="BX670" s="30" t="n"/>
      <c r="BY670" s="27" t="n"/>
      <c r="BZ670" s="24" t="n"/>
      <c r="CA670" s="31" t="n"/>
      <c r="CB670" s="24" t="n"/>
      <c r="CC670" s="24" t="n"/>
      <c r="CD670" s="24" t="n"/>
      <c r="CE670" s="24" t="n"/>
      <c r="CF670" s="24" t="n"/>
      <c r="CG670" s="24" t="n"/>
      <c r="CH670" s="24" t="n"/>
      <c r="CI670" s="24" t="n"/>
      <c r="CJ670" s="24" t="n"/>
      <c r="CK670" s="24" t="n"/>
      <c r="CL670" s="24" t="n"/>
      <c r="CM670" s="24" t="n"/>
      <c r="CN670" s="24" t="n"/>
      <c r="CO670" s="24" t="n"/>
      <c r="CP670" s="24" t="n"/>
      <c r="CQ670" s="24" t="n"/>
      <c r="CR670" s="24" t="n"/>
      <c r="CS670" s="24" t="inlineStr">
        <is>
          <t>True</t>
        </is>
      </c>
      <c r="CT670" s="24" t="n"/>
      <c r="CU670" s="24" t="n"/>
      <c r="CV670" s="24" t="n"/>
      <c r="CW670" s="24" t="n"/>
      <c r="CX670" s="24" t="n"/>
      <c r="CY670" s="24" t="n"/>
      <c r="CZ670" s="24" t="n"/>
      <c r="DA670" s="24" t="n"/>
      <c r="DB670" s="24" t="n"/>
      <c r="DC670" s="24" t="n"/>
      <c r="DD670" s="24" t="n"/>
      <c r="DE670" s="24" t="n"/>
      <c r="DF670" s="24" t="n"/>
      <c r="DG670" s="24" t="n"/>
      <c r="DH670" s="24" t="n"/>
      <c r="DI670" s="24" t="n"/>
      <c r="DJ670" s="24" t="inlineStr">
        <is>
          <t>0.534884</t>
        </is>
      </c>
      <c r="DK670" s="24" t="n"/>
      <c r="DL670" s="24" t="n"/>
      <c r="DM670" s="24" t="n"/>
      <c r="DN670" s="24" t="n"/>
      <c r="DO670" s="24" t="n"/>
      <c r="DP670" s="24" t="n"/>
      <c r="DQ670" s="24" t="inlineStr">
        <is>
          <t>{"artifact_hash": "1d168f11d221cd3c", "event_id": "401858476", "event_start_utc": "2026-10-03T00:00Z", "features": {"altitude_fatigue_penalty": 0.0, "away_team": "Penn State Nittany Lions", "efficiency_gap": -1.403, "elo_away": 1730.7, "elo_home": 1573.4, "elo_home_win_prob": 0.3701, "event_id": "401858476", "game_start_utc": "2026-10-03T00:00Z", "home_field_advantage_points": 2.8, "home_team": "Northwestern Wildcats", "is_dome": false, "is_fbs_vs_fcs": false, "is_neutral_site": false, "projected_away_points": 30.1, "projected_home_points": 26.2, "projected_margin_home": -3.8, "projected_possessions": 12.4, "projected_total": 56.3, "stadium_elevation_ft": 590, "travel_distance_miles": 516.0, "uncertainty": 0.165, "weather_total_adjustment": 0.0}, "historical_source_observation_times_verified": false, "inference_inputs": {"engine_source_sha256": "449ba2f0e86fa9c445730076a0e0bf100fb4914620be53c75c6f3bfe24298f3f", "mu_away": 30.1, "mu_home": 26.2,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176042579371843663512717824847417502541}, "uinteger": 0}, "spread_home_line": 2.5, "total_line": 46.5}, "market_type": "total", "model_version": "cfb-total-v1", "observed_at_utc": "2026-10-02T22:06:17.356400+00:00", "probabilities": {"over": 0.6342, "push": 0.0, "under": 0.3658}, "replay_scope": "Full precision score means, exact engine parameters and original RNG state; upstream feature construction not certified.", "schema": "cfb-joint-replay-v1", "snapshot_hash": "05064cf34adc42f98ec16dc43b928e17a930f57f5d65beb32ea42dd6ba3142ac", "sport": "NCAAF"}</t>
        </is>
      </c>
    </row>
    <row r="671" ht="36" customHeight="1">
      <c r="A671" s="24" t="inlineStr">
        <is>
          <t>99ce0f7833f54f45</t>
        </is>
      </c>
      <c r="B671" s="24" t="inlineStr">
        <is>
          <t>2026-10-03T10:53:30.577635Z</t>
        </is>
      </c>
      <c r="C671" s="24" t="inlineStr">
        <is>
          <t>2026-10-03T15:00Z</t>
        </is>
      </c>
      <c r="D671" s="24" t="inlineStr">
        <is>
          <t>401862787</t>
        </is>
      </c>
      <c r="E671" s="24" t="inlineStr">
        <is>
          <t>NCAAF</t>
        </is>
      </c>
      <c r="F671" s="24" t="inlineStr">
        <is>
          <t>Memphis Tigers</t>
        </is>
      </c>
      <c r="G671" s="24" t="inlineStr">
        <is>
          <t>Charlotte 49ers</t>
        </is>
      </c>
      <c r="H671" s="24" t="inlineStr">
        <is>
          <t>moneyline</t>
        </is>
      </c>
      <c r="I671" s="24" t="inlineStr">
        <is>
          <t>away</t>
        </is>
      </c>
      <c r="J671" s="25" t="n"/>
      <c r="K671" s="24" t="inlineStr">
        <is>
          <t>espn_consensus</t>
        </is>
      </c>
      <c r="L671" s="26" t="n">
        <v>-1450</v>
      </c>
      <c r="M671" s="27" t="n">
        <v>1.068966</v>
      </c>
      <c r="N671" s="28" t="n">
        <v>0.935484</v>
      </c>
      <c r="O671" s="28" t="n">
        <v>0.816939</v>
      </c>
      <c r="P671" s="28" t="n">
        <v>0.18</v>
      </c>
      <c r="Q671" s="28" t="n">
        <v>-0.118545</v>
      </c>
      <c r="R671" s="26" t="n">
        <v>0</v>
      </c>
      <c r="S671" s="29" t="n">
        <v>1</v>
      </c>
      <c r="T671" s="24" t="inlineStr">
        <is>
          <t>college-football-v1</t>
        </is>
      </c>
      <c r="U671" s="24" t="inlineStr">
        <is>
          <t>settled</t>
        </is>
      </c>
      <c r="V671" s="24" t="inlineStr">
        <is>
          <t>win</t>
        </is>
      </c>
      <c r="W671" s="26" t="n">
        <v>59</v>
      </c>
      <c r="X671" s="26" t="n">
        <v>8</v>
      </c>
      <c r="Y671" s="25" t="n"/>
      <c r="Z671" s="26" t="n"/>
      <c r="AA671" s="28" t="n"/>
      <c r="AB671" s="28" t="n"/>
      <c r="AC671" s="30" t="n">
        <v>0.06900000000000001</v>
      </c>
      <c r="AD671" s="24" t="inlineStr">
        <is>
          <t>2026-10-03T22:00:16.254184Z</t>
        </is>
      </c>
      <c r="AE671" s="31" t="inlineStr">
        <is>
          <t>CFB Joint Model (negative_binomial): proj score Memphis Tigers 35.9 @ Charlotte 49ers 18.4 (Margin -17.4). Possessions: 12.4, HFA: +2.8 pts.</t>
        </is>
      </c>
      <c r="AF671" s="31" t="inlineStr">
        <is>
          <t>College football model; multi-market (moneyline, spread, total).</t>
        </is>
      </c>
      <c r="AG671" s="24" t="inlineStr">
        <is>
          <t>not_applicable</t>
        </is>
      </c>
      <c r="AH671" s="24" t="n"/>
      <c r="AI671" s="31" t="n"/>
      <c r="AJ671" s="31" t="n"/>
      <c r="AK671" s="24" t="inlineStr">
        <is>
          <t>paper_call</t>
        </is>
      </c>
      <c r="AL671" s="26" t="n">
        <v>4</v>
      </c>
      <c r="AM671" s="24" t="inlineStr">
        <is>
          <t>RESEARCH_OBSERVATION</t>
        </is>
      </c>
      <c r="AN671" s="24" t="inlineStr">
        <is>
          <t>CALL</t>
        </is>
      </c>
      <c r="AO671" s="24" t="inlineStr">
        <is>
          <t>PAPER_CALL_LOW_EDGE</t>
        </is>
      </c>
      <c r="AP671" s="24" t="inlineStr">
        <is>
          <t>Memphis Tigers</t>
        </is>
      </c>
      <c r="AQ671" s="24" t="inlineStr">
        <is>
          <t>Memphis Tigers</t>
        </is>
      </c>
      <c r="AR671" s="24" t="inlineStr">
        <is>
          <t>Memphis Tigers</t>
        </is>
      </c>
      <c r="AS671" s="24" t="inlineStr">
        <is>
          <t>Charlotte 49ers</t>
        </is>
      </c>
      <c r="AT671" s="24" t="inlineStr">
        <is>
          <t>Charlotte 49ers</t>
        </is>
      </c>
      <c r="AU671" s="24" t="inlineStr">
        <is>
          <t>Charlotte 49ers</t>
        </is>
      </c>
      <c r="AV671" s="24" t="n"/>
      <c r="AW671" s="24" t="n"/>
      <c r="AX671" s="24" t="inlineStr">
        <is>
          <t>statistical_model</t>
        </is>
      </c>
      <c r="AY671" s="24" t="n"/>
      <c r="AZ671" s="24" t="inlineStr">
        <is>
          <t>shadow_qualified</t>
        </is>
      </c>
      <c r="BA671" s="24" t="inlineStr">
        <is>
          <t>1d168f11d221cd3c</t>
        </is>
      </c>
      <c r="BB671" s="24" t="inlineStr">
        <is>
          <t>cfb_key_number_engine</t>
        </is>
      </c>
      <c r="BC671" s="24" t="inlineStr">
        <is>
          <t>college-football-v1</t>
        </is>
      </c>
      <c r="BD671" s="24" t="inlineStr">
        <is>
          <t>1d168f11d221cd3c</t>
        </is>
      </c>
      <c r="BE671" s="24" t="inlineStr">
        <is>
          <t>cfb-v1</t>
        </is>
      </c>
      <c r="BF671" s="24" t="inlineStr">
        <is>
          <t>1</t>
        </is>
      </c>
      <c r="BG671" s="24" t="inlineStr">
        <is>
          <t>1d168f11d221cd3c</t>
        </is>
      </c>
      <c r="BH671" s="24" t="inlineStr">
        <is>
          <t>2026-10-03T10:53:30.577635+00:00</t>
        </is>
      </c>
      <c r="BI671" s="24" t="inlineStr">
        <is>
          <t>["same_event","same_team_same_day","same_league_same_day"]</t>
        </is>
      </c>
      <c r="BJ671" s="25" t="n"/>
      <c r="BK671" s="26" t="n">
        <v>-1450</v>
      </c>
      <c r="BL671" s="27" t="n">
        <v>1.068966</v>
      </c>
      <c r="BM671" s="28" t="n">
        <v>0.935484</v>
      </c>
      <c r="BN671" s="28" t="n"/>
      <c r="BO671" s="28" t="n"/>
      <c r="BP671" s="25" t="n"/>
      <c r="BQ671" s="27" t="n"/>
      <c r="BR671" s="28" t="n"/>
      <c r="BS671" s="28" t="n"/>
      <c r="BT671" s="28" t="n"/>
      <c r="BU671" s="25" t="n"/>
      <c r="BV671" s="29" t="n"/>
      <c r="BW671" s="24" t="n"/>
      <c r="BX671" s="30" t="n">
        <v>1</v>
      </c>
      <c r="BY671" s="27" t="n">
        <v>0.068966</v>
      </c>
      <c r="BZ671" s="24" t="inlineStr">
        <is>
          <t>2026-10-03T22:00:16.254184Z</t>
        </is>
      </c>
      <c r="CA671" s="31" t="inlineStr">
        <is>
          <t>fixed one-unit hypothetical scoring; no real exposure or execution</t>
        </is>
      </c>
      <c r="CB671" s="24" t="n"/>
      <c r="CC671" s="24" t="n"/>
      <c r="CD671" s="24" t="n"/>
      <c r="CE671" s="24" t="n"/>
      <c r="CF671" s="24" t="n"/>
      <c r="CG671" s="24" t="n"/>
      <c r="CH671" s="24" t="n"/>
      <c r="CI671" s="24" t="n"/>
      <c r="CJ671" s="24" t="n"/>
      <c r="CK671" s="24" t="n"/>
      <c r="CL671" s="24" t="n"/>
      <c r="CM671" s="24" t="n"/>
      <c r="CN671" s="24" t="n"/>
      <c r="CO671" s="24" t="n"/>
      <c r="CP671" s="24" t="n"/>
      <c r="CQ671" s="24" t="n"/>
      <c r="CR671" s="24" t="n"/>
      <c r="CS671" s="24" t="inlineStr">
        <is>
          <t>False</t>
        </is>
      </c>
      <c r="CT671" s="24" t="n"/>
      <c r="CU671" s="24" t="n"/>
      <c r="CV671" s="24" t="n"/>
      <c r="CW671" s="24" t="n"/>
      <c r="CX671" s="24" t="n"/>
      <c r="CY671" s="24" t="n"/>
      <c r="CZ671" s="24" t="n"/>
      <c r="DA671" s="24" t="n"/>
      <c r="DB671" s="24" t="n"/>
      <c r="DC671" s="24" t="n"/>
      <c r="DD671" s="24" t="n"/>
      <c r="DE671" s="24" t="n"/>
      <c r="DF671" s="24" t="n"/>
      <c r="DG671" s="24" t="n"/>
      <c r="DH671" s="24" t="n"/>
      <c r="DI671" s="24" t="n"/>
      <c r="DJ671" s="24" t="inlineStr">
        <is>
          <t>0.935484</t>
        </is>
      </c>
      <c r="DK671" s="24" t="n"/>
      <c r="DL671" s="24" t="n"/>
      <c r="DM671" s="24" t="n"/>
      <c r="DN671" s="24" t="n"/>
      <c r="DO671" s="24" t="n"/>
      <c r="DP671" s="24" t="n"/>
      <c r="DQ671" s="24" t="inlineStr">
        <is>
          <t>{"artifact_hash": "1d168f11d221cd3c", "event_id": "401862787", "event_start_utc": "2026-10-03T15:00Z", "features": {"altitude_fatigue_penalty": 0.0, "away_team": "Memphis Tigers", "efficiency_gap": -0.629, "elo_away": 1602.6, "elo_home": 1110.6, "elo_home_win_prob": 0.0788, "event_id": "401862787", "game_start_utc": "2026-10-03T15:00Z", "home_field_advantage_points": 2.8, "home_team": "Charlotte 49ers", "is_dome": false, "is_fbs_vs_fcs": false, "is_neutral_site": false, "projected_away_points": 35.9, "projected_home_points": 18.4, "projected_margin_home": -17.4, "projected_possessions": 12.4, "projected_total": 54.3, "stadium_elevation_ft": 730, "travel_distance_miles": 521.0, "uncertainty": 0.18, "weather_total_adjustment": 0.0}, "historical_source_observation_times_verified": false, "inference_inputs": {"engine_source_sha256": "449ba2f0e86fa9c445730076a0e0bf100fb4914620be53c75c6f3bfe24298f3f", "mu_away": 35.9,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20.5, "total_line": 52.5}, "market_type": "moneyline", "model_version": "college-football-v1", "observed_at_utc": "2026-10-03T10:53:30.577635+00:00", "probabilities": {"away": 0.816939, "home": 0.183061}, "replay_scope": "Full precision score means, exact engine parameters and original RNG state; upstream feature construction not certified.", "schema": "cfb-joint-replay-v1", "snapshot_hash": "944b57fe348666234980abff6d35a4d8c85cd11dc3bdf60570ff6fc4ddfb3b18", "sport": "NCAAF"}</t>
        </is>
      </c>
    </row>
    <row r="672" ht="36" customHeight="1">
      <c r="A672" s="24" t="inlineStr">
        <is>
          <t>44adf0863aa44448</t>
        </is>
      </c>
      <c r="B672" s="24" t="inlineStr">
        <is>
          <t>2026-10-03T10:53:30.577635Z</t>
        </is>
      </c>
      <c r="C672" s="24" t="inlineStr">
        <is>
          <t>2026-10-03T15:00Z</t>
        </is>
      </c>
      <c r="D672" s="24" t="inlineStr">
        <is>
          <t>401862787</t>
        </is>
      </c>
      <c r="E672" s="24" t="inlineStr">
        <is>
          <t>NCAAF</t>
        </is>
      </c>
      <c r="F672" s="24" t="inlineStr">
        <is>
          <t>Memphis Tigers</t>
        </is>
      </c>
      <c r="G672" s="24" t="inlineStr">
        <is>
          <t>Charlotte 49ers</t>
        </is>
      </c>
      <c r="H672" s="24" t="inlineStr">
        <is>
          <t>spread</t>
        </is>
      </c>
      <c r="I672" s="24" t="inlineStr">
        <is>
          <t>home</t>
        </is>
      </c>
      <c r="J672" s="25" t="n">
        <v>20.5</v>
      </c>
      <c r="K672" s="24" t="inlineStr">
        <is>
          <t>espn_consensus</t>
        </is>
      </c>
      <c r="L672" s="26" t="n">
        <v>-110</v>
      </c>
      <c r="M672" s="27" t="n">
        <v>1.909091</v>
      </c>
      <c r="N672" s="28" t="n">
        <v>0.52381</v>
      </c>
      <c r="O672" s="28" t="n">
        <v>0.5752</v>
      </c>
      <c r="P672" s="28" t="n">
        <v>0.18</v>
      </c>
      <c r="Q672" s="28" t="n">
        <v>0.05139</v>
      </c>
      <c r="R672" s="26" t="n">
        <v>0</v>
      </c>
      <c r="S672" s="29" t="n">
        <v>1</v>
      </c>
      <c r="T672" s="24" t="inlineStr">
        <is>
          <t>cfb-spread-v1</t>
        </is>
      </c>
      <c r="U672" s="24" t="inlineStr">
        <is>
          <t>settled</t>
        </is>
      </c>
      <c r="V672" s="24" t="inlineStr">
        <is>
          <t>loss</t>
        </is>
      </c>
      <c r="W672" s="26" t="n">
        <v>59</v>
      </c>
      <c r="X672" s="26" t="n">
        <v>8</v>
      </c>
      <c r="Y672" s="25" t="n"/>
      <c r="Z672" s="26" t="n"/>
      <c r="AA672" s="28" t="n"/>
      <c r="AB672" s="28" t="n"/>
      <c r="AC672" s="30" t="n">
        <v>-1</v>
      </c>
      <c r="AD672" s="24" t="inlineStr">
        <is>
          <t>2026-10-03T22:00:16.837764Z</t>
        </is>
      </c>
      <c r="AE672" s="31" t="inlineStr">
        <is>
          <t>Projected home margin -17.4 pts. Spread: Home +20.5 / Away -20.5 -&gt; P(Away cover)=0.425, P(Home cover)=0.575, P(Push)=0.000.</t>
        </is>
      </c>
      <c r="AF672" s="31" t="inlineStr">
        <is>
          <t>College football model; multi-market (moneyline, spread, total).</t>
        </is>
      </c>
      <c r="AG672" s="24" t="inlineStr">
        <is>
          <t>review_required</t>
        </is>
      </c>
      <c r="AH672" s="24" t="n"/>
      <c r="AI672" s="31" t="n"/>
      <c r="AJ672" s="31" t="n"/>
      <c r="AK672" s="24" t="inlineStr">
        <is>
          <t>model_qualified</t>
        </is>
      </c>
      <c r="AL672" s="26" t="n">
        <v>4</v>
      </c>
      <c r="AM672" s="24" t="inlineStr">
        <is>
          <t>QUALIFIED_SHADOW_CALL</t>
        </is>
      </c>
      <c r="AN672" s="24" t="inlineStr">
        <is>
          <t>CALL</t>
        </is>
      </c>
      <c r="AO672" s="24" t="inlineStr">
        <is>
          <t>QUALIFIED</t>
        </is>
      </c>
      <c r="AP672" s="24" t="inlineStr">
        <is>
          <t>Memphis Tigers</t>
        </is>
      </c>
      <c r="AQ672" s="24" t="inlineStr">
        <is>
          <t>Memphis Tigers</t>
        </is>
      </c>
      <c r="AR672" s="24" t="inlineStr">
        <is>
          <t>Memphis Tigers</t>
        </is>
      </c>
      <c r="AS672" s="24" t="inlineStr">
        <is>
          <t>Charlotte 49ers</t>
        </is>
      </c>
      <c r="AT672" s="24" t="inlineStr">
        <is>
          <t>Charlotte 49ers</t>
        </is>
      </c>
      <c r="AU672" s="24" t="inlineStr">
        <is>
          <t>Charlotte 49ers</t>
        </is>
      </c>
      <c r="AV672" s="24" t="n"/>
      <c r="AW672" s="24" t="n"/>
      <c r="AX672" s="24" t="inlineStr">
        <is>
          <t>statistical_model</t>
        </is>
      </c>
      <c r="AY672" s="24" t="n"/>
      <c r="AZ672" s="24" t="inlineStr">
        <is>
          <t>shadow_qualified</t>
        </is>
      </c>
      <c r="BA672" s="24" t="inlineStr">
        <is>
          <t>1d168f11d221cd3c</t>
        </is>
      </c>
      <c r="BB672" s="24" t="inlineStr">
        <is>
          <t>cfb_key_number_engine</t>
        </is>
      </c>
      <c r="BC672" s="24" t="inlineStr">
        <is>
          <t>cfb-spread-v1</t>
        </is>
      </c>
      <c r="BD672" s="24" t="inlineStr">
        <is>
          <t>1d168f11d221cd3c</t>
        </is>
      </c>
      <c r="BE672" s="24" t="inlineStr">
        <is>
          <t>cfb-v1</t>
        </is>
      </c>
      <c r="BF672" s="24" t="inlineStr">
        <is>
          <t>1</t>
        </is>
      </c>
      <c r="BG672" s="24" t="inlineStr">
        <is>
          <t>1d168f11d221cd3c</t>
        </is>
      </c>
      <c r="BH672" s="24" t="inlineStr">
        <is>
          <t>2026-10-03T10:53:30.577635+00:00</t>
        </is>
      </c>
      <c r="BI672" s="24" t="inlineStr">
        <is>
          <t>["same_event","same_team_same_day","same_league_same_day"]</t>
        </is>
      </c>
      <c r="BJ672" s="25" t="n">
        <v>20.5</v>
      </c>
      <c r="BK672" s="26" t="n">
        <v>-110</v>
      </c>
      <c r="BL672" s="27" t="n">
        <v>1.909091</v>
      </c>
      <c r="BM672" s="28" t="n">
        <v>0.52381</v>
      </c>
      <c r="BN672" s="28" t="n"/>
      <c r="BO672" s="28" t="n"/>
      <c r="BP672" s="25" t="n"/>
      <c r="BQ672" s="27" t="n"/>
      <c r="BR672" s="28" t="n"/>
      <c r="BS672" s="28" t="n"/>
      <c r="BT672" s="28" t="n"/>
      <c r="BU672" s="25" t="n"/>
      <c r="BV672" s="29" t="n"/>
      <c r="BW672" s="24" t="n"/>
      <c r="BX672" s="30" t="n"/>
      <c r="BY672" s="27" t="n"/>
      <c r="BZ672" s="24" t="n"/>
      <c r="CA672" s="31" t="n"/>
      <c r="CB672" s="24" t="n"/>
      <c r="CC672" s="24" t="n"/>
      <c r="CD672" s="24" t="n"/>
      <c r="CE672" s="24" t="n"/>
      <c r="CF672" s="24" t="n"/>
      <c r="CG672" s="24" t="n"/>
      <c r="CH672" s="24" t="n"/>
      <c r="CI672" s="24" t="n"/>
      <c r="CJ672" s="24" t="n"/>
      <c r="CK672" s="24" t="n"/>
      <c r="CL672" s="24" t="n"/>
      <c r="CM672" s="24" t="n"/>
      <c r="CN672" s="24" t="n"/>
      <c r="CO672" s="24" t="n"/>
      <c r="CP672" s="24" t="n"/>
      <c r="CQ672" s="24" t="n"/>
      <c r="CR672" s="24" t="n"/>
      <c r="CS672" s="24" t="inlineStr">
        <is>
          <t>True</t>
        </is>
      </c>
      <c r="CT672" s="24" t="n"/>
      <c r="CU672" s="24" t="n"/>
      <c r="CV672" s="24" t="n"/>
      <c r="CW672" s="24" t="n"/>
      <c r="CX672" s="24" t="n"/>
      <c r="CY672" s="24" t="n"/>
      <c r="CZ672" s="24" t="n"/>
      <c r="DA672" s="24" t="n"/>
      <c r="DB672" s="24" t="n"/>
      <c r="DC672" s="24" t="n"/>
      <c r="DD672" s="24" t="n"/>
      <c r="DE672" s="24" t="n"/>
      <c r="DF672" s="24" t="n"/>
      <c r="DG672" s="24" t="n"/>
      <c r="DH672" s="24" t="n"/>
      <c r="DI672" s="24" t="n"/>
      <c r="DJ672" s="24" t="inlineStr">
        <is>
          <t>0.52381</t>
        </is>
      </c>
      <c r="DK672" s="24" t="n"/>
      <c r="DL672" s="24" t="n"/>
      <c r="DM672" s="24" t="n"/>
      <c r="DN672" s="24" t="n"/>
      <c r="DO672" s="24" t="n"/>
      <c r="DP672" s="24" t="n"/>
      <c r="DQ672" s="24" t="inlineStr">
        <is>
          <t>{"artifact_hash": "1d168f11d221cd3c", "event_id": "401862787", "event_start_utc": "2026-10-03T15:00Z", "features": {"altitude_fatigue_penalty": 0.0, "away_team": "Memphis Tigers", "efficiency_gap": -0.629, "elo_away": 1602.6, "elo_home": 1110.6, "elo_home_win_prob": 0.0788, "event_id": "401862787", "game_start_utc": "2026-10-03T15:00Z", "home_field_advantage_points": 2.8, "home_team": "Charlotte 49ers", "is_dome": false, "is_fbs_vs_fcs": false, "is_neutral_site": false, "projected_away_points": 35.9, "projected_home_points": 18.4, "projected_margin_home": -17.4, "projected_possessions": 12.4, "projected_total": 54.3, "stadium_elevation_ft": 730, "travel_distance_miles": 521.0, "uncertainty": 0.18, "weather_total_adjustment": 0.0}, "historical_source_observation_times_verified": false, "inference_inputs": {"engine_source_sha256": "449ba2f0e86fa9c445730076a0e0bf100fb4914620be53c75c6f3bfe24298f3f", "mu_away": 35.9,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20.5, "total_line": 52.5}, "market_type": "spread", "model_version": "cfb-spread-v1", "observed_at_utc": "2026-10-03T10:53:30.577635+00:00", "probabilities": {"away": 0.4248, "home": 0.5752, "push": 0.0}, "replay_scope": "Full precision score means, exact engine parameters and original RNG state; upstream feature construction not certified.", "schema": "cfb-joint-replay-v1", "snapshot_hash": "ed504af521d5325fa76fd93a8eaf3b68517b89d4ad1ecf873d8c45d88201fb60", "sport": "NCAAF"}</t>
        </is>
      </c>
    </row>
    <row r="673" ht="36" customHeight="1">
      <c r="A673" s="24" t="inlineStr">
        <is>
          <t>bc94a6c037084be7</t>
        </is>
      </c>
      <c r="B673" s="24" t="inlineStr">
        <is>
          <t>2026-10-03T10:53:30.577635Z</t>
        </is>
      </c>
      <c r="C673" s="24" t="inlineStr">
        <is>
          <t>2026-10-03T15:00Z</t>
        </is>
      </c>
      <c r="D673" s="24" t="inlineStr">
        <is>
          <t>401862787</t>
        </is>
      </c>
      <c r="E673" s="24" t="inlineStr">
        <is>
          <t>NCAAF</t>
        </is>
      </c>
      <c r="F673" s="24" t="inlineStr">
        <is>
          <t>Memphis Tigers</t>
        </is>
      </c>
      <c r="G673" s="24" t="inlineStr">
        <is>
          <t>Charlotte 49ers</t>
        </is>
      </c>
      <c r="H673" s="24" t="inlineStr">
        <is>
          <t>total</t>
        </is>
      </c>
      <c r="I673" s="24" t="inlineStr">
        <is>
          <t>over</t>
        </is>
      </c>
      <c r="J673" s="25" t="n">
        <v>52.5</v>
      </c>
      <c r="K673" s="24" t="inlineStr">
        <is>
          <t>espn_consensus</t>
        </is>
      </c>
      <c r="L673" s="26" t="n">
        <v>-108</v>
      </c>
      <c r="M673" s="27" t="n">
        <v>1.925926</v>
      </c>
      <c r="N673" s="28" t="n">
        <v>0.519231</v>
      </c>
      <c r="O673" s="28" t="n">
        <v>0.504667</v>
      </c>
      <c r="P673" s="28" t="n">
        <v>0.18</v>
      </c>
      <c r="Q673" s="28" t="n">
        <v>-0.014564</v>
      </c>
      <c r="R673" s="26" t="n">
        <v>0</v>
      </c>
      <c r="S673" s="29" t="n">
        <v>1</v>
      </c>
      <c r="T673" s="24" t="inlineStr">
        <is>
          <t>cfb-total-v1</t>
        </is>
      </c>
      <c r="U673" s="24" t="inlineStr">
        <is>
          <t>settled</t>
        </is>
      </c>
      <c r="V673" s="24" t="inlineStr">
        <is>
          <t>win</t>
        </is>
      </c>
      <c r="W673" s="26" t="n">
        <v>59</v>
      </c>
      <c r="X673" s="26" t="n">
        <v>8</v>
      </c>
      <c r="Y673" s="25" t="n"/>
      <c r="Z673" s="26" t="n"/>
      <c r="AA673" s="28" t="n"/>
      <c r="AB673" s="28" t="n"/>
      <c r="AC673" s="30" t="n">
        <v>0.9258999999999999</v>
      </c>
      <c r="AD673" s="24" t="inlineStr">
        <is>
          <t>2026-10-03T22:00:17.550372Z</t>
        </is>
      </c>
      <c r="AE673" s="31" t="inlineStr">
        <is>
          <t>Projected total 54.3 pts (Weather adj: +0.0 pts). Total line 52.5 -&gt; P(Over)=0.505, P(Under)=0.495, P(Push)=0.000.</t>
        </is>
      </c>
      <c r="AF673" s="31" t="inlineStr">
        <is>
          <t>College football model; multi-market (moneyline, spread, total).</t>
        </is>
      </c>
      <c r="AG673" s="24" t="inlineStr">
        <is>
          <t>not_applicable</t>
        </is>
      </c>
      <c r="AH673" s="24" t="n"/>
      <c r="AI673" s="31" t="n"/>
      <c r="AJ673" s="31" t="n"/>
      <c r="AK673" s="24" t="inlineStr">
        <is>
          <t>paper_call</t>
        </is>
      </c>
      <c r="AL673" s="26" t="n">
        <v>4</v>
      </c>
      <c r="AM673" s="24" t="inlineStr">
        <is>
          <t>RESEARCH_OBSERVATION</t>
        </is>
      </c>
      <c r="AN673" s="24" t="inlineStr">
        <is>
          <t>CALL</t>
        </is>
      </c>
      <c r="AO673" s="24" t="inlineStr">
        <is>
          <t>PAPER_CALL_LOW_EDGE</t>
        </is>
      </c>
      <c r="AP673" s="24" t="inlineStr">
        <is>
          <t>Memphis Tigers</t>
        </is>
      </c>
      <c r="AQ673" s="24" t="inlineStr">
        <is>
          <t>Memphis Tigers</t>
        </is>
      </c>
      <c r="AR673" s="24" t="inlineStr">
        <is>
          <t>Memphis Tigers</t>
        </is>
      </c>
      <c r="AS673" s="24" t="inlineStr">
        <is>
          <t>Charlotte 49ers</t>
        </is>
      </c>
      <c r="AT673" s="24" t="inlineStr">
        <is>
          <t>Charlotte 49ers</t>
        </is>
      </c>
      <c r="AU673" s="24" t="inlineStr">
        <is>
          <t>Charlotte 49ers</t>
        </is>
      </c>
      <c r="AV673" s="24" t="n"/>
      <c r="AW673" s="24" t="n"/>
      <c r="AX673" s="24" t="inlineStr">
        <is>
          <t>statistical_model</t>
        </is>
      </c>
      <c r="AY673" s="24" t="n"/>
      <c r="AZ673" s="24" t="inlineStr">
        <is>
          <t>shadow_qualified</t>
        </is>
      </c>
      <c r="BA673" s="24" t="inlineStr">
        <is>
          <t>1d168f11d221cd3c</t>
        </is>
      </c>
      <c r="BB673" s="24" t="inlineStr">
        <is>
          <t>cfb_key_number_engine</t>
        </is>
      </c>
      <c r="BC673" s="24" t="inlineStr">
        <is>
          <t>cfb-total-v1</t>
        </is>
      </c>
      <c r="BD673" s="24" t="inlineStr">
        <is>
          <t>1d168f11d221cd3c</t>
        </is>
      </c>
      <c r="BE673" s="24" t="inlineStr">
        <is>
          <t>cfb-v1</t>
        </is>
      </c>
      <c r="BF673" s="24" t="inlineStr">
        <is>
          <t>1</t>
        </is>
      </c>
      <c r="BG673" s="24" t="inlineStr">
        <is>
          <t>1d168f11d221cd3c</t>
        </is>
      </c>
      <c r="BH673" s="24" t="inlineStr">
        <is>
          <t>2026-10-03T10:53:30.577635+00:00</t>
        </is>
      </c>
      <c r="BI673" s="24" t="inlineStr">
        <is>
          <t>["same_event","same_team_same_day","same_league_same_day"]</t>
        </is>
      </c>
      <c r="BJ673" s="25" t="n">
        <v>52.5</v>
      </c>
      <c r="BK673" s="26" t="n">
        <v>-108</v>
      </c>
      <c r="BL673" s="27" t="n">
        <v>1.925926</v>
      </c>
      <c r="BM673" s="28" t="n">
        <v>0.519231</v>
      </c>
      <c r="BN673" s="28" t="n"/>
      <c r="BO673" s="28" t="n"/>
      <c r="BP673" s="25" t="n"/>
      <c r="BQ673" s="27" t="n"/>
      <c r="BR673" s="28" t="n"/>
      <c r="BS673" s="28" t="n"/>
      <c r="BT673" s="28" t="n"/>
      <c r="BU673" s="25" t="n"/>
      <c r="BV673" s="29" t="n"/>
      <c r="BW673" s="24" t="n"/>
      <c r="BX673" s="30" t="n">
        <v>1</v>
      </c>
      <c r="BY673" s="27" t="n">
        <v>0.925926</v>
      </c>
      <c r="BZ673" s="24" t="inlineStr">
        <is>
          <t>2026-10-03T22:00:17.550372Z</t>
        </is>
      </c>
      <c r="CA673" s="31" t="inlineStr">
        <is>
          <t>fixed one-unit hypothetical scoring; no real exposure or execution</t>
        </is>
      </c>
      <c r="CB673" s="24" t="n"/>
      <c r="CC673" s="24" t="n"/>
      <c r="CD673" s="24" t="n"/>
      <c r="CE673" s="24" t="n"/>
      <c r="CF673" s="24" t="n"/>
      <c r="CG673" s="24" t="n"/>
      <c r="CH673" s="24" t="n"/>
      <c r="CI673" s="24" t="n"/>
      <c r="CJ673" s="24" t="n"/>
      <c r="CK673" s="24" t="n"/>
      <c r="CL673" s="24" t="n"/>
      <c r="CM673" s="24" t="n"/>
      <c r="CN673" s="24" t="n"/>
      <c r="CO673" s="24" t="n"/>
      <c r="CP673" s="24" t="n"/>
      <c r="CQ673" s="24" t="n"/>
      <c r="CR673" s="24" t="n"/>
      <c r="CS673" s="24" t="inlineStr">
        <is>
          <t>False</t>
        </is>
      </c>
      <c r="CT673" s="24" t="n"/>
      <c r="CU673" s="24" t="n"/>
      <c r="CV673" s="24" t="n"/>
      <c r="CW673" s="24" t="n"/>
      <c r="CX673" s="24" t="n"/>
      <c r="CY673" s="24" t="n"/>
      <c r="CZ673" s="24" t="n"/>
      <c r="DA673" s="24" t="n"/>
      <c r="DB673" s="24" t="n"/>
      <c r="DC673" s="24" t="n"/>
      <c r="DD673" s="24" t="n"/>
      <c r="DE673" s="24" t="n"/>
      <c r="DF673" s="24" t="n"/>
      <c r="DG673" s="24" t="n"/>
      <c r="DH673" s="24" t="n"/>
      <c r="DI673" s="24" t="n"/>
      <c r="DJ673" s="24" t="inlineStr">
        <is>
          <t>0.519231</t>
        </is>
      </c>
      <c r="DK673" s="24" t="n"/>
      <c r="DL673" s="24" t="n"/>
      <c r="DM673" s="24" t="n"/>
      <c r="DN673" s="24" t="n"/>
      <c r="DO673" s="24" t="n"/>
      <c r="DP673" s="24" t="n"/>
      <c r="DQ673" s="24" t="inlineStr">
        <is>
          <t>{"artifact_hash": "1d168f11d221cd3c", "event_id": "401862787", "event_start_utc": "2026-10-03T15:00Z", "features": {"altitude_fatigue_penalty": 0.0, "away_team": "Memphis Tigers", "efficiency_gap": -0.629, "elo_away": 1602.6, "elo_home": 1110.6, "elo_home_win_prob": 0.0788, "event_id": "401862787", "game_start_utc": "2026-10-03T15:00Z", "home_field_advantage_points": 2.8, "home_team": "Charlotte 49ers", "is_dome": false, "is_fbs_vs_fcs": false, "is_neutral_site": false, "projected_away_points": 35.9, "projected_home_points": 18.4, "projected_margin_home": -17.4, "projected_possessions": 12.4, "projected_total": 54.3, "stadium_elevation_ft": 730, "travel_distance_miles": 521.0, "uncertainty": 0.18, "weather_total_adjustment": 0.0}, "historical_source_observation_times_verified": false, "inference_inputs": {"engine_source_sha256": "449ba2f0e86fa9c445730076a0e0bf100fb4914620be53c75c6f3bfe24298f3f", "mu_away": 35.9,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20.5, "total_line": 52.5}, "market_type": "total", "model_version": "cfb-total-v1", "observed_at_utc": "2026-10-03T10:53:30.577635+00:00", "probabilities": {"over": 0.504667, "push": 0.0, "under": 0.495333}, "replay_scope": "Full precision score means, exact engine parameters and original RNG state; upstream feature construction not certified.", "schema": "cfb-joint-replay-v1", "snapshot_hash": "0d70bceb3f261e09c71b84ec3ca9e1966375c3c1acad5fafbf47e7cd4c46a056", "sport": "NCAAF"}</t>
        </is>
      </c>
    </row>
    <row r="674" ht="36" customHeight="1">
      <c r="A674" s="24" t="inlineStr">
        <is>
          <t>96669858b20a4b9e</t>
        </is>
      </c>
      <c r="B674" s="24" t="inlineStr">
        <is>
          <t>2026-10-03T10:53:30.577635Z</t>
        </is>
      </c>
      <c r="C674" s="24" t="inlineStr">
        <is>
          <t>2026-10-03T16:00Z</t>
        </is>
      </c>
      <c r="D674" s="24" t="inlineStr">
        <is>
          <t>401858250</t>
        </is>
      </c>
      <c r="E674" s="24" t="inlineStr">
        <is>
          <t>NCAAF</t>
        </is>
      </c>
      <c r="F674" s="24" t="inlineStr">
        <is>
          <t>Notre Dame Fighting Irish</t>
        </is>
      </c>
      <c r="G674" s="24" t="inlineStr">
        <is>
          <t>North Carolina Tar Heels</t>
        </is>
      </c>
      <c r="H674" s="24" t="inlineStr">
        <is>
          <t>moneyline</t>
        </is>
      </c>
      <c r="I674" s="24" t="inlineStr">
        <is>
          <t>away</t>
        </is>
      </c>
      <c r="J674" s="25" t="n"/>
      <c r="K674" s="24" t="inlineStr">
        <is>
          <t>espn_consensus</t>
        </is>
      </c>
      <c r="L674" s="26" t="n">
        <v>-1650</v>
      </c>
      <c r="M674" s="27" t="n">
        <v>1.060606</v>
      </c>
      <c r="N674" s="28" t="n">
        <v>0.9428569999999999</v>
      </c>
      <c r="O674" s="28" t="n">
        <v>0.8349569999999999</v>
      </c>
      <c r="P674" s="28" t="n">
        <v>0.165</v>
      </c>
      <c r="Q674" s="28" t="n">
        <v>-0.1079</v>
      </c>
      <c r="R674" s="26" t="n">
        <v>0</v>
      </c>
      <c r="S674" s="29" t="n">
        <v>1</v>
      </c>
      <c r="T674" s="24" t="inlineStr">
        <is>
          <t>college-football-v1</t>
        </is>
      </c>
      <c r="U674" s="24" t="inlineStr">
        <is>
          <t>settled</t>
        </is>
      </c>
      <c r="V674" s="24" t="inlineStr">
        <is>
          <t>win</t>
        </is>
      </c>
      <c r="W674" s="26" t="n">
        <v>37</v>
      </c>
      <c r="X674" s="26" t="n">
        <v>26</v>
      </c>
      <c r="Y674" s="25" t="n"/>
      <c r="Z674" s="26" t="n"/>
      <c r="AA674" s="28" t="n"/>
      <c r="AB674" s="28" t="n"/>
      <c r="AC674" s="30" t="n">
        <v>0.0606</v>
      </c>
      <c r="AD674" s="24" t="inlineStr">
        <is>
          <t>2026-10-03T22:00:18.185409Z</t>
        </is>
      </c>
      <c r="AE674" s="31" t="inlineStr">
        <is>
          <t>CFB Joint Model (negative_binomial): proj score Notre Dame Fighting Irish 36.3 @ North Carolina Tar Heels 18.0 (Margin -18.3). Possessions: 12.4, HFA: +2.8 pts.</t>
        </is>
      </c>
      <c r="AF674" s="31" t="inlineStr">
        <is>
          <t>College football model; multi-market (moneyline, spread, total).</t>
        </is>
      </c>
      <c r="AG674" s="24" t="inlineStr">
        <is>
          <t>not_applicable</t>
        </is>
      </c>
      <c r="AH674" s="24" t="n"/>
      <c r="AI674" s="31" t="n"/>
      <c r="AJ674" s="31" t="n"/>
      <c r="AK674" s="24" t="inlineStr">
        <is>
          <t>paper_call</t>
        </is>
      </c>
      <c r="AL674" s="26" t="n">
        <v>4</v>
      </c>
      <c r="AM674" s="24" t="inlineStr">
        <is>
          <t>RESEARCH_OBSERVATION</t>
        </is>
      </c>
      <c r="AN674" s="24" t="inlineStr">
        <is>
          <t>CALL</t>
        </is>
      </c>
      <c r="AO674" s="24" t="inlineStr">
        <is>
          <t>PAPER_CALL_LOW_EDGE</t>
        </is>
      </c>
      <c r="AP674" s="24" t="inlineStr">
        <is>
          <t>Notre Dame Fighting Irish</t>
        </is>
      </c>
      <c r="AQ674" s="24" t="inlineStr">
        <is>
          <t>Notre Dame Fighting Irish</t>
        </is>
      </c>
      <c r="AR674" s="24" t="inlineStr">
        <is>
          <t>Notre Dame Fighting Irish</t>
        </is>
      </c>
      <c r="AS674" s="24" t="inlineStr">
        <is>
          <t>North Carolina Tar Heels</t>
        </is>
      </c>
      <c r="AT674" s="24" t="inlineStr">
        <is>
          <t>North Carolina Tar Heels</t>
        </is>
      </c>
      <c r="AU674" s="24" t="inlineStr">
        <is>
          <t>North Carolina Tar Heels</t>
        </is>
      </c>
      <c r="AV674" s="24" t="n"/>
      <c r="AW674" s="24" t="n"/>
      <c r="AX674" s="24" t="inlineStr">
        <is>
          <t>statistical_model</t>
        </is>
      </c>
      <c r="AY674" s="24" t="n"/>
      <c r="AZ674" s="24" t="inlineStr">
        <is>
          <t>shadow_qualified</t>
        </is>
      </c>
      <c r="BA674" s="24" t="inlineStr">
        <is>
          <t>1d168f11d221cd3c</t>
        </is>
      </c>
      <c r="BB674" s="24" t="inlineStr">
        <is>
          <t>cfb_key_number_engine</t>
        </is>
      </c>
      <c r="BC674" s="24" t="inlineStr">
        <is>
          <t>college-football-v1</t>
        </is>
      </c>
      <c r="BD674" s="24" t="inlineStr">
        <is>
          <t>1d168f11d221cd3c</t>
        </is>
      </c>
      <c r="BE674" s="24" t="inlineStr">
        <is>
          <t>cfb-v1</t>
        </is>
      </c>
      <c r="BF674" s="24" t="inlineStr">
        <is>
          <t>1</t>
        </is>
      </c>
      <c r="BG674" s="24" t="inlineStr">
        <is>
          <t>1d168f11d221cd3c</t>
        </is>
      </c>
      <c r="BH674" s="24" t="inlineStr">
        <is>
          <t>2026-10-03T10:53:30.577635+00:00</t>
        </is>
      </c>
      <c r="BI674" s="24" t="inlineStr">
        <is>
          <t>["same_event","same_team_same_day","same_league_same_day"]</t>
        </is>
      </c>
      <c r="BJ674" s="25" t="n"/>
      <c r="BK674" s="26" t="n">
        <v>-1650</v>
      </c>
      <c r="BL674" s="27" t="n">
        <v>1.060606</v>
      </c>
      <c r="BM674" s="28" t="n">
        <v>0.9428569999999999</v>
      </c>
      <c r="BN674" s="28" t="n"/>
      <c r="BO674" s="28" t="n"/>
      <c r="BP674" s="25" t="n"/>
      <c r="BQ674" s="27" t="n"/>
      <c r="BR674" s="28" t="n"/>
      <c r="BS674" s="28" t="n"/>
      <c r="BT674" s="28" t="n"/>
      <c r="BU674" s="25" t="n"/>
      <c r="BV674" s="29" t="n"/>
      <c r="BW674" s="24" t="n"/>
      <c r="BX674" s="30" t="n">
        <v>1</v>
      </c>
      <c r="BY674" s="27" t="n">
        <v>0.060606</v>
      </c>
      <c r="BZ674" s="24" t="inlineStr">
        <is>
          <t>2026-10-03T22:00:18.185409Z</t>
        </is>
      </c>
      <c r="CA674" s="31" t="inlineStr">
        <is>
          <t>fixed one-unit hypothetical scoring; no real exposure or execution</t>
        </is>
      </c>
      <c r="CB674" s="24" t="n"/>
      <c r="CC674" s="24" t="n"/>
      <c r="CD674" s="24" t="n"/>
      <c r="CE674" s="24" t="n"/>
      <c r="CF674" s="24" t="n"/>
      <c r="CG674" s="24" t="n"/>
      <c r="CH674" s="24" t="n"/>
      <c r="CI674" s="24" t="n"/>
      <c r="CJ674" s="24" t="n"/>
      <c r="CK674" s="24" t="n"/>
      <c r="CL674" s="24" t="n"/>
      <c r="CM674" s="24" t="n"/>
      <c r="CN674" s="24" t="n"/>
      <c r="CO674" s="24" t="n"/>
      <c r="CP674" s="24" t="n"/>
      <c r="CQ674" s="24" t="n"/>
      <c r="CR674" s="24" t="n"/>
      <c r="CS674" s="24" t="inlineStr">
        <is>
          <t>False</t>
        </is>
      </c>
      <c r="CT674" s="24" t="n"/>
      <c r="CU674" s="24" t="n"/>
      <c r="CV674" s="24" t="n"/>
      <c r="CW674" s="24" t="n"/>
      <c r="CX674" s="24" t="n"/>
      <c r="CY674" s="24" t="n"/>
      <c r="CZ674" s="24" t="n"/>
      <c r="DA674" s="24" t="n"/>
      <c r="DB674" s="24" t="n"/>
      <c r="DC674" s="24" t="n"/>
      <c r="DD674" s="24" t="n"/>
      <c r="DE674" s="24" t="n"/>
      <c r="DF674" s="24" t="n"/>
      <c r="DG674" s="24" t="n"/>
      <c r="DH674" s="24" t="n"/>
      <c r="DI674" s="24" t="n"/>
      <c r="DJ674" s="24" t="inlineStr">
        <is>
          <t>0.942857</t>
        </is>
      </c>
      <c r="DK674" s="24" t="n"/>
      <c r="DL674" s="24" t="n"/>
      <c r="DM674" s="24" t="n"/>
      <c r="DN674" s="24" t="n"/>
      <c r="DO674" s="24" t="n"/>
      <c r="DP674" s="24" t="n"/>
      <c r="DQ674" s="24" t="inlineStr">
        <is>
          <t>{"artifact_hash": "1d168f11d221cd3c", "event_id": "401858250", "event_start_utc": "2026-10-03T16:00Z", "features": {"altitude_fatigue_penalty": 0.0, "away_team": "Notre Dame Fighting Irish", "efficiency_gap": -1.049, "elo_away": 1898.5, "elo_home": 1370.7, "elo_home_win_prob": 0.0651, "event_id": "401858250", "game_start_utc": "2026-10-03T16:00Z", "home_field_advantage_points": 2.8, "home_team": "North Carolina Tar Heels", "is_dome": false, "is_fbs_vs_fcs": false, "is_neutral_site": false, "projected_away_points": 36.3, "projected_home_points": 18.0, "projected_margin_home": -18.3, "projected_possessions": 12.4, "projected_total": 54.2, "stadium_elevation_ft": 500, "travel_distance_miles": 556.0, "uncertainty": 0.165, "weather_total_adjustment": 0.0}, "historical_source_observation_times_verified": false, "inference_inputs": {"engine_source_sha256": "449ba2f0e86fa9c445730076a0e0bf100fb4914620be53c75c6f3bfe24298f3f", "mu_away": 36.3, "mu_home": 18.0,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219150252657522874364809895964019365272}, "uinteger": 0}, "spread_home_line": 21.0, "total_line": 46.5}, "market_type": "moneyline", "model_version": "college-football-v1", "observed_at_utc": "2026-10-03T10:53:30.577635+00:00", "probabilities": {"away": 0.834957, "home": 0.165043}, "replay_scope": "Full precision score means, exact engine parameters and original RNG state; upstream feature construction not certified.", "schema": "cfb-joint-replay-v1", "snapshot_hash": "b0ee9120706c92f437ed32775ae0858e03b0bf7d21b53c8a318f4ad9ef5dcc6f", "sport": "NCAAF"}</t>
        </is>
      </c>
    </row>
    <row r="675" ht="36" customHeight="1">
      <c r="A675" s="24" t="inlineStr">
        <is>
          <t>c8faf40e5db140fd</t>
        </is>
      </c>
      <c r="B675" s="24" t="inlineStr">
        <is>
          <t>2026-10-03T10:53:30.577635Z</t>
        </is>
      </c>
      <c r="C675" s="24" t="inlineStr">
        <is>
          <t>2026-10-03T16:00Z</t>
        </is>
      </c>
      <c r="D675" s="24" t="inlineStr">
        <is>
          <t>401858250</t>
        </is>
      </c>
      <c r="E675" s="24" t="inlineStr">
        <is>
          <t>NCAAF</t>
        </is>
      </c>
      <c r="F675" s="24" t="inlineStr">
        <is>
          <t>Notre Dame Fighting Irish</t>
        </is>
      </c>
      <c r="G675" s="24" t="inlineStr">
        <is>
          <t>North Carolina Tar Heels</t>
        </is>
      </c>
      <c r="H675" s="24" t="inlineStr">
        <is>
          <t>spread</t>
        </is>
      </c>
      <c r="I675" s="24" t="inlineStr">
        <is>
          <t>home</t>
        </is>
      </c>
      <c r="J675" s="25" t="n">
        <v>21</v>
      </c>
      <c r="K675" s="24" t="inlineStr">
        <is>
          <t>espn_consensus</t>
        </is>
      </c>
      <c r="L675" s="26" t="n">
        <v>-108</v>
      </c>
      <c r="M675" s="27" t="n">
        <v>1.925926</v>
      </c>
      <c r="N675" s="28" t="n">
        <v>0.519231</v>
      </c>
      <c r="O675" s="28" t="n">
        <v>0.5558</v>
      </c>
      <c r="P675" s="28" t="n">
        <v>0.165</v>
      </c>
      <c r="Q675" s="28" t="n">
        <v>0.036569</v>
      </c>
      <c r="R675" s="26" t="n">
        <v>0</v>
      </c>
      <c r="S675" s="29" t="n">
        <v>1</v>
      </c>
      <c r="T675" s="24" t="inlineStr">
        <is>
          <t>cfb-spread-v1</t>
        </is>
      </c>
      <c r="U675" s="24" t="inlineStr">
        <is>
          <t>settled</t>
        </is>
      </c>
      <c r="V675" s="24" t="inlineStr">
        <is>
          <t>win</t>
        </is>
      </c>
      <c r="W675" s="26" t="n">
        <v>37</v>
      </c>
      <c r="X675" s="26" t="n">
        <v>26</v>
      </c>
      <c r="Y675" s="25" t="n"/>
      <c r="Z675" s="26" t="n"/>
      <c r="AA675" s="28" t="n"/>
      <c r="AB675" s="28" t="n"/>
      <c r="AC675" s="30" t="n">
        <v>0.9258999999999999</v>
      </c>
      <c r="AD675" s="24" t="inlineStr">
        <is>
          <t>2026-10-03T22:00:18.793229Z</t>
        </is>
      </c>
      <c r="AE675" s="31" t="inlineStr">
        <is>
          <t>Projected home margin -18.3 pts. Spread: Home +21.0 / Away -21.0 -&gt; P(Away cover)=0.422, P(Home cover)=0.556, P(Push)=0.023.</t>
        </is>
      </c>
      <c r="AF675" s="31" t="inlineStr">
        <is>
          <t>College football model; multi-market (moneyline, spread, total).</t>
        </is>
      </c>
      <c r="AG675" s="24" t="inlineStr">
        <is>
          <t>not_applicable</t>
        </is>
      </c>
      <c r="AH675" s="24" t="n"/>
      <c r="AI675" s="31" t="n"/>
      <c r="AJ675" s="31" t="n"/>
      <c r="AK675" s="24" t="inlineStr">
        <is>
          <t>model_qualified</t>
        </is>
      </c>
      <c r="AL675" s="26" t="n">
        <v>4</v>
      </c>
      <c r="AM675" s="24" t="inlineStr">
        <is>
          <t>QUALIFIED_SHADOW_CALL</t>
        </is>
      </c>
      <c r="AN675" s="24" t="inlineStr">
        <is>
          <t>CALL</t>
        </is>
      </c>
      <c r="AO675" s="24" t="inlineStr">
        <is>
          <t>QUALIFIED</t>
        </is>
      </c>
      <c r="AP675" s="24" t="inlineStr">
        <is>
          <t>Notre Dame Fighting Irish</t>
        </is>
      </c>
      <c r="AQ675" s="24" t="inlineStr">
        <is>
          <t>Notre Dame Fighting Irish</t>
        </is>
      </c>
      <c r="AR675" s="24" t="inlineStr">
        <is>
          <t>Notre Dame Fighting Irish</t>
        </is>
      </c>
      <c r="AS675" s="24" t="inlineStr">
        <is>
          <t>North Carolina Tar Heels</t>
        </is>
      </c>
      <c r="AT675" s="24" t="inlineStr">
        <is>
          <t>North Carolina Tar Heels</t>
        </is>
      </c>
      <c r="AU675" s="24" t="inlineStr">
        <is>
          <t>North Carolina Tar Heels</t>
        </is>
      </c>
      <c r="AV675" s="24" t="n"/>
      <c r="AW675" s="24" t="n"/>
      <c r="AX675" s="24" t="inlineStr">
        <is>
          <t>statistical_model</t>
        </is>
      </c>
      <c r="AY675" s="24" t="n"/>
      <c r="AZ675" s="24" t="inlineStr">
        <is>
          <t>shadow_qualified</t>
        </is>
      </c>
      <c r="BA675" s="24" t="inlineStr">
        <is>
          <t>1d168f11d221cd3c</t>
        </is>
      </c>
      <c r="BB675" s="24" t="inlineStr">
        <is>
          <t>cfb_key_number_engine</t>
        </is>
      </c>
      <c r="BC675" s="24" t="inlineStr">
        <is>
          <t>cfb-spread-v1</t>
        </is>
      </c>
      <c r="BD675" s="24" t="inlineStr">
        <is>
          <t>1d168f11d221cd3c</t>
        </is>
      </c>
      <c r="BE675" s="24" t="inlineStr">
        <is>
          <t>cfb-v1</t>
        </is>
      </c>
      <c r="BF675" s="24" t="inlineStr">
        <is>
          <t>1</t>
        </is>
      </c>
      <c r="BG675" s="24" t="inlineStr">
        <is>
          <t>1d168f11d221cd3c</t>
        </is>
      </c>
      <c r="BH675" s="24" t="inlineStr">
        <is>
          <t>2026-10-03T10:53:30.577635+00:00</t>
        </is>
      </c>
      <c r="BI675" s="24" t="inlineStr">
        <is>
          <t>["same_event","same_team_same_day","same_league_same_day"]</t>
        </is>
      </c>
      <c r="BJ675" s="25" t="n">
        <v>21</v>
      </c>
      <c r="BK675" s="26" t="n">
        <v>-108</v>
      </c>
      <c r="BL675" s="27" t="n">
        <v>1.925926</v>
      </c>
      <c r="BM675" s="28" t="n">
        <v>0.519231</v>
      </c>
      <c r="BN675" s="28" t="n"/>
      <c r="BO675" s="28" t="n"/>
      <c r="BP675" s="25" t="n"/>
      <c r="BQ675" s="27" t="n"/>
      <c r="BR675" s="28" t="n"/>
      <c r="BS675" s="28" t="n"/>
      <c r="BT675" s="28" t="n"/>
      <c r="BU675" s="25" t="n"/>
      <c r="BV675" s="29" t="n"/>
      <c r="BW675" s="24" t="n"/>
      <c r="BX675" s="30" t="n"/>
      <c r="BY675" s="27" t="n"/>
      <c r="BZ675" s="24" t="n"/>
      <c r="CA675" s="31" t="n"/>
      <c r="CB675" s="24" t="n"/>
      <c r="CC675" s="24" t="n"/>
      <c r="CD675" s="24" t="n"/>
      <c r="CE675" s="24" t="n"/>
      <c r="CF675" s="24" t="n"/>
      <c r="CG675" s="24" t="n"/>
      <c r="CH675" s="24" t="n"/>
      <c r="CI675" s="24" t="n"/>
      <c r="CJ675" s="24" t="n"/>
      <c r="CK675" s="24" t="n"/>
      <c r="CL675" s="24" t="n"/>
      <c r="CM675" s="24" t="n"/>
      <c r="CN675" s="24" t="n"/>
      <c r="CO675" s="24" t="n"/>
      <c r="CP675" s="24" t="n"/>
      <c r="CQ675" s="24" t="n"/>
      <c r="CR675" s="24" t="n"/>
      <c r="CS675" s="24" t="inlineStr">
        <is>
          <t>True</t>
        </is>
      </c>
      <c r="CT675" s="24" t="n"/>
      <c r="CU675" s="24" t="n"/>
      <c r="CV675" s="24" t="n"/>
      <c r="CW675" s="24" t="n"/>
      <c r="CX675" s="24" t="n"/>
      <c r="CY675" s="24" t="n"/>
      <c r="CZ675" s="24" t="n"/>
      <c r="DA675" s="24" t="n"/>
      <c r="DB675" s="24" t="n"/>
      <c r="DC675" s="24" t="n"/>
      <c r="DD675" s="24" t="n"/>
      <c r="DE675" s="24" t="n"/>
      <c r="DF675" s="24" t="n"/>
      <c r="DG675" s="24" t="n"/>
      <c r="DH675" s="24" t="n"/>
      <c r="DI675" s="24" t="n"/>
      <c r="DJ675" s="24" t="inlineStr">
        <is>
          <t>0.519231</t>
        </is>
      </c>
      <c r="DK675" s="24" t="n"/>
      <c r="DL675" s="24" t="n"/>
      <c r="DM675" s="24" t="n"/>
      <c r="DN675" s="24" t="n"/>
      <c r="DO675" s="24" t="n"/>
      <c r="DP675" s="24" t="n"/>
      <c r="DQ675" s="24" t="inlineStr">
        <is>
          <t>{"artifact_hash": "1d168f11d221cd3c", "event_id": "401858250", "event_start_utc": "2026-10-03T16:00Z", "features": {"altitude_fatigue_penalty": 0.0, "away_team": "Notre Dame Fighting Irish", "efficiency_gap": -1.049, "elo_away": 1898.5, "elo_home": 1370.7, "elo_home_win_prob": 0.0651, "event_id": "401858250", "game_start_utc": "2026-10-03T16:00Z", "home_field_advantage_points": 2.8, "home_team": "North Carolina Tar Heels", "is_dome": false, "is_fbs_vs_fcs": false, "is_neutral_site": false, "projected_away_points": 36.3, "projected_home_points": 18.0, "projected_margin_home": -18.3, "projected_possessions": 12.4, "projected_total": 54.2, "stadium_elevation_ft": 500, "travel_distance_miles": 556.0, "uncertainty": 0.165, "weather_total_adjustment": 0.0}, "historical_source_observation_times_verified": false, "inference_inputs": {"engine_source_sha256": "449ba2f0e86fa9c445730076a0e0bf100fb4914620be53c75c6f3bfe24298f3f", "mu_away": 36.3, "mu_home": 18.0,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219150252657522874364809895964019365272}, "uinteger": 0}, "spread_home_line": 21.0, "total_line": 46.5}, "market_type": "spread", "model_version": "cfb-spread-v1", "observed_at_utc": "2026-10-03T10:53:30.577635+00:00", "probabilities": {"away": 0.4216, "home": 0.5558, "push": 0.0226}, "replay_scope": "Full precision score means, exact engine parameters and original RNG state; upstream feature construction not certified.", "schema": "cfb-joint-replay-v1", "snapshot_hash": "20f8d60047836b257d9949e168ba039a0a05404a7f57ef2216066bd62a841703", "sport": "NCAAF"}</t>
        </is>
      </c>
    </row>
    <row r="676" ht="36" customHeight="1">
      <c r="A676" s="24" t="inlineStr">
        <is>
          <t>c2a7d629c8194ac6</t>
        </is>
      </c>
      <c r="B676" s="24" t="inlineStr">
        <is>
          <t>2026-10-03T10:53:30.577635Z</t>
        </is>
      </c>
      <c r="C676" s="24" t="inlineStr">
        <is>
          <t>2026-10-03T16:00Z</t>
        </is>
      </c>
      <c r="D676" s="24" t="inlineStr">
        <is>
          <t>401858250</t>
        </is>
      </c>
      <c r="E676" s="24" t="inlineStr">
        <is>
          <t>NCAAF</t>
        </is>
      </c>
      <c r="F676" s="24" t="inlineStr">
        <is>
          <t>Notre Dame Fighting Irish</t>
        </is>
      </c>
      <c r="G676" s="24" t="inlineStr">
        <is>
          <t>North Carolina Tar Heels</t>
        </is>
      </c>
      <c r="H676" s="24" t="inlineStr">
        <is>
          <t>total</t>
        </is>
      </c>
      <c r="I676" s="24" t="inlineStr">
        <is>
          <t>over</t>
        </is>
      </c>
      <c r="J676" s="25" t="n">
        <v>46.5</v>
      </c>
      <c r="K676" s="24" t="inlineStr">
        <is>
          <t>espn_consensus</t>
        </is>
      </c>
      <c r="L676" s="26" t="n">
        <v>-110</v>
      </c>
      <c r="M676" s="27" t="n">
        <v>1.909091</v>
      </c>
      <c r="N676" s="28" t="n">
        <v>0.52381</v>
      </c>
      <c r="O676" s="28" t="n">
        <v>0.6069329999999999</v>
      </c>
      <c r="P676" s="28" t="n">
        <v>0.165</v>
      </c>
      <c r="Q676" s="28" t="n">
        <v>0.083123</v>
      </c>
      <c r="R676" s="26" t="n">
        <v>0</v>
      </c>
      <c r="S676" s="29" t="n">
        <v>1</v>
      </c>
      <c r="T676" s="24" t="inlineStr">
        <is>
          <t>cfb-total-v1</t>
        </is>
      </c>
      <c r="U676" s="24" t="inlineStr">
        <is>
          <t>settled</t>
        </is>
      </c>
      <c r="V676" s="24" t="inlineStr">
        <is>
          <t>win</t>
        </is>
      </c>
      <c r="W676" s="26" t="n">
        <v>37</v>
      </c>
      <c r="X676" s="26" t="n">
        <v>26</v>
      </c>
      <c r="Y676" s="25" t="n"/>
      <c r="Z676" s="26" t="n"/>
      <c r="AA676" s="28" t="n"/>
      <c r="AB676" s="28" t="n"/>
      <c r="AC676" s="30" t="n">
        <v>0.9091</v>
      </c>
      <c r="AD676" s="24" t="inlineStr">
        <is>
          <t>2026-10-03T22:00:19.397748Z</t>
        </is>
      </c>
      <c r="AE676" s="31" t="inlineStr">
        <is>
          <t>Projected total 54.2 pts (Weather adj: +0.0 pts). Total line 46.5 -&gt; P(Over)=0.607, P(Under)=0.393, P(Push)=0.000.</t>
        </is>
      </c>
      <c r="AF676" s="31" t="inlineStr">
        <is>
          <t>College football model; multi-market (moneyline, spread, total).</t>
        </is>
      </c>
      <c r="AG676" s="24" t="inlineStr">
        <is>
          <t>not_applicable</t>
        </is>
      </c>
      <c r="AH676" s="24" t="n"/>
      <c r="AI676" s="31" t="n"/>
      <c r="AJ676" s="31" t="n"/>
      <c r="AK676" s="24" t="inlineStr">
        <is>
          <t>model_qualified</t>
        </is>
      </c>
      <c r="AL676" s="26" t="n">
        <v>4</v>
      </c>
      <c r="AM676" s="24" t="inlineStr">
        <is>
          <t>QUALIFIED_SHADOW_CALL</t>
        </is>
      </c>
      <c r="AN676" s="24" t="inlineStr">
        <is>
          <t>CALL</t>
        </is>
      </c>
      <c r="AO676" s="24" t="inlineStr">
        <is>
          <t>QUALIFIED</t>
        </is>
      </c>
      <c r="AP676" s="24" t="inlineStr">
        <is>
          <t>Notre Dame Fighting Irish</t>
        </is>
      </c>
      <c r="AQ676" s="24" t="inlineStr">
        <is>
          <t>Notre Dame Fighting Irish</t>
        </is>
      </c>
      <c r="AR676" s="24" t="inlineStr">
        <is>
          <t>Notre Dame Fighting Irish</t>
        </is>
      </c>
      <c r="AS676" s="24" t="inlineStr">
        <is>
          <t>North Carolina Tar Heels</t>
        </is>
      </c>
      <c r="AT676" s="24" t="inlineStr">
        <is>
          <t>North Carolina Tar Heels</t>
        </is>
      </c>
      <c r="AU676" s="24" t="inlineStr">
        <is>
          <t>North Carolina Tar Heels</t>
        </is>
      </c>
      <c r="AV676" s="24" t="n"/>
      <c r="AW676" s="24" t="n"/>
      <c r="AX676" s="24" t="inlineStr">
        <is>
          <t>statistical_model</t>
        </is>
      </c>
      <c r="AY676" s="24" t="n"/>
      <c r="AZ676" s="24" t="inlineStr">
        <is>
          <t>shadow_qualified</t>
        </is>
      </c>
      <c r="BA676" s="24" t="inlineStr">
        <is>
          <t>1d168f11d221cd3c</t>
        </is>
      </c>
      <c r="BB676" s="24" t="inlineStr">
        <is>
          <t>cfb_key_number_engine</t>
        </is>
      </c>
      <c r="BC676" s="24" t="inlineStr">
        <is>
          <t>cfb-total-v1</t>
        </is>
      </c>
      <c r="BD676" s="24" t="inlineStr">
        <is>
          <t>1d168f11d221cd3c</t>
        </is>
      </c>
      <c r="BE676" s="24" t="inlineStr">
        <is>
          <t>cfb-v1</t>
        </is>
      </c>
      <c r="BF676" s="24" t="inlineStr">
        <is>
          <t>1</t>
        </is>
      </c>
      <c r="BG676" s="24" t="inlineStr">
        <is>
          <t>1d168f11d221cd3c</t>
        </is>
      </c>
      <c r="BH676" s="24" t="inlineStr">
        <is>
          <t>2026-10-03T10:53:30.577635+00:00</t>
        </is>
      </c>
      <c r="BI676" s="24" t="inlineStr">
        <is>
          <t>["same_event","same_team_same_day","same_league_same_day"]</t>
        </is>
      </c>
      <c r="BJ676" s="25" t="n">
        <v>46.5</v>
      </c>
      <c r="BK676" s="26" t="n">
        <v>-110</v>
      </c>
      <c r="BL676" s="27" t="n">
        <v>1.909091</v>
      </c>
      <c r="BM676" s="28" t="n">
        <v>0.52381</v>
      </c>
      <c r="BN676" s="28" t="n"/>
      <c r="BO676" s="28" t="n"/>
      <c r="BP676" s="25" t="n"/>
      <c r="BQ676" s="27" t="n"/>
      <c r="BR676" s="28" t="n"/>
      <c r="BS676" s="28" t="n"/>
      <c r="BT676" s="28" t="n"/>
      <c r="BU676" s="25" t="n"/>
      <c r="BV676" s="29" t="n"/>
      <c r="BW676" s="24" t="n"/>
      <c r="BX676" s="30" t="n"/>
      <c r="BY676" s="27" t="n"/>
      <c r="BZ676" s="24" t="n"/>
      <c r="CA676" s="31" t="n"/>
      <c r="CB676" s="24" t="n"/>
      <c r="CC676" s="24" t="n"/>
      <c r="CD676" s="24" t="n"/>
      <c r="CE676" s="24" t="n"/>
      <c r="CF676" s="24" t="n"/>
      <c r="CG676" s="24" t="n"/>
      <c r="CH676" s="24" t="n"/>
      <c r="CI676" s="24" t="n"/>
      <c r="CJ676" s="24" t="n"/>
      <c r="CK676" s="24" t="n"/>
      <c r="CL676" s="24" t="n"/>
      <c r="CM676" s="24" t="n"/>
      <c r="CN676" s="24" t="n"/>
      <c r="CO676" s="24" t="n"/>
      <c r="CP676" s="24" t="n"/>
      <c r="CQ676" s="24" t="n"/>
      <c r="CR676" s="24" t="n"/>
      <c r="CS676" s="24" t="inlineStr">
        <is>
          <t>True</t>
        </is>
      </c>
      <c r="CT676" s="24" t="n"/>
      <c r="CU676" s="24" t="n"/>
      <c r="CV676" s="24" t="n"/>
      <c r="CW676" s="24" t="n"/>
      <c r="CX676" s="24" t="n"/>
      <c r="CY676" s="24" t="n"/>
      <c r="CZ676" s="24" t="n"/>
      <c r="DA676" s="24" t="n"/>
      <c r="DB676" s="24" t="n"/>
      <c r="DC676" s="24" t="n"/>
      <c r="DD676" s="24" t="n"/>
      <c r="DE676" s="24" t="n"/>
      <c r="DF676" s="24" t="n"/>
      <c r="DG676" s="24" t="n"/>
      <c r="DH676" s="24" t="n"/>
      <c r="DI676" s="24" t="n"/>
      <c r="DJ676" s="24" t="inlineStr">
        <is>
          <t>0.52381</t>
        </is>
      </c>
      <c r="DK676" s="24" t="n"/>
      <c r="DL676" s="24" t="n"/>
      <c r="DM676" s="24" t="n"/>
      <c r="DN676" s="24" t="n"/>
      <c r="DO676" s="24" t="n"/>
      <c r="DP676" s="24" t="n"/>
      <c r="DQ676" s="24" t="inlineStr">
        <is>
          <t>{"artifact_hash": "1d168f11d221cd3c", "event_id": "401858250", "event_start_utc": "2026-10-03T16:00Z", "features": {"altitude_fatigue_penalty": 0.0, "away_team": "Notre Dame Fighting Irish", "efficiency_gap": -1.049, "elo_away": 1898.5, "elo_home": 1370.7, "elo_home_win_prob": 0.0651, "event_id": "401858250", "game_start_utc": "2026-10-03T16:00Z", "home_field_advantage_points": 2.8, "home_team": "North Carolina Tar Heels", "is_dome": false, "is_fbs_vs_fcs": false, "is_neutral_site": false, "projected_away_points": 36.3, "projected_home_points": 18.0, "projected_margin_home": -18.3, "projected_possessions": 12.4, "projected_total": 54.2, "stadium_elevation_ft": 500, "travel_distance_miles": 556.0, "uncertainty": 0.165, "weather_total_adjustment": 0.0}, "historical_source_observation_times_verified": false, "inference_inputs": {"engine_source_sha256": "449ba2f0e86fa9c445730076a0e0bf100fb4914620be53c75c6f3bfe24298f3f", "mu_away": 36.3, "mu_home": 18.0,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219150252657522874364809895964019365272}, "uinteger": 0}, "spread_home_line": 21.0, "total_line": 46.5}, "market_type": "total", "model_version": "cfb-total-v1", "observed_at_utc": "2026-10-03T10:53:30.577635+00:00", "probabilities": {"over": 0.606933, "push": 0.0, "under": 0.393067}, "replay_scope": "Full precision score means, exact engine parameters and original RNG state; upstream feature construction not certified.", "schema": "cfb-joint-replay-v1", "snapshot_hash": "c3c8d57f0d898f7a39d11d301122e8e642245c02fde02bbb043553e0e0ace31a", "sport": "NCAAF"}</t>
        </is>
      </c>
    </row>
    <row r="677" ht="36" customHeight="1">
      <c r="A677" s="24" t="inlineStr">
        <is>
          <t>cb117a3f21424bba</t>
        </is>
      </c>
      <c r="B677" s="24" t="inlineStr">
        <is>
          <t>2026-10-03T10:53:30.577635Z</t>
        </is>
      </c>
      <c r="C677" s="24" t="inlineStr">
        <is>
          <t>2026-10-03T16:00Z</t>
        </is>
      </c>
      <c r="D677" s="24" t="inlineStr">
        <is>
          <t>401856707</t>
        </is>
      </c>
      <c r="E677" s="24" t="inlineStr">
        <is>
          <t>NCAAF</t>
        </is>
      </c>
      <c r="F677" s="24" t="inlineStr">
        <is>
          <t>Alabama Crimson Tide</t>
        </is>
      </c>
      <c r="G677" s="24" t="inlineStr">
        <is>
          <t>Mississippi State Bulldogs</t>
        </is>
      </c>
      <c r="H677" s="24" t="inlineStr">
        <is>
          <t>moneyline</t>
        </is>
      </c>
      <c r="I677" s="24" t="inlineStr">
        <is>
          <t>away</t>
        </is>
      </c>
      <c r="J677" s="25" t="n"/>
      <c r="K677" s="24" t="inlineStr">
        <is>
          <t>espn_consensus</t>
        </is>
      </c>
      <c r="L677" s="26" t="n">
        <v>-218</v>
      </c>
      <c r="M677" s="27" t="n">
        <v>1.458716</v>
      </c>
      <c r="N677" s="28" t="n">
        <v>0.685535</v>
      </c>
      <c r="O677" s="28" t="n">
        <v>0.6545069999999999</v>
      </c>
      <c r="P677" s="28" t="n">
        <v>0.165</v>
      </c>
      <c r="Q677" s="28" t="n">
        <v>-0.031028</v>
      </c>
      <c r="R677" s="26" t="n">
        <v>0</v>
      </c>
      <c r="S677" s="29" t="n">
        <v>1</v>
      </c>
      <c r="T677" s="24" t="inlineStr">
        <is>
          <t>college-football-v1</t>
        </is>
      </c>
      <c r="U677" s="24" t="inlineStr">
        <is>
          <t>settled</t>
        </is>
      </c>
      <c r="V677" s="24" t="inlineStr">
        <is>
          <t>win</t>
        </is>
      </c>
      <c r="W677" s="26" t="n">
        <v>56</v>
      </c>
      <c r="X677" s="26" t="n">
        <v>23</v>
      </c>
      <c r="Y677" s="25" t="n"/>
      <c r="Z677" s="26" t="n"/>
      <c r="AA677" s="28" t="n"/>
      <c r="AB677" s="28" t="n"/>
      <c r="AC677" s="30" t="n">
        <v>0.4587</v>
      </c>
      <c r="AD677" s="24" t="inlineStr">
        <is>
          <t>2026-10-03T22:00:20.010717Z</t>
        </is>
      </c>
      <c r="AE677" s="31" t="inlineStr">
        <is>
          <t>CFB Joint Model (negative_binomial): proj score Alabama Crimson Tide 33.0 @ Mississippi State Bulldogs 25.5 (Margin -7.5). Possessions: 12.4, HFA: +2.8 pts.</t>
        </is>
      </c>
      <c r="AF677" s="31" t="inlineStr">
        <is>
          <t>College football model; multi-market (moneyline, spread, total).</t>
        </is>
      </c>
      <c r="AG677" s="24" t="inlineStr">
        <is>
          <t>not_applicable</t>
        </is>
      </c>
      <c r="AH677" s="24" t="n"/>
      <c r="AI677" s="31" t="n"/>
      <c r="AJ677" s="31" t="n"/>
      <c r="AK677" s="24" t="inlineStr">
        <is>
          <t>paper_call</t>
        </is>
      </c>
      <c r="AL677" s="26" t="n">
        <v>4</v>
      </c>
      <c r="AM677" s="24" t="inlineStr">
        <is>
          <t>RESEARCH_OBSERVATION</t>
        </is>
      </c>
      <c r="AN677" s="24" t="inlineStr">
        <is>
          <t>CALL</t>
        </is>
      </c>
      <c r="AO677" s="24" t="inlineStr">
        <is>
          <t>PAPER_CALL_LOW_EDGE</t>
        </is>
      </c>
      <c r="AP677" s="24" t="inlineStr">
        <is>
          <t>Alabama Crimson Tide</t>
        </is>
      </c>
      <c r="AQ677" s="24" t="inlineStr">
        <is>
          <t>Alabama Crimson Tide</t>
        </is>
      </c>
      <c r="AR677" s="24" t="inlineStr">
        <is>
          <t>Alabama Crimson Tide</t>
        </is>
      </c>
      <c r="AS677" s="24" t="inlineStr">
        <is>
          <t>Mississippi State Bulldogs</t>
        </is>
      </c>
      <c r="AT677" s="24" t="inlineStr">
        <is>
          <t>Mississippi State Bulldogs</t>
        </is>
      </c>
      <c r="AU677" s="24" t="inlineStr">
        <is>
          <t>Mississippi State Bulldogs</t>
        </is>
      </c>
      <c r="AV677" s="24" t="n"/>
      <c r="AW677" s="24" t="n"/>
      <c r="AX677" s="24" t="inlineStr">
        <is>
          <t>statistical_model</t>
        </is>
      </c>
      <c r="AY677" s="24" t="n"/>
      <c r="AZ677" s="24" t="inlineStr">
        <is>
          <t>shadow_qualified</t>
        </is>
      </c>
      <c r="BA677" s="24" t="inlineStr">
        <is>
          <t>1d168f11d221cd3c</t>
        </is>
      </c>
      <c r="BB677" s="24" t="inlineStr">
        <is>
          <t>cfb_key_number_engine</t>
        </is>
      </c>
      <c r="BC677" s="24" t="inlineStr">
        <is>
          <t>college-football-v1</t>
        </is>
      </c>
      <c r="BD677" s="24" t="inlineStr">
        <is>
          <t>1d168f11d221cd3c</t>
        </is>
      </c>
      <c r="BE677" s="24" t="inlineStr">
        <is>
          <t>cfb-v1</t>
        </is>
      </c>
      <c r="BF677" s="24" t="inlineStr">
        <is>
          <t>1</t>
        </is>
      </c>
      <c r="BG677" s="24" t="inlineStr">
        <is>
          <t>1d168f11d221cd3c</t>
        </is>
      </c>
      <c r="BH677" s="24" t="inlineStr">
        <is>
          <t>2026-10-03T10:53:30.577635+00:00</t>
        </is>
      </c>
      <c r="BI677" s="24" t="inlineStr">
        <is>
          <t>["same_event","same_team_same_day","same_league_same_day"]</t>
        </is>
      </c>
      <c r="BJ677" s="25" t="n"/>
      <c r="BK677" s="26" t="n">
        <v>-218</v>
      </c>
      <c r="BL677" s="27" t="n">
        <v>1.458716</v>
      </c>
      <c r="BM677" s="28" t="n">
        <v>0.685535</v>
      </c>
      <c r="BN677" s="28" t="n"/>
      <c r="BO677" s="28" t="n"/>
      <c r="BP677" s="25" t="n"/>
      <c r="BQ677" s="27" t="n"/>
      <c r="BR677" s="28" t="n"/>
      <c r="BS677" s="28" t="n"/>
      <c r="BT677" s="28" t="n"/>
      <c r="BU677" s="25" t="n"/>
      <c r="BV677" s="29" t="n"/>
      <c r="BW677" s="24" t="n"/>
      <c r="BX677" s="30" t="n">
        <v>1</v>
      </c>
      <c r="BY677" s="27" t="n">
        <v>0.458716</v>
      </c>
      <c r="BZ677" s="24" t="inlineStr">
        <is>
          <t>2026-10-03T22:00:20.010717Z</t>
        </is>
      </c>
      <c r="CA677" s="31" t="inlineStr">
        <is>
          <t>fixed one-unit hypothetical scoring; no real exposure or execution</t>
        </is>
      </c>
      <c r="CB677" s="24" t="n"/>
      <c r="CC677" s="24" t="n"/>
      <c r="CD677" s="24" t="n"/>
      <c r="CE677" s="24" t="n"/>
      <c r="CF677" s="24" t="n"/>
      <c r="CG677" s="24" t="n"/>
      <c r="CH677" s="24" t="n"/>
      <c r="CI677" s="24" t="n"/>
      <c r="CJ677" s="24" t="n"/>
      <c r="CK677" s="24" t="n"/>
      <c r="CL677" s="24" t="n"/>
      <c r="CM677" s="24" t="n"/>
      <c r="CN677" s="24" t="n"/>
      <c r="CO677" s="24" t="n"/>
      <c r="CP677" s="24" t="n"/>
      <c r="CQ677" s="24" t="n"/>
      <c r="CR677" s="24" t="n"/>
      <c r="CS677" s="24" t="inlineStr">
        <is>
          <t>False</t>
        </is>
      </c>
      <c r="CT677" s="24" t="n"/>
      <c r="CU677" s="24" t="n"/>
      <c r="CV677" s="24" t="n"/>
      <c r="CW677" s="24" t="n"/>
      <c r="CX677" s="24" t="n"/>
      <c r="CY677" s="24" t="n"/>
      <c r="CZ677" s="24" t="n"/>
      <c r="DA677" s="24" t="n"/>
      <c r="DB677" s="24" t="n"/>
      <c r="DC677" s="24" t="n"/>
      <c r="DD677" s="24" t="n"/>
      <c r="DE677" s="24" t="n"/>
      <c r="DF677" s="24" t="n"/>
      <c r="DG677" s="24" t="n"/>
      <c r="DH677" s="24" t="n"/>
      <c r="DI677" s="24" t="n"/>
      <c r="DJ677" s="24" t="inlineStr">
        <is>
          <t>0.685535</t>
        </is>
      </c>
      <c r="DK677" s="24" t="n"/>
      <c r="DL677" s="24" t="n"/>
      <c r="DM677" s="24" t="n"/>
      <c r="DN677" s="24" t="n"/>
      <c r="DO677" s="24" t="n"/>
      <c r="DP677" s="24" t="n"/>
      <c r="DQ677" s="24" t="inlineStr">
        <is>
          <t>{"artifact_hash": "1d168f11d221cd3c", "event_id": "401856707", "event_start_utc": "2026-10-03T16:00Z", "features": {"altitude_fatigue_penalty": 0.0, "away_team": "Alabama Crimson Tide", "efficiency_gap": 0.532, "elo_away": 1650.4, "elo_home": 1388.2, "elo_home_win_prob": 0.2431, "event_id": "401856707", "game_start_utc": "2026-10-03T16:00Z", "home_field_advantage_points": 2.8, "home_team": "Mississippi State Bulldogs", "is_dome": false, "is_fbs_vs_fcs": false, "is_neutral_site": false, "projected_away_points": 33.0, "projected_home_points": 25.5, "projected_margin_home": -7.5, "projected_possessions": 12.4, "projected_total": 58.6, "stadium_elevation_ft": 360, "travel_distance_miles": 74.0, "uncertainty": 0.165, "weather_total_adjustment": 0.0}, "historical_source_observation_times_verified": false, "inference_inputs": {"engine_source_sha256": "449ba2f0e86fa9c445730076a0e0bf100fb4914620be53c75c6f3bfe24298f3f", "mu_away": 33.0, "mu_home": 25.5,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46194176649520186116403717355155479260}, "uinteger": 0}, "spread_home_line": 5.5, "total_line": 61.5}, "market_type": "moneyline", "model_version": "college-football-v1", "observed_at_utc": "2026-10-03T10:53:30.577635+00:00", "probabilities": {"away": 0.654507, "home": 0.345493}, "replay_scope": "Full precision score means, exact engine parameters and original RNG state; upstream feature construction not certified.", "schema": "cfb-joint-replay-v1", "snapshot_hash": "a3f94ee92011592dc41126acd2f6118436f1b311b5eb36228d169e61684af018", "sport": "NCAAF"}</t>
        </is>
      </c>
    </row>
    <row r="678" ht="36" customHeight="1">
      <c r="A678" s="24" t="inlineStr">
        <is>
          <t>ebce9c9658c5421f</t>
        </is>
      </c>
      <c r="B678" s="24" t="inlineStr">
        <is>
          <t>2026-10-03T10:53:30.577635Z</t>
        </is>
      </c>
      <c r="C678" s="24" t="inlineStr">
        <is>
          <t>2026-10-03T16:00Z</t>
        </is>
      </c>
      <c r="D678" s="24" t="inlineStr">
        <is>
          <t>401856707</t>
        </is>
      </c>
      <c r="E678" s="24" t="inlineStr">
        <is>
          <t>NCAAF</t>
        </is>
      </c>
      <c r="F678" s="24" t="inlineStr">
        <is>
          <t>Alabama Crimson Tide</t>
        </is>
      </c>
      <c r="G678" s="24" t="inlineStr">
        <is>
          <t>Mississippi State Bulldogs</t>
        </is>
      </c>
      <c r="H678" s="24" t="inlineStr">
        <is>
          <t>spread</t>
        </is>
      </c>
      <c r="I678" s="24" t="inlineStr">
        <is>
          <t>away</t>
        </is>
      </c>
      <c r="J678" s="25" t="n">
        <v>-5.5</v>
      </c>
      <c r="K678" s="24" t="inlineStr">
        <is>
          <t>espn_consensus</t>
        </is>
      </c>
      <c r="L678" s="26" t="n">
        <v>-108</v>
      </c>
      <c r="M678" s="27" t="n">
        <v>1.925926</v>
      </c>
      <c r="N678" s="28" t="n">
        <v>0.519231</v>
      </c>
      <c r="O678" s="28" t="n">
        <v>0.545067</v>
      </c>
      <c r="P678" s="28" t="n">
        <v>0.165</v>
      </c>
      <c r="Q678" s="28" t="n">
        <v>0.025836</v>
      </c>
      <c r="R678" s="26" t="n">
        <v>0</v>
      </c>
      <c r="S678" s="29" t="n">
        <v>1</v>
      </c>
      <c r="T678" s="24" t="inlineStr">
        <is>
          <t>cfb-spread-v1</t>
        </is>
      </c>
      <c r="U678" s="24" t="inlineStr">
        <is>
          <t>settled</t>
        </is>
      </c>
      <c r="V678" s="24" t="inlineStr">
        <is>
          <t>win</t>
        </is>
      </c>
      <c r="W678" s="26" t="n">
        <v>56</v>
      </c>
      <c r="X678" s="26" t="n">
        <v>23</v>
      </c>
      <c r="Y678" s="25" t="n"/>
      <c r="Z678" s="26" t="n"/>
      <c r="AA678" s="28" t="n"/>
      <c r="AB678" s="28" t="n"/>
      <c r="AC678" s="30" t="n">
        <v>0.9258999999999999</v>
      </c>
      <c r="AD678" s="24" t="inlineStr">
        <is>
          <t>2026-10-03T22:00:20.608643Z</t>
        </is>
      </c>
      <c r="AE678" s="31" t="inlineStr">
        <is>
          <t>Projected home margin -7.5 pts. Spread: Home +5.5 / Away -5.5 -&gt; P(Away cover)=0.545, P(Home cover)=0.455, P(Push)=0.000.</t>
        </is>
      </c>
      <c r="AF678" s="31" t="inlineStr">
        <is>
          <t>College football model; multi-market (moneyline, spread, total).</t>
        </is>
      </c>
      <c r="AG678" s="24" t="inlineStr">
        <is>
          <t>not_applicable</t>
        </is>
      </c>
      <c r="AH678" s="24" t="n"/>
      <c r="AI678" s="31" t="n"/>
      <c r="AJ678" s="31" t="n"/>
      <c r="AK678" s="24" t="inlineStr">
        <is>
          <t>paper_call</t>
        </is>
      </c>
      <c r="AL678" s="26" t="n">
        <v>4</v>
      </c>
      <c r="AM678" s="24" t="inlineStr">
        <is>
          <t>RESEARCH_OBSERVATION</t>
        </is>
      </c>
      <c r="AN678" s="24" t="inlineStr">
        <is>
          <t>CALL</t>
        </is>
      </c>
      <c r="AO678" s="24" t="inlineStr">
        <is>
          <t>PAPER_CALL_LOW_EDGE</t>
        </is>
      </c>
      <c r="AP678" s="24" t="inlineStr">
        <is>
          <t>Alabama Crimson Tide</t>
        </is>
      </c>
      <c r="AQ678" s="24" t="inlineStr">
        <is>
          <t>Alabama Crimson Tide</t>
        </is>
      </c>
      <c r="AR678" s="24" t="inlineStr">
        <is>
          <t>Alabama Crimson Tide</t>
        </is>
      </c>
      <c r="AS678" s="24" t="inlineStr">
        <is>
          <t>Mississippi State Bulldogs</t>
        </is>
      </c>
      <c r="AT678" s="24" t="inlineStr">
        <is>
          <t>Mississippi State Bulldogs</t>
        </is>
      </c>
      <c r="AU678" s="24" t="inlineStr">
        <is>
          <t>Mississippi State Bulldogs</t>
        </is>
      </c>
      <c r="AV678" s="24" t="n"/>
      <c r="AW678" s="24" t="n"/>
      <c r="AX678" s="24" t="inlineStr">
        <is>
          <t>statistical_model</t>
        </is>
      </c>
      <c r="AY678" s="24" t="n"/>
      <c r="AZ678" s="24" t="inlineStr">
        <is>
          <t>shadow_qualified</t>
        </is>
      </c>
      <c r="BA678" s="24" t="inlineStr">
        <is>
          <t>1d168f11d221cd3c</t>
        </is>
      </c>
      <c r="BB678" s="24" t="inlineStr">
        <is>
          <t>cfb_key_number_engine</t>
        </is>
      </c>
      <c r="BC678" s="24" t="inlineStr">
        <is>
          <t>cfb-spread-v1</t>
        </is>
      </c>
      <c r="BD678" s="24" t="inlineStr">
        <is>
          <t>1d168f11d221cd3c</t>
        </is>
      </c>
      <c r="BE678" s="24" t="inlineStr">
        <is>
          <t>cfb-v1</t>
        </is>
      </c>
      <c r="BF678" s="24" t="inlineStr">
        <is>
          <t>1</t>
        </is>
      </c>
      <c r="BG678" s="24" t="inlineStr">
        <is>
          <t>1d168f11d221cd3c</t>
        </is>
      </c>
      <c r="BH678" s="24" t="inlineStr">
        <is>
          <t>2026-10-03T10:53:30.577635+00:00</t>
        </is>
      </c>
      <c r="BI678" s="24" t="inlineStr">
        <is>
          <t>["same_event","same_team_same_day","same_league_same_day"]</t>
        </is>
      </c>
      <c r="BJ678" s="25" t="n">
        <v>-5.5</v>
      </c>
      <c r="BK678" s="26" t="n">
        <v>-108</v>
      </c>
      <c r="BL678" s="27" t="n">
        <v>1.925926</v>
      </c>
      <c r="BM678" s="28" t="n">
        <v>0.519231</v>
      </c>
      <c r="BN678" s="28" t="n"/>
      <c r="BO678" s="28" t="n"/>
      <c r="BP678" s="25" t="n"/>
      <c r="BQ678" s="27" t="n"/>
      <c r="BR678" s="28" t="n"/>
      <c r="BS678" s="28" t="n"/>
      <c r="BT678" s="28" t="n"/>
      <c r="BU678" s="25" t="n"/>
      <c r="BV678" s="29" t="n"/>
      <c r="BW678" s="24" t="n"/>
      <c r="BX678" s="30" t="n">
        <v>1</v>
      </c>
      <c r="BY678" s="27" t="n">
        <v>0.925926</v>
      </c>
      <c r="BZ678" s="24" t="inlineStr">
        <is>
          <t>2026-10-03T22:00:20.608643Z</t>
        </is>
      </c>
      <c r="CA678" s="31" t="inlineStr">
        <is>
          <t>fixed one-unit hypothetical scoring; no real exposure or execution</t>
        </is>
      </c>
      <c r="CB678" s="24" t="n"/>
      <c r="CC678" s="24" t="n"/>
      <c r="CD678" s="24" t="n"/>
      <c r="CE678" s="24" t="n"/>
      <c r="CF678" s="24" t="n"/>
      <c r="CG678" s="24" t="n"/>
      <c r="CH678" s="24" t="n"/>
      <c r="CI678" s="24" t="n"/>
      <c r="CJ678" s="24" t="n"/>
      <c r="CK678" s="24" t="n"/>
      <c r="CL678" s="24" t="n"/>
      <c r="CM678" s="24" t="n"/>
      <c r="CN678" s="24" t="n"/>
      <c r="CO678" s="24" t="n"/>
      <c r="CP678" s="24" t="n"/>
      <c r="CQ678" s="24" t="n"/>
      <c r="CR678" s="24" t="n"/>
      <c r="CS678" s="24" t="inlineStr">
        <is>
          <t>True</t>
        </is>
      </c>
      <c r="CT678" s="24" t="n"/>
      <c r="CU678" s="24" t="n"/>
      <c r="CV678" s="24" t="n"/>
      <c r="CW678" s="24" t="n"/>
      <c r="CX678" s="24" t="n"/>
      <c r="CY678" s="24" t="n"/>
      <c r="CZ678" s="24" t="n"/>
      <c r="DA678" s="24" t="n"/>
      <c r="DB678" s="24" t="n"/>
      <c r="DC678" s="24" t="n"/>
      <c r="DD678" s="24" t="n"/>
      <c r="DE678" s="24" t="n"/>
      <c r="DF678" s="24" t="n"/>
      <c r="DG678" s="24" t="n"/>
      <c r="DH678" s="24" t="n"/>
      <c r="DI678" s="24" t="n"/>
      <c r="DJ678" s="24" t="inlineStr">
        <is>
          <t>0.519231</t>
        </is>
      </c>
      <c r="DK678" s="24" t="n"/>
      <c r="DL678" s="24" t="n"/>
      <c r="DM678" s="24" t="n"/>
      <c r="DN678" s="24" t="n"/>
      <c r="DO678" s="24" t="n"/>
      <c r="DP678" s="24" t="n"/>
      <c r="DQ678" s="24" t="inlineStr">
        <is>
          <t>{"artifact_hash": "1d168f11d221cd3c", "event_id": "401856707", "event_start_utc": "2026-10-03T16:00Z", "features": {"altitude_fatigue_penalty": 0.0, "away_team": "Alabama Crimson Tide", "efficiency_gap": 0.532, "elo_away": 1650.4, "elo_home": 1388.2, "elo_home_win_prob": 0.2431, "event_id": "401856707", "game_start_utc": "2026-10-03T16:00Z", "home_field_advantage_points": 2.8, "home_team": "Mississippi State Bulldogs", "is_dome": false, "is_fbs_vs_fcs": false, "is_neutral_site": false, "projected_away_points": 33.0, "projected_home_points": 25.5, "projected_margin_home": -7.5, "projected_possessions": 12.4, "projected_total": 58.6, "stadium_elevation_ft": 360, "travel_distance_miles": 74.0, "uncertainty": 0.165, "weather_total_adjustment": 0.0}, "historical_source_observation_times_verified": false, "inference_inputs": {"engine_source_sha256": "449ba2f0e86fa9c445730076a0e0bf100fb4914620be53c75c6f3bfe24298f3f", "mu_away": 33.0, "mu_home": 25.5,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46194176649520186116403717355155479260}, "uinteger": 0}, "spread_home_line": 5.5, "total_line": 61.5}, "market_type": "spread", "model_version": "cfb-spread-v1", "observed_at_utc": "2026-10-03T10:53:30.577635+00:00", "probabilities": {"away": 0.545067, "home": 0.454933, "push": 0.0}, "replay_scope": "Full precision score means, exact engine parameters and original RNG state; upstream feature construction not certified.", "schema": "cfb-joint-replay-v1", "snapshot_hash": "a8c9dd3f518a4f4bd939ab9325ae09a2b27a3a2067bf0c1e84e69b6a34ef0d4e", "sport": "NCAAF"}</t>
        </is>
      </c>
    </row>
    <row r="679" ht="36" customHeight="1">
      <c r="A679" s="24" t="inlineStr">
        <is>
          <t>898d40264b444c7e</t>
        </is>
      </c>
      <c r="B679" s="24" t="inlineStr">
        <is>
          <t>2026-10-03T10:53:30.577635Z</t>
        </is>
      </c>
      <c r="C679" s="24" t="inlineStr">
        <is>
          <t>2026-10-03T16:00Z</t>
        </is>
      </c>
      <c r="D679" s="24" t="inlineStr">
        <is>
          <t>401856707</t>
        </is>
      </c>
      <c r="E679" s="24" t="inlineStr">
        <is>
          <t>NCAAF</t>
        </is>
      </c>
      <c r="F679" s="24" t="inlineStr">
        <is>
          <t>Alabama Crimson Tide</t>
        </is>
      </c>
      <c r="G679" s="24" t="inlineStr">
        <is>
          <t>Mississippi State Bulldogs</t>
        </is>
      </c>
      <c r="H679" s="24" t="inlineStr">
        <is>
          <t>total</t>
        </is>
      </c>
      <c r="I679" s="24" t="inlineStr">
        <is>
          <t>under</t>
        </is>
      </c>
      <c r="J679" s="25" t="n">
        <v>61.5</v>
      </c>
      <c r="K679" s="24" t="inlineStr">
        <is>
          <t>espn_consensus</t>
        </is>
      </c>
      <c r="L679" s="26" t="n">
        <v>-115</v>
      </c>
      <c r="M679" s="27" t="n">
        <v>1.869565</v>
      </c>
      <c r="N679" s="28" t="n">
        <v>0.534884</v>
      </c>
      <c r="O679" s="28" t="n">
        <v>0.5797330000000001</v>
      </c>
      <c r="P679" s="28" t="n">
        <v>0.165</v>
      </c>
      <c r="Q679" s="28" t="n">
        <v>0.044849</v>
      </c>
      <c r="R679" s="26" t="n">
        <v>0</v>
      </c>
      <c r="S679" s="29" t="n">
        <v>1</v>
      </c>
      <c r="T679" s="24" t="inlineStr">
        <is>
          <t>cfb-total-v1</t>
        </is>
      </c>
      <c r="U679" s="24" t="inlineStr">
        <is>
          <t>settled</t>
        </is>
      </c>
      <c r="V679" s="24" t="inlineStr">
        <is>
          <t>loss</t>
        </is>
      </c>
      <c r="W679" s="26" t="n">
        <v>56</v>
      </c>
      <c r="X679" s="26" t="n">
        <v>23</v>
      </c>
      <c r="Y679" s="25" t="n"/>
      <c r="Z679" s="26" t="n"/>
      <c r="AA679" s="28" t="n"/>
      <c r="AB679" s="28" t="n"/>
      <c r="AC679" s="30" t="n">
        <v>-1</v>
      </c>
      <c r="AD679" s="24" t="inlineStr">
        <is>
          <t>2026-10-03T22:00:21.236030Z</t>
        </is>
      </c>
      <c r="AE679" s="31" t="inlineStr">
        <is>
          <t>Projected total 58.6 pts (Weather adj: +0.0 pts). Total line 61.5 -&gt; P(Over)=0.420, P(Under)=0.580, P(Push)=0.000.</t>
        </is>
      </c>
      <c r="AF679" s="31" t="inlineStr">
        <is>
          <t>College football model; multi-market (moneyline, spread, total).</t>
        </is>
      </c>
      <c r="AG679" s="24" t="inlineStr">
        <is>
          <t>review_required</t>
        </is>
      </c>
      <c r="AH679" s="24" t="n"/>
      <c r="AI679" s="31" t="n"/>
      <c r="AJ679" s="31" t="n"/>
      <c r="AK679" s="24" t="inlineStr">
        <is>
          <t>model_qualified</t>
        </is>
      </c>
      <c r="AL679" s="26" t="n">
        <v>4</v>
      </c>
      <c r="AM679" s="24" t="inlineStr">
        <is>
          <t>QUALIFIED_SHADOW_CALL</t>
        </is>
      </c>
      <c r="AN679" s="24" t="inlineStr">
        <is>
          <t>CALL</t>
        </is>
      </c>
      <c r="AO679" s="24" t="inlineStr">
        <is>
          <t>QUALIFIED</t>
        </is>
      </c>
      <c r="AP679" s="24" t="inlineStr">
        <is>
          <t>Alabama Crimson Tide</t>
        </is>
      </c>
      <c r="AQ679" s="24" t="inlineStr">
        <is>
          <t>Alabama Crimson Tide</t>
        </is>
      </c>
      <c r="AR679" s="24" t="inlineStr">
        <is>
          <t>Alabama Crimson Tide</t>
        </is>
      </c>
      <c r="AS679" s="24" t="inlineStr">
        <is>
          <t>Mississippi State Bulldogs</t>
        </is>
      </c>
      <c r="AT679" s="24" t="inlineStr">
        <is>
          <t>Mississippi State Bulldogs</t>
        </is>
      </c>
      <c r="AU679" s="24" t="inlineStr">
        <is>
          <t>Mississippi State Bulldogs</t>
        </is>
      </c>
      <c r="AV679" s="24" t="n"/>
      <c r="AW679" s="24" t="n"/>
      <c r="AX679" s="24" t="inlineStr">
        <is>
          <t>statistical_model</t>
        </is>
      </c>
      <c r="AY679" s="24" t="n"/>
      <c r="AZ679" s="24" t="inlineStr">
        <is>
          <t>shadow_qualified</t>
        </is>
      </c>
      <c r="BA679" s="24" t="inlineStr">
        <is>
          <t>1d168f11d221cd3c</t>
        </is>
      </c>
      <c r="BB679" s="24" t="inlineStr">
        <is>
          <t>cfb_key_number_engine</t>
        </is>
      </c>
      <c r="BC679" s="24" t="inlineStr">
        <is>
          <t>cfb-total-v1</t>
        </is>
      </c>
      <c r="BD679" s="24" t="inlineStr">
        <is>
          <t>1d168f11d221cd3c</t>
        </is>
      </c>
      <c r="BE679" s="24" t="inlineStr">
        <is>
          <t>cfb-v1</t>
        </is>
      </c>
      <c r="BF679" s="24" t="inlineStr">
        <is>
          <t>1</t>
        </is>
      </c>
      <c r="BG679" s="24" t="inlineStr">
        <is>
          <t>1d168f11d221cd3c</t>
        </is>
      </c>
      <c r="BH679" s="24" t="inlineStr">
        <is>
          <t>2026-10-03T10:53:30.577635+00:00</t>
        </is>
      </c>
      <c r="BI679" s="24" t="inlineStr">
        <is>
          <t>["same_event","same_team_same_day","same_league_same_day"]</t>
        </is>
      </c>
      <c r="BJ679" s="25" t="n">
        <v>61.5</v>
      </c>
      <c r="BK679" s="26" t="n">
        <v>-115</v>
      </c>
      <c r="BL679" s="27" t="n">
        <v>1.869565</v>
      </c>
      <c r="BM679" s="28" t="n">
        <v>0.534884</v>
      </c>
      <c r="BN679" s="28" t="n"/>
      <c r="BO679" s="28" t="n"/>
      <c r="BP679" s="25" t="n"/>
      <c r="BQ679" s="27" t="n"/>
      <c r="BR679" s="28" t="n"/>
      <c r="BS679" s="28" t="n"/>
      <c r="BT679" s="28" t="n"/>
      <c r="BU679" s="25" t="n"/>
      <c r="BV679" s="29" t="n"/>
      <c r="BW679" s="24" t="n"/>
      <c r="BX679" s="30" t="n"/>
      <c r="BY679" s="27" t="n"/>
      <c r="BZ679" s="24" t="n"/>
      <c r="CA679" s="31" t="n"/>
      <c r="CB679" s="24" t="n"/>
      <c r="CC679" s="24" t="n"/>
      <c r="CD679" s="24" t="n"/>
      <c r="CE679" s="24" t="n"/>
      <c r="CF679" s="24" t="n"/>
      <c r="CG679" s="24" t="n"/>
      <c r="CH679" s="24" t="n"/>
      <c r="CI679" s="24" t="n"/>
      <c r="CJ679" s="24" t="n"/>
      <c r="CK679" s="24" t="n"/>
      <c r="CL679" s="24" t="n"/>
      <c r="CM679" s="24" t="n"/>
      <c r="CN679" s="24" t="n"/>
      <c r="CO679" s="24" t="n"/>
      <c r="CP679" s="24" t="n"/>
      <c r="CQ679" s="24" t="n"/>
      <c r="CR679" s="24" t="n"/>
      <c r="CS679" s="24" t="inlineStr">
        <is>
          <t>True</t>
        </is>
      </c>
      <c r="CT679" s="24" t="n"/>
      <c r="CU679" s="24" t="n"/>
      <c r="CV679" s="24" t="n"/>
      <c r="CW679" s="24" t="n"/>
      <c r="CX679" s="24" t="n"/>
      <c r="CY679" s="24" t="n"/>
      <c r="CZ679" s="24" t="n"/>
      <c r="DA679" s="24" t="n"/>
      <c r="DB679" s="24" t="n"/>
      <c r="DC679" s="24" t="n"/>
      <c r="DD679" s="24" t="n"/>
      <c r="DE679" s="24" t="n"/>
      <c r="DF679" s="24" t="n"/>
      <c r="DG679" s="24" t="n"/>
      <c r="DH679" s="24" t="n"/>
      <c r="DI679" s="24" t="n"/>
      <c r="DJ679" s="24" t="inlineStr">
        <is>
          <t>0.534884</t>
        </is>
      </c>
      <c r="DK679" s="24" t="n"/>
      <c r="DL679" s="24" t="n"/>
      <c r="DM679" s="24" t="n"/>
      <c r="DN679" s="24" t="n"/>
      <c r="DO679" s="24" t="n"/>
      <c r="DP679" s="24" t="n"/>
      <c r="DQ679" s="24" t="inlineStr">
        <is>
          <t>{"artifact_hash": "1d168f11d221cd3c", "event_id": "401856707", "event_start_utc": "2026-10-03T16:00Z", "features": {"altitude_fatigue_penalty": 0.0, "away_team": "Alabama Crimson Tide", "efficiency_gap": 0.532, "elo_away": 1650.4, "elo_home": 1388.2, "elo_home_win_prob": 0.2431, "event_id": "401856707", "game_start_utc": "2026-10-03T16:00Z", "home_field_advantage_points": 2.8, "home_team": "Mississippi State Bulldogs", "is_dome": false, "is_fbs_vs_fcs": false, "is_neutral_site": false, "projected_away_points": 33.0, "projected_home_points": 25.5, "projected_margin_home": -7.5, "projected_possessions": 12.4, "projected_total": 58.6, "stadium_elevation_ft": 360, "travel_distance_miles": 74.0, "uncertainty": 0.165, "weather_total_adjustment": 0.0}, "historical_source_observation_times_verified": false, "inference_inputs": {"engine_source_sha256": "449ba2f0e86fa9c445730076a0e0bf100fb4914620be53c75c6f3bfe24298f3f", "mu_away": 33.0, "mu_home": 25.5,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46194176649520186116403717355155479260}, "uinteger": 0}, "spread_home_line": 5.5, "total_line": 61.5}, "market_type": "total", "model_version": "cfb-total-v1", "observed_at_utc": "2026-10-03T10:53:30.577635+00:00", "probabilities": {"over": 0.420267, "push": 0.0, "under": 0.579733}, "replay_scope": "Full precision score means, exact engine parameters and original RNG state; upstream feature construction not certified.", "schema": "cfb-joint-replay-v1", "snapshot_hash": "ba5166f1ef11b3887a4a19f2fe34f076fc13c48b89dc3b73e505513c3b1e4acd", "sport": "NCAAF"}</t>
        </is>
      </c>
    </row>
    <row r="680" ht="36" customHeight="1">
      <c r="A680" s="24" t="inlineStr">
        <is>
          <t>04961946ab6743de</t>
        </is>
      </c>
      <c r="B680" s="24" t="inlineStr">
        <is>
          <t>2026-10-03T10:53:30.577635Z</t>
        </is>
      </c>
      <c r="C680" s="24" t="inlineStr">
        <is>
          <t>2026-10-03T16:00Z</t>
        </is>
      </c>
      <c r="D680" s="24" t="inlineStr">
        <is>
          <t>401856819</t>
        </is>
      </c>
      <c r="E680" s="24" t="inlineStr">
        <is>
          <t>NCAAF</t>
        </is>
      </c>
      <c r="F680" s="24" t="inlineStr">
        <is>
          <t>UCF Knights</t>
        </is>
      </c>
      <c r="G680" s="24" t="inlineStr">
        <is>
          <t>Houston Cougars</t>
        </is>
      </c>
      <c r="H680" s="24" t="inlineStr">
        <is>
          <t>moneyline</t>
        </is>
      </c>
      <c r="I680" s="24" t="inlineStr">
        <is>
          <t>home</t>
        </is>
      </c>
      <c r="J680" s="25" t="n"/>
      <c r="K680" s="24" t="inlineStr">
        <is>
          <t>espn_consensus</t>
        </is>
      </c>
      <c r="L680" s="26" t="n">
        <v>-425</v>
      </c>
      <c r="M680" s="27" t="n">
        <v>1.235294</v>
      </c>
      <c r="N680" s="28" t="n">
        <v>0.809524</v>
      </c>
      <c r="O680" s="28" t="n">
        <v>0.811125</v>
      </c>
      <c r="P680" s="28" t="n">
        <v>0.18</v>
      </c>
      <c r="Q680" s="28" t="n">
        <v>0.001601</v>
      </c>
      <c r="R680" s="26" t="n">
        <v>0</v>
      </c>
      <c r="S680" s="29" t="n">
        <v>1</v>
      </c>
      <c r="T680" s="24" t="inlineStr">
        <is>
          <t>college-football-v1</t>
        </is>
      </c>
      <c r="U680" s="24" t="inlineStr">
        <is>
          <t>settled</t>
        </is>
      </c>
      <c r="V680" s="24" t="inlineStr">
        <is>
          <t>win</t>
        </is>
      </c>
      <c r="W680" s="26" t="n">
        <v>17</v>
      </c>
      <c r="X680" s="26" t="n">
        <v>27</v>
      </c>
      <c r="Y680" s="25" t="n"/>
      <c r="Z680" s="26" t="n"/>
      <c r="AA680" s="28" t="n"/>
      <c r="AB680" s="28" t="n"/>
      <c r="AC680" s="30" t="n">
        <v>0.2353</v>
      </c>
      <c r="AD680" s="24" t="inlineStr">
        <is>
          <t>2026-10-03T22:00:21.868251Z</t>
        </is>
      </c>
      <c r="AE680" s="31" t="inlineStr">
        <is>
          <t>CFB Joint Model (negative_binomial): proj score UCF Knights 18.8 @ Houston Cougars 35.9 (Margin +17.1). Possessions: 12.4, HFA: +2.8 pts.</t>
        </is>
      </c>
      <c r="AF680" s="31" t="inlineStr">
        <is>
          <t>College football model; multi-market (moneyline, spread, total).</t>
        </is>
      </c>
      <c r="AG680" s="24" t="inlineStr">
        <is>
          <t>not_applicable</t>
        </is>
      </c>
      <c r="AH680" s="24" t="n"/>
      <c r="AI680" s="31" t="n"/>
      <c r="AJ680" s="31" t="n"/>
      <c r="AK680" s="24" t="inlineStr">
        <is>
          <t>paper_call</t>
        </is>
      </c>
      <c r="AL680" s="26" t="n">
        <v>4</v>
      </c>
      <c r="AM680" s="24" t="inlineStr">
        <is>
          <t>RESEARCH_OBSERVATION</t>
        </is>
      </c>
      <c r="AN680" s="24" t="inlineStr">
        <is>
          <t>CALL</t>
        </is>
      </c>
      <c r="AO680" s="24" t="inlineStr">
        <is>
          <t>PAPER_CALL_LOW_EDGE</t>
        </is>
      </c>
      <c r="AP680" s="24" t="inlineStr">
        <is>
          <t>UCF Knights</t>
        </is>
      </c>
      <c r="AQ680" s="24" t="inlineStr">
        <is>
          <t>UCF Knights</t>
        </is>
      </c>
      <c r="AR680" s="24" t="inlineStr">
        <is>
          <t>UCF Knights</t>
        </is>
      </c>
      <c r="AS680" s="24" t="inlineStr">
        <is>
          <t>Houston Cougars</t>
        </is>
      </c>
      <c r="AT680" s="24" t="inlineStr">
        <is>
          <t>Houston Cougars</t>
        </is>
      </c>
      <c r="AU680" s="24" t="inlineStr">
        <is>
          <t>Houston Cougars</t>
        </is>
      </c>
      <c r="AV680" s="24" t="n"/>
      <c r="AW680" s="24" t="n"/>
      <c r="AX680" s="24" t="inlineStr">
        <is>
          <t>statistical_model</t>
        </is>
      </c>
      <c r="AY680" s="24" t="n"/>
      <c r="AZ680" s="24" t="inlineStr">
        <is>
          <t>shadow_qualified</t>
        </is>
      </c>
      <c r="BA680" s="24" t="inlineStr">
        <is>
          <t>1d168f11d221cd3c</t>
        </is>
      </c>
      <c r="BB680" s="24" t="inlineStr">
        <is>
          <t>cfb_key_number_engine</t>
        </is>
      </c>
      <c r="BC680" s="24" t="inlineStr">
        <is>
          <t>college-football-v1</t>
        </is>
      </c>
      <c r="BD680" s="24" t="inlineStr">
        <is>
          <t>1d168f11d221cd3c</t>
        </is>
      </c>
      <c r="BE680" s="24" t="inlineStr">
        <is>
          <t>cfb-v1</t>
        </is>
      </c>
      <c r="BF680" s="24" t="inlineStr">
        <is>
          <t>1</t>
        </is>
      </c>
      <c r="BG680" s="24" t="inlineStr">
        <is>
          <t>1d168f11d221cd3c</t>
        </is>
      </c>
      <c r="BH680" s="24" t="inlineStr">
        <is>
          <t>2026-10-03T10:53:30.577635+00:00</t>
        </is>
      </c>
      <c r="BI680" s="24" t="inlineStr">
        <is>
          <t>["same_event","same_team_same_day","same_league_same_day"]</t>
        </is>
      </c>
      <c r="BJ680" s="25" t="n"/>
      <c r="BK680" s="26" t="n">
        <v>-425</v>
      </c>
      <c r="BL680" s="27" t="n">
        <v>1.235294</v>
      </c>
      <c r="BM680" s="28" t="n">
        <v>0.809524</v>
      </c>
      <c r="BN680" s="28" t="n"/>
      <c r="BO680" s="28" t="n"/>
      <c r="BP680" s="25" t="n"/>
      <c r="BQ680" s="27" t="n"/>
      <c r="BR680" s="28" t="n"/>
      <c r="BS680" s="28" t="n"/>
      <c r="BT680" s="28" t="n"/>
      <c r="BU680" s="25" t="n"/>
      <c r="BV680" s="29" t="n"/>
      <c r="BW680" s="24" t="n"/>
      <c r="BX680" s="30" t="n">
        <v>1</v>
      </c>
      <c r="BY680" s="27" t="n">
        <v>0.235294</v>
      </c>
      <c r="BZ680" s="24" t="inlineStr">
        <is>
          <t>2026-10-03T22:00:21.868251Z</t>
        </is>
      </c>
      <c r="CA680" s="31" t="inlineStr">
        <is>
          <t>fixed one-unit hypothetical scoring; no real exposure or execution</t>
        </is>
      </c>
      <c r="CB680" s="24" t="n"/>
      <c r="CC680" s="24" t="n"/>
      <c r="CD680" s="24" t="n"/>
      <c r="CE680" s="24" t="n"/>
      <c r="CF680" s="24" t="n"/>
      <c r="CG680" s="24" t="n"/>
      <c r="CH680" s="24" t="n"/>
      <c r="CI680" s="24" t="n"/>
      <c r="CJ680" s="24" t="n"/>
      <c r="CK680" s="24" t="n"/>
      <c r="CL680" s="24" t="n"/>
      <c r="CM680" s="24" t="n"/>
      <c r="CN680" s="24" t="n"/>
      <c r="CO680" s="24" t="n"/>
      <c r="CP680" s="24" t="n"/>
      <c r="CQ680" s="24" t="n"/>
      <c r="CR680" s="24" t="n"/>
      <c r="CS680" s="24" t="inlineStr">
        <is>
          <t>True</t>
        </is>
      </c>
      <c r="CT680" s="24" t="n"/>
      <c r="CU680" s="24" t="n"/>
      <c r="CV680" s="24" t="n"/>
      <c r="CW680" s="24" t="n"/>
      <c r="CX680" s="24" t="n"/>
      <c r="CY680" s="24" t="n"/>
      <c r="CZ680" s="24" t="n"/>
      <c r="DA680" s="24" t="n"/>
      <c r="DB680" s="24" t="n"/>
      <c r="DC680" s="24" t="n"/>
      <c r="DD680" s="24" t="n"/>
      <c r="DE680" s="24" t="n"/>
      <c r="DF680" s="24" t="n"/>
      <c r="DG680" s="24" t="n"/>
      <c r="DH680" s="24" t="n"/>
      <c r="DI680" s="24" t="n"/>
      <c r="DJ680" s="24" t="inlineStr">
        <is>
          <t>0.809524</t>
        </is>
      </c>
      <c r="DK680" s="24" t="n"/>
      <c r="DL680" s="24" t="n"/>
      <c r="DM680" s="24" t="n"/>
      <c r="DN680" s="24" t="n"/>
      <c r="DO680" s="24" t="n"/>
      <c r="DP680" s="24" t="n"/>
      <c r="DQ680" s="24" t="inlineStr">
        <is>
          <t>{"artifact_hash": "1d168f11d221cd3c", "event_id": "401856819", "event_start_utc": "2026-10-03T16:00Z", "features": {"altitude_fatigue_penalty": 0.0, "away_team": "UCF Knights", "efficiency_gap": 0.46, "elo_away": 1310.2, "elo_home": 1664.9, "elo_home_win_prob": 0.918, "event_id": "401856819", "game_start_utc": "2026-10-03T16:00Z", "home_field_advantage_points": 2.8, "home_team": "Houston Cougars", "is_dome": false, "is_fbs_vs_fcs": false, "is_neutral_site": false, "projected_away_points": 18.8, "projected_home_points": 35.9, "projected_margin_home": 17.1, "projected_possessions": 12.4, "projected_total": 54.7, "stadium_elevation_ft": 50, "travel_distance_miles": 857.0, "uncertainty": 0.18, "weather_total_adjustment": 0.0}, "historical_source_observation_times_verified": false, "inference_inputs": {"engine_source_sha256": "449ba2f0e86fa9c445730076a0e0bf100fb4914620be53c75c6f3bfe24298f3f", "mu_away": 18.8, "mu_home": 35.9,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52359826297637624261212204348824862596}, "uinteger": 0}, "spread_home_line": -10.5, "total_line": 50.5}, "market_type": "moneyline", "model_version": "college-football-v1", "observed_at_utc": "2026-10-03T10:53:30.577635+00:00", "probabilities": {"away": 0.188875, "home": 0.811125}, "replay_scope": "Full precision score means, exact engine parameters and original RNG state; upstream feature construction not certified.", "schema": "cfb-joint-replay-v1", "snapshot_hash": "e8599fe58376c8aa42f2bd684336b31bd56200e33af93d9fcf27e0f2ffc6c6da", "sport": "NCAAF"}</t>
        </is>
      </c>
    </row>
    <row r="681" ht="36" customHeight="1">
      <c r="A681" s="24" t="inlineStr">
        <is>
          <t>3027e815789e4560</t>
        </is>
      </c>
      <c r="B681" s="24" t="inlineStr">
        <is>
          <t>2026-10-03T10:53:30.577635Z</t>
        </is>
      </c>
      <c r="C681" s="24" t="inlineStr">
        <is>
          <t>2026-10-03T16:00Z</t>
        </is>
      </c>
      <c r="D681" s="24" t="inlineStr">
        <is>
          <t>401856819</t>
        </is>
      </c>
      <c r="E681" s="24" t="inlineStr">
        <is>
          <t>NCAAF</t>
        </is>
      </c>
      <c r="F681" s="24" t="inlineStr">
        <is>
          <t>UCF Knights</t>
        </is>
      </c>
      <c r="G681" s="24" t="inlineStr">
        <is>
          <t>Houston Cougars</t>
        </is>
      </c>
      <c r="H681" s="24" t="inlineStr">
        <is>
          <t>spread</t>
        </is>
      </c>
      <c r="I681" s="24" t="inlineStr">
        <is>
          <t>home</t>
        </is>
      </c>
      <c r="J681" s="25" t="n">
        <v>-10.5</v>
      </c>
      <c r="K681" s="24" t="inlineStr">
        <is>
          <t>espn_consensus</t>
        </is>
      </c>
      <c r="L681" s="26" t="n">
        <v>-115</v>
      </c>
      <c r="M681" s="27" t="n">
        <v>1.869565</v>
      </c>
      <c r="N681" s="28" t="n">
        <v>0.534884</v>
      </c>
      <c r="O681" s="28" t="n">
        <v>0.6282</v>
      </c>
      <c r="P681" s="28" t="n">
        <v>0.18</v>
      </c>
      <c r="Q681" s="28" t="n">
        <v>0.093316</v>
      </c>
      <c r="R681" s="26" t="n">
        <v>0</v>
      </c>
      <c r="S681" s="29" t="n">
        <v>1</v>
      </c>
      <c r="T681" s="24" t="inlineStr">
        <is>
          <t>cfb-spread-v1</t>
        </is>
      </c>
      <c r="U681" s="24" t="inlineStr">
        <is>
          <t>settled</t>
        </is>
      </c>
      <c r="V681" s="24" t="inlineStr">
        <is>
          <t>loss</t>
        </is>
      </c>
      <c r="W681" s="26" t="n">
        <v>17</v>
      </c>
      <c r="X681" s="26" t="n">
        <v>27</v>
      </c>
      <c r="Y681" s="25" t="n"/>
      <c r="Z681" s="26" t="n"/>
      <c r="AA681" s="28" t="n"/>
      <c r="AB681" s="28" t="n"/>
      <c r="AC681" s="30" t="n">
        <v>-1</v>
      </c>
      <c r="AD681" s="24" t="inlineStr">
        <is>
          <t>2026-10-03T22:00:22.483933Z</t>
        </is>
      </c>
      <c r="AE681" s="31" t="inlineStr">
        <is>
          <t>Projected home margin +17.1 pts. Spread: Home -10.5 / Away +10.5 -&gt; P(Away cover)=0.372, P(Home cover)=0.628, P(Push)=0.000.</t>
        </is>
      </c>
      <c r="AF681" s="31" t="inlineStr">
        <is>
          <t>College football model; multi-market (moneyline, spread, total).</t>
        </is>
      </c>
      <c r="AG681" s="24" t="inlineStr">
        <is>
          <t>review_required</t>
        </is>
      </c>
      <c r="AH681" s="24" t="n"/>
      <c r="AI681" s="31" t="n"/>
      <c r="AJ681" s="31" t="n"/>
      <c r="AK681" s="24" t="inlineStr">
        <is>
          <t>model_qualified</t>
        </is>
      </c>
      <c r="AL681" s="26" t="n">
        <v>4</v>
      </c>
      <c r="AM681" s="24" t="inlineStr">
        <is>
          <t>QUALIFIED_SHADOW_CALL</t>
        </is>
      </c>
      <c r="AN681" s="24" t="inlineStr">
        <is>
          <t>CALL</t>
        </is>
      </c>
      <c r="AO681" s="24" t="inlineStr">
        <is>
          <t>QUALIFIED</t>
        </is>
      </c>
      <c r="AP681" s="24" t="inlineStr">
        <is>
          <t>UCF Knights</t>
        </is>
      </c>
      <c r="AQ681" s="24" t="inlineStr">
        <is>
          <t>UCF Knights</t>
        </is>
      </c>
      <c r="AR681" s="24" t="inlineStr">
        <is>
          <t>UCF Knights</t>
        </is>
      </c>
      <c r="AS681" s="24" t="inlineStr">
        <is>
          <t>Houston Cougars</t>
        </is>
      </c>
      <c r="AT681" s="24" t="inlineStr">
        <is>
          <t>Houston Cougars</t>
        </is>
      </c>
      <c r="AU681" s="24" t="inlineStr">
        <is>
          <t>Houston Cougars</t>
        </is>
      </c>
      <c r="AV681" s="24" t="n"/>
      <c r="AW681" s="24" t="n"/>
      <c r="AX681" s="24" t="inlineStr">
        <is>
          <t>statistical_model</t>
        </is>
      </c>
      <c r="AY681" s="24" t="n"/>
      <c r="AZ681" s="24" t="inlineStr">
        <is>
          <t>shadow_qualified</t>
        </is>
      </c>
      <c r="BA681" s="24" t="inlineStr">
        <is>
          <t>1d168f11d221cd3c</t>
        </is>
      </c>
      <c r="BB681" s="24" t="inlineStr">
        <is>
          <t>cfb_key_number_engine</t>
        </is>
      </c>
      <c r="BC681" s="24" t="inlineStr">
        <is>
          <t>cfb-spread-v1</t>
        </is>
      </c>
      <c r="BD681" s="24" t="inlineStr">
        <is>
          <t>1d168f11d221cd3c</t>
        </is>
      </c>
      <c r="BE681" s="24" t="inlineStr">
        <is>
          <t>cfb-v1</t>
        </is>
      </c>
      <c r="BF681" s="24" t="inlineStr">
        <is>
          <t>1</t>
        </is>
      </c>
      <c r="BG681" s="24" t="inlineStr">
        <is>
          <t>1d168f11d221cd3c</t>
        </is>
      </c>
      <c r="BH681" s="24" t="inlineStr">
        <is>
          <t>2026-10-03T10:53:30.577635+00:00</t>
        </is>
      </c>
      <c r="BI681" s="24" t="inlineStr">
        <is>
          <t>["same_event","same_team_same_day","same_league_same_day"]</t>
        </is>
      </c>
      <c r="BJ681" s="25" t="n">
        <v>-10.5</v>
      </c>
      <c r="BK681" s="26" t="n">
        <v>-115</v>
      </c>
      <c r="BL681" s="27" t="n">
        <v>1.869565</v>
      </c>
      <c r="BM681" s="28" t="n">
        <v>0.534884</v>
      </c>
      <c r="BN681" s="28" t="n"/>
      <c r="BO681" s="28" t="n"/>
      <c r="BP681" s="25" t="n"/>
      <c r="BQ681" s="27" t="n"/>
      <c r="BR681" s="28" t="n"/>
      <c r="BS681" s="28" t="n"/>
      <c r="BT681" s="28" t="n"/>
      <c r="BU681" s="25" t="n"/>
      <c r="BV681" s="29" t="n"/>
      <c r="BW681" s="24" t="n"/>
      <c r="BX681" s="30" t="n"/>
      <c r="BY681" s="27" t="n"/>
      <c r="BZ681" s="24" t="n"/>
      <c r="CA681" s="31" t="n"/>
      <c r="CB681" s="24" t="n"/>
      <c r="CC681" s="24" t="n"/>
      <c r="CD681" s="24" t="n"/>
      <c r="CE681" s="24" t="n"/>
      <c r="CF681" s="24" t="n"/>
      <c r="CG681" s="24" t="n"/>
      <c r="CH681" s="24" t="n"/>
      <c r="CI681" s="24" t="n"/>
      <c r="CJ681" s="24" t="n"/>
      <c r="CK681" s="24" t="n"/>
      <c r="CL681" s="24" t="n"/>
      <c r="CM681" s="24" t="n"/>
      <c r="CN681" s="24" t="n"/>
      <c r="CO681" s="24" t="n"/>
      <c r="CP681" s="24" t="n"/>
      <c r="CQ681" s="24" t="n"/>
      <c r="CR681" s="24" t="n"/>
      <c r="CS681" s="24" t="inlineStr">
        <is>
          <t>True</t>
        </is>
      </c>
      <c r="CT681" s="24" t="n"/>
      <c r="CU681" s="24" t="n"/>
      <c r="CV681" s="24" t="n"/>
      <c r="CW681" s="24" t="n"/>
      <c r="CX681" s="24" t="n"/>
      <c r="CY681" s="24" t="n"/>
      <c r="CZ681" s="24" t="n"/>
      <c r="DA681" s="24" t="n"/>
      <c r="DB681" s="24" t="n"/>
      <c r="DC681" s="24" t="n"/>
      <c r="DD681" s="24" t="n"/>
      <c r="DE681" s="24" t="n"/>
      <c r="DF681" s="24" t="n"/>
      <c r="DG681" s="24" t="n"/>
      <c r="DH681" s="24" t="n"/>
      <c r="DI681" s="24" t="n"/>
      <c r="DJ681" s="24" t="inlineStr">
        <is>
          <t>0.534884</t>
        </is>
      </c>
      <c r="DK681" s="24" t="n"/>
      <c r="DL681" s="24" t="n"/>
      <c r="DM681" s="24" t="n"/>
      <c r="DN681" s="24" t="n"/>
      <c r="DO681" s="24" t="n"/>
      <c r="DP681" s="24" t="n"/>
      <c r="DQ681" s="24" t="inlineStr">
        <is>
          <t>{"artifact_hash": "1d168f11d221cd3c", "event_id": "401856819", "event_start_utc": "2026-10-03T16:00Z", "features": {"altitude_fatigue_penalty": 0.0, "away_team": "UCF Knights", "efficiency_gap": 0.46, "elo_away": 1310.2, "elo_home": 1664.9, "elo_home_win_prob": 0.918, "event_id": "401856819", "game_start_utc": "2026-10-03T16:00Z", "home_field_advantage_points": 2.8, "home_team": "Houston Cougars", "is_dome": false, "is_fbs_vs_fcs": false, "is_neutral_site": false, "projected_away_points": 18.8, "projected_home_points": 35.9, "projected_margin_home": 17.1, "projected_possessions": 12.4, "projected_total": 54.7, "stadium_elevation_ft": 50, "travel_distance_miles": 857.0, "uncertainty": 0.18, "weather_total_adjustment": 0.0}, "historical_source_observation_times_verified": false, "inference_inputs": {"engine_source_sha256": "449ba2f0e86fa9c445730076a0e0bf100fb4914620be53c75c6f3bfe24298f3f", "mu_away": 18.8, "mu_home": 35.9,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52359826297637624261212204348824862596}, "uinteger": 0}, "spread_home_line": -10.5, "total_line": 50.5}, "market_type": "spread", "model_version": "cfb-spread-v1", "observed_at_utc": "2026-10-03T10:53:30.577635+00:00", "probabilities": {"away": 0.3718, "home": 0.6282, "push": 0.0}, "replay_scope": "Full precision score means, exact engine parameters and original RNG state; upstream feature construction not certified.", "schema": "cfb-joint-replay-v1", "snapshot_hash": "5c4b2325df9286484e46be8744a2b912bd0ed3d4037316b14a44e5ff14f2e48a", "sport": "NCAAF"}</t>
        </is>
      </c>
    </row>
    <row r="682" ht="36" customHeight="1">
      <c r="A682" s="24" t="inlineStr">
        <is>
          <t>f0fcb601449a4a1b</t>
        </is>
      </c>
      <c r="B682" s="24" t="inlineStr">
        <is>
          <t>2026-10-03T10:53:30.577635Z</t>
        </is>
      </c>
      <c r="C682" s="24" t="inlineStr">
        <is>
          <t>2026-10-03T16:00Z</t>
        </is>
      </c>
      <c r="D682" s="24" t="inlineStr">
        <is>
          <t>401856819</t>
        </is>
      </c>
      <c r="E682" s="24" t="inlineStr">
        <is>
          <t>NCAAF</t>
        </is>
      </c>
      <c r="F682" s="24" t="inlineStr">
        <is>
          <t>UCF Knights</t>
        </is>
      </c>
      <c r="G682" s="24" t="inlineStr">
        <is>
          <t>Houston Cougars</t>
        </is>
      </c>
      <c r="H682" s="24" t="inlineStr">
        <is>
          <t>total</t>
        </is>
      </c>
      <c r="I682" s="24" t="inlineStr">
        <is>
          <t>over</t>
        </is>
      </c>
      <c r="J682" s="25" t="n">
        <v>50.5</v>
      </c>
      <c r="K682" s="24" t="inlineStr">
        <is>
          <t>espn_consensus</t>
        </is>
      </c>
      <c r="L682" s="26" t="n">
        <v>-118</v>
      </c>
      <c r="M682" s="27" t="n">
        <v>1.847458</v>
      </c>
      <c r="N682" s="28" t="n">
        <v>0.541284</v>
      </c>
      <c r="O682" s="28" t="n">
        <v>0.542733</v>
      </c>
      <c r="P682" s="28" t="n">
        <v>0.18</v>
      </c>
      <c r="Q682" s="28" t="n">
        <v>0.001449</v>
      </c>
      <c r="R682" s="26" t="n">
        <v>0</v>
      </c>
      <c r="S682" s="29" t="n">
        <v>1</v>
      </c>
      <c r="T682" s="24" t="inlineStr">
        <is>
          <t>cfb-total-v1</t>
        </is>
      </c>
      <c r="U682" s="24" t="inlineStr">
        <is>
          <t>settled</t>
        </is>
      </c>
      <c r="V682" s="24" t="inlineStr">
        <is>
          <t>loss</t>
        </is>
      </c>
      <c r="W682" s="26" t="n">
        <v>17</v>
      </c>
      <c r="X682" s="26" t="n">
        <v>27</v>
      </c>
      <c r="Y682" s="25" t="n"/>
      <c r="Z682" s="26" t="n"/>
      <c r="AA682" s="28" t="n"/>
      <c r="AB682" s="28" t="n"/>
      <c r="AC682" s="30" t="n">
        <v>-1</v>
      </c>
      <c r="AD682" s="24" t="inlineStr">
        <is>
          <t>2026-10-03T22:00:23.083818Z</t>
        </is>
      </c>
      <c r="AE682" s="31" t="inlineStr">
        <is>
          <t>Projected total 54.7 pts (Weather adj: +0.0 pts). Total line 50.5 -&gt; P(Over)=0.543, P(Under)=0.457, P(Push)=0.000.</t>
        </is>
      </c>
      <c r="AF682" s="31" t="inlineStr">
        <is>
          <t>College football model; multi-market (moneyline, spread, total).</t>
        </is>
      </c>
      <c r="AG682" s="24" t="inlineStr">
        <is>
          <t>review_required</t>
        </is>
      </c>
      <c r="AH682" s="24" t="n"/>
      <c r="AI682" s="31" t="n"/>
      <c r="AJ682" s="31" t="n"/>
      <c r="AK682" s="24" t="inlineStr">
        <is>
          <t>paper_call</t>
        </is>
      </c>
      <c r="AL682" s="26" t="n">
        <v>4</v>
      </c>
      <c r="AM682" s="24" t="inlineStr">
        <is>
          <t>RESEARCH_OBSERVATION</t>
        </is>
      </c>
      <c r="AN682" s="24" t="inlineStr">
        <is>
          <t>CALL</t>
        </is>
      </c>
      <c r="AO682" s="24" t="inlineStr">
        <is>
          <t>PAPER_CALL_LOW_EDGE</t>
        </is>
      </c>
      <c r="AP682" s="24" t="inlineStr">
        <is>
          <t>UCF Knights</t>
        </is>
      </c>
      <c r="AQ682" s="24" t="inlineStr">
        <is>
          <t>UCF Knights</t>
        </is>
      </c>
      <c r="AR682" s="24" t="inlineStr">
        <is>
          <t>UCF Knights</t>
        </is>
      </c>
      <c r="AS682" s="24" t="inlineStr">
        <is>
          <t>Houston Cougars</t>
        </is>
      </c>
      <c r="AT682" s="24" t="inlineStr">
        <is>
          <t>Houston Cougars</t>
        </is>
      </c>
      <c r="AU682" s="24" t="inlineStr">
        <is>
          <t>Houston Cougars</t>
        </is>
      </c>
      <c r="AV682" s="24" t="n"/>
      <c r="AW682" s="24" t="n"/>
      <c r="AX682" s="24" t="inlineStr">
        <is>
          <t>statistical_model</t>
        </is>
      </c>
      <c r="AY682" s="24" t="n"/>
      <c r="AZ682" s="24" t="inlineStr">
        <is>
          <t>shadow_qualified</t>
        </is>
      </c>
      <c r="BA682" s="24" t="inlineStr">
        <is>
          <t>1d168f11d221cd3c</t>
        </is>
      </c>
      <c r="BB682" s="24" t="inlineStr">
        <is>
          <t>cfb_key_number_engine</t>
        </is>
      </c>
      <c r="BC682" s="24" t="inlineStr">
        <is>
          <t>cfb-total-v1</t>
        </is>
      </c>
      <c r="BD682" s="24" t="inlineStr">
        <is>
          <t>1d168f11d221cd3c</t>
        </is>
      </c>
      <c r="BE682" s="24" t="inlineStr">
        <is>
          <t>cfb-v1</t>
        </is>
      </c>
      <c r="BF682" s="24" t="inlineStr">
        <is>
          <t>1</t>
        </is>
      </c>
      <c r="BG682" s="24" t="inlineStr">
        <is>
          <t>1d168f11d221cd3c</t>
        </is>
      </c>
      <c r="BH682" s="24" t="inlineStr">
        <is>
          <t>2026-10-03T10:53:30.577635+00:00</t>
        </is>
      </c>
      <c r="BI682" s="24" t="inlineStr">
        <is>
          <t>["same_event","same_team_same_day","same_league_same_day"]</t>
        </is>
      </c>
      <c r="BJ682" s="25" t="n">
        <v>50.5</v>
      </c>
      <c r="BK682" s="26" t="n">
        <v>-118</v>
      </c>
      <c r="BL682" s="27" t="n">
        <v>1.847458</v>
      </c>
      <c r="BM682" s="28" t="n">
        <v>0.541284</v>
      </c>
      <c r="BN682" s="28" t="n"/>
      <c r="BO682" s="28" t="n"/>
      <c r="BP682" s="25" t="n"/>
      <c r="BQ682" s="27" t="n"/>
      <c r="BR682" s="28" t="n"/>
      <c r="BS682" s="28" t="n"/>
      <c r="BT682" s="28" t="n"/>
      <c r="BU682" s="25" t="n"/>
      <c r="BV682" s="29" t="n"/>
      <c r="BW682" s="24" t="n"/>
      <c r="BX682" s="30" t="n">
        <v>1</v>
      </c>
      <c r="BY682" s="27" t="n">
        <v>-1</v>
      </c>
      <c r="BZ682" s="24" t="inlineStr">
        <is>
          <t>2026-10-03T22:00:23.083818Z</t>
        </is>
      </c>
      <c r="CA682" s="31" t="inlineStr">
        <is>
          <t>fixed one-unit hypothetical scoring; no real exposure or execution</t>
        </is>
      </c>
      <c r="CB682" s="24" t="n"/>
      <c r="CC682" s="24" t="n"/>
      <c r="CD682" s="24" t="n"/>
      <c r="CE682" s="24" t="n"/>
      <c r="CF682" s="24" t="n"/>
      <c r="CG682" s="24" t="n"/>
      <c r="CH682" s="24" t="n"/>
      <c r="CI682" s="24" t="n"/>
      <c r="CJ682" s="24" t="n"/>
      <c r="CK682" s="24" t="n"/>
      <c r="CL682" s="24" t="n"/>
      <c r="CM682" s="24" t="n"/>
      <c r="CN682" s="24" t="n"/>
      <c r="CO682" s="24" t="n"/>
      <c r="CP682" s="24" t="n"/>
      <c r="CQ682" s="24" t="n"/>
      <c r="CR682" s="24" t="n"/>
      <c r="CS682" s="24" t="inlineStr">
        <is>
          <t>True</t>
        </is>
      </c>
      <c r="CT682" s="24" t="n"/>
      <c r="CU682" s="24" t="n"/>
      <c r="CV682" s="24" t="n"/>
      <c r="CW682" s="24" t="n"/>
      <c r="CX682" s="24" t="n"/>
      <c r="CY682" s="24" t="n"/>
      <c r="CZ682" s="24" t="n"/>
      <c r="DA682" s="24" t="n"/>
      <c r="DB682" s="24" t="n"/>
      <c r="DC682" s="24" t="n"/>
      <c r="DD682" s="24" t="n"/>
      <c r="DE682" s="24" t="n"/>
      <c r="DF682" s="24" t="n"/>
      <c r="DG682" s="24" t="n"/>
      <c r="DH682" s="24" t="n"/>
      <c r="DI682" s="24" t="n"/>
      <c r="DJ682" s="24" t="inlineStr">
        <is>
          <t>0.541284</t>
        </is>
      </c>
      <c r="DK682" s="24" t="n"/>
      <c r="DL682" s="24" t="n"/>
      <c r="DM682" s="24" t="n"/>
      <c r="DN682" s="24" t="n"/>
      <c r="DO682" s="24" t="n"/>
      <c r="DP682" s="24" t="n"/>
      <c r="DQ682" s="24" t="inlineStr">
        <is>
          <t>{"artifact_hash": "1d168f11d221cd3c", "event_id": "401856819", "event_start_utc": "2026-10-03T16:00Z", "features": {"altitude_fatigue_penalty": 0.0, "away_team": "UCF Knights", "efficiency_gap": 0.46, "elo_away": 1310.2, "elo_home": 1664.9, "elo_home_win_prob": 0.918, "event_id": "401856819", "game_start_utc": "2026-10-03T16:00Z", "home_field_advantage_points": 2.8, "home_team": "Houston Cougars", "is_dome": false, "is_fbs_vs_fcs": false, "is_neutral_site": false, "projected_away_points": 18.8, "projected_home_points": 35.9, "projected_margin_home": 17.1, "projected_possessions": 12.4, "projected_total": 54.7, "stadium_elevation_ft": 50, "travel_distance_miles": 857.0, "uncertainty": 0.18, "weather_total_adjustment": 0.0}, "historical_source_observation_times_verified": false, "inference_inputs": {"engine_source_sha256": "449ba2f0e86fa9c445730076a0e0bf100fb4914620be53c75c6f3bfe24298f3f", "mu_away": 18.8, "mu_home": 35.9,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52359826297637624261212204348824862596}, "uinteger": 0}, "spread_home_line": -10.5, "total_line": 50.5}, "market_type": "total", "model_version": "cfb-total-v1", "observed_at_utc": "2026-10-03T10:53:30.577635+00:00", "probabilities": {"over": 0.542733, "push": 0.0, "under": 0.457267}, "replay_scope": "Full precision score means, exact engine parameters and original RNG state; upstream feature construction not certified.", "schema": "cfb-joint-replay-v1", "snapshot_hash": "77736ae12f8d95e97e5493f4498087e96706ce1f311df636f3e1c279a7dd1779", "sport": "NCAAF"}</t>
        </is>
      </c>
    </row>
    <row r="683" ht="36" customHeight="1">
      <c r="A683" s="24" t="inlineStr">
        <is>
          <t>5701d4b5c45b4e14</t>
        </is>
      </c>
      <c r="B683" s="24" t="inlineStr">
        <is>
          <t>2026-10-03T10:53:30.577635Z</t>
        </is>
      </c>
      <c r="C683" s="24" t="inlineStr">
        <is>
          <t>2026-10-03T16:00Z</t>
        </is>
      </c>
      <c r="D683" s="24" t="inlineStr">
        <is>
          <t>401858246</t>
        </is>
      </c>
      <c r="E683" s="24" t="inlineStr">
        <is>
          <t>NCAAF</t>
        </is>
      </c>
      <c r="F683" s="24" t="inlineStr">
        <is>
          <t>Boston College Eagles</t>
        </is>
      </c>
      <c r="G683" s="24" t="inlineStr">
        <is>
          <t>SMU Mustangs</t>
        </is>
      </c>
      <c r="H683" s="24" t="inlineStr">
        <is>
          <t>moneyline</t>
        </is>
      </c>
      <c r="I683" s="24" t="inlineStr">
        <is>
          <t>home</t>
        </is>
      </c>
      <c r="J683" s="25" t="n"/>
      <c r="K683" s="24" t="inlineStr">
        <is>
          <t>espn_consensus</t>
        </is>
      </c>
      <c r="L683" s="26" t="n">
        <v>-1800</v>
      </c>
      <c r="M683" s="27" t="n">
        <v>1.055556</v>
      </c>
      <c r="N683" s="28" t="n">
        <v>0.947368</v>
      </c>
      <c r="O683" s="28" t="n">
        <v>0.890301</v>
      </c>
      <c r="P683" s="28" t="n">
        <v>0.18</v>
      </c>
      <c r="Q683" s="28" t="n">
        <v>-0.057067</v>
      </c>
      <c r="R683" s="26" t="n">
        <v>0</v>
      </c>
      <c r="S683" s="29" t="n">
        <v>1</v>
      </c>
      <c r="T683" s="24" t="inlineStr">
        <is>
          <t>college-football-v1</t>
        </is>
      </c>
      <c r="U683" s="24" t="inlineStr">
        <is>
          <t>settled</t>
        </is>
      </c>
      <c r="V683" s="24" t="inlineStr">
        <is>
          <t>win</t>
        </is>
      </c>
      <c r="W683" s="26" t="n">
        <v>16</v>
      </c>
      <c r="X683" s="26" t="n">
        <v>25</v>
      </c>
      <c r="Y683" s="25" t="n"/>
      <c r="Z683" s="26" t="n"/>
      <c r="AA683" s="28" t="n"/>
      <c r="AB683" s="28" t="n"/>
      <c r="AC683" s="30" t="n">
        <v>0.0556</v>
      </c>
      <c r="AD683" s="24" t="inlineStr">
        <is>
          <t>2026-10-03T22:00:23.748434Z</t>
        </is>
      </c>
      <c r="AE683" s="31" t="inlineStr">
        <is>
          <t>CFB Joint Model (negative_binomial): proj score Boston College Eagles 15.4 @ SMU Mustangs 38.1 (Margin +22.7). Possessions: 12.4, HFA: +2.8 pts.</t>
        </is>
      </c>
      <c r="AF683" s="31" t="inlineStr">
        <is>
          <t>College football model; multi-market (moneyline, spread, total).</t>
        </is>
      </c>
      <c r="AG683" s="24" t="inlineStr">
        <is>
          <t>not_applicable</t>
        </is>
      </c>
      <c r="AH683" s="24" t="n"/>
      <c r="AI683" s="31" t="n"/>
      <c r="AJ683" s="31" t="n"/>
      <c r="AK683" s="24" t="inlineStr">
        <is>
          <t>paper_call</t>
        </is>
      </c>
      <c r="AL683" s="26" t="n">
        <v>4</v>
      </c>
      <c r="AM683" s="24" t="inlineStr">
        <is>
          <t>RESEARCH_OBSERVATION</t>
        </is>
      </c>
      <c r="AN683" s="24" t="inlineStr">
        <is>
          <t>CALL</t>
        </is>
      </c>
      <c r="AO683" s="24" t="inlineStr">
        <is>
          <t>PAPER_CALL_LOW_EDGE</t>
        </is>
      </c>
      <c r="AP683" s="24" t="inlineStr">
        <is>
          <t>Boston College Eagles</t>
        </is>
      </c>
      <c r="AQ683" s="24" t="inlineStr">
        <is>
          <t>Boston College Eagles</t>
        </is>
      </c>
      <c r="AR683" s="24" t="inlineStr">
        <is>
          <t>Boston College Eagles</t>
        </is>
      </c>
      <c r="AS683" s="24" t="inlineStr">
        <is>
          <t>SMU Mustangs</t>
        </is>
      </c>
      <c r="AT683" s="24" t="inlineStr">
        <is>
          <t>SMU Mustangs</t>
        </is>
      </c>
      <c r="AU683" s="24" t="inlineStr">
        <is>
          <t>SMU Mustangs</t>
        </is>
      </c>
      <c r="AV683" s="24" t="n"/>
      <c r="AW683" s="24" t="n"/>
      <c r="AX683" s="24" t="inlineStr">
        <is>
          <t>statistical_model</t>
        </is>
      </c>
      <c r="AY683" s="24" t="n"/>
      <c r="AZ683" s="24" t="inlineStr">
        <is>
          <t>shadow_qualified</t>
        </is>
      </c>
      <c r="BA683" s="24" t="inlineStr">
        <is>
          <t>1d168f11d221cd3c</t>
        </is>
      </c>
      <c r="BB683" s="24" t="inlineStr">
        <is>
          <t>cfb_key_number_engine</t>
        </is>
      </c>
      <c r="BC683" s="24" t="inlineStr">
        <is>
          <t>college-football-v1</t>
        </is>
      </c>
      <c r="BD683" s="24" t="inlineStr">
        <is>
          <t>1d168f11d221cd3c</t>
        </is>
      </c>
      <c r="BE683" s="24" t="inlineStr">
        <is>
          <t>cfb-v1</t>
        </is>
      </c>
      <c r="BF683" s="24" t="inlineStr">
        <is>
          <t>1</t>
        </is>
      </c>
      <c r="BG683" s="24" t="inlineStr">
        <is>
          <t>1d168f11d221cd3c</t>
        </is>
      </c>
      <c r="BH683" s="24" t="inlineStr">
        <is>
          <t>2026-10-03T10:53:30.577635+00:00</t>
        </is>
      </c>
      <c r="BI683" s="24" t="inlineStr">
        <is>
          <t>["same_event","same_team_same_day","same_league_same_day"]</t>
        </is>
      </c>
      <c r="BJ683" s="25" t="n"/>
      <c r="BK683" s="26" t="n">
        <v>-1800</v>
      </c>
      <c r="BL683" s="27" t="n">
        <v>1.055556</v>
      </c>
      <c r="BM683" s="28" t="n">
        <v>0.947368</v>
      </c>
      <c r="BN683" s="28" t="n"/>
      <c r="BO683" s="28" t="n"/>
      <c r="BP683" s="25" t="n"/>
      <c r="BQ683" s="27" t="n"/>
      <c r="BR683" s="28" t="n"/>
      <c r="BS683" s="28" t="n"/>
      <c r="BT683" s="28" t="n"/>
      <c r="BU683" s="25" t="n"/>
      <c r="BV683" s="29" t="n"/>
      <c r="BW683" s="24" t="n"/>
      <c r="BX683" s="30" t="n">
        <v>1</v>
      </c>
      <c r="BY683" s="27" t="n">
        <v>0.055556</v>
      </c>
      <c r="BZ683" s="24" t="inlineStr">
        <is>
          <t>2026-10-03T22:00:23.748434Z</t>
        </is>
      </c>
      <c r="CA683" s="31" t="inlineStr">
        <is>
          <t>fixed one-unit hypothetical scoring; no real exposure or execution</t>
        </is>
      </c>
      <c r="CB683" s="24" t="n"/>
      <c r="CC683" s="24" t="n"/>
      <c r="CD683" s="24" t="n"/>
      <c r="CE683" s="24" t="n"/>
      <c r="CF683" s="24" t="n"/>
      <c r="CG683" s="24" t="n"/>
      <c r="CH683" s="24" t="n"/>
      <c r="CI683" s="24" t="n"/>
      <c r="CJ683" s="24" t="n"/>
      <c r="CK683" s="24" t="n"/>
      <c r="CL683" s="24" t="n"/>
      <c r="CM683" s="24" t="n"/>
      <c r="CN683" s="24" t="n"/>
      <c r="CO683" s="24" t="n"/>
      <c r="CP683" s="24" t="n"/>
      <c r="CQ683" s="24" t="n"/>
      <c r="CR683" s="24" t="n"/>
      <c r="CS683" s="24" t="inlineStr">
        <is>
          <t>False</t>
        </is>
      </c>
      <c r="CT683" s="24" t="n"/>
      <c r="CU683" s="24" t="n"/>
      <c r="CV683" s="24" t="n"/>
      <c r="CW683" s="24" t="n"/>
      <c r="CX683" s="24" t="n"/>
      <c r="CY683" s="24" t="n"/>
      <c r="CZ683" s="24" t="n"/>
      <c r="DA683" s="24" t="n"/>
      <c r="DB683" s="24" t="n"/>
      <c r="DC683" s="24" t="n"/>
      <c r="DD683" s="24" t="n"/>
      <c r="DE683" s="24" t="n"/>
      <c r="DF683" s="24" t="n"/>
      <c r="DG683" s="24" t="n"/>
      <c r="DH683" s="24" t="n"/>
      <c r="DI683" s="24" t="n"/>
      <c r="DJ683" s="24" t="inlineStr">
        <is>
          <t>0.947368</t>
        </is>
      </c>
      <c r="DK683" s="24" t="n"/>
      <c r="DL683" s="24" t="n"/>
      <c r="DM683" s="24" t="n"/>
      <c r="DN683" s="24" t="n"/>
      <c r="DO683" s="24" t="n"/>
      <c r="DP683" s="24" t="n"/>
      <c r="DQ683" s="24" t="inlineStr">
        <is>
          <t>{"artifact_hash": "1d168f11d221cd3c", "event_id": "401858246", "event_start_utc": "2026-10-03T16:00Z", "features": {"altitude_fatigue_penalty": 0.0, "away_team": "Boston College Eagles", "efficiency_gap": 1.065, "elo_away": 1259.7, "elo_home": 1750.8, "elo_home_win_prob": 0.9609, "event_id": "401858246", "game_start_utc": "2026-10-03T16:00Z", "home_field_advantage_points": 2.8, "home_team": "SMU Mustangs", "is_dome": false, "is_fbs_vs_fcs": false, "is_neutral_site": false, "projected_away_points": 15.4, "projected_home_points": 38.1, "projected_margin_home": 22.7, "projected_possessions": 12.4, "projected_total": 53.4, "stadium_elevation_ft": 550, "travel_distance_miles": 1540.0, "uncertainty": 0.18, "weather_total_adjustment": 0.0}, "historical_source_observation_times_verified": false, "inference_inputs": {"engine_source_sha256": "449ba2f0e86fa9c445730076a0e0bf100fb4914620be53c75c6f3bfe24298f3f", "mu_away": 15.4, "mu_home": 38.1,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36652821482739427005363255376202033884}, "uinteger": 0}, "spread_home_line": -21.0, "total_line": 55.5}, "market_type": "moneyline", "model_version": "college-football-v1", "observed_at_utc": "2026-10-03T10:53:30.577635+00:00", "probabilities": {"away": 0.109699, "home": 0.890301}, "replay_scope": "Full precision score means, exact engine parameters and original RNG state; upstream feature construction not certified.", "schema": "cfb-joint-replay-v1", "snapshot_hash": "1f0e390ebb17dad6b12b8d0be7d2ce353acaeb5d624a4d9efc9e3d25aa9a7af2", "sport": "NCAAF"}</t>
        </is>
      </c>
    </row>
    <row r="684" ht="36" customHeight="1">
      <c r="A684" s="24" t="inlineStr">
        <is>
          <t>c052ef234c734ca0</t>
        </is>
      </c>
      <c r="B684" s="24" t="inlineStr">
        <is>
          <t>2026-10-03T10:53:30.577635Z</t>
        </is>
      </c>
      <c r="C684" s="24" t="inlineStr">
        <is>
          <t>2026-10-03T16:00Z</t>
        </is>
      </c>
      <c r="D684" s="24" t="inlineStr">
        <is>
          <t>401858246</t>
        </is>
      </c>
      <c r="E684" s="24" t="inlineStr">
        <is>
          <t>NCAAF</t>
        </is>
      </c>
      <c r="F684" s="24" t="inlineStr">
        <is>
          <t>Boston College Eagles</t>
        </is>
      </c>
      <c r="G684" s="24" t="inlineStr">
        <is>
          <t>SMU Mustangs</t>
        </is>
      </c>
      <c r="H684" s="24" t="inlineStr">
        <is>
          <t>spread</t>
        </is>
      </c>
      <c r="I684" s="24" t="inlineStr">
        <is>
          <t>home</t>
        </is>
      </c>
      <c r="J684" s="25" t="n">
        <v>-21</v>
      </c>
      <c r="K684" s="24" t="inlineStr">
        <is>
          <t>espn_consensus</t>
        </is>
      </c>
      <c r="L684" s="26" t="n">
        <v>-115</v>
      </c>
      <c r="M684" s="27" t="n">
        <v>1.869565</v>
      </c>
      <c r="N684" s="28" t="n">
        <v>0.534884</v>
      </c>
      <c r="O684" s="28" t="n">
        <v>0.505933</v>
      </c>
      <c r="P684" s="28" t="n">
        <v>0.18</v>
      </c>
      <c r="Q684" s="28" t="n">
        <v>-0.028951</v>
      </c>
      <c r="R684" s="26" t="n">
        <v>0</v>
      </c>
      <c r="S684" s="29" t="n">
        <v>1</v>
      </c>
      <c r="T684" s="24" t="inlineStr">
        <is>
          <t>cfb-spread-v1</t>
        </is>
      </c>
      <c r="U684" s="24" t="inlineStr">
        <is>
          <t>settled</t>
        </is>
      </c>
      <c r="V684" s="24" t="inlineStr">
        <is>
          <t>loss</t>
        </is>
      </c>
      <c r="W684" s="26" t="n">
        <v>16</v>
      </c>
      <c r="X684" s="26" t="n">
        <v>25</v>
      </c>
      <c r="Y684" s="25" t="n"/>
      <c r="Z684" s="26" t="n"/>
      <c r="AA684" s="28" t="n"/>
      <c r="AB684" s="28" t="n"/>
      <c r="AC684" s="30" t="n">
        <v>-1</v>
      </c>
      <c r="AD684" s="24" t="inlineStr">
        <is>
          <t>2026-10-03T22:00:24.287364Z</t>
        </is>
      </c>
      <c r="AE684" s="31" t="inlineStr">
        <is>
          <t>Projected home margin +22.7 pts. Spread: Home -21.0 / Away +21.0 -&gt; P(Away cover)=0.473, P(Home cover)=0.506, P(Push)=0.021.</t>
        </is>
      </c>
      <c r="AF684" s="31" t="inlineStr">
        <is>
          <t>College football model; multi-market (moneyline, spread, total).</t>
        </is>
      </c>
      <c r="AG684" s="24" t="inlineStr">
        <is>
          <t>review_required</t>
        </is>
      </c>
      <c r="AH684" s="24" t="n"/>
      <c r="AI684" s="31" t="n"/>
      <c r="AJ684" s="31" t="n"/>
      <c r="AK684" s="24" t="inlineStr">
        <is>
          <t>paper_call</t>
        </is>
      </c>
      <c r="AL684" s="26" t="n">
        <v>4</v>
      </c>
      <c r="AM684" s="24" t="inlineStr">
        <is>
          <t>RESEARCH_OBSERVATION</t>
        </is>
      </c>
      <c r="AN684" s="24" t="inlineStr">
        <is>
          <t>CALL</t>
        </is>
      </c>
      <c r="AO684" s="24" t="inlineStr">
        <is>
          <t>PAPER_CALL_LOW_EDGE</t>
        </is>
      </c>
      <c r="AP684" s="24" t="inlineStr">
        <is>
          <t>Boston College Eagles</t>
        </is>
      </c>
      <c r="AQ684" s="24" t="inlineStr">
        <is>
          <t>Boston College Eagles</t>
        </is>
      </c>
      <c r="AR684" s="24" t="inlineStr">
        <is>
          <t>Boston College Eagles</t>
        </is>
      </c>
      <c r="AS684" s="24" t="inlineStr">
        <is>
          <t>SMU Mustangs</t>
        </is>
      </c>
      <c r="AT684" s="24" t="inlineStr">
        <is>
          <t>SMU Mustangs</t>
        </is>
      </c>
      <c r="AU684" s="24" t="inlineStr">
        <is>
          <t>SMU Mustangs</t>
        </is>
      </c>
      <c r="AV684" s="24" t="n"/>
      <c r="AW684" s="24" t="n"/>
      <c r="AX684" s="24" t="inlineStr">
        <is>
          <t>statistical_model</t>
        </is>
      </c>
      <c r="AY684" s="24" t="n"/>
      <c r="AZ684" s="24" t="inlineStr">
        <is>
          <t>shadow_qualified</t>
        </is>
      </c>
      <c r="BA684" s="24" t="inlineStr">
        <is>
          <t>1d168f11d221cd3c</t>
        </is>
      </c>
      <c r="BB684" s="24" t="inlineStr">
        <is>
          <t>cfb_key_number_engine</t>
        </is>
      </c>
      <c r="BC684" s="24" t="inlineStr">
        <is>
          <t>cfb-spread-v1</t>
        </is>
      </c>
      <c r="BD684" s="24" t="inlineStr">
        <is>
          <t>1d168f11d221cd3c</t>
        </is>
      </c>
      <c r="BE684" s="24" t="inlineStr">
        <is>
          <t>cfb-v1</t>
        </is>
      </c>
      <c r="BF684" s="24" t="inlineStr">
        <is>
          <t>1</t>
        </is>
      </c>
      <c r="BG684" s="24" t="inlineStr">
        <is>
          <t>1d168f11d221cd3c</t>
        </is>
      </c>
      <c r="BH684" s="24" t="inlineStr">
        <is>
          <t>2026-10-03T10:53:30.577635+00:00</t>
        </is>
      </c>
      <c r="BI684" s="24" t="inlineStr">
        <is>
          <t>["same_event","same_team_same_day","same_league_same_day"]</t>
        </is>
      </c>
      <c r="BJ684" s="25" t="n">
        <v>-21</v>
      </c>
      <c r="BK684" s="26" t="n">
        <v>-115</v>
      </c>
      <c r="BL684" s="27" t="n">
        <v>1.869565</v>
      </c>
      <c r="BM684" s="28" t="n">
        <v>0.534884</v>
      </c>
      <c r="BN684" s="28" t="n"/>
      <c r="BO684" s="28" t="n"/>
      <c r="BP684" s="25" t="n"/>
      <c r="BQ684" s="27" t="n"/>
      <c r="BR684" s="28" t="n"/>
      <c r="BS684" s="28" t="n"/>
      <c r="BT684" s="28" t="n"/>
      <c r="BU684" s="25" t="n"/>
      <c r="BV684" s="29" t="n"/>
      <c r="BW684" s="24" t="n"/>
      <c r="BX684" s="30" t="n">
        <v>1</v>
      </c>
      <c r="BY684" s="27" t="n">
        <v>-1</v>
      </c>
      <c r="BZ684" s="24" t="inlineStr">
        <is>
          <t>2026-10-03T22:00:24.287364Z</t>
        </is>
      </c>
      <c r="CA684" s="31" t="inlineStr">
        <is>
          <t>fixed one-unit hypothetical scoring; no real exposure or execution</t>
        </is>
      </c>
      <c r="CB684" s="24" t="n"/>
      <c r="CC684" s="24" t="n"/>
      <c r="CD684" s="24" t="n"/>
      <c r="CE684" s="24" t="n"/>
      <c r="CF684" s="24" t="n"/>
      <c r="CG684" s="24" t="n"/>
      <c r="CH684" s="24" t="n"/>
      <c r="CI684" s="24" t="n"/>
      <c r="CJ684" s="24" t="n"/>
      <c r="CK684" s="24" t="n"/>
      <c r="CL684" s="24" t="n"/>
      <c r="CM684" s="24" t="n"/>
      <c r="CN684" s="24" t="n"/>
      <c r="CO684" s="24" t="n"/>
      <c r="CP684" s="24" t="n"/>
      <c r="CQ684" s="24" t="n"/>
      <c r="CR684" s="24" t="n"/>
      <c r="CS684" s="24" t="inlineStr">
        <is>
          <t>False</t>
        </is>
      </c>
      <c r="CT684" s="24" t="n"/>
      <c r="CU684" s="24" t="n"/>
      <c r="CV684" s="24" t="n"/>
      <c r="CW684" s="24" t="n"/>
      <c r="CX684" s="24" t="n"/>
      <c r="CY684" s="24" t="n"/>
      <c r="CZ684" s="24" t="n"/>
      <c r="DA684" s="24" t="n"/>
      <c r="DB684" s="24" t="n"/>
      <c r="DC684" s="24" t="n"/>
      <c r="DD684" s="24" t="n"/>
      <c r="DE684" s="24" t="n"/>
      <c r="DF684" s="24" t="n"/>
      <c r="DG684" s="24" t="n"/>
      <c r="DH684" s="24" t="n"/>
      <c r="DI684" s="24" t="n"/>
      <c r="DJ684" s="24" t="inlineStr">
        <is>
          <t>0.534884</t>
        </is>
      </c>
      <c r="DK684" s="24" t="n"/>
      <c r="DL684" s="24" t="n"/>
      <c r="DM684" s="24" t="n"/>
      <c r="DN684" s="24" t="n"/>
      <c r="DO684" s="24" t="n"/>
      <c r="DP684" s="24" t="n"/>
      <c r="DQ684" s="24" t="inlineStr">
        <is>
          <t>{"artifact_hash": "1d168f11d221cd3c", "event_id": "401858246", "event_start_utc": "2026-10-03T16:00Z", "features": {"altitude_fatigue_penalty": 0.0, "away_team": "Boston College Eagles", "efficiency_gap": 1.065, "elo_away": 1259.7, "elo_home": 1750.8, "elo_home_win_prob": 0.9609, "event_id": "401858246", "game_start_utc": "2026-10-03T16:00Z", "home_field_advantage_points": 2.8, "home_team": "SMU Mustangs", "is_dome": false, "is_fbs_vs_fcs": false, "is_neutral_site": false, "projected_away_points": 15.4, "projected_home_points": 38.1, "projected_margin_home": 22.7, "projected_possessions": 12.4, "projected_total": 53.4, "stadium_elevation_ft": 550, "travel_distance_miles": 1540.0, "uncertainty": 0.18, "weather_total_adjustment": 0.0}, "historical_source_observation_times_verified": false, "inference_inputs": {"engine_source_sha256": "449ba2f0e86fa9c445730076a0e0bf100fb4914620be53c75c6f3bfe24298f3f", "mu_away": 15.4, "mu_home": 38.1,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36652821482739427005363255376202033884}, "uinteger": 0}, "spread_home_line": -21.0, "total_line": 55.5}, "market_type": "spread", "model_version": "cfb-spread-v1", "observed_at_utc": "2026-10-03T10:53:30.577635+00:00", "probabilities": {"away": 0.473, "home": 0.505933, "push": 0.021067}, "replay_scope": "Full precision score means, exact engine parameters and original RNG state; upstream feature construction not certified.", "schema": "cfb-joint-replay-v1", "snapshot_hash": "162e230949891611afa3b97d0de3a15e599027b430012dd43a2e548979a51884", "sport": "NCAAF"}</t>
        </is>
      </c>
    </row>
    <row r="685" ht="36" customHeight="1">
      <c r="A685" s="24" t="inlineStr">
        <is>
          <t>dc0c560c119f428b</t>
        </is>
      </c>
      <c r="B685" s="24" t="inlineStr">
        <is>
          <t>2026-10-03T10:53:30.577635Z</t>
        </is>
      </c>
      <c r="C685" s="24" t="inlineStr">
        <is>
          <t>2026-10-03T16:00Z</t>
        </is>
      </c>
      <c r="D685" s="24" t="inlineStr">
        <is>
          <t>401858246</t>
        </is>
      </c>
      <c r="E685" s="24" t="inlineStr">
        <is>
          <t>NCAAF</t>
        </is>
      </c>
      <c r="F685" s="24" t="inlineStr">
        <is>
          <t>Boston College Eagles</t>
        </is>
      </c>
      <c r="G685" s="24" t="inlineStr">
        <is>
          <t>SMU Mustangs</t>
        </is>
      </c>
      <c r="H685" s="24" t="inlineStr">
        <is>
          <t>total</t>
        </is>
      </c>
      <c r="I685" s="24" t="inlineStr">
        <is>
          <t>under</t>
        </is>
      </c>
      <c r="J685" s="25" t="n">
        <v>55.5</v>
      </c>
      <c r="K685" s="24" t="inlineStr">
        <is>
          <t>espn_consensus</t>
        </is>
      </c>
      <c r="L685" s="26" t="n">
        <v>-115</v>
      </c>
      <c r="M685" s="27" t="n">
        <v>1.869565</v>
      </c>
      <c r="N685" s="28" t="n">
        <v>0.534884</v>
      </c>
      <c r="O685" s="28" t="n">
        <v>0.5592</v>
      </c>
      <c r="P685" s="28" t="n">
        <v>0.18</v>
      </c>
      <c r="Q685" s="28" t="n">
        <v>0.024316</v>
      </c>
      <c r="R685" s="26" t="n">
        <v>0</v>
      </c>
      <c r="S685" s="29" t="n">
        <v>1</v>
      </c>
      <c r="T685" s="24" t="inlineStr">
        <is>
          <t>cfb-total-v1</t>
        </is>
      </c>
      <c r="U685" s="24" t="inlineStr">
        <is>
          <t>settled</t>
        </is>
      </c>
      <c r="V685" s="24" t="inlineStr">
        <is>
          <t>win</t>
        </is>
      </c>
      <c r="W685" s="26" t="n">
        <v>16</v>
      </c>
      <c r="X685" s="26" t="n">
        <v>25</v>
      </c>
      <c r="Y685" s="25" t="n"/>
      <c r="Z685" s="26" t="n"/>
      <c r="AA685" s="28" t="n"/>
      <c r="AB685" s="28" t="n"/>
      <c r="AC685" s="30" t="n">
        <v>0.8696</v>
      </c>
      <c r="AD685" s="24" t="inlineStr">
        <is>
          <t>2026-10-03T22:00:24.894700Z</t>
        </is>
      </c>
      <c r="AE685" s="31" t="inlineStr">
        <is>
          <t>Projected total 53.4 pts (Weather adj: +0.0 pts). Total line 55.5 -&gt; P(Over)=0.441, P(Under)=0.559, P(Push)=0.000.</t>
        </is>
      </c>
      <c r="AF685" s="31" t="inlineStr">
        <is>
          <t>College football model; multi-market (moneyline, spread, total).</t>
        </is>
      </c>
      <c r="AG685" s="24" t="inlineStr">
        <is>
          <t>not_applicable</t>
        </is>
      </c>
      <c r="AH685" s="24" t="n"/>
      <c r="AI685" s="31" t="n"/>
      <c r="AJ685" s="31" t="n"/>
      <c r="AK685" s="24" t="inlineStr">
        <is>
          <t>paper_call</t>
        </is>
      </c>
      <c r="AL685" s="26" t="n">
        <v>4</v>
      </c>
      <c r="AM685" s="24" t="inlineStr">
        <is>
          <t>RESEARCH_OBSERVATION</t>
        </is>
      </c>
      <c r="AN685" s="24" t="inlineStr">
        <is>
          <t>CALL</t>
        </is>
      </c>
      <c r="AO685" s="24" t="inlineStr">
        <is>
          <t>PAPER_CALL_LOW_EDGE</t>
        </is>
      </c>
      <c r="AP685" s="24" t="inlineStr">
        <is>
          <t>Boston College Eagles</t>
        </is>
      </c>
      <c r="AQ685" s="24" t="inlineStr">
        <is>
          <t>Boston College Eagles</t>
        </is>
      </c>
      <c r="AR685" s="24" t="inlineStr">
        <is>
          <t>Boston College Eagles</t>
        </is>
      </c>
      <c r="AS685" s="24" t="inlineStr">
        <is>
          <t>SMU Mustangs</t>
        </is>
      </c>
      <c r="AT685" s="24" t="inlineStr">
        <is>
          <t>SMU Mustangs</t>
        </is>
      </c>
      <c r="AU685" s="24" t="inlineStr">
        <is>
          <t>SMU Mustangs</t>
        </is>
      </c>
      <c r="AV685" s="24" t="n"/>
      <c r="AW685" s="24" t="n"/>
      <c r="AX685" s="24" t="inlineStr">
        <is>
          <t>statistical_model</t>
        </is>
      </c>
      <c r="AY685" s="24" t="n"/>
      <c r="AZ685" s="24" t="inlineStr">
        <is>
          <t>shadow_qualified</t>
        </is>
      </c>
      <c r="BA685" s="24" t="inlineStr">
        <is>
          <t>1d168f11d221cd3c</t>
        </is>
      </c>
      <c r="BB685" s="24" t="inlineStr">
        <is>
          <t>cfb_key_number_engine</t>
        </is>
      </c>
      <c r="BC685" s="24" t="inlineStr">
        <is>
          <t>cfb-total-v1</t>
        </is>
      </c>
      <c r="BD685" s="24" t="inlineStr">
        <is>
          <t>1d168f11d221cd3c</t>
        </is>
      </c>
      <c r="BE685" s="24" t="inlineStr">
        <is>
          <t>cfb-v1</t>
        </is>
      </c>
      <c r="BF685" s="24" t="inlineStr">
        <is>
          <t>1</t>
        </is>
      </c>
      <c r="BG685" s="24" t="inlineStr">
        <is>
          <t>1d168f11d221cd3c</t>
        </is>
      </c>
      <c r="BH685" s="24" t="inlineStr">
        <is>
          <t>2026-10-03T10:53:30.577635+00:00</t>
        </is>
      </c>
      <c r="BI685" s="24" t="inlineStr">
        <is>
          <t>["same_event","same_team_same_day","same_league_same_day"]</t>
        </is>
      </c>
      <c r="BJ685" s="25" t="n">
        <v>55.5</v>
      </c>
      <c r="BK685" s="26" t="n">
        <v>-115</v>
      </c>
      <c r="BL685" s="27" t="n">
        <v>1.869565</v>
      </c>
      <c r="BM685" s="28" t="n">
        <v>0.534884</v>
      </c>
      <c r="BN685" s="28" t="n"/>
      <c r="BO685" s="28" t="n"/>
      <c r="BP685" s="25" t="n"/>
      <c r="BQ685" s="27" t="n"/>
      <c r="BR685" s="28" t="n"/>
      <c r="BS685" s="28" t="n"/>
      <c r="BT685" s="28" t="n"/>
      <c r="BU685" s="25" t="n"/>
      <c r="BV685" s="29" t="n"/>
      <c r="BW685" s="24" t="n"/>
      <c r="BX685" s="30" t="n">
        <v>1</v>
      </c>
      <c r="BY685" s="27" t="n">
        <v>0.869565</v>
      </c>
      <c r="BZ685" s="24" t="inlineStr">
        <is>
          <t>2026-10-03T22:00:24.894700Z</t>
        </is>
      </c>
      <c r="CA685" s="31" t="inlineStr">
        <is>
          <t>fixed one-unit hypothetical scoring; no real exposure or execution</t>
        </is>
      </c>
      <c r="CB685" s="24" t="n"/>
      <c r="CC685" s="24" t="n"/>
      <c r="CD685" s="24" t="n"/>
      <c r="CE685" s="24" t="n"/>
      <c r="CF685" s="24" t="n"/>
      <c r="CG685" s="24" t="n"/>
      <c r="CH685" s="24" t="n"/>
      <c r="CI685" s="24" t="n"/>
      <c r="CJ685" s="24" t="n"/>
      <c r="CK685" s="24" t="n"/>
      <c r="CL685" s="24" t="n"/>
      <c r="CM685" s="24" t="n"/>
      <c r="CN685" s="24" t="n"/>
      <c r="CO685" s="24" t="n"/>
      <c r="CP685" s="24" t="n"/>
      <c r="CQ685" s="24" t="n"/>
      <c r="CR685" s="24" t="n"/>
      <c r="CS685" s="24" t="inlineStr">
        <is>
          <t>True</t>
        </is>
      </c>
      <c r="CT685" s="24" t="n"/>
      <c r="CU685" s="24" t="n"/>
      <c r="CV685" s="24" t="n"/>
      <c r="CW685" s="24" t="n"/>
      <c r="CX685" s="24" t="n"/>
      <c r="CY685" s="24" t="n"/>
      <c r="CZ685" s="24" t="n"/>
      <c r="DA685" s="24" t="n"/>
      <c r="DB685" s="24" t="n"/>
      <c r="DC685" s="24" t="n"/>
      <c r="DD685" s="24" t="n"/>
      <c r="DE685" s="24" t="n"/>
      <c r="DF685" s="24" t="n"/>
      <c r="DG685" s="24" t="n"/>
      <c r="DH685" s="24" t="n"/>
      <c r="DI685" s="24" t="n"/>
      <c r="DJ685" s="24" t="inlineStr">
        <is>
          <t>0.534884</t>
        </is>
      </c>
      <c r="DK685" s="24" t="n"/>
      <c r="DL685" s="24" t="n"/>
      <c r="DM685" s="24" t="n"/>
      <c r="DN685" s="24" t="n"/>
      <c r="DO685" s="24" t="n"/>
      <c r="DP685" s="24" t="n"/>
      <c r="DQ685" s="24" t="inlineStr">
        <is>
          <t>{"artifact_hash": "1d168f11d221cd3c", "event_id": "401858246", "event_start_utc": "2026-10-03T16:00Z", "features": {"altitude_fatigue_penalty": 0.0, "away_team": "Boston College Eagles", "efficiency_gap": 1.065, "elo_away": 1259.7, "elo_home": 1750.8, "elo_home_win_prob": 0.9609, "event_id": "401858246", "game_start_utc": "2026-10-03T16:00Z", "home_field_advantage_points": 2.8, "home_team": "SMU Mustangs", "is_dome": false, "is_fbs_vs_fcs": false, "is_neutral_site": false, "projected_away_points": 15.4, "projected_home_points": 38.1, "projected_margin_home": 22.7, "projected_possessions": 12.4, "projected_total": 53.4, "stadium_elevation_ft": 550, "travel_distance_miles": 1540.0, "uncertainty": 0.18, "weather_total_adjustment": 0.0}, "historical_source_observation_times_verified": false, "inference_inputs": {"engine_source_sha256": "449ba2f0e86fa9c445730076a0e0bf100fb4914620be53c75c6f3bfe24298f3f", "mu_away": 15.4, "mu_home": 38.1,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36652821482739427005363255376202033884}, "uinteger": 0}, "spread_home_line": -21.0, "total_line": 55.5}, "market_type": "total", "model_version": "cfb-total-v1", "observed_at_utc": "2026-10-03T10:53:30.577635+00:00", "probabilities": {"over": 0.4408, "push": 0.0, "under": 0.5592}, "replay_scope": "Full precision score means, exact engine parameters and original RNG state; upstream feature construction not certified.", "schema": "cfb-joint-replay-v1", "snapshot_hash": "340f32f69573adfaf3544c90b6ad41abcffaa1bf7101e6fd7aeeb536a08d47ab", "sport": "NCAAF"}</t>
        </is>
      </c>
    </row>
    <row r="686" ht="36" customHeight="1">
      <c r="A686" s="24" t="inlineStr">
        <is>
          <t>2efe7c4b7b9347e1</t>
        </is>
      </c>
      <c r="B686" s="24" t="inlineStr">
        <is>
          <t>2026-10-03T10:53:30.577635Z</t>
        </is>
      </c>
      <c r="C686" s="24" t="inlineStr">
        <is>
          <t>2026-10-03T16:00Z</t>
        </is>
      </c>
      <c r="D686" s="24" t="inlineStr">
        <is>
          <t>401856807</t>
        </is>
      </c>
      <c r="E686" s="24" t="inlineStr">
        <is>
          <t>NCAAF</t>
        </is>
      </c>
      <c r="F686" s="24" t="inlineStr">
        <is>
          <t>Middle Tennessee Blue Raiders</t>
        </is>
      </c>
      <c r="G686" s="24" t="inlineStr">
        <is>
          <t>Kansas Jayhawks</t>
        </is>
      </c>
      <c r="H686" s="24" t="inlineStr">
        <is>
          <t>moneyline</t>
        </is>
      </c>
      <c r="I686" s="24" t="inlineStr">
        <is>
          <t>home</t>
        </is>
      </c>
      <c r="J686" s="25" t="n"/>
      <c r="K686" s="24" t="inlineStr">
        <is>
          <t>espn_consensus</t>
        </is>
      </c>
      <c r="L686" s="26" t="n">
        <v>-1450</v>
      </c>
      <c r="M686" s="27" t="n">
        <v>1.068966</v>
      </c>
      <c r="N686" s="28" t="n">
        <v>0.935484</v>
      </c>
      <c r="O686" s="28" t="n">
        <v>0.559501</v>
      </c>
      <c r="P686" s="28" t="n">
        <v>0.18</v>
      </c>
      <c r="Q686" s="28" t="n">
        <v>-0.375983</v>
      </c>
      <c r="R686" s="26" t="n">
        <v>0</v>
      </c>
      <c r="S686" s="29" t="n">
        <v>1</v>
      </c>
      <c r="T686" s="24" t="inlineStr">
        <is>
          <t>college-football-v1</t>
        </is>
      </c>
      <c r="U686" s="24" t="inlineStr">
        <is>
          <t>settled</t>
        </is>
      </c>
      <c r="V686" s="24" t="inlineStr">
        <is>
          <t>win</t>
        </is>
      </c>
      <c r="W686" s="26" t="n">
        <v>0</v>
      </c>
      <c r="X686" s="26" t="n">
        <v>55</v>
      </c>
      <c r="Y686" s="25" t="n"/>
      <c r="Z686" s="26" t="n"/>
      <c r="AA686" s="28" t="n"/>
      <c r="AB686" s="28" t="n"/>
      <c r="AC686" s="30" t="n">
        <v>0.06900000000000001</v>
      </c>
      <c r="AD686" s="24" t="inlineStr">
        <is>
          <t>2026-10-03T22:00:25.576840Z</t>
        </is>
      </c>
      <c r="AE686" s="31" t="inlineStr">
        <is>
          <t>CFB Joint Model (negative_binomial): proj score Middle Tennessee Blue Raiders 25.3 @ Kansas Jayhawks 28.3 (Margin +3.0). Possessions: 12.4, HFA: +2.8 pts.</t>
        </is>
      </c>
      <c r="AF686" s="31" t="inlineStr">
        <is>
          <t>College football model; multi-market (moneyline, spread, total).</t>
        </is>
      </c>
      <c r="AG686" s="24" t="inlineStr">
        <is>
          <t>not_applicable</t>
        </is>
      </c>
      <c r="AH686" s="24" t="n"/>
      <c r="AI686" s="31" t="n"/>
      <c r="AJ686" s="31" t="n"/>
      <c r="AK686" s="24" t="inlineStr">
        <is>
          <t>paper_call</t>
        </is>
      </c>
      <c r="AL686" s="26" t="n">
        <v>4</v>
      </c>
      <c r="AM686" s="24" t="inlineStr">
        <is>
          <t>RESEARCH_OBSERVATION</t>
        </is>
      </c>
      <c r="AN686" s="24" t="inlineStr">
        <is>
          <t>CALL</t>
        </is>
      </c>
      <c r="AO686" s="24" t="inlineStr">
        <is>
          <t>PAPER_CALL_LOW_EDGE</t>
        </is>
      </c>
      <c r="AP686" s="24" t="inlineStr">
        <is>
          <t>Middle Tennessee Blue Raiders</t>
        </is>
      </c>
      <c r="AQ686" s="24" t="inlineStr">
        <is>
          <t>Middle Tennessee Blue Raiders</t>
        </is>
      </c>
      <c r="AR686" s="24" t="inlineStr">
        <is>
          <t>Middle Tennessee Blue Raiders</t>
        </is>
      </c>
      <c r="AS686" s="24" t="inlineStr">
        <is>
          <t>Kansas Jayhawks</t>
        </is>
      </c>
      <c r="AT686" s="24" t="inlineStr">
        <is>
          <t>Kansas Jayhawks</t>
        </is>
      </c>
      <c r="AU686" s="24" t="inlineStr">
        <is>
          <t>Kansas Jayhawks</t>
        </is>
      </c>
      <c r="AV686" s="24" t="n"/>
      <c r="AW686" s="24" t="n"/>
      <c r="AX686" s="24" t="inlineStr">
        <is>
          <t>statistical_model</t>
        </is>
      </c>
      <c r="AY686" s="24" t="n"/>
      <c r="AZ686" s="24" t="inlineStr">
        <is>
          <t>shadow_qualified</t>
        </is>
      </c>
      <c r="BA686" s="24" t="inlineStr">
        <is>
          <t>1d168f11d221cd3c</t>
        </is>
      </c>
      <c r="BB686" s="24" t="inlineStr">
        <is>
          <t>cfb_key_number_engine</t>
        </is>
      </c>
      <c r="BC686" s="24" t="inlineStr">
        <is>
          <t>college-football-v1</t>
        </is>
      </c>
      <c r="BD686" s="24" t="inlineStr">
        <is>
          <t>1d168f11d221cd3c</t>
        </is>
      </c>
      <c r="BE686" s="24" t="inlineStr">
        <is>
          <t>cfb-v1</t>
        </is>
      </c>
      <c r="BF686" s="24" t="inlineStr">
        <is>
          <t>1</t>
        </is>
      </c>
      <c r="BG686" s="24" t="inlineStr">
        <is>
          <t>1d168f11d221cd3c</t>
        </is>
      </c>
      <c r="BH686" s="24" t="inlineStr">
        <is>
          <t>2026-10-03T10:53:30.577635+00:00</t>
        </is>
      </c>
      <c r="BI686" s="24" t="inlineStr">
        <is>
          <t>["same_event","same_team_same_day","same_league_same_day"]</t>
        </is>
      </c>
      <c r="BJ686" s="25" t="n"/>
      <c r="BK686" s="26" t="n">
        <v>-1450</v>
      </c>
      <c r="BL686" s="27" t="n">
        <v>1.068966</v>
      </c>
      <c r="BM686" s="28" t="n">
        <v>0.935484</v>
      </c>
      <c r="BN686" s="28" t="n"/>
      <c r="BO686" s="28" t="n"/>
      <c r="BP686" s="25" t="n"/>
      <c r="BQ686" s="27" t="n"/>
      <c r="BR686" s="28" t="n"/>
      <c r="BS686" s="28" t="n"/>
      <c r="BT686" s="28" t="n"/>
      <c r="BU686" s="25" t="n"/>
      <c r="BV686" s="29" t="n"/>
      <c r="BW686" s="24" t="n"/>
      <c r="BX686" s="30" t="n">
        <v>1</v>
      </c>
      <c r="BY686" s="27" t="n">
        <v>0.068966</v>
      </c>
      <c r="BZ686" s="24" t="inlineStr">
        <is>
          <t>2026-10-03T22:00:25.576840Z</t>
        </is>
      </c>
      <c r="CA686" s="31" t="inlineStr">
        <is>
          <t>fixed one-unit hypothetical scoring; no real exposure or execution</t>
        </is>
      </c>
      <c r="CB686" s="24" t="n"/>
      <c r="CC686" s="24" t="n"/>
      <c r="CD686" s="24" t="n"/>
      <c r="CE686" s="24" t="n"/>
      <c r="CF686" s="24" t="n"/>
      <c r="CG686" s="24" t="n"/>
      <c r="CH686" s="24" t="n"/>
      <c r="CI686" s="24" t="n"/>
      <c r="CJ686" s="24" t="n"/>
      <c r="CK686" s="24" t="n"/>
      <c r="CL686" s="24" t="n"/>
      <c r="CM686" s="24" t="n"/>
      <c r="CN686" s="24" t="n"/>
      <c r="CO686" s="24" t="n"/>
      <c r="CP686" s="24" t="n"/>
      <c r="CQ686" s="24" t="n"/>
      <c r="CR686" s="24" t="n"/>
      <c r="CS686" s="24" t="inlineStr">
        <is>
          <t>False</t>
        </is>
      </c>
      <c r="CT686" s="24" t="n"/>
      <c r="CU686" s="24" t="n"/>
      <c r="CV686" s="24" t="n"/>
      <c r="CW686" s="24" t="n"/>
      <c r="CX686" s="24" t="n"/>
      <c r="CY686" s="24" t="n"/>
      <c r="CZ686" s="24" t="n"/>
      <c r="DA686" s="24" t="n"/>
      <c r="DB686" s="24" t="n"/>
      <c r="DC686" s="24" t="n"/>
      <c r="DD686" s="24" t="n"/>
      <c r="DE686" s="24" t="n"/>
      <c r="DF686" s="24" t="n"/>
      <c r="DG686" s="24" t="n"/>
      <c r="DH686" s="24" t="n"/>
      <c r="DI686" s="24" t="n"/>
      <c r="DJ686" s="24" t="inlineStr">
        <is>
          <t>0.935484</t>
        </is>
      </c>
      <c r="DK686" s="24" t="n"/>
      <c r="DL686" s="24" t="n"/>
      <c r="DM686" s="24" t="n"/>
      <c r="DN686" s="24" t="n"/>
      <c r="DO686" s="24" t="n"/>
      <c r="DP686" s="24" t="n"/>
      <c r="DQ686" s="24" t="inlineStr">
        <is>
          <t>{"artifact_hash": "1d168f11d221cd3c", "event_id": "401856807", "event_start_utc": "2026-10-03T16:00Z", "features": {"altitude_fatigue_penalty": 0.0, "away_team": "Middle Tennessee Blue Raiders", "efficiency_gap": 1.18, "elo_away": 1337.5, "elo_home": 1345.7, "elo_home_win_prob": 0.6038, "event_id": "401856807", "game_start_utc": "2026-10-03T16:00Z", "home_field_advantage_points": 2.8, "home_team": "Kansas Jayhawks", "is_dome": false, "is_fbs_vs_fcs": false, "is_neutral_site": false, "projected_away_points": 25.3, "projected_home_points": 28.3, "projected_margin_home": 3.0, "projected_possessions": 12.4, "projected_total": 53.6, "stadium_elevation_ft": 870, "travel_distance_miles": 533.0, "uncertainty": 0.18, "weather_total_adjustment": 0.0}, "historical_source_observation_times_verified": false, "inference_inputs": {"engine_source_sha256": "449ba2f0e86fa9c445730076a0e0bf100fb4914620be53c75c6f3bfe24298f3f", "mu_away": 25.3,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47623915408930267681709545525218604917}, "uinteger": 0}, "spread_home_line": -20.5, "total_line": 51.5}, "market_type": "moneyline", "model_version": "college-football-v1", "observed_at_utc": "2026-10-03T10:53:30.577635+00:00", "probabilities": {"away": 0.440499, "home": 0.559501}, "replay_scope": "Full precision score means, exact engine parameters and original RNG state; upstream feature construction not certified.", "schema": "cfb-joint-replay-v1", "snapshot_hash": "ffb543d896a72e94a9a764ff8a0c4b78fa6be9d58e60451732165b86fbb9b971", "sport": "NCAAF"}</t>
        </is>
      </c>
    </row>
    <row r="687" ht="36" customHeight="1">
      <c r="A687" s="24" t="inlineStr">
        <is>
          <t>290b55a18c8d4b6b</t>
        </is>
      </c>
      <c r="B687" s="24" t="inlineStr">
        <is>
          <t>2026-10-03T10:53:30.577635Z</t>
        </is>
      </c>
      <c r="C687" s="24" t="inlineStr">
        <is>
          <t>2026-10-03T16:00Z</t>
        </is>
      </c>
      <c r="D687" s="24" t="inlineStr">
        <is>
          <t>401856807</t>
        </is>
      </c>
      <c r="E687" s="24" t="inlineStr">
        <is>
          <t>NCAAF</t>
        </is>
      </c>
      <c r="F687" s="24" t="inlineStr">
        <is>
          <t>Middle Tennessee Blue Raiders</t>
        </is>
      </c>
      <c r="G687" s="24" t="inlineStr">
        <is>
          <t>Kansas Jayhawks</t>
        </is>
      </c>
      <c r="H687" s="24" t="inlineStr">
        <is>
          <t>spread</t>
        </is>
      </c>
      <c r="I687" s="24" t="inlineStr">
        <is>
          <t>away</t>
        </is>
      </c>
      <c r="J687" s="25" t="n">
        <v>20.5</v>
      </c>
      <c r="K687" s="24" t="inlineStr">
        <is>
          <t>espn_consensus</t>
        </is>
      </c>
      <c r="L687" s="26" t="n">
        <v>-108</v>
      </c>
      <c r="M687" s="27" t="n">
        <v>1.925926</v>
      </c>
      <c r="N687" s="28" t="n">
        <v>0.519231</v>
      </c>
      <c r="O687" s="28" t="n">
        <v>0.8124670000000001</v>
      </c>
      <c r="P687" s="28" t="n">
        <v>0.18</v>
      </c>
      <c r="Q687" s="28" t="n">
        <v>0.293236</v>
      </c>
      <c r="R687" s="26" t="n">
        <v>89</v>
      </c>
      <c r="S687" s="29" t="n">
        <v>1.75</v>
      </c>
      <c r="T687" s="24" t="inlineStr">
        <is>
          <t>cfb-spread-v1</t>
        </is>
      </c>
      <c r="U687" s="24" t="inlineStr">
        <is>
          <t>settled</t>
        </is>
      </c>
      <c r="V687" s="24" t="inlineStr">
        <is>
          <t>loss</t>
        </is>
      </c>
      <c r="W687" s="26" t="n">
        <v>0</v>
      </c>
      <c r="X687" s="26" t="n">
        <v>55</v>
      </c>
      <c r="Y687" s="25" t="n"/>
      <c r="Z687" s="26" t="n"/>
      <c r="AA687" s="28" t="n"/>
      <c r="AB687" s="28" t="n"/>
      <c r="AC687" s="30" t="n">
        <v>-1.75</v>
      </c>
      <c r="AD687" s="24" t="inlineStr">
        <is>
          <t>2026-10-03T22:00:26.121732Z</t>
        </is>
      </c>
      <c r="AE687" s="31" t="inlineStr">
        <is>
          <t>Projected home margin +3.0 pts. Spread: Home -20.5 / Away +20.5 -&gt; P(Away cover)=0.812, P(Home cover)=0.188, P(Push)=0.000.</t>
        </is>
      </c>
      <c r="AF687" s="31" t="inlineStr">
        <is>
          <t>College football model; multi-market (moneyline, spread, total).</t>
        </is>
      </c>
      <c r="AG687" s="24" t="inlineStr">
        <is>
          <t>review_required</t>
        </is>
      </c>
      <c r="AH687" s="24" t="n"/>
      <c r="AI687" s="31" t="n"/>
      <c r="AJ687" s="31" t="n"/>
      <c r="AK687" s="24" t="inlineStr">
        <is>
          <t>model_qualified</t>
        </is>
      </c>
      <c r="AL687" s="26" t="n">
        <v>4</v>
      </c>
      <c r="AM687" s="24" t="inlineStr">
        <is>
          <t>QUALIFIED_SHADOW_CALL</t>
        </is>
      </c>
      <c r="AN687" s="24" t="inlineStr">
        <is>
          <t>CALL</t>
        </is>
      </c>
      <c r="AO687" s="24" t="inlineStr">
        <is>
          <t>QUALIFIED</t>
        </is>
      </c>
      <c r="AP687" s="24" t="inlineStr">
        <is>
          <t>Middle Tennessee Blue Raiders</t>
        </is>
      </c>
      <c r="AQ687" s="24" t="inlineStr">
        <is>
          <t>Middle Tennessee Blue Raiders</t>
        </is>
      </c>
      <c r="AR687" s="24" t="inlineStr">
        <is>
          <t>Middle Tennessee Blue Raiders</t>
        </is>
      </c>
      <c r="AS687" s="24" t="inlineStr">
        <is>
          <t>Kansas Jayhawks</t>
        </is>
      </c>
      <c r="AT687" s="24" t="inlineStr">
        <is>
          <t>Kansas Jayhawks</t>
        </is>
      </c>
      <c r="AU687" s="24" t="inlineStr">
        <is>
          <t>Kansas Jayhawks</t>
        </is>
      </c>
      <c r="AV687" s="24" t="n"/>
      <c r="AW687" s="24" t="n"/>
      <c r="AX687" s="24" t="inlineStr">
        <is>
          <t>statistical_model</t>
        </is>
      </c>
      <c r="AY687" s="24" t="n"/>
      <c r="AZ687" s="24" t="inlineStr">
        <is>
          <t>shadow_qualified</t>
        </is>
      </c>
      <c r="BA687" s="24" t="inlineStr">
        <is>
          <t>1d168f11d221cd3c</t>
        </is>
      </c>
      <c r="BB687" s="24" t="inlineStr">
        <is>
          <t>cfb_key_number_engine</t>
        </is>
      </c>
      <c r="BC687" s="24" t="inlineStr">
        <is>
          <t>cfb-spread-v1</t>
        </is>
      </c>
      <c r="BD687" s="24" t="inlineStr">
        <is>
          <t>1d168f11d221cd3c</t>
        </is>
      </c>
      <c r="BE687" s="24" t="inlineStr">
        <is>
          <t>cfb-v1</t>
        </is>
      </c>
      <c r="BF687" s="24" t="inlineStr">
        <is>
          <t>1</t>
        </is>
      </c>
      <c r="BG687" s="24" t="inlineStr">
        <is>
          <t>1d168f11d221cd3c</t>
        </is>
      </c>
      <c r="BH687" s="24" t="inlineStr">
        <is>
          <t>2026-10-03T10:53:30.577635+00:00</t>
        </is>
      </c>
      <c r="BI687" s="24" t="inlineStr">
        <is>
          <t>["same_event","same_team_same_day","same_league_same_day"]</t>
        </is>
      </c>
      <c r="BJ687" s="25" t="n">
        <v>20.5</v>
      </c>
      <c r="BK687" s="26" t="n">
        <v>-108</v>
      </c>
      <c r="BL687" s="27" t="n">
        <v>1.925926</v>
      </c>
      <c r="BM687" s="28" t="n">
        <v>0.519231</v>
      </c>
      <c r="BN687" s="28" t="n"/>
      <c r="BO687" s="28" t="n"/>
      <c r="BP687" s="25" t="n"/>
      <c r="BQ687" s="27" t="n"/>
      <c r="BR687" s="28" t="n"/>
      <c r="BS687" s="28" t="n"/>
      <c r="BT687" s="28" t="n"/>
      <c r="BU687" s="25" t="n"/>
      <c r="BV687" s="29" t="n"/>
      <c r="BW687" s="24" t="n"/>
      <c r="BX687" s="30" t="n"/>
      <c r="BY687" s="27" t="n"/>
      <c r="BZ687" s="24" t="n"/>
      <c r="CA687" s="31" t="n"/>
      <c r="CB687" s="24" t="n"/>
      <c r="CC687" s="24" t="n"/>
      <c r="CD687" s="24" t="n"/>
      <c r="CE687" s="24" t="n"/>
      <c r="CF687" s="24" t="n"/>
      <c r="CG687" s="24" t="n"/>
      <c r="CH687" s="24" t="n"/>
      <c r="CI687" s="24" t="n"/>
      <c r="CJ687" s="24" t="n"/>
      <c r="CK687" s="24" t="n"/>
      <c r="CL687" s="24" t="n"/>
      <c r="CM687" s="24" t="n"/>
      <c r="CN687" s="24" t="n"/>
      <c r="CO687" s="24" t="n"/>
      <c r="CP687" s="24" t="n"/>
      <c r="CQ687" s="24" t="n"/>
      <c r="CR687" s="24" t="n"/>
      <c r="CS687" s="24" t="inlineStr">
        <is>
          <t>True</t>
        </is>
      </c>
      <c r="CT687" s="24" t="n"/>
      <c r="CU687" s="24" t="n"/>
      <c r="CV687" s="24" t="n"/>
      <c r="CW687" s="24" t="n"/>
      <c r="CX687" s="24" t="n"/>
      <c r="CY687" s="24" t="n"/>
      <c r="CZ687" s="24" t="n"/>
      <c r="DA687" s="24" t="n"/>
      <c r="DB687" s="24" t="n"/>
      <c r="DC687" s="24" t="n"/>
      <c r="DD687" s="24" t="n"/>
      <c r="DE687" s="24" t="n"/>
      <c r="DF687" s="24" t="n"/>
      <c r="DG687" s="24" t="n"/>
      <c r="DH687" s="24" t="n"/>
      <c r="DI687" s="24" t="n"/>
      <c r="DJ687" s="24" t="inlineStr">
        <is>
          <t>0.519231</t>
        </is>
      </c>
      <c r="DK687" s="24" t="n"/>
      <c r="DL687" s="24" t="n"/>
      <c r="DM687" s="24" t="n"/>
      <c r="DN687" s="24" t="n"/>
      <c r="DO687" s="24" t="n"/>
      <c r="DP687" s="24" t="n"/>
      <c r="DQ687" s="24" t="inlineStr">
        <is>
          <t>{"artifact_hash": "1d168f11d221cd3c", "event_id": "401856807", "event_start_utc": "2026-10-03T16:00Z", "features": {"altitude_fatigue_penalty": 0.0, "away_team": "Middle Tennessee Blue Raiders", "efficiency_gap": 1.18, "elo_away": 1337.5, "elo_home": 1345.7, "elo_home_win_prob": 0.6038, "event_id": "401856807", "game_start_utc": "2026-10-03T16:00Z", "home_field_advantage_points": 2.8, "home_team": "Kansas Jayhawks", "is_dome": false, "is_fbs_vs_fcs": false, "is_neutral_site": false, "projected_away_points": 25.3, "projected_home_points": 28.3, "projected_margin_home": 3.0, "projected_possessions": 12.4, "projected_total": 53.6, "stadium_elevation_ft": 870, "travel_distance_miles": 533.0, "uncertainty": 0.18, "weather_total_adjustment": 0.0}, "historical_source_observation_times_verified": false, "inference_inputs": {"engine_source_sha256": "449ba2f0e86fa9c445730076a0e0bf100fb4914620be53c75c6f3bfe24298f3f", "mu_away": 25.3,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47623915408930267681709545525218604917}, "uinteger": 0}, "spread_home_line": -20.5, "total_line": 51.5}, "market_type": "spread", "model_version": "cfb-spread-v1", "observed_at_utc": "2026-10-03T10:53:30.577635+00:00", "probabilities": {"away": 0.812467, "home": 0.187533, "push": 0.0}, "replay_scope": "Full precision score means, exact engine parameters and original RNG state; upstream feature construction not certified.", "schema": "cfb-joint-replay-v1", "snapshot_hash": "0efece20def6b5eda0559f8efe7ccd8f81376739a7b38f090ad126ef20a11ccc", "sport": "NCAAF"}</t>
        </is>
      </c>
    </row>
    <row r="688" ht="36" customHeight="1">
      <c r="A688" s="24" t="inlineStr">
        <is>
          <t>022ab7be508745eb</t>
        </is>
      </c>
      <c r="B688" s="24" t="inlineStr">
        <is>
          <t>2026-10-03T10:53:30.577635Z</t>
        </is>
      </c>
      <c r="C688" s="24" t="inlineStr">
        <is>
          <t>2026-10-03T16:00Z</t>
        </is>
      </c>
      <c r="D688" s="24" t="inlineStr">
        <is>
          <t>401856807</t>
        </is>
      </c>
      <c r="E688" s="24" t="inlineStr">
        <is>
          <t>NCAAF</t>
        </is>
      </c>
      <c r="F688" s="24" t="inlineStr">
        <is>
          <t>Middle Tennessee Blue Raiders</t>
        </is>
      </c>
      <c r="G688" s="24" t="inlineStr">
        <is>
          <t>Kansas Jayhawks</t>
        </is>
      </c>
      <c r="H688" s="24" t="inlineStr">
        <is>
          <t>total</t>
        </is>
      </c>
      <c r="I688" s="24" t="inlineStr">
        <is>
          <t>over</t>
        </is>
      </c>
      <c r="J688" s="25" t="n">
        <v>51.5</v>
      </c>
      <c r="K688" s="24" t="inlineStr">
        <is>
          <t>espn_consensus</t>
        </is>
      </c>
      <c r="L688" s="26" t="n">
        <v>-102</v>
      </c>
      <c r="M688" s="27" t="n">
        <v>1.980392</v>
      </c>
      <c r="N688" s="28" t="n">
        <v>0.50495</v>
      </c>
      <c r="O688" s="28" t="n">
        <v>0.5032</v>
      </c>
      <c r="P688" s="28" t="n">
        <v>0.18</v>
      </c>
      <c r="Q688" s="28" t="n">
        <v>-0.00175</v>
      </c>
      <c r="R688" s="26" t="n">
        <v>0</v>
      </c>
      <c r="S688" s="29" t="n">
        <v>1</v>
      </c>
      <c r="T688" s="24" t="inlineStr">
        <is>
          <t>cfb-total-v1</t>
        </is>
      </c>
      <c r="U688" s="24" t="inlineStr">
        <is>
          <t>settled</t>
        </is>
      </c>
      <c r="V688" s="24" t="inlineStr">
        <is>
          <t>win</t>
        </is>
      </c>
      <c r="W688" s="26" t="n">
        <v>0</v>
      </c>
      <c r="X688" s="26" t="n">
        <v>55</v>
      </c>
      <c r="Y688" s="25" t="n"/>
      <c r="Z688" s="26" t="n"/>
      <c r="AA688" s="28" t="n"/>
      <c r="AB688" s="28" t="n"/>
      <c r="AC688" s="30" t="n">
        <v>0.9804</v>
      </c>
      <c r="AD688" s="24" t="inlineStr">
        <is>
          <t>2026-10-03T22:00:26.799084Z</t>
        </is>
      </c>
      <c r="AE688" s="31" t="inlineStr">
        <is>
          <t>Projected total 53.6 pts (Weather adj: +0.0 pts). Total line 51.5 -&gt; P(Over)=0.503, P(Under)=0.497, P(Push)=0.000.</t>
        </is>
      </c>
      <c r="AF688" s="31" t="inlineStr">
        <is>
          <t>College football model; multi-market (moneyline, spread, total).</t>
        </is>
      </c>
      <c r="AG688" s="24" t="inlineStr">
        <is>
          <t>not_applicable</t>
        </is>
      </c>
      <c r="AH688" s="24" t="n"/>
      <c r="AI688" s="31" t="n"/>
      <c r="AJ688" s="31" t="n"/>
      <c r="AK688" s="24" t="inlineStr">
        <is>
          <t>paper_call</t>
        </is>
      </c>
      <c r="AL688" s="26" t="n">
        <v>4</v>
      </c>
      <c r="AM688" s="24" t="inlineStr">
        <is>
          <t>RESEARCH_OBSERVATION</t>
        </is>
      </c>
      <c r="AN688" s="24" t="inlineStr">
        <is>
          <t>CALL</t>
        </is>
      </c>
      <c r="AO688" s="24" t="inlineStr">
        <is>
          <t>PAPER_CALL_LOW_EDGE</t>
        </is>
      </c>
      <c r="AP688" s="24" t="inlineStr">
        <is>
          <t>Middle Tennessee Blue Raiders</t>
        </is>
      </c>
      <c r="AQ688" s="24" t="inlineStr">
        <is>
          <t>Middle Tennessee Blue Raiders</t>
        </is>
      </c>
      <c r="AR688" s="24" t="inlineStr">
        <is>
          <t>Middle Tennessee Blue Raiders</t>
        </is>
      </c>
      <c r="AS688" s="24" t="inlineStr">
        <is>
          <t>Kansas Jayhawks</t>
        </is>
      </c>
      <c r="AT688" s="24" t="inlineStr">
        <is>
          <t>Kansas Jayhawks</t>
        </is>
      </c>
      <c r="AU688" s="24" t="inlineStr">
        <is>
          <t>Kansas Jayhawks</t>
        </is>
      </c>
      <c r="AV688" s="24" t="n"/>
      <c r="AW688" s="24" t="n"/>
      <c r="AX688" s="24" t="inlineStr">
        <is>
          <t>statistical_model</t>
        </is>
      </c>
      <c r="AY688" s="24" t="n"/>
      <c r="AZ688" s="24" t="inlineStr">
        <is>
          <t>shadow_qualified</t>
        </is>
      </c>
      <c r="BA688" s="24" t="inlineStr">
        <is>
          <t>1d168f11d221cd3c</t>
        </is>
      </c>
      <c r="BB688" s="24" t="inlineStr">
        <is>
          <t>cfb_key_number_engine</t>
        </is>
      </c>
      <c r="BC688" s="24" t="inlineStr">
        <is>
          <t>cfb-total-v1</t>
        </is>
      </c>
      <c r="BD688" s="24" t="inlineStr">
        <is>
          <t>1d168f11d221cd3c</t>
        </is>
      </c>
      <c r="BE688" s="24" t="inlineStr">
        <is>
          <t>cfb-v1</t>
        </is>
      </c>
      <c r="BF688" s="24" t="inlineStr">
        <is>
          <t>1</t>
        </is>
      </c>
      <c r="BG688" s="24" t="inlineStr">
        <is>
          <t>1d168f11d221cd3c</t>
        </is>
      </c>
      <c r="BH688" s="24" t="inlineStr">
        <is>
          <t>2026-10-03T10:53:30.577635+00:00</t>
        </is>
      </c>
      <c r="BI688" s="24" t="inlineStr">
        <is>
          <t>["same_event","same_team_same_day","same_league_same_day"]</t>
        </is>
      </c>
      <c r="BJ688" s="25" t="n">
        <v>51.5</v>
      </c>
      <c r="BK688" s="26" t="n">
        <v>-102</v>
      </c>
      <c r="BL688" s="27" t="n">
        <v>1.980392</v>
      </c>
      <c r="BM688" s="28" t="n">
        <v>0.50495</v>
      </c>
      <c r="BN688" s="28" t="n"/>
      <c r="BO688" s="28" t="n"/>
      <c r="BP688" s="25" t="n"/>
      <c r="BQ688" s="27" t="n"/>
      <c r="BR688" s="28" t="n"/>
      <c r="BS688" s="28" t="n"/>
      <c r="BT688" s="28" t="n"/>
      <c r="BU688" s="25" t="n"/>
      <c r="BV688" s="29" t="n"/>
      <c r="BW688" s="24" t="n"/>
      <c r="BX688" s="30" t="n">
        <v>1</v>
      </c>
      <c r="BY688" s="27" t="n">
        <v>0.980392</v>
      </c>
      <c r="BZ688" s="24" t="inlineStr">
        <is>
          <t>2026-10-03T22:00:26.799084Z</t>
        </is>
      </c>
      <c r="CA688" s="31" t="inlineStr">
        <is>
          <t>fixed one-unit hypothetical scoring; no real exposure or execution</t>
        </is>
      </c>
      <c r="CB688" s="24" t="n"/>
      <c r="CC688" s="24" t="n"/>
      <c r="CD688" s="24" t="n"/>
      <c r="CE688" s="24" t="n"/>
      <c r="CF688" s="24" t="n"/>
      <c r="CG688" s="24" t="n"/>
      <c r="CH688" s="24" t="n"/>
      <c r="CI688" s="24" t="n"/>
      <c r="CJ688" s="24" t="n"/>
      <c r="CK688" s="24" t="n"/>
      <c r="CL688" s="24" t="n"/>
      <c r="CM688" s="24" t="n"/>
      <c r="CN688" s="24" t="n"/>
      <c r="CO688" s="24" t="n"/>
      <c r="CP688" s="24" t="n"/>
      <c r="CQ688" s="24" t="n"/>
      <c r="CR688" s="24" t="n"/>
      <c r="CS688" s="24" t="inlineStr">
        <is>
          <t>False</t>
        </is>
      </c>
      <c r="CT688" s="24" t="n"/>
      <c r="CU688" s="24" t="n"/>
      <c r="CV688" s="24" t="n"/>
      <c r="CW688" s="24" t="n"/>
      <c r="CX688" s="24" t="n"/>
      <c r="CY688" s="24" t="n"/>
      <c r="CZ688" s="24" t="n"/>
      <c r="DA688" s="24" t="n"/>
      <c r="DB688" s="24" t="n"/>
      <c r="DC688" s="24" t="n"/>
      <c r="DD688" s="24" t="n"/>
      <c r="DE688" s="24" t="n"/>
      <c r="DF688" s="24" t="n"/>
      <c r="DG688" s="24" t="n"/>
      <c r="DH688" s="24" t="n"/>
      <c r="DI688" s="24" t="n"/>
      <c r="DJ688" s="24" t="inlineStr">
        <is>
          <t>0.50495</t>
        </is>
      </c>
      <c r="DK688" s="24" t="n"/>
      <c r="DL688" s="24" t="n"/>
      <c r="DM688" s="24" t="n"/>
      <c r="DN688" s="24" t="n"/>
      <c r="DO688" s="24" t="n"/>
      <c r="DP688" s="24" t="n"/>
      <c r="DQ688" s="24" t="inlineStr">
        <is>
          <t>{"artifact_hash": "1d168f11d221cd3c", "event_id": "401856807", "event_start_utc": "2026-10-03T16:00Z", "features": {"altitude_fatigue_penalty": 0.0, "away_team": "Middle Tennessee Blue Raiders", "efficiency_gap": 1.18, "elo_away": 1337.5, "elo_home": 1345.7, "elo_home_win_prob": 0.6038, "event_id": "401856807", "game_start_utc": "2026-10-03T16:00Z", "home_field_advantage_points": 2.8, "home_team": "Kansas Jayhawks", "is_dome": false, "is_fbs_vs_fcs": false, "is_neutral_site": false, "projected_away_points": 25.3, "projected_home_points": 28.3, "projected_margin_home": 3.0, "projected_possessions": 12.4, "projected_total": 53.6, "stadium_elevation_ft": 870, "travel_distance_miles": 533.0, "uncertainty": 0.18, "weather_total_adjustment": 0.0}, "historical_source_observation_times_verified": false, "inference_inputs": {"engine_source_sha256": "449ba2f0e86fa9c445730076a0e0bf100fb4914620be53c75c6f3bfe24298f3f", "mu_away": 25.3, "mu_home": 28.3,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47623915408930267681709545525218604917}, "uinteger": 0}, "spread_home_line": -20.5, "total_line": 51.5}, "market_type": "total", "model_version": "cfb-total-v1", "observed_at_utc": "2026-10-03T10:53:30.577635+00:00", "probabilities": {"over": 0.5032, "push": 0.0, "under": 0.4968}, "replay_scope": "Full precision score means, exact engine parameters and original RNG state; upstream feature construction not certified.", "schema": "cfb-joint-replay-v1", "snapshot_hash": "459e5f2f5c86a4c6f44bfcacdb556e8987f24afb625518cbbd0364370c992d9a", "sport": "NCAAF"}</t>
        </is>
      </c>
    </row>
    <row r="689" ht="36" customHeight="1">
      <c r="A689" s="24" t="inlineStr">
        <is>
          <t>d96999b484a64965</t>
        </is>
      </c>
      <c r="B689" s="24" t="inlineStr">
        <is>
          <t>2026-10-03T10:53:30.577635Z</t>
        </is>
      </c>
      <c r="C689" s="24" t="inlineStr">
        <is>
          <t>2026-10-03T16:00Z</t>
        </is>
      </c>
      <c r="D689" s="24" t="inlineStr">
        <is>
          <t>401856822</t>
        </is>
      </c>
      <c r="E689" s="24" t="inlineStr">
        <is>
          <t>NCAAF</t>
        </is>
      </c>
      <c r="F689" s="24" t="inlineStr">
        <is>
          <t>West Virginia Mountaineers</t>
        </is>
      </c>
      <c r="G689" s="24" t="inlineStr">
        <is>
          <t>Iowa State Cyclones</t>
        </is>
      </c>
      <c r="H689" s="24" t="inlineStr">
        <is>
          <t>moneyline</t>
        </is>
      </c>
      <c r="I689" s="24" t="inlineStr">
        <is>
          <t>home</t>
        </is>
      </c>
      <c r="J689" s="25" t="n"/>
      <c r="K689" s="24" t="inlineStr">
        <is>
          <t>espn_consensus</t>
        </is>
      </c>
      <c r="L689" s="26" t="n">
        <v>-155</v>
      </c>
      <c r="M689" s="27" t="n">
        <v>1.645161</v>
      </c>
      <c r="N689" s="28" t="n">
        <v>0.607843</v>
      </c>
      <c r="O689" s="28" t="n">
        <v>0.7385890000000001</v>
      </c>
      <c r="P689" s="28" t="n">
        <v>0.18</v>
      </c>
      <c r="Q689" s="28" t="n">
        <v>0.130746</v>
      </c>
      <c r="R689" s="26" t="n">
        <v>7</v>
      </c>
      <c r="S689" s="29" t="n">
        <v>1</v>
      </c>
      <c r="T689" s="24" t="inlineStr">
        <is>
          <t>college-football-v1</t>
        </is>
      </c>
      <c r="U689" s="24" t="inlineStr">
        <is>
          <t>settled</t>
        </is>
      </c>
      <c r="V689" s="24" t="inlineStr">
        <is>
          <t>win</t>
        </is>
      </c>
      <c r="W689" s="26" t="n">
        <v>42</v>
      </c>
      <c r="X689" s="26" t="n">
        <v>45</v>
      </c>
      <c r="Y689" s="25" t="n"/>
      <c r="Z689" s="26" t="n"/>
      <c r="AA689" s="28" t="n"/>
      <c r="AB689" s="28" t="n"/>
      <c r="AC689" s="30" t="n">
        <v>0.6452</v>
      </c>
      <c r="AD689" s="24" t="inlineStr">
        <is>
          <t>2026-10-03T22:00:27.410426Z</t>
        </is>
      </c>
      <c r="AE689" s="31" t="inlineStr">
        <is>
          <t>CFB Joint Model (negative_binomial): proj score West Virginia Mountaineers 21.2 @ Iowa State Cyclones 33.4 (Margin +12.3). Possessions: 12.4, HFA: +2.8 pts.</t>
        </is>
      </c>
      <c r="AF689" s="31" t="inlineStr">
        <is>
          <t>College football model; multi-market (moneyline, spread, total).</t>
        </is>
      </c>
      <c r="AG689" s="24" t="inlineStr">
        <is>
          <t>not_applicable</t>
        </is>
      </c>
      <c r="AH689" s="24" t="n"/>
      <c r="AI689" s="31" t="n"/>
      <c r="AJ689" s="31" t="n"/>
      <c r="AK689" s="24" t="inlineStr">
        <is>
          <t>model_qualified</t>
        </is>
      </c>
      <c r="AL689" s="26" t="n">
        <v>4</v>
      </c>
      <c r="AM689" s="24" t="inlineStr">
        <is>
          <t>QUALIFIED_SHADOW_CALL</t>
        </is>
      </c>
      <c r="AN689" s="24" t="inlineStr">
        <is>
          <t>CALL</t>
        </is>
      </c>
      <c r="AO689" s="24" t="inlineStr">
        <is>
          <t>QUALIFIED</t>
        </is>
      </c>
      <c r="AP689" s="24" t="inlineStr">
        <is>
          <t>West Virginia Mountaineers</t>
        </is>
      </c>
      <c r="AQ689" s="24" t="inlineStr">
        <is>
          <t>West Virginia Mountaineers</t>
        </is>
      </c>
      <c r="AR689" s="24" t="inlineStr">
        <is>
          <t>West Virginia Mountaineers</t>
        </is>
      </c>
      <c r="AS689" s="24" t="inlineStr">
        <is>
          <t>Iowa State Cyclones</t>
        </is>
      </c>
      <c r="AT689" s="24" t="inlineStr">
        <is>
          <t>Iowa State Cyclones</t>
        </is>
      </c>
      <c r="AU689" s="24" t="inlineStr">
        <is>
          <t>Iowa State Cyclones</t>
        </is>
      </c>
      <c r="AV689" s="24" t="n"/>
      <c r="AW689" s="24" t="n"/>
      <c r="AX689" s="24" t="inlineStr">
        <is>
          <t>statistical_model</t>
        </is>
      </c>
      <c r="AY689" s="24" t="n"/>
      <c r="AZ689" s="24" t="inlineStr">
        <is>
          <t>shadow_qualified</t>
        </is>
      </c>
      <c r="BA689" s="24" t="inlineStr">
        <is>
          <t>1d168f11d221cd3c</t>
        </is>
      </c>
      <c r="BB689" s="24" t="inlineStr">
        <is>
          <t>cfb_key_number_engine</t>
        </is>
      </c>
      <c r="BC689" s="24" t="inlineStr">
        <is>
          <t>college-football-v1</t>
        </is>
      </c>
      <c r="BD689" s="24" t="inlineStr">
        <is>
          <t>1d168f11d221cd3c</t>
        </is>
      </c>
      <c r="BE689" s="24" t="inlineStr">
        <is>
          <t>cfb-v1</t>
        </is>
      </c>
      <c r="BF689" s="24" t="inlineStr">
        <is>
          <t>1</t>
        </is>
      </c>
      <c r="BG689" s="24" t="inlineStr">
        <is>
          <t>1d168f11d221cd3c</t>
        </is>
      </c>
      <c r="BH689" s="24" t="inlineStr">
        <is>
          <t>2026-10-03T10:53:30.577635+00:00</t>
        </is>
      </c>
      <c r="BI689" s="24" t="inlineStr">
        <is>
          <t>["same_event","same_team_same_day","same_league_same_day"]</t>
        </is>
      </c>
      <c r="BJ689" s="25" t="n"/>
      <c r="BK689" s="26" t="n">
        <v>-155</v>
      </c>
      <c r="BL689" s="27" t="n">
        <v>1.645161</v>
      </c>
      <c r="BM689" s="28" t="n">
        <v>0.607843</v>
      </c>
      <c r="BN689" s="28" t="n"/>
      <c r="BO689" s="28" t="n"/>
      <c r="BP689" s="25" t="n"/>
      <c r="BQ689" s="27" t="n"/>
      <c r="BR689" s="28" t="n"/>
      <c r="BS689" s="28" t="n"/>
      <c r="BT689" s="28" t="n"/>
      <c r="BU689" s="25" t="n"/>
      <c r="BV689" s="29" t="n"/>
      <c r="BW689" s="24" t="n"/>
      <c r="BX689" s="30" t="n"/>
      <c r="BY689" s="27" t="n"/>
      <c r="BZ689" s="24" t="n"/>
      <c r="CA689" s="31" t="n"/>
      <c r="CB689" s="24" t="n"/>
      <c r="CC689" s="24" t="n"/>
      <c r="CD689" s="24" t="n"/>
      <c r="CE689" s="24" t="n"/>
      <c r="CF689" s="24" t="n"/>
      <c r="CG689" s="24" t="n"/>
      <c r="CH689" s="24" t="n"/>
      <c r="CI689" s="24" t="n"/>
      <c r="CJ689" s="24" t="n"/>
      <c r="CK689" s="24" t="n"/>
      <c r="CL689" s="24" t="n"/>
      <c r="CM689" s="24" t="n"/>
      <c r="CN689" s="24" t="n"/>
      <c r="CO689" s="24" t="n"/>
      <c r="CP689" s="24" t="n"/>
      <c r="CQ689" s="24" t="n"/>
      <c r="CR689" s="24" t="n"/>
      <c r="CS689" s="24" t="inlineStr">
        <is>
          <t>True</t>
        </is>
      </c>
      <c r="CT689" s="24" t="n"/>
      <c r="CU689" s="24" t="n"/>
      <c r="CV689" s="24" t="n"/>
      <c r="CW689" s="24" t="n"/>
      <c r="CX689" s="24" t="n"/>
      <c r="CY689" s="24" t="n"/>
      <c r="CZ689" s="24" t="n"/>
      <c r="DA689" s="24" t="n"/>
      <c r="DB689" s="24" t="n"/>
      <c r="DC689" s="24" t="n"/>
      <c r="DD689" s="24" t="n"/>
      <c r="DE689" s="24" t="n"/>
      <c r="DF689" s="24" t="n"/>
      <c r="DG689" s="24" t="n"/>
      <c r="DH689" s="24" t="n"/>
      <c r="DI689" s="24" t="n"/>
      <c r="DJ689" s="24" t="inlineStr">
        <is>
          <t>0.607843</t>
        </is>
      </c>
      <c r="DK689" s="24" t="n"/>
      <c r="DL689" s="24" t="n"/>
      <c r="DM689" s="24" t="n"/>
      <c r="DN689" s="24" t="n"/>
      <c r="DO689" s="24" t="n"/>
      <c r="DP689" s="24" t="n"/>
      <c r="DQ689" s="24" t="inlineStr">
        <is>
          <t>{"artifact_hash": "1d168f11d221cd3c", "event_id": "401856822", "event_start_utc": "2026-10-03T16:00Z", "features": {"altitude_fatigue_penalty": 0.0, "away_team": "West Virginia Mountaineers", "efficiency_gap": -0.169, "elo_away": 1375.6, "elo_home": 1611.6, "elo_home_win_prob": 0.8498, "event_id": "401856822", "game_start_utc": "2026-10-03T16:00Z", "home_field_advantage_points": 2.8, "home_team": "Iowa State Cyclones", "is_dome": false, "is_fbs_vs_fcs": false, "is_neutral_site": false, "projected_away_points": 21.2, "projected_home_points": 33.4, "projected_margin_home": 12.3, "projected_possessions": 12.4, "projected_total": 54.6, "stadium_elevation_ft": 920, "travel_distance_miles": 733.0, "uncertainty": 0.18, "weather_total_adjustment": 0.0}, "historical_source_observation_times_verified": false, "inference_inputs": {"engine_source_sha256": "449ba2f0e86fa9c445730076a0e0bf100fb4914620be53c75c6f3bfe24298f3f", "mu_away": 21.2,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8655587093235915693672962535477044181}, "uinteger": 0}, "spread_home_line": -3.0, "total_line": 53.5}, "market_type": "moneyline", "model_version": "college-football-v1", "observed_at_utc": "2026-10-03T10:53:30.577635+00:00", "probabilities": {"away": 0.261411, "home": 0.738589}, "replay_scope": "Full precision score means, exact engine parameters and original RNG state; upstream feature construction not certified.", "schema": "cfb-joint-replay-v1", "snapshot_hash": "79504a0b578769fe8926406dc8cb0f7bf5717e688167d64baab0aa5afc2ca7b5", "sport": "NCAAF"}</t>
        </is>
      </c>
    </row>
    <row r="690" ht="36" customHeight="1">
      <c r="A690" s="24" t="inlineStr">
        <is>
          <t>bb63f7630de948a5</t>
        </is>
      </c>
      <c r="B690" s="24" t="inlineStr">
        <is>
          <t>2026-10-03T10:53:30.577635Z</t>
        </is>
      </c>
      <c r="C690" s="24" t="inlineStr">
        <is>
          <t>2026-10-03T16:00Z</t>
        </is>
      </c>
      <c r="D690" s="24" t="inlineStr">
        <is>
          <t>401856822</t>
        </is>
      </c>
      <c r="E690" s="24" t="inlineStr">
        <is>
          <t>NCAAF</t>
        </is>
      </c>
      <c r="F690" s="24" t="inlineStr">
        <is>
          <t>West Virginia Mountaineers</t>
        </is>
      </c>
      <c r="G690" s="24" t="inlineStr">
        <is>
          <t>Iowa State Cyclones</t>
        </is>
      </c>
      <c r="H690" s="24" t="inlineStr">
        <is>
          <t>spread</t>
        </is>
      </c>
      <c r="I690" s="24" t="inlineStr">
        <is>
          <t>home</t>
        </is>
      </c>
      <c r="J690" s="25" t="n">
        <v>-3</v>
      </c>
      <c r="K690" s="24" t="inlineStr">
        <is>
          <t>espn_consensus</t>
        </is>
      </c>
      <c r="L690" s="26" t="n">
        <v>-115</v>
      </c>
      <c r="M690" s="27" t="n">
        <v>1.869565</v>
      </c>
      <c r="N690" s="28" t="n">
        <v>0.534884</v>
      </c>
      <c r="O690" s="28" t="n">
        <v>0.674733</v>
      </c>
      <c r="P690" s="28" t="n">
        <v>0.18</v>
      </c>
      <c r="Q690" s="28" t="n">
        <v>0.139849</v>
      </c>
      <c r="R690" s="26" t="n">
        <v>12</v>
      </c>
      <c r="S690" s="29" t="n">
        <v>1</v>
      </c>
      <c r="T690" s="24" t="inlineStr">
        <is>
          <t>cfb-spread-v1</t>
        </is>
      </c>
      <c r="U690" s="24" t="inlineStr">
        <is>
          <t>settled</t>
        </is>
      </c>
      <c r="V690" s="24" t="inlineStr">
        <is>
          <t>push</t>
        </is>
      </c>
      <c r="W690" s="26" t="n">
        <v>42</v>
      </c>
      <c r="X690" s="26" t="n">
        <v>45</v>
      </c>
      <c r="Y690" s="25" t="n"/>
      <c r="Z690" s="26" t="n"/>
      <c r="AA690" s="28" t="n"/>
      <c r="AB690" s="28" t="n"/>
      <c r="AC690" s="30" t="n">
        <v>0</v>
      </c>
      <c r="AD690" s="24" t="inlineStr">
        <is>
          <t>2026-10-03T22:00:27.969350Z</t>
        </is>
      </c>
      <c r="AE690" s="31" t="inlineStr">
        <is>
          <t>Projected home margin +12.3 pts. Spread: Home -3.0 / Away +3.0 -&gt; P(Away cover)=0.306, P(Home cover)=0.675, P(Push)=0.019.</t>
        </is>
      </c>
      <c r="AF690" s="31" t="inlineStr">
        <is>
          <t>College football model; multi-market (moneyline, spread, total).</t>
        </is>
      </c>
      <c r="AG690" s="24" t="inlineStr">
        <is>
          <t>not_applicable</t>
        </is>
      </c>
      <c r="AH690" s="24" t="n"/>
      <c r="AI690" s="31" t="n"/>
      <c r="AJ690" s="31" t="n"/>
      <c r="AK690" s="24" t="inlineStr">
        <is>
          <t>model_qualified</t>
        </is>
      </c>
      <c r="AL690" s="26" t="n">
        <v>4</v>
      </c>
      <c r="AM690" s="24" t="inlineStr">
        <is>
          <t>QUALIFIED_SHADOW_CALL</t>
        </is>
      </c>
      <c r="AN690" s="24" t="inlineStr">
        <is>
          <t>CALL</t>
        </is>
      </c>
      <c r="AO690" s="24" t="inlineStr">
        <is>
          <t>QUALIFIED</t>
        </is>
      </c>
      <c r="AP690" s="24" t="inlineStr">
        <is>
          <t>West Virginia Mountaineers</t>
        </is>
      </c>
      <c r="AQ690" s="24" t="inlineStr">
        <is>
          <t>West Virginia Mountaineers</t>
        </is>
      </c>
      <c r="AR690" s="24" t="inlineStr">
        <is>
          <t>West Virginia Mountaineers</t>
        </is>
      </c>
      <c r="AS690" s="24" t="inlineStr">
        <is>
          <t>Iowa State Cyclones</t>
        </is>
      </c>
      <c r="AT690" s="24" t="inlineStr">
        <is>
          <t>Iowa State Cyclones</t>
        </is>
      </c>
      <c r="AU690" s="24" t="inlineStr">
        <is>
          <t>Iowa State Cyclones</t>
        </is>
      </c>
      <c r="AV690" s="24" t="n"/>
      <c r="AW690" s="24" t="n"/>
      <c r="AX690" s="24" t="inlineStr">
        <is>
          <t>statistical_model</t>
        </is>
      </c>
      <c r="AY690" s="24" t="n"/>
      <c r="AZ690" s="24" t="inlineStr">
        <is>
          <t>shadow_qualified</t>
        </is>
      </c>
      <c r="BA690" s="24" t="inlineStr">
        <is>
          <t>1d168f11d221cd3c</t>
        </is>
      </c>
      <c r="BB690" s="24" t="inlineStr">
        <is>
          <t>cfb_key_number_engine</t>
        </is>
      </c>
      <c r="BC690" s="24" t="inlineStr">
        <is>
          <t>cfb-spread-v1</t>
        </is>
      </c>
      <c r="BD690" s="24" t="inlineStr">
        <is>
          <t>1d168f11d221cd3c</t>
        </is>
      </c>
      <c r="BE690" s="24" t="inlineStr">
        <is>
          <t>cfb-v1</t>
        </is>
      </c>
      <c r="BF690" s="24" t="inlineStr">
        <is>
          <t>1</t>
        </is>
      </c>
      <c r="BG690" s="24" t="inlineStr">
        <is>
          <t>1d168f11d221cd3c</t>
        </is>
      </c>
      <c r="BH690" s="24" t="inlineStr">
        <is>
          <t>2026-10-03T10:53:30.577635+00:00</t>
        </is>
      </c>
      <c r="BI690" s="24" t="inlineStr">
        <is>
          <t>["same_event","same_team_same_day","same_league_same_day"]</t>
        </is>
      </c>
      <c r="BJ690" s="25" t="n">
        <v>-3</v>
      </c>
      <c r="BK690" s="26" t="n">
        <v>-115</v>
      </c>
      <c r="BL690" s="27" t="n">
        <v>1.869565</v>
      </c>
      <c r="BM690" s="28" t="n">
        <v>0.534884</v>
      </c>
      <c r="BN690" s="28" t="n"/>
      <c r="BO690" s="28" t="n"/>
      <c r="BP690" s="25" t="n"/>
      <c r="BQ690" s="27" t="n"/>
      <c r="BR690" s="28" t="n"/>
      <c r="BS690" s="28" t="n"/>
      <c r="BT690" s="28" t="n"/>
      <c r="BU690" s="25" t="n"/>
      <c r="BV690" s="29" t="n"/>
      <c r="BW690" s="24" t="n"/>
      <c r="BX690" s="30" t="n"/>
      <c r="BY690" s="27" t="n"/>
      <c r="BZ690" s="24" t="n"/>
      <c r="CA690" s="31" t="n"/>
      <c r="CB690" s="24" t="n"/>
      <c r="CC690" s="24" t="n"/>
      <c r="CD690" s="24" t="n"/>
      <c r="CE690" s="24" t="n"/>
      <c r="CF690" s="24" t="n"/>
      <c r="CG690" s="24" t="n"/>
      <c r="CH690" s="24" t="n"/>
      <c r="CI690" s="24" t="n"/>
      <c r="CJ690" s="24" t="n"/>
      <c r="CK690" s="24" t="n"/>
      <c r="CL690" s="24" t="n"/>
      <c r="CM690" s="24" t="n"/>
      <c r="CN690" s="24" t="n"/>
      <c r="CO690" s="24" t="n"/>
      <c r="CP690" s="24" t="n"/>
      <c r="CQ690" s="24" t="n"/>
      <c r="CR690" s="24" t="n"/>
      <c r="CS690" s="24" t="inlineStr">
        <is>
          <t>True</t>
        </is>
      </c>
      <c r="CT690" s="24" t="n"/>
      <c r="CU690" s="24" t="n"/>
      <c r="CV690" s="24" t="n"/>
      <c r="CW690" s="24" t="n"/>
      <c r="CX690" s="24" t="n"/>
      <c r="CY690" s="24" t="n"/>
      <c r="CZ690" s="24" t="n"/>
      <c r="DA690" s="24" t="n"/>
      <c r="DB690" s="24" t="n"/>
      <c r="DC690" s="24" t="n"/>
      <c r="DD690" s="24" t="n"/>
      <c r="DE690" s="24" t="n"/>
      <c r="DF690" s="24" t="n"/>
      <c r="DG690" s="24" t="n"/>
      <c r="DH690" s="24" t="n"/>
      <c r="DI690" s="24" t="n"/>
      <c r="DJ690" s="24" t="inlineStr">
        <is>
          <t>0.534884</t>
        </is>
      </c>
      <c r="DK690" s="24" t="n"/>
      <c r="DL690" s="24" t="n"/>
      <c r="DM690" s="24" t="n"/>
      <c r="DN690" s="24" t="n"/>
      <c r="DO690" s="24" t="n"/>
      <c r="DP690" s="24" t="n"/>
      <c r="DQ690" s="24" t="inlineStr">
        <is>
          <t>{"artifact_hash": "1d168f11d221cd3c", "event_id": "401856822", "event_start_utc": "2026-10-03T16:00Z", "features": {"altitude_fatigue_penalty": 0.0, "away_team": "West Virginia Mountaineers", "efficiency_gap": -0.169, "elo_away": 1375.6, "elo_home": 1611.6, "elo_home_win_prob": 0.8498, "event_id": "401856822", "game_start_utc": "2026-10-03T16:00Z", "home_field_advantage_points": 2.8, "home_team": "Iowa State Cyclones", "is_dome": false, "is_fbs_vs_fcs": false, "is_neutral_site": false, "projected_away_points": 21.2, "projected_home_points": 33.4, "projected_margin_home": 12.3, "projected_possessions": 12.4, "projected_total": 54.6, "stadium_elevation_ft": 920, "travel_distance_miles": 733.0, "uncertainty": 0.18, "weather_total_adjustment": 0.0}, "historical_source_observation_times_verified": false, "inference_inputs": {"engine_source_sha256": "449ba2f0e86fa9c445730076a0e0bf100fb4914620be53c75c6f3bfe24298f3f", "mu_away": 21.2,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8655587093235915693672962535477044181}, "uinteger": 0}, "spread_home_line": -3.0, "total_line": 53.5}, "market_type": "spread", "model_version": "cfb-spread-v1", "observed_at_utc": "2026-10-03T10:53:30.577635+00:00", "probabilities": {"away": 0.306267, "home": 0.674733, "push": 0.019}, "replay_scope": "Full precision score means, exact engine parameters and original RNG state; upstream feature construction not certified.", "schema": "cfb-joint-replay-v1", "snapshot_hash": "6baf47ced0fe126c9154ba8124a9a934133b275e0600ea5cbcd66d4407edf6e2", "sport": "NCAAF"}</t>
        </is>
      </c>
    </row>
    <row r="691" ht="36" customHeight="1">
      <c r="A691" s="24" t="inlineStr">
        <is>
          <t>45833acafda948b6</t>
        </is>
      </c>
      <c r="B691" s="24" t="inlineStr">
        <is>
          <t>2026-10-03T10:53:30.577635Z</t>
        </is>
      </c>
      <c r="C691" s="24" t="inlineStr">
        <is>
          <t>2026-10-03T16:00Z</t>
        </is>
      </c>
      <c r="D691" s="24" t="inlineStr">
        <is>
          <t>401856822</t>
        </is>
      </c>
      <c r="E691" s="24" t="inlineStr">
        <is>
          <t>NCAAF</t>
        </is>
      </c>
      <c r="F691" s="24" t="inlineStr">
        <is>
          <t>West Virginia Mountaineers</t>
        </is>
      </c>
      <c r="G691" s="24" t="inlineStr">
        <is>
          <t>Iowa State Cyclones</t>
        </is>
      </c>
      <c r="H691" s="24" t="inlineStr">
        <is>
          <t>total</t>
        </is>
      </c>
      <c r="I691" s="24" t="inlineStr">
        <is>
          <t>under</t>
        </is>
      </c>
      <c r="J691" s="25" t="n">
        <v>53.5</v>
      </c>
      <c r="K691" s="24" t="inlineStr">
        <is>
          <t>espn_consensus</t>
        </is>
      </c>
      <c r="L691" s="26" t="n">
        <v>-112</v>
      </c>
      <c r="M691" s="27" t="n">
        <v>1.892857</v>
      </c>
      <c r="N691" s="28" t="n">
        <v>0.528302</v>
      </c>
      <c r="O691" s="28" t="n">
        <v>0.511867</v>
      </c>
      <c r="P691" s="28" t="n">
        <v>0.18</v>
      </c>
      <c r="Q691" s="28" t="n">
        <v>-0.016435</v>
      </c>
      <c r="R691" s="26" t="n">
        <v>0</v>
      </c>
      <c r="S691" s="29" t="n">
        <v>1</v>
      </c>
      <c r="T691" s="24" t="inlineStr">
        <is>
          <t>cfb-total-v1</t>
        </is>
      </c>
      <c r="U691" s="24" t="inlineStr">
        <is>
          <t>settled</t>
        </is>
      </c>
      <c r="V691" s="24" t="inlineStr">
        <is>
          <t>loss</t>
        </is>
      </c>
      <c r="W691" s="26" t="n">
        <v>42</v>
      </c>
      <c r="X691" s="26" t="n">
        <v>45</v>
      </c>
      <c r="Y691" s="25" t="n"/>
      <c r="Z691" s="26" t="n"/>
      <c r="AA691" s="28" t="n"/>
      <c r="AB691" s="28" t="n"/>
      <c r="AC691" s="30" t="n">
        <v>-1</v>
      </c>
      <c r="AD691" s="24" t="inlineStr">
        <is>
          <t>2026-10-03T22:00:28.642398Z</t>
        </is>
      </c>
      <c r="AE691" s="31" t="inlineStr">
        <is>
          <t>Projected total 54.6 pts (Weather adj: +0.0 pts). Total line 53.5 -&gt; P(Over)=0.488, P(Under)=0.512, P(Push)=0.000.</t>
        </is>
      </c>
      <c r="AF691" s="31" t="inlineStr">
        <is>
          <t>College football model; multi-market (moneyline, spread, total).</t>
        </is>
      </c>
      <c r="AG691" s="24" t="inlineStr">
        <is>
          <t>review_required</t>
        </is>
      </c>
      <c r="AH691" s="24" t="n"/>
      <c r="AI691" s="31" t="n"/>
      <c r="AJ691" s="31" t="n"/>
      <c r="AK691" s="24" t="inlineStr">
        <is>
          <t>paper_call</t>
        </is>
      </c>
      <c r="AL691" s="26" t="n">
        <v>4</v>
      </c>
      <c r="AM691" s="24" t="inlineStr">
        <is>
          <t>RESEARCH_OBSERVATION</t>
        </is>
      </c>
      <c r="AN691" s="24" t="inlineStr">
        <is>
          <t>CALL</t>
        </is>
      </c>
      <c r="AO691" s="24" t="inlineStr">
        <is>
          <t>PAPER_CALL_LOW_EDGE</t>
        </is>
      </c>
      <c r="AP691" s="24" t="inlineStr">
        <is>
          <t>West Virginia Mountaineers</t>
        </is>
      </c>
      <c r="AQ691" s="24" t="inlineStr">
        <is>
          <t>West Virginia Mountaineers</t>
        </is>
      </c>
      <c r="AR691" s="24" t="inlineStr">
        <is>
          <t>West Virginia Mountaineers</t>
        </is>
      </c>
      <c r="AS691" s="24" t="inlineStr">
        <is>
          <t>Iowa State Cyclones</t>
        </is>
      </c>
      <c r="AT691" s="24" t="inlineStr">
        <is>
          <t>Iowa State Cyclones</t>
        </is>
      </c>
      <c r="AU691" s="24" t="inlineStr">
        <is>
          <t>Iowa State Cyclones</t>
        </is>
      </c>
      <c r="AV691" s="24" t="n"/>
      <c r="AW691" s="24" t="n"/>
      <c r="AX691" s="24" t="inlineStr">
        <is>
          <t>statistical_model</t>
        </is>
      </c>
      <c r="AY691" s="24" t="n"/>
      <c r="AZ691" s="24" t="inlineStr">
        <is>
          <t>shadow_qualified</t>
        </is>
      </c>
      <c r="BA691" s="24" t="inlineStr">
        <is>
          <t>1d168f11d221cd3c</t>
        </is>
      </c>
      <c r="BB691" s="24" t="inlineStr">
        <is>
          <t>cfb_key_number_engine</t>
        </is>
      </c>
      <c r="BC691" s="24" t="inlineStr">
        <is>
          <t>cfb-total-v1</t>
        </is>
      </c>
      <c r="BD691" s="24" t="inlineStr">
        <is>
          <t>1d168f11d221cd3c</t>
        </is>
      </c>
      <c r="BE691" s="24" t="inlineStr">
        <is>
          <t>cfb-v1</t>
        </is>
      </c>
      <c r="BF691" s="24" t="inlineStr">
        <is>
          <t>1</t>
        </is>
      </c>
      <c r="BG691" s="24" t="inlineStr">
        <is>
          <t>1d168f11d221cd3c</t>
        </is>
      </c>
      <c r="BH691" s="24" t="inlineStr">
        <is>
          <t>2026-10-03T10:53:30.577635+00:00</t>
        </is>
      </c>
      <c r="BI691" s="24" t="inlineStr">
        <is>
          <t>["same_event","same_team_same_day","same_league_same_day"]</t>
        </is>
      </c>
      <c r="BJ691" s="25" t="n">
        <v>53.5</v>
      </c>
      <c r="BK691" s="26" t="n">
        <v>-112</v>
      </c>
      <c r="BL691" s="27" t="n">
        <v>1.892857</v>
      </c>
      <c r="BM691" s="28" t="n">
        <v>0.528302</v>
      </c>
      <c r="BN691" s="28" t="n"/>
      <c r="BO691" s="28" t="n"/>
      <c r="BP691" s="25" t="n"/>
      <c r="BQ691" s="27" t="n"/>
      <c r="BR691" s="28" t="n"/>
      <c r="BS691" s="28" t="n"/>
      <c r="BT691" s="28" t="n"/>
      <c r="BU691" s="25" t="n"/>
      <c r="BV691" s="29" t="n"/>
      <c r="BW691" s="24" t="n"/>
      <c r="BX691" s="30" t="n">
        <v>1</v>
      </c>
      <c r="BY691" s="27" t="n">
        <v>-1</v>
      </c>
      <c r="BZ691" s="24" t="inlineStr">
        <is>
          <t>2026-10-03T22:00:28.642398Z</t>
        </is>
      </c>
      <c r="CA691" s="31" t="inlineStr">
        <is>
          <t>fixed one-unit hypothetical scoring; no real exposure or execution</t>
        </is>
      </c>
      <c r="CB691" s="24" t="n"/>
      <c r="CC691" s="24" t="n"/>
      <c r="CD691" s="24" t="n"/>
      <c r="CE691" s="24" t="n"/>
      <c r="CF691" s="24" t="n"/>
      <c r="CG691" s="24" t="n"/>
      <c r="CH691" s="24" t="n"/>
      <c r="CI691" s="24" t="n"/>
      <c r="CJ691" s="24" t="n"/>
      <c r="CK691" s="24" t="n"/>
      <c r="CL691" s="24" t="n"/>
      <c r="CM691" s="24" t="n"/>
      <c r="CN691" s="24" t="n"/>
      <c r="CO691" s="24" t="n"/>
      <c r="CP691" s="24" t="n"/>
      <c r="CQ691" s="24" t="n"/>
      <c r="CR691" s="24" t="n"/>
      <c r="CS691" s="24" t="inlineStr">
        <is>
          <t>False</t>
        </is>
      </c>
      <c r="CT691" s="24" t="n"/>
      <c r="CU691" s="24" t="n"/>
      <c r="CV691" s="24" t="n"/>
      <c r="CW691" s="24" t="n"/>
      <c r="CX691" s="24" t="n"/>
      <c r="CY691" s="24" t="n"/>
      <c r="CZ691" s="24" t="n"/>
      <c r="DA691" s="24" t="n"/>
      <c r="DB691" s="24" t="n"/>
      <c r="DC691" s="24" t="n"/>
      <c r="DD691" s="24" t="n"/>
      <c r="DE691" s="24" t="n"/>
      <c r="DF691" s="24" t="n"/>
      <c r="DG691" s="24" t="n"/>
      <c r="DH691" s="24" t="n"/>
      <c r="DI691" s="24" t="n"/>
      <c r="DJ691" s="24" t="inlineStr">
        <is>
          <t>0.528302</t>
        </is>
      </c>
      <c r="DK691" s="24" t="n"/>
      <c r="DL691" s="24" t="n"/>
      <c r="DM691" s="24" t="n"/>
      <c r="DN691" s="24" t="n"/>
      <c r="DO691" s="24" t="n"/>
      <c r="DP691" s="24" t="n"/>
      <c r="DQ691" s="24" t="inlineStr">
        <is>
          <t>{"artifact_hash": "1d168f11d221cd3c", "event_id": "401856822", "event_start_utc": "2026-10-03T16:00Z", "features": {"altitude_fatigue_penalty": 0.0, "away_team": "West Virginia Mountaineers", "efficiency_gap": -0.169, "elo_away": 1375.6, "elo_home": 1611.6, "elo_home_win_prob": 0.8498, "event_id": "401856822", "game_start_utc": "2026-10-03T16:00Z", "home_field_advantage_points": 2.8, "home_team": "Iowa State Cyclones", "is_dome": false, "is_fbs_vs_fcs": false, "is_neutral_site": false, "projected_away_points": 21.2, "projected_home_points": 33.4, "projected_margin_home": 12.3, "projected_possessions": 12.4, "projected_total": 54.6, "stadium_elevation_ft": 920, "travel_distance_miles": 733.0, "uncertainty": 0.18, "weather_total_adjustment": 0.0}, "historical_source_observation_times_verified": false, "inference_inputs": {"engine_source_sha256": "449ba2f0e86fa9c445730076a0e0bf100fb4914620be53c75c6f3bfe24298f3f", "mu_away": 21.2,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8655587093235915693672962535477044181}, "uinteger": 0}, "spread_home_line": -3.0, "total_line": 53.5}, "market_type": "total", "model_version": "cfb-total-v1", "observed_at_utc": "2026-10-03T10:53:30.577635+00:00", "probabilities": {"over": 0.488133, "push": 0.0, "under": 0.511867}, "replay_scope": "Full precision score means, exact engine parameters and original RNG state; upstream feature construction not certified.", "schema": "cfb-joint-replay-v1", "snapshot_hash": "c38feefdc45f3ce096b1293aa9b667ac642b833504ca62a43fb4441bfa29d9fd", "sport": "NCAAF"}</t>
        </is>
      </c>
    </row>
    <row r="692" ht="36" customHeight="1">
      <c r="A692" s="24" t="inlineStr">
        <is>
          <t>fad4dc62f69c4f2c</t>
        </is>
      </c>
      <c r="B692" s="24" t="inlineStr">
        <is>
          <t>2026-10-03T10:53:30.577635Z</t>
        </is>
      </c>
      <c r="C692" s="24" t="inlineStr">
        <is>
          <t>2026-10-03T16:00Z</t>
        </is>
      </c>
      <c r="D692" s="24" t="inlineStr">
        <is>
          <t>401858251</t>
        </is>
      </c>
      <c r="E692" s="24" t="inlineStr">
        <is>
          <t>NCAAF</t>
        </is>
      </c>
      <c r="F692" s="24" t="inlineStr">
        <is>
          <t>Stanford Cardinal</t>
        </is>
      </c>
      <c r="G692" s="24" t="inlineStr">
        <is>
          <t>Wake Forest Demon Deacons</t>
        </is>
      </c>
      <c r="H692" s="24" t="inlineStr">
        <is>
          <t>moneyline</t>
        </is>
      </c>
      <c r="I692" s="24" t="inlineStr">
        <is>
          <t>home</t>
        </is>
      </c>
      <c r="J692" s="25" t="n"/>
      <c r="K692" s="24" t="inlineStr">
        <is>
          <t>espn_consensus</t>
        </is>
      </c>
      <c r="L692" s="26" t="n">
        <v>-625</v>
      </c>
      <c r="M692" s="27" t="n">
        <v>1.16</v>
      </c>
      <c r="N692" s="28" t="n">
        <v>0.862069</v>
      </c>
      <c r="O692" s="28" t="n">
        <v>0.802</v>
      </c>
      <c r="P692" s="28" t="n">
        <v>0.165</v>
      </c>
      <c r="Q692" s="28" t="n">
        <v>-0.060069</v>
      </c>
      <c r="R692" s="26" t="n">
        <v>0</v>
      </c>
      <c r="S692" s="29" t="n">
        <v>1</v>
      </c>
      <c r="T692" s="24" t="inlineStr">
        <is>
          <t>college-football-v1</t>
        </is>
      </c>
      <c r="U692" s="24" t="inlineStr">
        <is>
          <t>settled</t>
        </is>
      </c>
      <c r="V692" s="24" t="inlineStr">
        <is>
          <t>win</t>
        </is>
      </c>
      <c r="W692" s="26" t="n">
        <v>3</v>
      </c>
      <c r="X692" s="26" t="n">
        <v>57</v>
      </c>
      <c r="Y692" s="25" t="n"/>
      <c r="Z692" s="26" t="n"/>
      <c r="AA692" s="28" t="n"/>
      <c r="AB692" s="28" t="n"/>
      <c r="AC692" s="30" t="n">
        <v>0.16</v>
      </c>
      <c r="AD692" s="24" t="inlineStr">
        <is>
          <t>2026-10-03T22:00:29.266309Z</t>
        </is>
      </c>
      <c r="AE692" s="31" t="inlineStr">
        <is>
          <t>CFB Joint Model (negative_binomial): proj score Stanford Cardinal 19.4 @ Wake Forest Demon Deacons 35.2 (Margin +15.8). Possessions: 12.4, HFA: +2.8 pts.</t>
        </is>
      </c>
      <c r="AF692" s="31" t="inlineStr">
        <is>
          <t>College football model; multi-market (moneyline, spread, total).</t>
        </is>
      </c>
      <c r="AG692" s="24" t="inlineStr">
        <is>
          <t>not_applicable</t>
        </is>
      </c>
      <c r="AH692" s="24" t="n"/>
      <c r="AI692" s="31" t="n"/>
      <c r="AJ692" s="31" t="n"/>
      <c r="AK692" s="24" t="inlineStr">
        <is>
          <t>paper_call</t>
        </is>
      </c>
      <c r="AL692" s="26" t="n">
        <v>4</v>
      </c>
      <c r="AM692" s="24" t="inlineStr">
        <is>
          <t>RESEARCH_OBSERVATION</t>
        </is>
      </c>
      <c r="AN692" s="24" t="inlineStr">
        <is>
          <t>CALL</t>
        </is>
      </c>
      <c r="AO692" s="24" t="inlineStr">
        <is>
          <t>PAPER_CALL_LOW_EDGE</t>
        </is>
      </c>
      <c r="AP692" s="24" t="inlineStr">
        <is>
          <t>Stanford Cardinal</t>
        </is>
      </c>
      <c r="AQ692" s="24" t="inlineStr">
        <is>
          <t>Stanford Cardinal</t>
        </is>
      </c>
      <c r="AR692" s="24" t="inlineStr">
        <is>
          <t>Stanford Cardinal</t>
        </is>
      </c>
      <c r="AS692" s="24" t="inlineStr">
        <is>
          <t>Wake Forest Demon Deacons</t>
        </is>
      </c>
      <c r="AT692" s="24" t="inlineStr">
        <is>
          <t>Wake Forest Demon Deacons</t>
        </is>
      </c>
      <c r="AU692" s="24" t="inlineStr">
        <is>
          <t>Wake Forest Demon Deacons</t>
        </is>
      </c>
      <c r="AV692" s="24" t="n"/>
      <c r="AW692" s="24" t="n"/>
      <c r="AX692" s="24" t="inlineStr">
        <is>
          <t>statistical_model</t>
        </is>
      </c>
      <c r="AY692" s="24" t="n"/>
      <c r="AZ692" s="24" t="inlineStr">
        <is>
          <t>shadow_qualified</t>
        </is>
      </c>
      <c r="BA692" s="24" t="inlineStr">
        <is>
          <t>1d168f11d221cd3c</t>
        </is>
      </c>
      <c r="BB692" s="24" t="inlineStr">
        <is>
          <t>cfb_key_number_engine</t>
        </is>
      </c>
      <c r="BC692" s="24" t="inlineStr">
        <is>
          <t>college-football-v1</t>
        </is>
      </c>
      <c r="BD692" s="24" t="inlineStr">
        <is>
          <t>1d168f11d221cd3c</t>
        </is>
      </c>
      <c r="BE692" s="24" t="inlineStr">
        <is>
          <t>cfb-v1</t>
        </is>
      </c>
      <c r="BF692" s="24" t="inlineStr">
        <is>
          <t>1</t>
        </is>
      </c>
      <c r="BG692" s="24" t="inlineStr">
        <is>
          <t>1d168f11d221cd3c</t>
        </is>
      </c>
      <c r="BH692" s="24" t="inlineStr">
        <is>
          <t>2026-10-03T10:53:30.577635+00:00</t>
        </is>
      </c>
      <c r="BI692" s="24" t="inlineStr">
        <is>
          <t>["same_event","same_team_same_day","same_league_same_day"]</t>
        </is>
      </c>
      <c r="BJ692" s="25" t="n"/>
      <c r="BK692" s="26" t="n">
        <v>-625</v>
      </c>
      <c r="BL692" s="27" t="n">
        <v>1.16</v>
      </c>
      <c r="BM692" s="28" t="n">
        <v>0.862069</v>
      </c>
      <c r="BN692" s="28" t="n"/>
      <c r="BO692" s="28" t="n"/>
      <c r="BP692" s="25" t="n"/>
      <c r="BQ692" s="27" t="n"/>
      <c r="BR692" s="28" t="n"/>
      <c r="BS692" s="28" t="n"/>
      <c r="BT692" s="28" t="n"/>
      <c r="BU692" s="25" t="n"/>
      <c r="BV692" s="29" t="n"/>
      <c r="BW692" s="24" t="n"/>
      <c r="BX692" s="30" t="n">
        <v>1</v>
      </c>
      <c r="BY692" s="27" t="n">
        <v>0.16</v>
      </c>
      <c r="BZ692" s="24" t="inlineStr">
        <is>
          <t>2026-10-03T22:00:29.266309Z</t>
        </is>
      </c>
      <c r="CA692" s="31" t="inlineStr">
        <is>
          <t>fixed one-unit hypothetical scoring; no real exposure or execution</t>
        </is>
      </c>
      <c r="CB692" s="24" t="n"/>
      <c r="CC692" s="24" t="n"/>
      <c r="CD692" s="24" t="n"/>
      <c r="CE692" s="24" t="n"/>
      <c r="CF692" s="24" t="n"/>
      <c r="CG692" s="24" t="n"/>
      <c r="CH692" s="24" t="n"/>
      <c r="CI692" s="24" t="n"/>
      <c r="CJ692" s="24" t="n"/>
      <c r="CK692" s="24" t="n"/>
      <c r="CL692" s="24" t="n"/>
      <c r="CM692" s="24" t="n"/>
      <c r="CN692" s="24" t="n"/>
      <c r="CO692" s="24" t="n"/>
      <c r="CP692" s="24" t="n"/>
      <c r="CQ692" s="24" t="n"/>
      <c r="CR692" s="24" t="n"/>
      <c r="CS692" s="24" t="inlineStr">
        <is>
          <t>False</t>
        </is>
      </c>
      <c r="CT692" s="24" t="n"/>
      <c r="CU692" s="24" t="n"/>
      <c r="CV692" s="24" t="n"/>
      <c r="CW692" s="24" t="n"/>
      <c r="CX692" s="24" t="n"/>
      <c r="CY692" s="24" t="n"/>
      <c r="CZ692" s="24" t="n"/>
      <c r="DA692" s="24" t="n"/>
      <c r="DB692" s="24" t="n"/>
      <c r="DC692" s="24" t="n"/>
      <c r="DD692" s="24" t="n"/>
      <c r="DE692" s="24" t="n"/>
      <c r="DF692" s="24" t="n"/>
      <c r="DG692" s="24" t="n"/>
      <c r="DH692" s="24" t="n"/>
      <c r="DI692" s="24" t="n"/>
      <c r="DJ692" s="24" t="inlineStr">
        <is>
          <t>0.862069</t>
        </is>
      </c>
      <c r="DK692" s="24" t="n"/>
      <c r="DL692" s="24" t="n"/>
      <c r="DM692" s="24" t="n"/>
      <c r="DN692" s="24" t="n"/>
      <c r="DO692" s="24" t="n"/>
      <c r="DP692" s="24" t="n"/>
      <c r="DQ692" s="24" t="inlineStr">
        <is>
          <t>{"artifact_hash": "1d168f11d221cd3c", "event_id": "401858251", "event_start_utc": "2026-10-03T16:00Z", "features": {"altitude_fatigue_penalty": 0.0, "away_team": "Stanford Cardinal", "efficiency_gap": 1.766, "elo_away": 1335.9, "elo_home": 1658.3, "elo_home_win_prob": 0.9029, "event_id": "401858251", "game_start_utc": "2026-10-03T16:00Z", "home_field_advantage_points": 2.8, "home_team": "Wake Forest Demon Deacons", "is_dome": false, "is_fbs_vs_fcs": false, "is_neutral_site": false, "projected_away_points": 19.4, "projected_home_points": 35.2, "projected_margin_home": 15.8, "projected_possessions": 12.4, "projected_total": 54.5, "stadium_elevation_ft": 880, "travel_distance_miles": 2301.0, "uncertainty": 0.165, "weather_total_adjustment": 0.0}, "historical_source_observation_times_verified": false, "inference_inputs": {"engine_source_sha256": "449ba2f0e86fa9c445730076a0e0bf100fb4914620be53c75c6f3bfe24298f3f", "mu_away": 19.4, "mu_home": 35.2,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11978236094060990420620105544042912008}, "uinteger": 0}, "spread_home_line": -14.5, "total_line": 53.5}, "market_type": "moneyline", "model_version": "college-football-v1", "observed_at_utc": "2026-10-03T10:53:30.577635+00:00", "probabilities": {"away": 0.198, "home": 0.802}, "replay_scope": "Full precision score means, exact engine parameters and original RNG state; upstream feature construction not certified.", "schema": "cfb-joint-replay-v1", "snapshot_hash": "928baa871a56484b4f9338c5d078faaa4163109f8ed05f747b961faf756909f0", "sport": "NCAAF"}</t>
        </is>
      </c>
    </row>
    <row r="693" ht="36" customHeight="1">
      <c r="A693" s="24" t="inlineStr">
        <is>
          <t>bcc455abbcce43a4</t>
        </is>
      </c>
      <c r="B693" s="24" t="inlineStr">
        <is>
          <t>2026-10-03T10:53:30.577635Z</t>
        </is>
      </c>
      <c r="C693" s="24" t="inlineStr">
        <is>
          <t>2026-10-03T16:00Z</t>
        </is>
      </c>
      <c r="D693" s="24" t="inlineStr">
        <is>
          <t>401858251</t>
        </is>
      </c>
      <c r="E693" s="24" t="inlineStr">
        <is>
          <t>NCAAF</t>
        </is>
      </c>
      <c r="F693" s="24" t="inlineStr">
        <is>
          <t>Stanford Cardinal</t>
        </is>
      </c>
      <c r="G693" s="24" t="inlineStr">
        <is>
          <t>Wake Forest Demon Deacons</t>
        </is>
      </c>
      <c r="H693" s="24" t="inlineStr">
        <is>
          <t>spread</t>
        </is>
      </c>
      <c r="I693" s="24" t="inlineStr">
        <is>
          <t>home</t>
        </is>
      </c>
      <c r="J693" s="25" t="n">
        <v>-14.5</v>
      </c>
      <c r="K693" s="24" t="inlineStr">
        <is>
          <t>espn_consensus</t>
        </is>
      </c>
      <c r="L693" s="26" t="n">
        <v>-108</v>
      </c>
      <c r="M693" s="27" t="n">
        <v>1.925926</v>
      </c>
      <c r="N693" s="28" t="n">
        <v>0.519231</v>
      </c>
      <c r="O693" s="28" t="n">
        <v>0.529067</v>
      </c>
      <c r="P693" s="28" t="n">
        <v>0.165</v>
      </c>
      <c r="Q693" s="28" t="n">
        <v>0.009835999999999999</v>
      </c>
      <c r="R693" s="26" t="n">
        <v>0</v>
      </c>
      <c r="S693" s="29" t="n">
        <v>1</v>
      </c>
      <c r="T693" s="24" t="inlineStr">
        <is>
          <t>cfb-spread-v1</t>
        </is>
      </c>
      <c r="U693" s="24" t="inlineStr">
        <is>
          <t>settled</t>
        </is>
      </c>
      <c r="V693" s="24" t="inlineStr">
        <is>
          <t>win</t>
        </is>
      </c>
      <c r="W693" s="26" t="n">
        <v>3</v>
      </c>
      <c r="X693" s="26" t="n">
        <v>57</v>
      </c>
      <c r="Y693" s="25" t="n"/>
      <c r="Z693" s="26" t="n"/>
      <c r="AA693" s="28" t="n"/>
      <c r="AB693" s="28" t="n"/>
      <c r="AC693" s="30" t="n">
        <v>0.9258999999999999</v>
      </c>
      <c r="AD693" s="24" t="inlineStr">
        <is>
          <t>2026-10-03T22:00:29.816907Z</t>
        </is>
      </c>
      <c r="AE693" s="31" t="inlineStr">
        <is>
          <t>Projected home margin +15.8 pts. Spread: Home -14.5 / Away +14.5 -&gt; P(Away cover)=0.471, P(Home cover)=0.529, P(Push)=0.000.</t>
        </is>
      </c>
      <c r="AF693" s="31" t="inlineStr">
        <is>
          <t>College football model; multi-market (moneyline, spread, total).</t>
        </is>
      </c>
      <c r="AG693" s="24" t="inlineStr">
        <is>
          <t>not_applicable</t>
        </is>
      </c>
      <c r="AH693" s="24" t="n"/>
      <c r="AI693" s="31" t="n"/>
      <c r="AJ693" s="31" t="n"/>
      <c r="AK693" s="24" t="inlineStr">
        <is>
          <t>paper_call</t>
        </is>
      </c>
      <c r="AL693" s="26" t="n">
        <v>4</v>
      </c>
      <c r="AM693" s="24" t="inlineStr">
        <is>
          <t>RESEARCH_OBSERVATION</t>
        </is>
      </c>
      <c r="AN693" s="24" t="inlineStr">
        <is>
          <t>CALL</t>
        </is>
      </c>
      <c r="AO693" s="24" t="inlineStr">
        <is>
          <t>PAPER_CALL_LOW_EDGE</t>
        </is>
      </c>
      <c r="AP693" s="24" t="inlineStr">
        <is>
          <t>Stanford Cardinal</t>
        </is>
      </c>
      <c r="AQ693" s="24" t="inlineStr">
        <is>
          <t>Stanford Cardinal</t>
        </is>
      </c>
      <c r="AR693" s="24" t="inlineStr">
        <is>
          <t>Stanford Cardinal</t>
        </is>
      </c>
      <c r="AS693" s="24" t="inlineStr">
        <is>
          <t>Wake Forest Demon Deacons</t>
        </is>
      </c>
      <c r="AT693" s="24" t="inlineStr">
        <is>
          <t>Wake Forest Demon Deacons</t>
        </is>
      </c>
      <c r="AU693" s="24" t="inlineStr">
        <is>
          <t>Wake Forest Demon Deacons</t>
        </is>
      </c>
      <c r="AV693" s="24" t="n"/>
      <c r="AW693" s="24" t="n"/>
      <c r="AX693" s="24" t="inlineStr">
        <is>
          <t>statistical_model</t>
        </is>
      </c>
      <c r="AY693" s="24" t="n"/>
      <c r="AZ693" s="24" t="inlineStr">
        <is>
          <t>shadow_qualified</t>
        </is>
      </c>
      <c r="BA693" s="24" t="inlineStr">
        <is>
          <t>1d168f11d221cd3c</t>
        </is>
      </c>
      <c r="BB693" s="24" t="inlineStr">
        <is>
          <t>cfb_key_number_engine</t>
        </is>
      </c>
      <c r="BC693" s="24" t="inlineStr">
        <is>
          <t>cfb-spread-v1</t>
        </is>
      </c>
      <c r="BD693" s="24" t="inlineStr">
        <is>
          <t>1d168f11d221cd3c</t>
        </is>
      </c>
      <c r="BE693" s="24" t="inlineStr">
        <is>
          <t>cfb-v1</t>
        </is>
      </c>
      <c r="BF693" s="24" t="inlineStr">
        <is>
          <t>1</t>
        </is>
      </c>
      <c r="BG693" s="24" t="inlineStr">
        <is>
          <t>1d168f11d221cd3c</t>
        </is>
      </c>
      <c r="BH693" s="24" t="inlineStr">
        <is>
          <t>2026-10-03T10:53:30.577635+00:00</t>
        </is>
      </c>
      <c r="BI693" s="24" t="inlineStr">
        <is>
          <t>["same_event","same_team_same_day","same_league_same_day"]</t>
        </is>
      </c>
      <c r="BJ693" s="25" t="n">
        <v>-14.5</v>
      </c>
      <c r="BK693" s="26" t="n">
        <v>-108</v>
      </c>
      <c r="BL693" s="27" t="n">
        <v>1.925926</v>
      </c>
      <c r="BM693" s="28" t="n">
        <v>0.519231</v>
      </c>
      <c r="BN693" s="28" t="n"/>
      <c r="BO693" s="28" t="n"/>
      <c r="BP693" s="25" t="n"/>
      <c r="BQ693" s="27" t="n"/>
      <c r="BR693" s="28" t="n"/>
      <c r="BS693" s="28" t="n"/>
      <c r="BT693" s="28" t="n"/>
      <c r="BU693" s="25" t="n"/>
      <c r="BV693" s="29" t="n"/>
      <c r="BW693" s="24" t="n"/>
      <c r="BX693" s="30" t="n">
        <v>1</v>
      </c>
      <c r="BY693" s="27" t="n">
        <v>0.925926</v>
      </c>
      <c r="BZ693" s="24" t="inlineStr">
        <is>
          <t>2026-10-03T22:00:29.816907Z</t>
        </is>
      </c>
      <c r="CA693" s="31" t="inlineStr">
        <is>
          <t>fixed one-unit hypothetical scoring; no real exposure or execution</t>
        </is>
      </c>
      <c r="CB693" s="24" t="n"/>
      <c r="CC693" s="24" t="n"/>
      <c r="CD693" s="24" t="n"/>
      <c r="CE693" s="24" t="n"/>
      <c r="CF693" s="24" t="n"/>
      <c r="CG693" s="24" t="n"/>
      <c r="CH693" s="24" t="n"/>
      <c r="CI693" s="24" t="n"/>
      <c r="CJ693" s="24" t="n"/>
      <c r="CK693" s="24" t="n"/>
      <c r="CL693" s="24" t="n"/>
      <c r="CM693" s="24" t="n"/>
      <c r="CN693" s="24" t="n"/>
      <c r="CO693" s="24" t="n"/>
      <c r="CP693" s="24" t="n"/>
      <c r="CQ693" s="24" t="n"/>
      <c r="CR693" s="24" t="n"/>
      <c r="CS693" s="24" t="inlineStr">
        <is>
          <t>True</t>
        </is>
      </c>
      <c r="CT693" s="24" t="n"/>
      <c r="CU693" s="24" t="n"/>
      <c r="CV693" s="24" t="n"/>
      <c r="CW693" s="24" t="n"/>
      <c r="CX693" s="24" t="n"/>
      <c r="CY693" s="24" t="n"/>
      <c r="CZ693" s="24" t="n"/>
      <c r="DA693" s="24" t="n"/>
      <c r="DB693" s="24" t="n"/>
      <c r="DC693" s="24" t="n"/>
      <c r="DD693" s="24" t="n"/>
      <c r="DE693" s="24" t="n"/>
      <c r="DF693" s="24" t="n"/>
      <c r="DG693" s="24" t="n"/>
      <c r="DH693" s="24" t="n"/>
      <c r="DI693" s="24" t="n"/>
      <c r="DJ693" s="24" t="inlineStr">
        <is>
          <t>0.519231</t>
        </is>
      </c>
      <c r="DK693" s="24" t="n"/>
      <c r="DL693" s="24" t="n"/>
      <c r="DM693" s="24" t="n"/>
      <c r="DN693" s="24" t="n"/>
      <c r="DO693" s="24" t="n"/>
      <c r="DP693" s="24" t="n"/>
      <c r="DQ693" s="24" t="inlineStr">
        <is>
          <t>{"artifact_hash": "1d168f11d221cd3c", "event_id": "401858251", "event_start_utc": "2026-10-03T16:00Z", "features": {"altitude_fatigue_penalty": 0.0, "away_team": "Stanford Cardinal", "efficiency_gap": 1.766, "elo_away": 1335.9, "elo_home": 1658.3, "elo_home_win_prob": 0.9029, "event_id": "401858251", "game_start_utc": "2026-10-03T16:00Z", "home_field_advantage_points": 2.8, "home_team": "Wake Forest Demon Deacons", "is_dome": false, "is_fbs_vs_fcs": false, "is_neutral_site": false, "projected_away_points": 19.4, "projected_home_points": 35.2, "projected_margin_home": 15.8, "projected_possessions": 12.4, "projected_total": 54.5, "stadium_elevation_ft": 880, "travel_distance_miles": 2301.0, "uncertainty": 0.165, "weather_total_adjustment": 0.0}, "historical_source_observation_times_verified": false, "inference_inputs": {"engine_source_sha256": "449ba2f0e86fa9c445730076a0e0bf100fb4914620be53c75c6f3bfe24298f3f", "mu_away": 19.4, "mu_home": 35.2,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11978236094060990420620105544042912008}, "uinteger": 0}, "spread_home_line": -14.5, "total_line": 53.5}, "market_type": "spread", "model_version": "cfb-spread-v1", "observed_at_utc": "2026-10-03T10:53:30.577635+00:00", "probabilities": {"away": 0.470933, "home": 0.529067, "push": 0.0}, "replay_scope": "Full precision score means, exact engine parameters and original RNG state; upstream feature construction not certified.", "schema": "cfb-joint-replay-v1", "snapshot_hash": "ac4c525e418ae4e824c14d77bde5c3c7383b25aed23f91558db356f766495a71", "sport": "NCAAF"}</t>
        </is>
      </c>
    </row>
    <row r="694" ht="36" customHeight="1">
      <c r="A694" s="24" t="inlineStr">
        <is>
          <t>580a8a07723c48c0</t>
        </is>
      </c>
      <c r="B694" s="24" t="inlineStr">
        <is>
          <t>2026-10-03T10:53:30.577635Z</t>
        </is>
      </c>
      <c r="C694" s="24" t="inlineStr">
        <is>
          <t>2026-10-03T16:00Z</t>
        </is>
      </c>
      <c r="D694" s="24" t="inlineStr">
        <is>
          <t>401858251</t>
        </is>
      </c>
      <c r="E694" s="24" t="inlineStr">
        <is>
          <t>NCAAF</t>
        </is>
      </c>
      <c r="F694" s="24" t="inlineStr">
        <is>
          <t>Stanford Cardinal</t>
        </is>
      </c>
      <c r="G694" s="24" t="inlineStr">
        <is>
          <t>Wake Forest Demon Deacons</t>
        </is>
      </c>
      <c r="H694" s="24" t="inlineStr">
        <is>
          <t>total</t>
        </is>
      </c>
      <c r="I694" s="24" t="inlineStr">
        <is>
          <t>under</t>
        </is>
      </c>
      <c r="J694" s="25" t="n">
        <v>53.5</v>
      </c>
      <c r="K694" s="24" t="inlineStr">
        <is>
          <t>espn_consensus</t>
        </is>
      </c>
      <c r="L694" s="26" t="n">
        <v>-105</v>
      </c>
      <c r="M694" s="27" t="n">
        <v>1.952381</v>
      </c>
      <c r="N694" s="28" t="n">
        <v>0.512195</v>
      </c>
      <c r="O694" s="28" t="n">
        <v>0.5081329999999999</v>
      </c>
      <c r="P694" s="28" t="n">
        <v>0.165</v>
      </c>
      <c r="Q694" s="28" t="n">
        <v>-0.004062</v>
      </c>
      <c r="R694" s="26" t="n">
        <v>0</v>
      </c>
      <c r="S694" s="29" t="n">
        <v>1</v>
      </c>
      <c r="T694" s="24" t="inlineStr">
        <is>
          <t>cfb-total-v1</t>
        </is>
      </c>
      <c r="U694" s="24" t="inlineStr">
        <is>
          <t>settled</t>
        </is>
      </c>
      <c r="V694" s="24" t="inlineStr">
        <is>
          <t>loss</t>
        </is>
      </c>
      <c r="W694" s="26" t="n">
        <v>3</v>
      </c>
      <c r="X694" s="26" t="n">
        <v>57</v>
      </c>
      <c r="Y694" s="25" t="n"/>
      <c r="Z694" s="26" t="n"/>
      <c r="AA694" s="28" t="n"/>
      <c r="AB694" s="28" t="n"/>
      <c r="AC694" s="30" t="n">
        <v>-1</v>
      </c>
      <c r="AD694" s="24" t="inlineStr">
        <is>
          <t>2026-10-03T22:00:30.514674Z</t>
        </is>
      </c>
      <c r="AE694" s="31" t="inlineStr">
        <is>
          <t>Projected total 54.5 pts (Weather adj: +0.0 pts). Total line 53.5 -&gt; P(Over)=0.492, P(Under)=0.508, P(Push)=0.000.</t>
        </is>
      </c>
      <c r="AF694" s="31" t="inlineStr">
        <is>
          <t>College football model; multi-market (moneyline, spread, total).</t>
        </is>
      </c>
      <c r="AG694" s="24" t="inlineStr">
        <is>
          <t>review_required</t>
        </is>
      </c>
      <c r="AH694" s="24" t="n"/>
      <c r="AI694" s="31" t="n"/>
      <c r="AJ694" s="31" t="n"/>
      <c r="AK694" s="24" t="inlineStr">
        <is>
          <t>paper_call</t>
        </is>
      </c>
      <c r="AL694" s="26" t="n">
        <v>4</v>
      </c>
      <c r="AM694" s="24" t="inlineStr">
        <is>
          <t>RESEARCH_OBSERVATION</t>
        </is>
      </c>
      <c r="AN694" s="24" t="inlineStr">
        <is>
          <t>CALL</t>
        </is>
      </c>
      <c r="AO694" s="24" t="inlineStr">
        <is>
          <t>PAPER_CALL_LOW_EDGE</t>
        </is>
      </c>
      <c r="AP694" s="24" t="inlineStr">
        <is>
          <t>Stanford Cardinal</t>
        </is>
      </c>
      <c r="AQ694" s="24" t="inlineStr">
        <is>
          <t>Stanford Cardinal</t>
        </is>
      </c>
      <c r="AR694" s="24" t="inlineStr">
        <is>
          <t>Stanford Cardinal</t>
        </is>
      </c>
      <c r="AS694" s="24" t="inlineStr">
        <is>
          <t>Wake Forest Demon Deacons</t>
        </is>
      </c>
      <c r="AT694" s="24" t="inlineStr">
        <is>
          <t>Wake Forest Demon Deacons</t>
        </is>
      </c>
      <c r="AU694" s="24" t="inlineStr">
        <is>
          <t>Wake Forest Demon Deacons</t>
        </is>
      </c>
      <c r="AV694" s="24" t="n"/>
      <c r="AW694" s="24" t="n"/>
      <c r="AX694" s="24" t="inlineStr">
        <is>
          <t>statistical_model</t>
        </is>
      </c>
      <c r="AY694" s="24" t="n"/>
      <c r="AZ694" s="24" t="inlineStr">
        <is>
          <t>shadow_qualified</t>
        </is>
      </c>
      <c r="BA694" s="24" t="inlineStr">
        <is>
          <t>1d168f11d221cd3c</t>
        </is>
      </c>
      <c r="BB694" s="24" t="inlineStr">
        <is>
          <t>cfb_key_number_engine</t>
        </is>
      </c>
      <c r="BC694" s="24" t="inlineStr">
        <is>
          <t>cfb-total-v1</t>
        </is>
      </c>
      <c r="BD694" s="24" t="inlineStr">
        <is>
          <t>1d168f11d221cd3c</t>
        </is>
      </c>
      <c r="BE694" s="24" t="inlineStr">
        <is>
          <t>cfb-v1</t>
        </is>
      </c>
      <c r="BF694" s="24" t="inlineStr">
        <is>
          <t>1</t>
        </is>
      </c>
      <c r="BG694" s="24" t="inlineStr">
        <is>
          <t>1d168f11d221cd3c</t>
        </is>
      </c>
      <c r="BH694" s="24" t="inlineStr">
        <is>
          <t>2026-10-03T10:53:30.577635+00:00</t>
        </is>
      </c>
      <c r="BI694" s="24" t="inlineStr">
        <is>
          <t>["same_event","same_team_same_day","same_league_same_day"]</t>
        </is>
      </c>
      <c r="BJ694" s="25" t="n">
        <v>53.5</v>
      </c>
      <c r="BK694" s="26" t="n">
        <v>-105</v>
      </c>
      <c r="BL694" s="27" t="n">
        <v>1.952381</v>
      </c>
      <c r="BM694" s="28" t="n">
        <v>0.512195</v>
      </c>
      <c r="BN694" s="28" t="n"/>
      <c r="BO694" s="28" t="n"/>
      <c r="BP694" s="25" t="n"/>
      <c r="BQ694" s="27" t="n"/>
      <c r="BR694" s="28" t="n"/>
      <c r="BS694" s="28" t="n"/>
      <c r="BT694" s="28" t="n"/>
      <c r="BU694" s="25" t="n"/>
      <c r="BV694" s="29" t="n"/>
      <c r="BW694" s="24" t="n"/>
      <c r="BX694" s="30" t="n">
        <v>1</v>
      </c>
      <c r="BY694" s="27" t="n">
        <v>-1</v>
      </c>
      <c r="BZ694" s="24" t="inlineStr">
        <is>
          <t>2026-10-03T22:00:30.514674Z</t>
        </is>
      </c>
      <c r="CA694" s="31" t="inlineStr">
        <is>
          <t>fixed one-unit hypothetical scoring; no real exposure or execution</t>
        </is>
      </c>
      <c r="CB694" s="24" t="n"/>
      <c r="CC694" s="24" t="n"/>
      <c r="CD694" s="24" t="n"/>
      <c r="CE694" s="24" t="n"/>
      <c r="CF694" s="24" t="n"/>
      <c r="CG694" s="24" t="n"/>
      <c r="CH694" s="24" t="n"/>
      <c r="CI694" s="24" t="n"/>
      <c r="CJ694" s="24" t="n"/>
      <c r="CK694" s="24" t="n"/>
      <c r="CL694" s="24" t="n"/>
      <c r="CM694" s="24" t="n"/>
      <c r="CN694" s="24" t="n"/>
      <c r="CO694" s="24" t="n"/>
      <c r="CP694" s="24" t="n"/>
      <c r="CQ694" s="24" t="n"/>
      <c r="CR694" s="24" t="n"/>
      <c r="CS694" s="24" t="inlineStr">
        <is>
          <t>False</t>
        </is>
      </c>
      <c r="CT694" s="24" t="n"/>
      <c r="CU694" s="24" t="n"/>
      <c r="CV694" s="24" t="n"/>
      <c r="CW694" s="24" t="n"/>
      <c r="CX694" s="24" t="n"/>
      <c r="CY694" s="24" t="n"/>
      <c r="CZ694" s="24" t="n"/>
      <c r="DA694" s="24" t="n"/>
      <c r="DB694" s="24" t="n"/>
      <c r="DC694" s="24" t="n"/>
      <c r="DD694" s="24" t="n"/>
      <c r="DE694" s="24" t="n"/>
      <c r="DF694" s="24" t="n"/>
      <c r="DG694" s="24" t="n"/>
      <c r="DH694" s="24" t="n"/>
      <c r="DI694" s="24" t="n"/>
      <c r="DJ694" s="24" t="inlineStr">
        <is>
          <t>0.512195</t>
        </is>
      </c>
      <c r="DK694" s="24" t="n"/>
      <c r="DL694" s="24" t="n"/>
      <c r="DM694" s="24" t="n"/>
      <c r="DN694" s="24" t="n"/>
      <c r="DO694" s="24" t="n"/>
      <c r="DP694" s="24" t="n"/>
      <c r="DQ694" s="24" t="inlineStr">
        <is>
          <t>{"artifact_hash": "1d168f11d221cd3c", "event_id": "401858251", "event_start_utc": "2026-10-03T16:00Z", "features": {"altitude_fatigue_penalty": 0.0, "away_team": "Stanford Cardinal", "efficiency_gap": 1.766, "elo_away": 1335.9, "elo_home": 1658.3, "elo_home_win_prob": 0.9029, "event_id": "401858251", "game_start_utc": "2026-10-03T16:00Z", "home_field_advantage_points": 2.8, "home_team": "Wake Forest Demon Deacons", "is_dome": false, "is_fbs_vs_fcs": false, "is_neutral_site": false, "projected_away_points": 19.4, "projected_home_points": 35.2, "projected_margin_home": 15.8, "projected_possessions": 12.4, "projected_total": 54.5, "stadium_elevation_ft": 880, "travel_distance_miles": 2301.0, "uncertainty": 0.165, "weather_total_adjustment": 0.0}, "historical_source_observation_times_verified": false, "inference_inputs": {"engine_source_sha256": "449ba2f0e86fa9c445730076a0e0bf100fb4914620be53c75c6f3bfe24298f3f", "mu_away": 19.4, "mu_home": 35.2,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11978236094060990420620105544042912008}, "uinteger": 0}, "spread_home_line": -14.5, "total_line": 53.5}, "market_type": "total", "model_version": "cfb-total-v1", "observed_at_utc": "2026-10-03T10:53:30.577635+00:00", "probabilities": {"over": 0.491867, "push": 0.0, "under": 0.508133}, "replay_scope": "Full precision score means, exact engine parameters and original RNG state; upstream feature construction not certified.", "schema": "cfb-joint-replay-v1", "snapshot_hash": "ba7422d6265e97eab419429ad54c683c1ee788df47282641fa3b0e852e04254c", "sport": "NCAAF"}</t>
        </is>
      </c>
    </row>
    <row r="695" ht="36" customHeight="1">
      <c r="A695" s="24" t="inlineStr">
        <is>
          <t>124c7c204caa4362</t>
        </is>
      </c>
      <c r="B695" s="24" t="inlineStr">
        <is>
          <t>2026-10-03T10:53:30.577635Z</t>
        </is>
      </c>
      <c r="C695" s="24" t="inlineStr">
        <is>
          <t>2026-10-03T16:00Z</t>
        </is>
      </c>
      <c r="D695" s="24" t="inlineStr">
        <is>
          <t>401858252</t>
        </is>
      </c>
      <c r="E695" s="24" t="inlineStr">
        <is>
          <t>NCAAF</t>
        </is>
      </c>
      <c r="F695" s="24" t="inlineStr">
        <is>
          <t>Syracuse Orange</t>
        </is>
      </c>
      <c r="G695" s="24" t="inlineStr">
        <is>
          <t>UConn Huskies</t>
        </is>
      </c>
      <c r="H695" s="24" t="inlineStr">
        <is>
          <t>moneyline</t>
        </is>
      </c>
      <c r="I695" s="24" t="inlineStr">
        <is>
          <t>home</t>
        </is>
      </c>
      <c r="J695" s="25" t="n"/>
      <c r="K695" s="24" t="inlineStr">
        <is>
          <t>espn_consensus</t>
        </is>
      </c>
      <c r="L695" s="26" t="n">
        <v>215</v>
      </c>
      <c r="M695" s="27" t="n">
        <v>3.15</v>
      </c>
      <c r="N695" s="28" t="n">
        <v>0.31746</v>
      </c>
      <c r="O695" s="28" t="n">
        <v>0.86176</v>
      </c>
      <c r="P695" s="28" t="n">
        <v>0.18</v>
      </c>
      <c r="Q695" s="28" t="n">
        <v>0.5443</v>
      </c>
      <c r="R695" s="26" t="n">
        <v>100</v>
      </c>
      <c r="S695" s="29" t="n">
        <v>2</v>
      </c>
      <c r="T695" s="24" t="inlineStr">
        <is>
          <t>college-football-v1</t>
        </is>
      </c>
      <c r="U695" s="24" t="inlineStr">
        <is>
          <t>settled</t>
        </is>
      </c>
      <c r="V695" s="24" t="inlineStr">
        <is>
          <t>loss</t>
        </is>
      </c>
      <c r="W695" s="26" t="n">
        <v>42</v>
      </c>
      <c r="X695" s="26" t="n">
        <v>41</v>
      </c>
      <c r="Y695" s="25" t="n"/>
      <c r="Z695" s="26" t="n"/>
      <c r="AA695" s="28" t="n"/>
      <c r="AB695" s="28" t="n"/>
      <c r="AC695" s="30" t="n">
        <v>-2</v>
      </c>
      <c r="AD695" s="24" t="inlineStr">
        <is>
          <t>2026-10-03T22:00:31.137307Z</t>
        </is>
      </c>
      <c r="AE695" s="31" t="inlineStr">
        <is>
          <t>CFB Joint Model (negative_binomial): proj score Syracuse Orange 17.2 @ UConn Huskies 37.1 (Margin +19.8). Possessions: 12.4, HFA: +2.8 pts.</t>
        </is>
      </c>
      <c r="AF695" s="31" t="inlineStr">
        <is>
          <t>College football model; multi-market (moneyline, spread, total).</t>
        </is>
      </c>
      <c r="AG695" s="24" t="inlineStr">
        <is>
          <t>review_required</t>
        </is>
      </c>
      <c r="AH695" s="24" t="n"/>
      <c r="AI695" s="31" t="n"/>
      <c r="AJ695" s="31" t="n"/>
      <c r="AK695" s="24" t="inlineStr">
        <is>
          <t>model_qualified</t>
        </is>
      </c>
      <c r="AL695" s="26" t="n">
        <v>4</v>
      </c>
      <c r="AM695" s="24" t="inlineStr">
        <is>
          <t>QUALIFIED_SHADOW_CALL</t>
        </is>
      </c>
      <c r="AN695" s="24" t="inlineStr">
        <is>
          <t>CALL</t>
        </is>
      </c>
      <c r="AO695" s="24" t="inlineStr">
        <is>
          <t>QUALIFIED</t>
        </is>
      </c>
      <c r="AP695" s="24" t="inlineStr">
        <is>
          <t>Syracuse Orange</t>
        </is>
      </c>
      <c r="AQ695" s="24" t="inlineStr">
        <is>
          <t>Syracuse Orange</t>
        </is>
      </c>
      <c r="AR695" s="24" t="inlineStr">
        <is>
          <t>Syracuse Orange</t>
        </is>
      </c>
      <c r="AS695" s="24" t="inlineStr">
        <is>
          <t>UConn Huskies</t>
        </is>
      </c>
      <c r="AT695" s="24" t="inlineStr">
        <is>
          <t>UConn Huskies</t>
        </is>
      </c>
      <c r="AU695" s="24" t="inlineStr">
        <is>
          <t>UConn Huskies</t>
        </is>
      </c>
      <c r="AV695" s="24" t="n"/>
      <c r="AW695" s="24" t="n"/>
      <c r="AX695" s="24" t="inlineStr">
        <is>
          <t>statistical_model</t>
        </is>
      </c>
      <c r="AY695" s="24" t="n"/>
      <c r="AZ695" s="24" t="inlineStr">
        <is>
          <t>shadow_qualified</t>
        </is>
      </c>
      <c r="BA695" s="24" t="inlineStr">
        <is>
          <t>1d168f11d221cd3c</t>
        </is>
      </c>
      <c r="BB695" s="24" t="inlineStr">
        <is>
          <t>cfb_key_number_engine</t>
        </is>
      </c>
      <c r="BC695" s="24" t="inlineStr">
        <is>
          <t>college-football-v1</t>
        </is>
      </c>
      <c r="BD695" s="24" t="inlineStr">
        <is>
          <t>1d168f11d221cd3c</t>
        </is>
      </c>
      <c r="BE695" s="24" t="inlineStr">
        <is>
          <t>cfb-v1</t>
        </is>
      </c>
      <c r="BF695" s="24" t="inlineStr">
        <is>
          <t>1</t>
        </is>
      </c>
      <c r="BG695" s="24" t="inlineStr">
        <is>
          <t>1d168f11d221cd3c</t>
        </is>
      </c>
      <c r="BH695" s="24" t="inlineStr">
        <is>
          <t>2026-10-03T10:53:30.577635+00:00</t>
        </is>
      </c>
      <c r="BI695" s="24" t="inlineStr">
        <is>
          <t>["same_event","same_team_same_day","same_league_same_day"]</t>
        </is>
      </c>
      <c r="BJ695" s="25" t="n"/>
      <c r="BK695" s="26" t="n">
        <v>215</v>
      </c>
      <c r="BL695" s="27" t="n">
        <v>3.15</v>
      </c>
      <c r="BM695" s="28" t="n">
        <v>0.31746</v>
      </c>
      <c r="BN695" s="28" t="n"/>
      <c r="BO695" s="28" t="n"/>
      <c r="BP695" s="25" t="n"/>
      <c r="BQ695" s="27" t="n"/>
      <c r="BR695" s="28" t="n"/>
      <c r="BS695" s="28" t="n"/>
      <c r="BT695" s="28" t="n"/>
      <c r="BU695" s="25" t="n"/>
      <c r="BV695" s="29" t="n"/>
      <c r="BW695" s="24" t="n"/>
      <c r="BX695" s="30" t="n"/>
      <c r="BY695" s="27" t="n"/>
      <c r="BZ695" s="24" t="n"/>
      <c r="CA695" s="31" t="n"/>
      <c r="CB695" s="24" t="n"/>
      <c r="CC695" s="24" t="n"/>
      <c r="CD695" s="24" t="n"/>
      <c r="CE695" s="24" t="n"/>
      <c r="CF695" s="24" t="n"/>
      <c r="CG695" s="24" t="n"/>
      <c r="CH695" s="24" t="n"/>
      <c r="CI695" s="24" t="n"/>
      <c r="CJ695" s="24" t="n"/>
      <c r="CK695" s="24" t="n"/>
      <c r="CL695" s="24" t="n"/>
      <c r="CM695" s="24" t="n"/>
      <c r="CN695" s="24" t="n"/>
      <c r="CO695" s="24" t="n"/>
      <c r="CP695" s="24" t="n"/>
      <c r="CQ695" s="24" t="n"/>
      <c r="CR695" s="24" t="n"/>
      <c r="CS695" s="24" t="inlineStr">
        <is>
          <t>True</t>
        </is>
      </c>
      <c r="CT695" s="24" t="n"/>
      <c r="CU695" s="24" t="n"/>
      <c r="CV695" s="24" t="n"/>
      <c r="CW695" s="24" t="n"/>
      <c r="CX695" s="24" t="n"/>
      <c r="CY695" s="24" t="n"/>
      <c r="CZ695" s="24" t="n"/>
      <c r="DA695" s="24" t="n"/>
      <c r="DB695" s="24" t="n"/>
      <c r="DC695" s="24" t="n"/>
      <c r="DD695" s="24" t="n"/>
      <c r="DE695" s="24" t="n"/>
      <c r="DF695" s="24" t="n"/>
      <c r="DG695" s="24" t="n"/>
      <c r="DH695" s="24" t="n"/>
      <c r="DI695" s="24" t="n"/>
      <c r="DJ695" s="24" t="inlineStr">
        <is>
          <t>0.31746</t>
        </is>
      </c>
      <c r="DK695" s="24" t="n"/>
      <c r="DL695" s="24" t="n"/>
      <c r="DM695" s="24" t="n"/>
      <c r="DN695" s="24" t="n"/>
      <c r="DO695" s="24" t="n"/>
      <c r="DP695" s="24" t="n"/>
      <c r="DQ695" s="24" t="inlineStr">
        <is>
          <t>{"artifact_hash": "1d168f11d221cd3c", "event_id": "401858252", "event_start_utc": "2026-10-03T16:00Z", "features": {"altitude_fatigue_penalty": 0.0, "away_team": "Syracuse Orange", "efficiency_gap": -0.112, "elo_away": 1202.1, "elo_home": 1622.7, "elo_home_win_prob": 0.9424, "event_id": "401858252", "game_start_utc": "2026-10-03T16:00Z", "home_field_advantage_points": 2.8, "home_team": "UConn Huskies", "is_dome": false, "is_fbs_vs_fcs": false, "is_neutral_site": false, "projected_away_points": 17.2, "projected_home_points": 37.1, "projected_margin_home": 19.8, "projected_possessions": 12.4, "projected_total": 54.3, "stadium_elevation_ft": 43, "travel_distance_miles": 200.0, "uncertainty": 0.18, "weather_total_adjustment": 0.0}, "historical_source_observation_times_verified": false, "inference_inputs": {"engine_source_sha256": "449ba2f0e86fa9c445730076a0e0bf100fb4914620be53c75c6f3bfe24298f3f", "mu_away": 17.2,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73704617150705153499124827172543712798}, "uinteger": 0}, "spread_home_line": 6.5, "total_line": 50.5}, "market_type": "moneyline", "model_version": "college-football-v1", "observed_at_utc": "2026-10-03T10:53:30.577635+00:00", "probabilities": {"away": 0.13824, "home": 0.86176}, "replay_scope": "Full precision score means, exact engine parameters and original RNG state; upstream feature construction not certified.", "schema": "cfb-joint-replay-v1", "snapshot_hash": "93c4bc396ce6eb5c1bea7bbdbe4c61e3bcddf57e4416f9e921aab10b9826fe8b", "sport": "NCAAF"}</t>
        </is>
      </c>
    </row>
    <row r="696" ht="36" customHeight="1">
      <c r="A696" s="24" t="inlineStr">
        <is>
          <t>fcd39d15ad404021</t>
        </is>
      </c>
      <c r="B696" s="24" t="inlineStr">
        <is>
          <t>2026-10-03T10:53:30.577635Z</t>
        </is>
      </c>
      <c r="C696" s="24" t="inlineStr">
        <is>
          <t>2026-10-03T16:00Z</t>
        </is>
      </c>
      <c r="D696" s="24" t="inlineStr">
        <is>
          <t>401858252</t>
        </is>
      </c>
      <c r="E696" s="24" t="inlineStr">
        <is>
          <t>NCAAF</t>
        </is>
      </c>
      <c r="F696" s="24" t="inlineStr">
        <is>
          <t>Syracuse Orange</t>
        </is>
      </c>
      <c r="G696" s="24" t="inlineStr">
        <is>
          <t>UConn Huskies</t>
        </is>
      </c>
      <c r="H696" s="24" t="inlineStr">
        <is>
          <t>spread</t>
        </is>
      </c>
      <c r="I696" s="24" t="inlineStr">
        <is>
          <t>home</t>
        </is>
      </c>
      <c r="J696" s="25" t="n">
        <v>6.5</v>
      </c>
      <c r="K696" s="24" t="inlineStr">
        <is>
          <t>espn_consensus</t>
        </is>
      </c>
      <c r="L696" s="26" t="n">
        <v>-105</v>
      </c>
      <c r="M696" s="27" t="n">
        <v>1.952381</v>
      </c>
      <c r="N696" s="28" t="n">
        <v>0.512195</v>
      </c>
      <c r="O696" s="28" t="n">
        <v>0.919133</v>
      </c>
      <c r="P696" s="28" t="n">
        <v>0.18</v>
      </c>
      <c r="Q696" s="28" t="n">
        <v>0.406938</v>
      </c>
      <c r="R696" s="26" t="n">
        <v>100</v>
      </c>
      <c r="S696" s="29" t="n">
        <v>2</v>
      </c>
      <c r="T696" s="24" t="inlineStr">
        <is>
          <t>cfb-spread-v1</t>
        </is>
      </c>
      <c r="U696" s="24" t="inlineStr">
        <is>
          <t>settled</t>
        </is>
      </c>
      <c r="V696" s="24" t="inlineStr">
        <is>
          <t>win</t>
        </is>
      </c>
      <c r="W696" s="26" t="n">
        <v>42</v>
      </c>
      <c r="X696" s="26" t="n">
        <v>41</v>
      </c>
      <c r="Y696" s="25" t="n"/>
      <c r="Z696" s="26" t="n"/>
      <c r="AA696" s="28" t="n"/>
      <c r="AB696" s="28" t="n"/>
      <c r="AC696" s="30" t="n">
        <v>1.9048</v>
      </c>
      <c r="AD696" s="24" t="inlineStr">
        <is>
          <t>2026-10-03T22:00:31.755442Z</t>
        </is>
      </c>
      <c r="AE696" s="31" t="inlineStr">
        <is>
          <t>Projected home margin +19.8 pts. Spread: Home +6.5 / Away -6.5 -&gt; P(Away cover)=0.081, P(Home cover)=0.919, P(Push)=0.000.</t>
        </is>
      </c>
      <c r="AF696" s="31" t="inlineStr">
        <is>
          <t>College football model; multi-market (moneyline, spread, total).</t>
        </is>
      </c>
      <c r="AG696" s="24" t="inlineStr">
        <is>
          <t>not_applicable</t>
        </is>
      </c>
      <c r="AH696" s="24" t="n"/>
      <c r="AI696" s="31" t="n"/>
      <c r="AJ696" s="31" t="n"/>
      <c r="AK696" s="24" t="inlineStr">
        <is>
          <t>model_qualified</t>
        </is>
      </c>
      <c r="AL696" s="26" t="n">
        <v>4</v>
      </c>
      <c r="AM696" s="24" t="inlineStr">
        <is>
          <t>QUALIFIED_SHADOW_CALL</t>
        </is>
      </c>
      <c r="AN696" s="24" t="inlineStr">
        <is>
          <t>CALL</t>
        </is>
      </c>
      <c r="AO696" s="24" t="inlineStr">
        <is>
          <t>QUALIFIED</t>
        </is>
      </c>
      <c r="AP696" s="24" t="inlineStr">
        <is>
          <t>Syracuse Orange</t>
        </is>
      </c>
      <c r="AQ696" s="24" t="inlineStr">
        <is>
          <t>Syracuse Orange</t>
        </is>
      </c>
      <c r="AR696" s="24" t="inlineStr">
        <is>
          <t>Syracuse Orange</t>
        </is>
      </c>
      <c r="AS696" s="24" t="inlineStr">
        <is>
          <t>UConn Huskies</t>
        </is>
      </c>
      <c r="AT696" s="24" t="inlineStr">
        <is>
          <t>UConn Huskies</t>
        </is>
      </c>
      <c r="AU696" s="24" t="inlineStr">
        <is>
          <t>UConn Huskies</t>
        </is>
      </c>
      <c r="AV696" s="24" t="n"/>
      <c r="AW696" s="24" t="n"/>
      <c r="AX696" s="24" t="inlineStr">
        <is>
          <t>statistical_model</t>
        </is>
      </c>
      <c r="AY696" s="24" t="n"/>
      <c r="AZ696" s="24" t="inlineStr">
        <is>
          <t>shadow_qualified</t>
        </is>
      </c>
      <c r="BA696" s="24" t="inlineStr">
        <is>
          <t>1d168f11d221cd3c</t>
        </is>
      </c>
      <c r="BB696" s="24" t="inlineStr">
        <is>
          <t>cfb_key_number_engine</t>
        </is>
      </c>
      <c r="BC696" s="24" t="inlineStr">
        <is>
          <t>cfb-spread-v1</t>
        </is>
      </c>
      <c r="BD696" s="24" t="inlineStr">
        <is>
          <t>1d168f11d221cd3c</t>
        </is>
      </c>
      <c r="BE696" s="24" t="inlineStr">
        <is>
          <t>cfb-v1</t>
        </is>
      </c>
      <c r="BF696" s="24" t="inlineStr">
        <is>
          <t>1</t>
        </is>
      </c>
      <c r="BG696" s="24" t="inlineStr">
        <is>
          <t>1d168f11d221cd3c</t>
        </is>
      </c>
      <c r="BH696" s="24" t="inlineStr">
        <is>
          <t>2026-10-03T10:53:30.577635+00:00</t>
        </is>
      </c>
      <c r="BI696" s="24" t="inlineStr">
        <is>
          <t>["same_event","same_team_same_day","same_league_same_day"]</t>
        </is>
      </c>
      <c r="BJ696" s="25" t="n">
        <v>6.5</v>
      </c>
      <c r="BK696" s="26" t="n">
        <v>-105</v>
      </c>
      <c r="BL696" s="27" t="n">
        <v>1.952381</v>
      </c>
      <c r="BM696" s="28" t="n">
        <v>0.512195</v>
      </c>
      <c r="BN696" s="28" t="n"/>
      <c r="BO696" s="28" t="n"/>
      <c r="BP696" s="25" t="n"/>
      <c r="BQ696" s="27" t="n"/>
      <c r="BR696" s="28" t="n"/>
      <c r="BS696" s="28" t="n"/>
      <c r="BT696" s="28" t="n"/>
      <c r="BU696" s="25" t="n"/>
      <c r="BV696" s="29" t="n"/>
      <c r="BW696" s="24" t="n"/>
      <c r="BX696" s="30" t="n"/>
      <c r="BY696" s="27" t="n"/>
      <c r="BZ696" s="24" t="n"/>
      <c r="CA696" s="31" t="n"/>
      <c r="CB696" s="24" t="n"/>
      <c r="CC696" s="24" t="n"/>
      <c r="CD696" s="24" t="n"/>
      <c r="CE696" s="24" t="n"/>
      <c r="CF696" s="24" t="n"/>
      <c r="CG696" s="24" t="n"/>
      <c r="CH696" s="24" t="n"/>
      <c r="CI696" s="24" t="n"/>
      <c r="CJ696" s="24" t="n"/>
      <c r="CK696" s="24" t="n"/>
      <c r="CL696" s="24" t="n"/>
      <c r="CM696" s="24" t="n"/>
      <c r="CN696" s="24" t="n"/>
      <c r="CO696" s="24" t="n"/>
      <c r="CP696" s="24" t="n"/>
      <c r="CQ696" s="24" t="n"/>
      <c r="CR696" s="24" t="n"/>
      <c r="CS696" s="24" t="inlineStr">
        <is>
          <t>True</t>
        </is>
      </c>
      <c r="CT696" s="24" t="n"/>
      <c r="CU696" s="24" t="n"/>
      <c r="CV696" s="24" t="n"/>
      <c r="CW696" s="24" t="n"/>
      <c r="CX696" s="24" t="n"/>
      <c r="CY696" s="24" t="n"/>
      <c r="CZ696" s="24" t="n"/>
      <c r="DA696" s="24" t="n"/>
      <c r="DB696" s="24" t="n"/>
      <c r="DC696" s="24" t="n"/>
      <c r="DD696" s="24" t="n"/>
      <c r="DE696" s="24" t="n"/>
      <c r="DF696" s="24" t="n"/>
      <c r="DG696" s="24" t="n"/>
      <c r="DH696" s="24" t="n"/>
      <c r="DI696" s="24" t="n"/>
      <c r="DJ696" s="24" t="inlineStr">
        <is>
          <t>0.512195</t>
        </is>
      </c>
      <c r="DK696" s="24" t="n"/>
      <c r="DL696" s="24" t="n"/>
      <c r="DM696" s="24" t="n"/>
      <c r="DN696" s="24" t="n"/>
      <c r="DO696" s="24" t="n"/>
      <c r="DP696" s="24" t="n"/>
      <c r="DQ696" s="24" t="inlineStr">
        <is>
          <t>{"artifact_hash": "1d168f11d221cd3c", "event_id": "401858252", "event_start_utc": "2026-10-03T16:00Z", "features": {"altitude_fatigue_penalty": 0.0, "away_team": "Syracuse Orange", "efficiency_gap": -0.112, "elo_away": 1202.1, "elo_home": 1622.7, "elo_home_win_prob": 0.9424, "event_id": "401858252", "game_start_utc": "2026-10-03T16:00Z", "home_field_advantage_points": 2.8, "home_team": "UConn Huskies", "is_dome": false, "is_fbs_vs_fcs": false, "is_neutral_site": false, "projected_away_points": 17.2, "projected_home_points": 37.1, "projected_margin_home": 19.8, "projected_possessions": 12.4, "projected_total": 54.3, "stadium_elevation_ft": 43, "travel_distance_miles": 200.0, "uncertainty": 0.18, "weather_total_adjustment": 0.0}, "historical_source_observation_times_verified": false, "inference_inputs": {"engine_source_sha256": "449ba2f0e86fa9c445730076a0e0bf100fb4914620be53c75c6f3bfe24298f3f", "mu_away": 17.2,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73704617150705153499124827172543712798}, "uinteger": 0}, "spread_home_line": 6.5, "total_line": 50.5}, "market_type": "spread", "model_version": "cfb-spread-v1", "observed_at_utc": "2026-10-03T10:53:30.577635+00:00", "probabilities": {"away": 0.080867, "home": 0.919133, "push": 0.0}, "replay_scope": "Full precision score means, exact engine parameters and original RNG state; upstream feature construction not certified.", "schema": "cfb-joint-replay-v1", "snapshot_hash": "2e8b351551afcbe695a646f5d1cee1f0adbb085f526872e660c054aea52e87b8", "sport": "NCAAF"}</t>
        </is>
      </c>
    </row>
    <row r="697" ht="36" customHeight="1">
      <c r="A697" s="24" t="inlineStr">
        <is>
          <t>f4722fb4c5a84732</t>
        </is>
      </c>
      <c r="B697" s="24" t="inlineStr">
        <is>
          <t>2026-10-03T10:53:30.577635Z</t>
        </is>
      </c>
      <c r="C697" s="24" t="inlineStr">
        <is>
          <t>2026-10-03T16:00Z</t>
        </is>
      </c>
      <c r="D697" s="24" t="inlineStr">
        <is>
          <t>401858252</t>
        </is>
      </c>
      <c r="E697" s="24" t="inlineStr">
        <is>
          <t>NCAAF</t>
        </is>
      </c>
      <c r="F697" s="24" t="inlineStr">
        <is>
          <t>Syracuse Orange</t>
        </is>
      </c>
      <c r="G697" s="24" t="inlineStr">
        <is>
          <t>UConn Huskies</t>
        </is>
      </c>
      <c r="H697" s="24" t="inlineStr">
        <is>
          <t>total</t>
        </is>
      </c>
      <c r="I697" s="24" t="inlineStr">
        <is>
          <t>over</t>
        </is>
      </c>
      <c r="J697" s="25" t="n">
        <v>50.5</v>
      </c>
      <c r="K697" s="24" t="inlineStr">
        <is>
          <t>espn_consensus</t>
        </is>
      </c>
      <c r="L697" s="26" t="n">
        <v>-108</v>
      </c>
      <c r="M697" s="27" t="n">
        <v>1.925926</v>
      </c>
      <c r="N697" s="28" t="n">
        <v>0.519231</v>
      </c>
      <c r="O697" s="28" t="n">
        <v>0.5422</v>
      </c>
      <c r="P697" s="28" t="n">
        <v>0.18</v>
      </c>
      <c r="Q697" s="28" t="n">
        <v>0.022969</v>
      </c>
      <c r="R697" s="26" t="n">
        <v>0</v>
      </c>
      <c r="S697" s="29" t="n">
        <v>1</v>
      </c>
      <c r="T697" s="24" t="inlineStr">
        <is>
          <t>cfb-total-v1</t>
        </is>
      </c>
      <c r="U697" s="24" t="inlineStr">
        <is>
          <t>settled</t>
        </is>
      </c>
      <c r="V697" s="24" t="inlineStr">
        <is>
          <t>win</t>
        </is>
      </c>
      <c r="W697" s="26" t="n">
        <v>42</v>
      </c>
      <c r="X697" s="26" t="n">
        <v>41</v>
      </c>
      <c r="Y697" s="25" t="n"/>
      <c r="Z697" s="26" t="n"/>
      <c r="AA697" s="28" t="n"/>
      <c r="AB697" s="28" t="n"/>
      <c r="AC697" s="30" t="n">
        <v>0.9258999999999999</v>
      </c>
      <c r="AD697" s="24" t="inlineStr">
        <is>
          <t>2026-10-03T22:00:32.379032Z</t>
        </is>
      </c>
      <c r="AE697" s="31" t="inlineStr">
        <is>
          <t>Projected total 54.3 pts (Weather adj: +0.0 pts). Total line 50.5 -&gt; P(Over)=0.542, P(Under)=0.458, P(Push)=0.000.</t>
        </is>
      </c>
      <c r="AF697" s="31" t="inlineStr">
        <is>
          <t>College football model; multi-market (moneyline, spread, total).</t>
        </is>
      </c>
      <c r="AG697" s="24" t="inlineStr">
        <is>
          <t>not_applicable</t>
        </is>
      </c>
      <c r="AH697" s="24" t="n"/>
      <c r="AI697" s="31" t="n"/>
      <c r="AJ697" s="31" t="n"/>
      <c r="AK697" s="24" t="inlineStr">
        <is>
          <t>paper_call</t>
        </is>
      </c>
      <c r="AL697" s="26" t="n">
        <v>4</v>
      </c>
      <c r="AM697" s="24" t="inlineStr">
        <is>
          <t>RESEARCH_OBSERVATION</t>
        </is>
      </c>
      <c r="AN697" s="24" t="inlineStr">
        <is>
          <t>CALL</t>
        </is>
      </c>
      <c r="AO697" s="24" t="inlineStr">
        <is>
          <t>PAPER_CALL_LOW_EDGE</t>
        </is>
      </c>
      <c r="AP697" s="24" t="inlineStr">
        <is>
          <t>Syracuse Orange</t>
        </is>
      </c>
      <c r="AQ697" s="24" t="inlineStr">
        <is>
          <t>Syracuse Orange</t>
        </is>
      </c>
      <c r="AR697" s="24" t="inlineStr">
        <is>
          <t>Syracuse Orange</t>
        </is>
      </c>
      <c r="AS697" s="24" t="inlineStr">
        <is>
          <t>UConn Huskies</t>
        </is>
      </c>
      <c r="AT697" s="24" t="inlineStr">
        <is>
          <t>UConn Huskies</t>
        </is>
      </c>
      <c r="AU697" s="24" t="inlineStr">
        <is>
          <t>UConn Huskies</t>
        </is>
      </c>
      <c r="AV697" s="24" t="n"/>
      <c r="AW697" s="24" t="n"/>
      <c r="AX697" s="24" t="inlineStr">
        <is>
          <t>statistical_model</t>
        </is>
      </c>
      <c r="AY697" s="24" t="n"/>
      <c r="AZ697" s="24" t="inlineStr">
        <is>
          <t>shadow_qualified</t>
        </is>
      </c>
      <c r="BA697" s="24" t="inlineStr">
        <is>
          <t>1d168f11d221cd3c</t>
        </is>
      </c>
      <c r="BB697" s="24" t="inlineStr">
        <is>
          <t>cfb_key_number_engine</t>
        </is>
      </c>
      <c r="BC697" s="24" t="inlineStr">
        <is>
          <t>cfb-total-v1</t>
        </is>
      </c>
      <c r="BD697" s="24" t="inlineStr">
        <is>
          <t>1d168f11d221cd3c</t>
        </is>
      </c>
      <c r="BE697" s="24" t="inlineStr">
        <is>
          <t>cfb-v1</t>
        </is>
      </c>
      <c r="BF697" s="24" t="inlineStr">
        <is>
          <t>1</t>
        </is>
      </c>
      <c r="BG697" s="24" t="inlineStr">
        <is>
          <t>1d168f11d221cd3c</t>
        </is>
      </c>
      <c r="BH697" s="24" t="inlineStr">
        <is>
          <t>2026-10-03T10:53:30.577635+00:00</t>
        </is>
      </c>
      <c r="BI697" s="24" t="inlineStr">
        <is>
          <t>["same_event","same_team_same_day","same_league_same_day"]</t>
        </is>
      </c>
      <c r="BJ697" s="25" t="n">
        <v>50.5</v>
      </c>
      <c r="BK697" s="26" t="n">
        <v>-108</v>
      </c>
      <c r="BL697" s="27" t="n">
        <v>1.925926</v>
      </c>
      <c r="BM697" s="28" t="n">
        <v>0.519231</v>
      </c>
      <c r="BN697" s="28" t="n"/>
      <c r="BO697" s="28" t="n"/>
      <c r="BP697" s="25" t="n"/>
      <c r="BQ697" s="27" t="n"/>
      <c r="BR697" s="28" t="n"/>
      <c r="BS697" s="28" t="n"/>
      <c r="BT697" s="28" t="n"/>
      <c r="BU697" s="25" t="n"/>
      <c r="BV697" s="29" t="n"/>
      <c r="BW697" s="24" t="n"/>
      <c r="BX697" s="30" t="n">
        <v>1</v>
      </c>
      <c r="BY697" s="27" t="n">
        <v>0.925926</v>
      </c>
      <c r="BZ697" s="24" t="inlineStr">
        <is>
          <t>2026-10-03T22:00:32.379032Z</t>
        </is>
      </c>
      <c r="CA697" s="31" t="inlineStr">
        <is>
          <t>fixed one-unit hypothetical scoring; no real exposure or execution</t>
        </is>
      </c>
      <c r="CB697" s="24" t="n"/>
      <c r="CC697" s="24" t="n"/>
      <c r="CD697" s="24" t="n"/>
      <c r="CE697" s="24" t="n"/>
      <c r="CF697" s="24" t="n"/>
      <c r="CG697" s="24" t="n"/>
      <c r="CH697" s="24" t="n"/>
      <c r="CI697" s="24" t="n"/>
      <c r="CJ697" s="24" t="n"/>
      <c r="CK697" s="24" t="n"/>
      <c r="CL697" s="24" t="n"/>
      <c r="CM697" s="24" t="n"/>
      <c r="CN697" s="24" t="n"/>
      <c r="CO697" s="24" t="n"/>
      <c r="CP697" s="24" t="n"/>
      <c r="CQ697" s="24" t="n"/>
      <c r="CR697" s="24" t="n"/>
      <c r="CS697" s="24" t="inlineStr">
        <is>
          <t>True</t>
        </is>
      </c>
      <c r="CT697" s="24" t="n"/>
      <c r="CU697" s="24" t="n"/>
      <c r="CV697" s="24" t="n"/>
      <c r="CW697" s="24" t="n"/>
      <c r="CX697" s="24" t="n"/>
      <c r="CY697" s="24" t="n"/>
      <c r="CZ697" s="24" t="n"/>
      <c r="DA697" s="24" t="n"/>
      <c r="DB697" s="24" t="n"/>
      <c r="DC697" s="24" t="n"/>
      <c r="DD697" s="24" t="n"/>
      <c r="DE697" s="24" t="n"/>
      <c r="DF697" s="24" t="n"/>
      <c r="DG697" s="24" t="n"/>
      <c r="DH697" s="24" t="n"/>
      <c r="DI697" s="24" t="n"/>
      <c r="DJ697" s="24" t="inlineStr">
        <is>
          <t>0.519231</t>
        </is>
      </c>
      <c r="DK697" s="24" t="n"/>
      <c r="DL697" s="24" t="n"/>
      <c r="DM697" s="24" t="n"/>
      <c r="DN697" s="24" t="n"/>
      <c r="DO697" s="24" t="n"/>
      <c r="DP697" s="24" t="n"/>
      <c r="DQ697" s="24" t="inlineStr">
        <is>
          <t>{"artifact_hash": "1d168f11d221cd3c", "event_id": "401858252", "event_start_utc": "2026-10-03T16:00Z", "features": {"altitude_fatigue_penalty": 0.0, "away_team": "Syracuse Orange", "efficiency_gap": -0.112, "elo_away": 1202.1, "elo_home": 1622.7, "elo_home_win_prob": 0.9424, "event_id": "401858252", "game_start_utc": "2026-10-03T16:00Z", "home_field_advantage_points": 2.8, "home_team": "UConn Huskies", "is_dome": false, "is_fbs_vs_fcs": false, "is_neutral_site": false, "projected_away_points": 17.2, "projected_home_points": 37.1, "projected_margin_home": 19.8, "projected_possessions": 12.4, "projected_total": 54.3, "stadium_elevation_ft": 43, "travel_distance_miles": 200.0, "uncertainty": 0.18, "weather_total_adjustment": 0.0}, "historical_source_observation_times_verified": false, "inference_inputs": {"engine_source_sha256": "449ba2f0e86fa9c445730076a0e0bf100fb4914620be53c75c6f3bfe24298f3f", "mu_away": 17.2, "mu_home": 37.1,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73704617150705153499124827172543712798}, "uinteger": 0}, "spread_home_line": 6.5, "total_line": 50.5}, "market_type": "total", "model_version": "cfb-total-v1", "observed_at_utc": "2026-10-03T10:53:30.577635+00:00", "probabilities": {"over": 0.5422, "push": 0.0, "under": 0.4578}, "replay_scope": "Full precision score means, exact engine parameters and original RNG state; upstream feature construction not certified.", "schema": "cfb-joint-replay-v1", "snapshot_hash": "ca587d12a699d63c25781c38a24c456576e9ee8d19f70f409d15f0319847b7ff", "sport": "NCAAF"}</t>
        </is>
      </c>
    </row>
    <row r="698" ht="36" customHeight="1">
      <c r="A698" s="24" t="inlineStr">
        <is>
          <t>6f5dfd0e5062478e</t>
        </is>
      </c>
      <c r="B698" s="24" t="inlineStr">
        <is>
          <t>2026-10-03T10:53:30.577635Z</t>
        </is>
      </c>
      <c r="C698" s="24" t="inlineStr">
        <is>
          <t>2026-10-03T16:00Z</t>
        </is>
      </c>
      <c r="D698" s="24" t="inlineStr">
        <is>
          <t>401858474</t>
        </is>
      </c>
      <c r="E698" s="24" t="inlineStr">
        <is>
          <t>NCAAF</t>
        </is>
      </c>
      <c r="F698" s="24" t="inlineStr">
        <is>
          <t>Michigan Wolverines</t>
        </is>
      </c>
      <c r="G698" s="24" t="inlineStr">
        <is>
          <t>Minnesota Golden Gophers</t>
        </is>
      </c>
      <c r="H698" s="24" t="inlineStr">
        <is>
          <t>moneyline</t>
        </is>
      </c>
      <c r="I698" s="24" t="inlineStr">
        <is>
          <t>home</t>
        </is>
      </c>
      <c r="J698" s="25" t="n"/>
      <c r="K698" s="24" t="inlineStr">
        <is>
          <t>espn_consensus</t>
        </is>
      </c>
      <c r="L698" s="26" t="n">
        <v>185</v>
      </c>
      <c r="M698" s="27" t="n">
        <v>2.85</v>
      </c>
      <c r="N698" s="28" t="n">
        <v>0.350877</v>
      </c>
      <c r="O698" s="28" t="n">
        <v>0.518885</v>
      </c>
      <c r="P698" s="28" t="n">
        <v>0.18</v>
      </c>
      <c r="Q698" s="28" t="n">
        <v>0.168008</v>
      </c>
      <c r="R698" s="26" t="n">
        <v>26</v>
      </c>
      <c r="S698" s="29" t="n">
        <v>1</v>
      </c>
      <c r="T698" s="24" t="inlineStr">
        <is>
          <t>college-football-v1</t>
        </is>
      </c>
      <c r="U698" s="24" t="inlineStr">
        <is>
          <t>settled</t>
        </is>
      </c>
      <c r="V698" s="24" t="inlineStr">
        <is>
          <t>win</t>
        </is>
      </c>
      <c r="W698" s="26" t="n">
        <v>14</v>
      </c>
      <c r="X698" s="26" t="n">
        <v>20</v>
      </c>
      <c r="Y698" s="25" t="n"/>
      <c r="Z698" s="26" t="n"/>
      <c r="AA698" s="28" t="n"/>
      <c r="AB698" s="28" t="n"/>
      <c r="AC698" s="30" t="n">
        <v>1.85</v>
      </c>
      <c r="AD698" s="24" t="inlineStr">
        <is>
          <t>2026-10-03T22:00:32.999251Z</t>
        </is>
      </c>
      <c r="AE698" s="31" t="inlineStr">
        <is>
          <t>CFB Joint Model (negative_binomial): proj score Michigan Wolverines 26.5 @ Minnesota Golden Gophers 27.4 (Margin +0.9). Possessions: 12.4, HFA: +2.8 pts.</t>
        </is>
      </c>
      <c r="AF698" s="31" t="inlineStr">
        <is>
          <t>College football model; multi-market (moneyline, spread, total).</t>
        </is>
      </c>
      <c r="AG698" s="24" t="inlineStr">
        <is>
          <t>not_applicable</t>
        </is>
      </c>
      <c r="AH698" s="24" t="n"/>
      <c r="AI698" s="31" t="n"/>
      <c r="AJ698" s="31" t="n"/>
      <c r="AK698" s="24" t="inlineStr">
        <is>
          <t>model_qualified</t>
        </is>
      </c>
      <c r="AL698" s="26" t="n">
        <v>4</v>
      </c>
      <c r="AM698" s="24" t="inlineStr">
        <is>
          <t>QUALIFIED_SHADOW_CALL</t>
        </is>
      </c>
      <c r="AN698" s="24" t="inlineStr">
        <is>
          <t>CALL</t>
        </is>
      </c>
      <c r="AO698" s="24" t="inlineStr">
        <is>
          <t>QUALIFIED</t>
        </is>
      </c>
      <c r="AP698" s="24" t="inlineStr">
        <is>
          <t>Michigan Wolverines</t>
        </is>
      </c>
      <c r="AQ698" s="24" t="inlineStr">
        <is>
          <t>Michigan Wolverines</t>
        </is>
      </c>
      <c r="AR698" s="24" t="inlineStr">
        <is>
          <t>Michigan Wolverines</t>
        </is>
      </c>
      <c r="AS698" s="24" t="inlineStr">
        <is>
          <t>Minnesota Golden Gophers</t>
        </is>
      </c>
      <c r="AT698" s="24" t="inlineStr">
        <is>
          <t>Minnesota Golden Gophers</t>
        </is>
      </c>
      <c r="AU698" s="24" t="inlineStr">
        <is>
          <t>Minnesota Golden Gophers</t>
        </is>
      </c>
      <c r="AV698" s="24" t="n"/>
      <c r="AW698" s="24" t="n"/>
      <c r="AX698" s="24" t="inlineStr">
        <is>
          <t>statistical_model</t>
        </is>
      </c>
      <c r="AY698" s="24" t="n"/>
      <c r="AZ698" s="24" t="inlineStr">
        <is>
          <t>shadow_qualified</t>
        </is>
      </c>
      <c r="BA698" s="24" t="inlineStr">
        <is>
          <t>1d168f11d221cd3c</t>
        </is>
      </c>
      <c r="BB698" s="24" t="inlineStr">
        <is>
          <t>cfb_key_number_engine</t>
        </is>
      </c>
      <c r="BC698" s="24" t="inlineStr">
        <is>
          <t>college-football-v1</t>
        </is>
      </c>
      <c r="BD698" s="24" t="inlineStr">
        <is>
          <t>1d168f11d221cd3c</t>
        </is>
      </c>
      <c r="BE698" s="24" t="inlineStr">
        <is>
          <t>cfb-v1</t>
        </is>
      </c>
      <c r="BF698" s="24" t="inlineStr">
        <is>
          <t>1</t>
        </is>
      </c>
      <c r="BG698" s="24" t="inlineStr">
        <is>
          <t>1d168f11d221cd3c</t>
        </is>
      </c>
      <c r="BH698" s="24" t="inlineStr">
        <is>
          <t>2026-10-03T10:53:30.577635+00:00</t>
        </is>
      </c>
      <c r="BI698" s="24" t="inlineStr">
        <is>
          <t>["same_event","same_team_same_day","same_league_same_day"]</t>
        </is>
      </c>
      <c r="BJ698" s="25" t="n"/>
      <c r="BK698" s="26" t="n">
        <v>185</v>
      </c>
      <c r="BL698" s="27" t="n">
        <v>2.85</v>
      </c>
      <c r="BM698" s="28" t="n">
        <v>0.350877</v>
      </c>
      <c r="BN698" s="28" t="n"/>
      <c r="BO698" s="28" t="n"/>
      <c r="BP698" s="25" t="n"/>
      <c r="BQ698" s="27" t="n"/>
      <c r="BR698" s="28" t="n"/>
      <c r="BS698" s="28" t="n"/>
      <c r="BT698" s="28" t="n"/>
      <c r="BU698" s="25" t="n"/>
      <c r="BV698" s="29" t="n"/>
      <c r="BW698" s="24" t="n"/>
      <c r="BX698" s="30" t="n"/>
      <c r="BY698" s="27" t="n"/>
      <c r="BZ698" s="24" t="n"/>
      <c r="CA698" s="31" t="n"/>
      <c r="CB698" s="24" t="n"/>
      <c r="CC698" s="24" t="n"/>
      <c r="CD698" s="24" t="n"/>
      <c r="CE698" s="24" t="n"/>
      <c r="CF698" s="24" t="n"/>
      <c r="CG698" s="24" t="n"/>
      <c r="CH698" s="24" t="n"/>
      <c r="CI698" s="24" t="n"/>
      <c r="CJ698" s="24" t="n"/>
      <c r="CK698" s="24" t="n"/>
      <c r="CL698" s="24" t="n"/>
      <c r="CM698" s="24" t="n"/>
      <c r="CN698" s="24" t="n"/>
      <c r="CO698" s="24" t="n"/>
      <c r="CP698" s="24" t="n"/>
      <c r="CQ698" s="24" t="n"/>
      <c r="CR698" s="24" t="n"/>
      <c r="CS698" s="24" t="inlineStr">
        <is>
          <t>True</t>
        </is>
      </c>
      <c r="CT698" s="24" t="n"/>
      <c r="CU698" s="24" t="n"/>
      <c r="CV698" s="24" t="n"/>
      <c r="CW698" s="24" t="n"/>
      <c r="CX698" s="24" t="n"/>
      <c r="CY698" s="24" t="n"/>
      <c r="CZ698" s="24" t="n"/>
      <c r="DA698" s="24" t="n"/>
      <c r="DB698" s="24" t="n"/>
      <c r="DC698" s="24" t="n"/>
      <c r="DD698" s="24" t="n"/>
      <c r="DE698" s="24" t="n"/>
      <c r="DF698" s="24" t="n"/>
      <c r="DG698" s="24" t="n"/>
      <c r="DH698" s="24" t="n"/>
      <c r="DI698" s="24" t="n"/>
      <c r="DJ698" s="24" t="inlineStr">
        <is>
          <t>0.350877</t>
        </is>
      </c>
      <c r="DK698" s="24" t="n"/>
      <c r="DL698" s="24" t="n"/>
      <c r="DM698" s="24" t="n"/>
      <c r="DN698" s="24" t="n"/>
      <c r="DO698" s="24" t="n"/>
      <c r="DP698" s="24" t="n"/>
      <c r="DQ698" s="24" t="inlineStr">
        <is>
          <t>{"artifact_hash": "1d168f11d221cd3c", "event_id": "401858474", "event_start_utc": "2026-10-03T16:00Z", "features": {"altitude_fatigue_penalty": 0.0, "away_team": "Michigan Wolverines", "efficiency_gap": 0.315, "elo_away": 1584.3, "elo_home": 1541.0, "elo_home_win_prob": 0.5312, "event_id": "401858474", "game_start_utc": "2026-10-03T16:00Z", "home_field_advantage_points": 2.8, "home_team": "Minnesota Golden Gophers", "is_dome": false, "is_fbs_vs_fcs": false, "is_neutral_site": false, "projected_away_points": 26.5, "projected_home_points": 27.4, "projected_margin_home": 0.9, "projected_possessions": 12.4, "projected_total": 53.9, "stadium_elevation_ft": 840, "travel_distance_miles": 509.0, "uncertainty": 0.18, "weather_total_adjustment": 0.0}, "historical_source_observation_times_verified": false, "inference_inputs": {"engine_source_sha256": "449ba2f0e86fa9c445730076a0e0bf100fb4914620be53c75c6f3bfe24298f3f", "mu_away": 26.5,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252344692747037355243770834399269536541}, "uinteger": 0}, "spread_home_line": 6.0, "total_line": 43.5}, "market_type": "moneyline", "model_version": "college-football-v1", "observed_at_utc": "2026-10-03T10:53:30.577635+00:00", "probabilities": {"away": 0.481115, "home": 0.518885}, "replay_scope": "Full precision score means, exact engine parameters and original RNG state; upstream feature construction not certified.", "schema": "cfb-joint-replay-v1", "snapshot_hash": "0d447e6e2669acf4dbbb729bf68511bc21b58136b87e7dbdd9e9b1715775eb3a", "sport": "NCAAF"}</t>
        </is>
      </c>
    </row>
    <row r="699" ht="36" customHeight="1">
      <c r="A699" s="24" t="inlineStr">
        <is>
          <t>24ca7e7fb2f44bfd</t>
        </is>
      </c>
      <c r="B699" s="24" t="inlineStr">
        <is>
          <t>2026-10-03T10:53:30.577635Z</t>
        </is>
      </c>
      <c r="C699" s="24" t="inlineStr">
        <is>
          <t>2026-10-03T16:00Z</t>
        </is>
      </c>
      <c r="D699" s="24" t="inlineStr">
        <is>
          <t>401858474</t>
        </is>
      </c>
      <c r="E699" s="24" t="inlineStr">
        <is>
          <t>NCAAF</t>
        </is>
      </c>
      <c r="F699" s="24" t="inlineStr">
        <is>
          <t>Michigan Wolverines</t>
        </is>
      </c>
      <c r="G699" s="24" t="inlineStr">
        <is>
          <t>Minnesota Golden Gophers</t>
        </is>
      </c>
      <c r="H699" s="24" t="inlineStr">
        <is>
          <t>spread</t>
        </is>
      </c>
      <c r="I699" s="24" t="inlineStr">
        <is>
          <t>home</t>
        </is>
      </c>
      <c r="J699" s="25" t="n">
        <v>6</v>
      </c>
      <c r="K699" s="24" t="inlineStr">
        <is>
          <t>espn_consensus</t>
        </is>
      </c>
      <c r="L699" s="26" t="n">
        <v>-110</v>
      </c>
      <c r="M699" s="27" t="n">
        <v>1.909091</v>
      </c>
      <c r="N699" s="28" t="n">
        <v>0.52381</v>
      </c>
      <c r="O699" s="28" t="n">
        <v>0.629933</v>
      </c>
      <c r="P699" s="28" t="n">
        <v>0.18</v>
      </c>
      <c r="Q699" s="28" t="n">
        <v>0.106123</v>
      </c>
      <c r="R699" s="26" t="n">
        <v>0</v>
      </c>
      <c r="S699" s="29" t="n">
        <v>1</v>
      </c>
      <c r="T699" s="24" t="inlineStr">
        <is>
          <t>cfb-spread-v1</t>
        </is>
      </c>
      <c r="U699" s="24" t="inlineStr">
        <is>
          <t>settled</t>
        </is>
      </c>
      <c r="V699" s="24" t="inlineStr">
        <is>
          <t>win</t>
        </is>
      </c>
      <c r="W699" s="26" t="n">
        <v>14</v>
      </c>
      <c r="X699" s="26" t="n">
        <v>20</v>
      </c>
      <c r="Y699" s="25" t="n"/>
      <c r="Z699" s="26" t="n"/>
      <c r="AA699" s="28" t="n"/>
      <c r="AB699" s="28" t="n"/>
      <c r="AC699" s="30" t="n">
        <v>0.9091</v>
      </c>
      <c r="AD699" s="24" t="inlineStr">
        <is>
          <t>2026-10-03T22:00:33.610449Z</t>
        </is>
      </c>
      <c r="AE699" s="31" t="inlineStr">
        <is>
          <t>Projected home margin +0.9 pts. Spread: Home +6.0 / Away -6.0 -&gt; P(Away cover)=0.351, P(Home cover)=0.630, P(Push)=0.019.</t>
        </is>
      </c>
      <c r="AF699" s="31" t="inlineStr">
        <is>
          <t>College football model; multi-market (moneyline, spread, total).</t>
        </is>
      </c>
      <c r="AG699" s="24" t="inlineStr">
        <is>
          <t>not_applicable</t>
        </is>
      </c>
      <c r="AH699" s="24" t="n"/>
      <c r="AI699" s="31" t="n"/>
      <c r="AJ699" s="31" t="n"/>
      <c r="AK699" s="24" t="inlineStr">
        <is>
          <t>model_qualified</t>
        </is>
      </c>
      <c r="AL699" s="26" t="n">
        <v>4</v>
      </c>
      <c r="AM699" s="24" t="inlineStr">
        <is>
          <t>QUALIFIED_SHADOW_CALL</t>
        </is>
      </c>
      <c r="AN699" s="24" t="inlineStr">
        <is>
          <t>CALL</t>
        </is>
      </c>
      <c r="AO699" s="24" t="inlineStr">
        <is>
          <t>QUALIFIED</t>
        </is>
      </c>
      <c r="AP699" s="24" t="inlineStr">
        <is>
          <t>Michigan Wolverines</t>
        </is>
      </c>
      <c r="AQ699" s="24" t="inlineStr">
        <is>
          <t>Michigan Wolverines</t>
        </is>
      </c>
      <c r="AR699" s="24" t="inlineStr">
        <is>
          <t>Michigan Wolverines</t>
        </is>
      </c>
      <c r="AS699" s="24" t="inlineStr">
        <is>
          <t>Minnesota Golden Gophers</t>
        </is>
      </c>
      <c r="AT699" s="24" t="inlineStr">
        <is>
          <t>Minnesota Golden Gophers</t>
        </is>
      </c>
      <c r="AU699" s="24" t="inlineStr">
        <is>
          <t>Minnesota Golden Gophers</t>
        </is>
      </c>
      <c r="AV699" s="24" t="n"/>
      <c r="AW699" s="24" t="n"/>
      <c r="AX699" s="24" t="inlineStr">
        <is>
          <t>statistical_model</t>
        </is>
      </c>
      <c r="AY699" s="24" t="n"/>
      <c r="AZ699" s="24" t="inlineStr">
        <is>
          <t>shadow_qualified</t>
        </is>
      </c>
      <c r="BA699" s="24" t="inlineStr">
        <is>
          <t>1d168f11d221cd3c</t>
        </is>
      </c>
      <c r="BB699" s="24" t="inlineStr">
        <is>
          <t>cfb_key_number_engine</t>
        </is>
      </c>
      <c r="BC699" s="24" t="inlineStr">
        <is>
          <t>cfb-spread-v1</t>
        </is>
      </c>
      <c r="BD699" s="24" t="inlineStr">
        <is>
          <t>1d168f11d221cd3c</t>
        </is>
      </c>
      <c r="BE699" s="24" t="inlineStr">
        <is>
          <t>cfb-v1</t>
        </is>
      </c>
      <c r="BF699" s="24" t="inlineStr">
        <is>
          <t>1</t>
        </is>
      </c>
      <c r="BG699" s="24" t="inlineStr">
        <is>
          <t>1d168f11d221cd3c</t>
        </is>
      </c>
      <c r="BH699" s="24" t="inlineStr">
        <is>
          <t>2026-10-03T10:53:30.577635+00:00</t>
        </is>
      </c>
      <c r="BI699" s="24" t="inlineStr">
        <is>
          <t>["same_event","same_team_same_day","same_league_same_day"]</t>
        </is>
      </c>
      <c r="BJ699" s="25" t="n">
        <v>6</v>
      </c>
      <c r="BK699" s="26" t="n">
        <v>-110</v>
      </c>
      <c r="BL699" s="27" t="n">
        <v>1.909091</v>
      </c>
      <c r="BM699" s="28" t="n">
        <v>0.52381</v>
      </c>
      <c r="BN699" s="28" t="n"/>
      <c r="BO699" s="28" t="n"/>
      <c r="BP699" s="25" t="n"/>
      <c r="BQ699" s="27" t="n"/>
      <c r="BR699" s="28" t="n"/>
      <c r="BS699" s="28" t="n"/>
      <c r="BT699" s="28" t="n"/>
      <c r="BU699" s="25" t="n"/>
      <c r="BV699" s="29" t="n"/>
      <c r="BW699" s="24" t="n"/>
      <c r="BX699" s="30" t="n"/>
      <c r="BY699" s="27" t="n"/>
      <c r="BZ699" s="24" t="n"/>
      <c r="CA699" s="31" t="n"/>
      <c r="CB699" s="24" t="n"/>
      <c r="CC699" s="24" t="n"/>
      <c r="CD699" s="24" t="n"/>
      <c r="CE699" s="24" t="n"/>
      <c r="CF699" s="24" t="n"/>
      <c r="CG699" s="24" t="n"/>
      <c r="CH699" s="24" t="n"/>
      <c r="CI699" s="24" t="n"/>
      <c r="CJ699" s="24" t="n"/>
      <c r="CK699" s="24" t="n"/>
      <c r="CL699" s="24" t="n"/>
      <c r="CM699" s="24" t="n"/>
      <c r="CN699" s="24" t="n"/>
      <c r="CO699" s="24" t="n"/>
      <c r="CP699" s="24" t="n"/>
      <c r="CQ699" s="24" t="n"/>
      <c r="CR699" s="24" t="n"/>
      <c r="CS699" s="24" t="inlineStr">
        <is>
          <t>True</t>
        </is>
      </c>
      <c r="CT699" s="24" t="n"/>
      <c r="CU699" s="24" t="n"/>
      <c r="CV699" s="24" t="n"/>
      <c r="CW699" s="24" t="n"/>
      <c r="CX699" s="24" t="n"/>
      <c r="CY699" s="24" t="n"/>
      <c r="CZ699" s="24" t="n"/>
      <c r="DA699" s="24" t="n"/>
      <c r="DB699" s="24" t="n"/>
      <c r="DC699" s="24" t="n"/>
      <c r="DD699" s="24" t="n"/>
      <c r="DE699" s="24" t="n"/>
      <c r="DF699" s="24" t="n"/>
      <c r="DG699" s="24" t="n"/>
      <c r="DH699" s="24" t="n"/>
      <c r="DI699" s="24" t="n"/>
      <c r="DJ699" s="24" t="inlineStr">
        <is>
          <t>0.52381</t>
        </is>
      </c>
      <c r="DK699" s="24" t="n"/>
      <c r="DL699" s="24" t="n"/>
      <c r="DM699" s="24" t="n"/>
      <c r="DN699" s="24" t="n"/>
      <c r="DO699" s="24" t="n"/>
      <c r="DP699" s="24" t="n"/>
      <c r="DQ699" s="24" t="inlineStr">
        <is>
          <t>{"artifact_hash": "1d168f11d221cd3c", "event_id": "401858474", "event_start_utc": "2026-10-03T16:00Z", "features": {"altitude_fatigue_penalty": 0.0, "away_team": "Michigan Wolverines", "efficiency_gap": 0.315, "elo_away": 1584.3, "elo_home": 1541.0, "elo_home_win_prob": 0.5312, "event_id": "401858474", "game_start_utc": "2026-10-03T16:00Z", "home_field_advantage_points": 2.8, "home_team": "Minnesota Golden Gophers", "is_dome": false, "is_fbs_vs_fcs": false, "is_neutral_site": false, "projected_away_points": 26.5, "projected_home_points": 27.4, "projected_margin_home": 0.9, "projected_possessions": 12.4, "projected_total": 53.9, "stadium_elevation_ft": 840, "travel_distance_miles": 509.0, "uncertainty": 0.18, "weather_total_adjustment": 0.0}, "historical_source_observation_times_verified": false, "inference_inputs": {"engine_source_sha256": "449ba2f0e86fa9c445730076a0e0bf100fb4914620be53c75c6f3bfe24298f3f", "mu_away": 26.5,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252344692747037355243770834399269536541}, "uinteger": 0}, "spread_home_line": 6.0, "total_line": 43.5}, "market_type": "spread", "model_version": "cfb-spread-v1", "observed_at_utc": "2026-10-03T10:53:30.577635+00:00", "probabilities": {"away": 0.3514, "home": 0.629933, "push": 0.018667}, "replay_scope": "Full precision score means, exact engine parameters and original RNG state; upstream feature construction not certified.", "schema": "cfb-joint-replay-v1", "snapshot_hash": "223515a0aa06119502a1a62208960708ce289c84b707523cf74ab6c22beec9c6", "sport": "NCAAF"}</t>
        </is>
      </c>
    </row>
    <row r="700" ht="36" customHeight="1">
      <c r="A700" s="24" t="inlineStr">
        <is>
          <t>9cc0ba8ec91b4119</t>
        </is>
      </c>
      <c r="B700" s="24" t="inlineStr">
        <is>
          <t>2026-10-03T10:53:30.577635Z</t>
        </is>
      </c>
      <c r="C700" s="24" t="inlineStr">
        <is>
          <t>2026-10-03T16:00Z</t>
        </is>
      </c>
      <c r="D700" s="24" t="inlineStr">
        <is>
          <t>401858474</t>
        </is>
      </c>
      <c r="E700" s="24" t="inlineStr">
        <is>
          <t>NCAAF</t>
        </is>
      </c>
      <c r="F700" s="24" t="inlineStr">
        <is>
          <t>Michigan Wolverines</t>
        </is>
      </c>
      <c r="G700" s="24" t="inlineStr">
        <is>
          <t>Minnesota Golden Gophers</t>
        </is>
      </c>
      <c r="H700" s="24" t="inlineStr">
        <is>
          <t>total</t>
        </is>
      </c>
      <c r="I700" s="24" t="inlineStr">
        <is>
          <t>over</t>
        </is>
      </c>
      <c r="J700" s="25" t="n">
        <v>43.5</v>
      </c>
      <c r="K700" s="24" t="inlineStr">
        <is>
          <t>espn_consensus</t>
        </is>
      </c>
      <c r="L700" s="26" t="n">
        <v>-105</v>
      </c>
      <c r="M700" s="27" t="n">
        <v>1.952381</v>
      </c>
      <c r="N700" s="28" t="n">
        <v>0.512195</v>
      </c>
      <c r="O700" s="28" t="n">
        <v>0.6352</v>
      </c>
      <c r="P700" s="28" t="n">
        <v>0.18</v>
      </c>
      <c r="Q700" s="28" t="n">
        <v>0.123005</v>
      </c>
      <c r="R700" s="26" t="n">
        <v>4</v>
      </c>
      <c r="S700" s="29" t="n">
        <v>1</v>
      </c>
      <c r="T700" s="24" t="inlineStr">
        <is>
          <t>cfb-total-v1</t>
        </is>
      </c>
      <c r="U700" s="24" t="inlineStr">
        <is>
          <t>settled</t>
        </is>
      </c>
      <c r="V700" s="24" t="inlineStr">
        <is>
          <t>loss</t>
        </is>
      </c>
      <c r="W700" s="26" t="n">
        <v>14</v>
      </c>
      <c r="X700" s="26" t="n">
        <v>20</v>
      </c>
      <c r="Y700" s="25" t="n"/>
      <c r="Z700" s="26" t="n"/>
      <c r="AA700" s="28" t="n"/>
      <c r="AB700" s="28" t="n"/>
      <c r="AC700" s="30" t="n">
        <v>-1</v>
      </c>
      <c r="AD700" s="24" t="inlineStr">
        <is>
          <t>2026-10-03T22:00:34.229709Z</t>
        </is>
      </c>
      <c r="AE700" s="31" t="inlineStr">
        <is>
          <t>Projected total 53.9 pts (Weather adj: +0.0 pts). Total line 43.5 -&gt; P(Over)=0.635, P(Under)=0.365, P(Push)=0.000.</t>
        </is>
      </c>
      <c r="AF700" s="31" t="inlineStr">
        <is>
          <t>College football model; multi-market (moneyline, spread, total).</t>
        </is>
      </c>
      <c r="AG700" s="24" t="inlineStr">
        <is>
          <t>review_required</t>
        </is>
      </c>
      <c r="AH700" s="24" t="n"/>
      <c r="AI700" s="31" t="n"/>
      <c r="AJ700" s="31" t="n"/>
      <c r="AK700" s="24" t="inlineStr">
        <is>
          <t>model_qualified</t>
        </is>
      </c>
      <c r="AL700" s="26" t="n">
        <v>4</v>
      </c>
      <c r="AM700" s="24" t="inlineStr">
        <is>
          <t>QUALIFIED_SHADOW_CALL</t>
        </is>
      </c>
      <c r="AN700" s="24" t="inlineStr">
        <is>
          <t>CALL</t>
        </is>
      </c>
      <c r="AO700" s="24" t="inlineStr">
        <is>
          <t>QUALIFIED</t>
        </is>
      </c>
      <c r="AP700" s="24" t="inlineStr">
        <is>
          <t>Michigan Wolverines</t>
        </is>
      </c>
      <c r="AQ700" s="24" t="inlineStr">
        <is>
          <t>Michigan Wolverines</t>
        </is>
      </c>
      <c r="AR700" s="24" t="inlineStr">
        <is>
          <t>Michigan Wolverines</t>
        </is>
      </c>
      <c r="AS700" s="24" t="inlineStr">
        <is>
          <t>Minnesota Golden Gophers</t>
        </is>
      </c>
      <c r="AT700" s="24" t="inlineStr">
        <is>
          <t>Minnesota Golden Gophers</t>
        </is>
      </c>
      <c r="AU700" s="24" t="inlineStr">
        <is>
          <t>Minnesota Golden Gophers</t>
        </is>
      </c>
      <c r="AV700" s="24" t="n"/>
      <c r="AW700" s="24" t="n"/>
      <c r="AX700" s="24" t="inlineStr">
        <is>
          <t>statistical_model</t>
        </is>
      </c>
      <c r="AY700" s="24" t="n"/>
      <c r="AZ700" s="24" t="inlineStr">
        <is>
          <t>shadow_qualified</t>
        </is>
      </c>
      <c r="BA700" s="24" t="inlineStr">
        <is>
          <t>1d168f11d221cd3c</t>
        </is>
      </c>
      <c r="BB700" s="24" t="inlineStr">
        <is>
          <t>cfb_key_number_engine</t>
        </is>
      </c>
      <c r="BC700" s="24" t="inlineStr">
        <is>
          <t>cfb-total-v1</t>
        </is>
      </c>
      <c r="BD700" s="24" t="inlineStr">
        <is>
          <t>1d168f11d221cd3c</t>
        </is>
      </c>
      <c r="BE700" s="24" t="inlineStr">
        <is>
          <t>cfb-v1</t>
        </is>
      </c>
      <c r="BF700" s="24" t="inlineStr">
        <is>
          <t>1</t>
        </is>
      </c>
      <c r="BG700" s="24" t="inlineStr">
        <is>
          <t>1d168f11d221cd3c</t>
        </is>
      </c>
      <c r="BH700" s="24" t="inlineStr">
        <is>
          <t>2026-10-03T10:53:30.577635+00:00</t>
        </is>
      </c>
      <c r="BI700" s="24" t="inlineStr">
        <is>
          <t>["same_event","same_team_same_day","same_league_same_day"]</t>
        </is>
      </c>
      <c r="BJ700" s="25" t="n">
        <v>43.5</v>
      </c>
      <c r="BK700" s="26" t="n">
        <v>-105</v>
      </c>
      <c r="BL700" s="27" t="n">
        <v>1.952381</v>
      </c>
      <c r="BM700" s="28" t="n">
        <v>0.512195</v>
      </c>
      <c r="BN700" s="28" t="n"/>
      <c r="BO700" s="28" t="n"/>
      <c r="BP700" s="25" t="n"/>
      <c r="BQ700" s="27" t="n"/>
      <c r="BR700" s="28" t="n"/>
      <c r="BS700" s="28" t="n"/>
      <c r="BT700" s="28" t="n"/>
      <c r="BU700" s="25" t="n"/>
      <c r="BV700" s="29" t="n"/>
      <c r="BW700" s="24" t="n"/>
      <c r="BX700" s="30" t="n"/>
      <c r="BY700" s="27" t="n"/>
      <c r="BZ700" s="24" t="n"/>
      <c r="CA700" s="31" t="n"/>
      <c r="CB700" s="24" t="n"/>
      <c r="CC700" s="24" t="n"/>
      <c r="CD700" s="24" t="n"/>
      <c r="CE700" s="24" t="n"/>
      <c r="CF700" s="24" t="n"/>
      <c r="CG700" s="24" t="n"/>
      <c r="CH700" s="24" t="n"/>
      <c r="CI700" s="24" t="n"/>
      <c r="CJ700" s="24" t="n"/>
      <c r="CK700" s="24" t="n"/>
      <c r="CL700" s="24" t="n"/>
      <c r="CM700" s="24" t="n"/>
      <c r="CN700" s="24" t="n"/>
      <c r="CO700" s="24" t="n"/>
      <c r="CP700" s="24" t="n"/>
      <c r="CQ700" s="24" t="n"/>
      <c r="CR700" s="24" t="n"/>
      <c r="CS700" s="24" t="inlineStr">
        <is>
          <t>True</t>
        </is>
      </c>
      <c r="CT700" s="24" t="n"/>
      <c r="CU700" s="24" t="n"/>
      <c r="CV700" s="24" t="n"/>
      <c r="CW700" s="24" t="n"/>
      <c r="CX700" s="24" t="n"/>
      <c r="CY700" s="24" t="n"/>
      <c r="CZ700" s="24" t="n"/>
      <c r="DA700" s="24" t="n"/>
      <c r="DB700" s="24" t="n"/>
      <c r="DC700" s="24" t="n"/>
      <c r="DD700" s="24" t="n"/>
      <c r="DE700" s="24" t="n"/>
      <c r="DF700" s="24" t="n"/>
      <c r="DG700" s="24" t="n"/>
      <c r="DH700" s="24" t="n"/>
      <c r="DI700" s="24" t="n"/>
      <c r="DJ700" s="24" t="inlineStr">
        <is>
          <t>0.512195</t>
        </is>
      </c>
      <c r="DK700" s="24" t="n"/>
      <c r="DL700" s="24" t="n"/>
      <c r="DM700" s="24" t="n"/>
      <c r="DN700" s="24" t="n"/>
      <c r="DO700" s="24" t="n"/>
      <c r="DP700" s="24" t="n"/>
      <c r="DQ700" s="24" t="inlineStr">
        <is>
          <t>{"artifact_hash": "1d168f11d221cd3c", "event_id": "401858474", "event_start_utc": "2026-10-03T16:00Z", "features": {"altitude_fatigue_penalty": 0.0, "away_team": "Michigan Wolverines", "efficiency_gap": 0.315, "elo_away": 1584.3, "elo_home": 1541.0, "elo_home_win_prob": 0.5312, "event_id": "401858474", "game_start_utc": "2026-10-03T16:00Z", "home_field_advantage_points": 2.8, "home_team": "Minnesota Golden Gophers", "is_dome": false, "is_fbs_vs_fcs": false, "is_neutral_site": false, "projected_away_points": 26.5, "projected_home_points": 27.4, "projected_margin_home": 0.9, "projected_possessions": 12.4, "projected_total": 53.9, "stadium_elevation_ft": 840, "travel_distance_miles": 509.0, "uncertainty": 0.18, "weather_total_adjustment": 0.0}, "historical_source_observation_times_verified": false, "inference_inputs": {"engine_source_sha256": "449ba2f0e86fa9c445730076a0e0bf100fb4914620be53c75c6f3bfe24298f3f", "mu_away": 26.5, "mu_home": 27.4,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252344692747037355243770834399269536541}, "uinteger": 0}, "spread_home_line": 6.0, "total_line": 43.5}, "market_type": "total", "model_version": "cfb-total-v1", "observed_at_utc": "2026-10-03T10:53:30.577635+00:00", "probabilities": {"over": 0.6352, "push": 0.0, "under": 0.3648}, "replay_scope": "Full precision score means, exact engine parameters and original RNG state; upstream feature construction not certified.", "schema": "cfb-joint-replay-v1", "snapshot_hash": "3b3217eb7259f48840e4cb08281f0915b2179b8c33992696820f96d4d2976e99", "sport": "NCAAF"}</t>
        </is>
      </c>
    </row>
    <row r="701" ht="36" customHeight="1">
      <c r="A701" s="24" t="inlineStr">
        <is>
          <t>9ad625df5fe941b5</t>
        </is>
      </c>
      <c r="B701" s="24" t="inlineStr">
        <is>
          <t>2026-10-03T10:53:30.577635Z</t>
        </is>
      </c>
      <c r="C701" s="24" t="inlineStr">
        <is>
          <t>2026-10-03T16:00Z</t>
        </is>
      </c>
      <c r="D701" s="24" t="inlineStr">
        <is>
          <t>401862791</t>
        </is>
      </c>
      <c r="E701" s="24" t="inlineStr">
        <is>
          <t>NCAAF</t>
        </is>
      </c>
      <c r="F701" s="24" t="inlineStr">
        <is>
          <t>Navy Midshipmen</t>
        </is>
      </c>
      <c r="G701" s="24" t="inlineStr">
        <is>
          <t>Air Force Falcons</t>
        </is>
      </c>
      <c r="H701" s="24" t="inlineStr">
        <is>
          <t>moneyline</t>
        </is>
      </c>
      <c r="I701" s="24" t="inlineStr">
        <is>
          <t>away</t>
        </is>
      </c>
      <c r="J701" s="25" t="n"/>
      <c r="K701" s="24" t="inlineStr">
        <is>
          <t>espn_consensus</t>
        </is>
      </c>
      <c r="L701" s="26" t="n">
        <v>124</v>
      </c>
      <c r="M701" s="27" t="n">
        <v>2.24</v>
      </c>
      <c r="N701" s="28" t="n">
        <v>0.446429</v>
      </c>
      <c r="O701" s="28" t="n">
        <v>0.640875</v>
      </c>
      <c r="P701" s="28" t="n">
        <v>0.18</v>
      </c>
      <c r="Q701" s="28" t="n">
        <v>0.194446</v>
      </c>
      <c r="R701" s="26" t="n">
        <v>39</v>
      </c>
      <c r="S701" s="29" t="n">
        <v>1</v>
      </c>
      <c r="T701" s="24" t="inlineStr">
        <is>
          <t>college-football-v1</t>
        </is>
      </c>
      <c r="U701" s="24" t="inlineStr">
        <is>
          <t>settled</t>
        </is>
      </c>
      <c r="V701" s="24" t="inlineStr">
        <is>
          <t>loss</t>
        </is>
      </c>
      <c r="W701" s="26" t="n">
        <v>9</v>
      </c>
      <c r="X701" s="26" t="n">
        <v>14</v>
      </c>
      <c r="Y701" s="25" t="n"/>
      <c r="Z701" s="26" t="n"/>
      <c r="AA701" s="28" t="n"/>
      <c r="AB701" s="28" t="n"/>
      <c r="AC701" s="30" t="n">
        <v>-1</v>
      </c>
      <c r="AD701" s="24" t="inlineStr">
        <is>
          <t>2026-10-03T22:00:34.911576Z</t>
        </is>
      </c>
      <c r="AE701" s="31" t="inlineStr">
        <is>
          <t>CFB Joint Model (negative_binomial): proj score Navy Midshipmen 30.4 @ Air Force Falcons 23.2 (Margin -7.2). Possessions: 12.4, HFA: +2.8 pts.</t>
        </is>
      </c>
      <c r="AF701" s="31" t="inlineStr">
        <is>
          <t>College football model; multi-market (moneyline, spread, total).</t>
        </is>
      </c>
      <c r="AG701" s="24" t="inlineStr">
        <is>
          <t>review_required</t>
        </is>
      </c>
      <c r="AH701" s="24" t="n"/>
      <c r="AI701" s="31" t="n"/>
      <c r="AJ701" s="31" t="n"/>
      <c r="AK701" s="24" t="inlineStr">
        <is>
          <t>model_qualified</t>
        </is>
      </c>
      <c r="AL701" s="26" t="n">
        <v>4</v>
      </c>
      <c r="AM701" s="24" t="inlineStr">
        <is>
          <t>QUALIFIED_SHADOW_CALL</t>
        </is>
      </c>
      <c r="AN701" s="24" t="inlineStr">
        <is>
          <t>CALL</t>
        </is>
      </c>
      <c r="AO701" s="24" t="inlineStr">
        <is>
          <t>QUALIFIED</t>
        </is>
      </c>
      <c r="AP701" s="24" t="inlineStr">
        <is>
          <t>Navy Midshipmen</t>
        </is>
      </c>
      <c r="AQ701" s="24" t="inlineStr">
        <is>
          <t>Navy Midshipmen</t>
        </is>
      </c>
      <c r="AR701" s="24" t="inlineStr">
        <is>
          <t>Navy Midshipmen</t>
        </is>
      </c>
      <c r="AS701" s="24" t="inlineStr">
        <is>
          <t>Air Force Falcons</t>
        </is>
      </c>
      <c r="AT701" s="24" t="inlineStr">
        <is>
          <t>Air Force Falcons</t>
        </is>
      </c>
      <c r="AU701" s="24" t="inlineStr">
        <is>
          <t>Air Force Falcons</t>
        </is>
      </c>
      <c r="AV701" s="24" t="n"/>
      <c r="AW701" s="24" t="n"/>
      <c r="AX701" s="24" t="inlineStr">
        <is>
          <t>statistical_model</t>
        </is>
      </c>
      <c r="AY701" s="24" t="n"/>
      <c r="AZ701" s="24" t="inlineStr">
        <is>
          <t>shadow_qualified</t>
        </is>
      </c>
      <c r="BA701" s="24" t="inlineStr">
        <is>
          <t>1d168f11d221cd3c</t>
        </is>
      </c>
      <c r="BB701" s="24" t="inlineStr">
        <is>
          <t>cfb_key_number_engine</t>
        </is>
      </c>
      <c r="BC701" s="24" t="inlineStr">
        <is>
          <t>college-football-v1</t>
        </is>
      </c>
      <c r="BD701" s="24" t="inlineStr">
        <is>
          <t>1d168f11d221cd3c</t>
        </is>
      </c>
      <c r="BE701" s="24" t="inlineStr">
        <is>
          <t>cfb-v1</t>
        </is>
      </c>
      <c r="BF701" s="24" t="inlineStr">
        <is>
          <t>1</t>
        </is>
      </c>
      <c r="BG701" s="24" t="inlineStr">
        <is>
          <t>1d168f11d221cd3c</t>
        </is>
      </c>
      <c r="BH701" s="24" t="inlineStr">
        <is>
          <t>2026-10-03T10:53:30.577635+00:00</t>
        </is>
      </c>
      <c r="BI701" s="24" t="inlineStr">
        <is>
          <t>["same_event","same_team_same_day","same_league_same_day"]</t>
        </is>
      </c>
      <c r="BJ701" s="25" t="n"/>
      <c r="BK701" s="26" t="n">
        <v>124</v>
      </c>
      <c r="BL701" s="27" t="n">
        <v>2.24</v>
      </c>
      <c r="BM701" s="28" t="n">
        <v>0.446429</v>
      </c>
      <c r="BN701" s="28" t="n"/>
      <c r="BO701" s="28" t="n"/>
      <c r="BP701" s="25" t="n"/>
      <c r="BQ701" s="27" t="n"/>
      <c r="BR701" s="28" t="n"/>
      <c r="BS701" s="28" t="n"/>
      <c r="BT701" s="28" t="n"/>
      <c r="BU701" s="25" t="n"/>
      <c r="BV701" s="29" t="n"/>
      <c r="BW701" s="24" t="n"/>
      <c r="BX701" s="30" t="n"/>
      <c r="BY701" s="27" t="n"/>
      <c r="BZ701" s="24" t="n"/>
      <c r="CA701" s="31" t="n"/>
      <c r="CB701" s="24" t="n"/>
      <c r="CC701" s="24" t="n"/>
      <c r="CD701" s="24" t="n"/>
      <c r="CE701" s="24" t="n"/>
      <c r="CF701" s="24" t="n"/>
      <c r="CG701" s="24" t="n"/>
      <c r="CH701" s="24" t="n"/>
      <c r="CI701" s="24" t="n"/>
      <c r="CJ701" s="24" t="n"/>
      <c r="CK701" s="24" t="n"/>
      <c r="CL701" s="24" t="n"/>
      <c r="CM701" s="24" t="n"/>
      <c r="CN701" s="24" t="n"/>
      <c r="CO701" s="24" t="n"/>
      <c r="CP701" s="24" t="n"/>
      <c r="CQ701" s="24" t="n"/>
      <c r="CR701" s="24" t="n"/>
      <c r="CS701" s="24" t="inlineStr">
        <is>
          <t>True</t>
        </is>
      </c>
      <c r="CT701" s="24" t="n"/>
      <c r="CU701" s="24" t="n"/>
      <c r="CV701" s="24" t="n"/>
      <c r="CW701" s="24" t="n"/>
      <c r="CX701" s="24" t="n"/>
      <c r="CY701" s="24" t="n"/>
      <c r="CZ701" s="24" t="n"/>
      <c r="DA701" s="24" t="n"/>
      <c r="DB701" s="24" t="n"/>
      <c r="DC701" s="24" t="n"/>
      <c r="DD701" s="24" t="n"/>
      <c r="DE701" s="24" t="n"/>
      <c r="DF701" s="24" t="n"/>
      <c r="DG701" s="24" t="n"/>
      <c r="DH701" s="24" t="n"/>
      <c r="DI701" s="24" t="n"/>
      <c r="DJ701" s="24" t="inlineStr">
        <is>
          <t>0.446429</t>
        </is>
      </c>
      <c r="DK701" s="24" t="n"/>
      <c r="DL701" s="24" t="n"/>
      <c r="DM701" s="24" t="n"/>
      <c r="DN701" s="24" t="n"/>
      <c r="DO701" s="24" t="n"/>
      <c r="DP701" s="24" t="n"/>
      <c r="DQ701" s="24" t="inlineStr">
        <is>
          <t>{"artifact_hash": "1d168f11d221cd3c", "event_id": "401862791", "event_start_utc": "2026-10-03T16:00Z", "features": {"altitude_fatigue_penalty": 1.56, "away_team": "Navy Midshipmen", "efficiency_gap": -0.169, "elo_away": 1678.1, "elo_home": 1436.6, "elo_home_win_prob": 0.2658, "event_id": "401862791", "game_start_utc": "2026-10-03T16:00Z", "home_field_advantage_points": 2.8, "home_team": "Air Force Falcons", "is_dome": false, "is_fbs_vs_fcs": false, "is_neutral_site": false, "projected_away_points": 30.4, "projected_home_points": 23.2, "projected_margin_home": -7.2, "projected_possessions": 12.4, "projected_total": 53.6, "stadium_elevation_ft": 6621, "travel_distance_miles": 1516.0, "uncertainty": 0.18, "weather_total_adjustment": 0.0}, "historical_source_observation_times_verified": false, "inference_inputs": {"engine_source_sha256": "449ba2f0e86fa9c445730076a0e0bf100fb4914620be53c75c6f3bfe24298f3f", "mu_away": 30.4, "mu_home": 23.2,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229138597377270320148573414208421218401}, "uinteger": 0}, "spread_home_line": -3.0, "total_line": 45.5}, "market_type": "moneyline", "model_version": "college-football-v1", "observed_at_utc": "2026-10-03T10:53:30.577635+00:00", "probabilities": {"away": 0.640875, "home": 0.359125}, "replay_scope": "Full precision score means, exact engine parameters and original RNG state; upstream feature construction not certified.", "schema": "cfb-joint-replay-v1", "snapshot_hash": "55ac3d16e20542a4ff88ef78b4b7ad523e7768299fe9570525e038c5b934e5fe", "sport": "NCAAF"}</t>
        </is>
      </c>
    </row>
    <row r="702" ht="36" customHeight="1">
      <c r="A702" s="24" t="inlineStr">
        <is>
          <t>20d8fb29582b496a</t>
        </is>
      </c>
      <c r="B702" s="24" t="inlineStr">
        <is>
          <t>2026-10-03T10:53:30.577635Z</t>
        </is>
      </c>
      <c r="C702" s="24" t="inlineStr">
        <is>
          <t>2026-10-03T16:00Z</t>
        </is>
      </c>
      <c r="D702" s="24" t="inlineStr">
        <is>
          <t>401862791</t>
        </is>
      </c>
      <c r="E702" s="24" t="inlineStr">
        <is>
          <t>NCAAF</t>
        </is>
      </c>
      <c r="F702" s="24" t="inlineStr">
        <is>
          <t>Navy Midshipmen</t>
        </is>
      </c>
      <c r="G702" s="24" t="inlineStr">
        <is>
          <t>Air Force Falcons</t>
        </is>
      </c>
      <c r="H702" s="24" t="inlineStr">
        <is>
          <t>spread</t>
        </is>
      </c>
      <c r="I702" s="24" t="inlineStr">
        <is>
          <t>away</t>
        </is>
      </c>
      <c r="J702" s="25" t="n">
        <v>3</v>
      </c>
      <c r="K702" s="24" t="inlineStr">
        <is>
          <t>espn_consensus</t>
        </is>
      </c>
      <c r="L702" s="26" t="n">
        <v>-115</v>
      </c>
      <c r="M702" s="27" t="n">
        <v>1.869565</v>
      </c>
      <c r="N702" s="28" t="n">
        <v>0.534884</v>
      </c>
      <c r="O702" s="28" t="n">
        <v>0.6888</v>
      </c>
      <c r="P702" s="28" t="n">
        <v>0.18</v>
      </c>
      <c r="Q702" s="28" t="n">
        <v>0.153916</v>
      </c>
      <c r="R702" s="26" t="n">
        <v>19</v>
      </c>
      <c r="S702" s="29" t="n">
        <v>1</v>
      </c>
      <c r="T702" s="24" t="inlineStr">
        <is>
          <t>cfb-spread-v1</t>
        </is>
      </c>
      <c r="U702" s="24" t="inlineStr">
        <is>
          <t>settled</t>
        </is>
      </c>
      <c r="V702" s="24" t="inlineStr">
        <is>
          <t>loss</t>
        </is>
      </c>
      <c r="W702" s="26" t="n">
        <v>9</v>
      </c>
      <c r="X702" s="26" t="n">
        <v>14</v>
      </c>
      <c r="Y702" s="25" t="n"/>
      <c r="Z702" s="26" t="n"/>
      <c r="AA702" s="28" t="n"/>
      <c r="AB702" s="28" t="n"/>
      <c r="AC702" s="30" t="n">
        <v>-1</v>
      </c>
      <c r="AD702" s="24" t="inlineStr">
        <is>
          <t>2026-10-03T22:00:35.470869Z</t>
        </is>
      </c>
      <c r="AE702" s="31" t="inlineStr">
        <is>
          <t>Projected home margin -7.2 pts. Spread: Home -3.0 / Away +3.0 -&gt; P(Away cover)=0.689, P(Home cover)=0.294, P(Push)=0.017.</t>
        </is>
      </c>
      <c r="AF702" s="31" t="inlineStr">
        <is>
          <t>College football model; multi-market (moneyline, spread, total).</t>
        </is>
      </c>
      <c r="AG702" s="24" t="inlineStr">
        <is>
          <t>review_required</t>
        </is>
      </c>
      <c r="AH702" s="24" t="n"/>
      <c r="AI702" s="31" t="n"/>
      <c r="AJ702" s="31" t="n"/>
      <c r="AK702" s="24" t="inlineStr">
        <is>
          <t>model_qualified</t>
        </is>
      </c>
      <c r="AL702" s="26" t="n">
        <v>4</v>
      </c>
      <c r="AM702" s="24" t="inlineStr">
        <is>
          <t>QUALIFIED_SHADOW_CALL</t>
        </is>
      </c>
      <c r="AN702" s="24" t="inlineStr">
        <is>
          <t>CALL</t>
        </is>
      </c>
      <c r="AO702" s="24" t="inlineStr">
        <is>
          <t>QUALIFIED</t>
        </is>
      </c>
      <c r="AP702" s="24" t="inlineStr">
        <is>
          <t>Navy Midshipmen</t>
        </is>
      </c>
      <c r="AQ702" s="24" t="inlineStr">
        <is>
          <t>Navy Midshipmen</t>
        </is>
      </c>
      <c r="AR702" s="24" t="inlineStr">
        <is>
          <t>Navy Midshipmen</t>
        </is>
      </c>
      <c r="AS702" s="24" t="inlineStr">
        <is>
          <t>Air Force Falcons</t>
        </is>
      </c>
      <c r="AT702" s="24" t="inlineStr">
        <is>
          <t>Air Force Falcons</t>
        </is>
      </c>
      <c r="AU702" s="24" t="inlineStr">
        <is>
          <t>Air Force Falcons</t>
        </is>
      </c>
      <c r="AV702" s="24" t="n"/>
      <c r="AW702" s="24" t="n"/>
      <c r="AX702" s="24" t="inlineStr">
        <is>
          <t>statistical_model</t>
        </is>
      </c>
      <c r="AY702" s="24" t="n"/>
      <c r="AZ702" s="24" t="inlineStr">
        <is>
          <t>shadow_qualified</t>
        </is>
      </c>
      <c r="BA702" s="24" t="inlineStr">
        <is>
          <t>1d168f11d221cd3c</t>
        </is>
      </c>
      <c r="BB702" s="24" t="inlineStr">
        <is>
          <t>cfb_key_number_engine</t>
        </is>
      </c>
      <c r="BC702" s="24" t="inlineStr">
        <is>
          <t>cfb-spread-v1</t>
        </is>
      </c>
      <c r="BD702" s="24" t="inlineStr">
        <is>
          <t>1d168f11d221cd3c</t>
        </is>
      </c>
      <c r="BE702" s="24" t="inlineStr">
        <is>
          <t>cfb-v1</t>
        </is>
      </c>
      <c r="BF702" s="24" t="inlineStr">
        <is>
          <t>1</t>
        </is>
      </c>
      <c r="BG702" s="24" t="inlineStr">
        <is>
          <t>1d168f11d221cd3c</t>
        </is>
      </c>
      <c r="BH702" s="24" t="inlineStr">
        <is>
          <t>2026-10-03T10:53:30.577635+00:00</t>
        </is>
      </c>
      <c r="BI702" s="24" t="inlineStr">
        <is>
          <t>["same_event","same_team_same_day","same_league_same_day"]</t>
        </is>
      </c>
      <c r="BJ702" s="25" t="n">
        <v>3</v>
      </c>
      <c r="BK702" s="26" t="n">
        <v>-115</v>
      </c>
      <c r="BL702" s="27" t="n">
        <v>1.869565</v>
      </c>
      <c r="BM702" s="28" t="n">
        <v>0.534884</v>
      </c>
      <c r="BN702" s="28" t="n"/>
      <c r="BO702" s="28" t="n"/>
      <c r="BP702" s="25" t="n"/>
      <c r="BQ702" s="27" t="n"/>
      <c r="BR702" s="28" t="n"/>
      <c r="BS702" s="28" t="n"/>
      <c r="BT702" s="28" t="n"/>
      <c r="BU702" s="25" t="n"/>
      <c r="BV702" s="29" t="n"/>
      <c r="BW702" s="24" t="n"/>
      <c r="BX702" s="30" t="n"/>
      <c r="BY702" s="27" t="n"/>
      <c r="BZ702" s="24" t="n"/>
      <c r="CA702" s="31" t="n"/>
      <c r="CB702" s="24" t="n"/>
      <c r="CC702" s="24" t="n"/>
      <c r="CD702" s="24" t="n"/>
      <c r="CE702" s="24" t="n"/>
      <c r="CF702" s="24" t="n"/>
      <c r="CG702" s="24" t="n"/>
      <c r="CH702" s="24" t="n"/>
      <c r="CI702" s="24" t="n"/>
      <c r="CJ702" s="24" t="n"/>
      <c r="CK702" s="24" t="n"/>
      <c r="CL702" s="24" t="n"/>
      <c r="CM702" s="24" t="n"/>
      <c r="CN702" s="24" t="n"/>
      <c r="CO702" s="24" t="n"/>
      <c r="CP702" s="24" t="n"/>
      <c r="CQ702" s="24" t="n"/>
      <c r="CR702" s="24" t="n"/>
      <c r="CS702" s="24" t="inlineStr">
        <is>
          <t>True</t>
        </is>
      </c>
      <c r="CT702" s="24" t="n"/>
      <c r="CU702" s="24" t="n"/>
      <c r="CV702" s="24" t="n"/>
      <c r="CW702" s="24" t="n"/>
      <c r="CX702" s="24" t="n"/>
      <c r="CY702" s="24" t="n"/>
      <c r="CZ702" s="24" t="n"/>
      <c r="DA702" s="24" t="n"/>
      <c r="DB702" s="24" t="n"/>
      <c r="DC702" s="24" t="n"/>
      <c r="DD702" s="24" t="n"/>
      <c r="DE702" s="24" t="n"/>
      <c r="DF702" s="24" t="n"/>
      <c r="DG702" s="24" t="n"/>
      <c r="DH702" s="24" t="n"/>
      <c r="DI702" s="24" t="n"/>
      <c r="DJ702" s="24" t="inlineStr">
        <is>
          <t>0.534884</t>
        </is>
      </c>
      <c r="DK702" s="24" t="n"/>
      <c r="DL702" s="24" t="n"/>
      <c r="DM702" s="24" t="n"/>
      <c r="DN702" s="24" t="n"/>
      <c r="DO702" s="24" t="n"/>
      <c r="DP702" s="24" t="n"/>
      <c r="DQ702" s="24" t="inlineStr">
        <is>
          <t>{"artifact_hash": "1d168f11d221cd3c", "event_id": "401862791", "event_start_utc": "2026-10-03T16:00Z", "features": {"altitude_fatigue_penalty": 1.56, "away_team": "Navy Midshipmen", "efficiency_gap": -0.169, "elo_away": 1678.1, "elo_home": 1436.6, "elo_home_win_prob": 0.2658, "event_id": "401862791", "game_start_utc": "2026-10-03T16:00Z", "home_field_advantage_points": 2.8, "home_team": "Air Force Falcons", "is_dome": false, "is_fbs_vs_fcs": false, "is_neutral_site": false, "projected_away_points": 30.4, "projected_home_points": 23.2, "projected_margin_home": -7.2, "projected_possessions": 12.4, "projected_total": 53.6, "stadium_elevation_ft": 6621, "travel_distance_miles": 1516.0, "uncertainty": 0.18, "weather_total_adjustment": 0.0}, "historical_source_observation_times_verified": false, "inference_inputs": {"engine_source_sha256": "449ba2f0e86fa9c445730076a0e0bf100fb4914620be53c75c6f3bfe24298f3f", "mu_away": 30.4, "mu_home": 23.2,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229138597377270320148573414208421218401}, "uinteger": 0}, "spread_home_line": -3.0, "total_line": 45.5}, "market_type": "spread", "model_version": "cfb-spread-v1", "observed_at_utc": "2026-10-03T10:53:30.577635+00:00", "probabilities": {"away": 0.6888, "home": 0.294, "push": 0.0172}, "replay_scope": "Full precision score means, exact engine parameters and original RNG state; upstream feature construction not certified.", "schema": "cfb-joint-replay-v1", "snapshot_hash": "d7b067dc70a951527fa84c65eec4a9ed6e24c1e416f87bc254cd633da20863ac", "sport": "NCAAF"}</t>
        </is>
      </c>
    </row>
    <row r="703" ht="36" customHeight="1">
      <c r="A703" s="24" t="inlineStr">
        <is>
          <t>4e7f7f0f861947e6</t>
        </is>
      </c>
      <c r="B703" s="24" t="inlineStr">
        <is>
          <t>2026-10-03T10:53:30.577635Z</t>
        </is>
      </c>
      <c r="C703" s="24" t="inlineStr">
        <is>
          <t>2026-10-03T16:00Z</t>
        </is>
      </c>
      <c r="D703" s="24" t="inlineStr">
        <is>
          <t>401862791</t>
        </is>
      </c>
      <c r="E703" s="24" t="inlineStr">
        <is>
          <t>NCAAF</t>
        </is>
      </c>
      <c r="F703" s="24" t="inlineStr">
        <is>
          <t>Navy Midshipmen</t>
        </is>
      </c>
      <c r="G703" s="24" t="inlineStr">
        <is>
          <t>Air Force Falcons</t>
        </is>
      </c>
      <c r="H703" s="24" t="inlineStr">
        <is>
          <t>total</t>
        </is>
      </c>
      <c r="I703" s="24" t="inlineStr">
        <is>
          <t>over</t>
        </is>
      </c>
      <c r="J703" s="25" t="n">
        <v>45.5</v>
      </c>
      <c r="K703" s="24" t="inlineStr">
        <is>
          <t>espn_consensus</t>
        </is>
      </c>
      <c r="L703" s="26" t="n">
        <v>-105</v>
      </c>
      <c r="M703" s="27" t="n">
        <v>1.952381</v>
      </c>
      <c r="N703" s="28" t="n">
        <v>0.512195</v>
      </c>
      <c r="O703" s="28" t="n">
        <v>0.5974</v>
      </c>
      <c r="P703" s="28" t="n">
        <v>0.18</v>
      </c>
      <c r="Q703" s="28" t="n">
        <v>0.085205</v>
      </c>
      <c r="R703" s="26" t="n">
        <v>0</v>
      </c>
      <c r="S703" s="29" t="n">
        <v>1</v>
      </c>
      <c r="T703" s="24" t="inlineStr">
        <is>
          <t>cfb-total-v1</t>
        </is>
      </c>
      <c r="U703" s="24" t="inlineStr">
        <is>
          <t>settled</t>
        </is>
      </c>
      <c r="V703" s="24" t="inlineStr">
        <is>
          <t>loss</t>
        </is>
      </c>
      <c r="W703" s="26" t="n">
        <v>9</v>
      </c>
      <c r="X703" s="26" t="n">
        <v>14</v>
      </c>
      <c r="Y703" s="25" t="n"/>
      <c r="Z703" s="26" t="n"/>
      <c r="AA703" s="28" t="n"/>
      <c r="AB703" s="28" t="n"/>
      <c r="AC703" s="30" t="n">
        <v>-1</v>
      </c>
      <c r="AD703" s="24" t="inlineStr">
        <is>
          <t>2026-10-03T22:00:36.118734Z</t>
        </is>
      </c>
      <c r="AE703" s="31" t="inlineStr">
        <is>
          <t>Projected total 53.6 pts (Weather adj: +0.0 pts). Total line 45.5 -&gt; P(Over)=0.597, P(Under)=0.403, P(Push)=0.000.</t>
        </is>
      </c>
      <c r="AF703" s="31" t="inlineStr">
        <is>
          <t>College football model; multi-market (moneyline, spread, total).</t>
        </is>
      </c>
      <c r="AG703" s="24" t="inlineStr">
        <is>
          <t>review_required</t>
        </is>
      </c>
      <c r="AH703" s="24" t="n"/>
      <c r="AI703" s="31" t="n"/>
      <c r="AJ703" s="31" t="n"/>
      <c r="AK703" s="24" t="inlineStr">
        <is>
          <t>model_qualified</t>
        </is>
      </c>
      <c r="AL703" s="26" t="n">
        <v>4</v>
      </c>
      <c r="AM703" s="24" t="inlineStr">
        <is>
          <t>QUALIFIED_SHADOW_CALL</t>
        </is>
      </c>
      <c r="AN703" s="24" t="inlineStr">
        <is>
          <t>CALL</t>
        </is>
      </c>
      <c r="AO703" s="24" t="inlineStr">
        <is>
          <t>QUALIFIED</t>
        </is>
      </c>
      <c r="AP703" s="24" t="inlineStr">
        <is>
          <t>Navy Midshipmen</t>
        </is>
      </c>
      <c r="AQ703" s="24" t="inlineStr">
        <is>
          <t>Navy Midshipmen</t>
        </is>
      </c>
      <c r="AR703" s="24" t="inlineStr">
        <is>
          <t>Navy Midshipmen</t>
        </is>
      </c>
      <c r="AS703" s="24" t="inlineStr">
        <is>
          <t>Air Force Falcons</t>
        </is>
      </c>
      <c r="AT703" s="24" t="inlineStr">
        <is>
          <t>Air Force Falcons</t>
        </is>
      </c>
      <c r="AU703" s="24" t="inlineStr">
        <is>
          <t>Air Force Falcons</t>
        </is>
      </c>
      <c r="AV703" s="24" t="n"/>
      <c r="AW703" s="24" t="n"/>
      <c r="AX703" s="24" t="inlineStr">
        <is>
          <t>statistical_model</t>
        </is>
      </c>
      <c r="AY703" s="24" t="n"/>
      <c r="AZ703" s="24" t="inlineStr">
        <is>
          <t>shadow_qualified</t>
        </is>
      </c>
      <c r="BA703" s="24" t="inlineStr">
        <is>
          <t>1d168f11d221cd3c</t>
        </is>
      </c>
      <c r="BB703" s="24" t="inlineStr">
        <is>
          <t>cfb_key_number_engine</t>
        </is>
      </c>
      <c r="BC703" s="24" t="inlineStr">
        <is>
          <t>cfb-total-v1</t>
        </is>
      </c>
      <c r="BD703" s="24" t="inlineStr">
        <is>
          <t>1d168f11d221cd3c</t>
        </is>
      </c>
      <c r="BE703" s="24" t="inlineStr">
        <is>
          <t>cfb-v1</t>
        </is>
      </c>
      <c r="BF703" s="24" t="inlineStr">
        <is>
          <t>1</t>
        </is>
      </c>
      <c r="BG703" s="24" t="inlineStr">
        <is>
          <t>1d168f11d221cd3c</t>
        </is>
      </c>
      <c r="BH703" s="24" t="inlineStr">
        <is>
          <t>2026-10-03T10:53:30.577635+00:00</t>
        </is>
      </c>
      <c r="BI703" s="24" t="inlineStr">
        <is>
          <t>["same_event","same_team_same_day","same_league_same_day"]</t>
        </is>
      </c>
      <c r="BJ703" s="25" t="n">
        <v>45.5</v>
      </c>
      <c r="BK703" s="26" t="n">
        <v>-105</v>
      </c>
      <c r="BL703" s="27" t="n">
        <v>1.952381</v>
      </c>
      <c r="BM703" s="28" t="n">
        <v>0.512195</v>
      </c>
      <c r="BN703" s="28" t="n"/>
      <c r="BO703" s="28" t="n"/>
      <c r="BP703" s="25" t="n"/>
      <c r="BQ703" s="27" t="n"/>
      <c r="BR703" s="28" t="n"/>
      <c r="BS703" s="28" t="n"/>
      <c r="BT703" s="28" t="n"/>
      <c r="BU703" s="25" t="n"/>
      <c r="BV703" s="29" t="n"/>
      <c r="BW703" s="24" t="n"/>
      <c r="BX703" s="30" t="n"/>
      <c r="BY703" s="27" t="n"/>
      <c r="BZ703" s="24" t="n"/>
      <c r="CA703" s="31" t="n"/>
      <c r="CB703" s="24" t="n"/>
      <c r="CC703" s="24" t="n"/>
      <c r="CD703" s="24" t="n"/>
      <c r="CE703" s="24" t="n"/>
      <c r="CF703" s="24" t="n"/>
      <c r="CG703" s="24" t="n"/>
      <c r="CH703" s="24" t="n"/>
      <c r="CI703" s="24" t="n"/>
      <c r="CJ703" s="24" t="n"/>
      <c r="CK703" s="24" t="n"/>
      <c r="CL703" s="24" t="n"/>
      <c r="CM703" s="24" t="n"/>
      <c r="CN703" s="24" t="n"/>
      <c r="CO703" s="24" t="n"/>
      <c r="CP703" s="24" t="n"/>
      <c r="CQ703" s="24" t="n"/>
      <c r="CR703" s="24" t="n"/>
      <c r="CS703" s="24" t="inlineStr">
        <is>
          <t>True</t>
        </is>
      </c>
      <c r="CT703" s="24" t="n"/>
      <c r="CU703" s="24" t="n"/>
      <c r="CV703" s="24" t="n"/>
      <c r="CW703" s="24" t="n"/>
      <c r="CX703" s="24" t="n"/>
      <c r="CY703" s="24" t="n"/>
      <c r="CZ703" s="24" t="n"/>
      <c r="DA703" s="24" t="n"/>
      <c r="DB703" s="24" t="n"/>
      <c r="DC703" s="24" t="n"/>
      <c r="DD703" s="24" t="n"/>
      <c r="DE703" s="24" t="n"/>
      <c r="DF703" s="24" t="n"/>
      <c r="DG703" s="24" t="n"/>
      <c r="DH703" s="24" t="n"/>
      <c r="DI703" s="24" t="n"/>
      <c r="DJ703" s="24" t="inlineStr">
        <is>
          <t>0.512195</t>
        </is>
      </c>
      <c r="DK703" s="24" t="n"/>
      <c r="DL703" s="24" t="n"/>
      <c r="DM703" s="24" t="n"/>
      <c r="DN703" s="24" t="n"/>
      <c r="DO703" s="24" t="n"/>
      <c r="DP703" s="24" t="n"/>
      <c r="DQ703" s="24" t="inlineStr">
        <is>
          <t>{"artifact_hash": "1d168f11d221cd3c", "event_id": "401862791", "event_start_utc": "2026-10-03T16:00Z", "features": {"altitude_fatigue_penalty": 1.56, "away_team": "Navy Midshipmen", "efficiency_gap": -0.169, "elo_away": 1678.1, "elo_home": 1436.6, "elo_home_win_prob": 0.2658, "event_id": "401862791", "game_start_utc": "2026-10-03T16:00Z", "home_field_advantage_points": 2.8, "home_team": "Air Force Falcons", "is_dome": false, "is_fbs_vs_fcs": false, "is_neutral_site": false, "projected_away_points": 30.4, "projected_home_points": 23.2, "projected_margin_home": -7.2, "projected_possessions": 12.4, "projected_total": 53.6, "stadium_elevation_ft": 6621, "travel_distance_miles": 1516.0, "uncertainty": 0.18, "weather_total_adjustment": 0.0}, "historical_source_observation_times_verified": false, "inference_inputs": {"engine_source_sha256": "449ba2f0e86fa9c445730076a0e0bf100fb4914620be53c75c6f3bfe24298f3f", "mu_away": 30.4, "mu_home": 23.2,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229138597377270320148573414208421218401}, "uinteger": 0}, "spread_home_line": -3.0, "total_line": 45.5}, "market_type": "total", "model_version": "cfb-total-v1", "observed_at_utc": "2026-10-03T10:53:30.577635+00:00", "probabilities": {"over": 0.5974, "push": 0.0, "under": 0.4026}, "replay_scope": "Full precision score means, exact engine parameters and original RNG state; upstream feature construction not certified.", "schema": "cfb-joint-replay-v1", "snapshot_hash": "bbc36dc156f03f01736d700c345b842230681bf02ace6211569190eb39f992b0", "sport": "NCAAF"}</t>
        </is>
      </c>
    </row>
    <row r="704" ht="36" customHeight="1">
      <c r="A704" s="24" t="inlineStr">
        <is>
          <t>0212e79470604f0c</t>
        </is>
      </c>
      <c r="B704" s="24" t="inlineStr">
        <is>
          <t>2026-10-03T10:53:30.577635Z</t>
        </is>
      </c>
      <c r="C704" s="24" t="inlineStr">
        <is>
          <t>2026-10-03T16:30Z</t>
        </is>
      </c>
      <c r="D704" s="24" t="inlineStr">
        <is>
          <t>401858479</t>
        </is>
      </c>
      <c r="E704" s="24" t="inlineStr">
        <is>
          <t>NCAAF</t>
        </is>
      </c>
      <c r="F704" s="24" t="inlineStr">
        <is>
          <t>Michigan State Spartans</t>
        </is>
      </c>
      <c r="G704" s="24" t="inlineStr">
        <is>
          <t>Wisconsin Badgers</t>
        </is>
      </c>
      <c r="H704" s="24" t="inlineStr">
        <is>
          <t>moneyline</t>
        </is>
      </c>
      <c r="I704" s="24" t="inlineStr">
        <is>
          <t>away</t>
        </is>
      </c>
      <c r="J704" s="25" t="n"/>
      <c r="K704" s="24" t="inlineStr">
        <is>
          <t>espn_consensus</t>
        </is>
      </c>
      <c r="L704" s="26" t="n">
        <v>285</v>
      </c>
      <c r="M704" s="27" t="n">
        <v>3.85</v>
      </c>
      <c r="N704" s="28" t="n">
        <v>0.25974</v>
      </c>
      <c r="O704" s="28" t="n">
        <v>0.533381</v>
      </c>
      <c r="P704" s="28" t="n">
        <v>0.165</v>
      </c>
      <c r="Q704" s="28" t="n">
        <v>0.273641</v>
      </c>
      <c r="R704" s="26" t="n">
        <v>88</v>
      </c>
      <c r="S704" s="29" t="n">
        <v>1.75</v>
      </c>
      <c r="T704" s="24" t="inlineStr">
        <is>
          <t>college-football-v1</t>
        </is>
      </c>
      <c r="U704" s="24" t="inlineStr">
        <is>
          <t>settled</t>
        </is>
      </c>
      <c r="V704" s="24" t="inlineStr">
        <is>
          <t>loss</t>
        </is>
      </c>
      <c r="W704" s="26" t="n">
        <v>3</v>
      </c>
      <c r="X704" s="26" t="n">
        <v>31</v>
      </c>
      <c r="Y704" s="25" t="n"/>
      <c r="Z704" s="26" t="n"/>
      <c r="AA704" s="28" t="n"/>
      <c r="AB704" s="28" t="n"/>
      <c r="AC704" s="30" t="n">
        <v>-1.75</v>
      </c>
      <c r="AD704" s="24" t="inlineStr">
        <is>
          <t>2026-10-03T22:00:36.827517Z</t>
        </is>
      </c>
      <c r="AE704" s="31" t="inlineStr">
        <is>
          <t>CFB Joint Model (negative_binomial): proj score Michigan State Spartans 27.7 @ Wisconsin Badgers 26.1 (Margin -1.6). Possessions: 12.4, HFA: +2.8 pts.</t>
        </is>
      </c>
      <c r="AF704" s="31" t="inlineStr">
        <is>
          <t>College football model; multi-market (moneyline, spread, total).</t>
        </is>
      </c>
      <c r="AG704" s="24" t="inlineStr">
        <is>
          <t>review_required</t>
        </is>
      </c>
      <c r="AH704" s="24" t="n"/>
      <c r="AI704" s="31" t="n"/>
      <c r="AJ704" s="31" t="n"/>
      <c r="AK704" s="24" t="inlineStr">
        <is>
          <t>model_qualified</t>
        </is>
      </c>
      <c r="AL704" s="26" t="n">
        <v>4</v>
      </c>
      <c r="AM704" s="24" t="inlineStr">
        <is>
          <t>QUALIFIED_SHADOW_CALL</t>
        </is>
      </c>
      <c r="AN704" s="24" t="inlineStr">
        <is>
          <t>CALL</t>
        </is>
      </c>
      <c r="AO704" s="24" t="inlineStr">
        <is>
          <t>QUALIFIED</t>
        </is>
      </c>
      <c r="AP704" s="24" t="inlineStr">
        <is>
          <t>Michigan State Spartans</t>
        </is>
      </c>
      <c r="AQ704" s="24" t="inlineStr">
        <is>
          <t>Michigan State Spartans</t>
        </is>
      </c>
      <c r="AR704" s="24" t="inlineStr">
        <is>
          <t>Michigan State Spartans</t>
        </is>
      </c>
      <c r="AS704" s="24" t="inlineStr">
        <is>
          <t>Wisconsin Badgers</t>
        </is>
      </c>
      <c r="AT704" s="24" t="inlineStr">
        <is>
          <t>Wisconsin Badgers</t>
        </is>
      </c>
      <c r="AU704" s="24" t="inlineStr">
        <is>
          <t>Wisconsin Badgers</t>
        </is>
      </c>
      <c r="AV704" s="24" t="n"/>
      <c r="AW704" s="24" t="n"/>
      <c r="AX704" s="24" t="inlineStr">
        <is>
          <t>statistical_model</t>
        </is>
      </c>
      <c r="AY704" s="24" t="n"/>
      <c r="AZ704" s="24" t="inlineStr">
        <is>
          <t>shadow_qualified</t>
        </is>
      </c>
      <c r="BA704" s="24" t="inlineStr">
        <is>
          <t>1d168f11d221cd3c</t>
        </is>
      </c>
      <c r="BB704" s="24" t="inlineStr">
        <is>
          <t>cfb_key_number_engine</t>
        </is>
      </c>
      <c r="BC704" s="24" t="inlineStr">
        <is>
          <t>college-football-v1</t>
        </is>
      </c>
      <c r="BD704" s="24" t="inlineStr">
        <is>
          <t>1d168f11d221cd3c</t>
        </is>
      </c>
      <c r="BE704" s="24" t="inlineStr">
        <is>
          <t>cfb-v1</t>
        </is>
      </c>
      <c r="BF704" s="24" t="inlineStr">
        <is>
          <t>1</t>
        </is>
      </c>
      <c r="BG704" s="24" t="inlineStr">
        <is>
          <t>1d168f11d221cd3c</t>
        </is>
      </c>
      <c r="BH704" s="24" t="inlineStr">
        <is>
          <t>2026-10-03T10:53:30.577635+00:00</t>
        </is>
      </c>
      <c r="BI704" s="24" t="inlineStr">
        <is>
          <t>["same_event","same_team_same_day","same_league_same_day"]</t>
        </is>
      </c>
      <c r="BJ704" s="25" t="n"/>
      <c r="BK704" s="26" t="n">
        <v>285</v>
      </c>
      <c r="BL704" s="27" t="n">
        <v>3.85</v>
      </c>
      <c r="BM704" s="28" t="n">
        <v>0.25974</v>
      </c>
      <c r="BN704" s="28" t="n"/>
      <c r="BO704" s="28" t="n"/>
      <c r="BP704" s="25" t="n"/>
      <c r="BQ704" s="27" t="n"/>
      <c r="BR704" s="28" t="n"/>
      <c r="BS704" s="28" t="n"/>
      <c r="BT704" s="28" t="n"/>
      <c r="BU704" s="25" t="n"/>
      <c r="BV704" s="29" t="n"/>
      <c r="BW704" s="24" t="n"/>
      <c r="BX704" s="30" t="n"/>
      <c r="BY704" s="27" t="n"/>
      <c r="BZ704" s="24" t="n"/>
      <c r="CA704" s="31" t="n"/>
      <c r="CB704" s="24" t="n"/>
      <c r="CC704" s="24" t="n"/>
      <c r="CD704" s="24" t="n"/>
      <c r="CE704" s="24" t="n"/>
      <c r="CF704" s="24" t="n"/>
      <c r="CG704" s="24" t="n"/>
      <c r="CH704" s="24" t="n"/>
      <c r="CI704" s="24" t="n"/>
      <c r="CJ704" s="24" t="n"/>
      <c r="CK704" s="24" t="n"/>
      <c r="CL704" s="24" t="n"/>
      <c r="CM704" s="24" t="n"/>
      <c r="CN704" s="24" t="n"/>
      <c r="CO704" s="24" t="n"/>
      <c r="CP704" s="24" t="n"/>
      <c r="CQ704" s="24" t="n"/>
      <c r="CR704" s="24" t="n"/>
      <c r="CS704" s="24" t="inlineStr">
        <is>
          <t>True</t>
        </is>
      </c>
      <c r="CT704" s="24" t="n"/>
      <c r="CU704" s="24" t="n"/>
      <c r="CV704" s="24" t="n"/>
      <c r="CW704" s="24" t="n"/>
      <c r="CX704" s="24" t="n"/>
      <c r="CY704" s="24" t="n"/>
      <c r="CZ704" s="24" t="n"/>
      <c r="DA704" s="24" t="n"/>
      <c r="DB704" s="24" t="n"/>
      <c r="DC704" s="24" t="n"/>
      <c r="DD704" s="24" t="n"/>
      <c r="DE704" s="24" t="n"/>
      <c r="DF704" s="24" t="n"/>
      <c r="DG704" s="24" t="n"/>
      <c r="DH704" s="24" t="n"/>
      <c r="DI704" s="24" t="n"/>
      <c r="DJ704" s="24" t="inlineStr">
        <is>
          <t>0.25974</t>
        </is>
      </c>
      <c r="DK704" s="24" t="n"/>
      <c r="DL704" s="24" t="n"/>
      <c r="DM704" s="24" t="n"/>
      <c r="DN704" s="24" t="n"/>
      <c r="DO704" s="24" t="n"/>
      <c r="DP704" s="24" t="n"/>
      <c r="DQ704" s="24" t="inlineStr">
        <is>
          <t>{"artifact_hash": "1d168f11d221cd3c", "event_id": "401858479", "event_start_utc": "2026-10-03T16:30Z", "features": {"altitude_fatigue_penalty": 0.0, "away_team": "Michigan State Spartans", "efficiency_gap": -1.839, "elo_away": 1375.8, "elo_home": 1278.2, "elo_home_win_prob": 0.4532, "event_id": "401858479", "game_start_utc": "2026-10-03T16:30Z", "home_field_advantage_points": 2.8, "home_team": "Wisconsin Badgers", "is_dome": false, "is_fbs_vs_fcs": false, "is_neutral_site": false, "projected_away_points": 27.7, "projected_home_points": 26.1, "projected_margin_home": -1.6, "projected_possessions": 12.4, "projected_total": 53.8, "stadium_elevation_ft": 860, "travel_distance_miles": 251.0, "uncertainty": 0.165, "weather_total_adjustment": 0.0}, "historical_source_observation_times_verified": false, "inference_inputs": {"engine_source_sha256": "449ba2f0e86fa9c445730076a0e0bf100fb4914620be53c75c6f3bfe24298f3f", "mu_away": 27.7, "mu_home": 26.1,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164720406467123016410965155761470946643}, "uinteger": 0}, "spread_home_line": -8.5, "total_line": 43.5}, "market_type": "moneyline", "model_version": "college-football-v1", "observed_at_utc": "2026-10-03T10:53:30.577635+00:00", "probabilities": {"away": 0.533381, "home": 0.466619}, "replay_scope": "Full precision score means, exact engine parameters and original RNG state; upstream feature construction not certified.", "schema": "cfb-joint-replay-v1", "snapshot_hash": "e2acd42ad388c0fed282b2fbce4e702b5d4603d78c1a5fd8adda20ed0098128a", "sport": "NCAAF"}</t>
        </is>
      </c>
    </row>
    <row r="705" ht="36" customHeight="1">
      <c r="A705" s="24" t="inlineStr">
        <is>
          <t>1f7729b0987346f4</t>
        </is>
      </c>
      <c r="B705" s="24" t="inlineStr">
        <is>
          <t>2026-10-03T10:53:30.577635Z</t>
        </is>
      </c>
      <c r="C705" s="24" t="inlineStr">
        <is>
          <t>2026-10-03T16:30Z</t>
        </is>
      </c>
      <c r="D705" s="24" t="inlineStr">
        <is>
          <t>401858479</t>
        </is>
      </c>
      <c r="E705" s="24" t="inlineStr">
        <is>
          <t>NCAAF</t>
        </is>
      </c>
      <c r="F705" s="24" t="inlineStr">
        <is>
          <t>Michigan State Spartans</t>
        </is>
      </c>
      <c r="G705" s="24" t="inlineStr">
        <is>
          <t>Wisconsin Badgers</t>
        </is>
      </c>
      <c r="H705" s="24" t="inlineStr">
        <is>
          <t>spread</t>
        </is>
      </c>
      <c r="I705" s="24" t="inlineStr">
        <is>
          <t>away</t>
        </is>
      </c>
      <c r="J705" s="25" t="n">
        <v>8.5</v>
      </c>
      <c r="K705" s="24" t="inlineStr">
        <is>
          <t>espn_consensus</t>
        </is>
      </c>
      <c r="L705" s="26" t="n">
        <v>-108</v>
      </c>
      <c r="M705" s="27" t="n">
        <v>1.925926</v>
      </c>
      <c r="N705" s="28" t="n">
        <v>0.519231</v>
      </c>
      <c r="O705" s="28" t="n">
        <v>0.702533</v>
      </c>
      <c r="P705" s="28" t="n">
        <v>0.165</v>
      </c>
      <c r="Q705" s="28" t="n">
        <v>0.183302</v>
      </c>
      <c r="R705" s="26" t="n">
        <v>43</v>
      </c>
      <c r="S705" s="29" t="n">
        <v>1</v>
      </c>
      <c r="T705" s="24" t="inlineStr">
        <is>
          <t>cfb-spread-v1</t>
        </is>
      </c>
      <c r="U705" s="24" t="inlineStr">
        <is>
          <t>settled</t>
        </is>
      </c>
      <c r="V705" s="24" t="inlineStr">
        <is>
          <t>loss</t>
        </is>
      </c>
      <c r="W705" s="26" t="n">
        <v>3</v>
      </c>
      <c r="X705" s="26" t="n">
        <v>31</v>
      </c>
      <c r="Y705" s="25" t="n"/>
      <c r="Z705" s="26" t="n"/>
      <c r="AA705" s="28" t="n"/>
      <c r="AB705" s="28" t="n"/>
      <c r="AC705" s="30" t="n">
        <v>-1</v>
      </c>
      <c r="AD705" s="24" t="inlineStr">
        <is>
          <t>2026-10-03T22:00:37.375914Z</t>
        </is>
      </c>
      <c r="AE705" s="31" t="inlineStr">
        <is>
          <t>Projected home margin -1.6 pts. Spread: Home -8.5 / Away +8.5 -&gt; P(Away cover)=0.703, P(Home cover)=0.297, P(Push)=0.000.</t>
        </is>
      </c>
      <c r="AF705" s="31" t="inlineStr">
        <is>
          <t>College football model; multi-market (moneyline, spread, total).</t>
        </is>
      </c>
      <c r="AG705" s="24" t="inlineStr">
        <is>
          <t>review_required</t>
        </is>
      </c>
      <c r="AH705" s="24" t="n"/>
      <c r="AI705" s="31" t="n"/>
      <c r="AJ705" s="31" t="n"/>
      <c r="AK705" s="24" t="inlineStr">
        <is>
          <t>model_qualified</t>
        </is>
      </c>
      <c r="AL705" s="26" t="n">
        <v>4</v>
      </c>
      <c r="AM705" s="24" t="inlineStr">
        <is>
          <t>QUALIFIED_SHADOW_CALL</t>
        </is>
      </c>
      <c r="AN705" s="24" t="inlineStr">
        <is>
          <t>CALL</t>
        </is>
      </c>
      <c r="AO705" s="24" t="inlineStr">
        <is>
          <t>QUALIFIED</t>
        </is>
      </c>
      <c r="AP705" s="24" t="inlineStr">
        <is>
          <t>Michigan State Spartans</t>
        </is>
      </c>
      <c r="AQ705" s="24" t="inlineStr">
        <is>
          <t>Michigan State Spartans</t>
        </is>
      </c>
      <c r="AR705" s="24" t="inlineStr">
        <is>
          <t>Michigan State Spartans</t>
        </is>
      </c>
      <c r="AS705" s="24" t="inlineStr">
        <is>
          <t>Wisconsin Badgers</t>
        </is>
      </c>
      <c r="AT705" s="24" t="inlineStr">
        <is>
          <t>Wisconsin Badgers</t>
        </is>
      </c>
      <c r="AU705" s="24" t="inlineStr">
        <is>
          <t>Wisconsin Badgers</t>
        </is>
      </c>
      <c r="AV705" s="24" t="n"/>
      <c r="AW705" s="24" t="n"/>
      <c r="AX705" s="24" t="inlineStr">
        <is>
          <t>statistical_model</t>
        </is>
      </c>
      <c r="AY705" s="24" t="n"/>
      <c r="AZ705" s="24" t="inlineStr">
        <is>
          <t>shadow_qualified</t>
        </is>
      </c>
      <c r="BA705" s="24" t="inlineStr">
        <is>
          <t>1d168f11d221cd3c</t>
        </is>
      </c>
      <c r="BB705" s="24" t="inlineStr">
        <is>
          <t>cfb_key_number_engine</t>
        </is>
      </c>
      <c r="BC705" s="24" t="inlineStr">
        <is>
          <t>cfb-spread-v1</t>
        </is>
      </c>
      <c r="BD705" s="24" t="inlineStr">
        <is>
          <t>1d168f11d221cd3c</t>
        </is>
      </c>
      <c r="BE705" s="24" t="inlineStr">
        <is>
          <t>cfb-v1</t>
        </is>
      </c>
      <c r="BF705" s="24" t="inlineStr">
        <is>
          <t>1</t>
        </is>
      </c>
      <c r="BG705" s="24" t="inlineStr">
        <is>
          <t>1d168f11d221cd3c</t>
        </is>
      </c>
      <c r="BH705" s="24" t="inlineStr">
        <is>
          <t>2026-10-03T10:53:30.577635+00:00</t>
        </is>
      </c>
      <c r="BI705" s="24" t="inlineStr">
        <is>
          <t>["same_event","same_team_same_day","same_league_same_day"]</t>
        </is>
      </c>
      <c r="BJ705" s="25" t="n">
        <v>8.5</v>
      </c>
      <c r="BK705" s="26" t="n">
        <v>-108</v>
      </c>
      <c r="BL705" s="27" t="n">
        <v>1.925926</v>
      </c>
      <c r="BM705" s="28" t="n">
        <v>0.519231</v>
      </c>
      <c r="BN705" s="28" t="n"/>
      <c r="BO705" s="28" t="n"/>
      <c r="BP705" s="25" t="n"/>
      <c r="BQ705" s="27" t="n"/>
      <c r="BR705" s="28" t="n"/>
      <c r="BS705" s="28" t="n"/>
      <c r="BT705" s="28" t="n"/>
      <c r="BU705" s="25" t="n"/>
      <c r="BV705" s="29" t="n"/>
      <c r="BW705" s="24" t="n"/>
      <c r="BX705" s="30" t="n"/>
      <c r="BY705" s="27" t="n"/>
      <c r="BZ705" s="24" t="n"/>
      <c r="CA705" s="31" t="n"/>
      <c r="CB705" s="24" t="n"/>
      <c r="CC705" s="24" t="n"/>
      <c r="CD705" s="24" t="n"/>
      <c r="CE705" s="24" t="n"/>
      <c r="CF705" s="24" t="n"/>
      <c r="CG705" s="24" t="n"/>
      <c r="CH705" s="24" t="n"/>
      <c r="CI705" s="24" t="n"/>
      <c r="CJ705" s="24" t="n"/>
      <c r="CK705" s="24" t="n"/>
      <c r="CL705" s="24" t="n"/>
      <c r="CM705" s="24" t="n"/>
      <c r="CN705" s="24" t="n"/>
      <c r="CO705" s="24" t="n"/>
      <c r="CP705" s="24" t="n"/>
      <c r="CQ705" s="24" t="n"/>
      <c r="CR705" s="24" t="n"/>
      <c r="CS705" s="24" t="inlineStr">
        <is>
          <t>True</t>
        </is>
      </c>
      <c r="CT705" s="24" t="n"/>
      <c r="CU705" s="24" t="n"/>
      <c r="CV705" s="24" t="n"/>
      <c r="CW705" s="24" t="n"/>
      <c r="CX705" s="24" t="n"/>
      <c r="CY705" s="24" t="n"/>
      <c r="CZ705" s="24" t="n"/>
      <c r="DA705" s="24" t="n"/>
      <c r="DB705" s="24" t="n"/>
      <c r="DC705" s="24" t="n"/>
      <c r="DD705" s="24" t="n"/>
      <c r="DE705" s="24" t="n"/>
      <c r="DF705" s="24" t="n"/>
      <c r="DG705" s="24" t="n"/>
      <c r="DH705" s="24" t="n"/>
      <c r="DI705" s="24" t="n"/>
      <c r="DJ705" s="24" t="inlineStr">
        <is>
          <t>0.519231</t>
        </is>
      </c>
      <c r="DK705" s="24" t="n"/>
      <c r="DL705" s="24" t="n"/>
      <c r="DM705" s="24" t="n"/>
      <c r="DN705" s="24" t="n"/>
      <c r="DO705" s="24" t="n"/>
      <c r="DP705" s="24" t="n"/>
      <c r="DQ705" s="24" t="inlineStr">
        <is>
          <t>{"artifact_hash": "1d168f11d221cd3c", "event_id": "401858479", "event_start_utc": "2026-10-03T16:30Z", "features": {"altitude_fatigue_penalty": 0.0, "away_team": "Michigan State Spartans", "efficiency_gap": -1.839, "elo_away": 1375.8, "elo_home": 1278.2, "elo_home_win_prob": 0.4532, "event_id": "401858479", "game_start_utc": "2026-10-03T16:30Z", "home_field_advantage_points": 2.8, "home_team": "Wisconsin Badgers", "is_dome": false, "is_fbs_vs_fcs": false, "is_neutral_site": false, "projected_away_points": 27.7, "projected_home_points": 26.1, "projected_margin_home": -1.6, "projected_possessions": 12.4, "projected_total": 53.8, "stadium_elevation_ft": 860, "travel_distance_miles": 251.0, "uncertainty": 0.165, "weather_total_adjustment": 0.0}, "historical_source_observation_times_verified": false, "inference_inputs": {"engine_source_sha256": "449ba2f0e86fa9c445730076a0e0bf100fb4914620be53c75c6f3bfe24298f3f", "mu_away": 27.7, "mu_home": 26.1,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164720406467123016410965155761470946643}, "uinteger": 0}, "spread_home_line": -8.5, "total_line": 43.5}, "market_type": "spread", "model_version": "cfb-spread-v1", "observed_at_utc": "2026-10-03T10:53:30.577635+00:00", "probabilities": {"away": 0.702533, "home": 0.297467, "push": 0.0}, "replay_scope": "Full precision score means, exact engine parameters and original RNG state; upstream feature construction not certified.", "schema": "cfb-joint-replay-v1", "snapshot_hash": "07c523f8c5ceefd3be83a6bc8970ed9eca816ed949ad3a24072b81deadcbaaad", "sport": "NCAAF"}</t>
        </is>
      </c>
    </row>
    <row r="706" ht="36" customHeight="1">
      <c r="A706" s="24" t="inlineStr">
        <is>
          <t>74d9bea6ce554cbd</t>
        </is>
      </c>
      <c r="B706" s="24" t="inlineStr">
        <is>
          <t>2026-10-03T10:53:30.577635Z</t>
        </is>
      </c>
      <c r="C706" s="24" t="inlineStr">
        <is>
          <t>2026-10-03T16:30Z</t>
        </is>
      </c>
      <c r="D706" s="24" t="inlineStr">
        <is>
          <t>401858479</t>
        </is>
      </c>
      <c r="E706" s="24" t="inlineStr">
        <is>
          <t>NCAAF</t>
        </is>
      </c>
      <c r="F706" s="24" t="inlineStr">
        <is>
          <t>Michigan State Spartans</t>
        </is>
      </c>
      <c r="G706" s="24" t="inlineStr">
        <is>
          <t>Wisconsin Badgers</t>
        </is>
      </c>
      <c r="H706" s="24" t="inlineStr">
        <is>
          <t>total</t>
        </is>
      </c>
      <c r="I706" s="24" t="inlineStr">
        <is>
          <t>over</t>
        </is>
      </c>
      <c r="J706" s="25" t="n">
        <v>43.5</v>
      </c>
      <c r="K706" s="24" t="inlineStr">
        <is>
          <t>espn_consensus</t>
        </is>
      </c>
      <c r="L706" s="26" t="n">
        <v>-110</v>
      </c>
      <c r="M706" s="27" t="n">
        <v>1.909091</v>
      </c>
      <c r="N706" s="28" t="n">
        <v>0.52381</v>
      </c>
      <c r="O706" s="28" t="n">
        <v>0.6410670000000001</v>
      </c>
      <c r="P706" s="28" t="n">
        <v>0.165</v>
      </c>
      <c r="Q706" s="28" t="n">
        <v>0.117257</v>
      </c>
      <c r="R706" s="26" t="n">
        <v>10</v>
      </c>
      <c r="S706" s="29" t="n">
        <v>1</v>
      </c>
      <c r="T706" s="24" t="inlineStr">
        <is>
          <t>cfb-total-v1</t>
        </is>
      </c>
      <c r="U706" s="24" t="inlineStr">
        <is>
          <t>settled</t>
        </is>
      </c>
      <c r="V706" s="24" t="inlineStr">
        <is>
          <t>loss</t>
        </is>
      </c>
      <c r="W706" s="26" t="n">
        <v>3</v>
      </c>
      <c r="X706" s="26" t="n">
        <v>31</v>
      </c>
      <c r="Y706" s="25" t="n"/>
      <c r="Z706" s="26" t="n"/>
      <c r="AA706" s="28" t="n"/>
      <c r="AB706" s="28" t="n"/>
      <c r="AC706" s="30" t="n">
        <v>-1</v>
      </c>
      <c r="AD706" s="24" t="inlineStr">
        <is>
          <t>2026-10-03T22:00:38.000764Z</t>
        </is>
      </c>
      <c r="AE706" s="31" t="inlineStr">
        <is>
          <t>Projected total 53.8 pts (Weather adj: +0.0 pts). Total line 43.5 -&gt; P(Over)=0.641, P(Under)=0.359, P(Push)=0.000.</t>
        </is>
      </c>
      <c r="AF706" s="31" t="inlineStr">
        <is>
          <t>College football model; multi-market (moneyline, spread, total).</t>
        </is>
      </c>
      <c r="AG706" s="24" t="inlineStr">
        <is>
          <t>review_required</t>
        </is>
      </c>
      <c r="AH706" s="24" t="n"/>
      <c r="AI706" s="31" t="n"/>
      <c r="AJ706" s="31" t="n"/>
      <c r="AK706" s="24" t="inlineStr">
        <is>
          <t>model_qualified</t>
        </is>
      </c>
      <c r="AL706" s="26" t="n">
        <v>4</v>
      </c>
      <c r="AM706" s="24" t="inlineStr">
        <is>
          <t>QUALIFIED_SHADOW_CALL</t>
        </is>
      </c>
      <c r="AN706" s="24" t="inlineStr">
        <is>
          <t>CALL</t>
        </is>
      </c>
      <c r="AO706" s="24" t="inlineStr">
        <is>
          <t>QUALIFIED</t>
        </is>
      </c>
      <c r="AP706" s="24" t="inlineStr">
        <is>
          <t>Michigan State Spartans</t>
        </is>
      </c>
      <c r="AQ706" s="24" t="inlineStr">
        <is>
          <t>Michigan State Spartans</t>
        </is>
      </c>
      <c r="AR706" s="24" t="inlineStr">
        <is>
          <t>Michigan State Spartans</t>
        </is>
      </c>
      <c r="AS706" s="24" t="inlineStr">
        <is>
          <t>Wisconsin Badgers</t>
        </is>
      </c>
      <c r="AT706" s="24" t="inlineStr">
        <is>
          <t>Wisconsin Badgers</t>
        </is>
      </c>
      <c r="AU706" s="24" t="inlineStr">
        <is>
          <t>Wisconsin Badgers</t>
        </is>
      </c>
      <c r="AV706" s="24" t="n"/>
      <c r="AW706" s="24" t="n"/>
      <c r="AX706" s="24" t="inlineStr">
        <is>
          <t>statistical_model</t>
        </is>
      </c>
      <c r="AY706" s="24" t="n"/>
      <c r="AZ706" s="24" t="inlineStr">
        <is>
          <t>shadow_qualified</t>
        </is>
      </c>
      <c r="BA706" s="24" t="inlineStr">
        <is>
          <t>1d168f11d221cd3c</t>
        </is>
      </c>
      <c r="BB706" s="24" t="inlineStr">
        <is>
          <t>cfb_key_number_engine</t>
        </is>
      </c>
      <c r="BC706" s="24" t="inlineStr">
        <is>
          <t>cfb-total-v1</t>
        </is>
      </c>
      <c r="BD706" s="24" t="inlineStr">
        <is>
          <t>1d168f11d221cd3c</t>
        </is>
      </c>
      <c r="BE706" s="24" t="inlineStr">
        <is>
          <t>cfb-v1</t>
        </is>
      </c>
      <c r="BF706" s="24" t="inlineStr">
        <is>
          <t>1</t>
        </is>
      </c>
      <c r="BG706" s="24" t="inlineStr">
        <is>
          <t>1d168f11d221cd3c</t>
        </is>
      </c>
      <c r="BH706" s="24" t="inlineStr">
        <is>
          <t>2026-10-03T10:53:30.577635+00:00</t>
        </is>
      </c>
      <c r="BI706" s="24" t="inlineStr">
        <is>
          <t>["same_event","same_team_same_day","same_league_same_day"]</t>
        </is>
      </c>
      <c r="BJ706" s="25" t="n">
        <v>43.5</v>
      </c>
      <c r="BK706" s="26" t="n">
        <v>-110</v>
      </c>
      <c r="BL706" s="27" t="n">
        <v>1.909091</v>
      </c>
      <c r="BM706" s="28" t="n">
        <v>0.52381</v>
      </c>
      <c r="BN706" s="28" t="n"/>
      <c r="BO706" s="28" t="n"/>
      <c r="BP706" s="25" t="n"/>
      <c r="BQ706" s="27" t="n"/>
      <c r="BR706" s="28" t="n"/>
      <c r="BS706" s="28" t="n"/>
      <c r="BT706" s="28" t="n"/>
      <c r="BU706" s="25" t="n"/>
      <c r="BV706" s="29" t="n"/>
      <c r="BW706" s="24" t="n"/>
      <c r="BX706" s="30" t="n"/>
      <c r="BY706" s="27" t="n"/>
      <c r="BZ706" s="24" t="n"/>
      <c r="CA706" s="31" t="n"/>
      <c r="CB706" s="24" t="n"/>
      <c r="CC706" s="24" t="n"/>
      <c r="CD706" s="24" t="n"/>
      <c r="CE706" s="24" t="n"/>
      <c r="CF706" s="24" t="n"/>
      <c r="CG706" s="24" t="n"/>
      <c r="CH706" s="24" t="n"/>
      <c r="CI706" s="24" t="n"/>
      <c r="CJ706" s="24" t="n"/>
      <c r="CK706" s="24" t="n"/>
      <c r="CL706" s="24" t="n"/>
      <c r="CM706" s="24" t="n"/>
      <c r="CN706" s="24" t="n"/>
      <c r="CO706" s="24" t="n"/>
      <c r="CP706" s="24" t="n"/>
      <c r="CQ706" s="24" t="n"/>
      <c r="CR706" s="24" t="n"/>
      <c r="CS706" s="24" t="inlineStr">
        <is>
          <t>True</t>
        </is>
      </c>
      <c r="CT706" s="24" t="n"/>
      <c r="CU706" s="24" t="n"/>
      <c r="CV706" s="24" t="n"/>
      <c r="CW706" s="24" t="n"/>
      <c r="CX706" s="24" t="n"/>
      <c r="CY706" s="24" t="n"/>
      <c r="CZ706" s="24" t="n"/>
      <c r="DA706" s="24" t="n"/>
      <c r="DB706" s="24" t="n"/>
      <c r="DC706" s="24" t="n"/>
      <c r="DD706" s="24" t="n"/>
      <c r="DE706" s="24" t="n"/>
      <c r="DF706" s="24" t="n"/>
      <c r="DG706" s="24" t="n"/>
      <c r="DH706" s="24" t="n"/>
      <c r="DI706" s="24" t="n"/>
      <c r="DJ706" s="24" t="inlineStr">
        <is>
          <t>0.52381</t>
        </is>
      </c>
      <c r="DK706" s="24" t="n"/>
      <c r="DL706" s="24" t="n"/>
      <c r="DM706" s="24" t="n"/>
      <c r="DN706" s="24" t="n"/>
      <c r="DO706" s="24" t="n"/>
      <c r="DP706" s="24" t="n"/>
      <c r="DQ706" s="24" t="inlineStr">
        <is>
          <t>{"artifact_hash": "1d168f11d221cd3c", "event_id": "401858479", "event_start_utc": "2026-10-03T16:30Z", "features": {"altitude_fatigue_penalty": 0.0, "away_team": "Michigan State Spartans", "efficiency_gap": -1.839, "elo_away": 1375.8, "elo_home": 1278.2, "elo_home_win_prob": 0.4532, "event_id": "401858479", "game_start_utc": "2026-10-03T16:30Z", "home_field_advantage_points": 2.8, "home_team": "Wisconsin Badgers", "is_dome": false, "is_fbs_vs_fcs": false, "is_neutral_site": false, "projected_away_points": 27.7, "projected_home_points": 26.1, "projected_margin_home": -1.6, "projected_possessions": 12.4, "projected_total": 53.8, "stadium_elevation_ft": 860, "travel_distance_miles": 251.0, "uncertainty": 0.165, "weather_total_adjustment": 0.0}, "historical_source_observation_times_verified": false, "inference_inputs": {"engine_source_sha256": "449ba2f0e86fa9c445730076a0e0bf100fb4914620be53c75c6f3bfe24298f3f", "mu_away": 27.7, "mu_home": 26.1,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164720406467123016410965155761470946643}, "uinteger": 0}, "spread_home_line": -8.5, "total_line": 43.5}, "market_type": "total", "model_version": "cfb-total-v1", "observed_at_utc": "2026-10-03T10:53:30.577635+00:00", "probabilities": {"over": 0.641067, "push": 0.0, "under": 0.358933}, "replay_scope": "Full precision score means, exact engine parameters and original RNG state; upstream feature construction not certified.", "schema": "cfb-joint-replay-v1", "snapshot_hash": "58d50bcae7bd3e310ca9ce03dd5c2a750b7effad73b34bd8315feb31bcc3b638", "sport": "NCAAF"}</t>
        </is>
      </c>
    </row>
    <row r="707" ht="36" customHeight="1">
      <c r="A707" s="24" t="inlineStr">
        <is>
          <t>1411f3ec31034543</t>
        </is>
      </c>
      <c r="B707" s="24" t="inlineStr">
        <is>
          <t>2026-10-03T10:53:30.577635Z</t>
        </is>
      </c>
      <c r="C707" s="24" t="inlineStr">
        <is>
          <t>2026-10-03T16:45Z</t>
        </is>
      </c>
      <c r="D707" s="24" t="inlineStr">
        <is>
          <t>401856705</t>
        </is>
      </c>
      <c r="E707" s="24" t="inlineStr">
        <is>
          <t>NCAAF</t>
        </is>
      </c>
      <c r="F707" s="24" t="inlineStr">
        <is>
          <t>Vanderbilt Commodores</t>
        </is>
      </c>
      <c r="G707" s="24" t="inlineStr">
        <is>
          <t>Georgia Bulldogs</t>
        </is>
      </c>
      <c r="H707" s="24" t="inlineStr">
        <is>
          <t>moneyline</t>
        </is>
      </c>
      <c r="I707" s="24" t="inlineStr">
        <is>
          <t>home</t>
        </is>
      </c>
      <c r="J707" s="25" t="n"/>
      <c r="K707" s="24" t="inlineStr">
        <is>
          <t>espn_consensus</t>
        </is>
      </c>
      <c r="L707" s="26" t="n">
        <v>-3200</v>
      </c>
      <c r="M707" s="27" t="n">
        <v>1.03125</v>
      </c>
      <c r="N707" s="28" t="n">
        <v>0.969697</v>
      </c>
      <c r="O707" s="28" t="n">
        <v>0.6546110000000001</v>
      </c>
      <c r="P707" s="28" t="n">
        <v>0.18</v>
      </c>
      <c r="Q707" s="28" t="n">
        <v>-0.315086</v>
      </c>
      <c r="R707" s="26" t="n">
        <v>0</v>
      </c>
      <c r="S707" s="29" t="n">
        <v>1</v>
      </c>
      <c r="T707" s="24" t="inlineStr">
        <is>
          <t>college-football-v1</t>
        </is>
      </c>
      <c r="U707" s="24" t="inlineStr">
        <is>
          <t>settled</t>
        </is>
      </c>
      <c r="V707" s="24" t="inlineStr">
        <is>
          <t>win</t>
        </is>
      </c>
      <c r="W707" s="26" t="n">
        <v>14</v>
      </c>
      <c r="X707" s="26" t="n">
        <v>38</v>
      </c>
      <c r="Y707" s="25" t="n"/>
      <c r="Z707" s="26" t="n"/>
      <c r="AA707" s="28" t="n"/>
      <c r="AB707" s="28" t="n"/>
      <c r="AC707" s="30" t="n">
        <v>0.0312</v>
      </c>
      <c r="AD707" s="24" t="inlineStr">
        <is>
          <t>2026-10-03T22:00:38.681417Z</t>
        </is>
      </c>
      <c r="AE707" s="31" t="inlineStr">
        <is>
          <t>CFB Joint Model (negative_binomial): proj score Vanderbilt Commodores 23.9 @ Georgia Bulldogs 31.3 (Margin +7.4). Possessions: 12.4, HFA: +2.8 pts.</t>
        </is>
      </c>
      <c r="AF707" s="31" t="inlineStr">
        <is>
          <t>College football model; multi-market (moneyline, spread, total).</t>
        </is>
      </c>
      <c r="AG707" s="24" t="inlineStr">
        <is>
          <t>not_applicable</t>
        </is>
      </c>
      <c r="AH707" s="24" t="n"/>
      <c r="AI707" s="31" t="n"/>
      <c r="AJ707" s="31" t="n"/>
      <c r="AK707" s="24" t="inlineStr">
        <is>
          <t>paper_call</t>
        </is>
      </c>
      <c r="AL707" s="26" t="n">
        <v>4</v>
      </c>
      <c r="AM707" s="24" t="inlineStr">
        <is>
          <t>RESEARCH_OBSERVATION</t>
        </is>
      </c>
      <c r="AN707" s="24" t="inlineStr">
        <is>
          <t>CALL</t>
        </is>
      </c>
      <c r="AO707" s="24" t="inlineStr">
        <is>
          <t>PAPER_CALL_LOW_EDGE</t>
        </is>
      </c>
      <c r="AP707" s="24" t="inlineStr">
        <is>
          <t>Vanderbilt Commodores</t>
        </is>
      </c>
      <c r="AQ707" s="24" t="inlineStr">
        <is>
          <t>Vanderbilt Commodores</t>
        </is>
      </c>
      <c r="AR707" s="24" t="inlineStr">
        <is>
          <t>Vanderbilt Commodores</t>
        </is>
      </c>
      <c r="AS707" s="24" t="inlineStr">
        <is>
          <t>Georgia Bulldogs</t>
        </is>
      </c>
      <c r="AT707" s="24" t="inlineStr">
        <is>
          <t>Georgia Bulldogs</t>
        </is>
      </c>
      <c r="AU707" s="24" t="inlineStr">
        <is>
          <t>Georgia Bulldogs</t>
        </is>
      </c>
      <c r="AV707" s="24" t="n"/>
      <c r="AW707" s="24" t="n"/>
      <c r="AX707" s="24" t="inlineStr">
        <is>
          <t>statistical_model</t>
        </is>
      </c>
      <c r="AY707" s="24" t="n"/>
      <c r="AZ707" s="24" t="inlineStr">
        <is>
          <t>shadow_qualified</t>
        </is>
      </c>
      <c r="BA707" s="24" t="inlineStr">
        <is>
          <t>1d168f11d221cd3c</t>
        </is>
      </c>
      <c r="BB707" s="24" t="inlineStr">
        <is>
          <t>cfb_key_number_engine</t>
        </is>
      </c>
      <c r="BC707" s="24" t="inlineStr">
        <is>
          <t>college-football-v1</t>
        </is>
      </c>
      <c r="BD707" s="24" t="inlineStr">
        <is>
          <t>1d168f11d221cd3c</t>
        </is>
      </c>
      <c r="BE707" s="24" t="inlineStr">
        <is>
          <t>cfb-v1</t>
        </is>
      </c>
      <c r="BF707" s="24" t="inlineStr">
        <is>
          <t>1</t>
        </is>
      </c>
      <c r="BG707" s="24" t="inlineStr">
        <is>
          <t>1d168f11d221cd3c</t>
        </is>
      </c>
      <c r="BH707" s="24" t="inlineStr">
        <is>
          <t>2026-10-03T10:53:30.577635+00:00</t>
        </is>
      </c>
      <c r="BI707" s="24" t="inlineStr">
        <is>
          <t>["same_event","same_team_same_day","same_league_same_day"]</t>
        </is>
      </c>
      <c r="BJ707" s="25" t="n"/>
      <c r="BK707" s="26" t="n">
        <v>-3200</v>
      </c>
      <c r="BL707" s="27" t="n">
        <v>1.03125</v>
      </c>
      <c r="BM707" s="28" t="n">
        <v>0.969697</v>
      </c>
      <c r="BN707" s="28" t="n"/>
      <c r="BO707" s="28" t="n"/>
      <c r="BP707" s="25" t="n"/>
      <c r="BQ707" s="27" t="n"/>
      <c r="BR707" s="28" t="n"/>
      <c r="BS707" s="28" t="n"/>
      <c r="BT707" s="28" t="n"/>
      <c r="BU707" s="25" t="n"/>
      <c r="BV707" s="29" t="n"/>
      <c r="BW707" s="24" t="n"/>
      <c r="BX707" s="30" t="n">
        <v>1</v>
      </c>
      <c r="BY707" s="27" t="n">
        <v>0.03125</v>
      </c>
      <c r="BZ707" s="24" t="inlineStr">
        <is>
          <t>2026-10-03T22:00:38.681417Z</t>
        </is>
      </c>
      <c r="CA707" s="31" t="inlineStr">
        <is>
          <t>fixed one-unit hypothetical scoring; no real exposure or execution</t>
        </is>
      </c>
      <c r="CB707" s="24" t="n"/>
      <c r="CC707" s="24" t="n"/>
      <c r="CD707" s="24" t="n"/>
      <c r="CE707" s="24" t="n"/>
      <c r="CF707" s="24" t="n"/>
      <c r="CG707" s="24" t="n"/>
      <c r="CH707" s="24" t="n"/>
      <c r="CI707" s="24" t="n"/>
      <c r="CJ707" s="24" t="n"/>
      <c r="CK707" s="24" t="n"/>
      <c r="CL707" s="24" t="n"/>
      <c r="CM707" s="24" t="n"/>
      <c r="CN707" s="24" t="n"/>
      <c r="CO707" s="24" t="n"/>
      <c r="CP707" s="24" t="n"/>
      <c r="CQ707" s="24" t="n"/>
      <c r="CR707" s="24" t="n"/>
      <c r="CS707" s="24" t="inlineStr">
        <is>
          <t>False</t>
        </is>
      </c>
      <c r="CT707" s="24" t="n"/>
      <c r="CU707" s="24" t="n"/>
      <c r="CV707" s="24" t="n"/>
      <c r="CW707" s="24" t="n"/>
      <c r="CX707" s="24" t="n"/>
      <c r="CY707" s="24" t="n"/>
      <c r="CZ707" s="24" t="n"/>
      <c r="DA707" s="24" t="n"/>
      <c r="DB707" s="24" t="n"/>
      <c r="DC707" s="24" t="n"/>
      <c r="DD707" s="24" t="n"/>
      <c r="DE707" s="24" t="n"/>
      <c r="DF707" s="24" t="n"/>
      <c r="DG707" s="24" t="n"/>
      <c r="DH707" s="24" t="n"/>
      <c r="DI707" s="24" t="n"/>
      <c r="DJ707" s="24" t="inlineStr">
        <is>
          <t>0.969697</t>
        </is>
      </c>
      <c r="DK707" s="24" t="n"/>
      <c r="DL707" s="24" t="n"/>
      <c r="DM707" s="24" t="n"/>
      <c r="DN707" s="24" t="n"/>
      <c r="DO707" s="24" t="n"/>
      <c r="DP707" s="24" t="n"/>
      <c r="DQ707" s="24" t="inlineStr">
        <is>
          <t>{"artifact_hash": "1d168f11d221cd3c", "event_id": "401856705", "event_start_utc": "2026-10-03T16:45Z", "features": {"altitude_fatigue_penalty": 0.0, "away_team": "Vanderbilt Commodores", "efficiency_gap": 0.0, "elo_away": 1680.3, "elo_home": 1795.8, "elo_home_win_prob": 0.7386, "event_id": "401856705", "game_start_utc": "2026-10-03T16:45Z", "home_field_advantage_points": 2.8, "home_team": "Georgia Bulldogs", "is_dome": false, "is_fbs_vs_fcs": false, "is_neutral_site": false, "projected_away_points": 23.9, "projected_home_points": 31.3, "projected_margin_home": 7.4, "projected_possessions": 12.4, "projected_total": 55.3, "stadium_elevation_ft": 760, "travel_distance_miles": 246.0, "uncertainty": 0.18, "weather_total_adjustment": 0.0}, "historical_source_observation_times_verified": false, "inference_inputs": {"engine_source_sha256": "449ba2f0e86fa9c445730076a0e0bf100fb4914620be53c75c6f3bfe24298f3f", "mu_away": 23.9,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326841103007267066345696614275591660684}, "uinteger": 0}, "spread_home_line": -25.5, "total_line": 50.5}, "market_type": "moneyline", "model_version": "college-football-v1", "observed_at_utc": "2026-10-03T10:53:30.577635+00:00", "probabilities": {"away": 0.345389, "home": 0.654611}, "replay_scope": "Full precision score means, exact engine parameters and original RNG state; upstream feature construction not certified.", "schema": "cfb-joint-replay-v1", "snapshot_hash": "cf729fb6f80bdb25dbee2535f992590b21487d5df0966e463d3809a9702302cf", "sport": "NCAAF"}</t>
        </is>
      </c>
    </row>
    <row r="708" ht="36" customHeight="1">
      <c r="A708" s="24" t="inlineStr">
        <is>
          <t>2c9bc8e4bd0a48d5</t>
        </is>
      </c>
      <c r="B708" s="24" t="inlineStr">
        <is>
          <t>2026-10-03T10:53:30.577635Z</t>
        </is>
      </c>
      <c r="C708" s="24" t="inlineStr">
        <is>
          <t>2026-10-03T16:45Z</t>
        </is>
      </c>
      <c r="D708" s="24" t="inlineStr">
        <is>
          <t>401856705</t>
        </is>
      </c>
      <c r="E708" s="24" t="inlineStr">
        <is>
          <t>NCAAF</t>
        </is>
      </c>
      <c r="F708" s="24" t="inlineStr">
        <is>
          <t>Vanderbilt Commodores</t>
        </is>
      </c>
      <c r="G708" s="24" t="inlineStr">
        <is>
          <t>Georgia Bulldogs</t>
        </is>
      </c>
      <c r="H708" s="24" t="inlineStr">
        <is>
          <t>spread</t>
        </is>
      </c>
      <c r="I708" s="24" t="inlineStr">
        <is>
          <t>away</t>
        </is>
      </c>
      <c r="J708" s="25" t="n">
        <v>25.5</v>
      </c>
      <c r="K708" s="24" t="inlineStr">
        <is>
          <t>espn_consensus</t>
        </is>
      </c>
      <c r="L708" s="26" t="n">
        <v>-112</v>
      </c>
      <c r="M708" s="27" t="n">
        <v>1.892857</v>
      </c>
      <c r="N708" s="28" t="n">
        <v>0.528302</v>
      </c>
      <c r="O708" s="28" t="n">
        <v>0.8158</v>
      </c>
      <c r="P708" s="28" t="n">
        <v>0.18</v>
      </c>
      <c r="Q708" s="28" t="n">
        <v>0.287498</v>
      </c>
      <c r="R708" s="26" t="n">
        <v>86</v>
      </c>
      <c r="S708" s="29" t="n">
        <v>1.75</v>
      </c>
      <c r="T708" s="24" t="inlineStr">
        <is>
          <t>cfb-spread-v1</t>
        </is>
      </c>
      <c r="U708" s="24" t="inlineStr">
        <is>
          <t>settled</t>
        </is>
      </c>
      <c r="V708" s="24" t="inlineStr">
        <is>
          <t>win</t>
        </is>
      </c>
      <c r="W708" s="26" t="n">
        <v>14</v>
      </c>
      <c r="X708" s="26" t="n">
        <v>38</v>
      </c>
      <c r="Y708" s="25" t="n"/>
      <c r="Z708" s="26" t="n"/>
      <c r="AA708" s="28" t="n"/>
      <c r="AB708" s="28" t="n"/>
      <c r="AC708" s="30" t="n">
        <v>1.5625</v>
      </c>
      <c r="AD708" s="24" t="inlineStr">
        <is>
          <t>2026-10-03T22:00:39.245548Z</t>
        </is>
      </c>
      <c r="AE708" s="31" t="inlineStr">
        <is>
          <t>Projected home margin +7.4 pts. Spread: Home -25.5 / Away +25.5 -&gt; P(Away cover)=0.816, P(Home cover)=0.184, P(Push)=0.000.</t>
        </is>
      </c>
      <c r="AF708" s="31" t="inlineStr">
        <is>
          <t>College football model; multi-market (moneyline, spread, total).</t>
        </is>
      </c>
      <c r="AG708" s="24" t="inlineStr">
        <is>
          <t>not_applicable</t>
        </is>
      </c>
      <c r="AH708" s="24" t="n"/>
      <c r="AI708" s="31" t="n"/>
      <c r="AJ708" s="31" t="n"/>
      <c r="AK708" s="24" t="inlineStr">
        <is>
          <t>model_qualified</t>
        </is>
      </c>
      <c r="AL708" s="26" t="n">
        <v>4</v>
      </c>
      <c r="AM708" s="24" t="inlineStr">
        <is>
          <t>QUALIFIED_SHADOW_CALL</t>
        </is>
      </c>
      <c r="AN708" s="24" t="inlineStr">
        <is>
          <t>CALL</t>
        </is>
      </c>
      <c r="AO708" s="24" t="inlineStr">
        <is>
          <t>QUALIFIED</t>
        </is>
      </c>
      <c r="AP708" s="24" t="inlineStr">
        <is>
          <t>Vanderbilt Commodores</t>
        </is>
      </c>
      <c r="AQ708" s="24" t="inlineStr">
        <is>
          <t>Vanderbilt Commodores</t>
        </is>
      </c>
      <c r="AR708" s="24" t="inlineStr">
        <is>
          <t>Vanderbilt Commodores</t>
        </is>
      </c>
      <c r="AS708" s="24" t="inlineStr">
        <is>
          <t>Georgia Bulldogs</t>
        </is>
      </c>
      <c r="AT708" s="24" t="inlineStr">
        <is>
          <t>Georgia Bulldogs</t>
        </is>
      </c>
      <c r="AU708" s="24" t="inlineStr">
        <is>
          <t>Georgia Bulldogs</t>
        </is>
      </c>
      <c r="AV708" s="24" t="n"/>
      <c r="AW708" s="24" t="n"/>
      <c r="AX708" s="24" t="inlineStr">
        <is>
          <t>statistical_model</t>
        </is>
      </c>
      <c r="AY708" s="24" t="n"/>
      <c r="AZ708" s="24" t="inlineStr">
        <is>
          <t>shadow_qualified</t>
        </is>
      </c>
      <c r="BA708" s="24" t="inlineStr">
        <is>
          <t>1d168f11d221cd3c</t>
        </is>
      </c>
      <c r="BB708" s="24" t="inlineStr">
        <is>
          <t>cfb_key_number_engine</t>
        </is>
      </c>
      <c r="BC708" s="24" t="inlineStr">
        <is>
          <t>cfb-spread-v1</t>
        </is>
      </c>
      <c r="BD708" s="24" t="inlineStr">
        <is>
          <t>1d168f11d221cd3c</t>
        </is>
      </c>
      <c r="BE708" s="24" t="inlineStr">
        <is>
          <t>cfb-v1</t>
        </is>
      </c>
      <c r="BF708" s="24" t="inlineStr">
        <is>
          <t>1</t>
        </is>
      </c>
      <c r="BG708" s="24" t="inlineStr">
        <is>
          <t>1d168f11d221cd3c</t>
        </is>
      </c>
      <c r="BH708" s="24" t="inlineStr">
        <is>
          <t>2026-10-03T10:53:30.577635+00:00</t>
        </is>
      </c>
      <c r="BI708" s="24" t="inlineStr">
        <is>
          <t>["same_event","same_team_same_day","same_league_same_day"]</t>
        </is>
      </c>
      <c r="BJ708" s="25" t="n">
        <v>25.5</v>
      </c>
      <c r="BK708" s="26" t="n">
        <v>-112</v>
      </c>
      <c r="BL708" s="27" t="n">
        <v>1.892857</v>
      </c>
      <c r="BM708" s="28" t="n">
        <v>0.528302</v>
      </c>
      <c r="BN708" s="28" t="n"/>
      <c r="BO708" s="28" t="n"/>
      <c r="BP708" s="25" t="n"/>
      <c r="BQ708" s="27" t="n"/>
      <c r="BR708" s="28" t="n"/>
      <c r="BS708" s="28" t="n"/>
      <c r="BT708" s="28" t="n"/>
      <c r="BU708" s="25" t="n"/>
      <c r="BV708" s="29" t="n"/>
      <c r="BW708" s="24" t="n"/>
      <c r="BX708" s="30" t="n"/>
      <c r="BY708" s="27" t="n"/>
      <c r="BZ708" s="24" t="n"/>
      <c r="CA708" s="31" t="n"/>
      <c r="CB708" s="24" t="n"/>
      <c r="CC708" s="24" t="n"/>
      <c r="CD708" s="24" t="n"/>
      <c r="CE708" s="24" t="n"/>
      <c r="CF708" s="24" t="n"/>
      <c r="CG708" s="24" t="n"/>
      <c r="CH708" s="24" t="n"/>
      <c r="CI708" s="24" t="n"/>
      <c r="CJ708" s="24" t="n"/>
      <c r="CK708" s="24" t="n"/>
      <c r="CL708" s="24" t="n"/>
      <c r="CM708" s="24" t="n"/>
      <c r="CN708" s="24" t="n"/>
      <c r="CO708" s="24" t="n"/>
      <c r="CP708" s="24" t="n"/>
      <c r="CQ708" s="24" t="n"/>
      <c r="CR708" s="24" t="n"/>
      <c r="CS708" s="24" t="inlineStr">
        <is>
          <t>True</t>
        </is>
      </c>
      <c r="CT708" s="24" t="n"/>
      <c r="CU708" s="24" t="n"/>
      <c r="CV708" s="24" t="n"/>
      <c r="CW708" s="24" t="n"/>
      <c r="CX708" s="24" t="n"/>
      <c r="CY708" s="24" t="n"/>
      <c r="CZ708" s="24" t="n"/>
      <c r="DA708" s="24" t="n"/>
      <c r="DB708" s="24" t="n"/>
      <c r="DC708" s="24" t="n"/>
      <c r="DD708" s="24" t="n"/>
      <c r="DE708" s="24" t="n"/>
      <c r="DF708" s="24" t="n"/>
      <c r="DG708" s="24" t="n"/>
      <c r="DH708" s="24" t="n"/>
      <c r="DI708" s="24" t="n"/>
      <c r="DJ708" s="24" t="inlineStr">
        <is>
          <t>0.528302</t>
        </is>
      </c>
      <c r="DK708" s="24" t="n"/>
      <c r="DL708" s="24" t="n"/>
      <c r="DM708" s="24" t="n"/>
      <c r="DN708" s="24" t="n"/>
      <c r="DO708" s="24" t="n"/>
      <c r="DP708" s="24" t="n"/>
      <c r="DQ708" s="24" t="inlineStr">
        <is>
          <t>{"artifact_hash": "1d168f11d221cd3c", "event_id": "401856705", "event_start_utc": "2026-10-03T16:45Z", "features": {"altitude_fatigue_penalty": 0.0, "away_team": "Vanderbilt Commodores", "efficiency_gap": 0.0, "elo_away": 1680.3, "elo_home": 1795.8, "elo_home_win_prob": 0.7386, "event_id": "401856705", "game_start_utc": "2026-10-03T16:45Z", "home_field_advantage_points": 2.8, "home_team": "Georgia Bulldogs", "is_dome": false, "is_fbs_vs_fcs": false, "is_neutral_site": false, "projected_away_points": 23.9, "projected_home_points": 31.3, "projected_margin_home": 7.4, "projected_possessions": 12.4, "projected_total": 55.3, "stadium_elevation_ft": 760, "travel_distance_miles": 246.0, "uncertainty": 0.18, "weather_total_adjustment": 0.0}, "historical_source_observation_times_verified": false, "inference_inputs": {"engine_source_sha256": "449ba2f0e86fa9c445730076a0e0bf100fb4914620be53c75c6f3bfe24298f3f", "mu_away": 23.9,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326841103007267066345696614275591660684}, "uinteger": 0}, "spread_home_line": -25.5, "total_line": 50.5}, "market_type": "spread", "model_version": "cfb-spread-v1", "observed_at_utc": "2026-10-03T10:53:30.577635+00:00", "probabilities": {"away": 0.8158, "home": 0.1842, "push": 0.0}, "replay_scope": "Full precision score means, exact engine parameters and original RNG state; upstream feature construction not certified.", "schema": "cfb-joint-replay-v1", "snapshot_hash": "246ed9ac15fecfce037e3ade5fc08f284eb7a376a039bfc0f299fcedd9ad3312", "sport": "NCAAF"}</t>
        </is>
      </c>
    </row>
    <row r="709" ht="36" customHeight="1">
      <c r="A709" s="24" t="inlineStr">
        <is>
          <t>c4ad99b6b8204c18</t>
        </is>
      </c>
      <c r="B709" s="24" t="inlineStr">
        <is>
          <t>2026-10-03T10:53:30.577635Z</t>
        </is>
      </c>
      <c r="C709" s="24" t="inlineStr">
        <is>
          <t>2026-10-03T16:45Z</t>
        </is>
      </c>
      <c r="D709" s="24" t="inlineStr">
        <is>
          <t>401856705</t>
        </is>
      </c>
      <c r="E709" s="24" t="inlineStr">
        <is>
          <t>NCAAF</t>
        </is>
      </c>
      <c r="F709" s="24" t="inlineStr">
        <is>
          <t>Vanderbilt Commodores</t>
        </is>
      </c>
      <c r="G709" s="24" t="inlineStr">
        <is>
          <t>Georgia Bulldogs</t>
        </is>
      </c>
      <c r="H709" s="24" t="inlineStr">
        <is>
          <t>total</t>
        </is>
      </c>
      <c r="I709" s="24" t="inlineStr">
        <is>
          <t>over</t>
        </is>
      </c>
      <c r="J709" s="25" t="n">
        <v>50.5</v>
      </c>
      <c r="K709" s="24" t="inlineStr">
        <is>
          <t>espn_consensus</t>
        </is>
      </c>
      <c r="L709" s="26" t="n">
        <v>-115</v>
      </c>
      <c r="M709" s="27" t="n">
        <v>1.869565</v>
      </c>
      <c r="N709" s="28" t="n">
        <v>0.534884</v>
      </c>
      <c r="O709" s="28" t="n">
        <v>0.545667</v>
      </c>
      <c r="P709" s="28" t="n">
        <v>0.18</v>
      </c>
      <c r="Q709" s="28" t="n">
        <v>0.010783</v>
      </c>
      <c r="R709" s="26" t="n">
        <v>0</v>
      </c>
      <c r="S709" s="29" t="n">
        <v>1</v>
      </c>
      <c r="T709" s="24" t="inlineStr">
        <is>
          <t>cfb-total-v1</t>
        </is>
      </c>
      <c r="U709" s="24" t="inlineStr">
        <is>
          <t>settled</t>
        </is>
      </c>
      <c r="V709" s="24" t="inlineStr">
        <is>
          <t>win</t>
        </is>
      </c>
      <c r="W709" s="26" t="n">
        <v>14</v>
      </c>
      <c r="X709" s="26" t="n">
        <v>38</v>
      </c>
      <c r="Y709" s="25" t="n"/>
      <c r="Z709" s="26" t="n"/>
      <c r="AA709" s="28" t="n"/>
      <c r="AB709" s="28" t="n"/>
      <c r="AC709" s="30" t="n">
        <v>0.8696</v>
      </c>
      <c r="AD709" s="24" t="inlineStr">
        <is>
          <t>2026-10-03T22:00:39.925741Z</t>
        </is>
      </c>
      <c r="AE709" s="31" t="inlineStr">
        <is>
          <t>Projected total 55.3 pts (Weather adj: +0.0 pts). Total line 50.5 -&gt; P(Over)=0.546, P(Under)=0.454, P(Push)=0.000.</t>
        </is>
      </c>
      <c r="AF709" s="31" t="inlineStr">
        <is>
          <t>College football model; multi-market (moneyline, spread, total).</t>
        </is>
      </c>
      <c r="AG709" s="24" t="inlineStr">
        <is>
          <t>not_applicable</t>
        </is>
      </c>
      <c r="AH709" s="24" t="n"/>
      <c r="AI709" s="31" t="n"/>
      <c r="AJ709" s="31" t="n"/>
      <c r="AK709" s="24" t="inlineStr">
        <is>
          <t>paper_call</t>
        </is>
      </c>
      <c r="AL709" s="26" t="n">
        <v>4</v>
      </c>
      <c r="AM709" s="24" t="inlineStr">
        <is>
          <t>RESEARCH_OBSERVATION</t>
        </is>
      </c>
      <c r="AN709" s="24" t="inlineStr">
        <is>
          <t>CALL</t>
        </is>
      </c>
      <c r="AO709" s="24" t="inlineStr">
        <is>
          <t>PAPER_CALL_LOW_EDGE</t>
        </is>
      </c>
      <c r="AP709" s="24" t="inlineStr">
        <is>
          <t>Vanderbilt Commodores</t>
        </is>
      </c>
      <c r="AQ709" s="24" t="inlineStr">
        <is>
          <t>Vanderbilt Commodores</t>
        </is>
      </c>
      <c r="AR709" s="24" t="inlineStr">
        <is>
          <t>Vanderbilt Commodores</t>
        </is>
      </c>
      <c r="AS709" s="24" t="inlineStr">
        <is>
          <t>Georgia Bulldogs</t>
        </is>
      </c>
      <c r="AT709" s="24" t="inlineStr">
        <is>
          <t>Georgia Bulldogs</t>
        </is>
      </c>
      <c r="AU709" s="24" t="inlineStr">
        <is>
          <t>Georgia Bulldogs</t>
        </is>
      </c>
      <c r="AV709" s="24" t="n"/>
      <c r="AW709" s="24" t="n"/>
      <c r="AX709" s="24" t="inlineStr">
        <is>
          <t>statistical_model</t>
        </is>
      </c>
      <c r="AY709" s="24" t="n"/>
      <c r="AZ709" s="24" t="inlineStr">
        <is>
          <t>shadow_qualified</t>
        </is>
      </c>
      <c r="BA709" s="24" t="inlineStr">
        <is>
          <t>1d168f11d221cd3c</t>
        </is>
      </c>
      <c r="BB709" s="24" t="inlineStr">
        <is>
          <t>cfb_key_number_engine</t>
        </is>
      </c>
      <c r="BC709" s="24" t="inlineStr">
        <is>
          <t>cfb-total-v1</t>
        </is>
      </c>
      <c r="BD709" s="24" t="inlineStr">
        <is>
          <t>1d168f11d221cd3c</t>
        </is>
      </c>
      <c r="BE709" s="24" t="inlineStr">
        <is>
          <t>cfb-v1</t>
        </is>
      </c>
      <c r="BF709" s="24" t="inlineStr">
        <is>
          <t>1</t>
        </is>
      </c>
      <c r="BG709" s="24" t="inlineStr">
        <is>
          <t>1d168f11d221cd3c</t>
        </is>
      </c>
      <c r="BH709" s="24" t="inlineStr">
        <is>
          <t>2026-10-03T10:53:30.577635+00:00</t>
        </is>
      </c>
      <c r="BI709" s="24" t="inlineStr">
        <is>
          <t>["same_event","same_team_same_day","same_league_same_day"]</t>
        </is>
      </c>
      <c r="BJ709" s="25" t="n">
        <v>50.5</v>
      </c>
      <c r="BK709" s="26" t="n">
        <v>-115</v>
      </c>
      <c r="BL709" s="27" t="n">
        <v>1.869565</v>
      </c>
      <c r="BM709" s="28" t="n">
        <v>0.534884</v>
      </c>
      <c r="BN709" s="28" t="n"/>
      <c r="BO709" s="28" t="n"/>
      <c r="BP709" s="25" t="n"/>
      <c r="BQ709" s="27" t="n"/>
      <c r="BR709" s="28" t="n"/>
      <c r="BS709" s="28" t="n"/>
      <c r="BT709" s="28" t="n"/>
      <c r="BU709" s="25" t="n"/>
      <c r="BV709" s="29" t="n"/>
      <c r="BW709" s="24" t="n"/>
      <c r="BX709" s="30" t="n">
        <v>1</v>
      </c>
      <c r="BY709" s="27" t="n">
        <v>0.869565</v>
      </c>
      <c r="BZ709" s="24" t="inlineStr">
        <is>
          <t>2026-10-03T22:00:39.925741Z</t>
        </is>
      </c>
      <c r="CA709" s="31" t="inlineStr">
        <is>
          <t>fixed one-unit hypothetical scoring; no real exposure or execution</t>
        </is>
      </c>
      <c r="CB709" s="24" t="n"/>
      <c r="CC709" s="24" t="n"/>
      <c r="CD709" s="24" t="n"/>
      <c r="CE709" s="24" t="n"/>
      <c r="CF709" s="24" t="n"/>
      <c r="CG709" s="24" t="n"/>
      <c r="CH709" s="24" t="n"/>
      <c r="CI709" s="24" t="n"/>
      <c r="CJ709" s="24" t="n"/>
      <c r="CK709" s="24" t="n"/>
      <c r="CL709" s="24" t="n"/>
      <c r="CM709" s="24" t="n"/>
      <c r="CN709" s="24" t="n"/>
      <c r="CO709" s="24" t="n"/>
      <c r="CP709" s="24" t="n"/>
      <c r="CQ709" s="24" t="n"/>
      <c r="CR709" s="24" t="n"/>
      <c r="CS709" s="24" t="inlineStr">
        <is>
          <t>True</t>
        </is>
      </c>
      <c r="CT709" s="24" t="n"/>
      <c r="CU709" s="24" t="n"/>
      <c r="CV709" s="24" t="n"/>
      <c r="CW709" s="24" t="n"/>
      <c r="CX709" s="24" t="n"/>
      <c r="CY709" s="24" t="n"/>
      <c r="CZ709" s="24" t="n"/>
      <c r="DA709" s="24" t="n"/>
      <c r="DB709" s="24" t="n"/>
      <c r="DC709" s="24" t="n"/>
      <c r="DD709" s="24" t="n"/>
      <c r="DE709" s="24" t="n"/>
      <c r="DF709" s="24" t="n"/>
      <c r="DG709" s="24" t="n"/>
      <c r="DH709" s="24" t="n"/>
      <c r="DI709" s="24" t="n"/>
      <c r="DJ709" s="24" t="inlineStr">
        <is>
          <t>0.534884</t>
        </is>
      </c>
      <c r="DK709" s="24" t="n"/>
      <c r="DL709" s="24" t="n"/>
      <c r="DM709" s="24" t="n"/>
      <c r="DN709" s="24" t="n"/>
      <c r="DO709" s="24" t="n"/>
      <c r="DP709" s="24" t="n"/>
      <c r="DQ709" s="24" t="inlineStr">
        <is>
          <t>{"artifact_hash": "1d168f11d221cd3c", "event_id": "401856705", "event_start_utc": "2026-10-03T16:45Z", "features": {"altitude_fatigue_penalty": 0.0, "away_team": "Vanderbilt Commodores", "efficiency_gap": 0.0, "elo_away": 1680.3, "elo_home": 1795.8, "elo_home_win_prob": 0.7386, "event_id": "401856705", "game_start_utc": "2026-10-03T16:45Z", "home_field_advantage_points": 2.8, "home_team": "Georgia Bulldogs", "is_dome": false, "is_fbs_vs_fcs": false, "is_neutral_site": false, "projected_away_points": 23.9, "projected_home_points": 31.3, "projected_margin_home": 7.4, "projected_possessions": 12.4, "projected_total": 55.3, "stadium_elevation_ft": 760, "travel_distance_miles": 246.0, "uncertainty": 0.18, "weather_total_adjustment": 0.0}, "historical_source_observation_times_verified": false, "inference_inputs": {"engine_source_sha256": "449ba2f0e86fa9c445730076a0e0bf100fb4914620be53c75c6f3bfe24298f3f", "mu_away": 23.9, "mu_home": 31.3,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326841103007267066345696614275591660684}, "uinteger": 0}, "spread_home_line": -25.5, "total_line": 50.5}, "market_type": "total", "model_version": "cfb-total-v1", "observed_at_utc": "2026-10-03T10:53:30.577635+00:00", "probabilities": {"over": 0.545667, "push": 0.0, "under": 0.454333}, "replay_scope": "Full precision score means, exact engine parameters and original RNG state; upstream feature construction not certified.", "schema": "cfb-joint-replay-v1", "snapshot_hash": "eb99ef933d9bdb4c2ce412582811a2863c72cec91c3c07cdfef97aa2ae60cce4", "sport": "NCAAF"}</t>
        </is>
      </c>
    </row>
    <row r="710" ht="36" customHeight="1">
      <c r="A710" s="24" t="inlineStr">
        <is>
          <t>00b4b747b83843f7</t>
        </is>
      </c>
      <c r="B710" s="24" t="inlineStr">
        <is>
          <t>2026-10-03T16:52:02.220681Z</t>
        </is>
      </c>
      <c r="C710" s="24" t="inlineStr">
        <is>
          <t>2026-10-03T17:00Z</t>
        </is>
      </c>
      <c r="D710" s="24" t="inlineStr">
        <is>
          <t>401866432</t>
        </is>
      </c>
      <c r="E710" s="24" t="inlineStr">
        <is>
          <t>NCAAF</t>
        </is>
      </c>
      <c r="F710" s="24" t="inlineStr">
        <is>
          <t>Western Michigan Broncos</t>
        </is>
      </c>
      <c r="G710" s="24" t="inlineStr">
        <is>
          <t>Buffalo Bulls</t>
        </is>
      </c>
      <c r="H710" s="24" t="inlineStr">
        <is>
          <t>moneyline</t>
        </is>
      </c>
      <c r="I710" s="24" t="inlineStr">
        <is>
          <t>away</t>
        </is>
      </c>
      <c r="J710" s="25" t="n"/>
      <c r="K710" s="24" t="inlineStr">
        <is>
          <t>espn_consensus</t>
        </is>
      </c>
      <c r="L710" s="26" t="n">
        <v>-535</v>
      </c>
      <c r="M710" s="27" t="n">
        <v>1.186916</v>
      </c>
      <c r="N710" s="28" t="n">
        <v>0.84252</v>
      </c>
      <c r="O710" s="28" t="n">
        <v>0.700349</v>
      </c>
      <c r="P710" s="28" t="n">
        <v>0.18</v>
      </c>
      <c r="Q710" s="28" t="n">
        <v>-0.142171</v>
      </c>
      <c r="R710" s="26" t="n">
        <v>0</v>
      </c>
      <c r="S710" s="29" t="n">
        <v>1</v>
      </c>
      <c r="T710" s="24" t="inlineStr">
        <is>
          <t>college-football-v1</t>
        </is>
      </c>
      <c r="U710" s="24" t="inlineStr">
        <is>
          <t>settled</t>
        </is>
      </c>
      <c r="V710" s="24" t="inlineStr">
        <is>
          <t>win</t>
        </is>
      </c>
      <c r="W710" s="26" t="n">
        <v>20</v>
      </c>
      <c r="X710" s="26" t="n">
        <v>17</v>
      </c>
      <c r="Y710" s="25" t="n"/>
      <c r="Z710" s="26" t="n"/>
      <c r="AA710" s="28" t="n"/>
      <c r="AB710" s="28" t="n"/>
      <c r="AC710" s="30" t="n">
        <v>0.1869</v>
      </c>
      <c r="AD710" s="24" t="inlineStr">
        <is>
          <t>2026-10-03T22:00:51.149055Z</t>
        </is>
      </c>
      <c r="AE710" s="31" t="inlineStr">
        <is>
          <t>CFB Joint Model (negative_binomial): proj score Western Michigan Broncos 31.0 @ Buffalo Bulls 21.0 (Margin -10.0). Possessions: 12.4, HFA: +2.8 pts.</t>
        </is>
      </c>
      <c r="AF710" s="31" t="inlineStr">
        <is>
          <t>College football model; multi-market (moneyline, spread, total).</t>
        </is>
      </c>
      <c r="AG710" s="24" t="inlineStr">
        <is>
          <t>not_applicable</t>
        </is>
      </c>
      <c r="AH710" s="24" t="n"/>
      <c r="AI710" s="31" t="n"/>
      <c r="AJ710" s="31" t="n"/>
      <c r="AK710" s="24" t="inlineStr">
        <is>
          <t>paper_call</t>
        </is>
      </c>
      <c r="AL710" s="26" t="n">
        <v>4</v>
      </c>
      <c r="AM710" s="24" t="inlineStr">
        <is>
          <t>RESEARCH_OBSERVATION</t>
        </is>
      </c>
      <c r="AN710" s="24" t="inlineStr">
        <is>
          <t>CALL</t>
        </is>
      </c>
      <c r="AO710" s="24" t="inlineStr">
        <is>
          <t>PAPER_CALL_LOW_EDGE</t>
        </is>
      </c>
      <c r="AP710" s="24" t="inlineStr">
        <is>
          <t>Western Michigan Broncos</t>
        </is>
      </c>
      <c r="AQ710" s="24" t="inlineStr">
        <is>
          <t>Western Michigan Broncos</t>
        </is>
      </c>
      <c r="AR710" s="24" t="inlineStr">
        <is>
          <t>Western Michigan Broncos</t>
        </is>
      </c>
      <c r="AS710" s="24" t="inlineStr">
        <is>
          <t>Buffalo Bulls</t>
        </is>
      </c>
      <c r="AT710" s="24" t="inlineStr">
        <is>
          <t>Buffalo Bulls</t>
        </is>
      </c>
      <c r="AU710" s="24" t="inlineStr">
        <is>
          <t>Buffalo Bulls</t>
        </is>
      </c>
      <c r="AV710" s="24" t="n"/>
      <c r="AW710" s="24" t="n"/>
      <c r="AX710" s="24" t="inlineStr">
        <is>
          <t>statistical_model</t>
        </is>
      </c>
      <c r="AY710" s="24" t="n"/>
      <c r="AZ710" s="24" t="inlineStr">
        <is>
          <t>shadow_qualified</t>
        </is>
      </c>
      <c r="BA710" s="24" t="inlineStr">
        <is>
          <t>1d168f11d221cd3c</t>
        </is>
      </c>
      <c r="BB710" s="24" t="inlineStr">
        <is>
          <t>cfb_key_number_engine</t>
        </is>
      </c>
      <c r="BC710" s="24" t="inlineStr">
        <is>
          <t>college-football-v1</t>
        </is>
      </c>
      <c r="BD710" s="24" t="inlineStr">
        <is>
          <t>1d168f11d221cd3c</t>
        </is>
      </c>
      <c r="BE710" s="24" t="inlineStr">
        <is>
          <t>cfb-v1</t>
        </is>
      </c>
      <c r="BF710" s="24" t="inlineStr">
        <is>
          <t>1</t>
        </is>
      </c>
      <c r="BG710" s="24" t="inlineStr">
        <is>
          <t>1d168f11d221cd3c</t>
        </is>
      </c>
      <c r="BH710" s="24" t="inlineStr">
        <is>
          <t>2026-10-03T16:52:02.220681+00:00</t>
        </is>
      </c>
      <c r="BI710" s="24" t="inlineStr">
        <is>
          <t>["same_event","same_team_same_day","same_league_same_day"]</t>
        </is>
      </c>
      <c r="BJ710" s="25" t="n"/>
      <c r="BK710" s="26" t="n">
        <v>-535</v>
      </c>
      <c r="BL710" s="27" t="n">
        <v>1.186916</v>
      </c>
      <c r="BM710" s="28" t="n">
        <v>0.84252</v>
      </c>
      <c r="BN710" s="28" t="n"/>
      <c r="BO710" s="28" t="n"/>
      <c r="BP710" s="25" t="n"/>
      <c r="BQ710" s="27" t="n"/>
      <c r="BR710" s="28" t="n"/>
      <c r="BS710" s="28" t="n"/>
      <c r="BT710" s="28" t="n"/>
      <c r="BU710" s="25" t="n"/>
      <c r="BV710" s="29" t="n"/>
      <c r="BW710" s="24" t="n"/>
      <c r="BX710" s="30" t="n">
        <v>1</v>
      </c>
      <c r="BY710" s="27" t="n">
        <v>0.186916</v>
      </c>
      <c r="BZ710" s="24" t="inlineStr">
        <is>
          <t>2026-10-03T22:00:51.149055Z</t>
        </is>
      </c>
      <c r="CA710" s="31" t="inlineStr">
        <is>
          <t>fixed one-unit hypothetical scoring; no real exposure or execution</t>
        </is>
      </c>
      <c r="CB710" s="24" t="n"/>
      <c r="CC710" s="24" t="n"/>
      <c r="CD710" s="24" t="n"/>
      <c r="CE710" s="24" t="n"/>
      <c r="CF710" s="24" t="n"/>
      <c r="CG710" s="24" t="n"/>
      <c r="CH710" s="24" t="n"/>
      <c r="CI710" s="24" t="n"/>
      <c r="CJ710" s="24" t="n"/>
      <c r="CK710" s="24" t="n"/>
      <c r="CL710" s="24" t="n"/>
      <c r="CM710" s="24" t="n"/>
      <c r="CN710" s="24" t="n"/>
      <c r="CO710" s="24" t="n"/>
      <c r="CP710" s="24" t="n"/>
      <c r="CQ710" s="24" t="n"/>
      <c r="CR710" s="24" t="n"/>
      <c r="CS710" s="24" t="inlineStr">
        <is>
          <t>False</t>
        </is>
      </c>
      <c r="CT710" s="24" t="n"/>
      <c r="CU710" s="24" t="n"/>
      <c r="CV710" s="24" t="n"/>
      <c r="CW710" s="24" t="n"/>
      <c r="CX710" s="24" t="n"/>
      <c r="CY710" s="24" t="n"/>
      <c r="CZ710" s="24" t="n"/>
      <c r="DA710" s="24" t="n"/>
      <c r="DB710" s="24" t="n"/>
      <c r="DC710" s="24" t="n"/>
      <c r="DD710" s="24" t="n"/>
      <c r="DE710" s="24" t="n"/>
      <c r="DF710" s="24" t="n"/>
      <c r="DG710" s="24" t="n"/>
      <c r="DH710" s="24" t="n"/>
      <c r="DI710" s="24" t="n"/>
      <c r="DJ710" s="24" t="inlineStr">
        <is>
          <t>0.84252</t>
        </is>
      </c>
      <c r="DK710" s="24" t="n"/>
      <c r="DL710" s="24" t="n"/>
      <c r="DM710" s="24" t="n"/>
      <c r="DN710" s="24" t="n"/>
      <c r="DO710" s="24" t="n"/>
      <c r="DP710" s="24" t="n"/>
      <c r="DQ710" s="24" t="inlineStr">
        <is>
          <t>{"artifact_hash": "1d168f11d221cd3c", "event_id": "401866432", "event_start_utc": "2026-10-03T17:00Z", "features": {"altitude_fatigue_penalty": 0.0, "away_team": "Western Michigan Broncos", "efficiency_gap": -0.266, "elo_away": 1696.6, "elo_home": 1385.6, "elo_home_win_prob": 0.1952, "event_id": "401866432", "game_start_utc": "2026-10-03T17:00Z", "home_field_advantage_points": 2.8, "home_team": "Buffalo Bulls", "is_dome": false, "is_fbs_vs_fcs": false, "is_neutral_site": false, "projected_away_points": 31.0, "projected_home_points": 21.0, "projected_margin_home": -10.0, "projected_possessions": 12.4, "projected_total": 52.0, "stadium_elevation_ft": 600, "travel_distance_miles": 350.0, "uncertainty": 0.18, "weather_total_adjustment": 0.0}, "historical_source_observation_times_verified": false, "inference_inputs": {"engine_source_sha256": "449ba2f0e86fa9c445730076a0e0bf100fb4914620be53c75c6f3bfe24298f3f", "mu_away": 31.0, "mu_home": 21.0,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192667794452504047015726438172447842508}, "uinteger": 0}, "spread_home_line": 13.5, "total_line": 45.5}, "market_type": "moneyline", "model_version": "college-football-v1", "observed_at_utc": "2026-10-03T16:52:02.220681+00:00", "probabilities": {"away": 0.700349, "home": 0.299651}, "replay_scope": "Full precision score means, exact engine parameters and original RNG state; upstream feature construction not certified.", "schema": "cfb-joint-replay-v1", "snapshot_hash": "1f9eda0a4a9ce360c3a5d6f4549cb2fd25025eaefbfad22e6d82ed88c5a010bc", "sport": "NCAAF"}</t>
        </is>
      </c>
    </row>
    <row r="711" ht="36" customHeight="1">
      <c r="A711" s="24" t="inlineStr">
        <is>
          <t>d8e08e7dcc964c7f</t>
        </is>
      </c>
      <c r="B711" s="24" t="inlineStr">
        <is>
          <t>2026-10-03T16:52:02.220681Z</t>
        </is>
      </c>
      <c r="C711" s="24" t="inlineStr">
        <is>
          <t>2026-10-03T17:00Z</t>
        </is>
      </c>
      <c r="D711" s="24" t="inlineStr">
        <is>
          <t>401866432</t>
        </is>
      </c>
      <c r="E711" s="24" t="inlineStr">
        <is>
          <t>NCAAF</t>
        </is>
      </c>
      <c r="F711" s="24" t="inlineStr">
        <is>
          <t>Western Michigan Broncos</t>
        </is>
      </c>
      <c r="G711" s="24" t="inlineStr">
        <is>
          <t>Buffalo Bulls</t>
        </is>
      </c>
      <c r="H711" s="24" t="inlineStr">
        <is>
          <t>spread</t>
        </is>
      </c>
      <c r="I711" s="24" t="inlineStr">
        <is>
          <t>home</t>
        </is>
      </c>
      <c r="J711" s="25" t="n">
        <v>13.5</v>
      </c>
      <c r="K711" s="24" t="inlineStr">
        <is>
          <t>espn_consensus</t>
        </is>
      </c>
      <c r="L711" s="26" t="n">
        <v>-115</v>
      </c>
      <c r="M711" s="27" t="n">
        <v>1.869565</v>
      </c>
      <c r="N711" s="28" t="n">
        <v>0.534884</v>
      </c>
      <c r="O711" s="28" t="n">
        <v>0.579</v>
      </c>
      <c r="P711" s="28" t="n">
        <v>0.18</v>
      </c>
      <c r="Q711" s="28" t="n">
        <v>0.044116</v>
      </c>
      <c r="R711" s="26" t="n">
        <v>0</v>
      </c>
      <c r="S711" s="29" t="n">
        <v>1</v>
      </c>
      <c r="T711" s="24" t="inlineStr">
        <is>
          <t>cfb-spread-v1</t>
        </is>
      </c>
      <c r="U711" s="24" t="inlineStr">
        <is>
          <t>settled</t>
        </is>
      </c>
      <c r="V711" s="24" t="inlineStr">
        <is>
          <t>win</t>
        </is>
      </c>
      <c r="W711" s="26" t="n">
        <v>20</v>
      </c>
      <c r="X711" s="26" t="n">
        <v>17</v>
      </c>
      <c r="Y711" s="25" t="n"/>
      <c r="Z711" s="26" t="n"/>
      <c r="AA711" s="28" t="n"/>
      <c r="AB711" s="28" t="n"/>
      <c r="AC711" s="30" t="n">
        <v>0.8696</v>
      </c>
      <c r="AD711" s="24" t="inlineStr">
        <is>
          <t>2026-10-03T22:00:51.992850Z</t>
        </is>
      </c>
      <c r="AE711" s="31" t="inlineStr">
        <is>
          <t>Projected home margin -10.0 pts. Spread: Home +13.5 / Away -13.5 -&gt; P(Away cover)=0.421, P(Home cover)=0.579, P(Push)=0.000.</t>
        </is>
      </c>
      <c r="AF711" s="31" t="inlineStr">
        <is>
          <t>College football model; multi-market (moneyline, spread, total).</t>
        </is>
      </c>
      <c r="AG711" s="24" t="inlineStr">
        <is>
          <t>not_applicable</t>
        </is>
      </c>
      <c r="AH711" s="24" t="n"/>
      <c r="AI711" s="31" t="n"/>
      <c r="AJ711" s="31" t="n"/>
      <c r="AK711" s="24" t="inlineStr">
        <is>
          <t>model_qualified</t>
        </is>
      </c>
      <c r="AL711" s="26" t="n">
        <v>4</v>
      </c>
      <c r="AM711" s="24" t="inlineStr">
        <is>
          <t>QUALIFIED_SHADOW_CALL</t>
        </is>
      </c>
      <c r="AN711" s="24" t="inlineStr">
        <is>
          <t>CALL</t>
        </is>
      </c>
      <c r="AO711" s="24" t="inlineStr">
        <is>
          <t>QUALIFIED</t>
        </is>
      </c>
      <c r="AP711" s="24" t="inlineStr">
        <is>
          <t>Western Michigan Broncos</t>
        </is>
      </c>
      <c r="AQ711" s="24" t="inlineStr">
        <is>
          <t>Western Michigan Broncos</t>
        </is>
      </c>
      <c r="AR711" s="24" t="inlineStr">
        <is>
          <t>Western Michigan Broncos</t>
        </is>
      </c>
      <c r="AS711" s="24" t="inlineStr">
        <is>
          <t>Buffalo Bulls</t>
        </is>
      </c>
      <c r="AT711" s="24" t="inlineStr">
        <is>
          <t>Buffalo Bulls</t>
        </is>
      </c>
      <c r="AU711" s="24" t="inlineStr">
        <is>
          <t>Buffalo Bulls</t>
        </is>
      </c>
      <c r="AV711" s="24" t="n"/>
      <c r="AW711" s="24" t="n"/>
      <c r="AX711" s="24" t="inlineStr">
        <is>
          <t>statistical_model</t>
        </is>
      </c>
      <c r="AY711" s="24" t="n"/>
      <c r="AZ711" s="24" t="inlineStr">
        <is>
          <t>shadow_qualified</t>
        </is>
      </c>
      <c r="BA711" s="24" t="inlineStr">
        <is>
          <t>1d168f11d221cd3c</t>
        </is>
      </c>
      <c r="BB711" s="24" t="inlineStr">
        <is>
          <t>cfb_key_number_engine</t>
        </is>
      </c>
      <c r="BC711" s="24" t="inlineStr">
        <is>
          <t>cfb-spread-v1</t>
        </is>
      </c>
      <c r="BD711" s="24" t="inlineStr">
        <is>
          <t>1d168f11d221cd3c</t>
        </is>
      </c>
      <c r="BE711" s="24" t="inlineStr">
        <is>
          <t>cfb-v1</t>
        </is>
      </c>
      <c r="BF711" s="24" t="inlineStr">
        <is>
          <t>1</t>
        </is>
      </c>
      <c r="BG711" s="24" t="inlineStr">
        <is>
          <t>1d168f11d221cd3c</t>
        </is>
      </c>
      <c r="BH711" s="24" t="inlineStr">
        <is>
          <t>2026-10-03T16:52:02.220681+00:00</t>
        </is>
      </c>
      <c r="BI711" s="24" t="inlineStr">
        <is>
          <t>["same_event","same_team_same_day","same_league_same_day"]</t>
        </is>
      </c>
      <c r="BJ711" s="25" t="n">
        <v>13.5</v>
      </c>
      <c r="BK711" s="26" t="n">
        <v>-115</v>
      </c>
      <c r="BL711" s="27" t="n">
        <v>1.869565</v>
      </c>
      <c r="BM711" s="28" t="n">
        <v>0.534884</v>
      </c>
      <c r="BN711" s="28" t="n"/>
      <c r="BO711" s="28" t="n"/>
      <c r="BP711" s="25" t="n"/>
      <c r="BQ711" s="27" t="n"/>
      <c r="BR711" s="28" t="n"/>
      <c r="BS711" s="28" t="n"/>
      <c r="BT711" s="28" t="n"/>
      <c r="BU711" s="25" t="n"/>
      <c r="BV711" s="29" t="n"/>
      <c r="BW711" s="24" t="n"/>
      <c r="BX711" s="30" t="n"/>
      <c r="BY711" s="27" t="n"/>
      <c r="BZ711" s="24" t="n"/>
      <c r="CA711" s="31" t="n"/>
      <c r="CB711" s="24" t="n"/>
      <c r="CC711" s="24" t="n"/>
      <c r="CD711" s="24" t="n"/>
      <c r="CE711" s="24" t="n"/>
      <c r="CF711" s="24" t="n"/>
      <c r="CG711" s="24" t="n"/>
      <c r="CH711" s="24" t="n"/>
      <c r="CI711" s="24" t="n"/>
      <c r="CJ711" s="24" t="n"/>
      <c r="CK711" s="24" t="n"/>
      <c r="CL711" s="24" t="n"/>
      <c r="CM711" s="24" t="n"/>
      <c r="CN711" s="24" t="n"/>
      <c r="CO711" s="24" t="n"/>
      <c r="CP711" s="24" t="n"/>
      <c r="CQ711" s="24" t="n"/>
      <c r="CR711" s="24" t="n"/>
      <c r="CS711" s="24" t="inlineStr">
        <is>
          <t>True</t>
        </is>
      </c>
      <c r="CT711" s="24" t="n"/>
      <c r="CU711" s="24" t="n"/>
      <c r="CV711" s="24" t="n"/>
      <c r="CW711" s="24" t="n"/>
      <c r="CX711" s="24" t="n"/>
      <c r="CY711" s="24" t="n"/>
      <c r="CZ711" s="24" t="n"/>
      <c r="DA711" s="24" t="n"/>
      <c r="DB711" s="24" t="n"/>
      <c r="DC711" s="24" t="n"/>
      <c r="DD711" s="24" t="n"/>
      <c r="DE711" s="24" t="n"/>
      <c r="DF711" s="24" t="n"/>
      <c r="DG711" s="24" t="n"/>
      <c r="DH711" s="24" t="n"/>
      <c r="DI711" s="24" t="n"/>
      <c r="DJ711" s="24" t="inlineStr">
        <is>
          <t>0.534884</t>
        </is>
      </c>
      <c r="DK711" s="24" t="n"/>
      <c r="DL711" s="24" t="n"/>
      <c r="DM711" s="24" t="n"/>
      <c r="DN711" s="24" t="n"/>
      <c r="DO711" s="24" t="n"/>
      <c r="DP711" s="24" t="n"/>
      <c r="DQ711" s="24" t="inlineStr">
        <is>
          <t>{"artifact_hash": "1d168f11d221cd3c", "event_id": "401866432", "event_start_utc": "2026-10-03T17:00Z", "features": {"altitude_fatigue_penalty": 0.0, "away_team": "Western Michigan Broncos", "efficiency_gap": -0.266, "elo_away": 1696.6, "elo_home": 1385.6, "elo_home_win_prob": 0.1952, "event_id": "401866432", "game_start_utc": "2026-10-03T17:00Z", "home_field_advantage_points": 2.8, "home_team": "Buffalo Bulls", "is_dome": false, "is_fbs_vs_fcs": false, "is_neutral_site": false, "projected_away_points": 31.0, "projected_home_points": 21.0, "projected_margin_home": -10.0, "projected_possessions": 12.4, "projected_total": 52.0, "stadium_elevation_ft": 600, "travel_distance_miles": 350.0, "uncertainty": 0.18, "weather_total_adjustment": 0.0}, "historical_source_observation_times_verified": false, "inference_inputs": {"engine_source_sha256": "449ba2f0e86fa9c445730076a0e0bf100fb4914620be53c75c6f3bfe24298f3f", "mu_away": 31.0, "mu_home": 21.0,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192667794452504047015726438172447842508}, "uinteger": 0}, "spread_home_line": 13.5, "total_line": 45.5}, "market_type": "spread", "model_version": "cfb-spread-v1", "observed_at_utc": "2026-10-03T16:52:02.220681+00:00", "probabilities": {"away": 0.421, "home": 0.579, "push": 0.0}, "replay_scope": "Full precision score means, exact engine parameters and original RNG state; upstream feature construction not certified.", "schema": "cfb-joint-replay-v1", "snapshot_hash": "9ce86d7276323e7e3b04a560a13c33f257fc600cab2b40492bb40e4aeefb9314", "sport": "NCAAF"}</t>
        </is>
      </c>
    </row>
    <row r="712" ht="36" customHeight="1">
      <c r="A712" s="24" t="inlineStr">
        <is>
          <t>c51a236959bf43b2</t>
        </is>
      </c>
      <c r="B712" s="24" t="inlineStr">
        <is>
          <t>2026-10-03T16:52:02.220681Z</t>
        </is>
      </c>
      <c r="C712" s="24" t="inlineStr">
        <is>
          <t>2026-10-03T17:00Z</t>
        </is>
      </c>
      <c r="D712" s="24" t="inlineStr">
        <is>
          <t>401866432</t>
        </is>
      </c>
      <c r="E712" s="24" t="inlineStr">
        <is>
          <t>NCAAF</t>
        </is>
      </c>
      <c r="F712" s="24" t="inlineStr">
        <is>
          <t>Western Michigan Broncos</t>
        </is>
      </c>
      <c r="G712" s="24" t="inlineStr">
        <is>
          <t>Buffalo Bulls</t>
        </is>
      </c>
      <c r="H712" s="24" t="inlineStr">
        <is>
          <t>total</t>
        </is>
      </c>
      <c r="I712" s="24" t="inlineStr">
        <is>
          <t>over</t>
        </is>
      </c>
      <c r="J712" s="25" t="n">
        <v>45.5</v>
      </c>
      <c r="K712" s="24" t="inlineStr">
        <is>
          <t>espn_consensus</t>
        </is>
      </c>
      <c r="L712" s="26" t="n">
        <v>-108</v>
      </c>
      <c r="M712" s="27" t="n">
        <v>1.925926</v>
      </c>
      <c r="N712" s="28" t="n">
        <v>0.519231</v>
      </c>
      <c r="O712" s="28" t="n">
        <v>0.574067</v>
      </c>
      <c r="P712" s="28" t="n">
        <v>0.18</v>
      </c>
      <c r="Q712" s="28" t="n">
        <v>0.054836</v>
      </c>
      <c r="R712" s="26" t="n">
        <v>0</v>
      </c>
      <c r="S712" s="29" t="n">
        <v>1</v>
      </c>
      <c r="T712" s="24" t="inlineStr">
        <is>
          <t>cfb-total-v1</t>
        </is>
      </c>
      <c r="U712" s="24" t="inlineStr">
        <is>
          <t>settled</t>
        </is>
      </c>
      <c r="V712" s="24" t="inlineStr">
        <is>
          <t>loss</t>
        </is>
      </c>
      <c r="W712" s="26" t="n">
        <v>20</v>
      </c>
      <c r="X712" s="26" t="n">
        <v>17</v>
      </c>
      <c r="Y712" s="25" t="n"/>
      <c r="Z712" s="26" t="n"/>
      <c r="AA712" s="28" t="n"/>
      <c r="AB712" s="28" t="n"/>
      <c r="AC712" s="30" t="n">
        <v>-1</v>
      </c>
      <c r="AD712" s="24" t="inlineStr">
        <is>
          <t>2026-10-03T22:00:52.847643Z</t>
        </is>
      </c>
      <c r="AE712" s="31" t="inlineStr">
        <is>
          <t>Projected total 52.0 pts (Weather adj: +0.0 pts). Total line 45.5 -&gt; P(Over)=0.574, P(Under)=0.426, P(Push)=0.000.</t>
        </is>
      </c>
      <c r="AF712" s="31" t="inlineStr">
        <is>
          <t>College football model; multi-market (moneyline, spread, total).</t>
        </is>
      </c>
      <c r="AG712" s="24" t="inlineStr">
        <is>
          <t>review_required</t>
        </is>
      </c>
      <c r="AH712" s="24" t="n"/>
      <c r="AI712" s="31" t="n"/>
      <c r="AJ712" s="31" t="n"/>
      <c r="AK712" s="24" t="inlineStr">
        <is>
          <t>model_qualified</t>
        </is>
      </c>
      <c r="AL712" s="26" t="n">
        <v>4</v>
      </c>
      <c r="AM712" s="24" t="inlineStr">
        <is>
          <t>QUALIFIED_SHADOW_CALL</t>
        </is>
      </c>
      <c r="AN712" s="24" t="inlineStr">
        <is>
          <t>CALL</t>
        </is>
      </c>
      <c r="AO712" s="24" t="inlineStr">
        <is>
          <t>QUALIFIED</t>
        </is>
      </c>
      <c r="AP712" s="24" t="inlineStr">
        <is>
          <t>Western Michigan Broncos</t>
        </is>
      </c>
      <c r="AQ712" s="24" t="inlineStr">
        <is>
          <t>Western Michigan Broncos</t>
        </is>
      </c>
      <c r="AR712" s="24" t="inlineStr">
        <is>
          <t>Western Michigan Broncos</t>
        </is>
      </c>
      <c r="AS712" s="24" t="inlineStr">
        <is>
          <t>Buffalo Bulls</t>
        </is>
      </c>
      <c r="AT712" s="24" t="inlineStr">
        <is>
          <t>Buffalo Bulls</t>
        </is>
      </c>
      <c r="AU712" s="24" t="inlineStr">
        <is>
          <t>Buffalo Bulls</t>
        </is>
      </c>
      <c r="AV712" s="24" t="n"/>
      <c r="AW712" s="24" t="n"/>
      <c r="AX712" s="24" t="inlineStr">
        <is>
          <t>statistical_model</t>
        </is>
      </c>
      <c r="AY712" s="24" t="n"/>
      <c r="AZ712" s="24" t="inlineStr">
        <is>
          <t>shadow_qualified</t>
        </is>
      </c>
      <c r="BA712" s="24" t="inlineStr">
        <is>
          <t>1d168f11d221cd3c</t>
        </is>
      </c>
      <c r="BB712" s="24" t="inlineStr">
        <is>
          <t>cfb_key_number_engine</t>
        </is>
      </c>
      <c r="BC712" s="24" t="inlineStr">
        <is>
          <t>cfb-total-v1</t>
        </is>
      </c>
      <c r="BD712" s="24" t="inlineStr">
        <is>
          <t>1d168f11d221cd3c</t>
        </is>
      </c>
      <c r="BE712" s="24" t="inlineStr">
        <is>
          <t>cfb-v1</t>
        </is>
      </c>
      <c r="BF712" s="24" t="inlineStr">
        <is>
          <t>1</t>
        </is>
      </c>
      <c r="BG712" s="24" t="inlineStr">
        <is>
          <t>1d168f11d221cd3c</t>
        </is>
      </c>
      <c r="BH712" s="24" t="inlineStr">
        <is>
          <t>2026-10-03T16:52:02.220681+00:00</t>
        </is>
      </c>
      <c r="BI712" s="24" t="inlineStr">
        <is>
          <t>["same_event","same_team_same_day","same_league_same_day"]</t>
        </is>
      </c>
      <c r="BJ712" s="25" t="n">
        <v>45.5</v>
      </c>
      <c r="BK712" s="26" t="n">
        <v>-108</v>
      </c>
      <c r="BL712" s="27" t="n">
        <v>1.925926</v>
      </c>
      <c r="BM712" s="28" t="n">
        <v>0.519231</v>
      </c>
      <c r="BN712" s="28" t="n"/>
      <c r="BO712" s="28" t="n"/>
      <c r="BP712" s="25" t="n"/>
      <c r="BQ712" s="27" t="n"/>
      <c r="BR712" s="28" t="n"/>
      <c r="BS712" s="28" t="n"/>
      <c r="BT712" s="28" t="n"/>
      <c r="BU712" s="25" t="n"/>
      <c r="BV712" s="29" t="n"/>
      <c r="BW712" s="24" t="n"/>
      <c r="BX712" s="30" t="n"/>
      <c r="BY712" s="27" t="n"/>
      <c r="BZ712" s="24" t="n"/>
      <c r="CA712" s="31" t="n"/>
      <c r="CB712" s="24" t="n"/>
      <c r="CC712" s="24" t="n"/>
      <c r="CD712" s="24" t="n"/>
      <c r="CE712" s="24" t="n"/>
      <c r="CF712" s="24" t="n"/>
      <c r="CG712" s="24" t="n"/>
      <c r="CH712" s="24" t="n"/>
      <c r="CI712" s="24" t="n"/>
      <c r="CJ712" s="24" t="n"/>
      <c r="CK712" s="24" t="n"/>
      <c r="CL712" s="24" t="n"/>
      <c r="CM712" s="24" t="n"/>
      <c r="CN712" s="24" t="n"/>
      <c r="CO712" s="24" t="n"/>
      <c r="CP712" s="24" t="n"/>
      <c r="CQ712" s="24" t="n"/>
      <c r="CR712" s="24" t="n"/>
      <c r="CS712" s="24" t="inlineStr">
        <is>
          <t>True</t>
        </is>
      </c>
      <c r="CT712" s="24" t="n"/>
      <c r="CU712" s="24" t="n"/>
      <c r="CV712" s="24" t="n"/>
      <c r="CW712" s="24" t="n"/>
      <c r="CX712" s="24" t="n"/>
      <c r="CY712" s="24" t="n"/>
      <c r="CZ712" s="24" t="n"/>
      <c r="DA712" s="24" t="n"/>
      <c r="DB712" s="24" t="n"/>
      <c r="DC712" s="24" t="n"/>
      <c r="DD712" s="24" t="n"/>
      <c r="DE712" s="24" t="n"/>
      <c r="DF712" s="24" t="n"/>
      <c r="DG712" s="24" t="n"/>
      <c r="DH712" s="24" t="n"/>
      <c r="DI712" s="24" t="n"/>
      <c r="DJ712" s="24" t="inlineStr">
        <is>
          <t>0.519231</t>
        </is>
      </c>
      <c r="DK712" s="24" t="n"/>
      <c r="DL712" s="24" t="n"/>
      <c r="DM712" s="24" t="n"/>
      <c r="DN712" s="24" t="n"/>
      <c r="DO712" s="24" t="n"/>
      <c r="DP712" s="24" t="n"/>
      <c r="DQ712" s="24" t="inlineStr">
        <is>
          <t>{"artifact_hash": "1d168f11d221cd3c", "event_id": "401866432", "event_start_utc": "2026-10-03T17:00Z", "features": {"altitude_fatigue_penalty": 0.0, "away_team": "Western Michigan Broncos", "efficiency_gap": -0.266, "elo_away": 1696.6, "elo_home": 1385.6, "elo_home_win_prob": 0.1952, "event_id": "401866432", "game_start_utc": "2026-10-03T17:00Z", "home_field_advantage_points": 2.8, "home_team": "Buffalo Bulls", "is_dome": false, "is_fbs_vs_fcs": false, "is_neutral_site": false, "projected_away_points": 31.0, "projected_home_points": 21.0, "projected_margin_home": -10.0, "projected_possessions": 12.4, "projected_total": 52.0, "stadium_elevation_ft": 600, "travel_distance_miles": 350.0, "uncertainty": 0.18, "weather_total_adjustment": 0.0}, "historical_source_observation_times_verified": false, "inference_inputs": {"engine_source_sha256": "449ba2f0e86fa9c445730076a0e0bf100fb4914620be53c75c6f3bfe24298f3f", "mu_away": 31.0, "mu_home": 21.0,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192667794452504047015726438172447842508}, "uinteger": 0}, "spread_home_line": 13.5, "total_line": 45.5}, "market_type": "total", "model_version": "cfb-total-v1", "observed_at_utc": "2026-10-03T16:52:02.220681+00:00", "probabilities": {"over": 0.574067, "push": 0.0, "under": 0.425933}, "replay_scope": "Full precision score means, exact engine parameters and original RNG state; upstream feature construction not certified.", "schema": "cfb-joint-replay-v1", "snapshot_hash": "d2331a6905f719cb87cb4bc23f2b6cf87ee3679580713663f793226435d18a51", "sport": "NCAAF"}</t>
        </is>
      </c>
    </row>
    <row r="713" ht="36" customHeight="1">
      <c r="A713" s="24" t="inlineStr">
        <is>
          <t>58a237bf91bd4197</t>
        </is>
      </c>
      <c r="B713" s="24" t="inlineStr">
        <is>
          <t>2026-10-03T16:52:02.220681Z</t>
        </is>
      </c>
      <c r="C713" s="24" t="inlineStr">
        <is>
          <t>2026-10-03T18:00Z</t>
        </is>
      </c>
      <c r="D713" s="24" t="inlineStr">
        <is>
          <t>401866431</t>
        </is>
      </c>
      <c r="E713" s="24" t="inlineStr">
        <is>
          <t>NCAAF</t>
        </is>
      </c>
      <c r="F713" s="24" t="inlineStr">
        <is>
          <t>Toledo Rockets</t>
        </is>
      </c>
      <c r="G713" s="24" t="inlineStr">
        <is>
          <t>Ball State Cardinals</t>
        </is>
      </c>
      <c r="H713" s="24" t="inlineStr">
        <is>
          <t>moneyline</t>
        </is>
      </c>
      <c r="I713" s="24" t="inlineStr">
        <is>
          <t>away</t>
        </is>
      </c>
      <c r="J713" s="25" t="n"/>
      <c r="K713" s="24" t="inlineStr">
        <is>
          <t>espn_consensus</t>
        </is>
      </c>
      <c r="L713" s="26" t="n">
        <v>-1350</v>
      </c>
      <c r="M713" s="27" t="n">
        <v>1.074074</v>
      </c>
      <c r="N713" s="28" t="n">
        <v>0.931034</v>
      </c>
      <c r="O713" s="28" t="n">
        <v>0.763328</v>
      </c>
      <c r="P713" s="28" t="n">
        <v>0.165</v>
      </c>
      <c r="Q713" s="28" t="n">
        <v>-0.167706</v>
      </c>
      <c r="R713" s="26" t="n">
        <v>0</v>
      </c>
      <c r="S713" s="29" t="n">
        <v>1</v>
      </c>
      <c r="T713" s="24" t="inlineStr">
        <is>
          <t>college-football-v1</t>
        </is>
      </c>
      <c r="U713" s="24" t="inlineStr">
        <is>
          <t>settled</t>
        </is>
      </c>
      <c r="V713" s="24" t="inlineStr">
        <is>
          <t>win</t>
        </is>
      </c>
      <c r="W713" s="26" t="n">
        <v>39</v>
      </c>
      <c r="X713" s="26" t="n">
        <v>24</v>
      </c>
      <c r="Y713" s="25" t="n"/>
      <c r="Z713" s="26" t="n"/>
      <c r="AA713" s="28" t="n"/>
      <c r="AB713" s="28" t="n"/>
      <c r="AC713" s="30" t="n">
        <v>0.0741</v>
      </c>
      <c r="AD713" s="24" t="inlineStr">
        <is>
          <t>2026-10-03T22:00:53.621132Z</t>
        </is>
      </c>
      <c r="AE713" s="31" t="inlineStr">
        <is>
          <t>CFB Joint Model (negative_binomial): proj score Toledo Rockets 32.1 @ Ball State Cardinals 19.0 (Margin -13.1). Possessions: 12.4, HFA: +2.8 pts.</t>
        </is>
      </c>
      <c r="AF713" s="31" t="inlineStr">
        <is>
          <t>College football model; multi-market (moneyline, spread, total).</t>
        </is>
      </c>
      <c r="AG713" s="24" t="inlineStr">
        <is>
          <t>not_applicable</t>
        </is>
      </c>
      <c r="AH713" s="24" t="n"/>
      <c r="AI713" s="31" t="n"/>
      <c r="AJ713" s="31" t="n"/>
      <c r="AK713" s="24" t="inlineStr">
        <is>
          <t>paper_call</t>
        </is>
      </c>
      <c r="AL713" s="26" t="n">
        <v>4</v>
      </c>
      <c r="AM713" s="24" t="inlineStr">
        <is>
          <t>RESEARCH_OBSERVATION</t>
        </is>
      </c>
      <c r="AN713" s="24" t="inlineStr">
        <is>
          <t>CALL</t>
        </is>
      </c>
      <c r="AO713" s="24" t="inlineStr">
        <is>
          <t>PAPER_CALL_LOW_EDGE</t>
        </is>
      </c>
      <c r="AP713" s="24" t="inlineStr">
        <is>
          <t>Toledo Rockets</t>
        </is>
      </c>
      <c r="AQ713" s="24" t="inlineStr">
        <is>
          <t>Toledo Rockets</t>
        </is>
      </c>
      <c r="AR713" s="24" t="inlineStr">
        <is>
          <t>Toledo Rockets</t>
        </is>
      </c>
      <c r="AS713" s="24" t="inlineStr">
        <is>
          <t>Ball State Cardinals</t>
        </is>
      </c>
      <c r="AT713" s="24" t="inlineStr">
        <is>
          <t>Ball State Cardinals</t>
        </is>
      </c>
      <c r="AU713" s="24" t="inlineStr">
        <is>
          <t>Ball State Cardinals</t>
        </is>
      </c>
      <c r="AV713" s="24" t="n"/>
      <c r="AW713" s="24" t="n"/>
      <c r="AX713" s="24" t="inlineStr">
        <is>
          <t>statistical_model</t>
        </is>
      </c>
      <c r="AY713" s="24" t="n"/>
      <c r="AZ713" s="24" t="inlineStr">
        <is>
          <t>shadow_qualified</t>
        </is>
      </c>
      <c r="BA713" s="24" t="inlineStr">
        <is>
          <t>1d168f11d221cd3c</t>
        </is>
      </c>
      <c r="BB713" s="24" t="inlineStr">
        <is>
          <t>cfb_key_number_engine</t>
        </is>
      </c>
      <c r="BC713" s="24" t="inlineStr">
        <is>
          <t>college-football-v1</t>
        </is>
      </c>
      <c r="BD713" s="24" t="inlineStr">
        <is>
          <t>1d168f11d221cd3c</t>
        </is>
      </c>
      <c r="BE713" s="24" t="inlineStr">
        <is>
          <t>cfb-v1</t>
        </is>
      </c>
      <c r="BF713" s="24" t="inlineStr">
        <is>
          <t>1</t>
        </is>
      </c>
      <c r="BG713" s="24" t="inlineStr">
        <is>
          <t>1d168f11d221cd3c</t>
        </is>
      </c>
      <c r="BH713" s="24" t="inlineStr">
        <is>
          <t>2026-10-03T16:52:02.220681+00:00</t>
        </is>
      </c>
      <c r="BI713" s="24" t="inlineStr">
        <is>
          <t>["same_event","same_team_same_day","same_league_same_day"]</t>
        </is>
      </c>
      <c r="BJ713" s="25" t="n"/>
      <c r="BK713" s="26" t="n">
        <v>-1350</v>
      </c>
      <c r="BL713" s="27" t="n">
        <v>1.074074</v>
      </c>
      <c r="BM713" s="28" t="n">
        <v>0.931034</v>
      </c>
      <c r="BN713" s="28" t="n"/>
      <c r="BO713" s="28" t="n"/>
      <c r="BP713" s="25" t="n"/>
      <c r="BQ713" s="27" t="n"/>
      <c r="BR713" s="28" t="n"/>
      <c r="BS713" s="28" t="n"/>
      <c r="BT713" s="28" t="n"/>
      <c r="BU713" s="25" t="n"/>
      <c r="BV713" s="29" t="n"/>
      <c r="BW713" s="24" t="n"/>
      <c r="BX713" s="30" t="n">
        <v>1</v>
      </c>
      <c r="BY713" s="27" t="n">
        <v>0.074074</v>
      </c>
      <c r="BZ713" s="24" t="inlineStr">
        <is>
          <t>2026-10-03T22:00:53.621132Z</t>
        </is>
      </c>
      <c r="CA713" s="31" t="inlineStr">
        <is>
          <t>fixed one-unit hypothetical scoring; no real exposure or execution</t>
        </is>
      </c>
      <c r="CB713" s="24" t="n"/>
      <c r="CC713" s="24" t="n"/>
      <c r="CD713" s="24" t="n"/>
      <c r="CE713" s="24" t="n"/>
      <c r="CF713" s="24" t="n"/>
      <c r="CG713" s="24" t="n"/>
      <c r="CH713" s="24" t="n"/>
      <c r="CI713" s="24" t="n"/>
      <c r="CJ713" s="24" t="n"/>
      <c r="CK713" s="24" t="n"/>
      <c r="CL713" s="24" t="n"/>
      <c r="CM713" s="24" t="n"/>
      <c r="CN713" s="24" t="n"/>
      <c r="CO713" s="24" t="n"/>
      <c r="CP713" s="24" t="n"/>
      <c r="CQ713" s="24" t="n"/>
      <c r="CR713" s="24" t="n"/>
      <c r="CS713" s="24" t="inlineStr">
        <is>
          <t>False</t>
        </is>
      </c>
      <c r="CT713" s="24" t="n"/>
      <c r="CU713" s="24" t="n"/>
      <c r="CV713" s="24" t="n"/>
      <c r="CW713" s="24" t="n"/>
      <c r="CX713" s="24" t="n"/>
      <c r="CY713" s="24" t="n"/>
      <c r="CZ713" s="24" t="n"/>
      <c r="DA713" s="24" t="n"/>
      <c r="DB713" s="24" t="n"/>
      <c r="DC713" s="24" t="n"/>
      <c r="DD713" s="24" t="n"/>
      <c r="DE713" s="24" t="n"/>
      <c r="DF713" s="24" t="n"/>
      <c r="DG713" s="24" t="n"/>
      <c r="DH713" s="24" t="n"/>
      <c r="DI713" s="24" t="n"/>
      <c r="DJ713" s="24" t="inlineStr">
        <is>
          <t>0.931034</t>
        </is>
      </c>
      <c r="DK713" s="24" t="n"/>
      <c r="DL713" s="24" t="n"/>
      <c r="DM713" s="24" t="n"/>
      <c r="DN713" s="24" t="n"/>
      <c r="DO713" s="24" t="n"/>
      <c r="DP713" s="24" t="n"/>
      <c r="DQ713" s="24" t="inlineStr">
        <is>
          <t>{"artifact_hash": "1d168f11d221cd3c", "event_id": "401866431", "event_start_utc": "2026-10-03T18:00Z", "features": {"altitude_fatigue_penalty": 0.0, "away_team": "Toledo Rockets", "efficiency_gap": -2.081, "elo_away": 1592.6, "elo_home": 1204.6, "elo_home_win_prob": 0.1348, "event_id": "401866431", "game_start_utc": "2026-10-03T18:00Z", "home_field_advantage_points": 2.8, "home_team": "Ball State Cardinals", "is_dome": false, "is_fbs_vs_fcs": false, "is_neutral_site": false, "projected_away_points": 32.1, "projected_home_points": 19.0, "projected_margin_home": -13.1, "projected_possessions": 12.4, "projected_total": 51.1, "stadium_elevation_ft": 950, "travel_distance_miles": 137.0, "uncertainty": 0.165, "weather_total_adjustment": 0.0}, "historical_source_observation_times_verified": false, "inference_inputs": {"engine_source_sha256": "449ba2f0e86fa9c445730076a0e0bf100fb4914620be53c75c6f3bfe24298f3f", "mu_away": 32.1, "mu_home": 19.0,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252648249536343366206203779079629136605}, "uinteger": 0}, "spread_home_line": 21.0, "total_line": 52.5}, "market_type": "moneyline", "model_version": "college-football-v1", "observed_at_utc": "2026-10-03T16:52:02.220681+00:00", "probabilities": {"away": 0.763328, "home": 0.236672}, "replay_scope": "Full precision score means, exact engine parameters and original RNG state; upstream feature construction not certified.", "schema": "cfb-joint-replay-v1", "snapshot_hash": "c330e0e8b125a551aa363feefadf7de7a131cdb62ebaf5996aacff5ed22edf1f", "sport": "NCAAF"}</t>
        </is>
      </c>
    </row>
    <row r="714" ht="36" customHeight="1">
      <c r="A714" s="24" t="inlineStr">
        <is>
          <t>b957e9af0f064fcb</t>
        </is>
      </c>
      <c r="B714" s="24" t="inlineStr">
        <is>
          <t>2026-10-03T16:52:02.220681Z</t>
        </is>
      </c>
      <c r="C714" s="24" t="inlineStr">
        <is>
          <t>2026-10-03T18:00Z</t>
        </is>
      </c>
      <c r="D714" s="24" t="inlineStr">
        <is>
          <t>401866431</t>
        </is>
      </c>
      <c r="E714" s="24" t="inlineStr">
        <is>
          <t>NCAAF</t>
        </is>
      </c>
      <c r="F714" s="24" t="inlineStr">
        <is>
          <t>Toledo Rockets</t>
        </is>
      </c>
      <c r="G714" s="24" t="inlineStr">
        <is>
          <t>Ball State Cardinals</t>
        </is>
      </c>
      <c r="H714" s="24" t="inlineStr">
        <is>
          <t>spread</t>
        </is>
      </c>
      <c r="I714" s="24" t="inlineStr">
        <is>
          <t>home</t>
        </is>
      </c>
      <c r="J714" s="25" t="n">
        <v>21</v>
      </c>
      <c r="K714" s="24" t="inlineStr">
        <is>
          <t>espn_consensus</t>
        </is>
      </c>
      <c r="L714" s="26" t="n">
        <v>-118</v>
      </c>
      <c r="M714" s="27" t="n">
        <v>1.847458</v>
      </c>
      <c r="N714" s="28" t="n">
        <v>0.541284</v>
      </c>
      <c r="O714" s="28" t="n">
        <v>0.658933</v>
      </c>
      <c r="P714" s="28" t="n">
        <v>0.165</v>
      </c>
      <c r="Q714" s="28" t="n">
        <v>0.117649</v>
      </c>
      <c r="R714" s="26" t="n">
        <v>10</v>
      </c>
      <c r="S714" s="29" t="n">
        <v>1</v>
      </c>
      <c r="T714" s="24" t="inlineStr">
        <is>
          <t>cfb-spread-v1</t>
        </is>
      </c>
      <c r="U714" s="24" t="inlineStr">
        <is>
          <t>settled</t>
        </is>
      </c>
      <c r="V714" s="24" t="inlineStr">
        <is>
          <t>win</t>
        </is>
      </c>
      <c r="W714" s="26" t="n">
        <v>39</v>
      </c>
      <c r="X714" s="26" t="n">
        <v>24</v>
      </c>
      <c r="Y714" s="25" t="n"/>
      <c r="Z714" s="26" t="n"/>
      <c r="AA714" s="28" t="n"/>
      <c r="AB714" s="28" t="n"/>
      <c r="AC714" s="30" t="n">
        <v>0.8475</v>
      </c>
      <c r="AD714" s="24" t="inlineStr">
        <is>
          <t>2026-10-03T22:00:54.242457Z</t>
        </is>
      </c>
      <c r="AE714" s="31" t="inlineStr">
        <is>
          <t>Projected home margin -13.1 pts. Spread: Home +21.0 / Away -21.0 -&gt; P(Away cover)=0.322, P(Home cover)=0.659, P(Push)=0.019.</t>
        </is>
      </c>
      <c r="AF714" s="31" t="inlineStr">
        <is>
          <t>College football model; multi-market (moneyline, spread, total).</t>
        </is>
      </c>
      <c r="AG714" s="24" t="inlineStr">
        <is>
          <t>not_applicable</t>
        </is>
      </c>
      <c r="AH714" s="24" t="n"/>
      <c r="AI714" s="31" t="n"/>
      <c r="AJ714" s="31" t="n"/>
      <c r="AK714" s="24" t="inlineStr">
        <is>
          <t>model_qualified</t>
        </is>
      </c>
      <c r="AL714" s="26" t="n">
        <v>4</v>
      </c>
      <c r="AM714" s="24" t="inlineStr">
        <is>
          <t>QUALIFIED_SHADOW_CALL</t>
        </is>
      </c>
      <c r="AN714" s="24" t="inlineStr">
        <is>
          <t>CALL</t>
        </is>
      </c>
      <c r="AO714" s="24" t="inlineStr">
        <is>
          <t>QUALIFIED</t>
        </is>
      </c>
      <c r="AP714" s="24" t="inlineStr">
        <is>
          <t>Toledo Rockets</t>
        </is>
      </c>
      <c r="AQ714" s="24" t="inlineStr">
        <is>
          <t>Toledo Rockets</t>
        </is>
      </c>
      <c r="AR714" s="24" t="inlineStr">
        <is>
          <t>Toledo Rockets</t>
        </is>
      </c>
      <c r="AS714" s="24" t="inlineStr">
        <is>
          <t>Ball State Cardinals</t>
        </is>
      </c>
      <c r="AT714" s="24" t="inlineStr">
        <is>
          <t>Ball State Cardinals</t>
        </is>
      </c>
      <c r="AU714" s="24" t="inlineStr">
        <is>
          <t>Ball State Cardinals</t>
        </is>
      </c>
      <c r="AV714" s="24" t="n"/>
      <c r="AW714" s="24" t="n"/>
      <c r="AX714" s="24" t="inlineStr">
        <is>
          <t>statistical_model</t>
        </is>
      </c>
      <c r="AY714" s="24" t="n"/>
      <c r="AZ714" s="24" t="inlineStr">
        <is>
          <t>shadow_qualified</t>
        </is>
      </c>
      <c r="BA714" s="24" t="inlineStr">
        <is>
          <t>1d168f11d221cd3c</t>
        </is>
      </c>
      <c r="BB714" s="24" t="inlineStr">
        <is>
          <t>cfb_key_number_engine</t>
        </is>
      </c>
      <c r="BC714" s="24" t="inlineStr">
        <is>
          <t>cfb-spread-v1</t>
        </is>
      </c>
      <c r="BD714" s="24" t="inlineStr">
        <is>
          <t>1d168f11d221cd3c</t>
        </is>
      </c>
      <c r="BE714" s="24" t="inlineStr">
        <is>
          <t>cfb-v1</t>
        </is>
      </c>
      <c r="BF714" s="24" t="inlineStr">
        <is>
          <t>1</t>
        </is>
      </c>
      <c r="BG714" s="24" t="inlineStr">
        <is>
          <t>1d168f11d221cd3c</t>
        </is>
      </c>
      <c r="BH714" s="24" t="inlineStr">
        <is>
          <t>2026-10-03T16:52:02.220681+00:00</t>
        </is>
      </c>
      <c r="BI714" s="24" t="inlineStr">
        <is>
          <t>["same_event","same_team_same_day","same_league_same_day"]</t>
        </is>
      </c>
      <c r="BJ714" s="25" t="n">
        <v>21</v>
      </c>
      <c r="BK714" s="26" t="n">
        <v>-118</v>
      </c>
      <c r="BL714" s="27" t="n">
        <v>1.847458</v>
      </c>
      <c r="BM714" s="28" t="n">
        <v>0.541284</v>
      </c>
      <c r="BN714" s="28" t="n"/>
      <c r="BO714" s="28" t="n"/>
      <c r="BP714" s="25" t="n"/>
      <c r="BQ714" s="27" t="n"/>
      <c r="BR714" s="28" t="n"/>
      <c r="BS714" s="28" t="n"/>
      <c r="BT714" s="28" t="n"/>
      <c r="BU714" s="25" t="n"/>
      <c r="BV714" s="29" t="n"/>
      <c r="BW714" s="24" t="n"/>
      <c r="BX714" s="30" t="n"/>
      <c r="BY714" s="27" t="n"/>
      <c r="BZ714" s="24" t="n"/>
      <c r="CA714" s="31" t="n"/>
      <c r="CB714" s="24" t="n"/>
      <c r="CC714" s="24" t="n"/>
      <c r="CD714" s="24" t="n"/>
      <c r="CE714" s="24" t="n"/>
      <c r="CF714" s="24" t="n"/>
      <c r="CG714" s="24" t="n"/>
      <c r="CH714" s="24" t="n"/>
      <c r="CI714" s="24" t="n"/>
      <c r="CJ714" s="24" t="n"/>
      <c r="CK714" s="24" t="n"/>
      <c r="CL714" s="24" t="n"/>
      <c r="CM714" s="24" t="n"/>
      <c r="CN714" s="24" t="n"/>
      <c r="CO714" s="24" t="n"/>
      <c r="CP714" s="24" t="n"/>
      <c r="CQ714" s="24" t="n"/>
      <c r="CR714" s="24" t="n"/>
      <c r="CS714" s="24" t="inlineStr">
        <is>
          <t>True</t>
        </is>
      </c>
      <c r="CT714" s="24" t="n"/>
      <c r="CU714" s="24" t="n"/>
      <c r="CV714" s="24" t="n"/>
      <c r="CW714" s="24" t="n"/>
      <c r="CX714" s="24" t="n"/>
      <c r="CY714" s="24" t="n"/>
      <c r="CZ714" s="24" t="n"/>
      <c r="DA714" s="24" t="n"/>
      <c r="DB714" s="24" t="n"/>
      <c r="DC714" s="24" t="n"/>
      <c r="DD714" s="24" t="n"/>
      <c r="DE714" s="24" t="n"/>
      <c r="DF714" s="24" t="n"/>
      <c r="DG714" s="24" t="n"/>
      <c r="DH714" s="24" t="n"/>
      <c r="DI714" s="24" t="n"/>
      <c r="DJ714" s="24" t="inlineStr">
        <is>
          <t>0.541284</t>
        </is>
      </c>
      <c r="DK714" s="24" t="n"/>
      <c r="DL714" s="24" t="n"/>
      <c r="DM714" s="24" t="n"/>
      <c r="DN714" s="24" t="n"/>
      <c r="DO714" s="24" t="n"/>
      <c r="DP714" s="24" t="n"/>
      <c r="DQ714" s="24" t="inlineStr">
        <is>
          <t>{"artifact_hash": "1d168f11d221cd3c", "event_id": "401866431", "event_start_utc": "2026-10-03T18:00Z", "features": {"altitude_fatigue_penalty": 0.0, "away_team": "Toledo Rockets", "efficiency_gap": -2.081, "elo_away": 1592.6, "elo_home": 1204.6, "elo_home_win_prob": 0.1348, "event_id": "401866431", "game_start_utc": "2026-10-03T18:00Z", "home_field_advantage_points": 2.8, "home_team": "Ball State Cardinals", "is_dome": false, "is_fbs_vs_fcs": false, "is_neutral_site": false, "projected_away_points": 32.1, "projected_home_points": 19.0, "projected_margin_home": -13.1, "projected_possessions": 12.4, "projected_total": 51.1, "stadium_elevation_ft": 950, "travel_distance_miles": 137.0, "uncertainty": 0.165, "weather_total_adjustment": 0.0}, "historical_source_observation_times_verified": false, "inference_inputs": {"engine_source_sha256": "449ba2f0e86fa9c445730076a0e0bf100fb4914620be53c75c6f3bfe24298f3f", "mu_away": 32.1, "mu_home": 19.0,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252648249536343366206203779079629136605}, "uinteger": 0}, "spread_home_line": 21.0, "total_line": 52.5}, "market_type": "spread", "model_version": "cfb-spread-v1", "observed_at_utc": "2026-10-03T16:52:02.220681+00:00", "probabilities": {"away": 0.3216, "home": 0.658933, "push": 0.019467}, "replay_scope": "Full precision score means, exact engine parameters and original RNG state; upstream feature construction not certified.", "schema": "cfb-joint-replay-v1", "snapshot_hash": "ffd7ed5e85b9c26774e1853083674ba936414414d72ba8eb7e06c5075e9efe44", "sport": "NCAAF"}</t>
        </is>
      </c>
    </row>
    <row r="715" ht="36" customHeight="1">
      <c r="A715" s="24" t="inlineStr">
        <is>
          <t>a1058681e105431d</t>
        </is>
      </c>
      <c r="B715" s="24" t="inlineStr">
        <is>
          <t>2026-10-03T16:52:02.220681Z</t>
        </is>
      </c>
      <c r="C715" s="24" t="inlineStr">
        <is>
          <t>2026-10-03T18:00Z</t>
        </is>
      </c>
      <c r="D715" s="24" t="inlineStr">
        <is>
          <t>401866431</t>
        </is>
      </c>
      <c r="E715" s="24" t="inlineStr">
        <is>
          <t>NCAAF</t>
        </is>
      </c>
      <c r="F715" s="24" t="inlineStr">
        <is>
          <t>Toledo Rockets</t>
        </is>
      </c>
      <c r="G715" s="24" t="inlineStr">
        <is>
          <t>Ball State Cardinals</t>
        </is>
      </c>
      <c r="H715" s="24" t="inlineStr">
        <is>
          <t>total</t>
        </is>
      </c>
      <c r="I715" s="24" t="inlineStr">
        <is>
          <t>under</t>
        </is>
      </c>
      <c r="J715" s="25" t="n">
        <v>52.5</v>
      </c>
      <c r="K715" s="24" t="inlineStr">
        <is>
          <t>espn_consensus</t>
        </is>
      </c>
      <c r="L715" s="26" t="n">
        <v>-112</v>
      </c>
      <c r="M715" s="27" t="n">
        <v>1.892857</v>
      </c>
      <c r="N715" s="28" t="n">
        <v>0.528302</v>
      </c>
      <c r="O715" s="28" t="n">
        <v>0.5570000000000001</v>
      </c>
      <c r="P715" s="28" t="n">
        <v>0.165</v>
      </c>
      <c r="Q715" s="28" t="n">
        <v>0.028698</v>
      </c>
      <c r="R715" s="26" t="n">
        <v>0</v>
      </c>
      <c r="S715" s="29" t="n">
        <v>1</v>
      </c>
      <c r="T715" s="24" t="inlineStr">
        <is>
          <t>cfb-total-v1</t>
        </is>
      </c>
      <c r="U715" s="24" t="inlineStr">
        <is>
          <t>settled</t>
        </is>
      </c>
      <c r="V715" s="24" t="inlineStr">
        <is>
          <t>loss</t>
        </is>
      </c>
      <c r="W715" s="26" t="n">
        <v>39</v>
      </c>
      <c r="X715" s="26" t="n">
        <v>24</v>
      </c>
      <c r="Y715" s="25" t="n"/>
      <c r="Z715" s="26" t="n"/>
      <c r="AA715" s="28" t="n"/>
      <c r="AB715" s="28" t="n"/>
      <c r="AC715" s="30" t="n">
        <v>-1</v>
      </c>
      <c r="AD715" s="24" t="inlineStr">
        <is>
          <t>2026-10-03T22:00:54.961041Z</t>
        </is>
      </c>
      <c r="AE715" s="31" t="inlineStr">
        <is>
          <t>Projected total 51.1 pts (Weather adj: +0.0 pts). Total line 52.5 -&gt; P(Over)=0.443, P(Under)=0.557, P(Push)=0.000.</t>
        </is>
      </c>
      <c r="AF715" s="31" t="inlineStr">
        <is>
          <t>College football model; multi-market (moneyline, spread, total).</t>
        </is>
      </c>
      <c r="AG715" s="24" t="inlineStr">
        <is>
          <t>review_required</t>
        </is>
      </c>
      <c r="AH715" s="24" t="n"/>
      <c r="AI715" s="31" t="n"/>
      <c r="AJ715" s="31" t="n"/>
      <c r="AK715" s="24" t="inlineStr">
        <is>
          <t>paper_call</t>
        </is>
      </c>
      <c r="AL715" s="26" t="n">
        <v>4</v>
      </c>
      <c r="AM715" s="24" t="inlineStr">
        <is>
          <t>RESEARCH_OBSERVATION</t>
        </is>
      </c>
      <c r="AN715" s="24" t="inlineStr">
        <is>
          <t>CALL</t>
        </is>
      </c>
      <c r="AO715" s="24" t="inlineStr">
        <is>
          <t>PAPER_CALL_LOW_EDGE</t>
        </is>
      </c>
      <c r="AP715" s="24" t="inlineStr">
        <is>
          <t>Toledo Rockets</t>
        </is>
      </c>
      <c r="AQ715" s="24" t="inlineStr">
        <is>
          <t>Toledo Rockets</t>
        </is>
      </c>
      <c r="AR715" s="24" t="inlineStr">
        <is>
          <t>Toledo Rockets</t>
        </is>
      </c>
      <c r="AS715" s="24" t="inlineStr">
        <is>
          <t>Ball State Cardinals</t>
        </is>
      </c>
      <c r="AT715" s="24" t="inlineStr">
        <is>
          <t>Ball State Cardinals</t>
        </is>
      </c>
      <c r="AU715" s="24" t="inlineStr">
        <is>
          <t>Ball State Cardinals</t>
        </is>
      </c>
      <c r="AV715" s="24" t="n"/>
      <c r="AW715" s="24" t="n"/>
      <c r="AX715" s="24" t="inlineStr">
        <is>
          <t>statistical_model</t>
        </is>
      </c>
      <c r="AY715" s="24" t="n"/>
      <c r="AZ715" s="24" t="inlineStr">
        <is>
          <t>shadow_qualified</t>
        </is>
      </c>
      <c r="BA715" s="24" t="inlineStr">
        <is>
          <t>1d168f11d221cd3c</t>
        </is>
      </c>
      <c r="BB715" s="24" t="inlineStr">
        <is>
          <t>cfb_key_number_engine</t>
        </is>
      </c>
      <c r="BC715" s="24" t="inlineStr">
        <is>
          <t>cfb-total-v1</t>
        </is>
      </c>
      <c r="BD715" s="24" t="inlineStr">
        <is>
          <t>1d168f11d221cd3c</t>
        </is>
      </c>
      <c r="BE715" s="24" t="inlineStr">
        <is>
          <t>cfb-v1</t>
        </is>
      </c>
      <c r="BF715" s="24" t="inlineStr">
        <is>
          <t>1</t>
        </is>
      </c>
      <c r="BG715" s="24" t="inlineStr">
        <is>
          <t>1d168f11d221cd3c</t>
        </is>
      </c>
      <c r="BH715" s="24" t="inlineStr">
        <is>
          <t>2026-10-03T16:52:02.220681+00:00</t>
        </is>
      </c>
      <c r="BI715" s="24" t="inlineStr">
        <is>
          <t>["same_event","same_team_same_day","same_league_same_day"]</t>
        </is>
      </c>
      <c r="BJ715" s="25" t="n">
        <v>52.5</v>
      </c>
      <c r="BK715" s="26" t="n">
        <v>-112</v>
      </c>
      <c r="BL715" s="27" t="n">
        <v>1.892857</v>
      </c>
      <c r="BM715" s="28" t="n">
        <v>0.528302</v>
      </c>
      <c r="BN715" s="28" t="n"/>
      <c r="BO715" s="28" t="n"/>
      <c r="BP715" s="25" t="n"/>
      <c r="BQ715" s="27" t="n"/>
      <c r="BR715" s="28" t="n"/>
      <c r="BS715" s="28" t="n"/>
      <c r="BT715" s="28" t="n"/>
      <c r="BU715" s="25" t="n"/>
      <c r="BV715" s="29" t="n"/>
      <c r="BW715" s="24" t="n"/>
      <c r="BX715" s="30" t="n">
        <v>1</v>
      </c>
      <c r="BY715" s="27" t="n">
        <v>-1</v>
      </c>
      <c r="BZ715" s="24" t="inlineStr">
        <is>
          <t>2026-10-03T22:00:54.961041Z</t>
        </is>
      </c>
      <c r="CA715" s="31" t="inlineStr">
        <is>
          <t>fixed one-unit hypothetical scoring; no real exposure or execution</t>
        </is>
      </c>
      <c r="CB715" s="24" t="n"/>
      <c r="CC715" s="24" t="n"/>
      <c r="CD715" s="24" t="n"/>
      <c r="CE715" s="24" t="n"/>
      <c r="CF715" s="24" t="n"/>
      <c r="CG715" s="24" t="n"/>
      <c r="CH715" s="24" t="n"/>
      <c r="CI715" s="24" t="n"/>
      <c r="CJ715" s="24" t="n"/>
      <c r="CK715" s="24" t="n"/>
      <c r="CL715" s="24" t="n"/>
      <c r="CM715" s="24" t="n"/>
      <c r="CN715" s="24" t="n"/>
      <c r="CO715" s="24" t="n"/>
      <c r="CP715" s="24" t="n"/>
      <c r="CQ715" s="24" t="n"/>
      <c r="CR715" s="24" t="n"/>
      <c r="CS715" s="24" t="inlineStr">
        <is>
          <t>True</t>
        </is>
      </c>
      <c r="CT715" s="24" t="n"/>
      <c r="CU715" s="24" t="n"/>
      <c r="CV715" s="24" t="n"/>
      <c r="CW715" s="24" t="n"/>
      <c r="CX715" s="24" t="n"/>
      <c r="CY715" s="24" t="n"/>
      <c r="CZ715" s="24" t="n"/>
      <c r="DA715" s="24" t="n"/>
      <c r="DB715" s="24" t="n"/>
      <c r="DC715" s="24" t="n"/>
      <c r="DD715" s="24" t="n"/>
      <c r="DE715" s="24" t="n"/>
      <c r="DF715" s="24" t="n"/>
      <c r="DG715" s="24" t="n"/>
      <c r="DH715" s="24" t="n"/>
      <c r="DI715" s="24" t="n"/>
      <c r="DJ715" s="24" t="inlineStr">
        <is>
          <t>0.528302</t>
        </is>
      </c>
      <c r="DK715" s="24" t="n"/>
      <c r="DL715" s="24" t="n"/>
      <c r="DM715" s="24" t="n"/>
      <c r="DN715" s="24" t="n"/>
      <c r="DO715" s="24" t="n"/>
      <c r="DP715" s="24" t="n"/>
      <c r="DQ715" s="24" t="inlineStr">
        <is>
          <t>{"artifact_hash": "1d168f11d221cd3c", "event_id": "401866431", "event_start_utc": "2026-10-03T18:00Z", "features": {"altitude_fatigue_penalty": 0.0, "away_team": "Toledo Rockets", "efficiency_gap": -2.081, "elo_away": 1592.6, "elo_home": 1204.6, "elo_home_win_prob": 0.1348, "event_id": "401866431", "game_start_utc": "2026-10-03T18:00Z", "home_field_advantage_points": 2.8, "home_team": "Ball State Cardinals", "is_dome": false, "is_fbs_vs_fcs": false, "is_neutral_site": false, "projected_away_points": 32.1, "projected_home_points": 19.0, "projected_margin_home": -13.1, "projected_possessions": 12.4, "projected_total": 51.1, "stadium_elevation_ft": 950, "travel_distance_miles": 137.0, "uncertainty": 0.165, "weather_total_adjustment": 0.0}, "historical_source_observation_times_verified": false, "inference_inputs": {"engine_source_sha256": "449ba2f0e86fa9c445730076a0e0bf100fb4914620be53c75c6f3bfe24298f3f", "mu_away": 32.1, "mu_home": 19.0,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252648249536343366206203779079629136605}, "uinteger": 0}, "spread_home_line": 21.0, "total_line": 52.5}, "market_type": "total", "model_version": "cfb-total-v1", "observed_at_utc": "2026-10-03T16:52:02.220681+00:00", "probabilities": {"over": 0.443, "push": 0.0, "under": 0.557}, "replay_scope": "Full precision score means, exact engine parameters and original RNG state; upstream feature construction not certified.", "schema": "cfb-joint-replay-v1", "snapshot_hash": "3459518f57bd5ab49e92dac3e710775710e1c78639a60eba2a0ea6b432b2a2aa", "sport": "NCAAF"}</t>
        </is>
      </c>
    </row>
    <row r="716" ht="36" customHeight="1">
      <c r="A716" s="24" t="inlineStr">
        <is>
          <t>6c4b0d10c0dd4089</t>
        </is>
      </c>
      <c r="B716" s="24" t="inlineStr">
        <is>
          <t>2026-10-03T16:52:02.220681Z</t>
        </is>
      </c>
      <c r="C716" s="24" t="inlineStr">
        <is>
          <t>2026-10-03T19:30Z</t>
        </is>
      </c>
      <c r="D716" s="24" t="inlineStr">
        <is>
          <t>401858473</t>
        </is>
      </c>
      <c r="E716" s="24" t="inlineStr">
        <is>
          <t>NCAAF</t>
        </is>
      </c>
      <c r="F716" s="24" t="inlineStr">
        <is>
          <t>Ohio State Buckeyes</t>
        </is>
      </c>
      <c r="G716" s="24" t="inlineStr">
        <is>
          <t>Iowa Hawkeyes</t>
        </is>
      </c>
      <c r="H716" s="24" t="inlineStr">
        <is>
          <t>moneyline</t>
        </is>
      </c>
      <c r="I716" s="24" t="inlineStr">
        <is>
          <t>home</t>
        </is>
      </c>
      <c r="J716" s="25" t="n"/>
      <c r="K716" s="24" t="inlineStr">
        <is>
          <t>espn_consensus</t>
        </is>
      </c>
      <c r="L716" s="26" t="n">
        <v>470</v>
      </c>
      <c r="M716" s="27" t="n">
        <v>5.7</v>
      </c>
      <c r="N716" s="28" t="n">
        <v>0.175439</v>
      </c>
      <c r="O716" s="28" t="n">
        <v>0.503555</v>
      </c>
      <c r="P716" s="28" t="n">
        <v>0.165</v>
      </c>
      <c r="Q716" s="28" t="n">
        <v>0.328116</v>
      </c>
      <c r="R716" s="26" t="n">
        <v>100</v>
      </c>
      <c r="S716" s="29" t="n">
        <v>2</v>
      </c>
      <c r="T716" s="24" t="inlineStr">
        <is>
          <t>college-football-v1</t>
        </is>
      </c>
      <c r="U716" s="24" t="inlineStr">
        <is>
          <t>settled</t>
        </is>
      </c>
      <c r="V716" s="24" t="inlineStr">
        <is>
          <t>loss</t>
        </is>
      </c>
      <c r="W716" s="26" t="n">
        <v>31</v>
      </c>
      <c r="X716" s="26" t="n">
        <v>14</v>
      </c>
      <c r="Y716" s="25" t="n"/>
      <c r="Z716" s="26" t="n"/>
      <c r="AA716" s="28" t="n"/>
      <c r="AB716" s="28" t="n"/>
      <c r="AC716" s="30" t="n">
        <v>-2</v>
      </c>
      <c r="AD716" s="24" t="inlineStr">
        <is>
          <t>2026-10-04T20:17:41.135398Z</t>
        </is>
      </c>
      <c r="AE716" s="31" t="inlineStr">
        <is>
          <t>CFB Joint Model (negative_binomial): proj score Ohio State Buckeyes 28.8 @ Iowa Hawkeyes 28.7 (Margin -0.2). Possessions: 12.4, HFA: +2.8 pts.</t>
        </is>
      </c>
      <c r="AF716" s="31" t="inlineStr">
        <is>
          <t>College football model; multi-market (moneyline, spread, total).</t>
        </is>
      </c>
      <c r="AG716" s="24" t="inlineStr">
        <is>
          <t>review_required</t>
        </is>
      </c>
      <c r="AH716" s="24" t="n"/>
      <c r="AI716" s="31" t="n"/>
      <c r="AJ716" s="31" t="n"/>
      <c r="AK716" s="24" t="inlineStr">
        <is>
          <t>model_qualified</t>
        </is>
      </c>
      <c r="AL716" s="26" t="n">
        <v>4</v>
      </c>
      <c r="AM716" s="24" t="inlineStr">
        <is>
          <t>QUALIFIED_SHADOW_CALL</t>
        </is>
      </c>
      <c r="AN716" s="24" t="inlineStr">
        <is>
          <t>CALL</t>
        </is>
      </c>
      <c r="AO716" s="24" t="inlineStr">
        <is>
          <t>QUALIFIED</t>
        </is>
      </c>
      <c r="AP716" s="24" t="inlineStr">
        <is>
          <t>Ohio State Buckeyes</t>
        </is>
      </c>
      <c r="AQ716" s="24" t="inlineStr">
        <is>
          <t>Ohio State Buckeyes</t>
        </is>
      </c>
      <c r="AR716" s="24" t="inlineStr">
        <is>
          <t>Ohio State Buckeyes</t>
        </is>
      </c>
      <c r="AS716" s="24" t="inlineStr">
        <is>
          <t>Iowa Hawkeyes</t>
        </is>
      </c>
      <c r="AT716" s="24" t="inlineStr">
        <is>
          <t>Iowa Hawkeyes</t>
        </is>
      </c>
      <c r="AU716" s="24" t="inlineStr">
        <is>
          <t>Iowa Hawkeyes</t>
        </is>
      </c>
      <c r="AV716" s="24" t="n"/>
      <c r="AW716" s="24" t="n"/>
      <c r="AX716" s="24" t="inlineStr">
        <is>
          <t>statistical_model</t>
        </is>
      </c>
      <c r="AY716" s="24" t="n"/>
      <c r="AZ716" s="24" t="inlineStr">
        <is>
          <t>shadow_qualified</t>
        </is>
      </c>
      <c r="BA716" s="24" t="inlineStr">
        <is>
          <t>1d168f11d221cd3c</t>
        </is>
      </c>
      <c r="BB716" s="24" t="inlineStr">
        <is>
          <t>cfb_key_number_engine</t>
        </is>
      </c>
      <c r="BC716" s="24" t="inlineStr">
        <is>
          <t>college-football-v1</t>
        </is>
      </c>
      <c r="BD716" s="24" t="inlineStr">
        <is>
          <t>1d168f11d221cd3c</t>
        </is>
      </c>
      <c r="BE716" s="24" t="inlineStr">
        <is>
          <t>cfb-v1</t>
        </is>
      </c>
      <c r="BF716" s="24" t="inlineStr">
        <is>
          <t>1</t>
        </is>
      </c>
      <c r="BG716" s="24" t="inlineStr">
        <is>
          <t>1d168f11d221cd3c</t>
        </is>
      </c>
      <c r="BH716" s="24" t="inlineStr">
        <is>
          <t>2026-10-03T16:52:02.220681+00:00</t>
        </is>
      </c>
      <c r="BI716" s="24" t="inlineStr">
        <is>
          <t>["same_event","same_team_same_day","same_league_same_day"]</t>
        </is>
      </c>
      <c r="BJ716" s="25" t="n"/>
      <c r="BK716" s="26" t="n">
        <v>470</v>
      </c>
      <c r="BL716" s="27" t="n">
        <v>5.7</v>
      </c>
      <c r="BM716" s="28" t="n">
        <v>0.175439</v>
      </c>
      <c r="BN716" s="28" t="n"/>
      <c r="BO716" s="28" t="n"/>
      <c r="BP716" s="25" t="n"/>
      <c r="BQ716" s="27" t="n"/>
      <c r="BR716" s="28" t="n"/>
      <c r="BS716" s="28" t="n"/>
      <c r="BT716" s="28" t="n"/>
      <c r="BU716" s="25" t="n"/>
      <c r="BV716" s="29" t="n"/>
      <c r="BW716" s="24" t="n"/>
      <c r="BX716" s="30" t="n"/>
      <c r="BY716" s="27" t="n"/>
      <c r="BZ716" s="24" t="n"/>
      <c r="CA716" s="31" t="n"/>
      <c r="CB716" s="24" t="n"/>
      <c r="CC716" s="24" t="n"/>
      <c r="CD716" s="24" t="n"/>
      <c r="CE716" s="24" t="n"/>
      <c r="CF716" s="24" t="n"/>
      <c r="CG716" s="24" t="n"/>
      <c r="CH716" s="24" t="n"/>
      <c r="CI716" s="24" t="n"/>
      <c r="CJ716" s="24" t="n"/>
      <c r="CK716" s="24" t="n"/>
      <c r="CL716" s="24" t="n"/>
      <c r="CM716" s="24" t="n"/>
      <c r="CN716" s="24" t="n"/>
      <c r="CO716" s="24" t="n"/>
      <c r="CP716" s="24" t="n"/>
      <c r="CQ716" s="24" t="n"/>
      <c r="CR716" s="24" t="n"/>
      <c r="CS716" s="24" t="inlineStr">
        <is>
          <t>True</t>
        </is>
      </c>
      <c r="CT716" s="24" t="n"/>
      <c r="CU716" s="24" t="n"/>
      <c r="CV716" s="24" t="n"/>
      <c r="CW716" s="24" t="n"/>
      <c r="CX716" s="24" t="n"/>
      <c r="CY716" s="24" t="n"/>
      <c r="CZ716" s="24" t="n"/>
      <c r="DA716" s="24" t="n"/>
      <c r="DB716" s="24" t="n"/>
      <c r="DC716" s="24" t="n"/>
      <c r="DD716" s="24" t="n"/>
      <c r="DE716" s="24" t="n"/>
      <c r="DF716" s="24" t="n"/>
      <c r="DG716" s="24" t="n"/>
      <c r="DH716" s="24" t="n"/>
      <c r="DI716" s="24" t="n"/>
      <c r="DJ716" s="24" t="inlineStr">
        <is>
          <t>0.175439</t>
        </is>
      </c>
      <c r="DK716" s="24" t="n"/>
      <c r="DL716" s="24" t="n"/>
      <c r="DM716" s="24" t="n"/>
      <c r="DN716" s="24" t="n"/>
      <c r="DO716" s="24" t="n"/>
      <c r="DP716" s="24" t="n"/>
      <c r="DQ716" s="24" t="inlineStr">
        <is>
          <t>{"artifact_hash": "1d168f11d221cd3c", "event_id": "401858473", "event_start_utc": "2026-10-03T19:30Z", "features": {"altitude_fatigue_penalty": 0.0, "away_team": "Ohio State Buckeyes", "efficiency_gap": -0.629, "elo_away": 1832.8, "elo_home": 1763.6, "elo_home_win_prob": 0.494, "event_id": "401858473", "game_start_utc": "2026-10-03T19:30Z", "home_field_advantage_points": 2.8, "home_team": "Iowa Hawkeyes", "is_dome": false, "is_fbs_vs_fcs": false, "is_neutral_site": false, "projected_away_points": 28.8, "projected_home_points": 28.7, "projected_margin_home": -0.2, "projected_possessions": 12.4, "projected_total": 57.5, "stadium_elevation_ft": 680, "travel_distance_miles": 460.0, "uncertainty": 0.165, "weather_total_adjustment": 0.0}, "historical_source_observation_times_verified": false, "inference_inputs": {"engine_source_sha256": "449ba2f0e86fa9c445730076a0e0bf100fb4914620be53c75c6f3bfe24298f3f", "mu_away": 28.8, "mu_home": 28.7,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104763873174657032291865027655512985966}, "uinteger": 0}, "spread_home_line": 14.5, "total_line": 45.5}, "market_type": "moneyline", "model_version": "college-football-v1", "observed_at_utc": "2026-10-03T16:52:02.220681+00:00", "probabilities": {"away": 0.496445, "home": 0.503555}, "replay_scope": "Full precision score means, exact engine parameters and original RNG state; upstream feature construction not certified.", "schema": "cfb-joint-replay-v1", "snapshot_hash": "1a6547a92341834b6d8e0cf5d084079fe6a8b1999323eb0719f0fd9ced75cb67", "sport": "NCAAF"}</t>
        </is>
      </c>
    </row>
    <row r="717" ht="36" customHeight="1">
      <c r="A717" s="24" t="inlineStr">
        <is>
          <t>b0948a5b93d944be</t>
        </is>
      </c>
      <c r="B717" s="24" t="inlineStr">
        <is>
          <t>2026-10-03T16:52:02.220681Z</t>
        </is>
      </c>
      <c r="C717" s="24" t="inlineStr">
        <is>
          <t>2026-10-03T19:30Z</t>
        </is>
      </c>
      <c r="D717" s="24" t="inlineStr">
        <is>
          <t>401858473</t>
        </is>
      </c>
      <c r="E717" s="24" t="inlineStr">
        <is>
          <t>NCAAF</t>
        </is>
      </c>
      <c r="F717" s="24" t="inlineStr">
        <is>
          <t>Ohio State Buckeyes</t>
        </is>
      </c>
      <c r="G717" s="24" t="inlineStr">
        <is>
          <t>Iowa Hawkeyes</t>
        </is>
      </c>
      <c r="H717" s="24" t="inlineStr">
        <is>
          <t>spread</t>
        </is>
      </c>
      <c r="I717" s="24" t="inlineStr">
        <is>
          <t>home</t>
        </is>
      </c>
      <c r="J717" s="25" t="n">
        <v>14.5</v>
      </c>
      <c r="K717" s="24" t="inlineStr">
        <is>
          <t>espn_consensus</t>
        </is>
      </c>
      <c r="L717" s="26" t="n">
        <v>-115</v>
      </c>
      <c r="M717" s="27" t="n">
        <v>1.869565</v>
      </c>
      <c r="N717" s="28" t="n">
        <v>0.534884</v>
      </c>
      <c r="O717" s="28" t="n">
        <v>0.774467</v>
      </c>
      <c r="P717" s="28" t="n">
        <v>0.165</v>
      </c>
      <c r="Q717" s="28" t="n">
        <v>0.239583</v>
      </c>
      <c r="R717" s="26" t="n">
        <v>71</v>
      </c>
      <c r="S717" s="29" t="n">
        <v>1.5</v>
      </c>
      <c r="T717" s="24" t="inlineStr">
        <is>
          <t>cfb-spread-v1</t>
        </is>
      </c>
      <c r="U717" s="24" t="inlineStr">
        <is>
          <t>settled</t>
        </is>
      </c>
      <c r="V717" s="24" t="inlineStr">
        <is>
          <t>loss</t>
        </is>
      </c>
      <c r="W717" s="26" t="n">
        <v>31</v>
      </c>
      <c r="X717" s="26" t="n">
        <v>14</v>
      </c>
      <c r="Y717" s="25" t="n"/>
      <c r="Z717" s="26" t="n"/>
      <c r="AA717" s="28" t="n"/>
      <c r="AB717" s="28" t="n"/>
      <c r="AC717" s="30" t="n">
        <v>-1.5</v>
      </c>
      <c r="AD717" s="24" t="inlineStr">
        <is>
          <t>2026-10-04T20:17:45.275040Z</t>
        </is>
      </c>
      <c r="AE717" s="31" t="inlineStr">
        <is>
          <t>Projected home margin -0.2 pts. Spread: Home +14.5 / Away -14.5 -&gt; P(Away cover)=0.226, P(Home cover)=0.774, P(Push)=0.000.</t>
        </is>
      </c>
      <c r="AF717" s="31" t="inlineStr">
        <is>
          <t>College football model; multi-market (moneyline, spread, total).</t>
        </is>
      </c>
      <c r="AG717" s="24" t="inlineStr">
        <is>
          <t>review_required</t>
        </is>
      </c>
      <c r="AH717" s="24" t="n"/>
      <c r="AI717" s="31" t="n"/>
      <c r="AJ717" s="31" t="n"/>
      <c r="AK717" s="24" t="inlineStr">
        <is>
          <t>model_qualified</t>
        </is>
      </c>
      <c r="AL717" s="26" t="n">
        <v>4</v>
      </c>
      <c r="AM717" s="24" t="inlineStr">
        <is>
          <t>QUALIFIED_SHADOW_CALL</t>
        </is>
      </c>
      <c r="AN717" s="24" t="inlineStr">
        <is>
          <t>CALL</t>
        </is>
      </c>
      <c r="AO717" s="24" t="inlineStr">
        <is>
          <t>QUALIFIED</t>
        </is>
      </c>
      <c r="AP717" s="24" t="inlineStr">
        <is>
          <t>Ohio State Buckeyes</t>
        </is>
      </c>
      <c r="AQ717" s="24" t="inlineStr">
        <is>
          <t>Ohio State Buckeyes</t>
        </is>
      </c>
      <c r="AR717" s="24" t="inlineStr">
        <is>
          <t>Ohio State Buckeyes</t>
        </is>
      </c>
      <c r="AS717" s="24" t="inlineStr">
        <is>
          <t>Iowa Hawkeyes</t>
        </is>
      </c>
      <c r="AT717" s="24" t="inlineStr">
        <is>
          <t>Iowa Hawkeyes</t>
        </is>
      </c>
      <c r="AU717" s="24" t="inlineStr">
        <is>
          <t>Iowa Hawkeyes</t>
        </is>
      </c>
      <c r="AV717" s="24" t="n"/>
      <c r="AW717" s="24" t="n"/>
      <c r="AX717" s="24" t="inlineStr">
        <is>
          <t>statistical_model</t>
        </is>
      </c>
      <c r="AY717" s="24" t="n"/>
      <c r="AZ717" s="24" t="inlineStr">
        <is>
          <t>shadow_qualified</t>
        </is>
      </c>
      <c r="BA717" s="24" t="inlineStr">
        <is>
          <t>1d168f11d221cd3c</t>
        </is>
      </c>
      <c r="BB717" s="24" t="inlineStr">
        <is>
          <t>cfb_key_number_engine</t>
        </is>
      </c>
      <c r="BC717" s="24" t="inlineStr">
        <is>
          <t>cfb-spread-v1</t>
        </is>
      </c>
      <c r="BD717" s="24" t="inlineStr">
        <is>
          <t>1d168f11d221cd3c</t>
        </is>
      </c>
      <c r="BE717" s="24" t="inlineStr">
        <is>
          <t>cfb-v1</t>
        </is>
      </c>
      <c r="BF717" s="24" t="inlineStr">
        <is>
          <t>1</t>
        </is>
      </c>
      <c r="BG717" s="24" t="inlineStr">
        <is>
          <t>1d168f11d221cd3c</t>
        </is>
      </c>
      <c r="BH717" s="24" t="inlineStr">
        <is>
          <t>2026-10-03T16:52:02.220681+00:00</t>
        </is>
      </c>
      <c r="BI717" s="24" t="inlineStr">
        <is>
          <t>["same_event","same_team_same_day","same_league_same_day"]</t>
        </is>
      </c>
      <c r="BJ717" s="25" t="n">
        <v>14.5</v>
      </c>
      <c r="BK717" s="26" t="n">
        <v>-115</v>
      </c>
      <c r="BL717" s="27" t="n">
        <v>1.869565</v>
      </c>
      <c r="BM717" s="28" t="n">
        <v>0.534884</v>
      </c>
      <c r="BN717" s="28" t="n"/>
      <c r="BO717" s="28" t="n"/>
      <c r="BP717" s="25" t="n"/>
      <c r="BQ717" s="27" t="n"/>
      <c r="BR717" s="28" t="n"/>
      <c r="BS717" s="28" t="n"/>
      <c r="BT717" s="28" t="n"/>
      <c r="BU717" s="25" t="n"/>
      <c r="BV717" s="29" t="n"/>
      <c r="BW717" s="24" t="n"/>
      <c r="BX717" s="30" t="n"/>
      <c r="BY717" s="27" t="n"/>
      <c r="BZ717" s="24" t="n"/>
      <c r="CA717" s="31" t="n"/>
      <c r="CB717" s="24" t="n"/>
      <c r="CC717" s="24" t="n"/>
      <c r="CD717" s="24" t="n"/>
      <c r="CE717" s="24" t="n"/>
      <c r="CF717" s="24" t="n"/>
      <c r="CG717" s="24" t="n"/>
      <c r="CH717" s="24" t="n"/>
      <c r="CI717" s="24" t="n"/>
      <c r="CJ717" s="24" t="n"/>
      <c r="CK717" s="24" t="n"/>
      <c r="CL717" s="24" t="n"/>
      <c r="CM717" s="24" t="n"/>
      <c r="CN717" s="24" t="n"/>
      <c r="CO717" s="24" t="n"/>
      <c r="CP717" s="24" t="n"/>
      <c r="CQ717" s="24" t="n"/>
      <c r="CR717" s="24" t="n"/>
      <c r="CS717" s="24" t="inlineStr">
        <is>
          <t>True</t>
        </is>
      </c>
      <c r="CT717" s="24" t="n"/>
      <c r="CU717" s="24" t="n"/>
      <c r="CV717" s="24" t="n"/>
      <c r="CW717" s="24" t="n"/>
      <c r="CX717" s="24" t="n"/>
      <c r="CY717" s="24" t="n"/>
      <c r="CZ717" s="24" t="n"/>
      <c r="DA717" s="24" t="n"/>
      <c r="DB717" s="24" t="n"/>
      <c r="DC717" s="24" t="n"/>
      <c r="DD717" s="24" t="n"/>
      <c r="DE717" s="24" t="n"/>
      <c r="DF717" s="24" t="n"/>
      <c r="DG717" s="24" t="n"/>
      <c r="DH717" s="24" t="n"/>
      <c r="DI717" s="24" t="n"/>
      <c r="DJ717" s="24" t="inlineStr">
        <is>
          <t>0.534884</t>
        </is>
      </c>
      <c r="DK717" s="24" t="n"/>
      <c r="DL717" s="24" t="n"/>
      <c r="DM717" s="24" t="n"/>
      <c r="DN717" s="24" t="n"/>
      <c r="DO717" s="24" t="n"/>
      <c r="DP717" s="24" t="n"/>
      <c r="DQ717" s="24" t="inlineStr">
        <is>
          <t>{"artifact_hash": "1d168f11d221cd3c", "event_id": "401858473", "event_start_utc": "2026-10-03T19:30Z", "features": {"altitude_fatigue_penalty": 0.0, "away_team": "Ohio State Buckeyes", "efficiency_gap": -0.629, "elo_away": 1832.8, "elo_home": 1763.6, "elo_home_win_prob": 0.494, "event_id": "401858473", "game_start_utc": "2026-10-03T19:30Z", "home_field_advantage_points": 2.8, "home_team": "Iowa Hawkeyes", "is_dome": false, "is_fbs_vs_fcs": false, "is_neutral_site": false, "projected_away_points": 28.8, "projected_home_points": 28.7, "projected_margin_home": -0.2, "projected_possessions": 12.4, "projected_total": 57.5, "stadium_elevation_ft": 680, "travel_distance_miles": 460.0, "uncertainty": 0.165, "weather_total_adjustment": 0.0}, "historical_source_observation_times_verified": false, "inference_inputs": {"engine_source_sha256": "449ba2f0e86fa9c445730076a0e0bf100fb4914620be53c75c6f3bfe24298f3f", "mu_away": 28.8, "mu_home": 28.7,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104763873174657032291865027655512985966}, "uinteger": 0}, "spread_home_line": 14.5, "total_line": 45.5}, "market_type": "spread", "model_version": "cfb-spread-v1", "observed_at_utc": "2026-10-03T16:52:02.220681+00:00", "probabilities": {"away": 0.225533, "home": 0.774467, "push": 0.0}, "replay_scope": "Full precision score means, exact engine parameters and original RNG state; upstream feature construction not certified.", "schema": "cfb-joint-replay-v1", "snapshot_hash": "5a34afdf1a231203e9898dd75133c6bd5316eb4f9fe430fadf80dfa972b1fca4", "sport": "NCAAF"}</t>
        </is>
      </c>
    </row>
    <row r="718" ht="36" customHeight="1">
      <c r="A718" s="24" t="inlineStr">
        <is>
          <t>90d6cf3bab434c8a</t>
        </is>
      </c>
      <c r="B718" s="24" t="inlineStr">
        <is>
          <t>2026-10-03T16:52:02.220681Z</t>
        </is>
      </c>
      <c r="C718" s="24" t="inlineStr">
        <is>
          <t>2026-10-03T19:30Z</t>
        </is>
      </c>
      <c r="D718" s="24" t="inlineStr">
        <is>
          <t>401858473</t>
        </is>
      </c>
      <c r="E718" s="24" t="inlineStr">
        <is>
          <t>NCAAF</t>
        </is>
      </c>
      <c r="F718" s="24" t="inlineStr">
        <is>
          <t>Ohio State Buckeyes</t>
        </is>
      </c>
      <c r="G718" s="24" t="inlineStr">
        <is>
          <t>Iowa Hawkeyes</t>
        </is>
      </c>
      <c r="H718" s="24" t="inlineStr">
        <is>
          <t>total</t>
        </is>
      </c>
      <c r="I718" s="24" t="inlineStr">
        <is>
          <t>over</t>
        </is>
      </c>
      <c r="J718" s="25" t="n">
        <v>45.5</v>
      </c>
      <c r="K718" s="24" t="inlineStr">
        <is>
          <t>espn_consensus</t>
        </is>
      </c>
      <c r="L718" s="26" t="n">
        <v>-110</v>
      </c>
      <c r="M718" s="27" t="n">
        <v>1.909091</v>
      </c>
      <c r="N718" s="28" t="n">
        <v>0.52381</v>
      </c>
      <c r="O718" s="28" t="n">
        <v>0.665667</v>
      </c>
      <c r="P718" s="28" t="n">
        <v>0.165</v>
      </c>
      <c r="Q718" s="28" t="n">
        <v>0.141857</v>
      </c>
      <c r="R718" s="26" t="n">
        <v>22</v>
      </c>
      <c r="S718" s="29" t="n">
        <v>1</v>
      </c>
      <c r="T718" s="24" t="inlineStr">
        <is>
          <t>cfb-total-v1</t>
        </is>
      </c>
      <c r="U718" s="24" t="inlineStr">
        <is>
          <t>settled</t>
        </is>
      </c>
      <c r="V718" s="24" t="inlineStr">
        <is>
          <t>loss</t>
        </is>
      </c>
      <c r="W718" s="26" t="n">
        <v>31</v>
      </c>
      <c r="X718" s="26" t="n">
        <v>14</v>
      </c>
      <c r="Y718" s="25" t="n"/>
      <c r="Z718" s="26" t="n"/>
      <c r="AA718" s="28" t="n"/>
      <c r="AB718" s="28" t="n"/>
      <c r="AC718" s="30" t="n">
        <v>-1</v>
      </c>
      <c r="AD718" s="24" t="inlineStr">
        <is>
          <t>2026-10-04T20:17:49.608872Z</t>
        </is>
      </c>
      <c r="AE718" s="31" t="inlineStr">
        <is>
          <t>Projected total 57.5 pts (Weather adj: +0.0 pts). Total line 45.5 -&gt; P(Over)=0.666, P(Under)=0.334, P(Push)=0.000.</t>
        </is>
      </c>
      <c r="AF718" s="31" t="inlineStr">
        <is>
          <t>College football model; multi-market (moneyline, spread, total).</t>
        </is>
      </c>
      <c r="AG718" s="24" t="inlineStr">
        <is>
          <t>review_required</t>
        </is>
      </c>
      <c r="AH718" s="24" t="n"/>
      <c r="AI718" s="31" t="n"/>
      <c r="AJ718" s="31" t="n"/>
      <c r="AK718" s="24" t="inlineStr">
        <is>
          <t>model_qualified</t>
        </is>
      </c>
      <c r="AL718" s="26" t="n">
        <v>4</v>
      </c>
      <c r="AM718" s="24" t="inlineStr">
        <is>
          <t>QUALIFIED_SHADOW_CALL</t>
        </is>
      </c>
      <c r="AN718" s="24" t="inlineStr">
        <is>
          <t>CALL</t>
        </is>
      </c>
      <c r="AO718" s="24" t="inlineStr">
        <is>
          <t>QUALIFIED</t>
        </is>
      </c>
      <c r="AP718" s="24" t="inlineStr">
        <is>
          <t>Ohio State Buckeyes</t>
        </is>
      </c>
      <c r="AQ718" s="24" t="inlineStr">
        <is>
          <t>Ohio State Buckeyes</t>
        </is>
      </c>
      <c r="AR718" s="24" t="inlineStr">
        <is>
          <t>Ohio State Buckeyes</t>
        </is>
      </c>
      <c r="AS718" s="24" t="inlineStr">
        <is>
          <t>Iowa Hawkeyes</t>
        </is>
      </c>
      <c r="AT718" s="24" t="inlineStr">
        <is>
          <t>Iowa Hawkeyes</t>
        </is>
      </c>
      <c r="AU718" s="24" t="inlineStr">
        <is>
          <t>Iowa Hawkeyes</t>
        </is>
      </c>
      <c r="AV718" s="24" t="n"/>
      <c r="AW718" s="24" t="n"/>
      <c r="AX718" s="24" t="inlineStr">
        <is>
          <t>statistical_model</t>
        </is>
      </c>
      <c r="AY718" s="24" t="n"/>
      <c r="AZ718" s="24" t="inlineStr">
        <is>
          <t>shadow_qualified</t>
        </is>
      </c>
      <c r="BA718" s="24" t="inlineStr">
        <is>
          <t>1d168f11d221cd3c</t>
        </is>
      </c>
      <c r="BB718" s="24" t="inlineStr">
        <is>
          <t>cfb_key_number_engine</t>
        </is>
      </c>
      <c r="BC718" s="24" t="inlineStr">
        <is>
          <t>cfb-total-v1</t>
        </is>
      </c>
      <c r="BD718" s="24" t="inlineStr">
        <is>
          <t>1d168f11d221cd3c</t>
        </is>
      </c>
      <c r="BE718" s="24" t="inlineStr">
        <is>
          <t>cfb-v1</t>
        </is>
      </c>
      <c r="BF718" s="24" t="inlineStr">
        <is>
          <t>1</t>
        </is>
      </c>
      <c r="BG718" s="24" t="inlineStr">
        <is>
          <t>1d168f11d221cd3c</t>
        </is>
      </c>
      <c r="BH718" s="24" t="inlineStr">
        <is>
          <t>2026-10-03T16:52:02.220681+00:00</t>
        </is>
      </c>
      <c r="BI718" s="24" t="inlineStr">
        <is>
          <t>["same_event","same_team_same_day","same_league_same_day"]</t>
        </is>
      </c>
      <c r="BJ718" s="25" t="n">
        <v>45.5</v>
      </c>
      <c r="BK718" s="26" t="n">
        <v>-110</v>
      </c>
      <c r="BL718" s="27" t="n">
        <v>1.909091</v>
      </c>
      <c r="BM718" s="28" t="n">
        <v>0.52381</v>
      </c>
      <c r="BN718" s="28" t="n"/>
      <c r="BO718" s="28" t="n"/>
      <c r="BP718" s="25" t="n"/>
      <c r="BQ718" s="27" t="n"/>
      <c r="BR718" s="28" t="n"/>
      <c r="BS718" s="28" t="n"/>
      <c r="BT718" s="28" t="n"/>
      <c r="BU718" s="25" t="n"/>
      <c r="BV718" s="29" t="n"/>
      <c r="BW718" s="24" t="n"/>
      <c r="BX718" s="30" t="n"/>
      <c r="BY718" s="27" t="n"/>
      <c r="BZ718" s="24" t="n"/>
      <c r="CA718" s="31" t="n"/>
      <c r="CB718" s="24" t="n"/>
      <c r="CC718" s="24" t="n"/>
      <c r="CD718" s="24" t="n"/>
      <c r="CE718" s="24" t="n"/>
      <c r="CF718" s="24" t="n"/>
      <c r="CG718" s="24" t="n"/>
      <c r="CH718" s="24" t="n"/>
      <c r="CI718" s="24" t="n"/>
      <c r="CJ718" s="24" t="n"/>
      <c r="CK718" s="24" t="n"/>
      <c r="CL718" s="24" t="n"/>
      <c r="CM718" s="24" t="n"/>
      <c r="CN718" s="24" t="n"/>
      <c r="CO718" s="24" t="n"/>
      <c r="CP718" s="24" t="n"/>
      <c r="CQ718" s="24" t="n"/>
      <c r="CR718" s="24" t="n"/>
      <c r="CS718" s="24" t="inlineStr">
        <is>
          <t>True</t>
        </is>
      </c>
      <c r="CT718" s="24" t="n"/>
      <c r="CU718" s="24" t="n"/>
      <c r="CV718" s="24" t="n"/>
      <c r="CW718" s="24" t="n"/>
      <c r="CX718" s="24" t="n"/>
      <c r="CY718" s="24" t="n"/>
      <c r="CZ718" s="24" t="n"/>
      <c r="DA718" s="24" t="n"/>
      <c r="DB718" s="24" t="n"/>
      <c r="DC718" s="24" t="n"/>
      <c r="DD718" s="24" t="n"/>
      <c r="DE718" s="24" t="n"/>
      <c r="DF718" s="24" t="n"/>
      <c r="DG718" s="24" t="n"/>
      <c r="DH718" s="24" t="n"/>
      <c r="DI718" s="24" t="n"/>
      <c r="DJ718" s="24" t="inlineStr">
        <is>
          <t>0.52381</t>
        </is>
      </c>
      <c r="DK718" s="24" t="n"/>
      <c r="DL718" s="24" t="n"/>
      <c r="DM718" s="24" t="n"/>
      <c r="DN718" s="24" t="n"/>
      <c r="DO718" s="24" t="n"/>
      <c r="DP718" s="24" t="n"/>
      <c r="DQ718" s="24" t="inlineStr">
        <is>
          <t>{"artifact_hash": "1d168f11d221cd3c", "event_id": "401858473", "event_start_utc": "2026-10-03T19:30Z", "features": {"altitude_fatigue_penalty": 0.0, "away_team": "Ohio State Buckeyes", "efficiency_gap": -0.629, "elo_away": 1832.8, "elo_home": 1763.6, "elo_home_win_prob": 0.494, "event_id": "401858473", "game_start_utc": "2026-10-03T19:30Z", "home_field_advantage_points": 2.8, "home_team": "Iowa Hawkeyes", "is_dome": false, "is_fbs_vs_fcs": false, "is_neutral_site": false, "projected_away_points": 28.8, "projected_home_points": 28.7, "projected_margin_home": -0.2, "projected_possessions": 12.4, "projected_total": 57.5, "stadium_elevation_ft": 680, "travel_distance_miles": 460.0, "uncertainty": 0.165, "weather_total_adjustment": 0.0}, "historical_source_observation_times_verified": false, "inference_inputs": {"engine_source_sha256": "449ba2f0e86fa9c445730076a0e0bf100fb4914620be53c75c6f3bfe24298f3f", "mu_away": 28.8, "mu_home": 28.7,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104763873174657032291865027655512985966}, "uinteger": 0}, "spread_home_line": 14.5, "total_line": 45.5}, "market_type": "total", "model_version": "cfb-total-v1", "observed_at_utc": "2026-10-03T16:52:02.220681+00:00", "probabilities": {"over": 0.665667, "push": 0.0, "under": 0.334333}, "replay_scope": "Full precision score means, exact engine parameters and original RNG state; upstream feature construction not certified.", "schema": "cfb-joint-replay-v1", "snapshot_hash": "cc1bd8b2e2e0147cebf9da813c222fcb3b7a3610475347548c91d438c50f8552", "sport": "NCAAF"}</t>
        </is>
      </c>
    </row>
    <row r="719" ht="36" customHeight="1">
      <c r="A719" s="24" t="inlineStr">
        <is>
          <t>a219725570c24cb1</t>
        </is>
      </c>
      <c r="B719" s="24" t="inlineStr">
        <is>
          <t>2026-10-03T16:52:02.220681Z</t>
        </is>
      </c>
      <c r="C719" s="24" t="inlineStr">
        <is>
          <t>2026-10-03T19:30Z</t>
        </is>
      </c>
      <c r="D719" s="24" t="inlineStr">
        <is>
          <t>401856708</t>
        </is>
      </c>
      <c r="E719" s="24" t="inlineStr">
        <is>
          <t>NCAAF</t>
        </is>
      </c>
      <c r="F719" s="24" t="inlineStr">
        <is>
          <t>Florida Gators</t>
        </is>
      </c>
      <c r="G719" s="24" t="inlineStr">
        <is>
          <t>Missouri Tigers</t>
        </is>
      </c>
      <c r="H719" s="24" t="inlineStr">
        <is>
          <t>moneyline</t>
        </is>
      </c>
      <c r="I719" s="24" t="inlineStr">
        <is>
          <t>home</t>
        </is>
      </c>
      <c r="J719" s="25" t="n"/>
      <c r="K719" s="24" t="inlineStr">
        <is>
          <t>espn_consensus</t>
        </is>
      </c>
      <c r="L719" s="26" t="n">
        <v>180</v>
      </c>
      <c r="M719" s="27" t="n">
        <v>2.8</v>
      </c>
      <c r="N719" s="28" t="n">
        <v>0.357143</v>
      </c>
      <c r="O719" s="28" t="n">
        <v>0.5866400000000001</v>
      </c>
      <c r="P719" s="28" t="n">
        <v>0.18</v>
      </c>
      <c r="Q719" s="28" t="n">
        <v>0.229497</v>
      </c>
      <c r="R719" s="26" t="n">
        <v>57</v>
      </c>
      <c r="S719" s="29" t="n">
        <v>1.25</v>
      </c>
      <c r="T719" s="24" t="inlineStr">
        <is>
          <t>college-football-v1</t>
        </is>
      </c>
      <c r="U719" s="24" t="inlineStr">
        <is>
          <t>settled</t>
        </is>
      </c>
      <c r="V719" s="24" t="inlineStr">
        <is>
          <t>win</t>
        </is>
      </c>
      <c r="W719" s="26" t="n">
        <v>17</v>
      </c>
      <c r="X719" s="26" t="n">
        <v>45</v>
      </c>
      <c r="Y719" s="25" t="n"/>
      <c r="Z719" s="26" t="n"/>
      <c r="AA719" s="28" t="n"/>
      <c r="AB719" s="28" t="n"/>
      <c r="AC719" s="30" t="n">
        <v>2.25</v>
      </c>
      <c r="AD719" s="24" t="inlineStr">
        <is>
          <t>2026-10-04T20:17:55.069237Z</t>
        </is>
      </c>
      <c r="AE719" s="31" t="inlineStr">
        <is>
          <t>CFB Joint Model (negative_binomial): proj score Florida Gators 26.7 @ Missouri Tigers 30.9 (Margin +4.2). Possessions: 12.4, HFA: +2.8 pts.</t>
        </is>
      </c>
      <c r="AF719" s="31" t="inlineStr">
        <is>
          <t>College football model; multi-market (moneyline, spread, total).</t>
        </is>
      </c>
      <c r="AG719" s="24" t="inlineStr">
        <is>
          <t>not_applicable</t>
        </is>
      </c>
      <c r="AH719" s="24" t="n"/>
      <c r="AI719" s="31" t="n"/>
      <c r="AJ719" s="31" t="n"/>
      <c r="AK719" s="24" t="inlineStr">
        <is>
          <t>model_qualified</t>
        </is>
      </c>
      <c r="AL719" s="26" t="n">
        <v>4</v>
      </c>
      <c r="AM719" s="24" t="inlineStr">
        <is>
          <t>QUALIFIED_SHADOW_CALL</t>
        </is>
      </c>
      <c r="AN719" s="24" t="inlineStr">
        <is>
          <t>CALL</t>
        </is>
      </c>
      <c r="AO719" s="24" t="inlineStr">
        <is>
          <t>QUALIFIED</t>
        </is>
      </c>
      <c r="AP719" s="24" t="inlineStr">
        <is>
          <t>Florida Gators</t>
        </is>
      </c>
      <c r="AQ719" s="24" t="inlineStr">
        <is>
          <t>Florida Gators</t>
        </is>
      </c>
      <c r="AR719" s="24" t="inlineStr">
        <is>
          <t>Florida Gators</t>
        </is>
      </c>
      <c r="AS719" s="24" t="inlineStr">
        <is>
          <t>Missouri Tigers</t>
        </is>
      </c>
      <c r="AT719" s="24" t="inlineStr">
        <is>
          <t>Missouri Tigers</t>
        </is>
      </c>
      <c r="AU719" s="24" t="inlineStr">
        <is>
          <t>Missouri Tigers</t>
        </is>
      </c>
      <c r="AV719" s="24" t="n"/>
      <c r="AW719" s="24" t="n"/>
      <c r="AX719" s="24" t="inlineStr">
        <is>
          <t>statistical_model</t>
        </is>
      </c>
      <c r="AY719" s="24" t="n"/>
      <c r="AZ719" s="24" t="inlineStr">
        <is>
          <t>shadow_qualified</t>
        </is>
      </c>
      <c r="BA719" s="24" t="inlineStr">
        <is>
          <t>1d168f11d221cd3c</t>
        </is>
      </c>
      <c r="BB719" s="24" t="inlineStr">
        <is>
          <t>cfb_key_number_engine</t>
        </is>
      </c>
      <c r="BC719" s="24" t="inlineStr">
        <is>
          <t>college-football-v1</t>
        </is>
      </c>
      <c r="BD719" s="24" t="inlineStr">
        <is>
          <t>1d168f11d221cd3c</t>
        </is>
      </c>
      <c r="BE719" s="24" t="inlineStr">
        <is>
          <t>cfb-v1</t>
        </is>
      </c>
      <c r="BF719" s="24" t="inlineStr">
        <is>
          <t>1</t>
        </is>
      </c>
      <c r="BG719" s="24" t="inlineStr">
        <is>
          <t>1d168f11d221cd3c</t>
        </is>
      </c>
      <c r="BH719" s="24" t="inlineStr">
        <is>
          <t>2026-10-03T16:52:02.220681+00:00</t>
        </is>
      </c>
      <c r="BI719" s="24" t="inlineStr">
        <is>
          <t>["same_event","same_team_same_day","same_league_same_day"]</t>
        </is>
      </c>
      <c r="BJ719" s="25" t="n"/>
      <c r="BK719" s="26" t="n">
        <v>180</v>
      </c>
      <c r="BL719" s="27" t="n">
        <v>2.8</v>
      </c>
      <c r="BM719" s="28" t="n">
        <v>0.357143</v>
      </c>
      <c r="BN719" s="28" t="n"/>
      <c r="BO719" s="28" t="n"/>
      <c r="BP719" s="25" t="n"/>
      <c r="BQ719" s="27" t="n"/>
      <c r="BR719" s="28" t="n"/>
      <c r="BS719" s="28" t="n"/>
      <c r="BT719" s="28" t="n"/>
      <c r="BU719" s="25" t="n"/>
      <c r="BV719" s="29" t="n"/>
      <c r="BW719" s="24" t="n"/>
      <c r="BX719" s="30" t="n"/>
      <c r="BY719" s="27" t="n"/>
      <c r="BZ719" s="24" t="n"/>
      <c r="CA719" s="31" t="n"/>
      <c r="CB719" s="24" t="n"/>
      <c r="CC719" s="24" t="n"/>
      <c r="CD719" s="24" t="n"/>
      <c r="CE719" s="24" t="n"/>
      <c r="CF719" s="24" t="n"/>
      <c r="CG719" s="24" t="n"/>
      <c r="CH719" s="24" t="n"/>
      <c r="CI719" s="24" t="n"/>
      <c r="CJ719" s="24" t="n"/>
      <c r="CK719" s="24" t="n"/>
      <c r="CL719" s="24" t="n"/>
      <c r="CM719" s="24" t="n"/>
      <c r="CN719" s="24" t="n"/>
      <c r="CO719" s="24" t="n"/>
      <c r="CP719" s="24" t="n"/>
      <c r="CQ719" s="24" t="n"/>
      <c r="CR719" s="24" t="n"/>
      <c r="CS719" s="24" t="inlineStr">
        <is>
          <t>True</t>
        </is>
      </c>
      <c r="CT719" s="24" t="n"/>
      <c r="CU719" s="24" t="n"/>
      <c r="CV719" s="24" t="n"/>
      <c r="CW719" s="24" t="n"/>
      <c r="CX719" s="24" t="n"/>
      <c r="CY719" s="24" t="n"/>
      <c r="CZ719" s="24" t="n"/>
      <c r="DA719" s="24" t="n"/>
      <c r="DB719" s="24" t="n"/>
      <c r="DC719" s="24" t="n"/>
      <c r="DD719" s="24" t="n"/>
      <c r="DE719" s="24" t="n"/>
      <c r="DF719" s="24" t="n"/>
      <c r="DG719" s="24" t="n"/>
      <c r="DH719" s="24" t="n"/>
      <c r="DI719" s="24" t="n"/>
      <c r="DJ719" s="24" t="inlineStr">
        <is>
          <t>0.357143</t>
        </is>
      </c>
      <c r="DK719" s="24" t="n"/>
      <c r="DL719" s="24" t="n"/>
      <c r="DM719" s="24" t="n"/>
      <c r="DN719" s="24" t="n"/>
      <c r="DO719" s="24" t="n"/>
      <c r="DP719" s="24" t="n"/>
      <c r="DQ719" s="24" t="inlineStr">
        <is>
          <t>{"artifact_hash": "1d168f11d221cd3c", "event_id": "401856708", "event_start_utc": "2026-10-03T19:30Z", "features": {"altitude_fatigue_penalty": 0.0, "away_team": "Florida Gators", "efficiency_gap": -1.766, "elo_away": 1522.4, "elo_home": 1560.8, "elo_home_win_prob": 0.6446, "event_id": "401856708", "game_start_utc": "2026-10-03T19:30Z", "home_field_advantage_points": 2.8, "home_team": "Missouri Tigers", "is_dome": false, "is_fbs_vs_fcs": false, "is_neutral_site": false, "projected_away_points": 26.7, "projected_home_points": 30.9, "projected_margin_home": 4.2, "projected_possessions": 12.4, "projected_total": 57.7, "stadium_elevation_ft": 740, "travel_distance_miles": 857.0, "uncertainty": 0.18, "weather_total_adjustment": 0.0}, "historical_source_observation_times_verified": false, "inference_inputs": {"engine_source_sha256": "449ba2f0e86fa9c445730076a0e0bf100fb4914620be53c75c6f3bfe24298f3f", "mu_away": 26.7, "mu_home": 30.9,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37455063281971653120771443211007276533}, "uinteger": 0}, "spread_home_line": 5.5, "total_line": 57.5}, "market_type": "moneyline", "model_version": "college-football-v1", "observed_at_utc": "2026-10-03T16:52:02.220681+00:00", "probabilities": {"away": 0.41336, "home": 0.58664}, "replay_scope": "Full precision score means, exact engine parameters and original RNG state; upstream feature construction not certified.", "schema": "cfb-joint-replay-v1", "snapshot_hash": "f130df7233a2dc68c9dd87a24843a91555ed5e3e35e2bbd9d29116ac1b2fd788", "sport": "NCAAF"}</t>
        </is>
      </c>
    </row>
    <row r="720" ht="36" customHeight="1">
      <c r="A720" s="24" t="inlineStr">
        <is>
          <t>5b4881ceb279488f</t>
        </is>
      </c>
      <c r="B720" s="24" t="inlineStr">
        <is>
          <t>2026-10-03T16:52:02.220681Z</t>
        </is>
      </c>
      <c r="C720" s="24" t="inlineStr">
        <is>
          <t>2026-10-03T19:30Z</t>
        </is>
      </c>
      <c r="D720" s="24" t="inlineStr">
        <is>
          <t>401856708</t>
        </is>
      </c>
      <c r="E720" s="24" t="inlineStr">
        <is>
          <t>NCAAF</t>
        </is>
      </c>
      <c r="F720" s="24" t="inlineStr">
        <is>
          <t>Florida Gators</t>
        </is>
      </c>
      <c r="G720" s="24" t="inlineStr">
        <is>
          <t>Missouri Tigers</t>
        </is>
      </c>
      <c r="H720" s="24" t="inlineStr">
        <is>
          <t>spread</t>
        </is>
      </c>
      <c r="I720" s="24" t="inlineStr">
        <is>
          <t>home</t>
        </is>
      </c>
      <c r="J720" s="25" t="n">
        <v>5.5</v>
      </c>
      <c r="K720" s="24" t="inlineStr">
        <is>
          <t>espn_consensus</t>
        </is>
      </c>
      <c r="L720" s="26" t="n">
        <v>-110</v>
      </c>
      <c r="M720" s="27" t="n">
        <v>1.909091</v>
      </c>
      <c r="N720" s="28" t="n">
        <v>0.52381</v>
      </c>
      <c r="O720" s="28" t="n">
        <v>0.6888</v>
      </c>
      <c r="P720" s="28" t="n">
        <v>0.18</v>
      </c>
      <c r="Q720" s="28" t="n">
        <v>0.16499</v>
      </c>
      <c r="R720" s="26" t="n">
        <v>24</v>
      </c>
      <c r="S720" s="29" t="n">
        <v>1</v>
      </c>
      <c r="T720" s="24" t="inlineStr">
        <is>
          <t>cfb-spread-v1</t>
        </is>
      </c>
      <c r="U720" s="24" t="inlineStr">
        <is>
          <t>settled</t>
        </is>
      </c>
      <c r="V720" s="24" t="inlineStr">
        <is>
          <t>win</t>
        </is>
      </c>
      <c r="W720" s="26" t="n">
        <v>17</v>
      </c>
      <c r="X720" s="26" t="n">
        <v>45</v>
      </c>
      <c r="Y720" s="25" t="n"/>
      <c r="Z720" s="26" t="n"/>
      <c r="AA720" s="28" t="n"/>
      <c r="AB720" s="28" t="n"/>
      <c r="AC720" s="30" t="n">
        <v>0.9091</v>
      </c>
      <c r="AD720" s="24" t="inlineStr">
        <is>
          <t>2026-10-04T20:18:02.078024Z</t>
        </is>
      </c>
      <c r="AE720" s="31" t="inlineStr">
        <is>
          <t>Projected home margin +4.2 pts. Spread: Home +5.5 / Away -5.5 -&gt; P(Away cover)=0.311, P(Home cover)=0.689, P(Push)=0.000.</t>
        </is>
      </c>
      <c r="AF720" s="31" t="inlineStr">
        <is>
          <t>College football model; multi-market (moneyline, spread, total).</t>
        </is>
      </c>
      <c r="AG720" s="24" t="inlineStr">
        <is>
          <t>not_applicable</t>
        </is>
      </c>
      <c r="AH720" s="24" t="n"/>
      <c r="AI720" s="31" t="n"/>
      <c r="AJ720" s="31" t="n"/>
      <c r="AK720" s="24" t="inlineStr">
        <is>
          <t>model_qualified</t>
        </is>
      </c>
      <c r="AL720" s="26" t="n">
        <v>4</v>
      </c>
      <c r="AM720" s="24" t="inlineStr">
        <is>
          <t>QUALIFIED_SHADOW_CALL</t>
        </is>
      </c>
      <c r="AN720" s="24" t="inlineStr">
        <is>
          <t>CALL</t>
        </is>
      </c>
      <c r="AO720" s="24" t="inlineStr">
        <is>
          <t>QUALIFIED</t>
        </is>
      </c>
      <c r="AP720" s="24" t="inlineStr">
        <is>
          <t>Florida Gators</t>
        </is>
      </c>
      <c r="AQ720" s="24" t="inlineStr">
        <is>
          <t>Florida Gators</t>
        </is>
      </c>
      <c r="AR720" s="24" t="inlineStr">
        <is>
          <t>Florida Gators</t>
        </is>
      </c>
      <c r="AS720" s="24" t="inlineStr">
        <is>
          <t>Missouri Tigers</t>
        </is>
      </c>
      <c r="AT720" s="24" t="inlineStr">
        <is>
          <t>Missouri Tigers</t>
        </is>
      </c>
      <c r="AU720" s="24" t="inlineStr">
        <is>
          <t>Missouri Tigers</t>
        </is>
      </c>
      <c r="AV720" s="24" t="n"/>
      <c r="AW720" s="24" t="n"/>
      <c r="AX720" s="24" t="inlineStr">
        <is>
          <t>statistical_model</t>
        </is>
      </c>
      <c r="AY720" s="24" t="n"/>
      <c r="AZ720" s="24" t="inlineStr">
        <is>
          <t>shadow_qualified</t>
        </is>
      </c>
      <c r="BA720" s="24" t="inlineStr">
        <is>
          <t>1d168f11d221cd3c</t>
        </is>
      </c>
      <c r="BB720" s="24" t="inlineStr">
        <is>
          <t>cfb_key_number_engine</t>
        </is>
      </c>
      <c r="BC720" s="24" t="inlineStr">
        <is>
          <t>cfb-spread-v1</t>
        </is>
      </c>
      <c r="BD720" s="24" t="inlineStr">
        <is>
          <t>1d168f11d221cd3c</t>
        </is>
      </c>
      <c r="BE720" s="24" t="inlineStr">
        <is>
          <t>cfb-v1</t>
        </is>
      </c>
      <c r="BF720" s="24" t="inlineStr">
        <is>
          <t>1</t>
        </is>
      </c>
      <c r="BG720" s="24" t="inlineStr">
        <is>
          <t>1d168f11d221cd3c</t>
        </is>
      </c>
      <c r="BH720" s="24" t="inlineStr">
        <is>
          <t>2026-10-03T16:52:02.220681+00:00</t>
        </is>
      </c>
      <c r="BI720" s="24" t="inlineStr">
        <is>
          <t>["same_event","same_team_same_day","same_league_same_day"]</t>
        </is>
      </c>
      <c r="BJ720" s="25" t="n">
        <v>5.5</v>
      </c>
      <c r="BK720" s="26" t="n">
        <v>-110</v>
      </c>
      <c r="BL720" s="27" t="n">
        <v>1.909091</v>
      </c>
      <c r="BM720" s="28" t="n">
        <v>0.52381</v>
      </c>
      <c r="BN720" s="28" t="n"/>
      <c r="BO720" s="28" t="n"/>
      <c r="BP720" s="25" t="n"/>
      <c r="BQ720" s="27" t="n"/>
      <c r="BR720" s="28" t="n"/>
      <c r="BS720" s="28" t="n"/>
      <c r="BT720" s="28" t="n"/>
      <c r="BU720" s="25" t="n"/>
      <c r="BV720" s="29" t="n"/>
      <c r="BW720" s="24" t="n"/>
      <c r="BX720" s="30" t="n"/>
      <c r="BY720" s="27" t="n"/>
      <c r="BZ720" s="24" t="n"/>
      <c r="CA720" s="31" t="n"/>
      <c r="CB720" s="24" t="n"/>
      <c r="CC720" s="24" t="n"/>
      <c r="CD720" s="24" t="n"/>
      <c r="CE720" s="24" t="n"/>
      <c r="CF720" s="24" t="n"/>
      <c r="CG720" s="24" t="n"/>
      <c r="CH720" s="24" t="n"/>
      <c r="CI720" s="24" t="n"/>
      <c r="CJ720" s="24" t="n"/>
      <c r="CK720" s="24" t="n"/>
      <c r="CL720" s="24" t="n"/>
      <c r="CM720" s="24" t="n"/>
      <c r="CN720" s="24" t="n"/>
      <c r="CO720" s="24" t="n"/>
      <c r="CP720" s="24" t="n"/>
      <c r="CQ720" s="24" t="n"/>
      <c r="CR720" s="24" t="n"/>
      <c r="CS720" s="24" t="inlineStr">
        <is>
          <t>True</t>
        </is>
      </c>
      <c r="CT720" s="24" t="n"/>
      <c r="CU720" s="24" t="n"/>
      <c r="CV720" s="24" t="n"/>
      <c r="CW720" s="24" t="n"/>
      <c r="CX720" s="24" t="n"/>
      <c r="CY720" s="24" t="n"/>
      <c r="CZ720" s="24" t="n"/>
      <c r="DA720" s="24" t="n"/>
      <c r="DB720" s="24" t="n"/>
      <c r="DC720" s="24" t="n"/>
      <c r="DD720" s="24" t="n"/>
      <c r="DE720" s="24" t="n"/>
      <c r="DF720" s="24" t="n"/>
      <c r="DG720" s="24" t="n"/>
      <c r="DH720" s="24" t="n"/>
      <c r="DI720" s="24" t="n"/>
      <c r="DJ720" s="24" t="inlineStr">
        <is>
          <t>0.52381</t>
        </is>
      </c>
      <c r="DK720" s="24" t="n"/>
      <c r="DL720" s="24" t="n"/>
      <c r="DM720" s="24" t="n"/>
      <c r="DN720" s="24" t="n"/>
      <c r="DO720" s="24" t="n"/>
      <c r="DP720" s="24" t="n"/>
      <c r="DQ720" s="24" t="inlineStr">
        <is>
          <t>{"artifact_hash": "1d168f11d221cd3c", "event_id": "401856708", "event_start_utc": "2026-10-03T19:30Z", "features": {"altitude_fatigue_penalty": 0.0, "away_team": "Florida Gators", "efficiency_gap": -1.766, "elo_away": 1522.4, "elo_home": 1560.8, "elo_home_win_prob": 0.6446, "event_id": "401856708", "game_start_utc": "2026-10-03T19:30Z", "home_field_advantage_points": 2.8, "home_team": "Missouri Tigers", "is_dome": false, "is_fbs_vs_fcs": false, "is_neutral_site": false, "projected_away_points": 26.7, "projected_home_points": 30.9, "projected_margin_home": 4.2, "projected_possessions": 12.4, "projected_total": 57.7, "stadium_elevation_ft": 740, "travel_distance_miles": 857.0, "uncertainty": 0.18, "weather_total_adjustment": 0.0}, "historical_source_observation_times_verified": false, "inference_inputs": {"engine_source_sha256": "449ba2f0e86fa9c445730076a0e0bf100fb4914620be53c75c6f3bfe24298f3f", "mu_away": 26.7, "mu_home": 30.9,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37455063281971653120771443211007276533}, "uinteger": 0}, "spread_home_line": 5.5, "total_line": 57.5}, "market_type": "spread", "model_version": "cfb-spread-v1", "observed_at_utc": "2026-10-03T16:52:02.220681+00:00", "probabilities": {"away": 0.3112, "home": 0.6888, "push": 0.0}, "replay_scope": "Full precision score means, exact engine parameters and original RNG state; upstream feature construction not certified.", "schema": "cfb-joint-replay-v1", "snapshot_hash": "0d29fad7d467adc4c1e7802e9c43adbd0a1a2f69984d988e24b68fa12a4e55f8", "sport": "NCAAF"}</t>
        </is>
      </c>
    </row>
    <row r="721" ht="36" customHeight="1">
      <c r="A721" s="24" t="inlineStr">
        <is>
          <t>115586d79b914940</t>
        </is>
      </c>
      <c r="B721" s="24" t="inlineStr">
        <is>
          <t>2026-10-03T16:52:02.220681Z</t>
        </is>
      </c>
      <c r="C721" s="24" t="inlineStr">
        <is>
          <t>2026-10-03T19:30Z</t>
        </is>
      </c>
      <c r="D721" s="24" t="inlineStr">
        <is>
          <t>401856708</t>
        </is>
      </c>
      <c r="E721" s="24" t="inlineStr">
        <is>
          <t>NCAAF</t>
        </is>
      </c>
      <c r="F721" s="24" t="inlineStr">
        <is>
          <t>Florida Gators</t>
        </is>
      </c>
      <c r="G721" s="24" t="inlineStr">
        <is>
          <t>Missouri Tigers</t>
        </is>
      </c>
      <c r="H721" s="24" t="inlineStr">
        <is>
          <t>total</t>
        </is>
      </c>
      <c r="I721" s="24" t="inlineStr">
        <is>
          <t>under</t>
        </is>
      </c>
      <c r="J721" s="25" t="n">
        <v>57.5</v>
      </c>
      <c r="K721" s="24" t="inlineStr">
        <is>
          <t>espn_consensus</t>
        </is>
      </c>
      <c r="L721" s="26" t="n">
        <v>-108</v>
      </c>
      <c r="M721" s="27" t="n">
        <v>1.925926</v>
      </c>
      <c r="N721" s="28" t="n">
        <v>0.519231</v>
      </c>
      <c r="O721" s="28" t="n">
        <v>0.528133</v>
      </c>
      <c r="P721" s="28" t="n">
        <v>0.18</v>
      </c>
      <c r="Q721" s="28" t="n">
        <v>0.008902</v>
      </c>
      <c r="R721" s="26" t="n">
        <v>0</v>
      </c>
      <c r="S721" s="29" t="n">
        <v>1</v>
      </c>
      <c r="T721" s="24" t="inlineStr">
        <is>
          <t>cfb-total-v1</t>
        </is>
      </c>
      <c r="U721" s="24" t="inlineStr">
        <is>
          <t>settled</t>
        </is>
      </c>
      <c r="V721" s="24" t="inlineStr">
        <is>
          <t>loss</t>
        </is>
      </c>
      <c r="W721" s="26" t="n">
        <v>17</v>
      </c>
      <c r="X721" s="26" t="n">
        <v>45</v>
      </c>
      <c r="Y721" s="25" t="n"/>
      <c r="Z721" s="26" t="n"/>
      <c r="AA721" s="28" t="n"/>
      <c r="AB721" s="28" t="n"/>
      <c r="AC721" s="30" t="n">
        <v>-1</v>
      </c>
      <c r="AD721" s="24" t="inlineStr">
        <is>
          <t>2026-10-04T20:18:09.027367Z</t>
        </is>
      </c>
      <c r="AE721" s="31" t="inlineStr">
        <is>
          <t>Projected total 57.7 pts (Weather adj: +0.0 pts). Total line 57.5 -&gt; P(Over)=0.472, P(Under)=0.528, P(Push)=0.000.</t>
        </is>
      </c>
      <c r="AF721" s="31" t="inlineStr">
        <is>
          <t>College football model; multi-market (moneyline, spread, total).</t>
        </is>
      </c>
      <c r="AG721" s="24" t="inlineStr">
        <is>
          <t>review_required</t>
        </is>
      </c>
      <c r="AH721" s="24" t="n"/>
      <c r="AI721" s="31" t="n"/>
      <c r="AJ721" s="31" t="n"/>
      <c r="AK721" s="24" t="inlineStr">
        <is>
          <t>paper_call</t>
        </is>
      </c>
      <c r="AL721" s="26" t="n">
        <v>4</v>
      </c>
      <c r="AM721" s="24" t="inlineStr">
        <is>
          <t>RESEARCH_OBSERVATION</t>
        </is>
      </c>
      <c r="AN721" s="24" t="inlineStr">
        <is>
          <t>CALL</t>
        </is>
      </c>
      <c r="AO721" s="24" t="inlineStr">
        <is>
          <t>PAPER_CALL_LOW_EDGE</t>
        </is>
      </c>
      <c r="AP721" s="24" t="inlineStr">
        <is>
          <t>Florida Gators</t>
        </is>
      </c>
      <c r="AQ721" s="24" t="inlineStr">
        <is>
          <t>Florida Gators</t>
        </is>
      </c>
      <c r="AR721" s="24" t="inlineStr">
        <is>
          <t>Florida Gators</t>
        </is>
      </c>
      <c r="AS721" s="24" t="inlineStr">
        <is>
          <t>Missouri Tigers</t>
        </is>
      </c>
      <c r="AT721" s="24" t="inlineStr">
        <is>
          <t>Missouri Tigers</t>
        </is>
      </c>
      <c r="AU721" s="24" t="inlineStr">
        <is>
          <t>Missouri Tigers</t>
        </is>
      </c>
      <c r="AV721" s="24" t="n"/>
      <c r="AW721" s="24" t="n"/>
      <c r="AX721" s="24" t="inlineStr">
        <is>
          <t>statistical_model</t>
        </is>
      </c>
      <c r="AY721" s="24" t="n"/>
      <c r="AZ721" s="24" t="inlineStr">
        <is>
          <t>shadow_qualified</t>
        </is>
      </c>
      <c r="BA721" s="24" t="inlineStr">
        <is>
          <t>1d168f11d221cd3c</t>
        </is>
      </c>
      <c r="BB721" s="24" t="inlineStr">
        <is>
          <t>cfb_key_number_engine</t>
        </is>
      </c>
      <c r="BC721" s="24" t="inlineStr">
        <is>
          <t>cfb-total-v1</t>
        </is>
      </c>
      <c r="BD721" s="24" t="inlineStr">
        <is>
          <t>1d168f11d221cd3c</t>
        </is>
      </c>
      <c r="BE721" s="24" t="inlineStr">
        <is>
          <t>cfb-v1</t>
        </is>
      </c>
      <c r="BF721" s="24" t="inlineStr">
        <is>
          <t>1</t>
        </is>
      </c>
      <c r="BG721" s="24" t="inlineStr">
        <is>
          <t>1d168f11d221cd3c</t>
        </is>
      </c>
      <c r="BH721" s="24" t="inlineStr">
        <is>
          <t>2026-10-03T16:52:02.220681+00:00</t>
        </is>
      </c>
      <c r="BI721" s="24" t="inlineStr">
        <is>
          <t>["same_event","same_team_same_day","same_league_same_day"]</t>
        </is>
      </c>
      <c r="BJ721" s="25" t="n">
        <v>57.5</v>
      </c>
      <c r="BK721" s="26" t="n">
        <v>-108</v>
      </c>
      <c r="BL721" s="27" t="n">
        <v>1.925926</v>
      </c>
      <c r="BM721" s="28" t="n">
        <v>0.519231</v>
      </c>
      <c r="BN721" s="28" t="n"/>
      <c r="BO721" s="28" t="n"/>
      <c r="BP721" s="25" t="n"/>
      <c r="BQ721" s="27" t="n"/>
      <c r="BR721" s="28" t="n"/>
      <c r="BS721" s="28" t="n"/>
      <c r="BT721" s="28" t="n"/>
      <c r="BU721" s="25" t="n"/>
      <c r="BV721" s="29" t="n"/>
      <c r="BW721" s="24" t="n"/>
      <c r="BX721" s="30" t="n">
        <v>1</v>
      </c>
      <c r="BY721" s="27" t="n">
        <v>-1</v>
      </c>
      <c r="BZ721" s="24" t="inlineStr">
        <is>
          <t>2026-10-04T20:18:09.027367Z</t>
        </is>
      </c>
      <c r="CA721" s="31" t="inlineStr">
        <is>
          <t>fixed one-unit hypothetical scoring; no real exposure or execution</t>
        </is>
      </c>
      <c r="CB721" s="24" t="n"/>
      <c r="CC721" s="24" t="n"/>
      <c r="CD721" s="24" t="n"/>
      <c r="CE721" s="24" t="n"/>
      <c r="CF721" s="24" t="n"/>
      <c r="CG721" s="24" t="n"/>
      <c r="CH721" s="24" t="n"/>
      <c r="CI721" s="24" t="n"/>
      <c r="CJ721" s="24" t="n"/>
      <c r="CK721" s="24" t="n"/>
      <c r="CL721" s="24" t="n"/>
      <c r="CM721" s="24" t="n"/>
      <c r="CN721" s="24" t="n"/>
      <c r="CO721" s="24" t="n"/>
      <c r="CP721" s="24" t="n"/>
      <c r="CQ721" s="24" t="n"/>
      <c r="CR721" s="24" t="n"/>
      <c r="CS721" s="24" t="inlineStr">
        <is>
          <t>True</t>
        </is>
      </c>
      <c r="CT721" s="24" t="n"/>
      <c r="CU721" s="24" t="n"/>
      <c r="CV721" s="24" t="n"/>
      <c r="CW721" s="24" t="n"/>
      <c r="CX721" s="24" t="n"/>
      <c r="CY721" s="24" t="n"/>
      <c r="CZ721" s="24" t="n"/>
      <c r="DA721" s="24" t="n"/>
      <c r="DB721" s="24" t="n"/>
      <c r="DC721" s="24" t="n"/>
      <c r="DD721" s="24" t="n"/>
      <c r="DE721" s="24" t="n"/>
      <c r="DF721" s="24" t="n"/>
      <c r="DG721" s="24" t="n"/>
      <c r="DH721" s="24" t="n"/>
      <c r="DI721" s="24" t="n"/>
      <c r="DJ721" s="24" t="inlineStr">
        <is>
          <t>0.519231</t>
        </is>
      </c>
      <c r="DK721" s="24" t="n"/>
      <c r="DL721" s="24" t="n"/>
      <c r="DM721" s="24" t="n"/>
      <c r="DN721" s="24" t="n"/>
      <c r="DO721" s="24" t="n"/>
      <c r="DP721" s="24" t="n"/>
      <c r="DQ721" s="24" t="inlineStr">
        <is>
          <t>{"artifact_hash": "1d168f11d221cd3c", "event_id": "401856708", "event_start_utc": "2026-10-03T19:30Z", "features": {"altitude_fatigue_penalty": 0.0, "away_team": "Florida Gators", "efficiency_gap": -1.766, "elo_away": 1522.4, "elo_home": 1560.8, "elo_home_win_prob": 0.6446, "event_id": "401856708", "game_start_utc": "2026-10-03T19:30Z", "home_field_advantage_points": 2.8, "home_team": "Missouri Tigers", "is_dome": false, "is_fbs_vs_fcs": false, "is_neutral_site": false, "projected_away_points": 26.7, "projected_home_points": 30.9, "projected_margin_home": 4.2, "projected_possessions": 12.4, "projected_total": 57.7, "stadium_elevation_ft": 740, "travel_distance_miles": 857.0, "uncertainty": 0.18, "weather_total_adjustment": 0.0}, "historical_source_observation_times_verified": false, "inference_inputs": {"engine_source_sha256": "449ba2f0e86fa9c445730076a0e0bf100fb4914620be53c75c6f3bfe24298f3f", "mu_away": 26.7, "mu_home": 30.9,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37455063281971653120771443211007276533}, "uinteger": 0}, "spread_home_line": 5.5, "total_line": 57.5}, "market_type": "total", "model_version": "cfb-total-v1", "observed_at_utc": "2026-10-03T16:52:02.220681+00:00", "probabilities": {"over": 0.471867, "push": 0.0, "under": 0.528133}, "replay_scope": "Full precision score means, exact engine parameters and original RNG state; upstream feature construction not certified.", "schema": "cfb-joint-replay-v1", "snapshot_hash": "bb5e651c114b4726eee1c1e9bd260f146e59690774026c18d8566a67bcd08cbd", "sport": "NCAAF"}</t>
        </is>
      </c>
    </row>
    <row r="722" ht="36" customHeight="1">
      <c r="A722" s="24" t="inlineStr">
        <is>
          <t>1e0f035872904fbf</t>
        </is>
      </c>
      <c r="B722" s="24" t="inlineStr">
        <is>
          <t>2026-10-03T16:52:02.220681Z</t>
        </is>
      </c>
      <c r="C722" s="24" t="inlineStr">
        <is>
          <t>2026-10-03T19:30Z</t>
        </is>
      </c>
      <c r="D722" s="24" t="inlineStr">
        <is>
          <t>401856710</t>
        </is>
      </c>
      <c r="E722" s="24" t="inlineStr">
        <is>
          <t>NCAAF</t>
        </is>
      </c>
      <c r="F722" s="24" t="inlineStr">
        <is>
          <t>Auburn Tigers</t>
        </is>
      </c>
      <c r="G722" s="24" t="inlineStr">
        <is>
          <t>Tennessee Volunteers</t>
        </is>
      </c>
      <c r="H722" s="24" t="inlineStr">
        <is>
          <t>moneyline</t>
        </is>
      </c>
      <c r="I722" s="24" t="inlineStr">
        <is>
          <t>home</t>
        </is>
      </c>
      <c r="J722" s="25" t="n"/>
      <c r="K722" s="24" t="inlineStr">
        <is>
          <t>espn_consensus</t>
        </is>
      </c>
      <c r="L722" s="26" t="n">
        <v>-250</v>
      </c>
      <c r="M722" s="27" t="n">
        <v>1.4</v>
      </c>
      <c r="N722" s="28" t="n">
        <v>0.714286</v>
      </c>
      <c r="O722" s="28" t="n">
        <v>0.753067</v>
      </c>
      <c r="P722" s="28" t="n">
        <v>0.165</v>
      </c>
      <c r="Q722" s="28" t="n">
        <v>0.038781</v>
      </c>
      <c r="R722" s="26" t="n">
        <v>0</v>
      </c>
      <c r="S722" s="29" t="n">
        <v>1</v>
      </c>
      <c r="T722" s="24" t="inlineStr">
        <is>
          <t>college-football-v1</t>
        </is>
      </c>
      <c r="U722" s="24" t="inlineStr">
        <is>
          <t>settled</t>
        </is>
      </c>
      <c r="V722" s="24" t="inlineStr">
        <is>
          <t>win</t>
        </is>
      </c>
      <c r="W722" s="26" t="n">
        <v>14</v>
      </c>
      <c r="X722" s="26" t="n">
        <v>24</v>
      </c>
      <c r="Y722" s="25" t="n"/>
      <c r="Z722" s="26" t="n"/>
      <c r="AA722" s="28" t="n"/>
      <c r="AB722" s="28" t="n"/>
      <c r="AC722" s="30" t="n">
        <v>0.4</v>
      </c>
      <c r="AD722" s="24" t="inlineStr">
        <is>
          <t>2026-10-04T20:18:18.880627Z</t>
        </is>
      </c>
      <c r="AE722" s="31" t="inlineStr">
        <is>
          <t>CFB Joint Model (negative_binomial): proj score Auburn Tigers 21.4 @ Tennessee Volunteers 34.6 (Margin +13.2). Possessions: 12.4, HFA: +2.8 pts.</t>
        </is>
      </c>
      <c r="AF722" s="31" t="inlineStr">
        <is>
          <t>College football model; multi-market (moneyline, spread, total).</t>
        </is>
      </c>
      <c r="AG722" s="24" t="inlineStr">
        <is>
          <t>not_applicable</t>
        </is>
      </c>
      <c r="AH722" s="24" t="n"/>
      <c r="AI722" s="31" t="n"/>
      <c r="AJ722" s="31" t="n"/>
      <c r="AK722" s="24" t="inlineStr">
        <is>
          <t>model_qualified</t>
        </is>
      </c>
      <c r="AL722" s="26" t="n">
        <v>4</v>
      </c>
      <c r="AM722" s="24" t="inlineStr">
        <is>
          <t>QUALIFIED_SHADOW_CALL</t>
        </is>
      </c>
      <c r="AN722" s="24" t="inlineStr">
        <is>
          <t>CALL</t>
        </is>
      </c>
      <c r="AO722" s="24" t="inlineStr">
        <is>
          <t>QUALIFIED</t>
        </is>
      </c>
      <c r="AP722" s="24" t="inlineStr">
        <is>
          <t>Auburn Tigers</t>
        </is>
      </c>
      <c r="AQ722" s="24" t="inlineStr">
        <is>
          <t>Auburn Tigers</t>
        </is>
      </c>
      <c r="AR722" s="24" t="inlineStr">
        <is>
          <t>Auburn Tigers</t>
        </is>
      </c>
      <c r="AS722" s="24" t="inlineStr">
        <is>
          <t>Tennessee Volunteers</t>
        </is>
      </c>
      <c r="AT722" s="24" t="inlineStr">
        <is>
          <t>Tennessee Volunteers</t>
        </is>
      </c>
      <c r="AU722" s="24" t="inlineStr">
        <is>
          <t>Tennessee Volunteers</t>
        </is>
      </c>
      <c r="AV722" s="24" t="n"/>
      <c r="AW722" s="24" t="n"/>
      <c r="AX722" s="24" t="inlineStr">
        <is>
          <t>statistical_model</t>
        </is>
      </c>
      <c r="AY722" s="24" t="n"/>
      <c r="AZ722" s="24" t="inlineStr">
        <is>
          <t>shadow_qualified</t>
        </is>
      </c>
      <c r="BA722" s="24" t="inlineStr">
        <is>
          <t>1d168f11d221cd3c</t>
        </is>
      </c>
      <c r="BB722" s="24" t="inlineStr">
        <is>
          <t>cfb_key_number_engine</t>
        </is>
      </c>
      <c r="BC722" s="24" t="inlineStr">
        <is>
          <t>college-football-v1</t>
        </is>
      </c>
      <c r="BD722" s="24" t="inlineStr">
        <is>
          <t>1d168f11d221cd3c</t>
        </is>
      </c>
      <c r="BE722" s="24" t="inlineStr">
        <is>
          <t>cfb-v1</t>
        </is>
      </c>
      <c r="BF722" s="24" t="inlineStr">
        <is>
          <t>1</t>
        </is>
      </c>
      <c r="BG722" s="24" t="inlineStr">
        <is>
          <t>1d168f11d221cd3c</t>
        </is>
      </c>
      <c r="BH722" s="24" t="inlineStr">
        <is>
          <t>2026-10-03T16:52:02.220681+00:00</t>
        </is>
      </c>
      <c r="BI722" s="24" t="inlineStr">
        <is>
          <t>["same_event","same_team_same_day","same_league_same_day"]</t>
        </is>
      </c>
      <c r="BJ722" s="25" t="n"/>
      <c r="BK722" s="26" t="n">
        <v>-250</v>
      </c>
      <c r="BL722" s="27" t="n">
        <v>1.4</v>
      </c>
      <c r="BM722" s="28" t="n">
        <v>0.714286</v>
      </c>
      <c r="BN722" s="28" t="n"/>
      <c r="BO722" s="28" t="n"/>
      <c r="BP722" s="25" t="n"/>
      <c r="BQ722" s="27" t="n"/>
      <c r="BR722" s="28" t="n"/>
      <c r="BS722" s="28" t="n"/>
      <c r="BT722" s="28" t="n"/>
      <c r="BU722" s="25" t="n"/>
      <c r="BV722" s="29" t="n"/>
      <c r="BW722" s="24" t="n"/>
      <c r="BX722" s="30" t="n"/>
      <c r="BY722" s="27" t="n"/>
      <c r="BZ722" s="24" t="n"/>
      <c r="CA722" s="31" t="n"/>
      <c r="CB722" s="24" t="n"/>
      <c r="CC722" s="24" t="n"/>
      <c r="CD722" s="24" t="n"/>
      <c r="CE722" s="24" t="n"/>
      <c r="CF722" s="24" t="n"/>
      <c r="CG722" s="24" t="n"/>
      <c r="CH722" s="24" t="n"/>
      <c r="CI722" s="24" t="n"/>
      <c r="CJ722" s="24" t="n"/>
      <c r="CK722" s="24" t="n"/>
      <c r="CL722" s="24" t="n"/>
      <c r="CM722" s="24" t="n"/>
      <c r="CN722" s="24" t="n"/>
      <c r="CO722" s="24" t="n"/>
      <c r="CP722" s="24" t="n"/>
      <c r="CQ722" s="24" t="n"/>
      <c r="CR722" s="24" t="n"/>
      <c r="CS722" s="24" t="inlineStr">
        <is>
          <t>True</t>
        </is>
      </c>
      <c r="CT722" s="24" t="n"/>
      <c r="CU722" s="24" t="n"/>
      <c r="CV722" s="24" t="n"/>
      <c r="CW722" s="24" t="n"/>
      <c r="CX722" s="24" t="n"/>
      <c r="CY722" s="24" t="n"/>
      <c r="CZ722" s="24" t="n"/>
      <c r="DA722" s="24" t="n"/>
      <c r="DB722" s="24" t="n"/>
      <c r="DC722" s="24" t="n"/>
      <c r="DD722" s="24" t="n"/>
      <c r="DE722" s="24" t="n"/>
      <c r="DF722" s="24" t="n"/>
      <c r="DG722" s="24" t="n"/>
      <c r="DH722" s="24" t="n"/>
      <c r="DI722" s="24" t="n"/>
      <c r="DJ722" s="24" t="inlineStr">
        <is>
          <t>0.714286</t>
        </is>
      </c>
      <c r="DK722" s="24" t="n"/>
      <c r="DL722" s="24" t="n"/>
      <c r="DM722" s="24" t="n"/>
      <c r="DN722" s="24" t="n"/>
      <c r="DO722" s="24" t="n"/>
      <c r="DP722" s="24" t="n"/>
      <c r="DQ722" s="24" t="inlineStr">
        <is>
          <t>{"artifact_hash": "1d168f11d221cd3c", "event_id": "401856710", "event_start_utc": "2026-10-03T19:30Z", "features": {"altitude_fatigue_penalty": 0.0, "away_team": "Auburn Tigers", "efficiency_gap": 2.226, "elo_away": 1389.0, "elo_home": 1644.1, "elo_home_win_prob": 0.8633, "event_id": "401856710", "game_start_utc": "2026-10-03T19:30Z", "home_field_advantage_points": 2.8, "home_team": "Tennessee Volunteers", "is_dome": false, "is_fbs_vs_fcs": false, "is_neutral_site": false, "projected_away_points": 21.4, "projected_home_points": 34.6, "projected_margin_home": 13.2, "projected_possessions": 12.4, "projected_total": 56.0, "stadium_elevation_ft": 890, "travel_distance_miles": 248.0, "uncertainty": 0.165, "weather_total_adjustment": 0.0}, "historical_source_observation_times_verified": false, "inference_inputs": {"engine_source_sha256": "449ba2f0e86fa9c445730076a0e0bf100fb4914620be53c75c6f3bfe24298f3f", "mu_away": 21.4, "mu_home": 34.6,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250797747895883646944648695243385196135}, "uinteger": 0}, "spread_home_line": -6.5, "total_line": 53.5}, "market_type": "moneyline", "model_version": "college-football-v1", "observed_at_utc": "2026-10-03T16:52:02.220681+00:00", "probabilities": {"away": 0.246933, "home": 0.753067}, "replay_scope": "Full precision score means, exact engine parameters and original RNG state; upstream feature construction not certified.", "schema": "cfb-joint-replay-v1", "snapshot_hash": "2c18333bfee643e06836cbb399722ef62659d3c4e47eebf9df6ecc3d12a87aed", "sport": "NCAAF"}</t>
        </is>
      </c>
    </row>
    <row r="723" ht="36" customHeight="1">
      <c r="A723" s="24" t="inlineStr">
        <is>
          <t>47a3279d1ed449ac</t>
        </is>
      </c>
      <c r="B723" s="24" t="inlineStr">
        <is>
          <t>2026-10-03T16:52:02.220681Z</t>
        </is>
      </c>
      <c r="C723" s="24" t="inlineStr">
        <is>
          <t>2026-10-03T19:30Z</t>
        </is>
      </c>
      <c r="D723" s="24" t="inlineStr">
        <is>
          <t>401856710</t>
        </is>
      </c>
      <c r="E723" s="24" t="inlineStr">
        <is>
          <t>NCAAF</t>
        </is>
      </c>
      <c r="F723" s="24" t="inlineStr">
        <is>
          <t>Auburn Tigers</t>
        </is>
      </c>
      <c r="G723" s="24" t="inlineStr">
        <is>
          <t>Tennessee Volunteers</t>
        </is>
      </c>
      <c r="H723" s="24" t="inlineStr">
        <is>
          <t>spread</t>
        </is>
      </c>
      <c r="I723" s="24" t="inlineStr">
        <is>
          <t>home</t>
        </is>
      </c>
      <c r="J723" s="25" t="n">
        <v>-6.5</v>
      </c>
      <c r="K723" s="24" t="inlineStr">
        <is>
          <t>espn_consensus</t>
        </is>
      </c>
      <c r="L723" s="26" t="n">
        <v>-110</v>
      </c>
      <c r="M723" s="27" t="n">
        <v>1.909091</v>
      </c>
      <c r="N723" s="28" t="n">
        <v>0.52381</v>
      </c>
      <c r="O723" s="28" t="n">
        <v>0.643133</v>
      </c>
      <c r="P723" s="28" t="n">
        <v>0.165</v>
      </c>
      <c r="Q723" s="28" t="n">
        <v>0.119323</v>
      </c>
      <c r="R723" s="26" t="n">
        <v>11</v>
      </c>
      <c r="S723" s="29" t="n">
        <v>1</v>
      </c>
      <c r="T723" s="24" t="inlineStr">
        <is>
          <t>cfb-spread-v1</t>
        </is>
      </c>
      <c r="U723" s="24" t="inlineStr">
        <is>
          <t>settled</t>
        </is>
      </c>
      <c r="V723" s="24" t="inlineStr">
        <is>
          <t>win</t>
        </is>
      </c>
      <c r="W723" s="26" t="n">
        <v>14</v>
      </c>
      <c r="X723" s="26" t="n">
        <v>24</v>
      </c>
      <c r="Y723" s="25" t="n"/>
      <c r="Z723" s="26" t="n"/>
      <c r="AA723" s="28" t="n"/>
      <c r="AB723" s="28" t="n"/>
      <c r="AC723" s="30" t="n">
        <v>0.9091</v>
      </c>
      <c r="AD723" s="24" t="inlineStr">
        <is>
          <t>2026-10-04T20:18:28.147915Z</t>
        </is>
      </c>
      <c r="AE723" s="31" t="inlineStr">
        <is>
          <t>Projected home margin +13.2 pts. Spread: Home -6.5 / Away +6.5 -&gt; P(Away cover)=0.357, P(Home cover)=0.643, P(Push)=0.000.</t>
        </is>
      </c>
      <c r="AF723" s="31" t="inlineStr">
        <is>
          <t>College football model; multi-market (moneyline, spread, total).</t>
        </is>
      </c>
      <c r="AG723" s="24" t="inlineStr">
        <is>
          <t>not_applicable</t>
        </is>
      </c>
      <c r="AH723" s="24" t="n"/>
      <c r="AI723" s="31" t="n"/>
      <c r="AJ723" s="31" t="n"/>
      <c r="AK723" s="24" t="inlineStr">
        <is>
          <t>model_qualified</t>
        </is>
      </c>
      <c r="AL723" s="26" t="n">
        <v>4</v>
      </c>
      <c r="AM723" s="24" t="inlineStr">
        <is>
          <t>QUALIFIED_SHADOW_CALL</t>
        </is>
      </c>
      <c r="AN723" s="24" t="inlineStr">
        <is>
          <t>CALL</t>
        </is>
      </c>
      <c r="AO723" s="24" t="inlineStr">
        <is>
          <t>QUALIFIED</t>
        </is>
      </c>
      <c r="AP723" s="24" t="inlineStr">
        <is>
          <t>Auburn Tigers</t>
        </is>
      </c>
      <c r="AQ723" s="24" t="inlineStr">
        <is>
          <t>Auburn Tigers</t>
        </is>
      </c>
      <c r="AR723" s="24" t="inlineStr">
        <is>
          <t>Auburn Tigers</t>
        </is>
      </c>
      <c r="AS723" s="24" t="inlineStr">
        <is>
          <t>Tennessee Volunteers</t>
        </is>
      </c>
      <c r="AT723" s="24" t="inlineStr">
        <is>
          <t>Tennessee Volunteers</t>
        </is>
      </c>
      <c r="AU723" s="24" t="inlineStr">
        <is>
          <t>Tennessee Volunteers</t>
        </is>
      </c>
      <c r="AV723" s="24" t="n"/>
      <c r="AW723" s="24" t="n"/>
      <c r="AX723" s="24" t="inlineStr">
        <is>
          <t>statistical_model</t>
        </is>
      </c>
      <c r="AY723" s="24" t="n"/>
      <c r="AZ723" s="24" t="inlineStr">
        <is>
          <t>shadow_qualified</t>
        </is>
      </c>
      <c r="BA723" s="24" t="inlineStr">
        <is>
          <t>1d168f11d221cd3c</t>
        </is>
      </c>
      <c r="BB723" s="24" t="inlineStr">
        <is>
          <t>cfb_key_number_engine</t>
        </is>
      </c>
      <c r="BC723" s="24" t="inlineStr">
        <is>
          <t>cfb-spread-v1</t>
        </is>
      </c>
      <c r="BD723" s="24" t="inlineStr">
        <is>
          <t>1d168f11d221cd3c</t>
        </is>
      </c>
      <c r="BE723" s="24" t="inlineStr">
        <is>
          <t>cfb-v1</t>
        </is>
      </c>
      <c r="BF723" s="24" t="inlineStr">
        <is>
          <t>1</t>
        </is>
      </c>
      <c r="BG723" s="24" t="inlineStr">
        <is>
          <t>1d168f11d221cd3c</t>
        </is>
      </c>
      <c r="BH723" s="24" t="inlineStr">
        <is>
          <t>2026-10-03T16:52:02.220681+00:00</t>
        </is>
      </c>
      <c r="BI723" s="24" t="inlineStr">
        <is>
          <t>["same_event","same_team_same_day","same_league_same_day"]</t>
        </is>
      </c>
      <c r="BJ723" s="25" t="n">
        <v>-6.5</v>
      </c>
      <c r="BK723" s="26" t="n">
        <v>-110</v>
      </c>
      <c r="BL723" s="27" t="n">
        <v>1.909091</v>
      </c>
      <c r="BM723" s="28" t="n">
        <v>0.52381</v>
      </c>
      <c r="BN723" s="28" t="n"/>
      <c r="BO723" s="28" t="n"/>
      <c r="BP723" s="25" t="n"/>
      <c r="BQ723" s="27" t="n"/>
      <c r="BR723" s="28" t="n"/>
      <c r="BS723" s="28" t="n"/>
      <c r="BT723" s="28" t="n"/>
      <c r="BU723" s="25" t="n"/>
      <c r="BV723" s="29" t="n"/>
      <c r="BW723" s="24" t="n"/>
      <c r="BX723" s="30" t="n"/>
      <c r="BY723" s="27" t="n"/>
      <c r="BZ723" s="24" t="n"/>
      <c r="CA723" s="31" t="n"/>
      <c r="CB723" s="24" t="n"/>
      <c r="CC723" s="24" t="n"/>
      <c r="CD723" s="24" t="n"/>
      <c r="CE723" s="24" t="n"/>
      <c r="CF723" s="24" t="n"/>
      <c r="CG723" s="24" t="n"/>
      <c r="CH723" s="24" t="n"/>
      <c r="CI723" s="24" t="n"/>
      <c r="CJ723" s="24" t="n"/>
      <c r="CK723" s="24" t="n"/>
      <c r="CL723" s="24" t="n"/>
      <c r="CM723" s="24" t="n"/>
      <c r="CN723" s="24" t="n"/>
      <c r="CO723" s="24" t="n"/>
      <c r="CP723" s="24" t="n"/>
      <c r="CQ723" s="24" t="n"/>
      <c r="CR723" s="24" t="n"/>
      <c r="CS723" s="24" t="inlineStr">
        <is>
          <t>True</t>
        </is>
      </c>
      <c r="CT723" s="24" t="n"/>
      <c r="CU723" s="24" t="n"/>
      <c r="CV723" s="24" t="n"/>
      <c r="CW723" s="24" t="n"/>
      <c r="CX723" s="24" t="n"/>
      <c r="CY723" s="24" t="n"/>
      <c r="CZ723" s="24" t="n"/>
      <c r="DA723" s="24" t="n"/>
      <c r="DB723" s="24" t="n"/>
      <c r="DC723" s="24" t="n"/>
      <c r="DD723" s="24" t="n"/>
      <c r="DE723" s="24" t="n"/>
      <c r="DF723" s="24" t="n"/>
      <c r="DG723" s="24" t="n"/>
      <c r="DH723" s="24" t="n"/>
      <c r="DI723" s="24" t="n"/>
      <c r="DJ723" s="24" t="inlineStr">
        <is>
          <t>0.52381</t>
        </is>
      </c>
      <c r="DK723" s="24" t="n"/>
      <c r="DL723" s="24" t="n"/>
      <c r="DM723" s="24" t="n"/>
      <c r="DN723" s="24" t="n"/>
      <c r="DO723" s="24" t="n"/>
      <c r="DP723" s="24" t="n"/>
      <c r="DQ723" s="24" t="inlineStr">
        <is>
          <t>{"artifact_hash": "1d168f11d221cd3c", "event_id": "401856710", "event_start_utc": "2026-10-03T19:30Z", "features": {"altitude_fatigue_penalty": 0.0, "away_team": "Auburn Tigers", "efficiency_gap": 2.226, "elo_away": 1389.0, "elo_home": 1644.1, "elo_home_win_prob": 0.8633, "event_id": "401856710", "game_start_utc": "2026-10-03T19:30Z", "home_field_advantage_points": 2.8, "home_team": "Tennessee Volunteers", "is_dome": false, "is_fbs_vs_fcs": false, "is_neutral_site": false, "projected_away_points": 21.4, "projected_home_points": 34.6, "projected_margin_home": 13.2, "projected_possessions": 12.4, "projected_total": 56.0, "stadium_elevation_ft": 890, "travel_distance_miles": 248.0, "uncertainty": 0.165, "weather_total_adjustment": 0.0}, "historical_source_observation_times_verified": false, "inference_inputs": {"engine_source_sha256": "449ba2f0e86fa9c445730076a0e0bf100fb4914620be53c75c6f3bfe24298f3f", "mu_away": 21.4, "mu_home": 34.6,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250797747895883646944648695243385196135}, "uinteger": 0}, "spread_home_line": -6.5, "total_line": 53.5}, "market_type": "spread", "model_version": "cfb-spread-v1", "observed_at_utc": "2026-10-03T16:52:02.220681+00:00", "probabilities": {"away": 0.356867, "home": 0.643133, "push": 0.0}, "replay_scope": "Full precision score means, exact engine parameters and original RNG state; upstream feature construction not certified.", "schema": "cfb-joint-replay-v1", "snapshot_hash": "4d9c81e80b1717db58da9e98b4554127154359036a45b4377ea7a349b7608aa5", "sport": "NCAAF"}</t>
        </is>
      </c>
    </row>
    <row r="724" ht="36" customHeight="1">
      <c r="A724" s="24" t="inlineStr">
        <is>
          <t>e93841361abd44a8</t>
        </is>
      </c>
      <c r="B724" s="24" t="inlineStr">
        <is>
          <t>2026-10-03T16:52:02.220681Z</t>
        </is>
      </c>
      <c r="C724" s="24" t="inlineStr">
        <is>
          <t>2026-10-03T19:30Z</t>
        </is>
      </c>
      <c r="D724" s="24" t="inlineStr">
        <is>
          <t>401856710</t>
        </is>
      </c>
      <c r="E724" s="24" t="inlineStr">
        <is>
          <t>NCAAF</t>
        </is>
      </c>
      <c r="F724" s="24" t="inlineStr">
        <is>
          <t>Auburn Tigers</t>
        </is>
      </c>
      <c r="G724" s="24" t="inlineStr">
        <is>
          <t>Tennessee Volunteers</t>
        </is>
      </c>
      <c r="H724" s="24" t="inlineStr">
        <is>
          <t>total</t>
        </is>
      </c>
      <c r="I724" s="24" t="inlineStr">
        <is>
          <t>over</t>
        </is>
      </c>
      <c r="J724" s="25" t="n">
        <v>53.5</v>
      </c>
      <c r="K724" s="24" t="inlineStr">
        <is>
          <t>espn_consensus</t>
        </is>
      </c>
      <c r="L724" s="26" t="n">
        <v>-112</v>
      </c>
      <c r="M724" s="27" t="n">
        <v>1.892857</v>
      </c>
      <c r="N724" s="28" t="n">
        <v>0.528302</v>
      </c>
      <c r="O724" s="28" t="n">
        <v>0.5094</v>
      </c>
      <c r="P724" s="28" t="n">
        <v>0.165</v>
      </c>
      <c r="Q724" s="28" t="n">
        <v>-0.018902</v>
      </c>
      <c r="R724" s="26" t="n">
        <v>0</v>
      </c>
      <c r="S724" s="29" t="n">
        <v>1</v>
      </c>
      <c r="T724" s="24" t="inlineStr">
        <is>
          <t>cfb-total-v1</t>
        </is>
      </c>
      <c r="U724" s="24" t="inlineStr">
        <is>
          <t>settled</t>
        </is>
      </c>
      <c r="V724" s="24" t="inlineStr">
        <is>
          <t>loss</t>
        </is>
      </c>
      <c r="W724" s="26" t="n">
        <v>14</v>
      </c>
      <c r="X724" s="26" t="n">
        <v>24</v>
      </c>
      <c r="Y724" s="25" t="n"/>
      <c r="Z724" s="26" t="n"/>
      <c r="AA724" s="28" t="n"/>
      <c r="AB724" s="28" t="n"/>
      <c r="AC724" s="30" t="n">
        <v>-1</v>
      </c>
      <c r="AD724" s="24" t="inlineStr">
        <is>
          <t>2026-10-04T20:18:39.685114Z</t>
        </is>
      </c>
      <c r="AE724" s="31" t="inlineStr">
        <is>
          <t>Projected total 56.0 pts (Weather adj: +0.0 pts). Total line 53.5 -&gt; P(Over)=0.509, P(Under)=0.491, P(Push)=0.000.</t>
        </is>
      </c>
      <c r="AF724" s="31" t="inlineStr">
        <is>
          <t>College football model; multi-market (moneyline, spread, total).</t>
        </is>
      </c>
      <c r="AG724" s="24" t="inlineStr">
        <is>
          <t>review_required</t>
        </is>
      </c>
      <c r="AH724" s="24" t="n"/>
      <c r="AI724" s="31" t="n"/>
      <c r="AJ724" s="31" t="n"/>
      <c r="AK724" s="24" t="inlineStr">
        <is>
          <t>paper_call</t>
        </is>
      </c>
      <c r="AL724" s="26" t="n">
        <v>4</v>
      </c>
      <c r="AM724" s="24" t="inlineStr">
        <is>
          <t>RESEARCH_OBSERVATION</t>
        </is>
      </c>
      <c r="AN724" s="24" t="inlineStr">
        <is>
          <t>CALL</t>
        </is>
      </c>
      <c r="AO724" s="24" t="inlineStr">
        <is>
          <t>PAPER_CALL_LOW_EDGE</t>
        </is>
      </c>
      <c r="AP724" s="24" t="inlineStr">
        <is>
          <t>Auburn Tigers</t>
        </is>
      </c>
      <c r="AQ724" s="24" t="inlineStr">
        <is>
          <t>Auburn Tigers</t>
        </is>
      </c>
      <c r="AR724" s="24" t="inlineStr">
        <is>
          <t>Auburn Tigers</t>
        </is>
      </c>
      <c r="AS724" s="24" t="inlineStr">
        <is>
          <t>Tennessee Volunteers</t>
        </is>
      </c>
      <c r="AT724" s="24" t="inlineStr">
        <is>
          <t>Tennessee Volunteers</t>
        </is>
      </c>
      <c r="AU724" s="24" t="inlineStr">
        <is>
          <t>Tennessee Volunteers</t>
        </is>
      </c>
      <c r="AV724" s="24" t="n"/>
      <c r="AW724" s="24" t="n"/>
      <c r="AX724" s="24" t="inlineStr">
        <is>
          <t>statistical_model</t>
        </is>
      </c>
      <c r="AY724" s="24" t="n"/>
      <c r="AZ724" s="24" t="inlineStr">
        <is>
          <t>shadow_qualified</t>
        </is>
      </c>
      <c r="BA724" s="24" t="inlineStr">
        <is>
          <t>1d168f11d221cd3c</t>
        </is>
      </c>
      <c r="BB724" s="24" t="inlineStr">
        <is>
          <t>cfb_key_number_engine</t>
        </is>
      </c>
      <c r="BC724" s="24" t="inlineStr">
        <is>
          <t>cfb-total-v1</t>
        </is>
      </c>
      <c r="BD724" s="24" t="inlineStr">
        <is>
          <t>1d168f11d221cd3c</t>
        </is>
      </c>
      <c r="BE724" s="24" t="inlineStr">
        <is>
          <t>cfb-v1</t>
        </is>
      </c>
      <c r="BF724" s="24" t="inlineStr">
        <is>
          <t>1</t>
        </is>
      </c>
      <c r="BG724" s="24" t="inlineStr">
        <is>
          <t>1d168f11d221cd3c</t>
        </is>
      </c>
      <c r="BH724" s="24" t="inlineStr">
        <is>
          <t>2026-10-03T16:52:02.220681+00:00</t>
        </is>
      </c>
      <c r="BI724" s="24" t="inlineStr">
        <is>
          <t>["same_event","same_team_same_day","same_league_same_day"]</t>
        </is>
      </c>
      <c r="BJ724" s="25" t="n">
        <v>53.5</v>
      </c>
      <c r="BK724" s="26" t="n">
        <v>-112</v>
      </c>
      <c r="BL724" s="27" t="n">
        <v>1.892857</v>
      </c>
      <c r="BM724" s="28" t="n">
        <v>0.528302</v>
      </c>
      <c r="BN724" s="28" t="n"/>
      <c r="BO724" s="28" t="n"/>
      <c r="BP724" s="25" t="n"/>
      <c r="BQ724" s="27" t="n"/>
      <c r="BR724" s="28" t="n"/>
      <c r="BS724" s="28" t="n"/>
      <c r="BT724" s="28" t="n"/>
      <c r="BU724" s="25" t="n"/>
      <c r="BV724" s="29" t="n"/>
      <c r="BW724" s="24" t="n"/>
      <c r="BX724" s="30" t="n">
        <v>1</v>
      </c>
      <c r="BY724" s="27" t="n">
        <v>-1</v>
      </c>
      <c r="BZ724" s="24" t="inlineStr">
        <is>
          <t>2026-10-04T20:18:39.685114Z</t>
        </is>
      </c>
      <c r="CA724" s="31" t="inlineStr">
        <is>
          <t>fixed one-unit hypothetical scoring; no real exposure or execution</t>
        </is>
      </c>
      <c r="CB724" s="24" t="n"/>
      <c r="CC724" s="24" t="n"/>
      <c r="CD724" s="24" t="n"/>
      <c r="CE724" s="24" t="n"/>
      <c r="CF724" s="24" t="n"/>
      <c r="CG724" s="24" t="n"/>
      <c r="CH724" s="24" t="n"/>
      <c r="CI724" s="24" t="n"/>
      <c r="CJ724" s="24" t="n"/>
      <c r="CK724" s="24" t="n"/>
      <c r="CL724" s="24" t="n"/>
      <c r="CM724" s="24" t="n"/>
      <c r="CN724" s="24" t="n"/>
      <c r="CO724" s="24" t="n"/>
      <c r="CP724" s="24" t="n"/>
      <c r="CQ724" s="24" t="n"/>
      <c r="CR724" s="24" t="n"/>
      <c r="CS724" s="24" t="inlineStr">
        <is>
          <t>False</t>
        </is>
      </c>
      <c r="CT724" s="24" t="n"/>
      <c r="CU724" s="24" t="n"/>
      <c r="CV724" s="24" t="n"/>
      <c r="CW724" s="24" t="n"/>
      <c r="CX724" s="24" t="n"/>
      <c r="CY724" s="24" t="n"/>
      <c r="CZ724" s="24" t="n"/>
      <c r="DA724" s="24" t="n"/>
      <c r="DB724" s="24" t="n"/>
      <c r="DC724" s="24" t="n"/>
      <c r="DD724" s="24" t="n"/>
      <c r="DE724" s="24" t="n"/>
      <c r="DF724" s="24" t="n"/>
      <c r="DG724" s="24" t="n"/>
      <c r="DH724" s="24" t="n"/>
      <c r="DI724" s="24" t="n"/>
      <c r="DJ724" s="24" t="inlineStr">
        <is>
          <t>0.528302</t>
        </is>
      </c>
      <c r="DK724" s="24" t="n"/>
      <c r="DL724" s="24" t="n"/>
      <c r="DM724" s="24" t="n"/>
      <c r="DN724" s="24" t="n"/>
      <c r="DO724" s="24" t="n"/>
      <c r="DP724" s="24" t="n"/>
      <c r="DQ724" s="24" t="inlineStr">
        <is>
          <t>{"artifact_hash": "1d168f11d221cd3c", "event_id": "401856710", "event_start_utc": "2026-10-03T19:30Z", "features": {"altitude_fatigue_penalty": 0.0, "away_team": "Auburn Tigers", "efficiency_gap": 2.226, "elo_away": 1389.0, "elo_home": 1644.1, "elo_home_win_prob": 0.8633, "event_id": "401856710", "game_start_utc": "2026-10-03T19:30Z", "home_field_advantage_points": 2.8, "home_team": "Tennessee Volunteers", "is_dome": false, "is_fbs_vs_fcs": false, "is_neutral_site": false, "projected_away_points": 21.4, "projected_home_points": 34.6, "projected_margin_home": 13.2, "projected_possessions": 12.4, "projected_total": 56.0, "stadium_elevation_ft": 890, "travel_distance_miles": 248.0, "uncertainty": 0.165, "weather_total_adjustment": 0.0}, "historical_source_observation_times_verified": false, "inference_inputs": {"engine_source_sha256": "449ba2f0e86fa9c445730076a0e0bf100fb4914620be53c75c6f3bfe24298f3f", "mu_away": 21.4, "mu_home": 34.6,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250797747895883646944648695243385196135}, "uinteger": 0}, "spread_home_line": -6.5, "total_line": 53.5}, "market_type": "total", "model_version": "cfb-total-v1", "observed_at_utc": "2026-10-03T16:52:02.220681+00:00", "probabilities": {"over": 0.5094, "push": 0.0, "under": 0.4906}, "replay_scope": "Full precision score means, exact engine parameters and original RNG state; upstream feature construction not certified.", "schema": "cfb-joint-replay-v1", "snapshot_hash": "06a50672a9af5b97192fb492440fa41ecf81db69ed5d254520eafad0b3969039", "sport": "NCAAF"}</t>
        </is>
      </c>
    </row>
    <row r="725" ht="36" customHeight="1">
      <c r="A725" s="24" t="inlineStr">
        <is>
          <t>c4d36ebe967146b7</t>
        </is>
      </c>
      <c r="B725" s="24" t="inlineStr">
        <is>
          <t>2026-10-03T16:52:02.220681Z</t>
        </is>
      </c>
      <c r="C725" s="24" t="inlineStr">
        <is>
          <t>2026-10-03T19:30Z</t>
        </is>
      </c>
      <c r="D725" s="24" t="inlineStr">
        <is>
          <t>401858247</t>
        </is>
      </c>
      <c r="E725" s="24" t="inlineStr">
        <is>
          <t>NCAAF</t>
        </is>
      </c>
      <c r="F725" s="24" t="inlineStr">
        <is>
          <t>California Golden Bears</t>
        </is>
      </c>
      <c r="G725" s="24" t="inlineStr">
        <is>
          <t>UNLV Rebels</t>
        </is>
      </c>
      <c r="H725" s="24" t="inlineStr">
        <is>
          <t>moneyline</t>
        </is>
      </c>
      <c r="I725" s="24" t="inlineStr">
        <is>
          <t>home</t>
        </is>
      </c>
      <c r="J725" s="25" t="n"/>
      <c r="K725" s="24" t="inlineStr">
        <is>
          <t>espn_consensus</t>
        </is>
      </c>
      <c r="L725" s="26" t="n">
        <v>-120</v>
      </c>
      <c r="M725" s="27" t="n">
        <v>1.833333</v>
      </c>
      <c r="N725" s="28" t="n">
        <v>0.545455</v>
      </c>
      <c r="O725" s="28" t="n">
        <v>0.749069</v>
      </c>
      <c r="P725" s="28" t="n">
        <v>0.165</v>
      </c>
      <c r="Q725" s="28" t="n">
        <v>0.203614</v>
      </c>
      <c r="R725" s="26" t="n">
        <v>53</v>
      </c>
      <c r="S725" s="29" t="n">
        <v>1.25</v>
      </c>
      <c r="T725" s="24" t="inlineStr">
        <is>
          <t>college-football-v1</t>
        </is>
      </c>
      <c r="U725" s="24" t="inlineStr">
        <is>
          <t>settled</t>
        </is>
      </c>
      <c r="V725" s="24" t="inlineStr">
        <is>
          <t>win</t>
        </is>
      </c>
      <c r="W725" s="26" t="n">
        <v>31</v>
      </c>
      <c r="X725" s="26" t="n">
        <v>39</v>
      </c>
      <c r="Y725" s="25" t="n"/>
      <c r="Z725" s="26" t="n"/>
      <c r="AA725" s="28" t="n"/>
      <c r="AB725" s="28" t="n"/>
      <c r="AC725" s="30" t="n">
        <v>1.0417</v>
      </c>
      <c r="AD725" s="24" t="inlineStr">
        <is>
          <t>2026-10-04T20:18:45.103939Z</t>
        </is>
      </c>
      <c r="AE725" s="31" t="inlineStr">
        <is>
          <t>CFB Joint Model (negative_binomial): proj score California Golden Bears 20.1 @ UNLV Rebels 33.1 (Margin +13.0). Possessions: 12.4, HFA: +2.8 pts.</t>
        </is>
      </c>
      <c r="AF725" s="31" t="inlineStr">
        <is>
          <t>College football model; multi-market (moneyline, spread, total).</t>
        </is>
      </c>
      <c r="AG725" s="24" t="inlineStr">
        <is>
          <t>not_applicable</t>
        </is>
      </c>
      <c r="AH725" s="24" t="n"/>
      <c r="AI725" s="31" t="n"/>
      <c r="AJ725" s="31" t="n"/>
      <c r="AK725" s="24" t="inlineStr">
        <is>
          <t>model_qualified</t>
        </is>
      </c>
      <c r="AL725" s="26" t="n">
        <v>4</v>
      </c>
      <c r="AM725" s="24" t="inlineStr">
        <is>
          <t>QUALIFIED_SHADOW_CALL</t>
        </is>
      </c>
      <c r="AN725" s="24" t="inlineStr">
        <is>
          <t>CALL</t>
        </is>
      </c>
      <c r="AO725" s="24" t="inlineStr">
        <is>
          <t>QUALIFIED</t>
        </is>
      </c>
      <c r="AP725" s="24" t="inlineStr">
        <is>
          <t>California Golden Bears</t>
        </is>
      </c>
      <c r="AQ725" s="24" t="inlineStr">
        <is>
          <t>California Golden Bears</t>
        </is>
      </c>
      <c r="AR725" s="24" t="inlineStr">
        <is>
          <t>California Golden Bears</t>
        </is>
      </c>
      <c r="AS725" s="24" t="inlineStr">
        <is>
          <t>UNLV Rebels</t>
        </is>
      </c>
      <c r="AT725" s="24" t="inlineStr">
        <is>
          <t>UNLV Rebels</t>
        </is>
      </c>
      <c r="AU725" s="24" t="inlineStr">
        <is>
          <t>UNLV Rebels</t>
        </is>
      </c>
      <c r="AV725" s="24" t="n"/>
      <c r="AW725" s="24" t="n"/>
      <c r="AX725" s="24" t="inlineStr">
        <is>
          <t>statistical_model</t>
        </is>
      </c>
      <c r="AY725" s="24" t="n"/>
      <c r="AZ725" s="24" t="inlineStr">
        <is>
          <t>shadow_qualified</t>
        </is>
      </c>
      <c r="BA725" s="24" t="inlineStr">
        <is>
          <t>1d168f11d221cd3c</t>
        </is>
      </c>
      <c r="BB725" s="24" t="inlineStr">
        <is>
          <t>cfb_key_number_engine</t>
        </is>
      </c>
      <c r="BC725" s="24" t="inlineStr">
        <is>
          <t>college-football-v1</t>
        </is>
      </c>
      <c r="BD725" s="24" t="inlineStr">
        <is>
          <t>1d168f11d221cd3c</t>
        </is>
      </c>
      <c r="BE725" s="24" t="inlineStr">
        <is>
          <t>cfb-v1</t>
        </is>
      </c>
      <c r="BF725" s="24" t="inlineStr">
        <is>
          <t>1</t>
        </is>
      </c>
      <c r="BG725" s="24" t="inlineStr">
        <is>
          <t>1d168f11d221cd3c</t>
        </is>
      </c>
      <c r="BH725" s="24" t="inlineStr">
        <is>
          <t>2026-10-03T16:52:02.220681+00:00</t>
        </is>
      </c>
      <c r="BI725" s="24" t="inlineStr">
        <is>
          <t>["same_event","same_team_same_day","same_league_same_day"]</t>
        </is>
      </c>
      <c r="BJ725" s="25" t="n"/>
      <c r="BK725" s="26" t="n">
        <v>-120</v>
      </c>
      <c r="BL725" s="27" t="n">
        <v>1.833333</v>
      </c>
      <c r="BM725" s="28" t="n">
        <v>0.545455</v>
      </c>
      <c r="BN725" s="28" t="n"/>
      <c r="BO725" s="28" t="n"/>
      <c r="BP725" s="25" t="n"/>
      <c r="BQ725" s="27" t="n"/>
      <c r="BR725" s="28" t="n"/>
      <c r="BS725" s="28" t="n"/>
      <c r="BT725" s="28" t="n"/>
      <c r="BU725" s="25" t="n"/>
      <c r="BV725" s="29" t="n"/>
      <c r="BW725" s="24" t="n"/>
      <c r="BX725" s="30" t="n"/>
      <c r="BY725" s="27" t="n"/>
      <c r="BZ725" s="24" t="n"/>
      <c r="CA725" s="31" t="n"/>
      <c r="CB725" s="24" t="n"/>
      <c r="CC725" s="24" t="n"/>
      <c r="CD725" s="24" t="n"/>
      <c r="CE725" s="24" t="n"/>
      <c r="CF725" s="24" t="n"/>
      <c r="CG725" s="24" t="n"/>
      <c r="CH725" s="24" t="n"/>
      <c r="CI725" s="24" t="n"/>
      <c r="CJ725" s="24" t="n"/>
      <c r="CK725" s="24" t="n"/>
      <c r="CL725" s="24" t="n"/>
      <c r="CM725" s="24" t="n"/>
      <c r="CN725" s="24" t="n"/>
      <c r="CO725" s="24" t="n"/>
      <c r="CP725" s="24" t="n"/>
      <c r="CQ725" s="24" t="n"/>
      <c r="CR725" s="24" t="n"/>
      <c r="CS725" s="24" t="inlineStr">
        <is>
          <t>True</t>
        </is>
      </c>
      <c r="CT725" s="24" t="n"/>
      <c r="CU725" s="24" t="n"/>
      <c r="CV725" s="24" t="n"/>
      <c r="CW725" s="24" t="n"/>
      <c r="CX725" s="24" t="n"/>
      <c r="CY725" s="24" t="n"/>
      <c r="CZ725" s="24" t="n"/>
      <c r="DA725" s="24" t="n"/>
      <c r="DB725" s="24" t="n"/>
      <c r="DC725" s="24" t="n"/>
      <c r="DD725" s="24" t="n"/>
      <c r="DE725" s="24" t="n"/>
      <c r="DF725" s="24" t="n"/>
      <c r="DG725" s="24" t="n"/>
      <c r="DH725" s="24" t="n"/>
      <c r="DI725" s="24" t="n"/>
      <c r="DJ725" s="24" t="inlineStr">
        <is>
          <t>0.545455</t>
        </is>
      </c>
      <c r="DK725" s="24" t="n"/>
      <c r="DL725" s="24" t="n"/>
      <c r="DM725" s="24" t="n"/>
      <c r="DN725" s="24" t="n"/>
      <c r="DO725" s="24" t="n"/>
      <c r="DP725" s="24" t="n"/>
      <c r="DQ725" s="24" t="inlineStr">
        <is>
          <t>{"artifact_hash": "1d168f11d221cd3c", "event_id": "401858247", "event_start_utc": "2026-10-03T19:30Z", "features": {"altitude_fatigue_penalty": 0.0, "away_team": "California Golden Bears", "efficiency_gap": 0.882, "elo_away": 1325.7, "elo_home": 1584.0, "elo_home_win_prob": 0.8654, "event_id": "401858247", "game_start_utc": "2026-10-03T19:30Z", "home_field_advantage_points": 2.8, "home_team": "UNLV Rebels", "is_dome": true, "is_fbs_vs_fcs": false, "is_neutral_site": false, "projected_away_points": 20.1, "projected_home_points": 33.1, "projected_margin_home": 13.0, "projected_possessions": 12.4, "projected_total": 53.3, "stadium_elevation_ft": 2010, "travel_distance_miles": 409.0, "uncertainty": 0.165, "weather_total_adjustment": 0.0}, "historical_source_observation_times_verified": false, "inference_inputs": {"engine_source_sha256": "449ba2f0e86fa9c445730076a0e0bf100fb4914620be53c75c6f3bfe24298f3f", "mu_away": 20.1, "mu_home": 33.1,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180876941691710552284727279301429730035}, "uinteger": 0}, "spread_home_line": -1.5, "total_line": 52.5}, "market_type": "moneyline", "model_version": "college-football-v1", "observed_at_utc": "2026-10-03T16:52:02.220681+00:00", "probabilities": {"away": 0.250931, "home": 0.749069}, "replay_scope": "Full precision score means, exact engine parameters and original RNG state; upstream feature construction not certified.", "schema": "cfb-joint-replay-v1", "snapshot_hash": "91e0d79140e41bc67344cf356f414fe57420c436e45f26c6c3930634a52c0a97", "sport": "NCAAF"}</t>
        </is>
      </c>
    </row>
    <row r="726" ht="36" customHeight="1">
      <c r="A726" s="24" t="inlineStr">
        <is>
          <t>862c39f7188b4a5c</t>
        </is>
      </c>
      <c r="B726" s="24" t="inlineStr">
        <is>
          <t>2026-10-03T16:52:02.220681Z</t>
        </is>
      </c>
      <c r="C726" s="24" t="inlineStr">
        <is>
          <t>2026-10-03T19:30Z</t>
        </is>
      </c>
      <c r="D726" s="24" t="inlineStr">
        <is>
          <t>401858247</t>
        </is>
      </c>
      <c r="E726" s="24" t="inlineStr">
        <is>
          <t>NCAAF</t>
        </is>
      </c>
      <c r="F726" s="24" t="inlineStr">
        <is>
          <t>California Golden Bears</t>
        </is>
      </c>
      <c r="G726" s="24" t="inlineStr">
        <is>
          <t>UNLV Rebels</t>
        </is>
      </c>
      <c r="H726" s="24" t="inlineStr">
        <is>
          <t>spread</t>
        </is>
      </c>
      <c r="I726" s="24" t="inlineStr">
        <is>
          <t>home</t>
        </is>
      </c>
      <c r="J726" s="25" t="n">
        <v>-1.5</v>
      </c>
      <c r="K726" s="24" t="inlineStr">
        <is>
          <t>espn_consensus</t>
        </is>
      </c>
      <c r="L726" s="26" t="n">
        <v>-105</v>
      </c>
      <c r="M726" s="27" t="n">
        <v>1.952381</v>
      </c>
      <c r="N726" s="28" t="n">
        <v>0.512195</v>
      </c>
      <c r="O726" s="28" t="n">
        <v>0.7238</v>
      </c>
      <c r="P726" s="28" t="n">
        <v>0.165</v>
      </c>
      <c r="Q726" s="28" t="n">
        <v>0.211605</v>
      </c>
      <c r="R726" s="26" t="n">
        <v>57</v>
      </c>
      <c r="S726" s="29" t="n">
        <v>1.25</v>
      </c>
      <c r="T726" s="24" t="inlineStr">
        <is>
          <t>cfb-spread-v1</t>
        </is>
      </c>
      <c r="U726" s="24" t="inlineStr">
        <is>
          <t>settled</t>
        </is>
      </c>
      <c r="V726" s="24" t="inlineStr">
        <is>
          <t>win</t>
        </is>
      </c>
      <c r="W726" s="26" t="n">
        <v>31</v>
      </c>
      <c r="X726" s="26" t="n">
        <v>39</v>
      </c>
      <c r="Y726" s="25" t="n"/>
      <c r="Z726" s="26" t="n"/>
      <c r="AA726" s="28" t="n"/>
      <c r="AB726" s="28" t="n"/>
      <c r="AC726" s="30" t="n">
        <v>1.1905</v>
      </c>
      <c r="AD726" s="24" t="inlineStr">
        <is>
          <t>2026-10-04T20:18:50.403496Z</t>
        </is>
      </c>
      <c r="AE726" s="31" t="inlineStr">
        <is>
          <t>Projected home margin +13.0 pts. Spread: Home -1.5 / Away +1.5 -&gt; P(Away cover)=0.276, P(Home cover)=0.724, P(Push)=0.000.</t>
        </is>
      </c>
      <c r="AF726" s="31" t="inlineStr">
        <is>
          <t>College football model; multi-market (moneyline, spread, total).</t>
        </is>
      </c>
      <c r="AG726" s="24" t="inlineStr">
        <is>
          <t>not_applicable</t>
        </is>
      </c>
      <c r="AH726" s="24" t="n"/>
      <c r="AI726" s="31" t="n"/>
      <c r="AJ726" s="31" t="n"/>
      <c r="AK726" s="24" t="inlineStr">
        <is>
          <t>model_qualified</t>
        </is>
      </c>
      <c r="AL726" s="26" t="n">
        <v>4</v>
      </c>
      <c r="AM726" s="24" t="inlineStr">
        <is>
          <t>QUALIFIED_SHADOW_CALL</t>
        </is>
      </c>
      <c r="AN726" s="24" t="inlineStr">
        <is>
          <t>CALL</t>
        </is>
      </c>
      <c r="AO726" s="24" t="inlineStr">
        <is>
          <t>QUALIFIED</t>
        </is>
      </c>
      <c r="AP726" s="24" t="inlineStr">
        <is>
          <t>California Golden Bears</t>
        </is>
      </c>
      <c r="AQ726" s="24" t="inlineStr">
        <is>
          <t>California Golden Bears</t>
        </is>
      </c>
      <c r="AR726" s="24" t="inlineStr">
        <is>
          <t>California Golden Bears</t>
        </is>
      </c>
      <c r="AS726" s="24" t="inlineStr">
        <is>
          <t>UNLV Rebels</t>
        </is>
      </c>
      <c r="AT726" s="24" t="inlineStr">
        <is>
          <t>UNLV Rebels</t>
        </is>
      </c>
      <c r="AU726" s="24" t="inlineStr">
        <is>
          <t>UNLV Rebels</t>
        </is>
      </c>
      <c r="AV726" s="24" t="n"/>
      <c r="AW726" s="24" t="n"/>
      <c r="AX726" s="24" t="inlineStr">
        <is>
          <t>statistical_model</t>
        </is>
      </c>
      <c r="AY726" s="24" t="n"/>
      <c r="AZ726" s="24" t="inlineStr">
        <is>
          <t>shadow_qualified</t>
        </is>
      </c>
      <c r="BA726" s="24" t="inlineStr">
        <is>
          <t>1d168f11d221cd3c</t>
        </is>
      </c>
      <c r="BB726" s="24" t="inlineStr">
        <is>
          <t>cfb_key_number_engine</t>
        </is>
      </c>
      <c r="BC726" s="24" t="inlineStr">
        <is>
          <t>cfb-spread-v1</t>
        </is>
      </c>
      <c r="BD726" s="24" t="inlineStr">
        <is>
          <t>1d168f11d221cd3c</t>
        </is>
      </c>
      <c r="BE726" s="24" t="inlineStr">
        <is>
          <t>cfb-v1</t>
        </is>
      </c>
      <c r="BF726" s="24" t="inlineStr">
        <is>
          <t>1</t>
        </is>
      </c>
      <c r="BG726" s="24" t="inlineStr">
        <is>
          <t>1d168f11d221cd3c</t>
        </is>
      </c>
      <c r="BH726" s="24" t="inlineStr">
        <is>
          <t>2026-10-03T16:52:02.220681+00:00</t>
        </is>
      </c>
      <c r="BI726" s="24" t="inlineStr">
        <is>
          <t>["same_event","same_team_same_day","same_league_same_day"]</t>
        </is>
      </c>
      <c r="BJ726" s="25" t="n">
        <v>-1.5</v>
      </c>
      <c r="BK726" s="26" t="n">
        <v>-105</v>
      </c>
      <c r="BL726" s="27" t="n">
        <v>1.952381</v>
      </c>
      <c r="BM726" s="28" t="n">
        <v>0.512195</v>
      </c>
      <c r="BN726" s="28" t="n"/>
      <c r="BO726" s="28" t="n"/>
      <c r="BP726" s="25" t="n"/>
      <c r="BQ726" s="27" t="n"/>
      <c r="BR726" s="28" t="n"/>
      <c r="BS726" s="28" t="n"/>
      <c r="BT726" s="28" t="n"/>
      <c r="BU726" s="25" t="n"/>
      <c r="BV726" s="29" t="n"/>
      <c r="BW726" s="24" t="n"/>
      <c r="BX726" s="30" t="n"/>
      <c r="BY726" s="27" t="n"/>
      <c r="BZ726" s="24" t="n"/>
      <c r="CA726" s="31" t="n"/>
      <c r="CB726" s="24" t="n"/>
      <c r="CC726" s="24" t="n"/>
      <c r="CD726" s="24" t="n"/>
      <c r="CE726" s="24" t="n"/>
      <c r="CF726" s="24" t="n"/>
      <c r="CG726" s="24" t="n"/>
      <c r="CH726" s="24" t="n"/>
      <c r="CI726" s="24" t="n"/>
      <c r="CJ726" s="24" t="n"/>
      <c r="CK726" s="24" t="n"/>
      <c r="CL726" s="24" t="n"/>
      <c r="CM726" s="24" t="n"/>
      <c r="CN726" s="24" t="n"/>
      <c r="CO726" s="24" t="n"/>
      <c r="CP726" s="24" t="n"/>
      <c r="CQ726" s="24" t="n"/>
      <c r="CR726" s="24" t="n"/>
      <c r="CS726" s="24" t="inlineStr">
        <is>
          <t>True</t>
        </is>
      </c>
      <c r="CT726" s="24" t="n"/>
      <c r="CU726" s="24" t="n"/>
      <c r="CV726" s="24" t="n"/>
      <c r="CW726" s="24" t="n"/>
      <c r="CX726" s="24" t="n"/>
      <c r="CY726" s="24" t="n"/>
      <c r="CZ726" s="24" t="n"/>
      <c r="DA726" s="24" t="n"/>
      <c r="DB726" s="24" t="n"/>
      <c r="DC726" s="24" t="n"/>
      <c r="DD726" s="24" t="n"/>
      <c r="DE726" s="24" t="n"/>
      <c r="DF726" s="24" t="n"/>
      <c r="DG726" s="24" t="n"/>
      <c r="DH726" s="24" t="n"/>
      <c r="DI726" s="24" t="n"/>
      <c r="DJ726" s="24" t="inlineStr">
        <is>
          <t>0.512195</t>
        </is>
      </c>
      <c r="DK726" s="24" t="n"/>
      <c r="DL726" s="24" t="n"/>
      <c r="DM726" s="24" t="n"/>
      <c r="DN726" s="24" t="n"/>
      <c r="DO726" s="24" t="n"/>
      <c r="DP726" s="24" t="n"/>
      <c r="DQ726" s="24" t="inlineStr">
        <is>
          <t>{"artifact_hash": "1d168f11d221cd3c", "event_id": "401858247", "event_start_utc": "2026-10-03T19:30Z", "features": {"altitude_fatigue_penalty": 0.0, "away_team": "California Golden Bears", "efficiency_gap": 0.882, "elo_away": 1325.7, "elo_home": 1584.0, "elo_home_win_prob": 0.8654, "event_id": "401858247", "game_start_utc": "2026-10-03T19:30Z", "home_field_advantage_points": 2.8, "home_team": "UNLV Rebels", "is_dome": true, "is_fbs_vs_fcs": false, "is_neutral_site": false, "projected_away_points": 20.1, "projected_home_points": 33.1, "projected_margin_home": 13.0, "projected_possessions": 12.4, "projected_total": 53.3, "stadium_elevation_ft": 2010, "travel_distance_miles": 409.0, "uncertainty": 0.165, "weather_total_adjustment": 0.0}, "historical_source_observation_times_verified": false, "inference_inputs": {"engine_source_sha256": "449ba2f0e86fa9c445730076a0e0bf100fb4914620be53c75c6f3bfe24298f3f", "mu_away": 20.1, "mu_home": 33.1,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180876941691710552284727279301429730035}, "uinteger": 0}, "spread_home_line": -1.5, "total_line": 52.5}, "market_type": "spread", "model_version": "cfb-spread-v1", "observed_at_utc": "2026-10-03T16:52:02.220681+00:00", "probabilities": {"away": 0.2762, "home": 0.7238, "push": 0.0}, "replay_scope": "Full precision score means, exact engine parameters and original RNG state; upstream feature construction not certified.", "schema": "cfb-joint-replay-v1", "snapshot_hash": "b546732aaa0993322b6ed227300a84618c8618ef8edeaf4b9a5c3003ed17dbb0", "sport": "NCAAF"}</t>
        </is>
      </c>
    </row>
    <row r="727" ht="36" customHeight="1">
      <c r="A727" s="24" t="inlineStr">
        <is>
          <t>1410ee5a0f8542cb</t>
        </is>
      </c>
      <c r="B727" s="24" t="inlineStr">
        <is>
          <t>2026-10-03T16:52:02.220681Z</t>
        </is>
      </c>
      <c r="C727" s="24" t="inlineStr">
        <is>
          <t>2026-10-03T19:30Z</t>
        </is>
      </c>
      <c r="D727" s="24" t="inlineStr">
        <is>
          <t>401858247</t>
        </is>
      </c>
      <c r="E727" s="24" t="inlineStr">
        <is>
          <t>NCAAF</t>
        </is>
      </c>
      <c r="F727" s="24" t="inlineStr">
        <is>
          <t>California Golden Bears</t>
        </is>
      </c>
      <c r="G727" s="24" t="inlineStr">
        <is>
          <t>UNLV Rebels</t>
        </is>
      </c>
      <c r="H727" s="24" t="inlineStr">
        <is>
          <t>total</t>
        </is>
      </c>
      <c r="I727" s="24" t="inlineStr">
        <is>
          <t>under</t>
        </is>
      </c>
      <c r="J727" s="25" t="n">
        <v>52.5</v>
      </c>
      <c r="K727" s="24" t="inlineStr">
        <is>
          <t>espn_consensus</t>
        </is>
      </c>
      <c r="L727" s="26" t="n">
        <v>-108</v>
      </c>
      <c r="M727" s="27" t="n">
        <v>1.925926</v>
      </c>
      <c r="N727" s="28" t="n">
        <v>0.519231</v>
      </c>
      <c r="O727" s="28" t="n">
        <v>0.516</v>
      </c>
      <c r="P727" s="28" t="n">
        <v>0.165</v>
      </c>
      <c r="Q727" s="28" t="n">
        <v>-0.003231</v>
      </c>
      <c r="R727" s="26" t="n">
        <v>0</v>
      </c>
      <c r="S727" s="29" t="n">
        <v>1</v>
      </c>
      <c r="T727" s="24" t="inlineStr">
        <is>
          <t>cfb-total-v1</t>
        </is>
      </c>
      <c r="U727" s="24" t="inlineStr">
        <is>
          <t>settled</t>
        </is>
      </c>
      <c r="V727" s="24" t="inlineStr">
        <is>
          <t>loss</t>
        </is>
      </c>
      <c r="W727" s="26" t="n">
        <v>31</v>
      </c>
      <c r="X727" s="26" t="n">
        <v>39</v>
      </c>
      <c r="Y727" s="25" t="n"/>
      <c r="Z727" s="26" t="n"/>
      <c r="AA727" s="28" t="n"/>
      <c r="AB727" s="28" t="n"/>
      <c r="AC727" s="30" t="n">
        <v>-1</v>
      </c>
      <c r="AD727" s="24" t="inlineStr">
        <is>
          <t>2026-10-04T20:18:54.847221Z</t>
        </is>
      </c>
      <c r="AE727" s="31" t="inlineStr">
        <is>
          <t>Projected total 53.3 pts (Weather adj: +0.0 pts). Total line 52.5 -&gt; P(Over)=0.484, P(Under)=0.516, P(Push)=0.000.</t>
        </is>
      </c>
      <c r="AF727" s="31" t="inlineStr">
        <is>
          <t>College football model; multi-market (moneyline, spread, total).</t>
        </is>
      </c>
      <c r="AG727" s="24" t="inlineStr">
        <is>
          <t>review_required</t>
        </is>
      </c>
      <c r="AH727" s="24" t="n"/>
      <c r="AI727" s="31" t="n"/>
      <c r="AJ727" s="31" t="n"/>
      <c r="AK727" s="24" t="inlineStr">
        <is>
          <t>paper_call</t>
        </is>
      </c>
      <c r="AL727" s="26" t="n">
        <v>4</v>
      </c>
      <c r="AM727" s="24" t="inlineStr">
        <is>
          <t>RESEARCH_OBSERVATION</t>
        </is>
      </c>
      <c r="AN727" s="24" t="inlineStr">
        <is>
          <t>CALL</t>
        </is>
      </c>
      <c r="AO727" s="24" t="inlineStr">
        <is>
          <t>PAPER_CALL_LOW_EDGE</t>
        </is>
      </c>
      <c r="AP727" s="24" t="inlineStr">
        <is>
          <t>California Golden Bears</t>
        </is>
      </c>
      <c r="AQ727" s="24" t="inlineStr">
        <is>
          <t>California Golden Bears</t>
        </is>
      </c>
      <c r="AR727" s="24" t="inlineStr">
        <is>
          <t>California Golden Bears</t>
        </is>
      </c>
      <c r="AS727" s="24" t="inlineStr">
        <is>
          <t>UNLV Rebels</t>
        </is>
      </c>
      <c r="AT727" s="24" t="inlineStr">
        <is>
          <t>UNLV Rebels</t>
        </is>
      </c>
      <c r="AU727" s="24" t="inlineStr">
        <is>
          <t>UNLV Rebels</t>
        </is>
      </c>
      <c r="AV727" s="24" t="n"/>
      <c r="AW727" s="24" t="n"/>
      <c r="AX727" s="24" t="inlineStr">
        <is>
          <t>statistical_model</t>
        </is>
      </c>
      <c r="AY727" s="24" t="n"/>
      <c r="AZ727" s="24" t="inlineStr">
        <is>
          <t>shadow_qualified</t>
        </is>
      </c>
      <c r="BA727" s="24" t="inlineStr">
        <is>
          <t>1d168f11d221cd3c</t>
        </is>
      </c>
      <c r="BB727" s="24" t="inlineStr">
        <is>
          <t>cfb_key_number_engine</t>
        </is>
      </c>
      <c r="BC727" s="24" t="inlineStr">
        <is>
          <t>cfb-total-v1</t>
        </is>
      </c>
      <c r="BD727" s="24" t="inlineStr">
        <is>
          <t>1d168f11d221cd3c</t>
        </is>
      </c>
      <c r="BE727" s="24" t="inlineStr">
        <is>
          <t>cfb-v1</t>
        </is>
      </c>
      <c r="BF727" s="24" t="inlineStr">
        <is>
          <t>1</t>
        </is>
      </c>
      <c r="BG727" s="24" t="inlineStr">
        <is>
          <t>1d168f11d221cd3c</t>
        </is>
      </c>
      <c r="BH727" s="24" t="inlineStr">
        <is>
          <t>2026-10-03T16:52:02.220681+00:00</t>
        </is>
      </c>
      <c r="BI727" s="24" t="inlineStr">
        <is>
          <t>["same_event","same_team_same_day","same_league_same_day"]</t>
        </is>
      </c>
      <c r="BJ727" s="25" t="n">
        <v>52.5</v>
      </c>
      <c r="BK727" s="26" t="n">
        <v>-108</v>
      </c>
      <c r="BL727" s="27" t="n">
        <v>1.925926</v>
      </c>
      <c r="BM727" s="28" t="n">
        <v>0.519231</v>
      </c>
      <c r="BN727" s="28" t="n"/>
      <c r="BO727" s="28" t="n"/>
      <c r="BP727" s="25" t="n"/>
      <c r="BQ727" s="27" t="n"/>
      <c r="BR727" s="28" t="n"/>
      <c r="BS727" s="28" t="n"/>
      <c r="BT727" s="28" t="n"/>
      <c r="BU727" s="25" t="n"/>
      <c r="BV727" s="29" t="n"/>
      <c r="BW727" s="24" t="n"/>
      <c r="BX727" s="30" t="n">
        <v>1</v>
      </c>
      <c r="BY727" s="27" t="n">
        <v>-1</v>
      </c>
      <c r="BZ727" s="24" t="inlineStr">
        <is>
          <t>2026-10-04T20:18:54.847221Z</t>
        </is>
      </c>
      <c r="CA727" s="31" t="inlineStr">
        <is>
          <t>fixed one-unit hypothetical scoring; no real exposure or execution</t>
        </is>
      </c>
      <c r="CB727" s="24" t="n"/>
      <c r="CC727" s="24" t="n"/>
      <c r="CD727" s="24" t="n"/>
      <c r="CE727" s="24" t="n"/>
      <c r="CF727" s="24" t="n"/>
      <c r="CG727" s="24" t="n"/>
      <c r="CH727" s="24" t="n"/>
      <c r="CI727" s="24" t="n"/>
      <c r="CJ727" s="24" t="n"/>
      <c r="CK727" s="24" t="n"/>
      <c r="CL727" s="24" t="n"/>
      <c r="CM727" s="24" t="n"/>
      <c r="CN727" s="24" t="n"/>
      <c r="CO727" s="24" t="n"/>
      <c r="CP727" s="24" t="n"/>
      <c r="CQ727" s="24" t="n"/>
      <c r="CR727" s="24" t="n"/>
      <c r="CS727" s="24" t="inlineStr">
        <is>
          <t>False</t>
        </is>
      </c>
      <c r="CT727" s="24" t="n"/>
      <c r="CU727" s="24" t="n"/>
      <c r="CV727" s="24" t="n"/>
      <c r="CW727" s="24" t="n"/>
      <c r="CX727" s="24" t="n"/>
      <c r="CY727" s="24" t="n"/>
      <c r="CZ727" s="24" t="n"/>
      <c r="DA727" s="24" t="n"/>
      <c r="DB727" s="24" t="n"/>
      <c r="DC727" s="24" t="n"/>
      <c r="DD727" s="24" t="n"/>
      <c r="DE727" s="24" t="n"/>
      <c r="DF727" s="24" t="n"/>
      <c r="DG727" s="24" t="n"/>
      <c r="DH727" s="24" t="n"/>
      <c r="DI727" s="24" t="n"/>
      <c r="DJ727" s="24" t="inlineStr">
        <is>
          <t>0.519231</t>
        </is>
      </c>
      <c r="DK727" s="24" t="n"/>
      <c r="DL727" s="24" t="n"/>
      <c r="DM727" s="24" t="n"/>
      <c r="DN727" s="24" t="n"/>
      <c r="DO727" s="24" t="n"/>
      <c r="DP727" s="24" t="n"/>
      <c r="DQ727" s="24" t="inlineStr">
        <is>
          <t>{"artifact_hash": "1d168f11d221cd3c", "event_id": "401858247", "event_start_utc": "2026-10-03T19:30Z", "features": {"altitude_fatigue_penalty": 0.0, "away_team": "California Golden Bears", "efficiency_gap": 0.882, "elo_away": 1325.7, "elo_home": 1584.0, "elo_home_win_prob": 0.8654, "event_id": "401858247", "game_start_utc": "2026-10-03T19:30Z", "home_field_advantage_points": 2.8, "home_team": "UNLV Rebels", "is_dome": true, "is_fbs_vs_fcs": false, "is_neutral_site": false, "projected_away_points": 20.1, "projected_home_points": 33.1, "projected_margin_home": 13.0, "projected_possessions": 12.4, "projected_total": 53.3, "stadium_elevation_ft": 2010, "travel_distance_miles": 409.0, "uncertainty": 0.165, "weather_total_adjustment": 0.0}, "historical_source_observation_times_verified": false, "inference_inputs": {"engine_source_sha256": "449ba2f0e86fa9c445730076a0e0bf100fb4914620be53c75c6f3bfe24298f3f", "mu_away": 20.1, "mu_home": 33.1,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180876941691710552284727279301429730035}, "uinteger": 0}, "spread_home_line": -1.5, "total_line": 52.5}, "market_type": "total", "model_version": "cfb-total-v1", "observed_at_utc": "2026-10-03T16:52:02.220681+00:00", "probabilities": {"over": 0.484, "push": 0.0, "under": 0.516}, "replay_scope": "Full precision score means, exact engine parameters and original RNG state; upstream feature construction not certified.", "schema": "cfb-joint-replay-v1", "snapshot_hash": "d3a3c3ef67ef46ec29360ae9507867ce2abe63058eec42793a86db4515281064", "sport": "NCAAF"}</t>
        </is>
      </c>
    </row>
    <row r="728" ht="36" customHeight="1">
      <c r="A728" s="24" t="inlineStr">
        <is>
          <t>02adbf1d29ca4167</t>
        </is>
      </c>
      <c r="B728" s="24" t="inlineStr">
        <is>
          <t>2026-10-03T16:52:02.220681Z</t>
        </is>
      </c>
      <c r="C728" s="24" t="inlineStr">
        <is>
          <t>2026-10-03T19:30Z</t>
        </is>
      </c>
      <c r="D728" s="24" t="inlineStr">
        <is>
          <t>401858248</t>
        </is>
      </c>
      <c r="E728" s="24" t="inlineStr">
        <is>
          <t>NCAAF</t>
        </is>
      </c>
      <c r="F728" s="24" t="inlineStr">
        <is>
          <t>Louisville Cardinals</t>
        </is>
      </c>
      <c r="G728" s="24" t="inlineStr">
        <is>
          <t>NC State Wolfpack</t>
        </is>
      </c>
      <c r="H728" s="24" t="inlineStr">
        <is>
          <t>moneyline</t>
        </is>
      </c>
      <c r="I728" s="24" t="inlineStr">
        <is>
          <t>away</t>
        </is>
      </c>
      <c r="J728" s="25" t="n"/>
      <c r="K728" s="24" t="inlineStr">
        <is>
          <t>espn_consensus</t>
        </is>
      </c>
      <c r="L728" s="26" t="n">
        <v>-166</v>
      </c>
      <c r="M728" s="27" t="n">
        <v>1.60241</v>
      </c>
      <c r="N728" s="28" t="n">
        <v>0.6240599999999999</v>
      </c>
      <c r="O728" s="28" t="n">
        <v>0.543795</v>
      </c>
      <c r="P728" s="28" t="n">
        <v>0.165</v>
      </c>
      <c r="Q728" s="28" t="n">
        <v>-0.080265</v>
      </c>
      <c r="R728" s="26" t="n">
        <v>0</v>
      </c>
      <c r="S728" s="29" t="n">
        <v>1</v>
      </c>
      <c r="T728" s="24" t="inlineStr">
        <is>
          <t>college-football-v1</t>
        </is>
      </c>
      <c r="U728" s="24" t="inlineStr">
        <is>
          <t>settled</t>
        </is>
      </c>
      <c r="V728" s="24" t="inlineStr">
        <is>
          <t>loss</t>
        </is>
      </c>
      <c r="W728" s="26" t="n">
        <v>28</v>
      </c>
      <c r="X728" s="26" t="n">
        <v>31</v>
      </c>
      <c r="Y728" s="25" t="n"/>
      <c r="Z728" s="26" t="n"/>
      <c r="AA728" s="28" t="n"/>
      <c r="AB728" s="28" t="n"/>
      <c r="AC728" s="30" t="n">
        <v>-1</v>
      </c>
      <c r="AD728" s="24" t="inlineStr">
        <is>
          <t>2026-10-04T20:18:59.782465Z</t>
        </is>
      </c>
      <c r="AE728" s="31" t="inlineStr">
        <is>
          <t>CFB Joint Model (negative_binomial): proj score Louisville Cardinals 28.0 @ NC State Wolfpack 25.6 (Margin -2.4). Possessions: 12.4, HFA: +2.8 pts.</t>
        </is>
      </c>
      <c r="AF728" s="31" t="inlineStr">
        <is>
          <t>College football model; multi-market (moneyline, spread, total).</t>
        </is>
      </c>
      <c r="AG728" s="24" t="inlineStr">
        <is>
          <t>review_required</t>
        </is>
      </c>
      <c r="AH728" s="24" t="n"/>
      <c r="AI728" s="31" t="n"/>
      <c r="AJ728" s="31" t="n"/>
      <c r="AK728" s="24" t="inlineStr">
        <is>
          <t>paper_call</t>
        </is>
      </c>
      <c r="AL728" s="26" t="n">
        <v>4</v>
      </c>
      <c r="AM728" s="24" t="inlineStr">
        <is>
          <t>RESEARCH_OBSERVATION</t>
        </is>
      </c>
      <c r="AN728" s="24" t="inlineStr">
        <is>
          <t>CALL</t>
        </is>
      </c>
      <c r="AO728" s="24" t="inlineStr">
        <is>
          <t>PAPER_CALL_LOW_EDGE</t>
        </is>
      </c>
      <c r="AP728" s="24" t="inlineStr">
        <is>
          <t>Louisville Cardinals</t>
        </is>
      </c>
      <c r="AQ728" s="24" t="inlineStr">
        <is>
          <t>Louisville Cardinals</t>
        </is>
      </c>
      <c r="AR728" s="24" t="inlineStr">
        <is>
          <t>Louisville Cardinals</t>
        </is>
      </c>
      <c r="AS728" s="24" t="inlineStr">
        <is>
          <t>NC State Wolfpack</t>
        </is>
      </c>
      <c r="AT728" s="24" t="inlineStr">
        <is>
          <t>NC State Wolfpack</t>
        </is>
      </c>
      <c r="AU728" s="24" t="inlineStr">
        <is>
          <t>NC State Wolfpack</t>
        </is>
      </c>
      <c r="AV728" s="24" t="n"/>
      <c r="AW728" s="24" t="n"/>
      <c r="AX728" s="24" t="inlineStr">
        <is>
          <t>statistical_model</t>
        </is>
      </c>
      <c r="AY728" s="24" t="n"/>
      <c r="AZ728" s="24" t="inlineStr">
        <is>
          <t>shadow_qualified</t>
        </is>
      </c>
      <c r="BA728" s="24" t="inlineStr">
        <is>
          <t>1d168f11d221cd3c</t>
        </is>
      </c>
      <c r="BB728" s="24" t="inlineStr">
        <is>
          <t>cfb_key_number_engine</t>
        </is>
      </c>
      <c r="BC728" s="24" t="inlineStr">
        <is>
          <t>college-football-v1</t>
        </is>
      </c>
      <c r="BD728" s="24" t="inlineStr">
        <is>
          <t>1d168f11d221cd3c</t>
        </is>
      </c>
      <c r="BE728" s="24" t="inlineStr">
        <is>
          <t>cfb-v1</t>
        </is>
      </c>
      <c r="BF728" s="24" t="inlineStr">
        <is>
          <t>1</t>
        </is>
      </c>
      <c r="BG728" s="24" t="inlineStr">
        <is>
          <t>1d168f11d221cd3c</t>
        </is>
      </c>
      <c r="BH728" s="24" t="inlineStr">
        <is>
          <t>2026-10-03T16:52:02.220681+00:00</t>
        </is>
      </c>
      <c r="BI728" s="24" t="inlineStr">
        <is>
          <t>["same_event","same_team_same_day","same_league_same_day"]</t>
        </is>
      </c>
      <c r="BJ728" s="25" t="n"/>
      <c r="BK728" s="26" t="n">
        <v>-166</v>
      </c>
      <c r="BL728" s="27" t="n">
        <v>1.60241</v>
      </c>
      <c r="BM728" s="28" t="n">
        <v>0.6240599999999999</v>
      </c>
      <c r="BN728" s="28" t="n"/>
      <c r="BO728" s="28" t="n"/>
      <c r="BP728" s="25" t="n"/>
      <c r="BQ728" s="27" t="n"/>
      <c r="BR728" s="28" t="n"/>
      <c r="BS728" s="28" t="n"/>
      <c r="BT728" s="28" t="n"/>
      <c r="BU728" s="25" t="n"/>
      <c r="BV728" s="29" t="n"/>
      <c r="BW728" s="24" t="n"/>
      <c r="BX728" s="30" t="n">
        <v>1</v>
      </c>
      <c r="BY728" s="27" t="n">
        <v>-1</v>
      </c>
      <c r="BZ728" s="24" t="inlineStr">
        <is>
          <t>2026-10-04T20:18:59.782465Z</t>
        </is>
      </c>
      <c r="CA728" s="31" t="inlineStr">
        <is>
          <t>fixed one-unit hypothetical scoring; no real exposure or execution</t>
        </is>
      </c>
      <c r="CB728" s="24" t="n"/>
      <c r="CC728" s="24" t="n"/>
      <c r="CD728" s="24" t="n"/>
      <c r="CE728" s="24" t="n"/>
      <c r="CF728" s="24" t="n"/>
      <c r="CG728" s="24" t="n"/>
      <c r="CH728" s="24" t="n"/>
      <c r="CI728" s="24" t="n"/>
      <c r="CJ728" s="24" t="n"/>
      <c r="CK728" s="24" t="n"/>
      <c r="CL728" s="24" t="n"/>
      <c r="CM728" s="24" t="n"/>
      <c r="CN728" s="24" t="n"/>
      <c r="CO728" s="24" t="n"/>
      <c r="CP728" s="24" t="n"/>
      <c r="CQ728" s="24" t="n"/>
      <c r="CR728" s="24" t="n"/>
      <c r="CS728" s="24" t="inlineStr">
        <is>
          <t>False</t>
        </is>
      </c>
      <c r="CT728" s="24" t="n"/>
      <c r="CU728" s="24" t="n"/>
      <c r="CV728" s="24" t="n"/>
      <c r="CW728" s="24" t="n"/>
      <c r="CX728" s="24" t="n"/>
      <c r="CY728" s="24" t="n"/>
      <c r="CZ728" s="24" t="n"/>
      <c r="DA728" s="24" t="n"/>
      <c r="DB728" s="24" t="n"/>
      <c r="DC728" s="24" t="n"/>
      <c r="DD728" s="24" t="n"/>
      <c r="DE728" s="24" t="n"/>
      <c r="DF728" s="24" t="n"/>
      <c r="DG728" s="24" t="n"/>
      <c r="DH728" s="24" t="n"/>
      <c r="DI728" s="24" t="n"/>
      <c r="DJ728" s="24" t="inlineStr">
        <is>
          <t>0.62406</t>
        </is>
      </c>
      <c r="DK728" s="24" t="n"/>
      <c r="DL728" s="24" t="n"/>
      <c r="DM728" s="24" t="n"/>
      <c r="DN728" s="24" t="n"/>
      <c r="DO728" s="24" t="n"/>
      <c r="DP728" s="24" t="n"/>
      <c r="DQ728" s="24" t="inlineStr">
        <is>
          <t>{"artifact_hash": "1d168f11d221cd3c", "event_id": "401858248", "event_start_utc": "2026-10-03T19:30Z", "features": {"altitude_fatigue_penalty": 0.0, "away_team": "Louisville Cardinals", "efficiency_gap": -1.113, "elo_away": 1634.0, "elo_home": 1510.8, "elo_home_win_prob": 0.417, "event_id": "401858248", "game_start_utc": "2026-10-03T19:30Z", "home_field_advantage_points": 2.8, "home_team": "NC State Wolfpack", "is_dome": false, "is_fbs_vs_fcs": false, "is_neutral_site": false, "projected_away_points": 28.0, "projected_home_points": 25.6, "projected_margin_home": -2.4, "projected_possessions": 12.4, "projected_total": 53.6, "stadium_elevation_ft": 380, "travel_distance_miles": 422.0, "uncertainty": 0.165, "weather_total_adjustment": 0.0}, "historical_source_observation_times_verified": false, "inference_inputs": {"engine_source_sha256": "449ba2f0e86fa9c445730076a0e0bf100fb4914620be53c75c6f3bfe24298f3f", "mu_away": 28.0, "mu_home": 25.6,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167389480017005243532551268200600816137}, "uinteger": 0}, "spread_home_line": 3.0, "total_line": 56.5}, "market_type": "moneyline", "model_version": "college-football-v1", "observed_at_utc": "2026-10-03T16:52:02.220681+00:00", "probabilities": {"away": 0.543795, "home": 0.456205}, "replay_scope": "Full precision score means, exact engine parameters and original RNG state; upstream feature construction not certified.", "schema": "cfb-joint-replay-v1", "snapshot_hash": "fd651d62826eee425e313a3633e2cb2177c458c70d6e3245aa957572116a6556", "sport": "NCAAF"}</t>
        </is>
      </c>
    </row>
    <row r="729" ht="36" customHeight="1">
      <c r="A729" s="24" t="inlineStr">
        <is>
          <t>8c1997a164c44178</t>
        </is>
      </c>
      <c r="B729" s="24" t="inlineStr">
        <is>
          <t>2026-10-03T16:52:02.220681Z</t>
        </is>
      </c>
      <c r="C729" s="24" t="inlineStr">
        <is>
          <t>2026-10-03T19:30Z</t>
        </is>
      </c>
      <c r="D729" s="24" t="inlineStr">
        <is>
          <t>401858248</t>
        </is>
      </c>
      <c r="E729" s="24" t="inlineStr">
        <is>
          <t>NCAAF</t>
        </is>
      </c>
      <c r="F729" s="24" t="inlineStr">
        <is>
          <t>Louisville Cardinals</t>
        </is>
      </c>
      <c r="G729" s="24" t="inlineStr">
        <is>
          <t>NC State Wolfpack</t>
        </is>
      </c>
      <c r="H729" s="24" t="inlineStr">
        <is>
          <t>spread</t>
        </is>
      </c>
      <c r="I729" s="24" t="inlineStr">
        <is>
          <t>home</t>
        </is>
      </c>
      <c r="J729" s="25" t="n">
        <v>3</v>
      </c>
      <c r="K729" s="24" t="inlineStr">
        <is>
          <t>espn_consensus</t>
        </is>
      </c>
      <c r="L729" s="26" t="n">
        <v>-105</v>
      </c>
      <c r="M729" s="27" t="n">
        <v>1.952381</v>
      </c>
      <c r="N729" s="28" t="n">
        <v>0.512195</v>
      </c>
      <c r="O729" s="28" t="n">
        <v>0.509333</v>
      </c>
      <c r="P729" s="28" t="n">
        <v>0.165</v>
      </c>
      <c r="Q729" s="28" t="n">
        <v>-0.002862</v>
      </c>
      <c r="R729" s="26" t="n">
        <v>0</v>
      </c>
      <c r="S729" s="29" t="n">
        <v>1</v>
      </c>
      <c r="T729" s="24" t="inlineStr">
        <is>
          <t>cfb-spread-v1</t>
        </is>
      </c>
      <c r="U729" s="24" t="inlineStr">
        <is>
          <t>settled</t>
        </is>
      </c>
      <c r="V729" s="24" t="inlineStr">
        <is>
          <t>win</t>
        </is>
      </c>
      <c r="W729" s="26" t="n">
        <v>28</v>
      </c>
      <c r="X729" s="26" t="n">
        <v>31</v>
      </c>
      <c r="Y729" s="25" t="n"/>
      <c r="Z729" s="26" t="n"/>
      <c r="AA729" s="28" t="n"/>
      <c r="AB729" s="28" t="n"/>
      <c r="AC729" s="30" t="n">
        <v>0.9524</v>
      </c>
      <c r="AD729" s="24" t="inlineStr">
        <is>
          <t>2026-10-04T20:19:04.501586Z</t>
        </is>
      </c>
      <c r="AE729" s="31" t="inlineStr">
        <is>
          <t>Projected home margin -2.4 pts. Spread: Home +3.0 / Away -3.0 -&gt; P(Away cover)=0.470, P(Home cover)=0.509, P(Push)=0.021.</t>
        </is>
      </c>
      <c r="AF729" s="31" t="inlineStr">
        <is>
          <t>College football model; multi-market (moneyline, spread, total).</t>
        </is>
      </c>
      <c r="AG729" s="24" t="inlineStr">
        <is>
          <t>not_applicable</t>
        </is>
      </c>
      <c r="AH729" s="24" t="n"/>
      <c r="AI729" s="31" t="n"/>
      <c r="AJ729" s="31" t="n"/>
      <c r="AK729" s="24" t="inlineStr">
        <is>
          <t>paper_call</t>
        </is>
      </c>
      <c r="AL729" s="26" t="n">
        <v>4</v>
      </c>
      <c r="AM729" s="24" t="inlineStr">
        <is>
          <t>RESEARCH_OBSERVATION</t>
        </is>
      </c>
      <c r="AN729" s="24" t="inlineStr">
        <is>
          <t>CALL</t>
        </is>
      </c>
      <c r="AO729" s="24" t="inlineStr">
        <is>
          <t>PAPER_CALL_LOW_EDGE</t>
        </is>
      </c>
      <c r="AP729" s="24" t="inlineStr">
        <is>
          <t>Louisville Cardinals</t>
        </is>
      </c>
      <c r="AQ729" s="24" t="inlineStr">
        <is>
          <t>Louisville Cardinals</t>
        </is>
      </c>
      <c r="AR729" s="24" t="inlineStr">
        <is>
          <t>Louisville Cardinals</t>
        </is>
      </c>
      <c r="AS729" s="24" t="inlineStr">
        <is>
          <t>NC State Wolfpack</t>
        </is>
      </c>
      <c r="AT729" s="24" t="inlineStr">
        <is>
          <t>NC State Wolfpack</t>
        </is>
      </c>
      <c r="AU729" s="24" t="inlineStr">
        <is>
          <t>NC State Wolfpack</t>
        </is>
      </c>
      <c r="AV729" s="24" t="n"/>
      <c r="AW729" s="24" t="n"/>
      <c r="AX729" s="24" t="inlineStr">
        <is>
          <t>statistical_model</t>
        </is>
      </c>
      <c r="AY729" s="24" t="n"/>
      <c r="AZ729" s="24" t="inlineStr">
        <is>
          <t>shadow_qualified</t>
        </is>
      </c>
      <c r="BA729" s="24" t="inlineStr">
        <is>
          <t>1d168f11d221cd3c</t>
        </is>
      </c>
      <c r="BB729" s="24" t="inlineStr">
        <is>
          <t>cfb_key_number_engine</t>
        </is>
      </c>
      <c r="BC729" s="24" t="inlineStr">
        <is>
          <t>cfb-spread-v1</t>
        </is>
      </c>
      <c r="BD729" s="24" t="inlineStr">
        <is>
          <t>1d168f11d221cd3c</t>
        </is>
      </c>
      <c r="BE729" s="24" t="inlineStr">
        <is>
          <t>cfb-v1</t>
        </is>
      </c>
      <c r="BF729" s="24" t="inlineStr">
        <is>
          <t>1</t>
        </is>
      </c>
      <c r="BG729" s="24" t="inlineStr">
        <is>
          <t>1d168f11d221cd3c</t>
        </is>
      </c>
      <c r="BH729" s="24" t="inlineStr">
        <is>
          <t>2026-10-03T16:52:02.220681+00:00</t>
        </is>
      </c>
      <c r="BI729" s="24" t="inlineStr">
        <is>
          <t>["same_event","same_team_same_day","same_league_same_day"]</t>
        </is>
      </c>
      <c r="BJ729" s="25" t="n">
        <v>3</v>
      </c>
      <c r="BK729" s="26" t="n">
        <v>-105</v>
      </c>
      <c r="BL729" s="27" t="n">
        <v>1.952381</v>
      </c>
      <c r="BM729" s="28" t="n">
        <v>0.512195</v>
      </c>
      <c r="BN729" s="28" t="n"/>
      <c r="BO729" s="28" t="n"/>
      <c r="BP729" s="25" t="n"/>
      <c r="BQ729" s="27" t="n"/>
      <c r="BR729" s="28" t="n"/>
      <c r="BS729" s="28" t="n"/>
      <c r="BT729" s="28" t="n"/>
      <c r="BU729" s="25" t="n"/>
      <c r="BV729" s="29" t="n"/>
      <c r="BW729" s="24" t="n"/>
      <c r="BX729" s="30" t="n">
        <v>1</v>
      </c>
      <c r="BY729" s="27" t="n">
        <v>0.952381</v>
      </c>
      <c r="BZ729" s="24" t="inlineStr">
        <is>
          <t>2026-10-04T20:19:04.501586Z</t>
        </is>
      </c>
      <c r="CA729" s="31" t="inlineStr">
        <is>
          <t>fixed one-unit hypothetical scoring; no real exposure or execution</t>
        </is>
      </c>
      <c r="CB729" s="24" t="n"/>
      <c r="CC729" s="24" t="n"/>
      <c r="CD729" s="24" t="n"/>
      <c r="CE729" s="24" t="n"/>
      <c r="CF729" s="24" t="n"/>
      <c r="CG729" s="24" t="n"/>
      <c r="CH729" s="24" t="n"/>
      <c r="CI729" s="24" t="n"/>
      <c r="CJ729" s="24" t="n"/>
      <c r="CK729" s="24" t="n"/>
      <c r="CL729" s="24" t="n"/>
      <c r="CM729" s="24" t="n"/>
      <c r="CN729" s="24" t="n"/>
      <c r="CO729" s="24" t="n"/>
      <c r="CP729" s="24" t="n"/>
      <c r="CQ729" s="24" t="n"/>
      <c r="CR729" s="24" t="n"/>
      <c r="CS729" s="24" t="inlineStr">
        <is>
          <t>False</t>
        </is>
      </c>
      <c r="CT729" s="24" t="n"/>
      <c r="CU729" s="24" t="n"/>
      <c r="CV729" s="24" t="n"/>
      <c r="CW729" s="24" t="n"/>
      <c r="CX729" s="24" t="n"/>
      <c r="CY729" s="24" t="n"/>
      <c r="CZ729" s="24" t="n"/>
      <c r="DA729" s="24" t="n"/>
      <c r="DB729" s="24" t="n"/>
      <c r="DC729" s="24" t="n"/>
      <c r="DD729" s="24" t="n"/>
      <c r="DE729" s="24" t="n"/>
      <c r="DF729" s="24" t="n"/>
      <c r="DG729" s="24" t="n"/>
      <c r="DH729" s="24" t="n"/>
      <c r="DI729" s="24" t="n"/>
      <c r="DJ729" s="24" t="inlineStr">
        <is>
          <t>0.512195</t>
        </is>
      </c>
      <c r="DK729" s="24" t="n"/>
      <c r="DL729" s="24" t="n"/>
      <c r="DM729" s="24" t="n"/>
      <c r="DN729" s="24" t="n"/>
      <c r="DO729" s="24" t="n"/>
      <c r="DP729" s="24" t="n"/>
      <c r="DQ729" s="24" t="inlineStr">
        <is>
          <t>{"artifact_hash": "1d168f11d221cd3c", "event_id": "401858248", "event_start_utc": "2026-10-03T19:30Z", "features": {"altitude_fatigue_penalty": 0.0, "away_team": "Louisville Cardinals", "efficiency_gap": -1.113, "elo_away": 1634.0, "elo_home": 1510.8, "elo_home_win_prob": 0.417, "event_id": "401858248", "game_start_utc": "2026-10-03T19:30Z", "home_field_advantage_points": 2.8, "home_team": "NC State Wolfpack", "is_dome": false, "is_fbs_vs_fcs": false, "is_neutral_site": false, "projected_away_points": 28.0, "projected_home_points": 25.6, "projected_margin_home": -2.4, "projected_possessions": 12.4, "projected_total": 53.6, "stadium_elevation_ft": 380, "travel_distance_miles": 422.0, "uncertainty": 0.165, "weather_total_adjustment": 0.0}, "historical_source_observation_times_verified": false, "inference_inputs": {"engine_source_sha256": "449ba2f0e86fa9c445730076a0e0bf100fb4914620be53c75c6f3bfe24298f3f", "mu_away": 28.0, "mu_home": 25.6,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167389480017005243532551268200600816137}, "uinteger": 0}, "spread_home_line": 3.0, "total_line": 56.5}, "market_type": "spread", "model_version": "cfb-spread-v1", "observed_at_utc": "2026-10-03T16:52:02.220681+00:00", "probabilities": {"away": 0.469933, "home": 0.509333, "push": 0.020733}, "replay_scope": "Full precision score means, exact engine parameters and original RNG state; upstream feature construction not certified.", "schema": "cfb-joint-replay-v1", "snapshot_hash": "81afb2ada5ce93215e2ad1a4f5c61401316cdce572643c2f02f145c68afab912", "sport": "NCAAF"}</t>
        </is>
      </c>
    </row>
    <row r="730" ht="36" customHeight="1">
      <c r="A730" s="24" t="inlineStr">
        <is>
          <t>ca010745910f434e</t>
        </is>
      </c>
      <c r="B730" s="24" t="inlineStr">
        <is>
          <t>2026-10-03T16:52:02.220681Z</t>
        </is>
      </c>
      <c r="C730" s="24" t="inlineStr">
        <is>
          <t>2026-10-03T19:30Z</t>
        </is>
      </c>
      <c r="D730" s="24" t="inlineStr">
        <is>
          <t>401858248</t>
        </is>
      </c>
      <c r="E730" s="24" t="inlineStr">
        <is>
          <t>NCAAF</t>
        </is>
      </c>
      <c r="F730" s="24" t="inlineStr">
        <is>
          <t>Louisville Cardinals</t>
        </is>
      </c>
      <c r="G730" s="24" t="inlineStr">
        <is>
          <t>NC State Wolfpack</t>
        </is>
      </c>
      <c r="H730" s="24" t="inlineStr">
        <is>
          <t>total</t>
        </is>
      </c>
      <c r="I730" s="24" t="inlineStr">
        <is>
          <t>under</t>
        </is>
      </c>
      <c r="J730" s="25" t="n">
        <v>56.5</v>
      </c>
      <c r="K730" s="24" t="inlineStr">
        <is>
          <t>espn_consensus</t>
        </is>
      </c>
      <c r="L730" s="26" t="n">
        <v>-105</v>
      </c>
      <c r="M730" s="27" t="n">
        <v>1.952381</v>
      </c>
      <c r="N730" s="28" t="n">
        <v>0.512195</v>
      </c>
      <c r="O730" s="28" t="n">
        <v>0.577333</v>
      </c>
      <c r="P730" s="28" t="n">
        <v>0.165</v>
      </c>
      <c r="Q730" s="28" t="n">
        <v>0.065138</v>
      </c>
      <c r="R730" s="26" t="n">
        <v>0</v>
      </c>
      <c r="S730" s="29" t="n">
        <v>1</v>
      </c>
      <c r="T730" s="24" t="inlineStr">
        <is>
          <t>cfb-total-v1</t>
        </is>
      </c>
      <c r="U730" s="24" t="inlineStr">
        <is>
          <t>settled</t>
        </is>
      </c>
      <c r="V730" s="24" t="inlineStr">
        <is>
          <t>loss</t>
        </is>
      </c>
      <c r="W730" s="26" t="n">
        <v>28</v>
      </c>
      <c r="X730" s="26" t="n">
        <v>31</v>
      </c>
      <c r="Y730" s="25" t="n"/>
      <c r="Z730" s="26" t="n"/>
      <c r="AA730" s="28" t="n"/>
      <c r="AB730" s="28" t="n"/>
      <c r="AC730" s="30" t="n">
        <v>-1</v>
      </c>
      <c r="AD730" s="24" t="inlineStr">
        <is>
          <t>2026-10-04T20:19:11.362047Z</t>
        </is>
      </c>
      <c r="AE730" s="31" t="inlineStr">
        <is>
          <t>Projected total 53.6 pts (Weather adj: +0.0 pts). Total line 56.5 -&gt; P(Over)=0.423, P(Under)=0.577, P(Push)=0.000.</t>
        </is>
      </c>
      <c r="AF730" s="31" t="inlineStr">
        <is>
          <t>College football model; multi-market (moneyline, spread, total).</t>
        </is>
      </c>
      <c r="AG730" s="24" t="inlineStr">
        <is>
          <t>review_required</t>
        </is>
      </c>
      <c r="AH730" s="24" t="n"/>
      <c r="AI730" s="31" t="n"/>
      <c r="AJ730" s="31" t="n"/>
      <c r="AK730" s="24" t="inlineStr">
        <is>
          <t>model_qualified</t>
        </is>
      </c>
      <c r="AL730" s="26" t="n">
        <v>4</v>
      </c>
      <c r="AM730" s="24" t="inlineStr">
        <is>
          <t>QUALIFIED_SHADOW_CALL</t>
        </is>
      </c>
      <c r="AN730" s="24" t="inlineStr">
        <is>
          <t>CALL</t>
        </is>
      </c>
      <c r="AO730" s="24" t="inlineStr">
        <is>
          <t>QUALIFIED</t>
        </is>
      </c>
      <c r="AP730" s="24" t="inlineStr">
        <is>
          <t>Louisville Cardinals</t>
        </is>
      </c>
      <c r="AQ730" s="24" t="inlineStr">
        <is>
          <t>Louisville Cardinals</t>
        </is>
      </c>
      <c r="AR730" s="24" t="inlineStr">
        <is>
          <t>Louisville Cardinals</t>
        </is>
      </c>
      <c r="AS730" s="24" t="inlineStr">
        <is>
          <t>NC State Wolfpack</t>
        </is>
      </c>
      <c r="AT730" s="24" t="inlineStr">
        <is>
          <t>NC State Wolfpack</t>
        </is>
      </c>
      <c r="AU730" s="24" t="inlineStr">
        <is>
          <t>NC State Wolfpack</t>
        </is>
      </c>
      <c r="AV730" s="24" t="n"/>
      <c r="AW730" s="24" t="n"/>
      <c r="AX730" s="24" t="inlineStr">
        <is>
          <t>statistical_model</t>
        </is>
      </c>
      <c r="AY730" s="24" t="n"/>
      <c r="AZ730" s="24" t="inlineStr">
        <is>
          <t>shadow_qualified</t>
        </is>
      </c>
      <c r="BA730" s="24" t="inlineStr">
        <is>
          <t>1d168f11d221cd3c</t>
        </is>
      </c>
      <c r="BB730" s="24" t="inlineStr">
        <is>
          <t>cfb_key_number_engine</t>
        </is>
      </c>
      <c r="BC730" s="24" t="inlineStr">
        <is>
          <t>cfb-total-v1</t>
        </is>
      </c>
      <c r="BD730" s="24" t="inlineStr">
        <is>
          <t>1d168f11d221cd3c</t>
        </is>
      </c>
      <c r="BE730" s="24" t="inlineStr">
        <is>
          <t>cfb-v1</t>
        </is>
      </c>
      <c r="BF730" s="24" t="inlineStr">
        <is>
          <t>1</t>
        </is>
      </c>
      <c r="BG730" s="24" t="inlineStr">
        <is>
          <t>1d168f11d221cd3c</t>
        </is>
      </c>
      <c r="BH730" s="24" t="inlineStr">
        <is>
          <t>2026-10-03T16:52:02.220681+00:00</t>
        </is>
      </c>
      <c r="BI730" s="24" t="inlineStr">
        <is>
          <t>["same_event","same_team_same_day","same_league_same_day"]</t>
        </is>
      </c>
      <c r="BJ730" s="25" t="n">
        <v>56.5</v>
      </c>
      <c r="BK730" s="26" t="n">
        <v>-105</v>
      </c>
      <c r="BL730" s="27" t="n">
        <v>1.952381</v>
      </c>
      <c r="BM730" s="28" t="n">
        <v>0.512195</v>
      </c>
      <c r="BN730" s="28" t="n"/>
      <c r="BO730" s="28" t="n"/>
      <c r="BP730" s="25" t="n"/>
      <c r="BQ730" s="27" t="n"/>
      <c r="BR730" s="28" t="n"/>
      <c r="BS730" s="28" t="n"/>
      <c r="BT730" s="28" t="n"/>
      <c r="BU730" s="25" t="n"/>
      <c r="BV730" s="29" t="n"/>
      <c r="BW730" s="24" t="n"/>
      <c r="BX730" s="30" t="n"/>
      <c r="BY730" s="27" t="n"/>
      <c r="BZ730" s="24" t="n"/>
      <c r="CA730" s="31" t="n"/>
      <c r="CB730" s="24" t="n"/>
      <c r="CC730" s="24" t="n"/>
      <c r="CD730" s="24" t="n"/>
      <c r="CE730" s="24" t="n"/>
      <c r="CF730" s="24" t="n"/>
      <c r="CG730" s="24" t="n"/>
      <c r="CH730" s="24" t="n"/>
      <c r="CI730" s="24" t="n"/>
      <c r="CJ730" s="24" t="n"/>
      <c r="CK730" s="24" t="n"/>
      <c r="CL730" s="24" t="n"/>
      <c r="CM730" s="24" t="n"/>
      <c r="CN730" s="24" t="n"/>
      <c r="CO730" s="24" t="n"/>
      <c r="CP730" s="24" t="n"/>
      <c r="CQ730" s="24" t="n"/>
      <c r="CR730" s="24" t="n"/>
      <c r="CS730" s="24" t="inlineStr">
        <is>
          <t>True</t>
        </is>
      </c>
      <c r="CT730" s="24" t="n"/>
      <c r="CU730" s="24" t="n"/>
      <c r="CV730" s="24" t="n"/>
      <c r="CW730" s="24" t="n"/>
      <c r="CX730" s="24" t="n"/>
      <c r="CY730" s="24" t="n"/>
      <c r="CZ730" s="24" t="n"/>
      <c r="DA730" s="24" t="n"/>
      <c r="DB730" s="24" t="n"/>
      <c r="DC730" s="24" t="n"/>
      <c r="DD730" s="24" t="n"/>
      <c r="DE730" s="24" t="n"/>
      <c r="DF730" s="24" t="n"/>
      <c r="DG730" s="24" t="n"/>
      <c r="DH730" s="24" t="n"/>
      <c r="DI730" s="24" t="n"/>
      <c r="DJ730" s="24" t="inlineStr">
        <is>
          <t>0.512195</t>
        </is>
      </c>
      <c r="DK730" s="24" t="n"/>
      <c r="DL730" s="24" t="n"/>
      <c r="DM730" s="24" t="n"/>
      <c r="DN730" s="24" t="n"/>
      <c r="DO730" s="24" t="n"/>
      <c r="DP730" s="24" t="n"/>
      <c r="DQ730" s="24" t="inlineStr">
        <is>
          <t>{"artifact_hash": "1d168f11d221cd3c", "event_id": "401858248", "event_start_utc": "2026-10-03T19:30Z", "features": {"altitude_fatigue_penalty": 0.0, "away_team": "Louisville Cardinals", "efficiency_gap": -1.113, "elo_away": 1634.0, "elo_home": 1510.8, "elo_home_win_prob": 0.417, "event_id": "401858248", "game_start_utc": "2026-10-03T19:30Z", "home_field_advantage_points": 2.8, "home_team": "NC State Wolfpack", "is_dome": false, "is_fbs_vs_fcs": false, "is_neutral_site": false, "projected_away_points": 28.0, "projected_home_points": 25.6, "projected_margin_home": -2.4, "projected_possessions": 12.4, "projected_total": 53.6, "stadium_elevation_ft": 380, "travel_distance_miles": 422.0, "uncertainty": 0.165, "weather_total_adjustment": 0.0}, "historical_source_observation_times_verified": false, "inference_inputs": {"engine_source_sha256": "449ba2f0e86fa9c445730076a0e0bf100fb4914620be53c75c6f3bfe24298f3f", "mu_away": 28.0, "mu_home": 25.6,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167389480017005243532551268200600816137}, "uinteger": 0}, "spread_home_line": 3.0, "total_line": 56.5}, "market_type": "total", "model_version": "cfb-total-v1", "observed_at_utc": "2026-10-03T16:52:02.220681+00:00", "probabilities": {"over": 0.422667, "push": 0.0, "under": 0.577333}, "replay_scope": "Full precision score means, exact engine parameters and original RNG state; upstream feature construction not certified.", "schema": "cfb-joint-replay-v1", "snapshot_hash": "1422c6972087dc5c6664777a3350078e80a2efd9fa1aaa3e5ed3ce946550b6a3", "sport": "NCAAF"}</t>
        </is>
      </c>
    </row>
    <row r="731" ht="36" customHeight="1">
      <c r="A731" s="24" t="inlineStr">
        <is>
          <t>e02d6e3089f54da0</t>
        </is>
      </c>
      <c r="B731" s="24" t="inlineStr">
        <is>
          <t>2026-10-03T16:52:02.220681Z</t>
        </is>
      </c>
      <c r="C731" s="24" t="inlineStr">
        <is>
          <t>2026-10-03T19:30Z</t>
        </is>
      </c>
      <c r="D731" s="24" t="inlineStr">
        <is>
          <t>401858253</t>
        </is>
      </c>
      <c r="E731" s="24" t="inlineStr">
        <is>
          <t>NCAAF</t>
        </is>
      </c>
      <c r="F731" s="24" t="inlineStr">
        <is>
          <t>Virginia Cavaliers</t>
        </is>
      </c>
      <c r="G731" s="24" t="inlineStr">
        <is>
          <t>Florida State Seminoles</t>
        </is>
      </c>
      <c r="H731" s="24" t="inlineStr">
        <is>
          <t>moneyline</t>
        </is>
      </c>
      <c r="I731" s="24" t="inlineStr">
        <is>
          <t>away</t>
        </is>
      </c>
      <c r="J731" s="25" t="n"/>
      <c r="K731" s="24" t="inlineStr">
        <is>
          <t>espn_consensus</t>
        </is>
      </c>
      <c r="L731" s="26" t="n">
        <v>-118</v>
      </c>
      <c r="M731" s="27" t="n">
        <v>1.847458</v>
      </c>
      <c r="N731" s="28" t="n">
        <v>0.541284</v>
      </c>
      <c r="O731" s="28" t="n">
        <v>0.635309</v>
      </c>
      <c r="P731" s="28" t="n">
        <v>0.165</v>
      </c>
      <c r="Q731" s="28" t="n">
        <v>0.094025</v>
      </c>
      <c r="R731" s="26" t="n">
        <v>0</v>
      </c>
      <c r="S731" s="29" t="n">
        <v>1</v>
      </c>
      <c r="T731" s="24" t="inlineStr">
        <is>
          <t>college-football-v1</t>
        </is>
      </c>
      <c r="U731" s="24" t="inlineStr">
        <is>
          <t>settled</t>
        </is>
      </c>
      <c r="V731" s="24" t="inlineStr">
        <is>
          <t>loss</t>
        </is>
      </c>
      <c r="W731" s="26" t="n">
        <v>7</v>
      </c>
      <c r="X731" s="26" t="n">
        <v>38</v>
      </c>
      <c r="Y731" s="25" t="n"/>
      <c r="Z731" s="26" t="n"/>
      <c r="AA731" s="28" t="n"/>
      <c r="AB731" s="28" t="n"/>
      <c r="AC731" s="30" t="n">
        <v>-1</v>
      </c>
      <c r="AD731" s="24" t="inlineStr">
        <is>
          <t>2026-10-04T20:19:18.125796Z</t>
        </is>
      </c>
      <c r="AE731" s="31" t="inlineStr">
        <is>
          <t>CFB Joint Model (negative_binomial): proj score Virginia Cavaliers 30.9 @ Florida State Seminoles 24.2 (Margin -6.7). Possessions: 12.4, HFA: +2.8 pts.</t>
        </is>
      </c>
      <c r="AF731" s="31" t="inlineStr">
        <is>
          <t>College football model; multi-market (moneyline, spread, total).</t>
        </is>
      </c>
      <c r="AG731" s="24" t="inlineStr">
        <is>
          <t>review_required</t>
        </is>
      </c>
      <c r="AH731" s="24" t="n"/>
      <c r="AI731" s="31" t="n"/>
      <c r="AJ731" s="31" t="n"/>
      <c r="AK731" s="24" t="inlineStr">
        <is>
          <t>model_qualified</t>
        </is>
      </c>
      <c r="AL731" s="26" t="n">
        <v>4</v>
      </c>
      <c r="AM731" s="24" t="inlineStr">
        <is>
          <t>QUALIFIED_SHADOW_CALL</t>
        </is>
      </c>
      <c r="AN731" s="24" t="inlineStr">
        <is>
          <t>CALL</t>
        </is>
      </c>
      <c r="AO731" s="24" t="inlineStr">
        <is>
          <t>QUALIFIED</t>
        </is>
      </c>
      <c r="AP731" s="24" t="inlineStr">
        <is>
          <t>Virginia Cavaliers</t>
        </is>
      </c>
      <c r="AQ731" s="24" t="inlineStr">
        <is>
          <t>Virginia Cavaliers</t>
        </is>
      </c>
      <c r="AR731" s="24" t="inlineStr">
        <is>
          <t>Virginia Cavaliers</t>
        </is>
      </c>
      <c r="AS731" s="24" t="inlineStr">
        <is>
          <t>Florida State Seminoles</t>
        </is>
      </c>
      <c r="AT731" s="24" t="inlineStr">
        <is>
          <t>Florida State Seminoles</t>
        </is>
      </c>
      <c r="AU731" s="24" t="inlineStr">
        <is>
          <t>Florida State Seminoles</t>
        </is>
      </c>
      <c r="AV731" s="24" t="n"/>
      <c r="AW731" s="24" t="n"/>
      <c r="AX731" s="24" t="inlineStr">
        <is>
          <t>statistical_model</t>
        </is>
      </c>
      <c r="AY731" s="24" t="n"/>
      <c r="AZ731" s="24" t="inlineStr">
        <is>
          <t>shadow_qualified</t>
        </is>
      </c>
      <c r="BA731" s="24" t="inlineStr">
        <is>
          <t>1d168f11d221cd3c</t>
        </is>
      </c>
      <c r="BB731" s="24" t="inlineStr">
        <is>
          <t>cfb_key_number_engine</t>
        </is>
      </c>
      <c r="BC731" s="24" t="inlineStr">
        <is>
          <t>college-football-v1</t>
        </is>
      </c>
      <c r="BD731" s="24" t="inlineStr">
        <is>
          <t>1d168f11d221cd3c</t>
        </is>
      </c>
      <c r="BE731" s="24" t="inlineStr">
        <is>
          <t>cfb-v1</t>
        </is>
      </c>
      <c r="BF731" s="24" t="inlineStr">
        <is>
          <t>1</t>
        </is>
      </c>
      <c r="BG731" s="24" t="inlineStr">
        <is>
          <t>1d168f11d221cd3c</t>
        </is>
      </c>
      <c r="BH731" s="24" t="inlineStr">
        <is>
          <t>2026-10-03T16:52:02.220681+00:00</t>
        </is>
      </c>
      <c r="BI731" s="24" t="inlineStr">
        <is>
          <t>["same_event","same_team_same_day","same_league_same_day"]</t>
        </is>
      </c>
      <c r="BJ731" s="25" t="n"/>
      <c r="BK731" s="26" t="n">
        <v>-118</v>
      </c>
      <c r="BL731" s="27" t="n">
        <v>1.847458</v>
      </c>
      <c r="BM731" s="28" t="n">
        <v>0.541284</v>
      </c>
      <c r="BN731" s="28" t="n"/>
      <c r="BO731" s="28" t="n"/>
      <c r="BP731" s="25" t="n"/>
      <c r="BQ731" s="27" t="n"/>
      <c r="BR731" s="28" t="n"/>
      <c r="BS731" s="28" t="n"/>
      <c r="BT731" s="28" t="n"/>
      <c r="BU731" s="25" t="n"/>
      <c r="BV731" s="29" t="n"/>
      <c r="BW731" s="24" t="n"/>
      <c r="BX731" s="30" t="n"/>
      <c r="BY731" s="27" t="n"/>
      <c r="BZ731" s="24" t="n"/>
      <c r="CA731" s="31" t="n"/>
      <c r="CB731" s="24" t="n"/>
      <c r="CC731" s="24" t="n"/>
      <c r="CD731" s="24" t="n"/>
      <c r="CE731" s="24" t="n"/>
      <c r="CF731" s="24" t="n"/>
      <c r="CG731" s="24" t="n"/>
      <c r="CH731" s="24" t="n"/>
      <c r="CI731" s="24" t="n"/>
      <c r="CJ731" s="24" t="n"/>
      <c r="CK731" s="24" t="n"/>
      <c r="CL731" s="24" t="n"/>
      <c r="CM731" s="24" t="n"/>
      <c r="CN731" s="24" t="n"/>
      <c r="CO731" s="24" t="n"/>
      <c r="CP731" s="24" t="n"/>
      <c r="CQ731" s="24" t="n"/>
      <c r="CR731" s="24" t="n"/>
      <c r="CS731" s="24" t="inlineStr">
        <is>
          <t>True</t>
        </is>
      </c>
      <c r="CT731" s="24" t="n"/>
      <c r="CU731" s="24" t="n"/>
      <c r="CV731" s="24" t="n"/>
      <c r="CW731" s="24" t="n"/>
      <c r="CX731" s="24" t="n"/>
      <c r="CY731" s="24" t="n"/>
      <c r="CZ731" s="24" t="n"/>
      <c r="DA731" s="24" t="n"/>
      <c r="DB731" s="24" t="n"/>
      <c r="DC731" s="24" t="n"/>
      <c r="DD731" s="24" t="n"/>
      <c r="DE731" s="24" t="n"/>
      <c r="DF731" s="24" t="n"/>
      <c r="DG731" s="24" t="n"/>
      <c r="DH731" s="24" t="n"/>
      <c r="DI731" s="24" t="n"/>
      <c r="DJ731" s="24" t="inlineStr">
        <is>
          <t>0.541284</t>
        </is>
      </c>
      <c r="DK731" s="24" t="n"/>
      <c r="DL731" s="24" t="n"/>
      <c r="DM731" s="24" t="n"/>
      <c r="DN731" s="24" t="n"/>
      <c r="DO731" s="24" t="n"/>
      <c r="DP731" s="24" t="n"/>
      <c r="DQ731" s="24" t="inlineStr">
        <is>
          <t>{"artifact_hash": "1d168f11d221cd3c", "event_id": "401858253", "event_start_utc": "2026-10-03T19:30Z", "features": {"altitude_fatigue_penalty": 0.0, "away_team": "Virginia Cavaliers", "efficiency_gap": -0.435, "elo_away": 1696.3, "elo_home": 1458.5, "elo_home_win_prob": 0.27, "event_id": "401858253", "game_start_utc": "2026-10-03T19:30Z", "home_field_advantage_points": 2.8, "home_team": "Florida State Seminoles", "is_dome": false, "is_fbs_vs_fcs": false, "is_neutral_site": false, "projected_away_points": 30.9, "projected_home_points": 24.2, "projected_margin_home": -6.7, "projected_possessions": 12.4, "projected_total": 55.1, "stadium_elevation_ft": 210, "travel_distance_miles": 620.0, "uncertainty": 0.165, "weather_total_adjustment": 0.0}, "historical_source_observation_times_verified": false, "inference_inputs": {"engine_source_sha256": "449ba2f0e86fa9c445730076a0e0bf100fb4914620be53c75c6f3bfe24298f3f", "mu_away": 30.9, "mu_home": 24.2,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123737243124803786967512316907167384553}, "uinteger": 0}, "spread_home_line": 1.5, "total_line": 51.5}, "market_type": "moneyline", "model_version": "college-football-v1", "observed_at_utc": "2026-10-03T16:52:02.220681+00:00", "probabilities": {"away": 0.635309, "home": 0.364691}, "replay_scope": "Full precision score means, exact engine parameters and original RNG state; upstream feature construction not certified.", "schema": "cfb-joint-replay-v1", "snapshot_hash": "1b4c1465a539a6858b565649166ceef2332b624f5f11b82175deb4f6ae96c4f7", "sport": "NCAAF"}</t>
        </is>
      </c>
    </row>
    <row r="732" ht="36" customHeight="1">
      <c r="A732" s="24" t="inlineStr">
        <is>
          <t>122a8364f47d461d</t>
        </is>
      </c>
      <c r="B732" s="24" t="inlineStr">
        <is>
          <t>2026-10-03T16:52:02.220681Z</t>
        </is>
      </c>
      <c r="C732" s="24" t="inlineStr">
        <is>
          <t>2026-10-03T19:30Z</t>
        </is>
      </c>
      <c r="D732" s="24" t="inlineStr">
        <is>
          <t>401858253</t>
        </is>
      </c>
      <c r="E732" s="24" t="inlineStr">
        <is>
          <t>NCAAF</t>
        </is>
      </c>
      <c r="F732" s="24" t="inlineStr">
        <is>
          <t>Virginia Cavaliers</t>
        </is>
      </c>
      <c r="G732" s="24" t="inlineStr">
        <is>
          <t>Florida State Seminoles</t>
        </is>
      </c>
      <c r="H732" s="24" t="inlineStr">
        <is>
          <t>spread</t>
        </is>
      </c>
      <c r="I732" s="24" t="inlineStr">
        <is>
          <t>away</t>
        </is>
      </c>
      <c r="J732" s="25" t="n">
        <v>-1.5</v>
      </c>
      <c r="K732" s="24" t="inlineStr">
        <is>
          <t>espn_consensus</t>
        </is>
      </c>
      <c r="L732" s="26" t="n">
        <v>-108</v>
      </c>
      <c r="M732" s="27" t="n">
        <v>1.925926</v>
      </c>
      <c r="N732" s="28" t="n">
        <v>0.519231</v>
      </c>
      <c r="O732" s="28" t="n">
        <v>0.606</v>
      </c>
      <c r="P732" s="28" t="n">
        <v>0.165</v>
      </c>
      <c r="Q732" s="28" t="n">
        <v>0.086769</v>
      </c>
      <c r="R732" s="26" t="n">
        <v>0</v>
      </c>
      <c r="S732" s="29" t="n">
        <v>1</v>
      </c>
      <c r="T732" s="24" t="inlineStr">
        <is>
          <t>cfb-spread-v1</t>
        </is>
      </c>
      <c r="U732" s="24" t="inlineStr">
        <is>
          <t>settled</t>
        </is>
      </c>
      <c r="V732" s="24" t="inlineStr">
        <is>
          <t>loss</t>
        </is>
      </c>
      <c r="W732" s="26" t="n">
        <v>7</v>
      </c>
      <c r="X732" s="26" t="n">
        <v>38</v>
      </c>
      <c r="Y732" s="25" t="n"/>
      <c r="Z732" s="26" t="n"/>
      <c r="AA732" s="28" t="n"/>
      <c r="AB732" s="28" t="n"/>
      <c r="AC732" s="30" t="n">
        <v>-1</v>
      </c>
      <c r="AD732" s="24" t="inlineStr">
        <is>
          <t>2026-10-04T20:19:24.585764Z</t>
        </is>
      </c>
      <c r="AE732" s="31" t="inlineStr">
        <is>
          <t>Projected home margin -6.7 pts. Spread: Home +1.5 / Away -1.5 -&gt; P(Away cover)=0.606, P(Home cover)=0.394, P(Push)=0.000.</t>
        </is>
      </c>
      <c r="AF732" s="31" t="inlineStr">
        <is>
          <t>College football model; multi-market (moneyline, spread, total).</t>
        </is>
      </c>
      <c r="AG732" s="24" t="inlineStr">
        <is>
          <t>review_required</t>
        </is>
      </c>
      <c r="AH732" s="24" t="n"/>
      <c r="AI732" s="31" t="n"/>
      <c r="AJ732" s="31" t="n"/>
      <c r="AK732" s="24" t="inlineStr">
        <is>
          <t>model_qualified</t>
        </is>
      </c>
      <c r="AL732" s="26" t="n">
        <v>4</v>
      </c>
      <c r="AM732" s="24" t="inlineStr">
        <is>
          <t>QUALIFIED_SHADOW_CALL</t>
        </is>
      </c>
      <c r="AN732" s="24" t="inlineStr">
        <is>
          <t>CALL</t>
        </is>
      </c>
      <c r="AO732" s="24" t="inlineStr">
        <is>
          <t>QUALIFIED</t>
        </is>
      </c>
      <c r="AP732" s="24" t="inlineStr">
        <is>
          <t>Virginia Cavaliers</t>
        </is>
      </c>
      <c r="AQ732" s="24" t="inlineStr">
        <is>
          <t>Virginia Cavaliers</t>
        </is>
      </c>
      <c r="AR732" s="24" t="inlineStr">
        <is>
          <t>Virginia Cavaliers</t>
        </is>
      </c>
      <c r="AS732" s="24" t="inlineStr">
        <is>
          <t>Florida State Seminoles</t>
        </is>
      </c>
      <c r="AT732" s="24" t="inlineStr">
        <is>
          <t>Florida State Seminoles</t>
        </is>
      </c>
      <c r="AU732" s="24" t="inlineStr">
        <is>
          <t>Florida State Seminoles</t>
        </is>
      </c>
      <c r="AV732" s="24" t="n"/>
      <c r="AW732" s="24" t="n"/>
      <c r="AX732" s="24" t="inlineStr">
        <is>
          <t>statistical_model</t>
        </is>
      </c>
      <c r="AY732" s="24" t="n"/>
      <c r="AZ732" s="24" t="inlineStr">
        <is>
          <t>shadow_qualified</t>
        </is>
      </c>
      <c r="BA732" s="24" t="inlineStr">
        <is>
          <t>1d168f11d221cd3c</t>
        </is>
      </c>
      <c r="BB732" s="24" t="inlineStr">
        <is>
          <t>cfb_key_number_engine</t>
        </is>
      </c>
      <c r="BC732" s="24" t="inlineStr">
        <is>
          <t>cfb-spread-v1</t>
        </is>
      </c>
      <c r="BD732" s="24" t="inlineStr">
        <is>
          <t>1d168f11d221cd3c</t>
        </is>
      </c>
      <c r="BE732" s="24" t="inlineStr">
        <is>
          <t>cfb-v1</t>
        </is>
      </c>
      <c r="BF732" s="24" t="inlineStr">
        <is>
          <t>1</t>
        </is>
      </c>
      <c r="BG732" s="24" t="inlineStr">
        <is>
          <t>1d168f11d221cd3c</t>
        </is>
      </c>
      <c r="BH732" s="24" t="inlineStr">
        <is>
          <t>2026-10-03T16:52:02.220681+00:00</t>
        </is>
      </c>
      <c r="BI732" s="24" t="inlineStr">
        <is>
          <t>["same_event","same_team_same_day","same_league_same_day"]</t>
        </is>
      </c>
      <c r="BJ732" s="25" t="n">
        <v>-1.5</v>
      </c>
      <c r="BK732" s="26" t="n">
        <v>-108</v>
      </c>
      <c r="BL732" s="27" t="n">
        <v>1.925926</v>
      </c>
      <c r="BM732" s="28" t="n">
        <v>0.519231</v>
      </c>
      <c r="BN732" s="28" t="n"/>
      <c r="BO732" s="28" t="n"/>
      <c r="BP732" s="25" t="n"/>
      <c r="BQ732" s="27" t="n"/>
      <c r="BR732" s="28" t="n"/>
      <c r="BS732" s="28" t="n"/>
      <c r="BT732" s="28" t="n"/>
      <c r="BU732" s="25" t="n"/>
      <c r="BV732" s="29" t="n"/>
      <c r="BW732" s="24" t="n"/>
      <c r="BX732" s="30" t="n"/>
      <c r="BY732" s="27" t="n"/>
      <c r="BZ732" s="24" t="n"/>
      <c r="CA732" s="31" t="n"/>
      <c r="CB732" s="24" t="n"/>
      <c r="CC732" s="24" t="n"/>
      <c r="CD732" s="24" t="n"/>
      <c r="CE732" s="24" t="n"/>
      <c r="CF732" s="24" t="n"/>
      <c r="CG732" s="24" t="n"/>
      <c r="CH732" s="24" t="n"/>
      <c r="CI732" s="24" t="n"/>
      <c r="CJ732" s="24" t="n"/>
      <c r="CK732" s="24" t="n"/>
      <c r="CL732" s="24" t="n"/>
      <c r="CM732" s="24" t="n"/>
      <c r="CN732" s="24" t="n"/>
      <c r="CO732" s="24" t="n"/>
      <c r="CP732" s="24" t="n"/>
      <c r="CQ732" s="24" t="n"/>
      <c r="CR732" s="24" t="n"/>
      <c r="CS732" s="24" t="inlineStr">
        <is>
          <t>True</t>
        </is>
      </c>
      <c r="CT732" s="24" t="n"/>
      <c r="CU732" s="24" t="n"/>
      <c r="CV732" s="24" t="n"/>
      <c r="CW732" s="24" t="n"/>
      <c r="CX732" s="24" t="n"/>
      <c r="CY732" s="24" t="n"/>
      <c r="CZ732" s="24" t="n"/>
      <c r="DA732" s="24" t="n"/>
      <c r="DB732" s="24" t="n"/>
      <c r="DC732" s="24" t="n"/>
      <c r="DD732" s="24" t="n"/>
      <c r="DE732" s="24" t="n"/>
      <c r="DF732" s="24" t="n"/>
      <c r="DG732" s="24" t="n"/>
      <c r="DH732" s="24" t="n"/>
      <c r="DI732" s="24" t="n"/>
      <c r="DJ732" s="24" t="inlineStr">
        <is>
          <t>0.519231</t>
        </is>
      </c>
      <c r="DK732" s="24" t="n"/>
      <c r="DL732" s="24" t="n"/>
      <c r="DM732" s="24" t="n"/>
      <c r="DN732" s="24" t="n"/>
      <c r="DO732" s="24" t="n"/>
      <c r="DP732" s="24" t="n"/>
      <c r="DQ732" s="24" t="inlineStr">
        <is>
          <t>{"artifact_hash": "1d168f11d221cd3c", "event_id": "401858253", "event_start_utc": "2026-10-03T19:30Z", "features": {"altitude_fatigue_penalty": 0.0, "away_team": "Virginia Cavaliers", "efficiency_gap": -0.435, "elo_away": 1696.3, "elo_home": 1458.5, "elo_home_win_prob": 0.27, "event_id": "401858253", "game_start_utc": "2026-10-03T19:30Z", "home_field_advantage_points": 2.8, "home_team": "Florida State Seminoles", "is_dome": false, "is_fbs_vs_fcs": false, "is_neutral_site": false, "projected_away_points": 30.9, "projected_home_points": 24.2, "projected_margin_home": -6.7, "projected_possessions": 12.4, "projected_total": 55.1, "stadium_elevation_ft": 210, "travel_distance_miles": 620.0, "uncertainty": 0.165, "weather_total_adjustment": 0.0}, "historical_source_observation_times_verified": false, "inference_inputs": {"engine_source_sha256": "449ba2f0e86fa9c445730076a0e0bf100fb4914620be53c75c6f3bfe24298f3f", "mu_away": 30.9, "mu_home": 24.2,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123737243124803786967512316907167384553}, "uinteger": 0}, "spread_home_line": 1.5, "total_line": 51.5}, "market_type": "spread", "model_version": "cfb-spread-v1", "observed_at_utc": "2026-10-03T16:52:02.220681+00:00", "probabilities": {"away": 0.606, "home": 0.394, "push": 0.0}, "replay_scope": "Full precision score means, exact engine parameters and original RNG state; upstream feature construction not certified.", "schema": "cfb-joint-replay-v1", "snapshot_hash": "5a981b8a6e8a1922ddc9e35f39f134ca3235ea742e3cc2866a1b4b830f0c8b18", "sport": "NCAAF"}</t>
        </is>
      </c>
    </row>
    <row r="733" ht="36" customHeight="1">
      <c r="A733" s="24" t="inlineStr">
        <is>
          <t>fda823f92eec487c</t>
        </is>
      </c>
      <c r="B733" s="24" t="inlineStr">
        <is>
          <t>2026-10-03T16:52:02.220681Z</t>
        </is>
      </c>
      <c r="C733" s="24" t="inlineStr">
        <is>
          <t>2026-10-03T19:30Z</t>
        </is>
      </c>
      <c r="D733" s="24" t="inlineStr">
        <is>
          <t>401858253</t>
        </is>
      </c>
      <c r="E733" s="24" t="inlineStr">
        <is>
          <t>NCAAF</t>
        </is>
      </c>
      <c r="F733" s="24" t="inlineStr">
        <is>
          <t>Virginia Cavaliers</t>
        </is>
      </c>
      <c r="G733" s="24" t="inlineStr">
        <is>
          <t>Florida State Seminoles</t>
        </is>
      </c>
      <c r="H733" s="24" t="inlineStr">
        <is>
          <t>total</t>
        </is>
      </c>
      <c r="I733" s="24" t="inlineStr">
        <is>
          <t>over</t>
        </is>
      </c>
      <c r="J733" s="25" t="n">
        <v>51.5</v>
      </c>
      <c r="K733" s="24" t="inlineStr">
        <is>
          <t>espn_consensus</t>
        </is>
      </c>
      <c r="L733" s="26" t="n">
        <v>-115</v>
      </c>
      <c r="M733" s="27" t="n">
        <v>1.869565</v>
      </c>
      <c r="N733" s="28" t="n">
        <v>0.534884</v>
      </c>
      <c r="O733" s="28" t="n">
        <v>0.5323329999999999</v>
      </c>
      <c r="P733" s="28" t="n">
        <v>0.165</v>
      </c>
      <c r="Q733" s="28" t="n">
        <v>-0.002551</v>
      </c>
      <c r="R733" s="26" t="n">
        <v>0</v>
      </c>
      <c r="S733" s="29" t="n">
        <v>1</v>
      </c>
      <c r="T733" s="24" t="inlineStr">
        <is>
          <t>cfb-total-v1</t>
        </is>
      </c>
      <c r="U733" s="24" t="inlineStr">
        <is>
          <t>settled</t>
        </is>
      </c>
      <c r="V733" s="24" t="inlineStr">
        <is>
          <t>loss</t>
        </is>
      </c>
      <c r="W733" s="26" t="n">
        <v>7</v>
      </c>
      <c r="X733" s="26" t="n">
        <v>38</v>
      </c>
      <c r="Y733" s="25" t="n"/>
      <c r="Z733" s="26" t="n"/>
      <c r="AA733" s="28" t="n"/>
      <c r="AB733" s="28" t="n"/>
      <c r="AC733" s="30" t="n">
        <v>-1</v>
      </c>
      <c r="AD733" s="24" t="inlineStr">
        <is>
          <t>2026-10-04T20:19:31.499913Z</t>
        </is>
      </c>
      <c r="AE733" s="31" t="inlineStr">
        <is>
          <t>Projected total 55.1 pts (Weather adj: +0.0 pts). Total line 51.5 -&gt; P(Over)=0.532, P(Under)=0.468, P(Push)=0.000.</t>
        </is>
      </c>
      <c r="AF733" s="31" t="inlineStr">
        <is>
          <t>College football model; multi-market (moneyline, spread, total).</t>
        </is>
      </c>
      <c r="AG733" s="24" t="inlineStr">
        <is>
          <t>review_required</t>
        </is>
      </c>
      <c r="AH733" s="24" t="n"/>
      <c r="AI733" s="31" t="n"/>
      <c r="AJ733" s="31" t="n"/>
      <c r="AK733" s="24" t="inlineStr">
        <is>
          <t>paper_call</t>
        </is>
      </c>
      <c r="AL733" s="26" t="n">
        <v>4</v>
      </c>
      <c r="AM733" s="24" t="inlineStr">
        <is>
          <t>RESEARCH_OBSERVATION</t>
        </is>
      </c>
      <c r="AN733" s="24" t="inlineStr">
        <is>
          <t>CALL</t>
        </is>
      </c>
      <c r="AO733" s="24" t="inlineStr">
        <is>
          <t>PAPER_CALL_LOW_EDGE</t>
        </is>
      </c>
      <c r="AP733" s="24" t="inlineStr">
        <is>
          <t>Virginia Cavaliers</t>
        </is>
      </c>
      <c r="AQ733" s="24" t="inlineStr">
        <is>
          <t>Virginia Cavaliers</t>
        </is>
      </c>
      <c r="AR733" s="24" t="inlineStr">
        <is>
          <t>Virginia Cavaliers</t>
        </is>
      </c>
      <c r="AS733" s="24" t="inlineStr">
        <is>
          <t>Florida State Seminoles</t>
        </is>
      </c>
      <c r="AT733" s="24" t="inlineStr">
        <is>
          <t>Florida State Seminoles</t>
        </is>
      </c>
      <c r="AU733" s="24" t="inlineStr">
        <is>
          <t>Florida State Seminoles</t>
        </is>
      </c>
      <c r="AV733" s="24" t="n"/>
      <c r="AW733" s="24" t="n"/>
      <c r="AX733" s="24" t="inlineStr">
        <is>
          <t>statistical_model</t>
        </is>
      </c>
      <c r="AY733" s="24" t="n"/>
      <c r="AZ733" s="24" t="inlineStr">
        <is>
          <t>shadow_qualified</t>
        </is>
      </c>
      <c r="BA733" s="24" t="inlineStr">
        <is>
          <t>1d168f11d221cd3c</t>
        </is>
      </c>
      <c r="BB733" s="24" t="inlineStr">
        <is>
          <t>cfb_key_number_engine</t>
        </is>
      </c>
      <c r="BC733" s="24" t="inlineStr">
        <is>
          <t>cfb-total-v1</t>
        </is>
      </c>
      <c r="BD733" s="24" t="inlineStr">
        <is>
          <t>1d168f11d221cd3c</t>
        </is>
      </c>
      <c r="BE733" s="24" t="inlineStr">
        <is>
          <t>cfb-v1</t>
        </is>
      </c>
      <c r="BF733" s="24" t="inlineStr">
        <is>
          <t>1</t>
        </is>
      </c>
      <c r="BG733" s="24" t="inlineStr">
        <is>
          <t>1d168f11d221cd3c</t>
        </is>
      </c>
      <c r="BH733" s="24" t="inlineStr">
        <is>
          <t>2026-10-03T16:52:02.220681+00:00</t>
        </is>
      </c>
      <c r="BI733" s="24" t="inlineStr">
        <is>
          <t>["same_event","same_team_same_day","same_league_same_day"]</t>
        </is>
      </c>
      <c r="BJ733" s="25" t="n">
        <v>51.5</v>
      </c>
      <c r="BK733" s="26" t="n">
        <v>-115</v>
      </c>
      <c r="BL733" s="27" t="n">
        <v>1.869565</v>
      </c>
      <c r="BM733" s="28" t="n">
        <v>0.534884</v>
      </c>
      <c r="BN733" s="28" t="n"/>
      <c r="BO733" s="28" t="n"/>
      <c r="BP733" s="25" t="n"/>
      <c r="BQ733" s="27" t="n"/>
      <c r="BR733" s="28" t="n"/>
      <c r="BS733" s="28" t="n"/>
      <c r="BT733" s="28" t="n"/>
      <c r="BU733" s="25" t="n"/>
      <c r="BV733" s="29" t="n"/>
      <c r="BW733" s="24" t="n"/>
      <c r="BX733" s="30" t="n">
        <v>1</v>
      </c>
      <c r="BY733" s="27" t="n">
        <v>-1</v>
      </c>
      <c r="BZ733" s="24" t="inlineStr">
        <is>
          <t>2026-10-04T20:19:31.499913Z</t>
        </is>
      </c>
      <c r="CA733" s="31" t="inlineStr">
        <is>
          <t>fixed one-unit hypothetical scoring; no real exposure or execution</t>
        </is>
      </c>
      <c r="CB733" s="24" t="n"/>
      <c r="CC733" s="24" t="n"/>
      <c r="CD733" s="24" t="n"/>
      <c r="CE733" s="24" t="n"/>
      <c r="CF733" s="24" t="n"/>
      <c r="CG733" s="24" t="n"/>
      <c r="CH733" s="24" t="n"/>
      <c r="CI733" s="24" t="n"/>
      <c r="CJ733" s="24" t="n"/>
      <c r="CK733" s="24" t="n"/>
      <c r="CL733" s="24" t="n"/>
      <c r="CM733" s="24" t="n"/>
      <c r="CN733" s="24" t="n"/>
      <c r="CO733" s="24" t="n"/>
      <c r="CP733" s="24" t="n"/>
      <c r="CQ733" s="24" t="n"/>
      <c r="CR733" s="24" t="n"/>
      <c r="CS733" s="24" t="inlineStr">
        <is>
          <t>False</t>
        </is>
      </c>
      <c r="CT733" s="24" t="n"/>
      <c r="CU733" s="24" t="n"/>
      <c r="CV733" s="24" t="n"/>
      <c r="CW733" s="24" t="n"/>
      <c r="CX733" s="24" t="n"/>
      <c r="CY733" s="24" t="n"/>
      <c r="CZ733" s="24" t="n"/>
      <c r="DA733" s="24" t="n"/>
      <c r="DB733" s="24" t="n"/>
      <c r="DC733" s="24" t="n"/>
      <c r="DD733" s="24" t="n"/>
      <c r="DE733" s="24" t="n"/>
      <c r="DF733" s="24" t="n"/>
      <c r="DG733" s="24" t="n"/>
      <c r="DH733" s="24" t="n"/>
      <c r="DI733" s="24" t="n"/>
      <c r="DJ733" s="24" t="inlineStr">
        <is>
          <t>0.534884</t>
        </is>
      </c>
      <c r="DK733" s="24" t="n"/>
      <c r="DL733" s="24" t="n"/>
      <c r="DM733" s="24" t="n"/>
      <c r="DN733" s="24" t="n"/>
      <c r="DO733" s="24" t="n"/>
      <c r="DP733" s="24" t="n"/>
      <c r="DQ733" s="24" t="inlineStr">
        <is>
          <t>{"artifact_hash": "1d168f11d221cd3c", "event_id": "401858253", "event_start_utc": "2026-10-03T19:30Z", "features": {"altitude_fatigue_penalty": 0.0, "away_team": "Virginia Cavaliers", "efficiency_gap": -0.435, "elo_away": 1696.3, "elo_home": 1458.5, "elo_home_win_prob": 0.27, "event_id": "401858253", "game_start_utc": "2026-10-03T19:30Z", "home_field_advantage_points": 2.8, "home_team": "Florida State Seminoles", "is_dome": false, "is_fbs_vs_fcs": false, "is_neutral_site": false, "projected_away_points": 30.9, "projected_home_points": 24.2, "projected_margin_home": -6.7, "projected_possessions": 12.4, "projected_total": 55.1, "stadium_elevation_ft": 210, "travel_distance_miles": 620.0, "uncertainty": 0.165, "weather_total_adjustment": 0.0}, "historical_source_observation_times_verified": false, "inference_inputs": {"engine_source_sha256": "449ba2f0e86fa9c445730076a0e0bf100fb4914620be53c75c6f3bfe24298f3f", "mu_away": 30.9, "mu_home": 24.2,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123737243124803786967512316907167384553}, "uinteger": 0}, "spread_home_line": 1.5, "total_line": 51.5}, "market_type": "total", "model_version": "cfb-total-v1", "observed_at_utc": "2026-10-03T16:52:02.220681+00:00", "probabilities": {"over": 0.532333, "push": 0.0, "under": 0.467667}, "replay_scope": "Full precision score means, exact engine parameters and original RNG state; upstream feature construction not certified.", "schema": "cfb-joint-replay-v1", "snapshot_hash": "fd2afb29b7d33bed956df8ab9a60f96d4d3dc383498a88cf4db32e4c38b2d1aa", "sport": "NCAAF"}</t>
        </is>
      </c>
    </row>
    <row r="734" ht="36" customHeight="1">
      <c r="A734" s="24" t="inlineStr">
        <is>
          <t>284497a215834e9c</t>
        </is>
      </c>
      <c r="B734" s="24" t="inlineStr">
        <is>
          <t>2026-10-03T16:52:02.220681Z</t>
        </is>
      </c>
      <c r="C734" s="24" t="inlineStr">
        <is>
          <t>2026-10-03T19:30Z</t>
        </is>
      </c>
      <c r="D734" s="24" t="inlineStr">
        <is>
          <t>401862793</t>
        </is>
      </c>
      <c r="E734" s="24" t="inlineStr">
        <is>
          <t>NCAAF</t>
        </is>
      </c>
      <c r="F734" s="24" t="inlineStr">
        <is>
          <t>Samford Bulldogs</t>
        </is>
      </c>
      <c r="G734" s="24" t="inlineStr">
        <is>
          <t>UAB Blazers</t>
        </is>
      </c>
      <c r="H734" s="24" t="inlineStr">
        <is>
          <t>moneyline</t>
        </is>
      </c>
      <c r="I734" s="24" t="inlineStr">
        <is>
          <t>away</t>
        </is>
      </c>
      <c r="J734" s="25" t="n"/>
      <c r="K734" s="24" t="inlineStr">
        <is>
          <t>espn_consensus</t>
        </is>
      </c>
      <c r="L734" s="26" t="n">
        <v>1700</v>
      </c>
      <c r="M734" s="27" t="n">
        <v>18</v>
      </c>
      <c r="N734" s="28" t="n">
        <v>0.055556</v>
      </c>
      <c r="O734" s="28" t="n">
        <v>0.513493</v>
      </c>
      <c r="P734" s="28" t="n">
        <v>0.18</v>
      </c>
      <c r="Q734" s="28" t="n">
        <v>0.457937</v>
      </c>
      <c r="R734" s="26" t="n">
        <v>100</v>
      </c>
      <c r="S734" s="29" t="n">
        <v>2</v>
      </c>
      <c r="T734" s="24" t="inlineStr">
        <is>
          <t>college-football-v1</t>
        </is>
      </c>
      <c r="U734" s="24" t="inlineStr">
        <is>
          <t>settled</t>
        </is>
      </c>
      <c r="V734" s="24" t="inlineStr">
        <is>
          <t>loss</t>
        </is>
      </c>
      <c r="W734" s="26" t="n">
        <v>14</v>
      </c>
      <c r="X734" s="26" t="n">
        <v>33</v>
      </c>
      <c r="Y734" s="25" t="n"/>
      <c r="Z734" s="26" t="n"/>
      <c r="AA734" s="28" t="n"/>
      <c r="AB734" s="28" t="n"/>
      <c r="AC734" s="30" t="n">
        <v>-2</v>
      </c>
      <c r="AD734" s="24" t="inlineStr">
        <is>
          <t>2026-10-04T20:19:37.966651Z</t>
        </is>
      </c>
      <c r="AE734" s="31" t="inlineStr">
        <is>
          <t>CFB Joint Model (negative_binomial): proj score Samford Bulldogs 26.8 @ UAB Blazers 26.2 (Margin -0.6). Possessions: 12.4, HFA: +2.8 pts.</t>
        </is>
      </c>
      <c r="AF734" s="31" t="inlineStr">
        <is>
          <t>College football model; multi-market (moneyline, spread, total).</t>
        </is>
      </c>
      <c r="AG734" s="24" t="inlineStr">
        <is>
          <t>review_required</t>
        </is>
      </c>
      <c r="AH734" s="24" t="n"/>
      <c r="AI734" s="31" t="n"/>
      <c r="AJ734" s="31" t="n"/>
      <c r="AK734" s="24" t="inlineStr">
        <is>
          <t>model_qualified</t>
        </is>
      </c>
      <c r="AL734" s="26" t="n">
        <v>4</v>
      </c>
      <c r="AM734" s="24" t="inlineStr">
        <is>
          <t>QUALIFIED_SHADOW_CALL</t>
        </is>
      </c>
      <c r="AN734" s="24" t="inlineStr">
        <is>
          <t>CALL</t>
        </is>
      </c>
      <c r="AO734" s="24" t="inlineStr">
        <is>
          <t>QUALIFIED</t>
        </is>
      </c>
      <c r="AP734" s="24" t="inlineStr">
        <is>
          <t>Samford Bulldogs</t>
        </is>
      </c>
      <c r="AQ734" s="24" t="inlineStr">
        <is>
          <t>Samford Bulldogs</t>
        </is>
      </c>
      <c r="AR734" s="24" t="inlineStr">
        <is>
          <t>Samford Bulldogs</t>
        </is>
      </c>
      <c r="AS734" s="24" t="inlineStr">
        <is>
          <t>UAB Blazers</t>
        </is>
      </c>
      <c r="AT734" s="24" t="inlineStr">
        <is>
          <t>UAB Blazers</t>
        </is>
      </c>
      <c r="AU734" s="24" t="inlineStr">
        <is>
          <t>UAB Blazers</t>
        </is>
      </c>
      <c r="AV734" s="24" t="n"/>
      <c r="AW734" s="24" t="n"/>
      <c r="AX734" s="24" t="inlineStr">
        <is>
          <t>statistical_model</t>
        </is>
      </c>
      <c r="AY734" s="24" t="n"/>
      <c r="AZ734" s="24" t="inlineStr">
        <is>
          <t>shadow_qualified</t>
        </is>
      </c>
      <c r="BA734" s="24" t="inlineStr">
        <is>
          <t>1d168f11d221cd3c</t>
        </is>
      </c>
      <c r="BB734" s="24" t="inlineStr">
        <is>
          <t>cfb_key_number_engine</t>
        </is>
      </c>
      <c r="BC734" s="24" t="inlineStr">
        <is>
          <t>college-football-v1</t>
        </is>
      </c>
      <c r="BD734" s="24" t="inlineStr">
        <is>
          <t>1d168f11d221cd3c</t>
        </is>
      </c>
      <c r="BE734" s="24" t="inlineStr">
        <is>
          <t>cfb-v1</t>
        </is>
      </c>
      <c r="BF734" s="24" t="inlineStr">
        <is>
          <t>1</t>
        </is>
      </c>
      <c r="BG734" s="24" t="inlineStr">
        <is>
          <t>1d168f11d221cd3c</t>
        </is>
      </c>
      <c r="BH734" s="24" t="inlineStr">
        <is>
          <t>2026-10-03T16:52:02.220681+00:00</t>
        </is>
      </c>
      <c r="BI734" s="24" t="inlineStr">
        <is>
          <t>["same_event","same_team_same_day","same_league_same_day"]</t>
        </is>
      </c>
      <c r="BJ734" s="25" t="n"/>
      <c r="BK734" s="26" t="n">
        <v>1700</v>
      </c>
      <c r="BL734" s="27" t="n">
        <v>18</v>
      </c>
      <c r="BM734" s="28" t="n">
        <v>0.055556</v>
      </c>
      <c r="BN734" s="28" t="n"/>
      <c r="BO734" s="28" t="n"/>
      <c r="BP734" s="25" t="n"/>
      <c r="BQ734" s="27" t="n"/>
      <c r="BR734" s="28" t="n"/>
      <c r="BS734" s="28" t="n"/>
      <c r="BT734" s="28" t="n"/>
      <c r="BU734" s="25" t="n"/>
      <c r="BV734" s="29" t="n"/>
      <c r="BW734" s="24" t="n"/>
      <c r="BX734" s="30" t="n"/>
      <c r="BY734" s="27" t="n"/>
      <c r="BZ734" s="24" t="n"/>
      <c r="CA734" s="31" t="n"/>
      <c r="CB734" s="24" t="n"/>
      <c r="CC734" s="24" t="n"/>
      <c r="CD734" s="24" t="n"/>
      <c r="CE734" s="24" t="n"/>
      <c r="CF734" s="24" t="n"/>
      <c r="CG734" s="24" t="n"/>
      <c r="CH734" s="24" t="n"/>
      <c r="CI734" s="24" t="n"/>
      <c r="CJ734" s="24" t="n"/>
      <c r="CK734" s="24" t="n"/>
      <c r="CL734" s="24" t="n"/>
      <c r="CM734" s="24" t="n"/>
      <c r="CN734" s="24" t="n"/>
      <c r="CO734" s="24" t="n"/>
      <c r="CP734" s="24" t="n"/>
      <c r="CQ734" s="24" t="n"/>
      <c r="CR734" s="24" t="n"/>
      <c r="CS734" s="24" t="inlineStr">
        <is>
          <t>True</t>
        </is>
      </c>
      <c r="CT734" s="24" t="n"/>
      <c r="CU734" s="24" t="n"/>
      <c r="CV734" s="24" t="n"/>
      <c r="CW734" s="24" t="n"/>
      <c r="CX734" s="24" t="n"/>
      <c r="CY734" s="24" t="n"/>
      <c r="CZ734" s="24" t="n"/>
      <c r="DA734" s="24" t="n"/>
      <c r="DB734" s="24" t="n"/>
      <c r="DC734" s="24" t="n"/>
      <c r="DD734" s="24" t="n"/>
      <c r="DE734" s="24" t="n"/>
      <c r="DF734" s="24" t="n"/>
      <c r="DG734" s="24" t="n"/>
      <c r="DH734" s="24" t="n"/>
      <c r="DI734" s="24" t="n"/>
      <c r="DJ734" s="24" t="inlineStr">
        <is>
          <t>0.055556</t>
        </is>
      </c>
      <c r="DK734" s="24" t="n"/>
      <c r="DL734" s="24" t="n"/>
      <c r="DM734" s="24" t="n"/>
      <c r="DN734" s="24" t="n"/>
      <c r="DO734" s="24" t="n"/>
      <c r="DP734" s="24" t="n"/>
      <c r="DQ734" s="24" t="inlineStr">
        <is>
          <t>{"artifact_hash": "1d168f11d221cd3c", "event_id": "401862793", "event_start_utc": "2026-10-03T19:30Z", "features": {"altitude_fatigue_penalty": 0.0, "away_team": "Samford Bulldogs", "efficiency_gap": -0.253, "elo_away": 1337.5, "elo_home": 1258.9, "elo_home_win_prob": 0.4805, "event_id": "401862793", "game_start_utc": "2026-10-03T19:30Z", "home_field_advantage_points": 2.8, "home_team": "UAB Blazers", "is_dome": false, "is_fbs_vs_fcs": false, "is_neutral_site": false, "projected_away_points": 26.8, "projected_home_points": 26.2, "projected_margin_home": -0.6,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314616960782574210470747718410067706028}, "uinteger": 0}, "spread_home_line": -30.5, "total_line": 54.5}, "market_type": "moneyline", "model_version": "college-football-v1", "observed_at_utc": "2026-10-03T16:52:02.220681+00:00", "probabilities": {"away": 0.513493, "home": 0.486507}, "replay_scope": "Full precision score means, exact engine parameters and original RNG state; upstream feature construction not certified.", "schema": "cfb-joint-replay-v1", "snapshot_hash": "4e328172bae29ebd09af3edb35eea7f48e8c99545c7a39d634c496ff79cb2880", "sport": "NCAAF"}</t>
        </is>
      </c>
    </row>
    <row r="735" ht="36" customHeight="1">
      <c r="A735" s="24" t="inlineStr">
        <is>
          <t>b54ac45c3f15422b</t>
        </is>
      </c>
      <c r="B735" s="24" t="inlineStr">
        <is>
          <t>2026-10-03T16:52:02.220681Z</t>
        </is>
      </c>
      <c r="C735" s="24" t="inlineStr">
        <is>
          <t>2026-10-03T19:30Z</t>
        </is>
      </c>
      <c r="D735" s="24" t="inlineStr">
        <is>
          <t>401862793</t>
        </is>
      </c>
      <c r="E735" s="24" t="inlineStr">
        <is>
          <t>NCAAF</t>
        </is>
      </c>
      <c r="F735" s="24" t="inlineStr">
        <is>
          <t>Samford Bulldogs</t>
        </is>
      </c>
      <c r="G735" s="24" t="inlineStr">
        <is>
          <t>UAB Blazers</t>
        </is>
      </c>
      <c r="H735" s="24" t="inlineStr">
        <is>
          <t>spread</t>
        </is>
      </c>
      <c r="I735" s="24" t="inlineStr">
        <is>
          <t>away</t>
        </is>
      </c>
      <c r="J735" s="25" t="n">
        <v>30.5</v>
      </c>
      <c r="K735" s="24" t="inlineStr">
        <is>
          <t>espn_consensus</t>
        </is>
      </c>
      <c r="L735" s="26" t="n">
        <v>100</v>
      </c>
      <c r="M735" s="27" t="n">
        <v>2</v>
      </c>
      <c r="N735" s="28" t="n">
        <v>0.5</v>
      </c>
      <c r="O735" s="28" t="n">
        <v>0.9275330000000001</v>
      </c>
      <c r="P735" s="28" t="n">
        <v>0.18</v>
      </c>
      <c r="Q735" s="28" t="n">
        <v>0.427533</v>
      </c>
      <c r="R735" s="26" t="n">
        <v>100</v>
      </c>
      <c r="S735" s="29" t="n">
        <v>2</v>
      </c>
      <c r="T735" s="24" t="inlineStr">
        <is>
          <t>cfb-spread-v1</t>
        </is>
      </c>
      <c r="U735" s="24" t="inlineStr">
        <is>
          <t>settled</t>
        </is>
      </c>
      <c r="V735" s="24" t="inlineStr">
        <is>
          <t>win</t>
        </is>
      </c>
      <c r="W735" s="26" t="n">
        <v>14</v>
      </c>
      <c r="X735" s="26" t="n">
        <v>33</v>
      </c>
      <c r="Y735" s="25" t="n"/>
      <c r="Z735" s="26" t="n"/>
      <c r="AA735" s="28" t="n"/>
      <c r="AB735" s="28" t="n"/>
      <c r="AC735" s="30" t="n">
        <v>2</v>
      </c>
      <c r="AD735" s="24" t="inlineStr">
        <is>
          <t>2026-10-04T20:19:44.369175Z</t>
        </is>
      </c>
      <c r="AE735" s="31" t="inlineStr">
        <is>
          <t>Projected home margin -0.6 pts. Spread: Home -30.5 / Away +30.5 -&gt; P(Away cover)=0.928, P(Home cover)=0.072, P(Push)=0.000.</t>
        </is>
      </c>
      <c r="AF735" s="31" t="inlineStr">
        <is>
          <t>College football model; multi-market (moneyline, spread, total).</t>
        </is>
      </c>
      <c r="AG735" s="24" t="inlineStr">
        <is>
          <t>not_applicable</t>
        </is>
      </c>
      <c r="AH735" s="24" t="n"/>
      <c r="AI735" s="31" t="n"/>
      <c r="AJ735" s="31" t="n"/>
      <c r="AK735" s="24" t="inlineStr">
        <is>
          <t>model_qualified</t>
        </is>
      </c>
      <c r="AL735" s="26" t="n">
        <v>4</v>
      </c>
      <c r="AM735" s="24" t="inlineStr">
        <is>
          <t>QUALIFIED_SHADOW_CALL</t>
        </is>
      </c>
      <c r="AN735" s="24" t="inlineStr">
        <is>
          <t>CALL</t>
        </is>
      </c>
      <c r="AO735" s="24" t="inlineStr">
        <is>
          <t>QUALIFIED</t>
        </is>
      </c>
      <c r="AP735" s="24" t="inlineStr">
        <is>
          <t>Samford Bulldogs</t>
        </is>
      </c>
      <c r="AQ735" s="24" t="inlineStr">
        <is>
          <t>Samford Bulldogs</t>
        </is>
      </c>
      <c r="AR735" s="24" t="inlineStr">
        <is>
          <t>Samford Bulldogs</t>
        </is>
      </c>
      <c r="AS735" s="24" t="inlineStr">
        <is>
          <t>UAB Blazers</t>
        </is>
      </c>
      <c r="AT735" s="24" t="inlineStr">
        <is>
          <t>UAB Blazers</t>
        </is>
      </c>
      <c r="AU735" s="24" t="inlineStr">
        <is>
          <t>UAB Blazers</t>
        </is>
      </c>
      <c r="AV735" s="24" t="n"/>
      <c r="AW735" s="24" t="n"/>
      <c r="AX735" s="24" t="inlineStr">
        <is>
          <t>statistical_model</t>
        </is>
      </c>
      <c r="AY735" s="24" t="n"/>
      <c r="AZ735" s="24" t="inlineStr">
        <is>
          <t>shadow_qualified</t>
        </is>
      </c>
      <c r="BA735" s="24" t="inlineStr">
        <is>
          <t>1d168f11d221cd3c</t>
        </is>
      </c>
      <c r="BB735" s="24" t="inlineStr">
        <is>
          <t>cfb_key_number_engine</t>
        </is>
      </c>
      <c r="BC735" s="24" t="inlineStr">
        <is>
          <t>cfb-spread-v1</t>
        </is>
      </c>
      <c r="BD735" s="24" t="inlineStr">
        <is>
          <t>1d168f11d221cd3c</t>
        </is>
      </c>
      <c r="BE735" s="24" t="inlineStr">
        <is>
          <t>cfb-v1</t>
        </is>
      </c>
      <c r="BF735" s="24" t="inlineStr">
        <is>
          <t>1</t>
        </is>
      </c>
      <c r="BG735" s="24" t="inlineStr">
        <is>
          <t>1d168f11d221cd3c</t>
        </is>
      </c>
      <c r="BH735" s="24" t="inlineStr">
        <is>
          <t>2026-10-03T16:52:02.220681+00:00</t>
        </is>
      </c>
      <c r="BI735" s="24" t="inlineStr">
        <is>
          <t>["same_event","same_team_same_day","same_league_same_day"]</t>
        </is>
      </c>
      <c r="BJ735" s="25" t="n">
        <v>30.5</v>
      </c>
      <c r="BK735" s="26" t="n">
        <v>100</v>
      </c>
      <c r="BL735" s="27" t="n">
        <v>2</v>
      </c>
      <c r="BM735" s="28" t="n">
        <v>0.5</v>
      </c>
      <c r="BN735" s="28" t="n"/>
      <c r="BO735" s="28" t="n"/>
      <c r="BP735" s="25" t="n"/>
      <c r="BQ735" s="27" t="n"/>
      <c r="BR735" s="28" t="n"/>
      <c r="BS735" s="28" t="n"/>
      <c r="BT735" s="28" t="n"/>
      <c r="BU735" s="25" t="n"/>
      <c r="BV735" s="29" t="n"/>
      <c r="BW735" s="24" t="n"/>
      <c r="BX735" s="30" t="n"/>
      <c r="BY735" s="27" t="n"/>
      <c r="BZ735" s="24" t="n"/>
      <c r="CA735" s="31" t="n"/>
      <c r="CB735" s="24" t="n"/>
      <c r="CC735" s="24" t="n"/>
      <c r="CD735" s="24" t="n"/>
      <c r="CE735" s="24" t="n"/>
      <c r="CF735" s="24" t="n"/>
      <c r="CG735" s="24" t="n"/>
      <c r="CH735" s="24" t="n"/>
      <c r="CI735" s="24" t="n"/>
      <c r="CJ735" s="24" t="n"/>
      <c r="CK735" s="24" t="n"/>
      <c r="CL735" s="24" t="n"/>
      <c r="CM735" s="24" t="n"/>
      <c r="CN735" s="24" t="n"/>
      <c r="CO735" s="24" t="n"/>
      <c r="CP735" s="24" t="n"/>
      <c r="CQ735" s="24" t="n"/>
      <c r="CR735" s="24" t="n"/>
      <c r="CS735" s="24" t="inlineStr">
        <is>
          <t>True</t>
        </is>
      </c>
      <c r="CT735" s="24" t="n"/>
      <c r="CU735" s="24" t="n"/>
      <c r="CV735" s="24" t="n"/>
      <c r="CW735" s="24" t="n"/>
      <c r="CX735" s="24" t="n"/>
      <c r="CY735" s="24" t="n"/>
      <c r="CZ735" s="24" t="n"/>
      <c r="DA735" s="24" t="n"/>
      <c r="DB735" s="24" t="n"/>
      <c r="DC735" s="24" t="n"/>
      <c r="DD735" s="24" t="n"/>
      <c r="DE735" s="24" t="n"/>
      <c r="DF735" s="24" t="n"/>
      <c r="DG735" s="24" t="n"/>
      <c r="DH735" s="24" t="n"/>
      <c r="DI735" s="24" t="n"/>
      <c r="DJ735" s="24" t="inlineStr">
        <is>
          <t>0.5</t>
        </is>
      </c>
      <c r="DK735" s="24" t="n"/>
      <c r="DL735" s="24" t="n"/>
      <c r="DM735" s="24" t="n"/>
      <c r="DN735" s="24" t="n"/>
      <c r="DO735" s="24" t="n"/>
      <c r="DP735" s="24" t="n"/>
      <c r="DQ735" s="24" t="inlineStr">
        <is>
          <t>{"artifact_hash": "1d168f11d221cd3c", "event_id": "401862793", "event_start_utc": "2026-10-03T19:30Z", "features": {"altitude_fatigue_penalty": 0.0, "away_team": "Samford Bulldogs", "efficiency_gap": -0.253, "elo_away": 1337.5, "elo_home": 1258.9, "elo_home_win_prob": 0.4805, "event_id": "401862793", "game_start_utc": "2026-10-03T19:30Z", "home_field_advantage_points": 2.8, "home_team": "UAB Blazers", "is_dome": false, "is_fbs_vs_fcs": false, "is_neutral_site": false, "projected_away_points": 26.8, "projected_home_points": 26.2, "projected_margin_home": -0.6,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314616960782574210470747718410067706028}, "uinteger": 0}, "spread_home_line": -30.5, "total_line": 54.5}, "market_type": "spread", "model_version": "cfb-spread-v1", "observed_at_utc": "2026-10-03T16:52:02.220681+00:00", "probabilities": {"away": 0.927533, "home": 0.072467, "push": 0.0}, "replay_scope": "Full precision score means, exact engine parameters and original RNG state; upstream feature construction not certified.", "schema": "cfb-joint-replay-v1", "snapshot_hash": "939910b0f19a0d62340ee2b46f51738d1a0872d8731b56a07280c43b1b1736f9", "sport": "NCAAF"}</t>
        </is>
      </c>
    </row>
    <row r="736" ht="36" customHeight="1">
      <c r="A736" s="24" t="inlineStr">
        <is>
          <t>c30426f0c6e147f4</t>
        </is>
      </c>
      <c r="B736" s="24" t="inlineStr">
        <is>
          <t>2026-10-03T16:52:02.220681Z</t>
        </is>
      </c>
      <c r="C736" s="24" t="inlineStr">
        <is>
          <t>2026-10-03T19:30Z</t>
        </is>
      </c>
      <c r="D736" s="24" t="inlineStr">
        <is>
          <t>401862793</t>
        </is>
      </c>
      <c r="E736" s="24" t="inlineStr">
        <is>
          <t>NCAAF</t>
        </is>
      </c>
      <c r="F736" s="24" t="inlineStr">
        <is>
          <t>Samford Bulldogs</t>
        </is>
      </c>
      <c r="G736" s="24" t="inlineStr">
        <is>
          <t>UAB Blazers</t>
        </is>
      </c>
      <c r="H736" s="24" t="inlineStr">
        <is>
          <t>total</t>
        </is>
      </c>
      <c r="I736" s="24" t="inlineStr">
        <is>
          <t>under</t>
        </is>
      </c>
      <c r="J736" s="25" t="n">
        <v>54.5</v>
      </c>
      <c r="K736" s="24" t="inlineStr">
        <is>
          <t>espn_consensus</t>
        </is>
      </c>
      <c r="L736" s="26" t="n">
        <v>-108</v>
      </c>
      <c r="M736" s="27" t="n">
        <v>1.925926</v>
      </c>
      <c r="N736" s="28" t="n">
        <v>0.519231</v>
      </c>
      <c r="O736" s="28" t="n">
        <v>0.553</v>
      </c>
      <c r="P736" s="28" t="n">
        <v>0.18</v>
      </c>
      <c r="Q736" s="28" t="n">
        <v>0.033769</v>
      </c>
      <c r="R736" s="26" t="n">
        <v>0</v>
      </c>
      <c r="S736" s="29" t="n">
        <v>1</v>
      </c>
      <c r="T736" s="24" t="inlineStr">
        <is>
          <t>cfb-total-v1</t>
        </is>
      </c>
      <c r="U736" s="24" t="inlineStr">
        <is>
          <t>settled</t>
        </is>
      </c>
      <c r="V736" s="24" t="inlineStr">
        <is>
          <t>win</t>
        </is>
      </c>
      <c r="W736" s="26" t="n">
        <v>14</v>
      </c>
      <c r="X736" s="26" t="n">
        <v>33</v>
      </c>
      <c r="Y736" s="25" t="n"/>
      <c r="Z736" s="26" t="n"/>
      <c r="AA736" s="28" t="n"/>
      <c r="AB736" s="28" t="n"/>
      <c r="AC736" s="30" t="n">
        <v>0.9258999999999999</v>
      </c>
      <c r="AD736" s="24" t="inlineStr">
        <is>
          <t>2026-10-04T20:19:50.739792Z</t>
        </is>
      </c>
      <c r="AE736" s="31" t="inlineStr">
        <is>
          <t>Projected total 53.0 pts (Weather adj: +0.0 pts). Total line 54.5 -&gt; P(Over)=0.447, P(Under)=0.553, P(Push)=0.000.</t>
        </is>
      </c>
      <c r="AF736" s="31" t="inlineStr">
        <is>
          <t>College football model; multi-market (moneyline, spread, total).</t>
        </is>
      </c>
      <c r="AG736" s="24" t="inlineStr">
        <is>
          <t>not_applicable</t>
        </is>
      </c>
      <c r="AH736" s="24" t="n"/>
      <c r="AI736" s="31" t="n"/>
      <c r="AJ736" s="31" t="n"/>
      <c r="AK736" s="24" t="inlineStr">
        <is>
          <t>model_qualified</t>
        </is>
      </c>
      <c r="AL736" s="26" t="n">
        <v>4</v>
      </c>
      <c r="AM736" s="24" t="inlineStr">
        <is>
          <t>QUALIFIED_SHADOW_CALL</t>
        </is>
      </c>
      <c r="AN736" s="24" t="inlineStr">
        <is>
          <t>CALL</t>
        </is>
      </c>
      <c r="AO736" s="24" t="inlineStr">
        <is>
          <t>QUALIFIED</t>
        </is>
      </c>
      <c r="AP736" s="24" t="inlineStr">
        <is>
          <t>Samford Bulldogs</t>
        </is>
      </c>
      <c r="AQ736" s="24" t="inlineStr">
        <is>
          <t>Samford Bulldogs</t>
        </is>
      </c>
      <c r="AR736" s="24" t="inlineStr">
        <is>
          <t>Samford Bulldogs</t>
        </is>
      </c>
      <c r="AS736" s="24" t="inlineStr">
        <is>
          <t>UAB Blazers</t>
        </is>
      </c>
      <c r="AT736" s="24" t="inlineStr">
        <is>
          <t>UAB Blazers</t>
        </is>
      </c>
      <c r="AU736" s="24" t="inlineStr">
        <is>
          <t>UAB Blazers</t>
        </is>
      </c>
      <c r="AV736" s="24" t="n"/>
      <c r="AW736" s="24" t="n"/>
      <c r="AX736" s="24" t="inlineStr">
        <is>
          <t>statistical_model</t>
        </is>
      </c>
      <c r="AY736" s="24" t="n"/>
      <c r="AZ736" s="24" t="inlineStr">
        <is>
          <t>shadow_qualified</t>
        </is>
      </c>
      <c r="BA736" s="24" t="inlineStr">
        <is>
          <t>1d168f11d221cd3c</t>
        </is>
      </c>
      <c r="BB736" s="24" t="inlineStr">
        <is>
          <t>cfb_key_number_engine</t>
        </is>
      </c>
      <c r="BC736" s="24" t="inlineStr">
        <is>
          <t>cfb-total-v1</t>
        </is>
      </c>
      <c r="BD736" s="24" t="inlineStr">
        <is>
          <t>1d168f11d221cd3c</t>
        </is>
      </c>
      <c r="BE736" s="24" t="inlineStr">
        <is>
          <t>cfb-v1</t>
        </is>
      </c>
      <c r="BF736" s="24" t="inlineStr">
        <is>
          <t>1</t>
        </is>
      </c>
      <c r="BG736" s="24" t="inlineStr">
        <is>
          <t>1d168f11d221cd3c</t>
        </is>
      </c>
      <c r="BH736" s="24" t="inlineStr">
        <is>
          <t>2026-10-03T16:52:02.220681+00:00</t>
        </is>
      </c>
      <c r="BI736" s="24" t="inlineStr">
        <is>
          <t>["same_event","same_team_same_day","same_league_same_day"]</t>
        </is>
      </c>
      <c r="BJ736" s="25" t="n">
        <v>54.5</v>
      </c>
      <c r="BK736" s="26" t="n">
        <v>-108</v>
      </c>
      <c r="BL736" s="27" t="n">
        <v>1.925926</v>
      </c>
      <c r="BM736" s="28" t="n">
        <v>0.519231</v>
      </c>
      <c r="BN736" s="28" t="n"/>
      <c r="BO736" s="28" t="n"/>
      <c r="BP736" s="25" t="n"/>
      <c r="BQ736" s="27" t="n"/>
      <c r="BR736" s="28" t="n"/>
      <c r="BS736" s="28" t="n"/>
      <c r="BT736" s="28" t="n"/>
      <c r="BU736" s="25" t="n"/>
      <c r="BV736" s="29" t="n"/>
      <c r="BW736" s="24" t="n"/>
      <c r="BX736" s="30" t="n"/>
      <c r="BY736" s="27" t="n"/>
      <c r="BZ736" s="24" t="n"/>
      <c r="CA736" s="31" t="n"/>
      <c r="CB736" s="24" t="n"/>
      <c r="CC736" s="24" t="n"/>
      <c r="CD736" s="24" t="n"/>
      <c r="CE736" s="24" t="n"/>
      <c r="CF736" s="24" t="n"/>
      <c r="CG736" s="24" t="n"/>
      <c r="CH736" s="24" t="n"/>
      <c r="CI736" s="24" t="n"/>
      <c r="CJ736" s="24" t="n"/>
      <c r="CK736" s="24" t="n"/>
      <c r="CL736" s="24" t="n"/>
      <c r="CM736" s="24" t="n"/>
      <c r="CN736" s="24" t="n"/>
      <c r="CO736" s="24" t="n"/>
      <c r="CP736" s="24" t="n"/>
      <c r="CQ736" s="24" t="n"/>
      <c r="CR736" s="24" t="n"/>
      <c r="CS736" s="24" t="inlineStr">
        <is>
          <t>True</t>
        </is>
      </c>
      <c r="CT736" s="24" t="n"/>
      <c r="CU736" s="24" t="n"/>
      <c r="CV736" s="24" t="n"/>
      <c r="CW736" s="24" t="n"/>
      <c r="CX736" s="24" t="n"/>
      <c r="CY736" s="24" t="n"/>
      <c r="CZ736" s="24" t="n"/>
      <c r="DA736" s="24" t="n"/>
      <c r="DB736" s="24" t="n"/>
      <c r="DC736" s="24" t="n"/>
      <c r="DD736" s="24" t="n"/>
      <c r="DE736" s="24" t="n"/>
      <c r="DF736" s="24" t="n"/>
      <c r="DG736" s="24" t="n"/>
      <c r="DH736" s="24" t="n"/>
      <c r="DI736" s="24" t="n"/>
      <c r="DJ736" s="24" t="inlineStr">
        <is>
          <t>0.519231</t>
        </is>
      </c>
      <c r="DK736" s="24" t="n"/>
      <c r="DL736" s="24" t="n"/>
      <c r="DM736" s="24" t="n"/>
      <c r="DN736" s="24" t="n"/>
      <c r="DO736" s="24" t="n"/>
      <c r="DP736" s="24" t="n"/>
      <c r="DQ736" s="24" t="inlineStr">
        <is>
          <t>{"artifact_hash": "1d168f11d221cd3c", "event_id": "401862793", "event_start_utc": "2026-10-03T19:30Z", "features": {"altitude_fatigue_penalty": 0.0, "away_team": "Samford Bulldogs", "efficiency_gap": -0.253, "elo_away": 1337.5, "elo_home": 1258.9, "elo_home_win_prob": 0.4805, "event_id": "401862793", "game_start_utc": "2026-10-03T19:30Z", "home_field_advantage_points": 2.8, "home_team": "UAB Blazers", "is_dome": false, "is_fbs_vs_fcs": false, "is_neutral_site": false, "projected_away_points": 26.8, "projected_home_points": 26.2, "projected_margin_home": -0.6, "projected_possessions": 12.4, "projected_total": 53.0,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314616960782574210470747718410067706028}, "uinteger": 0}, "spread_home_line": -30.5, "total_line": 54.5}, "market_type": "total", "model_version": "cfb-total-v1", "observed_at_utc": "2026-10-03T16:52:02.220681+00:00", "probabilities": {"over": 0.447, "push": 0.0, "under": 0.553}, "replay_scope": "Full precision score means, exact engine parameters and original RNG state; upstream feature construction not certified.", "schema": "cfb-joint-replay-v1", "snapshot_hash": "7654f28dde0ee19925493637565b56001f469163a222e19d289499cdec66c493", "sport": "NCAAF"}</t>
        </is>
      </c>
    </row>
    <row r="737" ht="36" customHeight="1">
      <c r="A737" s="24" t="inlineStr">
        <is>
          <t>ec898f00bbe741c5</t>
        </is>
      </c>
      <c r="B737" s="24" t="inlineStr">
        <is>
          <t>2026-10-03T16:52:02.220681Z</t>
        </is>
      </c>
      <c r="C737" s="24" t="inlineStr">
        <is>
          <t>2026-10-03T19:30Z</t>
        </is>
      </c>
      <c r="D737" s="24" t="inlineStr">
        <is>
          <t>401864515</t>
        </is>
      </c>
      <c r="E737" s="24" t="inlineStr">
        <is>
          <t>NCAAF</t>
        </is>
      </c>
      <c r="F737" s="24" t="inlineStr">
        <is>
          <t>Wyoming Cowboys</t>
        </is>
      </c>
      <c r="G737" s="24" t="inlineStr">
        <is>
          <t>North Dakota State Bison</t>
        </is>
      </c>
      <c r="H737" s="24" t="inlineStr">
        <is>
          <t>moneyline</t>
        </is>
      </c>
      <c r="I737" s="24" t="inlineStr">
        <is>
          <t>home</t>
        </is>
      </c>
      <c r="J737" s="25" t="n"/>
      <c r="K737" s="24" t="inlineStr">
        <is>
          <t>espn_consensus</t>
        </is>
      </c>
      <c r="L737" s="26" t="n">
        <v>-950</v>
      </c>
      <c r="M737" s="27" t="n">
        <v>1.105263</v>
      </c>
      <c r="N737" s="28" t="n">
        <v>0.904762</v>
      </c>
      <c r="O737" s="28" t="n">
        <v>0.835189</v>
      </c>
      <c r="P737" s="28" t="n">
        <v>0.245</v>
      </c>
      <c r="Q737" s="28" t="n">
        <v>-0.069573</v>
      </c>
      <c r="R737" s="26" t="n">
        <v>0</v>
      </c>
      <c r="S737" s="29" t="n">
        <v>1</v>
      </c>
      <c r="T737" s="24" t="inlineStr">
        <is>
          <t>college-football-v1</t>
        </is>
      </c>
      <c r="U737" s="24" t="inlineStr">
        <is>
          <t>settled</t>
        </is>
      </c>
      <c r="V737" s="24" t="inlineStr">
        <is>
          <t>win</t>
        </is>
      </c>
      <c r="W737" s="26" t="n">
        <v>0</v>
      </c>
      <c r="X737" s="26" t="n">
        <v>28</v>
      </c>
      <c r="Y737" s="25" t="n"/>
      <c r="Z737" s="26" t="n"/>
      <c r="AA737" s="28" t="n"/>
      <c r="AB737" s="28" t="n"/>
      <c r="AC737" s="30" t="n">
        <v>0.1053</v>
      </c>
      <c r="AD737" s="24" t="inlineStr">
        <is>
          <t>2026-10-04T20:39:09.830853Z</t>
        </is>
      </c>
      <c r="AE737" s="31" t="inlineStr">
        <is>
          <t>CFB Joint Model (negative_binomial): proj score Wyoming Cowboys 16.5 @ North Dakota State Bison 36.0 (Margin +19.5). Possessions: 12.4, HFA: +2.8 pts.</t>
        </is>
      </c>
      <c r="AF737" s="31" t="inlineStr">
        <is>
          <t>College football model; multi-market (moneyline, spread, total).</t>
        </is>
      </c>
      <c r="AG737" s="24" t="inlineStr">
        <is>
          <t>not_applicable</t>
        </is>
      </c>
      <c r="AH737" s="24" t="n"/>
      <c r="AI737" s="31" t="n"/>
      <c r="AJ737" s="31" t="n"/>
      <c r="AK737" s="24" t="inlineStr">
        <is>
          <t>paper_call</t>
        </is>
      </c>
      <c r="AL737" s="26" t="n">
        <v>4</v>
      </c>
      <c r="AM737" s="24" t="inlineStr">
        <is>
          <t>RESEARCH_OBSERVATION</t>
        </is>
      </c>
      <c r="AN737" s="24" t="inlineStr">
        <is>
          <t>CALL</t>
        </is>
      </c>
      <c r="AO737" s="24" t="inlineStr">
        <is>
          <t>PAPER_CALL_LOW_EDGE</t>
        </is>
      </c>
      <c r="AP737" s="24" t="inlineStr">
        <is>
          <t>Wyoming Cowboys</t>
        </is>
      </c>
      <c r="AQ737" s="24" t="inlineStr">
        <is>
          <t>Wyoming Cowboys</t>
        </is>
      </c>
      <c r="AR737" s="24" t="inlineStr">
        <is>
          <t>Wyoming Cowboys</t>
        </is>
      </c>
      <c r="AS737" s="24" t="inlineStr">
        <is>
          <t>North Dakota State Bison</t>
        </is>
      </c>
      <c r="AT737" s="24" t="inlineStr">
        <is>
          <t>North Dakota State Bison</t>
        </is>
      </c>
      <c r="AU737" s="24" t="inlineStr">
        <is>
          <t>North Dakota State Bison</t>
        </is>
      </c>
      <c r="AV737" s="24" t="n"/>
      <c r="AW737" s="24" t="n"/>
      <c r="AX737" s="24" t="inlineStr">
        <is>
          <t>statistical_model</t>
        </is>
      </c>
      <c r="AY737" s="24" t="n"/>
      <c r="AZ737" s="24" t="inlineStr">
        <is>
          <t>shadow_qualified</t>
        </is>
      </c>
      <c r="BA737" s="24" t="inlineStr">
        <is>
          <t>1d168f11d221cd3c</t>
        </is>
      </c>
      <c r="BB737" s="24" t="inlineStr">
        <is>
          <t>cfb_key_number_engine</t>
        </is>
      </c>
      <c r="BC737" s="24" t="inlineStr">
        <is>
          <t>college-football-v1</t>
        </is>
      </c>
      <c r="BD737" s="24" t="inlineStr">
        <is>
          <t>1d168f11d221cd3c</t>
        </is>
      </c>
      <c r="BE737" s="24" t="inlineStr">
        <is>
          <t>cfb-v1</t>
        </is>
      </c>
      <c r="BF737" s="24" t="inlineStr">
        <is>
          <t>1</t>
        </is>
      </c>
      <c r="BG737" s="24" t="inlineStr">
        <is>
          <t>1d168f11d221cd3c</t>
        </is>
      </c>
      <c r="BH737" s="24" t="inlineStr">
        <is>
          <t>2026-10-03T16:52:02.220681+00:00</t>
        </is>
      </c>
      <c r="BI737" s="24" t="inlineStr">
        <is>
          <t>["same_event","same_team_same_day","same_league_same_day"]</t>
        </is>
      </c>
      <c r="BJ737" s="25" t="n"/>
      <c r="BK737" s="26" t="n">
        <v>-950</v>
      </c>
      <c r="BL737" s="27" t="n">
        <v>1.105263</v>
      </c>
      <c r="BM737" s="28" t="n">
        <v>0.904762</v>
      </c>
      <c r="BN737" s="28" t="n"/>
      <c r="BO737" s="28" t="n"/>
      <c r="BP737" s="25" t="n"/>
      <c r="BQ737" s="27" t="n"/>
      <c r="BR737" s="28" t="n"/>
      <c r="BS737" s="28" t="n"/>
      <c r="BT737" s="28" t="n"/>
      <c r="BU737" s="25" t="n"/>
      <c r="BV737" s="29" t="n"/>
      <c r="BW737" s="24" t="n"/>
      <c r="BX737" s="30" t="n">
        <v>1</v>
      </c>
      <c r="BY737" s="27" t="n">
        <v>0.105263</v>
      </c>
      <c r="BZ737" s="24" t="inlineStr">
        <is>
          <t>2026-10-04T20:39:09.830853Z</t>
        </is>
      </c>
      <c r="CA737" s="31" t="inlineStr">
        <is>
          <t>fixed one-unit hypothetical scoring; no real exposure or execution</t>
        </is>
      </c>
      <c r="CB737" s="24" t="n"/>
      <c r="CC737" s="24" t="n"/>
      <c r="CD737" s="24" t="n"/>
      <c r="CE737" s="24" t="n"/>
      <c r="CF737" s="24" t="n"/>
      <c r="CG737" s="24" t="n"/>
      <c r="CH737" s="24" t="n"/>
      <c r="CI737" s="24" t="n"/>
      <c r="CJ737" s="24" t="n"/>
      <c r="CK737" s="24" t="n"/>
      <c r="CL737" s="24" t="n"/>
      <c r="CM737" s="24" t="n"/>
      <c r="CN737" s="24" t="n"/>
      <c r="CO737" s="24" t="n"/>
      <c r="CP737" s="24" t="n"/>
      <c r="CQ737" s="24" t="n"/>
      <c r="CR737" s="24" t="n"/>
      <c r="CS737" s="24" t="inlineStr">
        <is>
          <t>False</t>
        </is>
      </c>
      <c r="CT737" s="24" t="n"/>
      <c r="CU737" s="24" t="n"/>
      <c r="CV737" s="24" t="n"/>
      <c r="CW737" s="24" t="n"/>
      <c r="CX737" s="24" t="n"/>
      <c r="CY737" s="24" t="n"/>
      <c r="CZ737" s="24" t="n"/>
      <c r="DA737" s="24" t="n"/>
      <c r="DB737" s="24" t="n"/>
      <c r="DC737" s="24" t="n"/>
      <c r="DD737" s="24" t="n"/>
      <c r="DE737" s="24" t="n"/>
      <c r="DF737" s="24" t="n"/>
      <c r="DG737" s="24" t="n"/>
      <c r="DH737" s="24" t="n"/>
      <c r="DI737" s="24" t="n"/>
      <c r="DJ737" s="24" t="inlineStr">
        <is>
          <t>0.904762</t>
        </is>
      </c>
      <c r="DK737" s="24" t="n"/>
      <c r="DL737" s="24" t="n"/>
      <c r="DM737" s="24" t="n"/>
      <c r="DN737" s="24" t="n"/>
      <c r="DO737" s="24" t="n"/>
      <c r="DP737" s="24" t="n"/>
      <c r="DQ737" s="24" t="inlineStr">
        <is>
          <t>{"artifact_hash": "1d168f11d221cd3c", "event_id": "401864515", "event_start_utc": "2026-10-03T19:30Z", "features": {"altitude_fatigue_penalty": 0.0, "away_team": "Wyoming Cowboys", "efficiency_gap": 1.407, "elo_away": 1247.4, "elo_home": 1667.7, "elo_home_win_prob": 0.9423, "event_id": "401864515", "game_start_utc": "2026-10-03T19:30Z", "home_field_advantage_points": 2.8, "home_team": "North Dakota State Bison", "is_dome": true, "is_fbs_vs_fcs": true, "is_neutral_site": false, "projected_away_points": 16.5, "projected_home_points": 36.0, "projected_margin_home": 19.5, "projected_possessions": 12.4, "projected_total": 52.5, "stadium_elevation_ft": 900, "travel_distance_miles": 581.0, "uncertainty": 0.245, "weather_total_adjustment": 0.0}, "historical_source_observation_times_verified": false, "inference_inputs": {"engine_source_sha256": "449ba2f0e86fa9c445730076a0e0bf100fb4914620be53c75c6f3bfe24298f3f", "mu_away": 16.5, "mu_home": 36.0, "parameters": {"distribution_type": "negative_binomial", "margin_sd": 21.855, "n_simulations": 15000, "nb_dispersion": 12.0, "score_correlation": 0.18, "total_sd": 14.8}, "rng_state_before": {"bit_generator": "PCG64", "has_uint32": 0, "state": {"inc": 332724090758049132448979897138935081983, "state": 303854163353472726314376531208573185192}, "uinteger": 0}, "spread_home_line": -16.5, "total_line": 44.5}, "market_type": "moneyline", "model_version": "college-football-v1", "observed_at_utc": "2026-10-03T16:52:02.220681+00:00", "probabilities": {"away": 0.164811, "home": 0.835189}, "replay_scope": "Full precision score means, exact engine parameters and original RNG state; upstream feature construction not certified.", "schema": "cfb-joint-replay-v1", "snapshot_hash": "1d50356447962cb327744d275235f4dcb8dfcd0d90036fde855e64dd00b0ae70", "sport": "NCAAF"}</t>
        </is>
      </c>
    </row>
    <row r="738" ht="36" customHeight="1">
      <c r="A738" s="24" t="inlineStr">
        <is>
          <t>29eff6e5cc044bd1</t>
        </is>
      </c>
      <c r="B738" s="24" t="inlineStr">
        <is>
          <t>2026-10-03T16:52:02.220681Z</t>
        </is>
      </c>
      <c r="C738" s="24" t="inlineStr">
        <is>
          <t>2026-10-03T19:30Z</t>
        </is>
      </c>
      <c r="D738" s="24" t="inlineStr">
        <is>
          <t>401864515</t>
        </is>
      </c>
      <c r="E738" s="24" t="inlineStr">
        <is>
          <t>NCAAF</t>
        </is>
      </c>
      <c r="F738" s="24" t="inlineStr">
        <is>
          <t>Wyoming Cowboys</t>
        </is>
      </c>
      <c r="G738" s="24" t="inlineStr">
        <is>
          <t>North Dakota State Bison</t>
        </is>
      </c>
      <c r="H738" s="24" t="inlineStr">
        <is>
          <t>spread</t>
        </is>
      </c>
      <c r="I738" s="24" t="inlineStr">
        <is>
          <t>home</t>
        </is>
      </c>
      <c r="J738" s="25" t="n">
        <v>-16.5</v>
      </c>
      <c r="K738" s="24" t="inlineStr">
        <is>
          <t>espn_consensus</t>
        </is>
      </c>
      <c r="L738" s="26" t="n">
        <v>-112</v>
      </c>
      <c r="M738" s="27" t="n">
        <v>1.892857</v>
      </c>
      <c r="N738" s="28" t="n">
        <v>0.528302</v>
      </c>
      <c r="O738" s="28" t="n">
        <v>0.5363329999999999</v>
      </c>
      <c r="P738" s="28" t="n">
        <v>0.245</v>
      </c>
      <c r="Q738" s="28" t="n">
        <v>0.008031</v>
      </c>
      <c r="R738" s="26" t="n">
        <v>0</v>
      </c>
      <c r="S738" s="29" t="n">
        <v>1</v>
      </c>
      <c r="T738" s="24" t="inlineStr">
        <is>
          <t>cfb-spread-v1</t>
        </is>
      </c>
      <c r="U738" s="24" t="inlineStr">
        <is>
          <t>settled</t>
        </is>
      </c>
      <c r="V738" s="24" t="inlineStr">
        <is>
          <t>win</t>
        </is>
      </c>
      <c r="W738" s="26" t="n">
        <v>0</v>
      </c>
      <c r="X738" s="26" t="n">
        <v>28</v>
      </c>
      <c r="Y738" s="25" t="n"/>
      <c r="Z738" s="26" t="n"/>
      <c r="AA738" s="28" t="n"/>
      <c r="AB738" s="28" t="n"/>
      <c r="AC738" s="30" t="n">
        <v>0.8929</v>
      </c>
      <c r="AD738" s="24" t="inlineStr">
        <is>
          <t>2026-10-04T20:39:14.275058Z</t>
        </is>
      </c>
      <c r="AE738" s="31" t="inlineStr">
        <is>
          <t>Projected home margin +19.5 pts. Spread: Home -16.5 / Away +16.5 -&gt; P(Away cover)=0.464, P(Home cover)=0.536, P(Push)=0.000.</t>
        </is>
      </c>
      <c r="AF738" s="31" t="inlineStr">
        <is>
          <t>College football model; multi-market (moneyline, spread, total).</t>
        </is>
      </c>
      <c r="AG738" s="24" t="inlineStr">
        <is>
          <t>not_applicable</t>
        </is>
      </c>
      <c r="AH738" s="24" t="n"/>
      <c r="AI738" s="31" t="n"/>
      <c r="AJ738" s="31" t="n"/>
      <c r="AK738" s="24" t="inlineStr">
        <is>
          <t>paper_call</t>
        </is>
      </c>
      <c r="AL738" s="26" t="n">
        <v>4</v>
      </c>
      <c r="AM738" s="24" t="inlineStr">
        <is>
          <t>RESEARCH_OBSERVATION</t>
        </is>
      </c>
      <c r="AN738" s="24" t="inlineStr">
        <is>
          <t>CALL</t>
        </is>
      </c>
      <c r="AO738" s="24" t="inlineStr">
        <is>
          <t>PAPER_CALL_LOW_EDGE</t>
        </is>
      </c>
      <c r="AP738" s="24" t="inlineStr">
        <is>
          <t>Wyoming Cowboys</t>
        </is>
      </c>
      <c r="AQ738" s="24" t="inlineStr">
        <is>
          <t>Wyoming Cowboys</t>
        </is>
      </c>
      <c r="AR738" s="24" t="inlineStr">
        <is>
          <t>Wyoming Cowboys</t>
        </is>
      </c>
      <c r="AS738" s="24" t="inlineStr">
        <is>
          <t>North Dakota State Bison</t>
        </is>
      </c>
      <c r="AT738" s="24" t="inlineStr">
        <is>
          <t>North Dakota State Bison</t>
        </is>
      </c>
      <c r="AU738" s="24" t="inlineStr">
        <is>
          <t>North Dakota State Bison</t>
        </is>
      </c>
      <c r="AV738" s="24" t="n"/>
      <c r="AW738" s="24" t="n"/>
      <c r="AX738" s="24" t="inlineStr">
        <is>
          <t>statistical_model</t>
        </is>
      </c>
      <c r="AY738" s="24" t="n"/>
      <c r="AZ738" s="24" t="inlineStr">
        <is>
          <t>shadow_qualified</t>
        </is>
      </c>
      <c r="BA738" s="24" t="inlineStr">
        <is>
          <t>1d168f11d221cd3c</t>
        </is>
      </c>
      <c r="BB738" s="24" t="inlineStr">
        <is>
          <t>cfb_key_number_engine</t>
        </is>
      </c>
      <c r="BC738" s="24" t="inlineStr">
        <is>
          <t>cfb-spread-v1</t>
        </is>
      </c>
      <c r="BD738" s="24" t="inlineStr">
        <is>
          <t>1d168f11d221cd3c</t>
        </is>
      </c>
      <c r="BE738" s="24" t="inlineStr">
        <is>
          <t>cfb-v1</t>
        </is>
      </c>
      <c r="BF738" s="24" t="inlineStr">
        <is>
          <t>1</t>
        </is>
      </c>
      <c r="BG738" s="24" t="inlineStr">
        <is>
          <t>1d168f11d221cd3c</t>
        </is>
      </c>
      <c r="BH738" s="24" t="inlineStr">
        <is>
          <t>2026-10-03T16:52:02.220681+00:00</t>
        </is>
      </c>
      <c r="BI738" s="24" t="inlineStr">
        <is>
          <t>["same_event","same_team_same_day","same_league_same_day"]</t>
        </is>
      </c>
      <c r="BJ738" s="25" t="n">
        <v>-16.5</v>
      </c>
      <c r="BK738" s="26" t="n">
        <v>-112</v>
      </c>
      <c r="BL738" s="27" t="n">
        <v>1.892857</v>
      </c>
      <c r="BM738" s="28" t="n">
        <v>0.528302</v>
      </c>
      <c r="BN738" s="28" t="n"/>
      <c r="BO738" s="28" t="n"/>
      <c r="BP738" s="25" t="n"/>
      <c r="BQ738" s="27" t="n"/>
      <c r="BR738" s="28" t="n"/>
      <c r="BS738" s="28" t="n"/>
      <c r="BT738" s="28" t="n"/>
      <c r="BU738" s="25" t="n"/>
      <c r="BV738" s="29" t="n"/>
      <c r="BW738" s="24" t="n"/>
      <c r="BX738" s="30" t="n">
        <v>1</v>
      </c>
      <c r="BY738" s="27" t="n">
        <v>0.892857</v>
      </c>
      <c r="BZ738" s="24" t="inlineStr">
        <is>
          <t>2026-10-04T20:39:14.275058Z</t>
        </is>
      </c>
      <c r="CA738" s="31" t="inlineStr">
        <is>
          <t>fixed one-unit hypothetical scoring; no real exposure or execution</t>
        </is>
      </c>
      <c r="CB738" s="24" t="n"/>
      <c r="CC738" s="24" t="n"/>
      <c r="CD738" s="24" t="n"/>
      <c r="CE738" s="24" t="n"/>
      <c r="CF738" s="24" t="n"/>
      <c r="CG738" s="24" t="n"/>
      <c r="CH738" s="24" t="n"/>
      <c r="CI738" s="24" t="n"/>
      <c r="CJ738" s="24" t="n"/>
      <c r="CK738" s="24" t="n"/>
      <c r="CL738" s="24" t="n"/>
      <c r="CM738" s="24" t="n"/>
      <c r="CN738" s="24" t="n"/>
      <c r="CO738" s="24" t="n"/>
      <c r="CP738" s="24" t="n"/>
      <c r="CQ738" s="24" t="n"/>
      <c r="CR738" s="24" t="n"/>
      <c r="CS738" s="24" t="inlineStr">
        <is>
          <t>True</t>
        </is>
      </c>
      <c r="CT738" s="24" t="n"/>
      <c r="CU738" s="24" t="n"/>
      <c r="CV738" s="24" t="n"/>
      <c r="CW738" s="24" t="n"/>
      <c r="CX738" s="24" t="n"/>
      <c r="CY738" s="24" t="n"/>
      <c r="CZ738" s="24" t="n"/>
      <c r="DA738" s="24" t="n"/>
      <c r="DB738" s="24" t="n"/>
      <c r="DC738" s="24" t="n"/>
      <c r="DD738" s="24" t="n"/>
      <c r="DE738" s="24" t="n"/>
      <c r="DF738" s="24" t="n"/>
      <c r="DG738" s="24" t="n"/>
      <c r="DH738" s="24" t="n"/>
      <c r="DI738" s="24" t="n"/>
      <c r="DJ738" s="24" t="inlineStr">
        <is>
          <t>0.528302</t>
        </is>
      </c>
      <c r="DK738" s="24" t="n"/>
      <c r="DL738" s="24" t="n"/>
      <c r="DM738" s="24" t="n"/>
      <c r="DN738" s="24" t="n"/>
      <c r="DO738" s="24" t="n"/>
      <c r="DP738" s="24" t="n"/>
      <c r="DQ738" s="24" t="inlineStr">
        <is>
          <t>{"artifact_hash": "1d168f11d221cd3c", "event_id": "401864515", "event_start_utc": "2026-10-03T19:30Z", "features": {"altitude_fatigue_penalty": 0.0, "away_team": "Wyoming Cowboys", "efficiency_gap": 1.407, "elo_away": 1247.4, "elo_home": 1667.7, "elo_home_win_prob": 0.9423, "event_id": "401864515", "game_start_utc": "2026-10-03T19:30Z", "home_field_advantage_points": 2.8, "home_team": "North Dakota State Bison", "is_dome": true, "is_fbs_vs_fcs": true, "is_neutral_site": false, "projected_away_points": 16.5, "projected_home_points": 36.0, "projected_margin_home": 19.5, "projected_possessions": 12.4, "projected_total": 52.5, "stadium_elevation_ft": 900, "travel_distance_miles": 581.0, "uncertainty": 0.245, "weather_total_adjustment": 0.0}, "historical_source_observation_times_verified": false, "inference_inputs": {"engine_source_sha256": "449ba2f0e86fa9c445730076a0e0bf100fb4914620be53c75c6f3bfe24298f3f", "mu_away": 16.5, "mu_home": 36.0, "parameters": {"distribution_type": "negative_binomial", "margin_sd": 21.855, "n_simulations": 15000, "nb_dispersion": 12.0, "score_correlation": 0.18, "total_sd": 14.8}, "rng_state_before": {"bit_generator": "PCG64", "has_uint32": 0, "state": {"inc": 332724090758049132448979897138935081983, "state": 303854163353472726314376531208573185192}, "uinteger": 0}, "spread_home_line": -16.5, "total_line": 44.5}, "market_type": "spread", "model_version": "cfb-spread-v1", "observed_at_utc": "2026-10-03T16:52:02.220681+00:00", "probabilities": {"away": 0.463667, "home": 0.536333, "push": 0.0}, "replay_scope": "Full precision score means, exact engine parameters and original RNG state; upstream feature construction not certified.", "schema": "cfb-joint-replay-v1", "snapshot_hash": "9ff861b0567bde8638b20bb9d8be3476d46c809d7f81ec772676860e231c77c7", "sport": "NCAAF"}</t>
        </is>
      </c>
    </row>
    <row r="739" ht="36" customHeight="1">
      <c r="A739" s="24" t="inlineStr">
        <is>
          <t>e464ab3b017340b2</t>
        </is>
      </c>
      <c r="B739" s="24" t="inlineStr">
        <is>
          <t>2026-10-03T16:52:02.220681Z</t>
        </is>
      </c>
      <c r="C739" s="24" t="inlineStr">
        <is>
          <t>2026-10-03T19:30Z</t>
        </is>
      </c>
      <c r="D739" s="24" t="inlineStr">
        <is>
          <t>401864515</t>
        </is>
      </c>
      <c r="E739" s="24" t="inlineStr">
        <is>
          <t>NCAAF</t>
        </is>
      </c>
      <c r="F739" s="24" t="inlineStr">
        <is>
          <t>Wyoming Cowboys</t>
        </is>
      </c>
      <c r="G739" s="24" t="inlineStr">
        <is>
          <t>North Dakota State Bison</t>
        </is>
      </c>
      <c r="H739" s="24" t="inlineStr">
        <is>
          <t>total</t>
        </is>
      </c>
      <c r="I739" s="24" t="inlineStr">
        <is>
          <t>over</t>
        </is>
      </c>
      <c r="J739" s="25" t="n">
        <v>44.5</v>
      </c>
      <c r="K739" s="24" t="inlineStr">
        <is>
          <t>espn_consensus</t>
        </is>
      </c>
      <c r="L739" s="26" t="n">
        <v>-105</v>
      </c>
      <c r="M739" s="27" t="n">
        <v>1.952381</v>
      </c>
      <c r="N739" s="28" t="n">
        <v>0.512195</v>
      </c>
      <c r="O739" s="28" t="n">
        <v>0.6084000000000001</v>
      </c>
      <c r="P739" s="28" t="n">
        <v>0.245</v>
      </c>
      <c r="Q739" s="28" t="n">
        <v>0.096205</v>
      </c>
      <c r="R739" s="26" t="n">
        <v>0</v>
      </c>
      <c r="S739" s="29" t="n">
        <v>1</v>
      </c>
      <c r="T739" s="24" t="inlineStr">
        <is>
          <t>cfb-total-v1</t>
        </is>
      </c>
      <c r="U739" s="24" t="inlineStr">
        <is>
          <t>settled</t>
        </is>
      </c>
      <c r="V739" s="24" t="inlineStr">
        <is>
          <t>loss</t>
        </is>
      </c>
      <c r="W739" s="26" t="n">
        <v>0</v>
      </c>
      <c r="X739" s="26" t="n">
        <v>28</v>
      </c>
      <c r="Y739" s="25" t="n"/>
      <c r="Z739" s="26" t="n"/>
      <c r="AA739" s="28" t="n"/>
      <c r="AB739" s="28" t="n"/>
      <c r="AC739" s="30" t="n">
        <v>-1</v>
      </c>
      <c r="AD739" s="24" t="inlineStr">
        <is>
          <t>2026-10-04T20:39:19.342975Z</t>
        </is>
      </c>
      <c r="AE739" s="31" t="inlineStr">
        <is>
          <t>Projected total 52.5 pts (Weather adj: +0.0 pts). Total line 44.5 -&gt; P(Over)=0.608, P(Under)=0.392, P(Push)=0.000.</t>
        </is>
      </c>
      <c r="AF739" s="31" t="inlineStr">
        <is>
          <t>College football model; multi-market (moneyline, spread, total).</t>
        </is>
      </c>
      <c r="AG739" s="24" t="inlineStr">
        <is>
          <t>review_required</t>
        </is>
      </c>
      <c r="AH739" s="24" t="n"/>
      <c r="AI739" s="31" t="n"/>
      <c r="AJ739" s="31" t="n"/>
      <c r="AK739" s="24" t="inlineStr">
        <is>
          <t>model_qualified</t>
        </is>
      </c>
      <c r="AL739" s="26" t="n">
        <v>4</v>
      </c>
      <c r="AM739" s="24" t="inlineStr">
        <is>
          <t>QUALIFIED_SHADOW_CALL</t>
        </is>
      </c>
      <c r="AN739" s="24" t="inlineStr">
        <is>
          <t>CALL</t>
        </is>
      </c>
      <c r="AO739" s="24" t="inlineStr">
        <is>
          <t>QUALIFIED</t>
        </is>
      </c>
      <c r="AP739" s="24" t="inlineStr">
        <is>
          <t>Wyoming Cowboys</t>
        </is>
      </c>
      <c r="AQ739" s="24" t="inlineStr">
        <is>
          <t>Wyoming Cowboys</t>
        </is>
      </c>
      <c r="AR739" s="24" t="inlineStr">
        <is>
          <t>Wyoming Cowboys</t>
        </is>
      </c>
      <c r="AS739" s="24" t="inlineStr">
        <is>
          <t>North Dakota State Bison</t>
        </is>
      </c>
      <c r="AT739" s="24" t="inlineStr">
        <is>
          <t>North Dakota State Bison</t>
        </is>
      </c>
      <c r="AU739" s="24" t="inlineStr">
        <is>
          <t>North Dakota State Bison</t>
        </is>
      </c>
      <c r="AV739" s="24" t="n"/>
      <c r="AW739" s="24" t="n"/>
      <c r="AX739" s="24" t="inlineStr">
        <is>
          <t>statistical_model</t>
        </is>
      </c>
      <c r="AY739" s="24" t="n"/>
      <c r="AZ739" s="24" t="inlineStr">
        <is>
          <t>shadow_qualified</t>
        </is>
      </c>
      <c r="BA739" s="24" t="inlineStr">
        <is>
          <t>1d168f11d221cd3c</t>
        </is>
      </c>
      <c r="BB739" s="24" t="inlineStr">
        <is>
          <t>cfb_key_number_engine</t>
        </is>
      </c>
      <c r="BC739" s="24" t="inlineStr">
        <is>
          <t>cfb-total-v1</t>
        </is>
      </c>
      <c r="BD739" s="24" t="inlineStr">
        <is>
          <t>1d168f11d221cd3c</t>
        </is>
      </c>
      <c r="BE739" s="24" t="inlineStr">
        <is>
          <t>cfb-v1</t>
        </is>
      </c>
      <c r="BF739" s="24" t="inlineStr">
        <is>
          <t>1</t>
        </is>
      </c>
      <c r="BG739" s="24" t="inlineStr">
        <is>
          <t>1d168f11d221cd3c</t>
        </is>
      </c>
      <c r="BH739" s="24" t="inlineStr">
        <is>
          <t>2026-10-03T16:52:02.220681+00:00</t>
        </is>
      </c>
      <c r="BI739" s="24" t="inlineStr">
        <is>
          <t>["same_event","same_team_same_day","same_league_same_day"]</t>
        </is>
      </c>
      <c r="BJ739" s="25" t="n">
        <v>44.5</v>
      </c>
      <c r="BK739" s="26" t="n">
        <v>-105</v>
      </c>
      <c r="BL739" s="27" t="n">
        <v>1.952381</v>
      </c>
      <c r="BM739" s="28" t="n">
        <v>0.512195</v>
      </c>
      <c r="BN739" s="28" t="n"/>
      <c r="BO739" s="28" t="n"/>
      <c r="BP739" s="25" t="n"/>
      <c r="BQ739" s="27" t="n"/>
      <c r="BR739" s="28" t="n"/>
      <c r="BS739" s="28" t="n"/>
      <c r="BT739" s="28" t="n"/>
      <c r="BU739" s="25" t="n"/>
      <c r="BV739" s="29" t="n"/>
      <c r="BW739" s="24" t="n"/>
      <c r="BX739" s="30" t="n"/>
      <c r="BY739" s="27" t="n"/>
      <c r="BZ739" s="24" t="n"/>
      <c r="CA739" s="31" t="n"/>
      <c r="CB739" s="24" t="n"/>
      <c r="CC739" s="24" t="n"/>
      <c r="CD739" s="24" t="n"/>
      <c r="CE739" s="24" t="n"/>
      <c r="CF739" s="24" t="n"/>
      <c r="CG739" s="24" t="n"/>
      <c r="CH739" s="24" t="n"/>
      <c r="CI739" s="24" t="n"/>
      <c r="CJ739" s="24" t="n"/>
      <c r="CK739" s="24" t="n"/>
      <c r="CL739" s="24" t="n"/>
      <c r="CM739" s="24" t="n"/>
      <c r="CN739" s="24" t="n"/>
      <c r="CO739" s="24" t="n"/>
      <c r="CP739" s="24" t="n"/>
      <c r="CQ739" s="24" t="n"/>
      <c r="CR739" s="24" t="n"/>
      <c r="CS739" s="24" t="inlineStr">
        <is>
          <t>True</t>
        </is>
      </c>
      <c r="CT739" s="24" t="n"/>
      <c r="CU739" s="24" t="n"/>
      <c r="CV739" s="24" t="n"/>
      <c r="CW739" s="24" t="n"/>
      <c r="CX739" s="24" t="n"/>
      <c r="CY739" s="24" t="n"/>
      <c r="CZ739" s="24" t="n"/>
      <c r="DA739" s="24" t="n"/>
      <c r="DB739" s="24" t="n"/>
      <c r="DC739" s="24" t="n"/>
      <c r="DD739" s="24" t="n"/>
      <c r="DE739" s="24" t="n"/>
      <c r="DF739" s="24" t="n"/>
      <c r="DG739" s="24" t="n"/>
      <c r="DH739" s="24" t="n"/>
      <c r="DI739" s="24" t="n"/>
      <c r="DJ739" s="24" t="inlineStr">
        <is>
          <t>0.512195</t>
        </is>
      </c>
      <c r="DK739" s="24" t="n"/>
      <c r="DL739" s="24" t="n"/>
      <c r="DM739" s="24" t="n"/>
      <c r="DN739" s="24" t="n"/>
      <c r="DO739" s="24" t="n"/>
      <c r="DP739" s="24" t="n"/>
      <c r="DQ739" s="24" t="inlineStr">
        <is>
          <t>{"artifact_hash": "1d168f11d221cd3c", "event_id": "401864515", "event_start_utc": "2026-10-03T19:30Z", "features": {"altitude_fatigue_penalty": 0.0, "away_team": "Wyoming Cowboys", "efficiency_gap": 1.407, "elo_away": 1247.4, "elo_home": 1667.7, "elo_home_win_prob": 0.9423, "event_id": "401864515", "game_start_utc": "2026-10-03T19:30Z", "home_field_advantage_points": 2.8, "home_team": "North Dakota State Bison", "is_dome": true, "is_fbs_vs_fcs": true, "is_neutral_site": false, "projected_away_points": 16.5, "projected_home_points": 36.0, "projected_margin_home": 19.5, "projected_possessions": 12.4, "projected_total": 52.5, "stadium_elevation_ft": 900, "travel_distance_miles": 581.0, "uncertainty": 0.245, "weather_total_adjustment": 0.0}, "historical_source_observation_times_verified": false, "inference_inputs": {"engine_source_sha256": "449ba2f0e86fa9c445730076a0e0bf100fb4914620be53c75c6f3bfe24298f3f", "mu_away": 16.5, "mu_home": 36.0, "parameters": {"distribution_type": "negative_binomial", "margin_sd": 21.855, "n_simulations": 15000, "nb_dispersion": 12.0, "score_correlation": 0.18, "total_sd": 14.8}, "rng_state_before": {"bit_generator": "PCG64", "has_uint32": 0, "state": {"inc": 332724090758049132448979897138935081983, "state": 303854163353472726314376531208573185192}, "uinteger": 0}, "spread_home_line": -16.5, "total_line": 44.5}, "market_type": "total", "model_version": "cfb-total-v1", "observed_at_utc": "2026-10-03T16:52:02.220681+00:00", "probabilities": {"over": 0.6084, "push": 0.0, "under": 0.3916}, "replay_scope": "Full precision score means, exact engine parameters and original RNG state; upstream feature construction not certified.", "schema": "cfb-joint-replay-v1", "snapshot_hash": "e4477fdab13afcd203238e9f74ec246ac61a2e4461cdef97a153996522a3f851", "sport": "NCAAF"}</t>
        </is>
      </c>
    </row>
    <row r="740" ht="36" customHeight="1">
      <c r="A740" s="24" t="inlineStr">
        <is>
          <t>0b0d382de0b9424a</t>
        </is>
      </c>
      <c r="B740" s="24" t="inlineStr">
        <is>
          <t>2026-10-03T16:52:02.220681Z</t>
        </is>
      </c>
      <c r="C740" s="24" t="inlineStr">
        <is>
          <t>2026-10-03T19:30Z</t>
        </is>
      </c>
      <c r="D740" s="24" t="inlineStr">
        <is>
          <t>401866430</t>
        </is>
      </c>
      <c r="E740" s="24" t="inlineStr">
        <is>
          <t>NCAAF</t>
        </is>
      </c>
      <c r="F740" s="24" t="inlineStr">
        <is>
          <t>Akron Zips</t>
        </is>
      </c>
      <c r="G740" s="24" t="inlineStr">
        <is>
          <t>Central Michigan Chippewas</t>
        </is>
      </c>
      <c r="H740" s="24" t="inlineStr">
        <is>
          <t>moneyline</t>
        </is>
      </c>
      <c r="I740" s="24" t="inlineStr">
        <is>
          <t>home</t>
        </is>
      </c>
      <c r="J740" s="25" t="n"/>
      <c r="K740" s="24" t="inlineStr">
        <is>
          <t>espn_consensus</t>
        </is>
      </c>
      <c r="L740" s="26" t="n">
        <v>-278</v>
      </c>
      <c r="M740" s="27" t="n">
        <v>1.359712</v>
      </c>
      <c r="N740" s="28" t="n">
        <v>0.73545</v>
      </c>
      <c r="O740" s="28" t="n">
        <v>0.516093</v>
      </c>
      <c r="P740" s="28" t="n">
        <v>0.165</v>
      </c>
      <c r="Q740" s="28" t="n">
        <v>-0.219357</v>
      </c>
      <c r="R740" s="26" t="n">
        <v>0</v>
      </c>
      <c r="S740" s="29" t="n">
        <v>1</v>
      </c>
      <c r="T740" s="24" t="inlineStr">
        <is>
          <t>college-football-v1</t>
        </is>
      </c>
      <c r="U740" s="24" t="inlineStr">
        <is>
          <t>settled</t>
        </is>
      </c>
      <c r="V740" s="24" t="inlineStr">
        <is>
          <t>win</t>
        </is>
      </c>
      <c r="W740" s="26" t="n">
        <v>17</v>
      </c>
      <c r="X740" s="26" t="n">
        <v>41</v>
      </c>
      <c r="Y740" s="25" t="n"/>
      <c r="Z740" s="26" t="n"/>
      <c r="AA740" s="28" t="n"/>
      <c r="AB740" s="28" t="n"/>
      <c r="AC740" s="30" t="n">
        <v>0.3597</v>
      </c>
      <c r="AD740" s="24" t="inlineStr">
        <is>
          <t>2026-10-04T20:39:24.188359Z</t>
        </is>
      </c>
      <c r="AE740" s="31" t="inlineStr">
        <is>
          <t>CFB Joint Model (negative_binomial): proj score Akron Zips 25.0 @ Central Michigan Chippewas 26.1 (Margin +1.2). Possessions: 12.4, HFA: +2.8 pts.</t>
        </is>
      </c>
      <c r="AF740" s="31" t="inlineStr">
        <is>
          <t>College football model; multi-market (moneyline, spread, total).</t>
        </is>
      </c>
      <c r="AG740" s="24" t="inlineStr">
        <is>
          <t>not_applicable</t>
        </is>
      </c>
      <c r="AH740" s="24" t="n"/>
      <c r="AI740" s="31" t="n"/>
      <c r="AJ740" s="31" t="n"/>
      <c r="AK740" s="24" t="inlineStr">
        <is>
          <t>paper_call</t>
        </is>
      </c>
      <c r="AL740" s="26" t="n">
        <v>4</v>
      </c>
      <c r="AM740" s="24" t="inlineStr">
        <is>
          <t>RESEARCH_OBSERVATION</t>
        </is>
      </c>
      <c r="AN740" s="24" t="inlineStr">
        <is>
          <t>CALL</t>
        </is>
      </c>
      <c r="AO740" s="24" t="inlineStr">
        <is>
          <t>PAPER_CALL_LOW_EDGE</t>
        </is>
      </c>
      <c r="AP740" s="24" t="inlineStr">
        <is>
          <t>Akron Zips</t>
        </is>
      </c>
      <c r="AQ740" s="24" t="inlineStr">
        <is>
          <t>Akron Zips</t>
        </is>
      </c>
      <c r="AR740" s="24" t="inlineStr">
        <is>
          <t>Akron Zips</t>
        </is>
      </c>
      <c r="AS740" s="24" t="inlineStr">
        <is>
          <t>Central Michigan Chippewas</t>
        </is>
      </c>
      <c r="AT740" s="24" t="inlineStr">
        <is>
          <t>Central Michigan Chippewas</t>
        </is>
      </c>
      <c r="AU740" s="24" t="inlineStr">
        <is>
          <t>Central Michigan Chippewas</t>
        </is>
      </c>
      <c r="AV740" s="24" t="n"/>
      <c r="AW740" s="24" t="n"/>
      <c r="AX740" s="24" t="inlineStr">
        <is>
          <t>statistical_model</t>
        </is>
      </c>
      <c r="AY740" s="24" t="n"/>
      <c r="AZ740" s="24" t="inlineStr">
        <is>
          <t>shadow_qualified</t>
        </is>
      </c>
      <c r="BA740" s="24" t="inlineStr">
        <is>
          <t>1d168f11d221cd3c</t>
        </is>
      </c>
      <c r="BB740" s="24" t="inlineStr">
        <is>
          <t>cfb_key_number_engine</t>
        </is>
      </c>
      <c r="BC740" s="24" t="inlineStr">
        <is>
          <t>college-football-v1</t>
        </is>
      </c>
      <c r="BD740" s="24" t="inlineStr">
        <is>
          <t>1d168f11d221cd3c</t>
        </is>
      </c>
      <c r="BE740" s="24" t="inlineStr">
        <is>
          <t>cfb-v1</t>
        </is>
      </c>
      <c r="BF740" s="24" t="inlineStr">
        <is>
          <t>1</t>
        </is>
      </c>
      <c r="BG740" s="24" t="inlineStr">
        <is>
          <t>1d168f11d221cd3c</t>
        </is>
      </c>
      <c r="BH740" s="24" t="inlineStr">
        <is>
          <t>2026-10-03T16:52:02.220681+00:00</t>
        </is>
      </c>
      <c r="BI740" s="24" t="inlineStr">
        <is>
          <t>["same_event","same_team_same_day","same_league_same_day"]</t>
        </is>
      </c>
      <c r="BJ740" s="25" t="n"/>
      <c r="BK740" s="26" t="n">
        <v>-278</v>
      </c>
      <c r="BL740" s="27" t="n">
        <v>1.359712</v>
      </c>
      <c r="BM740" s="28" t="n">
        <v>0.73545</v>
      </c>
      <c r="BN740" s="28" t="n"/>
      <c r="BO740" s="28" t="n"/>
      <c r="BP740" s="25" t="n"/>
      <c r="BQ740" s="27" t="n"/>
      <c r="BR740" s="28" t="n"/>
      <c r="BS740" s="28" t="n"/>
      <c r="BT740" s="28" t="n"/>
      <c r="BU740" s="25" t="n"/>
      <c r="BV740" s="29" t="n"/>
      <c r="BW740" s="24" t="n"/>
      <c r="BX740" s="30" t="n">
        <v>1</v>
      </c>
      <c r="BY740" s="27" t="n">
        <v>0.359712</v>
      </c>
      <c r="BZ740" s="24" t="inlineStr">
        <is>
          <t>2026-10-04T20:39:24.188359Z</t>
        </is>
      </c>
      <c r="CA740" s="31" t="inlineStr">
        <is>
          <t>fixed one-unit hypothetical scoring; no real exposure or execution</t>
        </is>
      </c>
      <c r="CB740" s="24" t="n"/>
      <c r="CC740" s="24" t="n"/>
      <c r="CD740" s="24" t="n"/>
      <c r="CE740" s="24" t="n"/>
      <c r="CF740" s="24" t="n"/>
      <c r="CG740" s="24" t="n"/>
      <c r="CH740" s="24" t="n"/>
      <c r="CI740" s="24" t="n"/>
      <c r="CJ740" s="24" t="n"/>
      <c r="CK740" s="24" t="n"/>
      <c r="CL740" s="24" t="n"/>
      <c r="CM740" s="24" t="n"/>
      <c r="CN740" s="24" t="n"/>
      <c r="CO740" s="24" t="n"/>
      <c r="CP740" s="24" t="n"/>
      <c r="CQ740" s="24" t="n"/>
      <c r="CR740" s="24" t="n"/>
      <c r="CS740" s="24" t="inlineStr">
        <is>
          <t>False</t>
        </is>
      </c>
      <c r="CT740" s="24" t="n"/>
      <c r="CU740" s="24" t="n"/>
      <c r="CV740" s="24" t="n"/>
      <c r="CW740" s="24" t="n"/>
      <c r="CX740" s="24" t="n"/>
      <c r="CY740" s="24" t="n"/>
      <c r="CZ740" s="24" t="n"/>
      <c r="DA740" s="24" t="n"/>
      <c r="DB740" s="24" t="n"/>
      <c r="DC740" s="24" t="n"/>
      <c r="DD740" s="24" t="n"/>
      <c r="DE740" s="24" t="n"/>
      <c r="DF740" s="24" t="n"/>
      <c r="DG740" s="24" t="n"/>
      <c r="DH740" s="24" t="n"/>
      <c r="DI740" s="24" t="n"/>
      <c r="DJ740" s="24" t="inlineStr">
        <is>
          <t>0.73545</t>
        </is>
      </c>
      <c r="DK740" s="24" t="n"/>
      <c r="DL740" s="24" t="n"/>
      <c r="DM740" s="24" t="n"/>
      <c r="DN740" s="24" t="n"/>
      <c r="DO740" s="24" t="n"/>
      <c r="DP740" s="24" t="n"/>
      <c r="DQ740" s="24" t="inlineStr">
        <is>
          <t>{"artifact_hash": "1d168f11d221cd3c", "event_id": "401866430", "event_start_utc": "2026-10-03T19:30Z", "features": {"altitude_fatigue_penalty": 0.0, "away_team": "Akron Zips", "efficiency_gap": -0.435, "elo_away": 1383.9, "elo_home": 1348.3, "elo_home_win_prob": 0.5421, "event_id": "401866430", "game_start_utc": "2026-10-03T19:30Z", "home_field_advantage_points": 2.8, "home_team": "Central Michigan Chippewas", "is_dome": false, "is_fbs_vs_fcs": false, "is_neutral_site": false, "projected_away_points": 25.0, "projected_home_points": 26.1, "projected_margin_home": 1.2, "projected_possessions": 12.4, "projected_total": 51.1, "stadium_elevation_ft": 800, "travel_distance_miles": 240.0, "uncertainty": 0.165, "weather_total_adjustment": 0.0}, "historical_source_observation_times_verified": false, "inference_inputs": {"engine_source_sha256": "449ba2f0e86fa9c445730076a0e0bf100fb4914620be53c75c6f3bfe24298f3f", "mu_away": 25.0, "mu_home": 26.1,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26852673391356379703641162536963993584}, "uinteger": 0}, "spread_home_line": -7.0, "total_line": 47.5}, "market_type": "moneyline", "model_version": "college-football-v1", "observed_at_utc": "2026-10-03T16:52:02.220681+00:00", "probabilities": {"away": 0.483907, "home": 0.516093}, "replay_scope": "Full precision score means, exact engine parameters and original RNG state; upstream feature construction not certified.", "schema": "cfb-joint-replay-v1", "snapshot_hash": "0a6bc4eac6bf1d9897e320c929cb98489294f472d5adc091563bdc7a9e78d01a", "sport": "NCAAF"}</t>
        </is>
      </c>
    </row>
    <row r="741" ht="36" customHeight="1">
      <c r="A741" s="24" t="inlineStr">
        <is>
          <t>9e4162ede0864130</t>
        </is>
      </c>
      <c r="B741" s="24" t="inlineStr">
        <is>
          <t>2026-10-03T16:52:02.220681Z</t>
        </is>
      </c>
      <c r="C741" s="24" t="inlineStr">
        <is>
          <t>2026-10-03T19:30Z</t>
        </is>
      </c>
      <c r="D741" s="24" t="inlineStr">
        <is>
          <t>401866430</t>
        </is>
      </c>
      <c r="E741" s="24" t="inlineStr">
        <is>
          <t>NCAAF</t>
        </is>
      </c>
      <c r="F741" s="24" t="inlineStr">
        <is>
          <t>Akron Zips</t>
        </is>
      </c>
      <c r="G741" s="24" t="inlineStr">
        <is>
          <t>Central Michigan Chippewas</t>
        </is>
      </c>
      <c r="H741" s="24" t="inlineStr">
        <is>
          <t>spread</t>
        </is>
      </c>
      <c r="I741" s="24" t="inlineStr">
        <is>
          <t>away</t>
        </is>
      </c>
      <c r="J741" s="25" t="n">
        <v>7</v>
      </c>
      <c r="K741" s="24" t="inlineStr">
        <is>
          <t>espn_consensus</t>
        </is>
      </c>
      <c r="L741" s="26" t="n">
        <v>-108</v>
      </c>
      <c r="M741" s="27" t="n">
        <v>1.925926</v>
      </c>
      <c r="N741" s="28" t="n">
        <v>0.519231</v>
      </c>
      <c r="O741" s="28" t="n">
        <v>0.6188</v>
      </c>
      <c r="P741" s="28" t="n">
        <v>0.165</v>
      </c>
      <c r="Q741" s="28" t="n">
        <v>0.099569</v>
      </c>
      <c r="R741" s="26" t="n">
        <v>1</v>
      </c>
      <c r="S741" s="29" t="n">
        <v>1</v>
      </c>
      <c r="T741" s="24" t="inlineStr">
        <is>
          <t>cfb-spread-v1</t>
        </is>
      </c>
      <c r="U741" s="24" t="inlineStr">
        <is>
          <t>settled</t>
        </is>
      </c>
      <c r="V741" s="24" t="inlineStr">
        <is>
          <t>loss</t>
        </is>
      </c>
      <c r="W741" s="26" t="n">
        <v>17</v>
      </c>
      <c r="X741" s="26" t="n">
        <v>41</v>
      </c>
      <c r="Y741" s="25" t="n"/>
      <c r="Z741" s="26" t="n"/>
      <c r="AA741" s="28" t="n"/>
      <c r="AB741" s="28" t="n"/>
      <c r="AC741" s="30" t="n">
        <v>-1</v>
      </c>
      <c r="AD741" s="24" t="inlineStr">
        <is>
          <t>2026-10-04T20:39:28.896310Z</t>
        </is>
      </c>
      <c r="AE741" s="31" t="inlineStr">
        <is>
          <t>Projected home margin +1.2 pts. Spread: Home -7.0 / Away +7.0 -&gt; P(Away cover)=0.619, P(Home cover)=0.361, P(Push)=0.020.</t>
        </is>
      </c>
      <c r="AF741" s="31" t="inlineStr">
        <is>
          <t>College football model; multi-market (moneyline, spread, total).</t>
        </is>
      </c>
      <c r="AG741" s="24" t="inlineStr">
        <is>
          <t>review_required</t>
        </is>
      </c>
      <c r="AH741" s="24" t="n"/>
      <c r="AI741" s="31" t="n"/>
      <c r="AJ741" s="31" t="n"/>
      <c r="AK741" s="24" t="inlineStr">
        <is>
          <t>model_qualified</t>
        </is>
      </c>
      <c r="AL741" s="26" t="n">
        <v>4</v>
      </c>
      <c r="AM741" s="24" t="inlineStr">
        <is>
          <t>QUALIFIED_SHADOW_CALL</t>
        </is>
      </c>
      <c r="AN741" s="24" t="inlineStr">
        <is>
          <t>CALL</t>
        </is>
      </c>
      <c r="AO741" s="24" t="inlineStr">
        <is>
          <t>QUALIFIED</t>
        </is>
      </c>
      <c r="AP741" s="24" t="inlineStr">
        <is>
          <t>Akron Zips</t>
        </is>
      </c>
      <c r="AQ741" s="24" t="inlineStr">
        <is>
          <t>Akron Zips</t>
        </is>
      </c>
      <c r="AR741" s="24" t="inlineStr">
        <is>
          <t>Akron Zips</t>
        </is>
      </c>
      <c r="AS741" s="24" t="inlineStr">
        <is>
          <t>Central Michigan Chippewas</t>
        </is>
      </c>
      <c r="AT741" s="24" t="inlineStr">
        <is>
          <t>Central Michigan Chippewas</t>
        </is>
      </c>
      <c r="AU741" s="24" t="inlineStr">
        <is>
          <t>Central Michigan Chippewas</t>
        </is>
      </c>
      <c r="AV741" s="24" t="n"/>
      <c r="AW741" s="24" t="n"/>
      <c r="AX741" s="24" t="inlineStr">
        <is>
          <t>statistical_model</t>
        </is>
      </c>
      <c r="AY741" s="24" t="n"/>
      <c r="AZ741" s="24" t="inlineStr">
        <is>
          <t>shadow_qualified</t>
        </is>
      </c>
      <c r="BA741" s="24" t="inlineStr">
        <is>
          <t>1d168f11d221cd3c</t>
        </is>
      </c>
      <c r="BB741" s="24" t="inlineStr">
        <is>
          <t>cfb_key_number_engine</t>
        </is>
      </c>
      <c r="BC741" s="24" t="inlineStr">
        <is>
          <t>cfb-spread-v1</t>
        </is>
      </c>
      <c r="BD741" s="24" t="inlineStr">
        <is>
          <t>1d168f11d221cd3c</t>
        </is>
      </c>
      <c r="BE741" s="24" t="inlineStr">
        <is>
          <t>cfb-v1</t>
        </is>
      </c>
      <c r="BF741" s="24" t="inlineStr">
        <is>
          <t>1</t>
        </is>
      </c>
      <c r="BG741" s="24" t="inlineStr">
        <is>
          <t>1d168f11d221cd3c</t>
        </is>
      </c>
      <c r="BH741" s="24" t="inlineStr">
        <is>
          <t>2026-10-03T16:52:02.220681+00:00</t>
        </is>
      </c>
      <c r="BI741" s="24" t="inlineStr">
        <is>
          <t>["same_event","same_team_same_day","same_league_same_day"]</t>
        </is>
      </c>
      <c r="BJ741" s="25" t="n">
        <v>7</v>
      </c>
      <c r="BK741" s="26" t="n">
        <v>-108</v>
      </c>
      <c r="BL741" s="27" t="n">
        <v>1.925926</v>
      </c>
      <c r="BM741" s="28" t="n">
        <v>0.519231</v>
      </c>
      <c r="BN741" s="28" t="n"/>
      <c r="BO741" s="28" t="n"/>
      <c r="BP741" s="25" t="n"/>
      <c r="BQ741" s="27" t="n"/>
      <c r="BR741" s="28" t="n"/>
      <c r="BS741" s="28" t="n"/>
      <c r="BT741" s="28" t="n"/>
      <c r="BU741" s="25" t="n"/>
      <c r="BV741" s="29" t="n"/>
      <c r="BW741" s="24" t="n"/>
      <c r="BX741" s="30" t="n"/>
      <c r="BY741" s="27" t="n"/>
      <c r="BZ741" s="24" t="n"/>
      <c r="CA741" s="31" t="n"/>
      <c r="CB741" s="24" t="n"/>
      <c r="CC741" s="24" t="n"/>
      <c r="CD741" s="24" t="n"/>
      <c r="CE741" s="24" t="n"/>
      <c r="CF741" s="24" t="n"/>
      <c r="CG741" s="24" t="n"/>
      <c r="CH741" s="24" t="n"/>
      <c r="CI741" s="24" t="n"/>
      <c r="CJ741" s="24" t="n"/>
      <c r="CK741" s="24" t="n"/>
      <c r="CL741" s="24" t="n"/>
      <c r="CM741" s="24" t="n"/>
      <c r="CN741" s="24" t="n"/>
      <c r="CO741" s="24" t="n"/>
      <c r="CP741" s="24" t="n"/>
      <c r="CQ741" s="24" t="n"/>
      <c r="CR741" s="24" t="n"/>
      <c r="CS741" s="24" t="inlineStr">
        <is>
          <t>True</t>
        </is>
      </c>
      <c r="CT741" s="24" t="n"/>
      <c r="CU741" s="24" t="n"/>
      <c r="CV741" s="24" t="n"/>
      <c r="CW741" s="24" t="n"/>
      <c r="CX741" s="24" t="n"/>
      <c r="CY741" s="24" t="n"/>
      <c r="CZ741" s="24" t="n"/>
      <c r="DA741" s="24" t="n"/>
      <c r="DB741" s="24" t="n"/>
      <c r="DC741" s="24" t="n"/>
      <c r="DD741" s="24" t="n"/>
      <c r="DE741" s="24" t="n"/>
      <c r="DF741" s="24" t="n"/>
      <c r="DG741" s="24" t="n"/>
      <c r="DH741" s="24" t="n"/>
      <c r="DI741" s="24" t="n"/>
      <c r="DJ741" s="24" t="inlineStr">
        <is>
          <t>0.519231</t>
        </is>
      </c>
      <c r="DK741" s="24" t="n"/>
      <c r="DL741" s="24" t="n"/>
      <c r="DM741" s="24" t="n"/>
      <c r="DN741" s="24" t="n"/>
      <c r="DO741" s="24" t="n"/>
      <c r="DP741" s="24" t="n"/>
      <c r="DQ741" s="24" t="inlineStr">
        <is>
          <t>{"artifact_hash": "1d168f11d221cd3c", "event_id": "401866430", "event_start_utc": "2026-10-03T19:30Z", "features": {"altitude_fatigue_penalty": 0.0, "away_team": "Akron Zips", "efficiency_gap": -0.435, "elo_away": 1383.9, "elo_home": 1348.3, "elo_home_win_prob": 0.5421, "event_id": "401866430", "game_start_utc": "2026-10-03T19:30Z", "home_field_advantage_points": 2.8, "home_team": "Central Michigan Chippewas", "is_dome": false, "is_fbs_vs_fcs": false, "is_neutral_site": false, "projected_away_points": 25.0, "projected_home_points": 26.1, "projected_margin_home": 1.2, "projected_possessions": 12.4, "projected_total": 51.1, "stadium_elevation_ft": 800, "travel_distance_miles": 240.0, "uncertainty": 0.165, "weather_total_adjustment": 0.0}, "historical_source_observation_times_verified": false, "inference_inputs": {"engine_source_sha256": "449ba2f0e86fa9c445730076a0e0bf100fb4914620be53c75c6f3bfe24298f3f", "mu_away": 25.0, "mu_home": 26.1,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26852673391356379703641162536963993584}, "uinteger": 0}, "spread_home_line": -7.0, "total_line": 47.5}, "market_type": "spread", "model_version": "cfb-spread-v1", "observed_at_utc": "2026-10-03T16:52:02.220681+00:00", "probabilities": {"away": 0.6188, "home": 0.361467, "push": 0.019733}, "replay_scope": "Full precision score means, exact engine parameters and original RNG state; upstream feature construction not certified.", "schema": "cfb-joint-replay-v1", "snapshot_hash": "3f3f5ebed647c23d1cd128f071f14ab32dbe608d2344f08b8cf5ed598ce9bc3e", "sport": "NCAAF"}</t>
        </is>
      </c>
    </row>
    <row r="742" ht="36" customHeight="1">
      <c r="A742" s="24" t="inlineStr">
        <is>
          <t>df3ef6adfb9b4602</t>
        </is>
      </c>
      <c r="B742" s="24" t="inlineStr">
        <is>
          <t>2026-10-03T16:52:02.220681Z</t>
        </is>
      </c>
      <c r="C742" s="24" t="inlineStr">
        <is>
          <t>2026-10-03T19:30Z</t>
        </is>
      </c>
      <c r="D742" s="24" t="inlineStr">
        <is>
          <t>401866430</t>
        </is>
      </c>
      <c r="E742" s="24" t="inlineStr">
        <is>
          <t>NCAAF</t>
        </is>
      </c>
      <c r="F742" s="24" t="inlineStr">
        <is>
          <t>Akron Zips</t>
        </is>
      </c>
      <c r="G742" s="24" t="inlineStr">
        <is>
          <t>Central Michigan Chippewas</t>
        </is>
      </c>
      <c r="H742" s="24" t="inlineStr">
        <is>
          <t>total</t>
        </is>
      </c>
      <c r="I742" s="24" t="inlineStr">
        <is>
          <t>over</t>
        </is>
      </c>
      <c r="J742" s="25" t="n">
        <v>47.5</v>
      </c>
      <c r="K742" s="24" t="inlineStr">
        <is>
          <t>espn_consensus</t>
        </is>
      </c>
      <c r="L742" s="26" t="n">
        <v>-105</v>
      </c>
      <c r="M742" s="27" t="n">
        <v>1.952381</v>
      </c>
      <c r="N742" s="28" t="n">
        <v>0.512195</v>
      </c>
      <c r="O742" s="28" t="n">
        <v>0.5323329999999999</v>
      </c>
      <c r="P742" s="28" t="n">
        <v>0.165</v>
      </c>
      <c r="Q742" s="28" t="n">
        <v>0.020138</v>
      </c>
      <c r="R742" s="26" t="n">
        <v>0</v>
      </c>
      <c r="S742" s="29" t="n">
        <v>1</v>
      </c>
      <c r="T742" s="24" t="inlineStr">
        <is>
          <t>cfb-total-v1</t>
        </is>
      </c>
      <c r="U742" s="24" t="inlineStr">
        <is>
          <t>settled</t>
        </is>
      </c>
      <c r="V742" s="24" t="inlineStr">
        <is>
          <t>win</t>
        </is>
      </c>
      <c r="W742" s="26" t="n">
        <v>17</v>
      </c>
      <c r="X742" s="26" t="n">
        <v>41</v>
      </c>
      <c r="Y742" s="25" t="n"/>
      <c r="Z742" s="26" t="n"/>
      <c r="AA742" s="28" t="n"/>
      <c r="AB742" s="28" t="n"/>
      <c r="AC742" s="30" t="n">
        <v>0.9524</v>
      </c>
      <c r="AD742" s="24" t="inlineStr">
        <is>
          <t>2026-10-04T20:39:33.589561Z</t>
        </is>
      </c>
      <c r="AE742" s="31" t="inlineStr">
        <is>
          <t>Projected total 51.1 pts (Weather adj: +0.0 pts). Total line 47.5 -&gt; P(Over)=0.532, P(Under)=0.468, P(Push)=0.000.</t>
        </is>
      </c>
      <c r="AF742" s="31" t="inlineStr">
        <is>
          <t>College football model; multi-market (moneyline, spread, total).</t>
        </is>
      </c>
      <c r="AG742" s="24" t="inlineStr">
        <is>
          <t>not_applicable</t>
        </is>
      </c>
      <c r="AH742" s="24" t="n"/>
      <c r="AI742" s="31" t="n"/>
      <c r="AJ742" s="31" t="n"/>
      <c r="AK742" s="24" t="inlineStr">
        <is>
          <t>paper_call</t>
        </is>
      </c>
      <c r="AL742" s="26" t="n">
        <v>4</v>
      </c>
      <c r="AM742" s="24" t="inlineStr">
        <is>
          <t>RESEARCH_OBSERVATION</t>
        </is>
      </c>
      <c r="AN742" s="24" t="inlineStr">
        <is>
          <t>CALL</t>
        </is>
      </c>
      <c r="AO742" s="24" t="inlineStr">
        <is>
          <t>PAPER_CALL_LOW_EDGE</t>
        </is>
      </c>
      <c r="AP742" s="24" t="inlineStr">
        <is>
          <t>Akron Zips</t>
        </is>
      </c>
      <c r="AQ742" s="24" t="inlineStr">
        <is>
          <t>Akron Zips</t>
        </is>
      </c>
      <c r="AR742" s="24" t="inlineStr">
        <is>
          <t>Akron Zips</t>
        </is>
      </c>
      <c r="AS742" s="24" t="inlineStr">
        <is>
          <t>Central Michigan Chippewas</t>
        </is>
      </c>
      <c r="AT742" s="24" t="inlineStr">
        <is>
          <t>Central Michigan Chippewas</t>
        </is>
      </c>
      <c r="AU742" s="24" t="inlineStr">
        <is>
          <t>Central Michigan Chippewas</t>
        </is>
      </c>
      <c r="AV742" s="24" t="n"/>
      <c r="AW742" s="24" t="n"/>
      <c r="AX742" s="24" t="inlineStr">
        <is>
          <t>statistical_model</t>
        </is>
      </c>
      <c r="AY742" s="24" t="n"/>
      <c r="AZ742" s="24" t="inlineStr">
        <is>
          <t>shadow_qualified</t>
        </is>
      </c>
      <c r="BA742" s="24" t="inlineStr">
        <is>
          <t>1d168f11d221cd3c</t>
        </is>
      </c>
      <c r="BB742" s="24" t="inlineStr">
        <is>
          <t>cfb_key_number_engine</t>
        </is>
      </c>
      <c r="BC742" s="24" t="inlineStr">
        <is>
          <t>cfb-total-v1</t>
        </is>
      </c>
      <c r="BD742" s="24" t="inlineStr">
        <is>
          <t>1d168f11d221cd3c</t>
        </is>
      </c>
      <c r="BE742" s="24" t="inlineStr">
        <is>
          <t>cfb-v1</t>
        </is>
      </c>
      <c r="BF742" s="24" t="inlineStr">
        <is>
          <t>1</t>
        </is>
      </c>
      <c r="BG742" s="24" t="inlineStr">
        <is>
          <t>1d168f11d221cd3c</t>
        </is>
      </c>
      <c r="BH742" s="24" t="inlineStr">
        <is>
          <t>2026-10-03T16:52:02.220681+00:00</t>
        </is>
      </c>
      <c r="BI742" s="24" t="inlineStr">
        <is>
          <t>["same_event","same_team_same_day","same_league_same_day"]</t>
        </is>
      </c>
      <c r="BJ742" s="25" t="n">
        <v>47.5</v>
      </c>
      <c r="BK742" s="26" t="n">
        <v>-105</v>
      </c>
      <c r="BL742" s="27" t="n">
        <v>1.952381</v>
      </c>
      <c r="BM742" s="28" t="n">
        <v>0.512195</v>
      </c>
      <c r="BN742" s="28" t="n"/>
      <c r="BO742" s="28" t="n"/>
      <c r="BP742" s="25" t="n"/>
      <c r="BQ742" s="27" t="n"/>
      <c r="BR742" s="28" t="n"/>
      <c r="BS742" s="28" t="n"/>
      <c r="BT742" s="28" t="n"/>
      <c r="BU742" s="25" t="n"/>
      <c r="BV742" s="29" t="n"/>
      <c r="BW742" s="24" t="n"/>
      <c r="BX742" s="30" t="n">
        <v>1</v>
      </c>
      <c r="BY742" s="27" t="n">
        <v>0.952381</v>
      </c>
      <c r="BZ742" s="24" t="inlineStr">
        <is>
          <t>2026-10-04T20:39:33.589561Z</t>
        </is>
      </c>
      <c r="CA742" s="31" t="inlineStr">
        <is>
          <t>fixed one-unit hypothetical scoring; no real exposure or execution</t>
        </is>
      </c>
      <c r="CB742" s="24" t="n"/>
      <c r="CC742" s="24" t="n"/>
      <c r="CD742" s="24" t="n"/>
      <c r="CE742" s="24" t="n"/>
      <c r="CF742" s="24" t="n"/>
      <c r="CG742" s="24" t="n"/>
      <c r="CH742" s="24" t="n"/>
      <c r="CI742" s="24" t="n"/>
      <c r="CJ742" s="24" t="n"/>
      <c r="CK742" s="24" t="n"/>
      <c r="CL742" s="24" t="n"/>
      <c r="CM742" s="24" t="n"/>
      <c r="CN742" s="24" t="n"/>
      <c r="CO742" s="24" t="n"/>
      <c r="CP742" s="24" t="n"/>
      <c r="CQ742" s="24" t="n"/>
      <c r="CR742" s="24" t="n"/>
      <c r="CS742" s="24" t="inlineStr">
        <is>
          <t>True</t>
        </is>
      </c>
      <c r="CT742" s="24" t="n"/>
      <c r="CU742" s="24" t="n"/>
      <c r="CV742" s="24" t="n"/>
      <c r="CW742" s="24" t="n"/>
      <c r="CX742" s="24" t="n"/>
      <c r="CY742" s="24" t="n"/>
      <c r="CZ742" s="24" t="n"/>
      <c r="DA742" s="24" t="n"/>
      <c r="DB742" s="24" t="n"/>
      <c r="DC742" s="24" t="n"/>
      <c r="DD742" s="24" t="n"/>
      <c r="DE742" s="24" t="n"/>
      <c r="DF742" s="24" t="n"/>
      <c r="DG742" s="24" t="n"/>
      <c r="DH742" s="24" t="n"/>
      <c r="DI742" s="24" t="n"/>
      <c r="DJ742" s="24" t="inlineStr">
        <is>
          <t>0.512195</t>
        </is>
      </c>
      <c r="DK742" s="24" t="n"/>
      <c r="DL742" s="24" t="n"/>
      <c r="DM742" s="24" t="n"/>
      <c r="DN742" s="24" t="n"/>
      <c r="DO742" s="24" t="n"/>
      <c r="DP742" s="24" t="n"/>
      <c r="DQ742" s="24" t="inlineStr">
        <is>
          <t>{"artifact_hash": "1d168f11d221cd3c", "event_id": "401866430", "event_start_utc": "2026-10-03T19:30Z", "features": {"altitude_fatigue_penalty": 0.0, "away_team": "Akron Zips", "efficiency_gap": -0.435, "elo_away": 1383.9, "elo_home": 1348.3, "elo_home_win_prob": 0.5421, "event_id": "401866430", "game_start_utc": "2026-10-03T19:30Z", "home_field_advantage_points": 2.8, "home_team": "Central Michigan Chippewas", "is_dome": false, "is_fbs_vs_fcs": false, "is_neutral_site": false, "projected_away_points": 25.0, "projected_home_points": 26.1, "projected_margin_home": 1.2, "projected_possessions": 12.4, "projected_total": 51.1, "stadium_elevation_ft": 800, "travel_distance_miles": 240.0, "uncertainty": 0.165, "weather_total_adjustment": 0.0}, "historical_source_observation_times_verified": false, "inference_inputs": {"engine_source_sha256": "449ba2f0e86fa9c445730076a0e0bf100fb4914620be53c75c6f3bfe24298f3f", "mu_away": 25.0, "mu_home": 26.1,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26852673391356379703641162536963993584}, "uinteger": 0}, "spread_home_line": -7.0, "total_line": 47.5}, "market_type": "total", "model_version": "cfb-total-v1", "observed_at_utc": "2026-10-03T16:52:02.220681+00:00", "probabilities": {"over": 0.532333, "push": 0.0, "under": 0.467667}, "replay_scope": "Full precision score means, exact engine parameters and original RNG state; upstream feature construction not certified.", "schema": "cfb-joint-replay-v1", "snapshot_hash": "c958e4a7996fd026c435e330573635d5fb5be59092bbeda5b3ee05d046ea3be7", "sport": "NCAAF"}</t>
        </is>
      </c>
    </row>
    <row r="743" ht="36" customHeight="1">
      <c r="A743" s="24" t="inlineStr">
        <is>
          <t>adcba6cb6c9b40b5</t>
        </is>
      </c>
      <c r="B743" s="24" t="inlineStr">
        <is>
          <t>2026-10-03T16:52:02.220681Z</t>
        </is>
      </c>
      <c r="C743" s="24" t="inlineStr">
        <is>
          <t>2026-10-03T19:30Z</t>
        </is>
      </c>
      <c r="D743" s="24" t="inlineStr">
        <is>
          <t>401866433</t>
        </is>
      </c>
      <c r="E743" s="24" t="inlineStr">
        <is>
          <t>NCAAF</t>
        </is>
      </c>
      <c r="F743" s="24" t="inlineStr">
        <is>
          <t>Eastern Michigan Eagles</t>
        </is>
      </c>
      <c r="G743" s="24" t="inlineStr">
        <is>
          <t>Massachusetts Minutemen</t>
        </is>
      </c>
      <c r="H743" s="24" t="inlineStr">
        <is>
          <t>moneyline</t>
        </is>
      </c>
      <c r="I743" s="24" t="inlineStr">
        <is>
          <t>away</t>
        </is>
      </c>
      <c r="J743" s="25" t="n"/>
      <c r="K743" s="24" t="inlineStr">
        <is>
          <t>espn_consensus</t>
        </is>
      </c>
      <c r="L743" s="26" t="n">
        <v>185</v>
      </c>
      <c r="M743" s="27" t="n">
        <v>2.85</v>
      </c>
      <c r="N743" s="28" t="n">
        <v>0.350877</v>
      </c>
      <c r="O743" s="28" t="n">
        <v>0.606792</v>
      </c>
      <c r="P743" s="28" t="n">
        <v>0.165</v>
      </c>
      <c r="Q743" s="28" t="n">
        <v>0.255915</v>
      </c>
      <c r="R743" s="26" t="n">
        <v>79</v>
      </c>
      <c r="S743" s="29" t="n">
        <v>1.5</v>
      </c>
      <c r="T743" s="24" t="inlineStr">
        <is>
          <t>college-football-v1</t>
        </is>
      </c>
      <c r="U743" s="24" t="inlineStr">
        <is>
          <t>settled</t>
        </is>
      </c>
      <c r="V743" s="24" t="inlineStr">
        <is>
          <t>win</t>
        </is>
      </c>
      <c r="W743" s="26" t="n">
        <v>38</v>
      </c>
      <c r="X743" s="26" t="n">
        <v>14</v>
      </c>
      <c r="Y743" s="25" t="n"/>
      <c r="Z743" s="26" t="n"/>
      <c r="AA743" s="28" t="n"/>
      <c r="AB743" s="28" t="n"/>
      <c r="AC743" s="30" t="n">
        <v>2.775</v>
      </c>
      <c r="AD743" s="24" t="inlineStr">
        <is>
          <t>2026-10-04T20:39:38.072895Z</t>
        </is>
      </c>
      <c r="AE743" s="31" t="inlineStr">
        <is>
          <t>CFB Joint Model (negative_binomial): proj score Eastern Michigan Eagles 29.4 @ Massachusetts Minutemen 24.1 (Margin -5.3). Possessions: 12.4, HFA: +2.8 pts.</t>
        </is>
      </c>
      <c r="AF743" s="31" t="inlineStr">
        <is>
          <t>College football model; multi-market (moneyline, spread, total).</t>
        </is>
      </c>
      <c r="AG743" s="24" t="inlineStr">
        <is>
          <t>not_applicable</t>
        </is>
      </c>
      <c r="AH743" s="24" t="n"/>
      <c r="AI743" s="31" t="n"/>
      <c r="AJ743" s="31" t="n"/>
      <c r="AK743" s="24" t="inlineStr">
        <is>
          <t>model_qualified</t>
        </is>
      </c>
      <c r="AL743" s="26" t="n">
        <v>4</v>
      </c>
      <c r="AM743" s="24" t="inlineStr">
        <is>
          <t>QUALIFIED_SHADOW_CALL</t>
        </is>
      </c>
      <c r="AN743" s="24" t="inlineStr">
        <is>
          <t>CALL</t>
        </is>
      </c>
      <c r="AO743" s="24" t="inlineStr">
        <is>
          <t>QUALIFIED</t>
        </is>
      </c>
      <c r="AP743" s="24" t="inlineStr">
        <is>
          <t>Eastern Michigan Eagles</t>
        </is>
      </c>
      <c r="AQ743" s="24" t="inlineStr">
        <is>
          <t>Eastern Michigan Eagles</t>
        </is>
      </c>
      <c r="AR743" s="24" t="inlineStr">
        <is>
          <t>Eastern Michigan Eagles</t>
        </is>
      </c>
      <c r="AS743" s="24" t="inlineStr">
        <is>
          <t>Massachusetts Minutemen</t>
        </is>
      </c>
      <c r="AT743" s="24" t="inlineStr">
        <is>
          <t>Massachusetts Minutemen</t>
        </is>
      </c>
      <c r="AU743" s="24" t="inlineStr">
        <is>
          <t>Massachusetts Minutemen</t>
        </is>
      </c>
      <c r="AV743" s="24" t="n"/>
      <c r="AW743" s="24" t="n"/>
      <c r="AX743" s="24" t="inlineStr">
        <is>
          <t>statistical_model</t>
        </is>
      </c>
      <c r="AY743" s="24" t="n"/>
      <c r="AZ743" s="24" t="inlineStr">
        <is>
          <t>shadow_qualified</t>
        </is>
      </c>
      <c r="BA743" s="24" t="inlineStr">
        <is>
          <t>1d168f11d221cd3c</t>
        </is>
      </c>
      <c r="BB743" s="24" t="inlineStr">
        <is>
          <t>cfb_key_number_engine</t>
        </is>
      </c>
      <c r="BC743" s="24" t="inlineStr">
        <is>
          <t>college-football-v1</t>
        </is>
      </c>
      <c r="BD743" s="24" t="inlineStr">
        <is>
          <t>1d168f11d221cd3c</t>
        </is>
      </c>
      <c r="BE743" s="24" t="inlineStr">
        <is>
          <t>cfb-v1</t>
        </is>
      </c>
      <c r="BF743" s="24" t="inlineStr">
        <is>
          <t>1</t>
        </is>
      </c>
      <c r="BG743" s="24" t="inlineStr">
        <is>
          <t>1d168f11d221cd3c</t>
        </is>
      </c>
      <c r="BH743" s="24" t="inlineStr">
        <is>
          <t>2026-10-03T16:52:02.220681+00:00</t>
        </is>
      </c>
      <c r="BI743" s="24" t="inlineStr">
        <is>
          <t>["same_event","same_team_same_day","same_league_same_day"]</t>
        </is>
      </c>
      <c r="BJ743" s="25" t="n"/>
      <c r="BK743" s="26" t="n">
        <v>185</v>
      </c>
      <c r="BL743" s="27" t="n">
        <v>2.85</v>
      </c>
      <c r="BM743" s="28" t="n">
        <v>0.350877</v>
      </c>
      <c r="BN743" s="28" t="n"/>
      <c r="BO743" s="28" t="n"/>
      <c r="BP743" s="25" t="n"/>
      <c r="BQ743" s="27" t="n"/>
      <c r="BR743" s="28" t="n"/>
      <c r="BS743" s="28" t="n"/>
      <c r="BT743" s="28" t="n"/>
      <c r="BU743" s="25" t="n"/>
      <c r="BV743" s="29" t="n"/>
      <c r="BW743" s="24" t="n"/>
      <c r="BX743" s="30" t="n"/>
      <c r="BY743" s="27" t="n"/>
      <c r="BZ743" s="24" t="n"/>
      <c r="CA743" s="31" t="n"/>
      <c r="CB743" s="24" t="n"/>
      <c r="CC743" s="24" t="n"/>
      <c r="CD743" s="24" t="n"/>
      <c r="CE743" s="24" t="n"/>
      <c r="CF743" s="24" t="n"/>
      <c r="CG743" s="24" t="n"/>
      <c r="CH743" s="24" t="n"/>
      <c r="CI743" s="24" t="n"/>
      <c r="CJ743" s="24" t="n"/>
      <c r="CK743" s="24" t="n"/>
      <c r="CL743" s="24" t="n"/>
      <c r="CM743" s="24" t="n"/>
      <c r="CN743" s="24" t="n"/>
      <c r="CO743" s="24" t="n"/>
      <c r="CP743" s="24" t="n"/>
      <c r="CQ743" s="24" t="n"/>
      <c r="CR743" s="24" t="n"/>
      <c r="CS743" s="24" t="inlineStr">
        <is>
          <t>True</t>
        </is>
      </c>
      <c r="CT743" s="24" t="n"/>
      <c r="CU743" s="24" t="n"/>
      <c r="CV743" s="24" t="n"/>
      <c r="CW743" s="24" t="n"/>
      <c r="CX743" s="24" t="n"/>
      <c r="CY743" s="24" t="n"/>
      <c r="CZ743" s="24" t="n"/>
      <c r="DA743" s="24" t="n"/>
      <c r="DB743" s="24" t="n"/>
      <c r="DC743" s="24" t="n"/>
      <c r="DD743" s="24" t="n"/>
      <c r="DE743" s="24" t="n"/>
      <c r="DF743" s="24" t="n"/>
      <c r="DG743" s="24" t="n"/>
      <c r="DH743" s="24" t="n"/>
      <c r="DI743" s="24" t="n"/>
      <c r="DJ743" s="24" t="inlineStr">
        <is>
          <t>0.350877</t>
        </is>
      </c>
      <c r="DK743" s="24" t="n"/>
      <c r="DL743" s="24" t="n"/>
      <c r="DM743" s="24" t="n"/>
      <c r="DN743" s="24" t="n"/>
      <c r="DO743" s="24" t="n"/>
      <c r="DP743" s="24" t="n"/>
      <c r="DQ743" s="24" t="inlineStr">
        <is>
          <t>{"artifact_hash": "1d168f11d221cd3c", "event_id": "401866433", "event_start_utc": "2026-10-03T19:30Z", "features": {"altitude_fatigue_penalty": 0.0, "away_team": "Eastern Michigan Eagles", "efficiency_gap": 1.065, "elo_away": 1339.9, "elo_home": 1129.7, "elo_home_win_prob": 0.3024, "event_id": "401866433", "game_start_utc": "2026-10-03T19:30Z", "home_field_advantage_points": 2.8, "home_team": "Massachusetts Minutemen", "is_dome": false, "is_fbs_vs_fcs": false, "is_neutral_site": false, "projected_away_points": 29.4, "projected_home_points": 24.1, "projected_margin_home": -5.3, "projected_possessions": 12.4, "projected_total": 53.6, "stadium_elevation_ft": 230, "travel_distance_miles": 566.0, "uncertainty": 0.165, "weather_total_adjustment": 0.0}, "historical_source_observation_times_verified": false, "inference_inputs": {"engine_source_sha256": "449ba2f0e86fa9c445730076a0e0bf100fb4914620be53c75c6f3bfe24298f3f", "mu_away": 29.4, "mu_home": 24.1,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65717334866312053641929476551702948488}, "uinteger": 0}, "spread_home_line": -5.5, "total_line": 48.5}, "market_type": "moneyline", "model_version": "college-football-v1", "observed_at_utc": "2026-10-03T16:52:02.220681+00:00", "probabilities": {"away": 0.606792, "home": 0.393208}, "replay_scope": "Full precision score means, exact engine parameters and original RNG state; upstream feature construction not certified.", "schema": "cfb-joint-replay-v1", "snapshot_hash": "b01a48d2cd217688bc534378284d3de7e84d47a612852725d9bdd37168d5367c", "sport": "NCAAF"}</t>
        </is>
      </c>
    </row>
    <row r="744" ht="36" customHeight="1">
      <c r="A744" s="24" t="inlineStr">
        <is>
          <t>8212192ea19e476c</t>
        </is>
      </c>
      <c r="B744" s="24" t="inlineStr">
        <is>
          <t>2026-10-03T16:52:02.220681Z</t>
        </is>
      </c>
      <c r="C744" s="24" t="inlineStr">
        <is>
          <t>2026-10-03T19:30Z</t>
        </is>
      </c>
      <c r="D744" s="24" t="inlineStr">
        <is>
          <t>401866433</t>
        </is>
      </c>
      <c r="E744" s="24" t="inlineStr">
        <is>
          <t>NCAAF</t>
        </is>
      </c>
      <c r="F744" s="24" t="inlineStr">
        <is>
          <t>Eastern Michigan Eagles</t>
        </is>
      </c>
      <c r="G744" s="24" t="inlineStr">
        <is>
          <t>Massachusetts Minutemen</t>
        </is>
      </c>
      <c r="H744" s="24" t="inlineStr">
        <is>
          <t>spread</t>
        </is>
      </c>
      <c r="I744" s="24" t="inlineStr">
        <is>
          <t>away</t>
        </is>
      </c>
      <c r="J744" s="25" t="n">
        <v>5.5</v>
      </c>
      <c r="K744" s="24" t="inlineStr">
        <is>
          <t>espn_consensus</t>
        </is>
      </c>
      <c r="L744" s="26" t="n">
        <v>-110</v>
      </c>
      <c r="M744" s="27" t="n">
        <v>1.909091</v>
      </c>
      <c r="N744" s="28" t="n">
        <v>0.52381</v>
      </c>
      <c r="O744" s="28" t="n">
        <v>0.7146</v>
      </c>
      <c r="P744" s="28" t="n">
        <v>0.165</v>
      </c>
      <c r="Q744" s="28" t="n">
        <v>0.19079</v>
      </c>
      <c r="R744" s="26" t="n">
        <v>46</v>
      </c>
      <c r="S744" s="29" t="n">
        <v>1.25</v>
      </c>
      <c r="T744" s="24" t="inlineStr">
        <is>
          <t>cfb-spread-v1</t>
        </is>
      </c>
      <c r="U744" s="24" t="inlineStr">
        <is>
          <t>settled</t>
        </is>
      </c>
      <c r="V744" s="24" t="inlineStr">
        <is>
          <t>win</t>
        </is>
      </c>
      <c r="W744" s="26" t="n">
        <v>38</v>
      </c>
      <c r="X744" s="26" t="n">
        <v>14</v>
      </c>
      <c r="Y744" s="25" t="n"/>
      <c r="Z744" s="26" t="n"/>
      <c r="AA744" s="28" t="n"/>
      <c r="AB744" s="28" t="n"/>
      <c r="AC744" s="30" t="n">
        <v>1.1364</v>
      </c>
      <c r="AD744" s="24" t="inlineStr">
        <is>
          <t>2026-10-04T20:39:42.234184Z</t>
        </is>
      </c>
      <c r="AE744" s="31" t="inlineStr">
        <is>
          <t>Projected home margin -5.3 pts. Spread: Home -5.5 / Away +5.5 -&gt; P(Away cover)=0.715, P(Home cover)=0.285, P(Push)=0.000.</t>
        </is>
      </c>
      <c r="AF744" s="31" t="inlineStr">
        <is>
          <t>College football model; multi-market (moneyline, spread, total).</t>
        </is>
      </c>
      <c r="AG744" s="24" t="inlineStr">
        <is>
          <t>not_applicable</t>
        </is>
      </c>
      <c r="AH744" s="24" t="n"/>
      <c r="AI744" s="31" t="n"/>
      <c r="AJ744" s="31" t="n"/>
      <c r="AK744" s="24" t="inlineStr">
        <is>
          <t>model_qualified</t>
        </is>
      </c>
      <c r="AL744" s="26" t="n">
        <v>4</v>
      </c>
      <c r="AM744" s="24" t="inlineStr">
        <is>
          <t>QUALIFIED_SHADOW_CALL</t>
        </is>
      </c>
      <c r="AN744" s="24" t="inlineStr">
        <is>
          <t>CALL</t>
        </is>
      </c>
      <c r="AO744" s="24" t="inlineStr">
        <is>
          <t>QUALIFIED</t>
        </is>
      </c>
      <c r="AP744" s="24" t="inlineStr">
        <is>
          <t>Eastern Michigan Eagles</t>
        </is>
      </c>
      <c r="AQ744" s="24" t="inlineStr">
        <is>
          <t>Eastern Michigan Eagles</t>
        </is>
      </c>
      <c r="AR744" s="24" t="inlineStr">
        <is>
          <t>Eastern Michigan Eagles</t>
        </is>
      </c>
      <c r="AS744" s="24" t="inlineStr">
        <is>
          <t>Massachusetts Minutemen</t>
        </is>
      </c>
      <c r="AT744" s="24" t="inlineStr">
        <is>
          <t>Massachusetts Minutemen</t>
        </is>
      </c>
      <c r="AU744" s="24" t="inlineStr">
        <is>
          <t>Massachusetts Minutemen</t>
        </is>
      </c>
      <c r="AV744" s="24" t="n"/>
      <c r="AW744" s="24" t="n"/>
      <c r="AX744" s="24" t="inlineStr">
        <is>
          <t>statistical_model</t>
        </is>
      </c>
      <c r="AY744" s="24" t="n"/>
      <c r="AZ744" s="24" t="inlineStr">
        <is>
          <t>shadow_qualified</t>
        </is>
      </c>
      <c r="BA744" s="24" t="inlineStr">
        <is>
          <t>1d168f11d221cd3c</t>
        </is>
      </c>
      <c r="BB744" s="24" t="inlineStr">
        <is>
          <t>cfb_key_number_engine</t>
        </is>
      </c>
      <c r="BC744" s="24" t="inlineStr">
        <is>
          <t>cfb-spread-v1</t>
        </is>
      </c>
      <c r="BD744" s="24" t="inlineStr">
        <is>
          <t>1d168f11d221cd3c</t>
        </is>
      </c>
      <c r="BE744" s="24" t="inlineStr">
        <is>
          <t>cfb-v1</t>
        </is>
      </c>
      <c r="BF744" s="24" t="inlineStr">
        <is>
          <t>1</t>
        </is>
      </c>
      <c r="BG744" s="24" t="inlineStr">
        <is>
          <t>1d168f11d221cd3c</t>
        </is>
      </c>
      <c r="BH744" s="24" t="inlineStr">
        <is>
          <t>2026-10-03T16:52:02.220681+00:00</t>
        </is>
      </c>
      <c r="BI744" s="24" t="inlineStr">
        <is>
          <t>["same_event","same_team_same_day","same_league_same_day"]</t>
        </is>
      </c>
      <c r="BJ744" s="25" t="n">
        <v>5.5</v>
      </c>
      <c r="BK744" s="26" t="n">
        <v>-110</v>
      </c>
      <c r="BL744" s="27" t="n">
        <v>1.909091</v>
      </c>
      <c r="BM744" s="28" t="n">
        <v>0.52381</v>
      </c>
      <c r="BN744" s="28" t="n"/>
      <c r="BO744" s="28" t="n"/>
      <c r="BP744" s="25" t="n"/>
      <c r="BQ744" s="27" t="n"/>
      <c r="BR744" s="28" t="n"/>
      <c r="BS744" s="28" t="n"/>
      <c r="BT744" s="28" t="n"/>
      <c r="BU744" s="25" t="n"/>
      <c r="BV744" s="29" t="n"/>
      <c r="BW744" s="24" t="n"/>
      <c r="BX744" s="30" t="n"/>
      <c r="BY744" s="27" t="n"/>
      <c r="BZ744" s="24" t="n"/>
      <c r="CA744" s="31" t="n"/>
      <c r="CB744" s="24" t="n"/>
      <c r="CC744" s="24" t="n"/>
      <c r="CD744" s="24" t="n"/>
      <c r="CE744" s="24" t="n"/>
      <c r="CF744" s="24" t="n"/>
      <c r="CG744" s="24" t="n"/>
      <c r="CH744" s="24" t="n"/>
      <c r="CI744" s="24" t="n"/>
      <c r="CJ744" s="24" t="n"/>
      <c r="CK744" s="24" t="n"/>
      <c r="CL744" s="24" t="n"/>
      <c r="CM744" s="24" t="n"/>
      <c r="CN744" s="24" t="n"/>
      <c r="CO744" s="24" t="n"/>
      <c r="CP744" s="24" t="n"/>
      <c r="CQ744" s="24" t="n"/>
      <c r="CR744" s="24" t="n"/>
      <c r="CS744" s="24" t="inlineStr">
        <is>
          <t>True</t>
        </is>
      </c>
      <c r="CT744" s="24" t="n"/>
      <c r="CU744" s="24" t="n"/>
      <c r="CV744" s="24" t="n"/>
      <c r="CW744" s="24" t="n"/>
      <c r="CX744" s="24" t="n"/>
      <c r="CY744" s="24" t="n"/>
      <c r="CZ744" s="24" t="n"/>
      <c r="DA744" s="24" t="n"/>
      <c r="DB744" s="24" t="n"/>
      <c r="DC744" s="24" t="n"/>
      <c r="DD744" s="24" t="n"/>
      <c r="DE744" s="24" t="n"/>
      <c r="DF744" s="24" t="n"/>
      <c r="DG744" s="24" t="n"/>
      <c r="DH744" s="24" t="n"/>
      <c r="DI744" s="24" t="n"/>
      <c r="DJ744" s="24" t="inlineStr">
        <is>
          <t>0.52381</t>
        </is>
      </c>
      <c r="DK744" s="24" t="n"/>
      <c r="DL744" s="24" t="n"/>
      <c r="DM744" s="24" t="n"/>
      <c r="DN744" s="24" t="n"/>
      <c r="DO744" s="24" t="n"/>
      <c r="DP744" s="24" t="n"/>
      <c r="DQ744" s="24" t="inlineStr">
        <is>
          <t>{"artifact_hash": "1d168f11d221cd3c", "event_id": "401866433", "event_start_utc": "2026-10-03T19:30Z", "features": {"altitude_fatigue_penalty": 0.0, "away_team": "Eastern Michigan Eagles", "efficiency_gap": 1.065, "elo_away": 1339.9, "elo_home": 1129.7, "elo_home_win_prob": 0.3024, "event_id": "401866433", "game_start_utc": "2026-10-03T19:30Z", "home_field_advantage_points": 2.8, "home_team": "Massachusetts Minutemen", "is_dome": false, "is_fbs_vs_fcs": false, "is_neutral_site": false, "projected_away_points": 29.4, "projected_home_points": 24.1, "projected_margin_home": -5.3, "projected_possessions": 12.4, "projected_total": 53.6, "stadium_elevation_ft": 230, "travel_distance_miles": 566.0, "uncertainty": 0.165, "weather_total_adjustment": 0.0}, "historical_source_observation_times_verified": false, "inference_inputs": {"engine_source_sha256": "449ba2f0e86fa9c445730076a0e0bf100fb4914620be53c75c6f3bfe24298f3f", "mu_away": 29.4, "mu_home": 24.1,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65717334866312053641929476551702948488}, "uinteger": 0}, "spread_home_line": -5.5, "total_line": 48.5}, "market_type": "spread", "model_version": "cfb-spread-v1", "observed_at_utc": "2026-10-03T16:52:02.220681+00:00", "probabilities": {"away": 0.7146, "home": 0.2854, "push": 0.0}, "replay_scope": "Full precision score means, exact engine parameters and original RNG state; upstream feature construction not certified.", "schema": "cfb-joint-replay-v1", "snapshot_hash": "d07ec2cb0c64fb5db8756643814b71c0269f54e20f9a0ac310314e864e898fc9", "sport": "NCAAF"}</t>
        </is>
      </c>
    </row>
    <row r="745" ht="36" customHeight="1">
      <c r="A745" s="24" t="inlineStr">
        <is>
          <t>0c1f0312fedc4f57</t>
        </is>
      </c>
      <c r="B745" s="24" t="inlineStr">
        <is>
          <t>2026-10-03T16:52:02.220681Z</t>
        </is>
      </c>
      <c r="C745" s="24" t="inlineStr">
        <is>
          <t>2026-10-03T19:30Z</t>
        </is>
      </c>
      <c r="D745" s="24" t="inlineStr">
        <is>
          <t>401866433</t>
        </is>
      </c>
      <c r="E745" s="24" t="inlineStr">
        <is>
          <t>NCAAF</t>
        </is>
      </c>
      <c r="F745" s="24" t="inlineStr">
        <is>
          <t>Eastern Michigan Eagles</t>
        </is>
      </c>
      <c r="G745" s="24" t="inlineStr">
        <is>
          <t>Massachusetts Minutemen</t>
        </is>
      </c>
      <c r="H745" s="24" t="inlineStr">
        <is>
          <t>total</t>
        </is>
      </c>
      <c r="I745" s="24" t="inlineStr">
        <is>
          <t>over</t>
        </is>
      </c>
      <c r="J745" s="25" t="n">
        <v>48.5</v>
      </c>
      <c r="K745" s="24" t="inlineStr">
        <is>
          <t>espn_consensus</t>
        </is>
      </c>
      <c r="L745" s="26" t="n">
        <v>-115</v>
      </c>
      <c r="M745" s="27" t="n">
        <v>1.869565</v>
      </c>
      <c r="N745" s="28" t="n">
        <v>0.534884</v>
      </c>
      <c r="O745" s="28" t="n">
        <v>0.552333</v>
      </c>
      <c r="P745" s="28" t="n">
        <v>0.165</v>
      </c>
      <c r="Q745" s="28" t="n">
        <v>0.017449</v>
      </c>
      <c r="R745" s="26" t="n">
        <v>0</v>
      </c>
      <c r="S745" s="29" t="n">
        <v>1</v>
      </c>
      <c r="T745" s="24" t="inlineStr">
        <is>
          <t>cfb-total-v1</t>
        </is>
      </c>
      <c r="U745" s="24" t="inlineStr">
        <is>
          <t>settled</t>
        </is>
      </c>
      <c r="V745" s="24" t="inlineStr">
        <is>
          <t>win</t>
        </is>
      </c>
      <c r="W745" s="26" t="n">
        <v>38</v>
      </c>
      <c r="X745" s="26" t="n">
        <v>14</v>
      </c>
      <c r="Y745" s="25" t="n"/>
      <c r="Z745" s="26" t="n"/>
      <c r="AA745" s="28" t="n"/>
      <c r="AB745" s="28" t="n"/>
      <c r="AC745" s="30" t="n">
        <v>0.8696</v>
      </c>
      <c r="AD745" s="24" t="inlineStr">
        <is>
          <t>2026-10-04T20:39:47.016568Z</t>
        </is>
      </c>
      <c r="AE745" s="31" t="inlineStr">
        <is>
          <t>Projected total 53.6 pts (Weather adj: +0.0 pts). Total line 48.5 -&gt; P(Over)=0.552, P(Under)=0.448, P(Push)=0.000.</t>
        </is>
      </c>
      <c r="AF745" s="31" t="inlineStr">
        <is>
          <t>College football model; multi-market (moneyline, spread, total).</t>
        </is>
      </c>
      <c r="AG745" s="24" t="inlineStr">
        <is>
          <t>not_applicable</t>
        </is>
      </c>
      <c r="AH745" s="24" t="n"/>
      <c r="AI745" s="31" t="n"/>
      <c r="AJ745" s="31" t="n"/>
      <c r="AK745" s="24" t="inlineStr">
        <is>
          <t>paper_call</t>
        </is>
      </c>
      <c r="AL745" s="26" t="n">
        <v>4</v>
      </c>
      <c r="AM745" s="24" t="inlineStr">
        <is>
          <t>RESEARCH_OBSERVATION</t>
        </is>
      </c>
      <c r="AN745" s="24" t="inlineStr">
        <is>
          <t>CALL</t>
        </is>
      </c>
      <c r="AO745" s="24" t="inlineStr">
        <is>
          <t>PAPER_CALL_LOW_EDGE</t>
        </is>
      </c>
      <c r="AP745" s="24" t="inlineStr">
        <is>
          <t>Eastern Michigan Eagles</t>
        </is>
      </c>
      <c r="AQ745" s="24" t="inlineStr">
        <is>
          <t>Eastern Michigan Eagles</t>
        </is>
      </c>
      <c r="AR745" s="24" t="inlineStr">
        <is>
          <t>Eastern Michigan Eagles</t>
        </is>
      </c>
      <c r="AS745" s="24" t="inlineStr">
        <is>
          <t>Massachusetts Minutemen</t>
        </is>
      </c>
      <c r="AT745" s="24" t="inlineStr">
        <is>
          <t>Massachusetts Minutemen</t>
        </is>
      </c>
      <c r="AU745" s="24" t="inlineStr">
        <is>
          <t>Massachusetts Minutemen</t>
        </is>
      </c>
      <c r="AV745" s="24" t="n"/>
      <c r="AW745" s="24" t="n"/>
      <c r="AX745" s="24" t="inlineStr">
        <is>
          <t>statistical_model</t>
        </is>
      </c>
      <c r="AY745" s="24" t="n"/>
      <c r="AZ745" s="24" t="inlineStr">
        <is>
          <t>shadow_qualified</t>
        </is>
      </c>
      <c r="BA745" s="24" t="inlineStr">
        <is>
          <t>1d168f11d221cd3c</t>
        </is>
      </c>
      <c r="BB745" s="24" t="inlineStr">
        <is>
          <t>cfb_key_number_engine</t>
        </is>
      </c>
      <c r="BC745" s="24" t="inlineStr">
        <is>
          <t>cfb-total-v1</t>
        </is>
      </c>
      <c r="BD745" s="24" t="inlineStr">
        <is>
          <t>1d168f11d221cd3c</t>
        </is>
      </c>
      <c r="BE745" s="24" t="inlineStr">
        <is>
          <t>cfb-v1</t>
        </is>
      </c>
      <c r="BF745" s="24" t="inlineStr">
        <is>
          <t>1</t>
        </is>
      </c>
      <c r="BG745" s="24" t="inlineStr">
        <is>
          <t>1d168f11d221cd3c</t>
        </is>
      </c>
      <c r="BH745" s="24" t="inlineStr">
        <is>
          <t>2026-10-03T16:52:02.220681+00:00</t>
        </is>
      </c>
      <c r="BI745" s="24" t="inlineStr">
        <is>
          <t>["same_event","same_team_same_day","same_league_same_day"]</t>
        </is>
      </c>
      <c r="BJ745" s="25" t="n">
        <v>48.5</v>
      </c>
      <c r="BK745" s="26" t="n">
        <v>-115</v>
      </c>
      <c r="BL745" s="27" t="n">
        <v>1.869565</v>
      </c>
      <c r="BM745" s="28" t="n">
        <v>0.534884</v>
      </c>
      <c r="BN745" s="28" t="n"/>
      <c r="BO745" s="28" t="n"/>
      <c r="BP745" s="25" t="n"/>
      <c r="BQ745" s="27" t="n"/>
      <c r="BR745" s="28" t="n"/>
      <c r="BS745" s="28" t="n"/>
      <c r="BT745" s="28" t="n"/>
      <c r="BU745" s="25" t="n"/>
      <c r="BV745" s="29" t="n"/>
      <c r="BW745" s="24" t="n"/>
      <c r="BX745" s="30" t="n">
        <v>1</v>
      </c>
      <c r="BY745" s="27" t="n">
        <v>0.869565</v>
      </c>
      <c r="BZ745" s="24" t="inlineStr">
        <is>
          <t>2026-10-04T20:39:47.016568Z</t>
        </is>
      </c>
      <c r="CA745" s="31" t="inlineStr">
        <is>
          <t>fixed one-unit hypothetical scoring; no real exposure or execution</t>
        </is>
      </c>
      <c r="CB745" s="24" t="n"/>
      <c r="CC745" s="24" t="n"/>
      <c r="CD745" s="24" t="n"/>
      <c r="CE745" s="24" t="n"/>
      <c r="CF745" s="24" t="n"/>
      <c r="CG745" s="24" t="n"/>
      <c r="CH745" s="24" t="n"/>
      <c r="CI745" s="24" t="n"/>
      <c r="CJ745" s="24" t="n"/>
      <c r="CK745" s="24" t="n"/>
      <c r="CL745" s="24" t="n"/>
      <c r="CM745" s="24" t="n"/>
      <c r="CN745" s="24" t="n"/>
      <c r="CO745" s="24" t="n"/>
      <c r="CP745" s="24" t="n"/>
      <c r="CQ745" s="24" t="n"/>
      <c r="CR745" s="24" t="n"/>
      <c r="CS745" s="24" t="inlineStr">
        <is>
          <t>True</t>
        </is>
      </c>
      <c r="CT745" s="24" t="n"/>
      <c r="CU745" s="24" t="n"/>
      <c r="CV745" s="24" t="n"/>
      <c r="CW745" s="24" t="n"/>
      <c r="CX745" s="24" t="n"/>
      <c r="CY745" s="24" t="n"/>
      <c r="CZ745" s="24" t="n"/>
      <c r="DA745" s="24" t="n"/>
      <c r="DB745" s="24" t="n"/>
      <c r="DC745" s="24" t="n"/>
      <c r="DD745" s="24" t="n"/>
      <c r="DE745" s="24" t="n"/>
      <c r="DF745" s="24" t="n"/>
      <c r="DG745" s="24" t="n"/>
      <c r="DH745" s="24" t="n"/>
      <c r="DI745" s="24" t="n"/>
      <c r="DJ745" s="24" t="inlineStr">
        <is>
          <t>0.534884</t>
        </is>
      </c>
      <c r="DK745" s="24" t="n"/>
      <c r="DL745" s="24" t="n"/>
      <c r="DM745" s="24" t="n"/>
      <c r="DN745" s="24" t="n"/>
      <c r="DO745" s="24" t="n"/>
      <c r="DP745" s="24" t="n"/>
      <c r="DQ745" s="24" t="inlineStr">
        <is>
          <t>{"artifact_hash": "1d168f11d221cd3c", "event_id": "401866433", "event_start_utc": "2026-10-03T19:30Z", "features": {"altitude_fatigue_penalty": 0.0, "away_team": "Eastern Michigan Eagles", "efficiency_gap": 1.065, "elo_away": 1339.9, "elo_home": 1129.7, "elo_home_win_prob": 0.3024, "event_id": "401866433", "game_start_utc": "2026-10-03T19:30Z", "home_field_advantage_points": 2.8, "home_team": "Massachusetts Minutemen", "is_dome": false, "is_fbs_vs_fcs": false, "is_neutral_site": false, "projected_away_points": 29.4, "projected_home_points": 24.1, "projected_margin_home": -5.3, "projected_possessions": 12.4, "projected_total": 53.6, "stadium_elevation_ft": 230, "travel_distance_miles": 566.0, "uncertainty": 0.165, "weather_total_adjustment": 0.0}, "historical_source_observation_times_verified": false, "inference_inputs": {"engine_source_sha256": "449ba2f0e86fa9c445730076a0e0bf100fb4914620be53c75c6f3bfe24298f3f", "mu_away": 29.4, "mu_home": 24.1,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65717334866312053641929476551702948488}, "uinteger": 0}, "spread_home_line": -5.5, "total_line": 48.5}, "market_type": "total", "model_version": "cfb-total-v1", "observed_at_utc": "2026-10-03T16:52:02.220681+00:00", "probabilities": {"over": 0.552333, "push": 0.0, "under": 0.447667}, "replay_scope": "Full precision score means, exact engine parameters and original RNG state; upstream feature construction not certified.", "schema": "cfb-joint-replay-v1", "snapshot_hash": "f44f37a111b0c08a089fefadfdc0222e792f37f8b3626f086d66608bbbe9eeda", "sport": "NCAAF"}</t>
        </is>
      </c>
    </row>
    <row r="746" ht="36" customHeight="1">
      <c r="A746" s="24" t="inlineStr">
        <is>
          <t>8f71d894f8d342d7</t>
        </is>
      </c>
      <c r="B746" s="24" t="inlineStr">
        <is>
          <t>2026-10-03T16:52:02.220681Z</t>
        </is>
      </c>
      <c r="C746" s="24" t="inlineStr">
        <is>
          <t>2026-10-03T19:30Z</t>
        </is>
      </c>
      <c r="D746" s="24" t="inlineStr">
        <is>
          <t>401866434</t>
        </is>
      </c>
      <c r="E746" s="24" t="inlineStr">
        <is>
          <t>NCAAF</t>
        </is>
      </c>
      <c r="F746" s="24" t="inlineStr">
        <is>
          <t>Ohio Bobcats</t>
        </is>
      </c>
      <c r="G746" s="24" t="inlineStr">
        <is>
          <t>Kent State Golden Flashes</t>
        </is>
      </c>
      <c r="H746" s="24" t="inlineStr">
        <is>
          <t>moneyline</t>
        </is>
      </c>
      <c r="I746" s="24" t="inlineStr">
        <is>
          <t>away</t>
        </is>
      </c>
      <c r="J746" s="25" t="n"/>
      <c r="K746" s="24" t="inlineStr">
        <is>
          <t>espn_consensus</t>
        </is>
      </c>
      <c r="L746" s="26" t="n">
        <v>-175</v>
      </c>
      <c r="M746" s="27" t="n">
        <v>1.571429</v>
      </c>
      <c r="N746" s="28" t="n">
        <v>0.636364</v>
      </c>
      <c r="O746" s="28" t="n">
        <v>0.726936</v>
      </c>
      <c r="P746" s="28" t="n">
        <v>0.165</v>
      </c>
      <c r="Q746" s="28" t="n">
        <v>0.090572</v>
      </c>
      <c r="R746" s="26" t="n">
        <v>0</v>
      </c>
      <c r="S746" s="29" t="n">
        <v>1</v>
      </c>
      <c r="T746" s="24" t="inlineStr">
        <is>
          <t>college-football-v1</t>
        </is>
      </c>
      <c r="U746" s="24" t="inlineStr">
        <is>
          <t>settled</t>
        </is>
      </c>
      <c r="V746" s="24" t="inlineStr">
        <is>
          <t>win</t>
        </is>
      </c>
      <c r="W746" s="26" t="n">
        <v>13</v>
      </c>
      <c r="X746" s="26" t="n">
        <v>10</v>
      </c>
      <c r="Y746" s="25" t="n"/>
      <c r="Z746" s="26" t="n"/>
      <c r="AA746" s="28" t="n"/>
      <c r="AB746" s="28" t="n"/>
      <c r="AC746" s="30" t="n">
        <v>0.5714</v>
      </c>
      <c r="AD746" s="24" t="inlineStr">
        <is>
          <t>2026-10-04T20:39:52.127095Z</t>
        </is>
      </c>
      <c r="AE746" s="31" t="inlineStr">
        <is>
          <t>CFB Joint Model (negative_binomial): proj score Ohio Bobcats 31.0 @ Kent State Golden Flashes 20.0 (Margin -11.0). Possessions: 12.4, HFA: +2.8 pts.</t>
        </is>
      </c>
      <c r="AF746" s="31" t="inlineStr">
        <is>
          <t>College football model; multi-market (moneyline, spread, total).</t>
        </is>
      </c>
      <c r="AG746" s="24" t="inlineStr">
        <is>
          <t>not_applicable</t>
        </is>
      </c>
      <c r="AH746" s="24" t="n"/>
      <c r="AI746" s="31" t="n"/>
      <c r="AJ746" s="31" t="n"/>
      <c r="AK746" s="24" t="inlineStr">
        <is>
          <t>model_qualified</t>
        </is>
      </c>
      <c r="AL746" s="26" t="n">
        <v>4</v>
      </c>
      <c r="AM746" s="24" t="inlineStr">
        <is>
          <t>QUALIFIED_SHADOW_CALL</t>
        </is>
      </c>
      <c r="AN746" s="24" t="inlineStr">
        <is>
          <t>CALL</t>
        </is>
      </c>
      <c r="AO746" s="24" t="inlineStr">
        <is>
          <t>QUALIFIED</t>
        </is>
      </c>
      <c r="AP746" s="24" t="inlineStr">
        <is>
          <t>Ohio Bobcats</t>
        </is>
      </c>
      <c r="AQ746" s="24" t="inlineStr">
        <is>
          <t>Ohio Bobcats</t>
        </is>
      </c>
      <c r="AR746" s="24" t="inlineStr">
        <is>
          <t>Ohio Bobcats</t>
        </is>
      </c>
      <c r="AS746" s="24" t="inlineStr">
        <is>
          <t>Kent State Golden Flashes</t>
        </is>
      </c>
      <c r="AT746" s="24" t="inlineStr">
        <is>
          <t>Kent State Golden Flashes</t>
        </is>
      </c>
      <c r="AU746" s="24" t="inlineStr">
        <is>
          <t>Kent State Golden Flashes</t>
        </is>
      </c>
      <c r="AV746" s="24" t="n"/>
      <c r="AW746" s="24" t="n"/>
      <c r="AX746" s="24" t="inlineStr">
        <is>
          <t>statistical_model</t>
        </is>
      </c>
      <c r="AY746" s="24" t="n"/>
      <c r="AZ746" s="24" t="inlineStr">
        <is>
          <t>shadow_qualified</t>
        </is>
      </c>
      <c r="BA746" s="24" t="inlineStr">
        <is>
          <t>1d168f11d221cd3c</t>
        </is>
      </c>
      <c r="BB746" s="24" t="inlineStr">
        <is>
          <t>cfb_key_number_engine</t>
        </is>
      </c>
      <c r="BC746" s="24" t="inlineStr">
        <is>
          <t>college-football-v1</t>
        </is>
      </c>
      <c r="BD746" s="24" t="inlineStr">
        <is>
          <t>1d168f11d221cd3c</t>
        </is>
      </c>
      <c r="BE746" s="24" t="inlineStr">
        <is>
          <t>cfb-v1</t>
        </is>
      </c>
      <c r="BF746" s="24" t="inlineStr">
        <is>
          <t>1</t>
        </is>
      </c>
      <c r="BG746" s="24" t="inlineStr">
        <is>
          <t>1d168f11d221cd3c</t>
        </is>
      </c>
      <c r="BH746" s="24" t="inlineStr">
        <is>
          <t>2026-10-03T16:52:02.220681+00:00</t>
        </is>
      </c>
      <c r="BI746" s="24" t="inlineStr">
        <is>
          <t>["same_event","same_team_same_day","same_league_same_day"]</t>
        </is>
      </c>
      <c r="BJ746" s="25" t="n"/>
      <c r="BK746" s="26" t="n">
        <v>-175</v>
      </c>
      <c r="BL746" s="27" t="n">
        <v>1.571429</v>
      </c>
      <c r="BM746" s="28" t="n">
        <v>0.636364</v>
      </c>
      <c r="BN746" s="28" t="n"/>
      <c r="BO746" s="28" t="n"/>
      <c r="BP746" s="25" t="n"/>
      <c r="BQ746" s="27" t="n"/>
      <c r="BR746" s="28" t="n"/>
      <c r="BS746" s="28" t="n"/>
      <c r="BT746" s="28" t="n"/>
      <c r="BU746" s="25" t="n"/>
      <c r="BV746" s="29" t="n"/>
      <c r="BW746" s="24" t="n"/>
      <c r="BX746" s="30" t="n"/>
      <c r="BY746" s="27" t="n"/>
      <c r="BZ746" s="24" t="n"/>
      <c r="CA746" s="31" t="n"/>
      <c r="CB746" s="24" t="n"/>
      <c r="CC746" s="24" t="n"/>
      <c r="CD746" s="24" t="n"/>
      <c r="CE746" s="24" t="n"/>
      <c r="CF746" s="24" t="n"/>
      <c r="CG746" s="24" t="n"/>
      <c r="CH746" s="24" t="n"/>
      <c r="CI746" s="24" t="n"/>
      <c r="CJ746" s="24" t="n"/>
      <c r="CK746" s="24" t="n"/>
      <c r="CL746" s="24" t="n"/>
      <c r="CM746" s="24" t="n"/>
      <c r="CN746" s="24" t="n"/>
      <c r="CO746" s="24" t="n"/>
      <c r="CP746" s="24" t="n"/>
      <c r="CQ746" s="24" t="n"/>
      <c r="CR746" s="24" t="n"/>
      <c r="CS746" s="24" t="inlineStr">
        <is>
          <t>True</t>
        </is>
      </c>
      <c r="CT746" s="24" t="n"/>
      <c r="CU746" s="24" t="n"/>
      <c r="CV746" s="24" t="n"/>
      <c r="CW746" s="24" t="n"/>
      <c r="CX746" s="24" t="n"/>
      <c r="CY746" s="24" t="n"/>
      <c r="CZ746" s="24" t="n"/>
      <c r="DA746" s="24" t="n"/>
      <c r="DB746" s="24" t="n"/>
      <c r="DC746" s="24" t="n"/>
      <c r="DD746" s="24" t="n"/>
      <c r="DE746" s="24" t="n"/>
      <c r="DF746" s="24" t="n"/>
      <c r="DG746" s="24" t="n"/>
      <c r="DH746" s="24" t="n"/>
      <c r="DI746" s="24" t="n"/>
      <c r="DJ746" s="24" t="inlineStr">
        <is>
          <t>0.636364</t>
        </is>
      </c>
      <c r="DK746" s="24" t="n"/>
      <c r="DL746" s="24" t="n"/>
      <c r="DM746" s="24" t="n"/>
      <c r="DN746" s="24" t="n"/>
      <c r="DO746" s="24" t="n"/>
      <c r="DP746" s="24" t="n"/>
      <c r="DQ746" s="24" t="inlineStr">
        <is>
          <t>{"artifact_hash": "1d168f11d221cd3c", "event_id": "401866434", "event_start_utc": "2026-10-03T19:30Z", "features": {"altitude_fatigue_penalty": 0.0, "away_team": "Ohio Bobcats", "efficiency_gap": -1.403, "elo_away": 1618.6, "elo_home": 1278.2, "elo_home_win_prob": 0.17, "event_id": "401866434", "game_start_utc": "2026-10-03T19:30Z", "home_field_advantage_points": 2.8, "home_team": "Kent State Golden Flashes", "is_dome": false, "is_fbs_vs_fcs": false, "is_neutral_site": false, "projected_away_points": 31.0, "projected_home_points": 20.0, "projected_margin_home": -11.0, "projected_possessions": 12.4, "projected_total": 51.0, "stadium_elevation_ft": 1070, "travel_distance_miles": 132.0, "uncertainty": 0.165, "weather_total_adjustment": 0.0}, "historical_source_observation_times_verified": false, "inference_inputs": {"engine_source_sha256": "449ba2f0e86fa9c445730076a0e0bf100fb4914620be53c75c6f3bfe24298f3f", "mu_away": 31.0, "mu_home": 20.0,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72030360479946920148692523735040280759}, "uinteger": 0}, "spread_home_line": 3.5, "total_line": 50.5}, "market_type": "moneyline", "model_version": "college-football-v1", "observed_at_utc": "2026-10-03T16:52:02.220681+00:00", "probabilities": {"away": 0.726936, "home": 0.273064}, "replay_scope": "Full precision score means, exact engine parameters and original RNG state; upstream feature construction not certified.", "schema": "cfb-joint-replay-v1", "snapshot_hash": "3fe598fd3b0f7f7c2c5f2893b38c84846f98390998033ac098694c9d373fefef", "sport": "NCAAF"}</t>
        </is>
      </c>
    </row>
    <row r="747" ht="36" customHeight="1">
      <c r="A747" s="24" t="inlineStr">
        <is>
          <t>59ec24750f964095</t>
        </is>
      </c>
      <c r="B747" s="24" t="inlineStr">
        <is>
          <t>2026-10-03T16:52:02.220681Z</t>
        </is>
      </c>
      <c r="C747" s="24" t="inlineStr">
        <is>
          <t>2026-10-03T19:30Z</t>
        </is>
      </c>
      <c r="D747" s="24" t="inlineStr">
        <is>
          <t>401866434</t>
        </is>
      </c>
      <c r="E747" s="24" t="inlineStr">
        <is>
          <t>NCAAF</t>
        </is>
      </c>
      <c r="F747" s="24" t="inlineStr">
        <is>
          <t>Ohio Bobcats</t>
        </is>
      </c>
      <c r="G747" s="24" t="inlineStr">
        <is>
          <t>Kent State Golden Flashes</t>
        </is>
      </c>
      <c r="H747" s="24" t="inlineStr">
        <is>
          <t>spread</t>
        </is>
      </c>
      <c r="I747" s="24" t="inlineStr">
        <is>
          <t>away</t>
        </is>
      </c>
      <c r="J747" s="25" t="n">
        <v>-3.5</v>
      </c>
      <c r="K747" s="24" t="inlineStr">
        <is>
          <t>espn_consensus</t>
        </is>
      </c>
      <c r="L747" s="26" t="n">
        <v>-108</v>
      </c>
      <c r="M747" s="27" t="n">
        <v>1.925926</v>
      </c>
      <c r="N747" s="28" t="n">
        <v>0.519231</v>
      </c>
      <c r="O747" s="28" t="n">
        <v>0.661267</v>
      </c>
      <c r="P747" s="28" t="n">
        <v>0.165</v>
      </c>
      <c r="Q747" s="28" t="n">
        <v>0.142036</v>
      </c>
      <c r="R747" s="26" t="n">
        <v>22</v>
      </c>
      <c r="S747" s="29" t="n">
        <v>1</v>
      </c>
      <c r="T747" s="24" t="inlineStr">
        <is>
          <t>cfb-spread-v1</t>
        </is>
      </c>
      <c r="U747" s="24" t="inlineStr">
        <is>
          <t>settled</t>
        </is>
      </c>
      <c r="V747" s="24" t="inlineStr">
        <is>
          <t>loss</t>
        </is>
      </c>
      <c r="W747" s="26" t="n">
        <v>13</v>
      </c>
      <c r="X747" s="26" t="n">
        <v>10</v>
      </c>
      <c r="Y747" s="25" t="n"/>
      <c r="Z747" s="26" t="n"/>
      <c r="AA747" s="28" t="n"/>
      <c r="AB747" s="28" t="n"/>
      <c r="AC747" s="30" t="n">
        <v>-1</v>
      </c>
      <c r="AD747" s="24" t="inlineStr">
        <is>
          <t>2026-10-04T20:39:56.900677Z</t>
        </is>
      </c>
      <c r="AE747" s="31" t="inlineStr">
        <is>
          <t>Projected home margin -11.0 pts. Spread: Home +3.5 / Away -3.5 -&gt; P(Away cover)=0.661, P(Home cover)=0.339, P(Push)=0.000.</t>
        </is>
      </c>
      <c r="AF747" s="31" t="inlineStr">
        <is>
          <t>College football model; multi-market (moneyline, spread, total).</t>
        </is>
      </c>
      <c r="AG747" s="24" t="inlineStr">
        <is>
          <t>review_required</t>
        </is>
      </c>
      <c r="AH747" s="24" t="n"/>
      <c r="AI747" s="31" t="n"/>
      <c r="AJ747" s="31" t="n"/>
      <c r="AK747" s="24" t="inlineStr">
        <is>
          <t>model_qualified</t>
        </is>
      </c>
      <c r="AL747" s="26" t="n">
        <v>4</v>
      </c>
      <c r="AM747" s="24" t="inlineStr">
        <is>
          <t>QUALIFIED_SHADOW_CALL</t>
        </is>
      </c>
      <c r="AN747" s="24" t="inlineStr">
        <is>
          <t>CALL</t>
        </is>
      </c>
      <c r="AO747" s="24" t="inlineStr">
        <is>
          <t>QUALIFIED</t>
        </is>
      </c>
      <c r="AP747" s="24" t="inlineStr">
        <is>
          <t>Ohio Bobcats</t>
        </is>
      </c>
      <c r="AQ747" s="24" t="inlineStr">
        <is>
          <t>Ohio Bobcats</t>
        </is>
      </c>
      <c r="AR747" s="24" t="inlineStr">
        <is>
          <t>Ohio Bobcats</t>
        </is>
      </c>
      <c r="AS747" s="24" t="inlineStr">
        <is>
          <t>Kent State Golden Flashes</t>
        </is>
      </c>
      <c r="AT747" s="24" t="inlineStr">
        <is>
          <t>Kent State Golden Flashes</t>
        </is>
      </c>
      <c r="AU747" s="24" t="inlineStr">
        <is>
          <t>Kent State Golden Flashes</t>
        </is>
      </c>
      <c r="AV747" s="24" t="n"/>
      <c r="AW747" s="24" t="n"/>
      <c r="AX747" s="24" t="inlineStr">
        <is>
          <t>statistical_model</t>
        </is>
      </c>
      <c r="AY747" s="24" t="n"/>
      <c r="AZ747" s="24" t="inlineStr">
        <is>
          <t>shadow_qualified</t>
        </is>
      </c>
      <c r="BA747" s="24" t="inlineStr">
        <is>
          <t>1d168f11d221cd3c</t>
        </is>
      </c>
      <c r="BB747" s="24" t="inlineStr">
        <is>
          <t>cfb_key_number_engine</t>
        </is>
      </c>
      <c r="BC747" s="24" t="inlineStr">
        <is>
          <t>cfb-spread-v1</t>
        </is>
      </c>
      <c r="BD747" s="24" t="inlineStr">
        <is>
          <t>1d168f11d221cd3c</t>
        </is>
      </c>
      <c r="BE747" s="24" t="inlineStr">
        <is>
          <t>cfb-v1</t>
        </is>
      </c>
      <c r="BF747" s="24" t="inlineStr">
        <is>
          <t>1</t>
        </is>
      </c>
      <c r="BG747" s="24" t="inlineStr">
        <is>
          <t>1d168f11d221cd3c</t>
        </is>
      </c>
      <c r="BH747" s="24" t="inlineStr">
        <is>
          <t>2026-10-03T16:52:02.220681+00:00</t>
        </is>
      </c>
      <c r="BI747" s="24" t="inlineStr">
        <is>
          <t>["same_event","same_team_same_day","same_league_same_day"]</t>
        </is>
      </c>
      <c r="BJ747" s="25" t="n">
        <v>-3.5</v>
      </c>
      <c r="BK747" s="26" t="n">
        <v>-108</v>
      </c>
      <c r="BL747" s="27" t="n">
        <v>1.925926</v>
      </c>
      <c r="BM747" s="28" t="n">
        <v>0.519231</v>
      </c>
      <c r="BN747" s="28" t="n"/>
      <c r="BO747" s="28" t="n"/>
      <c r="BP747" s="25" t="n"/>
      <c r="BQ747" s="27" t="n"/>
      <c r="BR747" s="28" t="n"/>
      <c r="BS747" s="28" t="n"/>
      <c r="BT747" s="28" t="n"/>
      <c r="BU747" s="25" t="n"/>
      <c r="BV747" s="29" t="n"/>
      <c r="BW747" s="24" t="n"/>
      <c r="BX747" s="30" t="n"/>
      <c r="BY747" s="27" t="n"/>
      <c r="BZ747" s="24" t="n"/>
      <c r="CA747" s="31" t="n"/>
      <c r="CB747" s="24" t="n"/>
      <c r="CC747" s="24" t="n"/>
      <c r="CD747" s="24" t="n"/>
      <c r="CE747" s="24" t="n"/>
      <c r="CF747" s="24" t="n"/>
      <c r="CG747" s="24" t="n"/>
      <c r="CH747" s="24" t="n"/>
      <c r="CI747" s="24" t="n"/>
      <c r="CJ747" s="24" t="n"/>
      <c r="CK747" s="24" t="n"/>
      <c r="CL747" s="24" t="n"/>
      <c r="CM747" s="24" t="n"/>
      <c r="CN747" s="24" t="n"/>
      <c r="CO747" s="24" t="n"/>
      <c r="CP747" s="24" t="n"/>
      <c r="CQ747" s="24" t="n"/>
      <c r="CR747" s="24" t="n"/>
      <c r="CS747" s="24" t="inlineStr">
        <is>
          <t>True</t>
        </is>
      </c>
      <c r="CT747" s="24" t="n"/>
      <c r="CU747" s="24" t="n"/>
      <c r="CV747" s="24" t="n"/>
      <c r="CW747" s="24" t="n"/>
      <c r="CX747" s="24" t="n"/>
      <c r="CY747" s="24" t="n"/>
      <c r="CZ747" s="24" t="n"/>
      <c r="DA747" s="24" t="n"/>
      <c r="DB747" s="24" t="n"/>
      <c r="DC747" s="24" t="n"/>
      <c r="DD747" s="24" t="n"/>
      <c r="DE747" s="24" t="n"/>
      <c r="DF747" s="24" t="n"/>
      <c r="DG747" s="24" t="n"/>
      <c r="DH747" s="24" t="n"/>
      <c r="DI747" s="24" t="n"/>
      <c r="DJ747" s="24" t="inlineStr">
        <is>
          <t>0.519231</t>
        </is>
      </c>
      <c r="DK747" s="24" t="n"/>
      <c r="DL747" s="24" t="n"/>
      <c r="DM747" s="24" t="n"/>
      <c r="DN747" s="24" t="n"/>
      <c r="DO747" s="24" t="n"/>
      <c r="DP747" s="24" t="n"/>
      <c r="DQ747" s="24" t="inlineStr">
        <is>
          <t>{"artifact_hash": "1d168f11d221cd3c", "event_id": "401866434", "event_start_utc": "2026-10-03T19:30Z", "features": {"altitude_fatigue_penalty": 0.0, "away_team": "Ohio Bobcats", "efficiency_gap": -1.403, "elo_away": 1618.6, "elo_home": 1278.2, "elo_home_win_prob": 0.17, "event_id": "401866434", "game_start_utc": "2026-10-03T19:30Z", "home_field_advantage_points": 2.8, "home_team": "Kent State Golden Flashes", "is_dome": false, "is_fbs_vs_fcs": false, "is_neutral_site": false, "projected_away_points": 31.0, "projected_home_points": 20.0, "projected_margin_home": -11.0, "projected_possessions": 12.4, "projected_total": 51.0, "stadium_elevation_ft": 1070, "travel_distance_miles": 132.0, "uncertainty": 0.165, "weather_total_adjustment": 0.0}, "historical_source_observation_times_verified": false, "inference_inputs": {"engine_source_sha256": "449ba2f0e86fa9c445730076a0e0bf100fb4914620be53c75c6f3bfe24298f3f", "mu_away": 31.0, "mu_home": 20.0,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72030360479946920148692523735040280759}, "uinteger": 0}, "spread_home_line": 3.5, "total_line": 50.5}, "market_type": "spread", "model_version": "cfb-spread-v1", "observed_at_utc": "2026-10-03T16:52:02.220681+00:00", "probabilities": {"away": 0.661267, "home": 0.338733, "push": 0.0}, "replay_scope": "Full precision score means, exact engine parameters and original RNG state; upstream feature construction not certified.", "schema": "cfb-joint-replay-v1", "snapshot_hash": "930e16f3071c50b99e8050a538abbab9555efb0c82960934442cafc74dd9588d", "sport": "NCAAF"}</t>
        </is>
      </c>
    </row>
    <row r="748" ht="36" customHeight="1">
      <c r="A748" s="24" t="inlineStr">
        <is>
          <t>e28a5d3168b843b6</t>
        </is>
      </c>
      <c r="B748" s="24" t="inlineStr">
        <is>
          <t>2026-10-03T16:52:02.220681Z</t>
        </is>
      </c>
      <c r="C748" s="24" t="inlineStr">
        <is>
          <t>2026-10-03T19:30Z</t>
        </is>
      </c>
      <c r="D748" s="24" t="inlineStr">
        <is>
          <t>401866434</t>
        </is>
      </c>
      <c r="E748" s="24" t="inlineStr">
        <is>
          <t>NCAAF</t>
        </is>
      </c>
      <c r="F748" s="24" t="inlineStr">
        <is>
          <t>Ohio Bobcats</t>
        </is>
      </c>
      <c r="G748" s="24" t="inlineStr">
        <is>
          <t>Kent State Golden Flashes</t>
        </is>
      </c>
      <c r="H748" s="24" t="inlineStr">
        <is>
          <t>total</t>
        </is>
      </c>
      <c r="I748" s="24" t="inlineStr">
        <is>
          <t>under</t>
        </is>
      </c>
      <c r="J748" s="25" t="n">
        <v>50.5</v>
      </c>
      <c r="K748" s="24" t="inlineStr">
        <is>
          <t>espn_consensus</t>
        </is>
      </c>
      <c r="L748" s="26" t="n">
        <v>-108</v>
      </c>
      <c r="M748" s="27" t="n">
        <v>1.925926</v>
      </c>
      <c r="N748" s="28" t="n">
        <v>0.519231</v>
      </c>
      <c r="O748" s="28" t="n">
        <v>0.527</v>
      </c>
      <c r="P748" s="28" t="n">
        <v>0.165</v>
      </c>
      <c r="Q748" s="28" t="n">
        <v>0.007769</v>
      </c>
      <c r="R748" s="26" t="n">
        <v>0</v>
      </c>
      <c r="S748" s="29" t="n">
        <v>1</v>
      </c>
      <c r="T748" s="24" t="inlineStr">
        <is>
          <t>cfb-total-v1</t>
        </is>
      </c>
      <c r="U748" s="24" t="inlineStr">
        <is>
          <t>settled</t>
        </is>
      </c>
      <c r="V748" s="24" t="inlineStr">
        <is>
          <t>win</t>
        </is>
      </c>
      <c r="W748" s="26" t="n">
        <v>13</v>
      </c>
      <c r="X748" s="26" t="n">
        <v>10</v>
      </c>
      <c r="Y748" s="25" t="n"/>
      <c r="Z748" s="26" t="n"/>
      <c r="AA748" s="28" t="n"/>
      <c r="AB748" s="28" t="n"/>
      <c r="AC748" s="30" t="n">
        <v>0.9258999999999999</v>
      </c>
      <c r="AD748" s="24" t="inlineStr">
        <is>
          <t>2026-10-04T20:40:01.822874Z</t>
        </is>
      </c>
      <c r="AE748" s="31" t="inlineStr">
        <is>
          <t>Projected total 51.0 pts (Weather adj: +0.0 pts). Total line 50.5 -&gt; P(Over)=0.473, P(Under)=0.527, P(Push)=0.000.</t>
        </is>
      </c>
      <c r="AF748" s="31" t="inlineStr">
        <is>
          <t>College football model; multi-market (moneyline, spread, total).</t>
        </is>
      </c>
      <c r="AG748" s="24" t="inlineStr">
        <is>
          <t>not_applicable</t>
        </is>
      </c>
      <c r="AH748" s="24" t="n"/>
      <c r="AI748" s="31" t="n"/>
      <c r="AJ748" s="31" t="n"/>
      <c r="AK748" s="24" t="inlineStr">
        <is>
          <t>paper_call</t>
        </is>
      </c>
      <c r="AL748" s="26" t="n">
        <v>4</v>
      </c>
      <c r="AM748" s="24" t="inlineStr">
        <is>
          <t>RESEARCH_OBSERVATION</t>
        </is>
      </c>
      <c r="AN748" s="24" t="inlineStr">
        <is>
          <t>CALL</t>
        </is>
      </c>
      <c r="AO748" s="24" t="inlineStr">
        <is>
          <t>PAPER_CALL_LOW_EDGE</t>
        </is>
      </c>
      <c r="AP748" s="24" t="inlineStr">
        <is>
          <t>Ohio Bobcats</t>
        </is>
      </c>
      <c r="AQ748" s="24" t="inlineStr">
        <is>
          <t>Ohio Bobcats</t>
        </is>
      </c>
      <c r="AR748" s="24" t="inlineStr">
        <is>
          <t>Ohio Bobcats</t>
        </is>
      </c>
      <c r="AS748" s="24" t="inlineStr">
        <is>
          <t>Kent State Golden Flashes</t>
        </is>
      </c>
      <c r="AT748" s="24" t="inlineStr">
        <is>
          <t>Kent State Golden Flashes</t>
        </is>
      </c>
      <c r="AU748" s="24" t="inlineStr">
        <is>
          <t>Kent State Golden Flashes</t>
        </is>
      </c>
      <c r="AV748" s="24" t="n"/>
      <c r="AW748" s="24" t="n"/>
      <c r="AX748" s="24" t="inlineStr">
        <is>
          <t>statistical_model</t>
        </is>
      </c>
      <c r="AY748" s="24" t="n"/>
      <c r="AZ748" s="24" t="inlineStr">
        <is>
          <t>shadow_qualified</t>
        </is>
      </c>
      <c r="BA748" s="24" t="inlineStr">
        <is>
          <t>1d168f11d221cd3c</t>
        </is>
      </c>
      <c r="BB748" s="24" t="inlineStr">
        <is>
          <t>cfb_key_number_engine</t>
        </is>
      </c>
      <c r="BC748" s="24" t="inlineStr">
        <is>
          <t>cfb-total-v1</t>
        </is>
      </c>
      <c r="BD748" s="24" t="inlineStr">
        <is>
          <t>1d168f11d221cd3c</t>
        </is>
      </c>
      <c r="BE748" s="24" t="inlineStr">
        <is>
          <t>cfb-v1</t>
        </is>
      </c>
      <c r="BF748" s="24" t="inlineStr">
        <is>
          <t>1</t>
        </is>
      </c>
      <c r="BG748" s="24" t="inlineStr">
        <is>
          <t>1d168f11d221cd3c</t>
        </is>
      </c>
      <c r="BH748" s="24" t="inlineStr">
        <is>
          <t>2026-10-03T16:52:02.220681+00:00</t>
        </is>
      </c>
      <c r="BI748" s="24" t="inlineStr">
        <is>
          <t>["same_event","same_team_same_day","same_league_same_day"]</t>
        </is>
      </c>
      <c r="BJ748" s="25" t="n">
        <v>50.5</v>
      </c>
      <c r="BK748" s="26" t="n">
        <v>-108</v>
      </c>
      <c r="BL748" s="27" t="n">
        <v>1.925926</v>
      </c>
      <c r="BM748" s="28" t="n">
        <v>0.519231</v>
      </c>
      <c r="BN748" s="28" t="n"/>
      <c r="BO748" s="28" t="n"/>
      <c r="BP748" s="25" t="n"/>
      <c r="BQ748" s="27" t="n"/>
      <c r="BR748" s="28" t="n"/>
      <c r="BS748" s="28" t="n"/>
      <c r="BT748" s="28" t="n"/>
      <c r="BU748" s="25" t="n"/>
      <c r="BV748" s="29" t="n"/>
      <c r="BW748" s="24" t="n"/>
      <c r="BX748" s="30" t="n">
        <v>1</v>
      </c>
      <c r="BY748" s="27" t="n">
        <v>0.925926</v>
      </c>
      <c r="BZ748" s="24" t="inlineStr">
        <is>
          <t>2026-10-04T20:40:01.822874Z</t>
        </is>
      </c>
      <c r="CA748" s="31" t="inlineStr">
        <is>
          <t>fixed one-unit hypothetical scoring; no real exposure or execution</t>
        </is>
      </c>
      <c r="CB748" s="24" t="n"/>
      <c r="CC748" s="24" t="n"/>
      <c r="CD748" s="24" t="n"/>
      <c r="CE748" s="24" t="n"/>
      <c r="CF748" s="24" t="n"/>
      <c r="CG748" s="24" t="n"/>
      <c r="CH748" s="24" t="n"/>
      <c r="CI748" s="24" t="n"/>
      <c r="CJ748" s="24" t="n"/>
      <c r="CK748" s="24" t="n"/>
      <c r="CL748" s="24" t="n"/>
      <c r="CM748" s="24" t="n"/>
      <c r="CN748" s="24" t="n"/>
      <c r="CO748" s="24" t="n"/>
      <c r="CP748" s="24" t="n"/>
      <c r="CQ748" s="24" t="n"/>
      <c r="CR748" s="24" t="n"/>
      <c r="CS748" s="24" t="inlineStr">
        <is>
          <t>True</t>
        </is>
      </c>
      <c r="CT748" s="24" t="n"/>
      <c r="CU748" s="24" t="n"/>
      <c r="CV748" s="24" t="n"/>
      <c r="CW748" s="24" t="n"/>
      <c r="CX748" s="24" t="n"/>
      <c r="CY748" s="24" t="n"/>
      <c r="CZ748" s="24" t="n"/>
      <c r="DA748" s="24" t="n"/>
      <c r="DB748" s="24" t="n"/>
      <c r="DC748" s="24" t="n"/>
      <c r="DD748" s="24" t="n"/>
      <c r="DE748" s="24" t="n"/>
      <c r="DF748" s="24" t="n"/>
      <c r="DG748" s="24" t="n"/>
      <c r="DH748" s="24" t="n"/>
      <c r="DI748" s="24" t="n"/>
      <c r="DJ748" s="24" t="inlineStr">
        <is>
          <t>0.519231</t>
        </is>
      </c>
      <c r="DK748" s="24" t="n"/>
      <c r="DL748" s="24" t="n"/>
      <c r="DM748" s="24" t="n"/>
      <c r="DN748" s="24" t="n"/>
      <c r="DO748" s="24" t="n"/>
      <c r="DP748" s="24" t="n"/>
      <c r="DQ748" s="24" t="inlineStr">
        <is>
          <t>{"artifact_hash": "1d168f11d221cd3c", "event_id": "401866434", "event_start_utc": "2026-10-03T19:30Z", "features": {"altitude_fatigue_penalty": 0.0, "away_team": "Ohio Bobcats", "efficiency_gap": -1.403, "elo_away": 1618.6, "elo_home": 1278.2, "elo_home_win_prob": 0.17, "event_id": "401866434", "game_start_utc": "2026-10-03T19:30Z", "home_field_advantage_points": 2.8, "home_team": "Kent State Golden Flashes", "is_dome": false, "is_fbs_vs_fcs": false, "is_neutral_site": false, "projected_away_points": 31.0, "projected_home_points": 20.0, "projected_margin_home": -11.0, "projected_possessions": 12.4, "projected_total": 51.0, "stadium_elevation_ft": 1070, "travel_distance_miles": 132.0, "uncertainty": 0.165, "weather_total_adjustment": 0.0}, "historical_source_observation_times_verified": false, "inference_inputs": {"engine_source_sha256": "449ba2f0e86fa9c445730076a0e0bf100fb4914620be53c75c6f3bfe24298f3f", "mu_away": 31.0, "mu_home": 20.0,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72030360479946920148692523735040280759}, "uinteger": 0}, "spread_home_line": 3.5, "total_line": 50.5}, "market_type": "total", "model_version": "cfb-total-v1", "observed_at_utc": "2026-10-03T16:52:02.220681+00:00", "probabilities": {"over": 0.473, "push": 0.0, "under": 0.527}, "replay_scope": "Full precision score means, exact engine parameters and original RNG state; upstream feature construction not certified.", "schema": "cfb-joint-replay-v1", "snapshot_hash": "c25ac5743d4d098da3dc1f5576fec5f877be56d5bf21f3a3c12484573819d9fd", "sport": "NCAAF"}</t>
        </is>
      </c>
    </row>
    <row r="749" ht="36" customHeight="1">
      <c r="A749" s="24" t="inlineStr">
        <is>
          <t>73953dd2a2db45fd</t>
        </is>
      </c>
      <c r="B749" s="24" t="inlineStr">
        <is>
          <t>2026-10-03T16:52:02.220681Z</t>
        </is>
      </c>
      <c r="C749" s="24" t="inlineStr">
        <is>
          <t>2026-10-03T19:30Z</t>
        </is>
      </c>
      <c r="D749" s="24" t="inlineStr">
        <is>
          <t>401866477</t>
        </is>
      </c>
      <c r="E749" s="24" t="inlineStr">
        <is>
          <t>NCAAF</t>
        </is>
      </c>
      <c r="F749" s="24" t="inlineStr">
        <is>
          <t>Bowling Green Falcons</t>
        </is>
      </c>
      <c r="G749" s="24" t="inlineStr">
        <is>
          <t>Miami (OH) RedHawks</t>
        </is>
      </c>
      <c r="H749" s="24" t="inlineStr">
        <is>
          <t>moneyline</t>
        </is>
      </c>
      <c r="I749" s="24" t="inlineStr">
        <is>
          <t>home</t>
        </is>
      </c>
      <c r="J749" s="25" t="n"/>
      <c r="K749" s="24" t="inlineStr">
        <is>
          <t>espn_consensus</t>
        </is>
      </c>
      <c r="L749" s="26" t="n">
        <v>-470</v>
      </c>
      <c r="M749" s="27" t="n">
        <v>1.212766</v>
      </c>
      <c r="N749" s="28" t="n">
        <v>0.824561</v>
      </c>
      <c r="O749" s="28" t="n">
        <v>0.547648</v>
      </c>
      <c r="P749" s="28" t="n">
        <v>0.18</v>
      </c>
      <c r="Q749" s="28" t="n">
        <v>-0.276913</v>
      </c>
      <c r="R749" s="26" t="n">
        <v>0</v>
      </c>
      <c r="S749" s="29" t="n">
        <v>1</v>
      </c>
      <c r="T749" s="24" t="inlineStr">
        <is>
          <t>college-football-v1</t>
        </is>
      </c>
      <c r="U749" s="24" t="inlineStr">
        <is>
          <t>settled</t>
        </is>
      </c>
      <c r="V749" s="24" t="inlineStr">
        <is>
          <t>loss</t>
        </is>
      </c>
      <c r="W749" s="26" t="n">
        <v>24</v>
      </c>
      <c r="X749" s="26" t="n">
        <v>20</v>
      </c>
      <c r="Y749" s="25" t="n"/>
      <c r="Z749" s="26" t="n"/>
      <c r="AA749" s="28" t="n"/>
      <c r="AB749" s="28" t="n"/>
      <c r="AC749" s="30" t="n">
        <v>-1</v>
      </c>
      <c r="AD749" s="24" t="inlineStr">
        <is>
          <t>2026-10-04T20:40:06.426231Z</t>
        </is>
      </c>
      <c r="AE749" s="31" t="inlineStr">
        <is>
          <t>CFB Joint Model (negative_binomial): proj score Bowling Green Falcons 25.0 @ Miami (OH) RedHawks 27.2 (Margin +2.2). Possessions: 12.4, HFA: +2.8 pts.</t>
        </is>
      </c>
      <c r="AF749" s="31" t="inlineStr">
        <is>
          <t>College football model; multi-market (moneyline, spread, total).</t>
        </is>
      </c>
      <c r="AG749" s="24" t="inlineStr">
        <is>
          <t>review_required</t>
        </is>
      </c>
      <c r="AH749" s="24" t="n"/>
      <c r="AI749" s="31" t="n"/>
      <c r="AJ749" s="31" t="n"/>
      <c r="AK749" s="24" t="inlineStr">
        <is>
          <t>paper_call</t>
        </is>
      </c>
      <c r="AL749" s="26" t="n">
        <v>4</v>
      </c>
      <c r="AM749" s="24" t="inlineStr">
        <is>
          <t>RESEARCH_OBSERVATION</t>
        </is>
      </c>
      <c r="AN749" s="24" t="inlineStr">
        <is>
          <t>CALL</t>
        </is>
      </c>
      <c r="AO749" s="24" t="inlineStr">
        <is>
          <t>PAPER_CALL_LOW_EDGE</t>
        </is>
      </c>
      <c r="AP749" s="24" t="inlineStr">
        <is>
          <t>Bowling Green Falcons</t>
        </is>
      </c>
      <c r="AQ749" s="24" t="inlineStr">
        <is>
          <t>Bowling Green Falcons</t>
        </is>
      </c>
      <c r="AR749" s="24" t="inlineStr">
        <is>
          <t>Bowling Green Falcons</t>
        </is>
      </c>
      <c r="AS749" s="24" t="inlineStr">
        <is>
          <t>Miami (OH) RedHawks</t>
        </is>
      </c>
      <c r="AT749" s="24" t="inlineStr">
        <is>
          <t>Miami (OH) RedHawks</t>
        </is>
      </c>
      <c r="AU749" s="24" t="inlineStr">
        <is>
          <t>Miami (OH) RedHawks</t>
        </is>
      </c>
      <c r="AV749" s="24" t="n"/>
      <c r="AW749" s="24" t="n"/>
      <c r="AX749" s="24" t="inlineStr">
        <is>
          <t>statistical_model</t>
        </is>
      </c>
      <c r="AY749" s="24" t="n"/>
      <c r="AZ749" s="24" t="inlineStr">
        <is>
          <t>shadow_qualified</t>
        </is>
      </c>
      <c r="BA749" s="24" t="inlineStr">
        <is>
          <t>1d168f11d221cd3c</t>
        </is>
      </c>
      <c r="BB749" s="24" t="inlineStr">
        <is>
          <t>cfb_key_number_engine</t>
        </is>
      </c>
      <c r="BC749" s="24" t="inlineStr">
        <is>
          <t>college-football-v1</t>
        </is>
      </c>
      <c r="BD749" s="24" t="inlineStr">
        <is>
          <t>1d168f11d221cd3c</t>
        </is>
      </c>
      <c r="BE749" s="24" t="inlineStr">
        <is>
          <t>cfb-v1</t>
        </is>
      </c>
      <c r="BF749" s="24" t="inlineStr">
        <is>
          <t>1</t>
        </is>
      </c>
      <c r="BG749" s="24" t="inlineStr">
        <is>
          <t>1d168f11d221cd3c</t>
        </is>
      </c>
      <c r="BH749" s="24" t="inlineStr">
        <is>
          <t>2026-10-03T16:52:02.220681+00:00</t>
        </is>
      </c>
      <c r="BI749" s="24" t="inlineStr">
        <is>
          <t>["same_event","same_team_same_day","same_league_same_day"]</t>
        </is>
      </c>
      <c r="BJ749" s="25" t="n"/>
      <c r="BK749" s="26" t="n">
        <v>-470</v>
      </c>
      <c r="BL749" s="27" t="n">
        <v>1.212766</v>
      </c>
      <c r="BM749" s="28" t="n">
        <v>0.824561</v>
      </c>
      <c r="BN749" s="28" t="n"/>
      <c r="BO749" s="28" t="n"/>
      <c r="BP749" s="25" t="n"/>
      <c r="BQ749" s="27" t="n"/>
      <c r="BR749" s="28" t="n"/>
      <c r="BS749" s="28" t="n"/>
      <c r="BT749" s="28" t="n"/>
      <c r="BU749" s="25" t="n"/>
      <c r="BV749" s="29" t="n"/>
      <c r="BW749" s="24" t="n"/>
      <c r="BX749" s="30" t="n">
        <v>1</v>
      </c>
      <c r="BY749" s="27" t="n">
        <v>-1</v>
      </c>
      <c r="BZ749" s="24" t="inlineStr">
        <is>
          <t>2026-10-04T20:40:06.426231Z</t>
        </is>
      </c>
      <c r="CA749" s="31" t="inlineStr">
        <is>
          <t>fixed one-unit hypothetical scoring; no real exposure or execution</t>
        </is>
      </c>
      <c r="CB749" s="24" t="n"/>
      <c r="CC749" s="24" t="n"/>
      <c r="CD749" s="24" t="n"/>
      <c r="CE749" s="24" t="n"/>
      <c r="CF749" s="24" t="n"/>
      <c r="CG749" s="24" t="n"/>
      <c r="CH749" s="24" t="n"/>
      <c r="CI749" s="24" t="n"/>
      <c r="CJ749" s="24" t="n"/>
      <c r="CK749" s="24" t="n"/>
      <c r="CL749" s="24" t="n"/>
      <c r="CM749" s="24" t="n"/>
      <c r="CN749" s="24" t="n"/>
      <c r="CO749" s="24" t="n"/>
      <c r="CP749" s="24" t="n"/>
      <c r="CQ749" s="24" t="n"/>
      <c r="CR749" s="24" t="n"/>
      <c r="CS749" s="24" t="inlineStr">
        <is>
          <t>False</t>
        </is>
      </c>
      <c r="CT749" s="24" t="n"/>
      <c r="CU749" s="24" t="n"/>
      <c r="CV749" s="24" t="n"/>
      <c r="CW749" s="24" t="n"/>
      <c r="CX749" s="24" t="n"/>
      <c r="CY749" s="24" t="n"/>
      <c r="CZ749" s="24" t="n"/>
      <c r="DA749" s="24" t="n"/>
      <c r="DB749" s="24" t="n"/>
      <c r="DC749" s="24" t="n"/>
      <c r="DD749" s="24" t="n"/>
      <c r="DE749" s="24" t="n"/>
      <c r="DF749" s="24" t="n"/>
      <c r="DG749" s="24" t="n"/>
      <c r="DH749" s="24" t="n"/>
      <c r="DI749" s="24" t="n"/>
      <c r="DJ749" s="24" t="inlineStr">
        <is>
          <t>0.824561</t>
        </is>
      </c>
      <c r="DK749" s="24" t="n"/>
      <c r="DL749" s="24" t="n"/>
      <c r="DM749" s="24" t="n"/>
      <c r="DN749" s="24" t="n"/>
      <c r="DO749" s="24" t="n"/>
      <c r="DP749" s="24" t="n"/>
      <c r="DQ749" s="24" t="inlineStr">
        <is>
          <t>{"artifact_hash": "1d168f11d221cd3c", "event_id": "401866477", "event_start_utc": "2026-10-03T19:30Z", "features": {"altitude_fatigue_penalty": 0.0, "away_team": "Bowling Green Falcons", "efficiency_gap": -1.863, "elo_away": 1389.6, "elo_home": 1378.8, "elo_home_win_prob": 0.5773, "event_id": "401866477", "game_start_utc": "2026-10-03T19:30Z", "home_field_advantage_points": 2.8, "home_team": "Miami (OH) RedHawks", "is_dome": false, "is_fbs_vs_fcs": false, "is_neutral_site": false, "projected_away_points": 25.0, "projected_home_points": 27.2, "projected_margin_home": 2.2, "projected_possessions": 12.4, "projected_total": 52.1, "stadium_elevation_ft": 920, "travel_distance_miles": 141.0, "uncertainty": 0.18, "weather_total_adjustment": 0.0}, "historical_source_observation_times_verified": false, "inference_inputs": {"engine_source_sha256": "449ba2f0e86fa9c445730076a0e0bf100fb4914620be53c75c6f3bfe24298f3f", "mu_away": 25.0, "mu_home": 27.2,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83705736482463036065637562370346222195}, "uinteger": 0}, "spread_home_line": -10.5, "total_line": 41.5}, "market_type": "moneyline", "model_version": "college-football-v1", "observed_at_utc": "2026-10-03T16:52:02.220681+00:00", "probabilities": {"away": 0.452352, "home": 0.547648}, "replay_scope": "Full precision score means, exact engine parameters and original RNG state; upstream feature construction not certified.", "schema": "cfb-joint-replay-v1", "snapshot_hash": "820c6a156bbbe031e787fe9bd56bac166c1b89407fd3b49976b92dc02b4d5c84", "sport": "NCAAF"}</t>
        </is>
      </c>
    </row>
    <row r="750" ht="36" customHeight="1">
      <c r="A750" s="24" t="inlineStr">
        <is>
          <t>154393a73cea4a14</t>
        </is>
      </c>
      <c r="B750" s="24" t="inlineStr">
        <is>
          <t>2026-10-03T16:52:02.220681Z</t>
        </is>
      </c>
      <c r="C750" s="24" t="inlineStr">
        <is>
          <t>2026-10-03T19:30Z</t>
        </is>
      </c>
      <c r="D750" s="24" t="inlineStr">
        <is>
          <t>401866477</t>
        </is>
      </c>
      <c r="E750" s="24" t="inlineStr">
        <is>
          <t>NCAAF</t>
        </is>
      </c>
      <c r="F750" s="24" t="inlineStr">
        <is>
          <t>Bowling Green Falcons</t>
        </is>
      </c>
      <c r="G750" s="24" t="inlineStr">
        <is>
          <t>Miami (OH) RedHawks</t>
        </is>
      </c>
      <c r="H750" s="24" t="inlineStr">
        <is>
          <t>spread</t>
        </is>
      </c>
      <c r="I750" s="24" t="inlineStr">
        <is>
          <t>away</t>
        </is>
      </c>
      <c r="J750" s="25" t="n">
        <v>10.5</v>
      </c>
      <c r="K750" s="24" t="inlineStr">
        <is>
          <t>espn_consensus</t>
        </is>
      </c>
      <c r="L750" s="26" t="n">
        <v>-110</v>
      </c>
      <c r="M750" s="27" t="n">
        <v>1.909091</v>
      </c>
      <c r="N750" s="28" t="n">
        <v>0.52381</v>
      </c>
      <c r="O750" s="28" t="n">
        <v>0.669933</v>
      </c>
      <c r="P750" s="28" t="n">
        <v>0.18</v>
      </c>
      <c r="Q750" s="28" t="n">
        <v>0.146123</v>
      </c>
      <c r="R750" s="26" t="n">
        <v>15</v>
      </c>
      <c r="S750" s="29" t="n">
        <v>1</v>
      </c>
      <c r="T750" s="24" t="inlineStr">
        <is>
          <t>cfb-spread-v1</t>
        </is>
      </c>
      <c r="U750" s="24" t="inlineStr">
        <is>
          <t>settled</t>
        </is>
      </c>
      <c r="V750" s="24" t="inlineStr">
        <is>
          <t>win</t>
        </is>
      </c>
      <c r="W750" s="26" t="n">
        <v>24</v>
      </c>
      <c r="X750" s="26" t="n">
        <v>20</v>
      </c>
      <c r="Y750" s="25" t="n"/>
      <c r="Z750" s="26" t="n"/>
      <c r="AA750" s="28" t="n"/>
      <c r="AB750" s="28" t="n"/>
      <c r="AC750" s="30" t="n">
        <v>0.9091</v>
      </c>
      <c r="AD750" s="24" t="inlineStr">
        <is>
          <t>2026-10-04T20:40:11.037811Z</t>
        </is>
      </c>
      <c r="AE750" s="31" t="inlineStr">
        <is>
          <t>Projected home margin +2.2 pts. Spread: Home -10.5 / Away +10.5 -&gt; P(Away cover)=0.670, P(Home cover)=0.330, P(Push)=0.000.</t>
        </is>
      </c>
      <c r="AF750" s="31" t="inlineStr">
        <is>
          <t>College football model; multi-market (moneyline, spread, total).</t>
        </is>
      </c>
      <c r="AG750" s="24" t="inlineStr">
        <is>
          <t>not_applicable</t>
        </is>
      </c>
      <c r="AH750" s="24" t="n"/>
      <c r="AI750" s="31" t="n"/>
      <c r="AJ750" s="31" t="n"/>
      <c r="AK750" s="24" t="inlineStr">
        <is>
          <t>model_qualified</t>
        </is>
      </c>
      <c r="AL750" s="26" t="n">
        <v>4</v>
      </c>
      <c r="AM750" s="24" t="inlineStr">
        <is>
          <t>QUALIFIED_SHADOW_CALL</t>
        </is>
      </c>
      <c r="AN750" s="24" t="inlineStr">
        <is>
          <t>CALL</t>
        </is>
      </c>
      <c r="AO750" s="24" t="inlineStr">
        <is>
          <t>QUALIFIED</t>
        </is>
      </c>
      <c r="AP750" s="24" t="inlineStr">
        <is>
          <t>Bowling Green Falcons</t>
        </is>
      </c>
      <c r="AQ750" s="24" t="inlineStr">
        <is>
          <t>Bowling Green Falcons</t>
        </is>
      </c>
      <c r="AR750" s="24" t="inlineStr">
        <is>
          <t>Bowling Green Falcons</t>
        </is>
      </c>
      <c r="AS750" s="24" t="inlineStr">
        <is>
          <t>Miami (OH) RedHawks</t>
        </is>
      </c>
      <c r="AT750" s="24" t="inlineStr">
        <is>
          <t>Miami (OH) RedHawks</t>
        </is>
      </c>
      <c r="AU750" s="24" t="inlineStr">
        <is>
          <t>Miami (OH) RedHawks</t>
        </is>
      </c>
      <c r="AV750" s="24" t="n"/>
      <c r="AW750" s="24" t="n"/>
      <c r="AX750" s="24" t="inlineStr">
        <is>
          <t>statistical_model</t>
        </is>
      </c>
      <c r="AY750" s="24" t="n"/>
      <c r="AZ750" s="24" t="inlineStr">
        <is>
          <t>shadow_qualified</t>
        </is>
      </c>
      <c r="BA750" s="24" t="inlineStr">
        <is>
          <t>1d168f11d221cd3c</t>
        </is>
      </c>
      <c r="BB750" s="24" t="inlineStr">
        <is>
          <t>cfb_key_number_engine</t>
        </is>
      </c>
      <c r="BC750" s="24" t="inlineStr">
        <is>
          <t>cfb-spread-v1</t>
        </is>
      </c>
      <c r="BD750" s="24" t="inlineStr">
        <is>
          <t>1d168f11d221cd3c</t>
        </is>
      </c>
      <c r="BE750" s="24" t="inlineStr">
        <is>
          <t>cfb-v1</t>
        </is>
      </c>
      <c r="BF750" s="24" t="inlineStr">
        <is>
          <t>1</t>
        </is>
      </c>
      <c r="BG750" s="24" t="inlineStr">
        <is>
          <t>1d168f11d221cd3c</t>
        </is>
      </c>
      <c r="BH750" s="24" t="inlineStr">
        <is>
          <t>2026-10-03T16:52:02.220681+00:00</t>
        </is>
      </c>
      <c r="BI750" s="24" t="inlineStr">
        <is>
          <t>["same_event","same_team_same_day","same_league_same_day"]</t>
        </is>
      </c>
      <c r="BJ750" s="25" t="n">
        <v>10.5</v>
      </c>
      <c r="BK750" s="26" t="n">
        <v>-110</v>
      </c>
      <c r="BL750" s="27" t="n">
        <v>1.909091</v>
      </c>
      <c r="BM750" s="28" t="n">
        <v>0.52381</v>
      </c>
      <c r="BN750" s="28" t="n"/>
      <c r="BO750" s="28" t="n"/>
      <c r="BP750" s="25" t="n"/>
      <c r="BQ750" s="27" t="n"/>
      <c r="BR750" s="28" t="n"/>
      <c r="BS750" s="28" t="n"/>
      <c r="BT750" s="28" t="n"/>
      <c r="BU750" s="25" t="n"/>
      <c r="BV750" s="29" t="n"/>
      <c r="BW750" s="24" t="n"/>
      <c r="BX750" s="30" t="n"/>
      <c r="BY750" s="27" t="n"/>
      <c r="BZ750" s="24" t="n"/>
      <c r="CA750" s="31" t="n"/>
      <c r="CB750" s="24" t="n"/>
      <c r="CC750" s="24" t="n"/>
      <c r="CD750" s="24" t="n"/>
      <c r="CE750" s="24" t="n"/>
      <c r="CF750" s="24" t="n"/>
      <c r="CG750" s="24" t="n"/>
      <c r="CH750" s="24" t="n"/>
      <c r="CI750" s="24" t="n"/>
      <c r="CJ750" s="24" t="n"/>
      <c r="CK750" s="24" t="n"/>
      <c r="CL750" s="24" t="n"/>
      <c r="CM750" s="24" t="n"/>
      <c r="CN750" s="24" t="n"/>
      <c r="CO750" s="24" t="n"/>
      <c r="CP750" s="24" t="n"/>
      <c r="CQ750" s="24" t="n"/>
      <c r="CR750" s="24" t="n"/>
      <c r="CS750" s="24" t="inlineStr">
        <is>
          <t>True</t>
        </is>
      </c>
      <c r="CT750" s="24" t="n"/>
      <c r="CU750" s="24" t="n"/>
      <c r="CV750" s="24" t="n"/>
      <c r="CW750" s="24" t="n"/>
      <c r="CX750" s="24" t="n"/>
      <c r="CY750" s="24" t="n"/>
      <c r="CZ750" s="24" t="n"/>
      <c r="DA750" s="24" t="n"/>
      <c r="DB750" s="24" t="n"/>
      <c r="DC750" s="24" t="n"/>
      <c r="DD750" s="24" t="n"/>
      <c r="DE750" s="24" t="n"/>
      <c r="DF750" s="24" t="n"/>
      <c r="DG750" s="24" t="n"/>
      <c r="DH750" s="24" t="n"/>
      <c r="DI750" s="24" t="n"/>
      <c r="DJ750" s="24" t="inlineStr">
        <is>
          <t>0.52381</t>
        </is>
      </c>
      <c r="DK750" s="24" t="n"/>
      <c r="DL750" s="24" t="n"/>
      <c r="DM750" s="24" t="n"/>
      <c r="DN750" s="24" t="n"/>
      <c r="DO750" s="24" t="n"/>
      <c r="DP750" s="24" t="n"/>
      <c r="DQ750" s="24" t="inlineStr">
        <is>
          <t>{"artifact_hash": "1d168f11d221cd3c", "event_id": "401866477", "event_start_utc": "2026-10-03T19:30Z", "features": {"altitude_fatigue_penalty": 0.0, "away_team": "Bowling Green Falcons", "efficiency_gap": -1.863, "elo_away": 1389.6, "elo_home": 1378.8, "elo_home_win_prob": 0.5773, "event_id": "401866477", "game_start_utc": "2026-10-03T19:30Z", "home_field_advantage_points": 2.8, "home_team": "Miami (OH) RedHawks", "is_dome": false, "is_fbs_vs_fcs": false, "is_neutral_site": false, "projected_away_points": 25.0, "projected_home_points": 27.2, "projected_margin_home": 2.2, "projected_possessions": 12.4, "projected_total": 52.1, "stadium_elevation_ft": 920, "travel_distance_miles": 141.0, "uncertainty": 0.18, "weather_total_adjustment": 0.0}, "historical_source_observation_times_verified": false, "inference_inputs": {"engine_source_sha256": "449ba2f0e86fa9c445730076a0e0bf100fb4914620be53c75c6f3bfe24298f3f", "mu_away": 25.0, "mu_home": 27.2,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83705736482463036065637562370346222195}, "uinteger": 0}, "spread_home_line": -10.5, "total_line": 41.5}, "market_type": "spread", "model_version": "cfb-spread-v1", "observed_at_utc": "2026-10-03T16:52:02.220681+00:00", "probabilities": {"away": 0.669933, "home": 0.330067, "push": 0.0}, "replay_scope": "Full precision score means, exact engine parameters and original RNG state; upstream feature construction not certified.", "schema": "cfb-joint-replay-v1", "snapshot_hash": "3858fd276fb2766c12bc2570fa547e416727f90c888b826216078c9f8f4972c2", "sport": "NCAAF"}</t>
        </is>
      </c>
    </row>
    <row r="751" ht="36" customHeight="1">
      <c r="A751" s="24" t="inlineStr">
        <is>
          <t>17345886f01f49f8</t>
        </is>
      </c>
      <c r="B751" s="24" t="inlineStr">
        <is>
          <t>2026-10-03T16:52:02.220681Z</t>
        </is>
      </c>
      <c r="C751" s="24" t="inlineStr">
        <is>
          <t>2026-10-03T19:30Z</t>
        </is>
      </c>
      <c r="D751" s="24" t="inlineStr">
        <is>
          <t>401866477</t>
        </is>
      </c>
      <c r="E751" s="24" t="inlineStr">
        <is>
          <t>NCAAF</t>
        </is>
      </c>
      <c r="F751" s="24" t="inlineStr">
        <is>
          <t>Bowling Green Falcons</t>
        </is>
      </c>
      <c r="G751" s="24" t="inlineStr">
        <is>
          <t>Miami (OH) RedHawks</t>
        </is>
      </c>
      <c r="H751" s="24" t="inlineStr">
        <is>
          <t>total</t>
        </is>
      </c>
      <c r="I751" s="24" t="inlineStr">
        <is>
          <t>over</t>
        </is>
      </c>
      <c r="J751" s="25" t="n">
        <v>41.5</v>
      </c>
      <c r="K751" s="24" t="inlineStr">
        <is>
          <t>espn_consensus</t>
        </is>
      </c>
      <c r="L751" s="26" t="n">
        <v>-108</v>
      </c>
      <c r="M751" s="27" t="n">
        <v>1.925926</v>
      </c>
      <c r="N751" s="28" t="n">
        <v>0.519231</v>
      </c>
      <c r="O751" s="28" t="n">
        <v>0.637333</v>
      </c>
      <c r="P751" s="28" t="n">
        <v>0.18</v>
      </c>
      <c r="Q751" s="28" t="n">
        <v>0.118102</v>
      </c>
      <c r="R751" s="26" t="n">
        <v>1</v>
      </c>
      <c r="S751" s="29" t="n">
        <v>1</v>
      </c>
      <c r="T751" s="24" t="inlineStr">
        <is>
          <t>cfb-total-v1</t>
        </is>
      </c>
      <c r="U751" s="24" t="inlineStr">
        <is>
          <t>settled</t>
        </is>
      </c>
      <c r="V751" s="24" t="inlineStr">
        <is>
          <t>win</t>
        </is>
      </c>
      <c r="W751" s="26" t="n">
        <v>24</v>
      </c>
      <c r="X751" s="26" t="n">
        <v>20</v>
      </c>
      <c r="Y751" s="25" t="n"/>
      <c r="Z751" s="26" t="n"/>
      <c r="AA751" s="28" t="n"/>
      <c r="AB751" s="28" t="n"/>
      <c r="AC751" s="30" t="n">
        <v>0.9258999999999999</v>
      </c>
      <c r="AD751" s="24" t="inlineStr">
        <is>
          <t>2026-10-04T20:40:15.947579Z</t>
        </is>
      </c>
      <c r="AE751" s="31" t="inlineStr">
        <is>
          <t>Projected total 52.1 pts (Weather adj: +0.0 pts). Total line 41.5 -&gt; P(Over)=0.637, P(Under)=0.363, P(Push)=0.000.</t>
        </is>
      </c>
      <c r="AF751" s="31" t="inlineStr">
        <is>
          <t>College football model; multi-market (moneyline, spread, total).</t>
        </is>
      </c>
      <c r="AG751" s="24" t="inlineStr">
        <is>
          <t>not_applicable</t>
        </is>
      </c>
      <c r="AH751" s="24" t="n"/>
      <c r="AI751" s="31" t="n"/>
      <c r="AJ751" s="31" t="n"/>
      <c r="AK751" s="24" t="inlineStr">
        <is>
          <t>model_qualified</t>
        </is>
      </c>
      <c r="AL751" s="26" t="n">
        <v>4</v>
      </c>
      <c r="AM751" s="24" t="inlineStr">
        <is>
          <t>QUALIFIED_SHADOW_CALL</t>
        </is>
      </c>
      <c r="AN751" s="24" t="inlineStr">
        <is>
          <t>CALL</t>
        </is>
      </c>
      <c r="AO751" s="24" t="inlineStr">
        <is>
          <t>QUALIFIED</t>
        </is>
      </c>
      <c r="AP751" s="24" t="inlineStr">
        <is>
          <t>Bowling Green Falcons</t>
        </is>
      </c>
      <c r="AQ751" s="24" t="inlineStr">
        <is>
          <t>Bowling Green Falcons</t>
        </is>
      </c>
      <c r="AR751" s="24" t="inlineStr">
        <is>
          <t>Bowling Green Falcons</t>
        </is>
      </c>
      <c r="AS751" s="24" t="inlineStr">
        <is>
          <t>Miami (OH) RedHawks</t>
        </is>
      </c>
      <c r="AT751" s="24" t="inlineStr">
        <is>
          <t>Miami (OH) RedHawks</t>
        </is>
      </c>
      <c r="AU751" s="24" t="inlineStr">
        <is>
          <t>Miami (OH) RedHawks</t>
        </is>
      </c>
      <c r="AV751" s="24" t="n"/>
      <c r="AW751" s="24" t="n"/>
      <c r="AX751" s="24" t="inlineStr">
        <is>
          <t>statistical_model</t>
        </is>
      </c>
      <c r="AY751" s="24" t="n"/>
      <c r="AZ751" s="24" t="inlineStr">
        <is>
          <t>shadow_qualified</t>
        </is>
      </c>
      <c r="BA751" s="24" t="inlineStr">
        <is>
          <t>1d168f11d221cd3c</t>
        </is>
      </c>
      <c r="BB751" s="24" t="inlineStr">
        <is>
          <t>cfb_key_number_engine</t>
        </is>
      </c>
      <c r="BC751" s="24" t="inlineStr">
        <is>
          <t>cfb-total-v1</t>
        </is>
      </c>
      <c r="BD751" s="24" t="inlineStr">
        <is>
          <t>1d168f11d221cd3c</t>
        </is>
      </c>
      <c r="BE751" s="24" t="inlineStr">
        <is>
          <t>cfb-v1</t>
        </is>
      </c>
      <c r="BF751" s="24" t="inlineStr">
        <is>
          <t>1</t>
        </is>
      </c>
      <c r="BG751" s="24" t="inlineStr">
        <is>
          <t>1d168f11d221cd3c</t>
        </is>
      </c>
      <c r="BH751" s="24" t="inlineStr">
        <is>
          <t>2026-10-03T16:52:02.220681+00:00</t>
        </is>
      </c>
      <c r="BI751" s="24" t="inlineStr">
        <is>
          <t>["same_event","same_team_same_day","same_league_same_day"]</t>
        </is>
      </c>
      <c r="BJ751" s="25" t="n">
        <v>41.5</v>
      </c>
      <c r="BK751" s="26" t="n">
        <v>-108</v>
      </c>
      <c r="BL751" s="27" t="n">
        <v>1.925926</v>
      </c>
      <c r="BM751" s="28" t="n">
        <v>0.519231</v>
      </c>
      <c r="BN751" s="28" t="n"/>
      <c r="BO751" s="28" t="n"/>
      <c r="BP751" s="25" t="n"/>
      <c r="BQ751" s="27" t="n"/>
      <c r="BR751" s="28" t="n"/>
      <c r="BS751" s="28" t="n"/>
      <c r="BT751" s="28" t="n"/>
      <c r="BU751" s="25" t="n"/>
      <c r="BV751" s="29" t="n"/>
      <c r="BW751" s="24" t="n"/>
      <c r="BX751" s="30" t="n"/>
      <c r="BY751" s="27" t="n"/>
      <c r="BZ751" s="24" t="n"/>
      <c r="CA751" s="31" t="n"/>
      <c r="CB751" s="24" t="n"/>
      <c r="CC751" s="24" t="n"/>
      <c r="CD751" s="24" t="n"/>
      <c r="CE751" s="24" t="n"/>
      <c r="CF751" s="24" t="n"/>
      <c r="CG751" s="24" t="n"/>
      <c r="CH751" s="24" t="n"/>
      <c r="CI751" s="24" t="n"/>
      <c r="CJ751" s="24" t="n"/>
      <c r="CK751" s="24" t="n"/>
      <c r="CL751" s="24" t="n"/>
      <c r="CM751" s="24" t="n"/>
      <c r="CN751" s="24" t="n"/>
      <c r="CO751" s="24" t="n"/>
      <c r="CP751" s="24" t="n"/>
      <c r="CQ751" s="24" t="n"/>
      <c r="CR751" s="24" t="n"/>
      <c r="CS751" s="24" t="inlineStr">
        <is>
          <t>True</t>
        </is>
      </c>
      <c r="CT751" s="24" t="n"/>
      <c r="CU751" s="24" t="n"/>
      <c r="CV751" s="24" t="n"/>
      <c r="CW751" s="24" t="n"/>
      <c r="CX751" s="24" t="n"/>
      <c r="CY751" s="24" t="n"/>
      <c r="CZ751" s="24" t="n"/>
      <c r="DA751" s="24" t="n"/>
      <c r="DB751" s="24" t="n"/>
      <c r="DC751" s="24" t="n"/>
      <c r="DD751" s="24" t="n"/>
      <c r="DE751" s="24" t="n"/>
      <c r="DF751" s="24" t="n"/>
      <c r="DG751" s="24" t="n"/>
      <c r="DH751" s="24" t="n"/>
      <c r="DI751" s="24" t="n"/>
      <c r="DJ751" s="24" t="inlineStr">
        <is>
          <t>0.519231</t>
        </is>
      </c>
      <c r="DK751" s="24" t="n"/>
      <c r="DL751" s="24" t="n"/>
      <c r="DM751" s="24" t="n"/>
      <c r="DN751" s="24" t="n"/>
      <c r="DO751" s="24" t="n"/>
      <c r="DP751" s="24" t="n"/>
      <c r="DQ751" s="24" t="inlineStr">
        <is>
          <t>{"artifact_hash": "1d168f11d221cd3c", "event_id": "401866477", "event_start_utc": "2026-10-03T19:30Z", "features": {"altitude_fatigue_penalty": 0.0, "away_team": "Bowling Green Falcons", "efficiency_gap": -1.863, "elo_away": 1389.6, "elo_home": 1378.8, "elo_home_win_prob": 0.5773, "event_id": "401866477", "game_start_utc": "2026-10-03T19:30Z", "home_field_advantage_points": 2.8, "home_team": "Miami (OH) RedHawks", "is_dome": false, "is_fbs_vs_fcs": false, "is_neutral_site": false, "projected_away_points": 25.0, "projected_home_points": 27.2, "projected_margin_home": 2.2, "projected_possessions": 12.4, "projected_total": 52.1, "stadium_elevation_ft": 920, "travel_distance_miles": 141.0, "uncertainty": 0.18, "weather_total_adjustment": 0.0}, "historical_source_observation_times_verified": false, "inference_inputs": {"engine_source_sha256": "449ba2f0e86fa9c445730076a0e0bf100fb4914620be53c75c6f3bfe24298f3f", "mu_away": 25.0, "mu_home": 27.2,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83705736482463036065637562370346222195}, "uinteger": 0}, "spread_home_line": -10.5, "total_line": 41.5}, "market_type": "total", "model_version": "cfb-total-v1", "observed_at_utc": "2026-10-03T16:52:02.220681+00:00", "probabilities": {"over": 0.637333, "push": 0.0, "under": 0.362667}, "replay_scope": "Full precision score means, exact engine parameters and original RNG state; upstream feature construction not certified.", "schema": "cfb-joint-replay-v1", "snapshot_hash": "7d2d9cf0b10776af99c1f77fa29fcaf173362c8abfb57ce2a430a11479db8abd", "sport": "NCAAF"}</t>
        </is>
      </c>
    </row>
    <row r="752" ht="36" customHeight="1">
      <c r="A752" s="24" t="inlineStr">
        <is>
          <t>ca6d13da262343da</t>
        </is>
      </c>
      <c r="B752" s="24" t="inlineStr">
        <is>
          <t>2026-10-03T16:52:02.220681Z</t>
        </is>
      </c>
      <c r="C752" s="24" t="inlineStr">
        <is>
          <t>2026-10-03T19:30Z</t>
        </is>
      </c>
      <c r="D752" s="24" t="inlineStr">
        <is>
          <t>401869956</t>
        </is>
      </c>
      <c r="E752" s="24" t="inlineStr">
        <is>
          <t>NCAAF</t>
        </is>
      </c>
      <c r="F752" s="24" t="inlineStr">
        <is>
          <t>Old Dominion Monarchs</t>
        </is>
      </c>
      <c r="G752" s="24" t="inlineStr">
        <is>
          <t>Georgia State Panthers</t>
        </is>
      </c>
      <c r="H752" s="24" t="inlineStr">
        <is>
          <t>moneyline</t>
        </is>
      </c>
      <c r="I752" s="24" t="inlineStr">
        <is>
          <t>away</t>
        </is>
      </c>
      <c r="J752" s="25" t="n"/>
      <c r="K752" s="24" t="inlineStr">
        <is>
          <t>espn_consensus</t>
        </is>
      </c>
      <c r="L752" s="26" t="n">
        <v>114</v>
      </c>
      <c r="M752" s="27" t="n">
        <v>2.14</v>
      </c>
      <c r="N752" s="28" t="n">
        <v>0.46729</v>
      </c>
      <c r="O752" s="28" t="n">
        <v>0.912627</v>
      </c>
      <c r="P752" s="28" t="n">
        <v>0.18</v>
      </c>
      <c r="Q752" s="28" t="n">
        <v>0.445337</v>
      </c>
      <c r="R752" s="26" t="n">
        <v>100</v>
      </c>
      <c r="S752" s="29" t="n">
        <v>2</v>
      </c>
      <c r="T752" s="24" t="inlineStr">
        <is>
          <t>college-football-v1</t>
        </is>
      </c>
      <c r="U752" s="24" t="inlineStr">
        <is>
          <t>settled</t>
        </is>
      </c>
      <c r="V752" s="24" t="inlineStr">
        <is>
          <t>loss</t>
        </is>
      </c>
      <c r="W752" s="26" t="n">
        <v>10</v>
      </c>
      <c r="X752" s="26" t="n">
        <v>42</v>
      </c>
      <c r="Y752" s="25" t="n"/>
      <c r="Z752" s="26" t="n"/>
      <c r="AA752" s="28" t="n"/>
      <c r="AB752" s="28" t="n"/>
      <c r="AC752" s="30" t="n">
        <v>-2</v>
      </c>
      <c r="AD752" s="24" t="inlineStr">
        <is>
          <t>2026-10-04T20:40:22.392218Z</t>
        </is>
      </c>
      <c r="AE752" s="31" t="inlineStr">
        <is>
          <t>CFB Joint Model (negative_binomial): proj score Old Dominion Monarchs 39.1 @ Georgia State Panthers 14.3 (Margin -24.8). Possessions: 12.4, HFA: +2.8 pts.</t>
        </is>
      </c>
      <c r="AF752" s="31" t="inlineStr">
        <is>
          <t>College football model; multi-market (moneyline, spread, total).</t>
        </is>
      </c>
      <c r="AG752" s="24" t="inlineStr">
        <is>
          <t>review_required</t>
        </is>
      </c>
      <c r="AH752" s="24" t="n"/>
      <c r="AI752" s="31" t="n"/>
      <c r="AJ752" s="31" t="n"/>
      <c r="AK752" s="24" t="inlineStr">
        <is>
          <t>model_qualified</t>
        </is>
      </c>
      <c r="AL752" s="26" t="n">
        <v>4</v>
      </c>
      <c r="AM752" s="24" t="inlineStr">
        <is>
          <t>QUALIFIED_SHADOW_CALL</t>
        </is>
      </c>
      <c r="AN752" s="24" t="inlineStr">
        <is>
          <t>CALL</t>
        </is>
      </c>
      <c r="AO752" s="24" t="inlineStr">
        <is>
          <t>QUALIFIED</t>
        </is>
      </c>
      <c r="AP752" s="24" t="inlineStr">
        <is>
          <t>Old Dominion Monarchs</t>
        </is>
      </c>
      <c r="AQ752" s="24" t="inlineStr">
        <is>
          <t>Old Dominion Monarchs</t>
        </is>
      </c>
      <c r="AR752" s="24" t="inlineStr">
        <is>
          <t>Old Dominion Monarchs</t>
        </is>
      </c>
      <c r="AS752" s="24" t="inlineStr">
        <is>
          <t>Georgia State Panthers</t>
        </is>
      </c>
      <c r="AT752" s="24" t="inlineStr">
        <is>
          <t>Georgia State Panthers</t>
        </is>
      </c>
      <c r="AU752" s="24" t="inlineStr">
        <is>
          <t>Georgia State Panthers</t>
        </is>
      </c>
      <c r="AV752" s="24" t="n"/>
      <c r="AW752" s="24" t="n"/>
      <c r="AX752" s="24" t="inlineStr">
        <is>
          <t>statistical_model</t>
        </is>
      </c>
      <c r="AY752" s="24" t="n"/>
      <c r="AZ752" s="24" t="inlineStr">
        <is>
          <t>shadow_qualified</t>
        </is>
      </c>
      <c r="BA752" s="24" t="inlineStr">
        <is>
          <t>1d168f11d221cd3c</t>
        </is>
      </c>
      <c r="BB752" s="24" t="inlineStr">
        <is>
          <t>cfb_key_number_engine</t>
        </is>
      </c>
      <c r="BC752" s="24" t="inlineStr">
        <is>
          <t>college-football-v1</t>
        </is>
      </c>
      <c r="BD752" s="24" t="inlineStr">
        <is>
          <t>1d168f11d221cd3c</t>
        </is>
      </c>
      <c r="BE752" s="24" t="inlineStr">
        <is>
          <t>cfb-v1</t>
        </is>
      </c>
      <c r="BF752" s="24" t="inlineStr">
        <is>
          <t>1</t>
        </is>
      </c>
      <c r="BG752" s="24" t="inlineStr">
        <is>
          <t>1d168f11d221cd3c</t>
        </is>
      </c>
      <c r="BH752" s="24" t="inlineStr">
        <is>
          <t>2026-10-03T16:52:02.220681+00:00</t>
        </is>
      </c>
      <c r="BI752" s="24" t="inlineStr">
        <is>
          <t>["same_event","same_team_same_day","same_league_same_day"]</t>
        </is>
      </c>
      <c r="BJ752" s="25" t="n"/>
      <c r="BK752" s="26" t="n">
        <v>114</v>
      </c>
      <c r="BL752" s="27" t="n">
        <v>2.14</v>
      </c>
      <c r="BM752" s="28" t="n">
        <v>0.46729</v>
      </c>
      <c r="BN752" s="28" t="n"/>
      <c r="BO752" s="28" t="n"/>
      <c r="BP752" s="25" t="n"/>
      <c r="BQ752" s="27" t="n"/>
      <c r="BR752" s="28" t="n"/>
      <c r="BS752" s="28" t="n"/>
      <c r="BT752" s="28" t="n"/>
      <c r="BU752" s="25" t="n"/>
      <c r="BV752" s="29" t="n"/>
      <c r="BW752" s="24" t="n"/>
      <c r="BX752" s="30" t="n"/>
      <c r="BY752" s="27" t="n"/>
      <c r="BZ752" s="24" t="n"/>
      <c r="CA752" s="31" t="n"/>
      <c r="CB752" s="24" t="n"/>
      <c r="CC752" s="24" t="n"/>
      <c r="CD752" s="24" t="n"/>
      <c r="CE752" s="24" t="n"/>
      <c r="CF752" s="24" t="n"/>
      <c r="CG752" s="24" t="n"/>
      <c r="CH752" s="24" t="n"/>
      <c r="CI752" s="24" t="n"/>
      <c r="CJ752" s="24" t="n"/>
      <c r="CK752" s="24" t="n"/>
      <c r="CL752" s="24" t="n"/>
      <c r="CM752" s="24" t="n"/>
      <c r="CN752" s="24" t="n"/>
      <c r="CO752" s="24" t="n"/>
      <c r="CP752" s="24" t="n"/>
      <c r="CQ752" s="24" t="n"/>
      <c r="CR752" s="24" t="n"/>
      <c r="CS752" s="24" t="inlineStr">
        <is>
          <t>True</t>
        </is>
      </c>
      <c r="CT752" s="24" t="n"/>
      <c r="CU752" s="24" t="n"/>
      <c r="CV752" s="24" t="n"/>
      <c r="CW752" s="24" t="n"/>
      <c r="CX752" s="24" t="n"/>
      <c r="CY752" s="24" t="n"/>
      <c r="CZ752" s="24" t="n"/>
      <c r="DA752" s="24" t="n"/>
      <c r="DB752" s="24" t="n"/>
      <c r="DC752" s="24" t="n"/>
      <c r="DD752" s="24" t="n"/>
      <c r="DE752" s="24" t="n"/>
      <c r="DF752" s="24" t="n"/>
      <c r="DG752" s="24" t="n"/>
      <c r="DH752" s="24" t="n"/>
      <c r="DI752" s="24" t="n"/>
      <c r="DJ752" s="24" t="inlineStr">
        <is>
          <t>0.46729</t>
        </is>
      </c>
      <c r="DK752" s="24" t="n"/>
      <c r="DL752" s="24" t="n"/>
      <c r="DM752" s="24" t="n"/>
      <c r="DN752" s="24" t="n"/>
      <c r="DO752" s="24" t="n"/>
      <c r="DP752" s="24" t="n"/>
      <c r="DQ752" s="24" t="inlineStr">
        <is>
          <t>{"artifact_hash": "1d168f11d221cd3c", "event_id": "401869956", "event_start_utc": "2026-10-03T19:30Z", "features": {"altitude_fatigue_penalty": 0.0, "away_team": "Old Dominion Monarchs", "efficiency_gap": 0.0, "elo_away": 1756.4, "elo_home": 1083.9, "elo_home_win_prob": 0.0294, "event_id": "401869956", "game_start_utc": "2026-10-03T19:30Z", "home_field_advantage_points": 2.8, "home_team": "Georgia State Panthers", "is_dome": false, "is_fbs_vs_fcs": false, "is_neutral_site": false, "projected_away_points": 39.1, "projected_home_points": 14.3, "projected_margin_home": -24.8, "projected_possessions": 12.4, "projected_total": 53.4, "stadium_elevation_ft": 980, "travel_distance_miles": 505.0, "uncertainty": 0.18, "weather_total_adjustment": 0.0}, "historical_source_observation_times_verified": false, "inference_inputs": {"engine_source_sha256": "449ba2f0e86fa9c445730076a0e0bf100fb4914620be53c75c6f3bfe24298f3f", "mu_away": 39.1, "mu_home": 14.3,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54338282499685169641307341514469041898}, "uinteger": 0}, "spread_home_line": -2.5, "total_line": 51.5}, "market_type": "moneyline", "model_version": "college-football-v1", "observed_at_utc": "2026-10-03T16:52:02.220681+00:00", "probabilities": {"away": 0.912627, "home": 0.087373}, "replay_scope": "Full precision score means, exact engine parameters and original RNG state; upstream feature construction not certified.", "schema": "cfb-joint-replay-v1", "snapshot_hash": "9231bd5d9902cbb443ef5fc2b8dbacb032a41a7850322f46e6fb3b9bb45d7125", "sport": "NCAAF"}</t>
        </is>
      </c>
    </row>
    <row r="753" ht="36" customHeight="1">
      <c r="A753" s="24" t="inlineStr">
        <is>
          <t>d4c7e03b1c44498b</t>
        </is>
      </c>
      <c r="B753" s="24" t="inlineStr">
        <is>
          <t>2026-10-03T16:52:02.220681Z</t>
        </is>
      </c>
      <c r="C753" s="24" t="inlineStr">
        <is>
          <t>2026-10-03T19:30Z</t>
        </is>
      </c>
      <c r="D753" s="24" t="inlineStr">
        <is>
          <t>401869956</t>
        </is>
      </c>
      <c r="E753" s="24" t="inlineStr">
        <is>
          <t>NCAAF</t>
        </is>
      </c>
      <c r="F753" s="24" t="inlineStr">
        <is>
          <t>Old Dominion Monarchs</t>
        </is>
      </c>
      <c r="G753" s="24" t="inlineStr">
        <is>
          <t>Georgia State Panthers</t>
        </is>
      </c>
      <c r="H753" s="24" t="inlineStr">
        <is>
          <t>spread</t>
        </is>
      </c>
      <c r="I753" s="24" t="inlineStr">
        <is>
          <t>away</t>
        </is>
      </c>
      <c r="J753" s="25" t="n">
        <v>2.5</v>
      </c>
      <c r="K753" s="24" t="inlineStr">
        <is>
          <t>espn_consensus</t>
        </is>
      </c>
      <c r="L753" s="26" t="n">
        <v>-108</v>
      </c>
      <c r="M753" s="27" t="n">
        <v>1.925926</v>
      </c>
      <c r="N753" s="28" t="n">
        <v>0.519231</v>
      </c>
      <c r="O753" s="28" t="n">
        <v>0.9324</v>
      </c>
      <c r="P753" s="28" t="n">
        <v>0.18</v>
      </c>
      <c r="Q753" s="28" t="n">
        <v>0.413169</v>
      </c>
      <c r="R753" s="26" t="n">
        <v>100</v>
      </c>
      <c r="S753" s="29" t="n">
        <v>2</v>
      </c>
      <c r="T753" s="24" t="inlineStr">
        <is>
          <t>cfb-spread-v1</t>
        </is>
      </c>
      <c r="U753" s="24" t="inlineStr">
        <is>
          <t>settled</t>
        </is>
      </c>
      <c r="V753" s="24" t="inlineStr">
        <is>
          <t>loss</t>
        </is>
      </c>
      <c r="W753" s="26" t="n">
        <v>10</v>
      </c>
      <c r="X753" s="26" t="n">
        <v>42</v>
      </c>
      <c r="Y753" s="25" t="n"/>
      <c r="Z753" s="26" t="n"/>
      <c r="AA753" s="28" t="n"/>
      <c r="AB753" s="28" t="n"/>
      <c r="AC753" s="30" t="n">
        <v>-2</v>
      </c>
      <c r="AD753" s="24" t="inlineStr">
        <is>
          <t>2026-10-04T20:40:28.371262Z</t>
        </is>
      </c>
      <c r="AE753" s="31" t="inlineStr">
        <is>
          <t>Projected home margin -24.8 pts. Spread: Home -2.5 / Away +2.5 -&gt; P(Away cover)=0.932, P(Home cover)=0.068, P(Push)=0.000.</t>
        </is>
      </c>
      <c r="AF753" s="31" t="inlineStr">
        <is>
          <t>College football model; multi-market (moneyline, spread, total).</t>
        </is>
      </c>
      <c r="AG753" s="24" t="inlineStr">
        <is>
          <t>review_required</t>
        </is>
      </c>
      <c r="AH753" s="24" t="n"/>
      <c r="AI753" s="31" t="n"/>
      <c r="AJ753" s="31" t="n"/>
      <c r="AK753" s="24" t="inlineStr">
        <is>
          <t>model_qualified</t>
        </is>
      </c>
      <c r="AL753" s="26" t="n">
        <v>4</v>
      </c>
      <c r="AM753" s="24" t="inlineStr">
        <is>
          <t>QUALIFIED_SHADOW_CALL</t>
        </is>
      </c>
      <c r="AN753" s="24" t="inlineStr">
        <is>
          <t>CALL</t>
        </is>
      </c>
      <c r="AO753" s="24" t="inlineStr">
        <is>
          <t>QUALIFIED</t>
        </is>
      </c>
      <c r="AP753" s="24" t="inlineStr">
        <is>
          <t>Old Dominion Monarchs</t>
        </is>
      </c>
      <c r="AQ753" s="24" t="inlineStr">
        <is>
          <t>Old Dominion Monarchs</t>
        </is>
      </c>
      <c r="AR753" s="24" t="inlineStr">
        <is>
          <t>Old Dominion Monarchs</t>
        </is>
      </c>
      <c r="AS753" s="24" t="inlineStr">
        <is>
          <t>Georgia State Panthers</t>
        </is>
      </c>
      <c r="AT753" s="24" t="inlineStr">
        <is>
          <t>Georgia State Panthers</t>
        </is>
      </c>
      <c r="AU753" s="24" t="inlineStr">
        <is>
          <t>Georgia State Panthers</t>
        </is>
      </c>
      <c r="AV753" s="24" t="n"/>
      <c r="AW753" s="24" t="n"/>
      <c r="AX753" s="24" t="inlineStr">
        <is>
          <t>statistical_model</t>
        </is>
      </c>
      <c r="AY753" s="24" t="n"/>
      <c r="AZ753" s="24" t="inlineStr">
        <is>
          <t>shadow_qualified</t>
        </is>
      </c>
      <c r="BA753" s="24" t="inlineStr">
        <is>
          <t>1d168f11d221cd3c</t>
        </is>
      </c>
      <c r="BB753" s="24" t="inlineStr">
        <is>
          <t>cfb_key_number_engine</t>
        </is>
      </c>
      <c r="BC753" s="24" t="inlineStr">
        <is>
          <t>cfb-spread-v1</t>
        </is>
      </c>
      <c r="BD753" s="24" t="inlineStr">
        <is>
          <t>1d168f11d221cd3c</t>
        </is>
      </c>
      <c r="BE753" s="24" t="inlineStr">
        <is>
          <t>cfb-v1</t>
        </is>
      </c>
      <c r="BF753" s="24" t="inlineStr">
        <is>
          <t>1</t>
        </is>
      </c>
      <c r="BG753" s="24" t="inlineStr">
        <is>
          <t>1d168f11d221cd3c</t>
        </is>
      </c>
      <c r="BH753" s="24" t="inlineStr">
        <is>
          <t>2026-10-03T16:52:02.220681+00:00</t>
        </is>
      </c>
      <c r="BI753" s="24" t="inlineStr">
        <is>
          <t>["same_event","same_team_same_day","same_league_same_day"]</t>
        </is>
      </c>
      <c r="BJ753" s="25" t="n">
        <v>2.5</v>
      </c>
      <c r="BK753" s="26" t="n">
        <v>-108</v>
      </c>
      <c r="BL753" s="27" t="n">
        <v>1.925926</v>
      </c>
      <c r="BM753" s="28" t="n">
        <v>0.519231</v>
      </c>
      <c r="BN753" s="28" t="n"/>
      <c r="BO753" s="28" t="n"/>
      <c r="BP753" s="25" t="n"/>
      <c r="BQ753" s="27" t="n"/>
      <c r="BR753" s="28" t="n"/>
      <c r="BS753" s="28" t="n"/>
      <c r="BT753" s="28" t="n"/>
      <c r="BU753" s="25" t="n"/>
      <c r="BV753" s="29" t="n"/>
      <c r="BW753" s="24" t="n"/>
      <c r="BX753" s="30" t="n"/>
      <c r="BY753" s="27" t="n"/>
      <c r="BZ753" s="24" t="n"/>
      <c r="CA753" s="31" t="n"/>
      <c r="CB753" s="24" t="n"/>
      <c r="CC753" s="24" t="n"/>
      <c r="CD753" s="24" t="n"/>
      <c r="CE753" s="24" t="n"/>
      <c r="CF753" s="24" t="n"/>
      <c r="CG753" s="24" t="n"/>
      <c r="CH753" s="24" t="n"/>
      <c r="CI753" s="24" t="n"/>
      <c r="CJ753" s="24" t="n"/>
      <c r="CK753" s="24" t="n"/>
      <c r="CL753" s="24" t="n"/>
      <c r="CM753" s="24" t="n"/>
      <c r="CN753" s="24" t="n"/>
      <c r="CO753" s="24" t="n"/>
      <c r="CP753" s="24" t="n"/>
      <c r="CQ753" s="24" t="n"/>
      <c r="CR753" s="24" t="n"/>
      <c r="CS753" s="24" t="inlineStr">
        <is>
          <t>True</t>
        </is>
      </c>
      <c r="CT753" s="24" t="n"/>
      <c r="CU753" s="24" t="n"/>
      <c r="CV753" s="24" t="n"/>
      <c r="CW753" s="24" t="n"/>
      <c r="CX753" s="24" t="n"/>
      <c r="CY753" s="24" t="n"/>
      <c r="CZ753" s="24" t="n"/>
      <c r="DA753" s="24" t="n"/>
      <c r="DB753" s="24" t="n"/>
      <c r="DC753" s="24" t="n"/>
      <c r="DD753" s="24" t="n"/>
      <c r="DE753" s="24" t="n"/>
      <c r="DF753" s="24" t="n"/>
      <c r="DG753" s="24" t="n"/>
      <c r="DH753" s="24" t="n"/>
      <c r="DI753" s="24" t="n"/>
      <c r="DJ753" s="24" t="inlineStr">
        <is>
          <t>0.519231</t>
        </is>
      </c>
      <c r="DK753" s="24" t="n"/>
      <c r="DL753" s="24" t="n"/>
      <c r="DM753" s="24" t="n"/>
      <c r="DN753" s="24" t="n"/>
      <c r="DO753" s="24" t="n"/>
      <c r="DP753" s="24" t="n"/>
      <c r="DQ753" s="24" t="inlineStr">
        <is>
          <t>{"artifact_hash": "1d168f11d221cd3c", "event_id": "401869956", "event_start_utc": "2026-10-03T19:30Z", "features": {"altitude_fatigue_penalty": 0.0, "away_team": "Old Dominion Monarchs", "efficiency_gap": 0.0, "elo_away": 1756.4, "elo_home": 1083.9, "elo_home_win_prob": 0.0294, "event_id": "401869956", "game_start_utc": "2026-10-03T19:30Z", "home_field_advantage_points": 2.8, "home_team": "Georgia State Panthers", "is_dome": false, "is_fbs_vs_fcs": false, "is_neutral_site": false, "projected_away_points": 39.1, "projected_home_points": 14.3, "projected_margin_home": -24.8, "projected_possessions": 12.4, "projected_total": 53.4, "stadium_elevation_ft": 980, "travel_distance_miles": 505.0, "uncertainty": 0.18, "weather_total_adjustment": 0.0}, "historical_source_observation_times_verified": false, "inference_inputs": {"engine_source_sha256": "449ba2f0e86fa9c445730076a0e0bf100fb4914620be53c75c6f3bfe24298f3f", "mu_away": 39.1, "mu_home": 14.3,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54338282499685169641307341514469041898}, "uinteger": 0}, "spread_home_line": -2.5, "total_line": 51.5}, "market_type": "spread", "model_version": "cfb-spread-v1", "observed_at_utc": "2026-10-03T16:52:02.220681+00:00", "probabilities": {"away": 0.9324, "home": 0.0676, "push": 0.0}, "replay_scope": "Full precision score means, exact engine parameters and original RNG state; upstream feature construction not certified.", "schema": "cfb-joint-replay-v1", "snapshot_hash": "2a8d931d2f55fb035bca0e93fee59aa32d3fc149a21e02af1cc2b81e1ecb948a", "sport": "NCAAF"}</t>
        </is>
      </c>
    </row>
    <row r="754" ht="36" customHeight="1">
      <c r="A754" s="24" t="inlineStr">
        <is>
          <t>758b3f6282b94596</t>
        </is>
      </c>
      <c r="B754" s="24" t="inlineStr">
        <is>
          <t>2026-10-03T16:52:02.220681Z</t>
        </is>
      </c>
      <c r="C754" s="24" t="inlineStr">
        <is>
          <t>2026-10-03T19:30Z</t>
        </is>
      </c>
      <c r="D754" s="24" t="inlineStr">
        <is>
          <t>401869956</t>
        </is>
      </c>
      <c r="E754" s="24" t="inlineStr">
        <is>
          <t>NCAAF</t>
        </is>
      </c>
      <c r="F754" s="24" t="inlineStr">
        <is>
          <t>Old Dominion Monarchs</t>
        </is>
      </c>
      <c r="G754" s="24" t="inlineStr">
        <is>
          <t>Georgia State Panthers</t>
        </is>
      </c>
      <c r="H754" s="24" t="inlineStr">
        <is>
          <t>total</t>
        </is>
      </c>
      <c r="I754" s="24" t="inlineStr">
        <is>
          <t>over</t>
        </is>
      </c>
      <c r="J754" s="25" t="n">
        <v>51.5</v>
      </c>
      <c r="K754" s="24" t="inlineStr">
        <is>
          <t>espn_consensus</t>
        </is>
      </c>
      <c r="L754" s="26" t="n">
        <v>-115</v>
      </c>
      <c r="M754" s="27" t="n">
        <v>1.869565</v>
      </c>
      <c r="N754" s="28" t="n">
        <v>0.534884</v>
      </c>
      <c r="O754" s="28" t="n">
        <v>0.5102</v>
      </c>
      <c r="P754" s="28" t="n">
        <v>0.18</v>
      </c>
      <c r="Q754" s="28" t="n">
        <v>-0.024684</v>
      </c>
      <c r="R754" s="26" t="n">
        <v>0</v>
      </c>
      <c r="S754" s="29" t="n">
        <v>1</v>
      </c>
      <c r="T754" s="24" t="inlineStr">
        <is>
          <t>cfb-total-v1</t>
        </is>
      </c>
      <c r="U754" s="24" t="inlineStr">
        <is>
          <t>settled</t>
        </is>
      </c>
      <c r="V754" s="24" t="inlineStr">
        <is>
          <t>win</t>
        </is>
      </c>
      <c r="W754" s="26" t="n">
        <v>10</v>
      </c>
      <c r="X754" s="26" t="n">
        <v>42</v>
      </c>
      <c r="Y754" s="25" t="n"/>
      <c r="Z754" s="26" t="n"/>
      <c r="AA754" s="28" t="n"/>
      <c r="AB754" s="28" t="n"/>
      <c r="AC754" s="30" t="n">
        <v>0.8696</v>
      </c>
      <c r="AD754" s="24" t="inlineStr">
        <is>
          <t>2026-10-04T20:40:34.256318Z</t>
        </is>
      </c>
      <c r="AE754" s="31" t="inlineStr">
        <is>
          <t>Projected total 53.4 pts (Weather adj: +0.0 pts). Total line 51.5 -&gt; P(Over)=0.510, P(Under)=0.490, P(Push)=0.000.</t>
        </is>
      </c>
      <c r="AF754" s="31" t="inlineStr">
        <is>
          <t>College football model; multi-market (moneyline, spread, total).</t>
        </is>
      </c>
      <c r="AG754" s="24" t="inlineStr">
        <is>
          <t>not_applicable</t>
        </is>
      </c>
      <c r="AH754" s="24" t="n"/>
      <c r="AI754" s="31" t="n"/>
      <c r="AJ754" s="31" t="n"/>
      <c r="AK754" s="24" t="inlineStr">
        <is>
          <t>paper_call</t>
        </is>
      </c>
      <c r="AL754" s="26" t="n">
        <v>4</v>
      </c>
      <c r="AM754" s="24" t="inlineStr">
        <is>
          <t>RESEARCH_OBSERVATION</t>
        </is>
      </c>
      <c r="AN754" s="24" t="inlineStr">
        <is>
          <t>CALL</t>
        </is>
      </c>
      <c r="AO754" s="24" t="inlineStr">
        <is>
          <t>PAPER_CALL_LOW_EDGE</t>
        </is>
      </c>
      <c r="AP754" s="24" t="inlineStr">
        <is>
          <t>Old Dominion Monarchs</t>
        </is>
      </c>
      <c r="AQ754" s="24" t="inlineStr">
        <is>
          <t>Old Dominion Monarchs</t>
        </is>
      </c>
      <c r="AR754" s="24" t="inlineStr">
        <is>
          <t>Old Dominion Monarchs</t>
        </is>
      </c>
      <c r="AS754" s="24" t="inlineStr">
        <is>
          <t>Georgia State Panthers</t>
        </is>
      </c>
      <c r="AT754" s="24" t="inlineStr">
        <is>
          <t>Georgia State Panthers</t>
        </is>
      </c>
      <c r="AU754" s="24" t="inlineStr">
        <is>
          <t>Georgia State Panthers</t>
        </is>
      </c>
      <c r="AV754" s="24" t="n"/>
      <c r="AW754" s="24" t="n"/>
      <c r="AX754" s="24" t="inlineStr">
        <is>
          <t>statistical_model</t>
        </is>
      </c>
      <c r="AY754" s="24" t="n"/>
      <c r="AZ754" s="24" t="inlineStr">
        <is>
          <t>shadow_qualified</t>
        </is>
      </c>
      <c r="BA754" s="24" t="inlineStr">
        <is>
          <t>1d168f11d221cd3c</t>
        </is>
      </c>
      <c r="BB754" s="24" t="inlineStr">
        <is>
          <t>cfb_key_number_engine</t>
        </is>
      </c>
      <c r="BC754" s="24" t="inlineStr">
        <is>
          <t>cfb-total-v1</t>
        </is>
      </c>
      <c r="BD754" s="24" t="inlineStr">
        <is>
          <t>1d168f11d221cd3c</t>
        </is>
      </c>
      <c r="BE754" s="24" t="inlineStr">
        <is>
          <t>cfb-v1</t>
        </is>
      </c>
      <c r="BF754" s="24" t="inlineStr">
        <is>
          <t>1</t>
        </is>
      </c>
      <c r="BG754" s="24" t="inlineStr">
        <is>
          <t>1d168f11d221cd3c</t>
        </is>
      </c>
      <c r="BH754" s="24" t="inlineStr">
        <is>
          <t>2026-10-03T16:52:02.220681+00:00</t>
        </is>
      </c>
      <c r="BI754" s="24" t="inlineStr">
        <is>
          <t>["same_event","same_team_same_day","same_league_same_day"]</t>
        </is>
      </c>
      <c r="BJ754" s="25" t="n">
        <v>51.5</v>
      </c>
      <c r="BK754" s="26" t="n">
        <v>-115</v>
      </c>
      <c r="BL754" s="27" t="n">
        <v>1.869565</v>
      </c>
      <c r="BM754" s="28" t="n">
        <v>0.534884</v>
      </c>
      <c r="BN754" s="28" t="n"/>
      <c r="BO754" s="28" t="n"/>
      <c r="BP754" s="25" t="n"/>
      <c r="BQ754" s="27" t="n"/>
      <c r="BR754" s="28" t="n"/>
      <c r="BS754" s="28" t="n"/>
      <c r="BT754" s="28" t="n"/>
      <c r="BU754" s="25" t="n"/>
      <c r="BV754" s="29" t="n"/>
      <c r="BW754" s="24" t="n"/>
      <c r="BX754" s="30" t="n">
        <v>1</v>
      </c>
      <c r="BY754" s="27" t="n">
        <v>0.869565</v>
      </c>
      <c r="BZ754" s="24" t="inlineStr">
        <is>
          <t>2026-10-04T20:40:34.256318Z</t>
        </is>
      </c>
      <c r="CA754" s="31" t="inlineStr">
        <is>
          <t>fixed one-unit hypothetical scoring; no real exposure or execution</t>
        </is>
      </c>
      <c r="CB754" s="24" t="n"/>
      <c r="CC754" s="24" t="n"/>
      <c r="CD754" s="24" t="n"/>
      <c r="CE754" s="24" t="n"/>
      <c r="CF754" s="24" t="n"/>
      <c r="CG754" s="24" t="n"/>
      <c r="CH754" s="24" t="n"/>
      <c r="CI754" s="24" t="n"/>
      <c r="CJ754" s="24" t="n"/>
      <c r="CK754" s="24" t="n"/>
      <c r="CL754" s="24" t="n"/>
      <c r="CM754" s="24" t="n"/>
      <c r="CN754" s="24" t="n"/>
      <c r="CO754" s="24" t="n"/>
      <c r="CP754" s="24" t="n"/>
      <c r="CQ754" s="24" t="n"/>
      <c r="CR754" s="24" t="n"/>
      <c r="CS754" s="24" t="inlineStr">
        <is>
          <t>False</t>
        </is>
      </c>
      <c r="CT754" s="24" t="n"/>
      <c r="CU754" s="24" t="n"/>
      <c r="CV754" s="24" t="n"/>
      <c r="CW754" s="24" t="n"/>
      <c r="CX754" s="24" t="n"/>
      <c r="CY754" s="24" t="n"/>
      <c r="CZ754" s="24" t="n"/>
      <c r="DA754" s="24" t="n"/>
      <c r="DB754" s="24" t="n"/>
      <c r="DC754" s="24" t="n"/>
      <c r="DD754" s="24" t="n"/>
      <c r="DE754" s="24" t="n"/>
      <c r="DF754" s="24" t="n"/>
      <c r="DG754" s="24" t="n"/>
      <c r="DH754" s="24" t="n"/>
      <c r="DI754" s="24" t="n"/>
      <c r="DJ754" s="24" t="inlineStr">
        <is>
          <t>0.534884</t>
        </is>
      </c>
      <c r="DK754" s="24" t="n"/>
      <c r="DL754" s="24" t="n"/>
      <c r="DM754" s="24" t="n"/>
      <c r="DN754" s="24" t="n"/>
      <c r="DO754" s="24" t="n"/>
      <c r="DP754" s="24" t="n"/>
      <c r="DQ754" s="24" t="inlineStr">
        <is>
          <t>{"artifact_hash": "1d168f11d221cd3c", "event_id": "401869956", "event_start_utc": "2026-10-03T19:30Z", "features": {"altitude_fatigue_penalty": 0.0, "away_team": "Old Dominion Monarchs", "efficiency_gap": 0.0, "elo_away": 1756.4, "elo_home": 1083.9, "elo_home_win_prob": 0.0294, "event_id": "401869956", "game_start_utc": "2026-10-03T19:30Z", "home_field_advantage_points": 2.8, "home_team": "Georgia State Panthers", "is_dome": false, "is_fbs_vs_fcs": false, "is_neutral_site": false, "projected_away_points": 39.1, "projected_home_points": 14.3, "projected_margin_home": -24.8, "projected_possessions": 12.4, "projected_total": 53.4, "stadium_elevation_ft": 980, "travel_distance_miles": 505.0, "uncertainty": 0.18, "weather_total_adjustment": 0.0}, "historical_source_observation_times_verified": false, "inference_inputs": {"engine_source_sha256": "449ba2f0e86fa9c445730076a0e0bf100fb4914620be53c75c6f3bfe24298f3f", "mu_away": 39.1, "mu_home": 14.3,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54338282499685169641307341514469041898}, "uinteger": 0}, "spread_home_line": -2.5, "total_line": 51.5}, "market_type": "total", "model_version": "cfb-total-v1", "observed_at_utc": "2026-10-03T16:52:02.220681+00:00", "probabilities": {"over": 0.5102, "push": 0.0, "under": 0.4898}, "replay_scope": "Full precision score means, exact engine parameters and original RNG state; upstream feature construction not certified.", "schema": "cfb-joint-replay-v1", "snapshot_hash": "3e9e4cbd5f09e22afb1ff58e71368b8c272467b3a61dc22a755903adf71c33c1", "sport": "NCAAF"}</t>
        </is>
      </c>
    </row>
    <row r="755" ht="36" customHeight="1">
      <c r="A755" s="24" t="inlineStr">
        <is>
          <t>60ffccd9178c487d</t>
        </is>
      </c>
      <c r="B755" s="24" t="inlineStr">
        <is>
          <t>2026-10-03T16:52:02.220681Z</t>
        </is>
      </c>
      <c r="C755" s="24" t="inlineStr">
        <is>
          <t>2026-10-03T19:45Z</t>
        </is>
      </c>
      <c r="D755" s="24" t="inlineStr">
        <is>
          <t>401869962</t>
        </is>
      </c>
      <c r="E755" s="24" t="inlineStr">
        <is>
          <t>NCAAF</t>
        </is>
      </c>
      <c r="F755" s="24" t="inlineStr">
        <is>
          <t>Marshall Thundering Herd</t>
        </is>
      </c>
      <c r="G755" s="24" t="inlineStr">
        <is>
          <t>James Madison Dukes</t>
        </is>
      </c>
      <c r="H755" s="24" t="inlineStr">
        <is>
          <t>moneyline</t>
        </is>
      </c>
      <c r="I755" s="24" t="inlineStr">
        <is>
          <t>home</t>
        </is>
      </c>
      <c r="J755" s="25" t="n"/>
      <c r="K755" s="24" t="inlineStr">
        <is>
          <t>espn_consensus</t>
        </is>
      </c>
      <c r="L755" s="26" t="n">
        <v>-800</v>
      </c>
      <c r="M755" s="27" t="n">
        <v>1.125</v>
      </c>
      <c r="N755" s="28" t="n">
        <v>0.888889</v>
      </c>
      <c r="O755" s="28" t="n">
        <v>0.850485</v>
      </c>
      <c r="P755" s="28" t="n">
        <v>0.165</v>
      </c>
      <c r="Q755" s="28" t="n">
        <v>-0.038404</v>
      </c>
      <c r="R755" s="26" t="n">
        <v>0</v>
      </c>
      <c r="S755" s="29" t="n">
        <v>1</v>
      </c>
      <c r="T755" s="24" t="inlineStr">
        <is>
          <t>college-football-v1</t>
        </is>
      </c>
      <c r="U755" s="24" t="inlineStr">
        <is>
          <t>settled</t>
        </is>
      </c>
      <c r="V755" s="24" t="inlineStr">
        <is>
          <t>win</t>
        </is>
      </c>
      <c r="W755" s="26" t="n">
        <v>17</v>
      </c>
      <c r="X755" s="26" t="n">
        <v>45</v>
      </c>
      <c r="Y755" s="25" t="n"/>
      <c r="Z755" s="26" t="n"/>
      <c r="AA755" s="28" t="n"/>
      <c r="AB755" s="28" t="n"/>
      <c r="AC755" s="30" t="n">
        <v>0.125</v>
      </c>
      <c r="AD755" s="24" t="inlineStr">
        <is>
          <t>2026-10-04T20:40:40.039465Z</t>
        </is>
      </c>
      <c r="AE755" s="31" t="inlineStr">
        <is>
          <t>CFB Joint Model (negative_binomial): proj score Marshall Thundering Herd 16.5 @ James Madison Dukes 34.8 (Margin +18.3). Possessions: 12.4, HFA: +2.8 pts.</t>
        </is>
      </c>
      <c r="AF755" s="31" t="inlineStr">
        <is>
          <t>College football model; multi-market (moneyline, spread, total).</t>
        </is>
      </c>
      <c r="AG755" s="24" t="inlineStr">
        <is>
          <t>not_applicable</t>
        </is>
      </c>
      <c r="AH755" s="24" t="n"/>
      <c r="AI755" s="31" t="n"/>
      <c r="AJ755" s="31" t="n"/>
      <c r="AK755" s="24" t="inlineStr">
        <is>
          <t>paper_call</t>
        </is>
      </c>
      <c r="AL755" s="26" t="n">
        <v>4</v>
      </c>
      <c r="AM755" s="24" t="inlineStr">
        <is>
          <t>RESEARCH_OBSERVATION</t>
        </is>
      </c>
      <c r="AN755" s="24" t="inlineStr">
        <is>
          <t>CALL</t>
        </is>
      </c>
      <c r="AO755" s="24" t="inlineStr">
        <is>
          <t>PAPER_CALL_LOW_EDGE</t>
        </is>
      </c>
      <c r="AP755" s="24" t="inlineStr">
        <is>
          <t>Marshall Thundering Herd</t>
        </is>
      </c>
      <c r="AQ755" s="24" t="inlineStr">
        <is>
          <t>Marshall Thundering Herd</t>
        </is>
      </c>
      <c r="AR755" s="24" t="inlineStr">
        <is>
          <t>Marshall Thundering Herd</t>
        </is>
      </c>
      <c r="AS755" s="24" t="inlineStr">
        <is>
          <t>James Madison Dukes</t>
        </is>
      </c>
      <c r="AT755" s="24" t="inlineStr">
        <is>
          <t>James Madison Dukes</t>
        </is>
      </c>
      <c r="AU755" s="24" t="inlineStr">
        <is>
          <t>James Madison Dukes</t>
        </is>
      </c>
      <c r="AV755" s="24" t="n"/>
      <c r="AW755" s="24" t="n"/>
      <c r="AX755" s="24" t="inlineStr">
        <is>
          <t>statistical_model</t>
        </is>
      </c>
      <c r="AY755" s="24" t="n"/>
      <c r="AZ755" s="24" t="inlineStr">
        <is>
          <t>shadow_qualified</t>
        </is>
      </c>
      <c r="BA755" s="24" t="inlineStr">
        <is>
          <t>1d168f11d221cd3c</t>
        </is>
      </c>
      <c r="BB755" s="24" t="inlineStr">
        <is>
          <t>cfb_key_number_engine</t>
        </is>
      </c>
      <c r="BC755" s="24" t="inlineStr">
        <is>
          <t>college-football-v1</t>
        </is>
      </c>
      <c r="BD755" s="24" t="inlineStr">
        <is>
          <t>1d168f11d221cd3c</t>
        </is>
      </c>
      <c r="BE755" s="24" t="inlineStr">
        <is>
          <t>cfb-v1</t>
        </is>
      </c>
      <c r="BF755" s="24" t="inlineStr">
        <is>
          <t>1</t>
        </is>
      </c>
      <c r="BG755" s="24" t="inlineStr">
        <is>
          <t>1d168f11d221cd3c</t>
        </is>
      </c>
      <c r="BH755" s="24" t="inlineStr">
        <is>
          <t>2026-10-03T16:52:02.220681+00:00</t>
        </is>
      </c>
      <c r="BI755" s="24" t="inlineStr">
        <is>
          <t>["same_event","same_team_same_day","same_league_same_day"]</t>
        </is>
      </c>
      <c r="BJ755" s="25" t="n"/>
      <c r="BK755" s="26" t="n">
        <v>-800</v>
      </c>
      <c r="BL755" s="27" t="n">
        <v>1.125</v>
      </c>
      <c r="BM755" s="28" t="n">
        <v>0.888889</v>
      </c>
      <c r="BN755" s="28" t="n"/>
      <c r="BO755" s="28" t="n"/>
      <c r="BP755" s="25" t="n"/>
      <c r="BQ755" s="27" t="n"/>
      <c r="BR755" s="28" t="n"/>
      <c r="BS755" s="28" t="n"/>
      <c r="BT755" s="28" t="n"/>
      <c r="BU755" s="25" t="n"/>
      <c r="BV755" s="29" t="n"/>
      <c r="BW755" s="24" t="n"/>
      <c r="BX755" s="30" t="n">
        <v>1</v>
      </c>
      <c r="BY755" s="27" t="n">
        <v>0.125</v>
      </c>
      <c r="BZ755" s="24" t="inlineStr">
        <is>
          <t>2026-10-04T20:40:40.039465Z</t>
        </is>
      </c>
      <c r="CA755" s="31" t="inlineStr">
        <is>
          <t>fixed one-unit hypothetical scoring; no real exposure or execution</t>
        </is>
      </c>
      <c r="CB755" s="24" t="n"/>
      <c r="CC755" s="24" t="n"/>
      <c r="CD755" s="24" t="n"/>
      <c r="CE755" s="24" t="n"/>
      <c r="CF755" s="24" t="n"/>
      <c r="CG755" s="24" t="n"/>
      <c r="CH755" s="24" t="n"/>
      <c r="CI755" s="24" t="n"/>
      <c r="CJ755" s="24" t="n"/>
      <c r="CK755" s="24" t="n"/>
      <c r="CL755" s="24" t="n"/>
      <c r="CM755" s="24" t="n"/>
      <c r="CN755" s="24" t="n"/>
      <c r="CO755" s="24" t="n"/>
      <c r="CP755" s="24" t="n"/>
      <c r="CQ755" s="24" t="n"/>
      <c r="CR755" s="24" t="n"/>
      <c r="CS755" s="24" t="inlineStr">
        <is>
          <t>False</t>
        </is>
      </c>
      <c r="CT755" s="24" t="n"/>
      <c r="CU755" s="24" t="n"/>
      <c r="CV755" s="24" t="n"/>
      <c r="CW755" s="24" t="n"/>
      <c r="CX755" s="24" t="n"/>
      <c r="CY755" s="24" t="n"/>
      <c r="CZ755" s="24" t="n"/>
      <c r="DA755" s="24" t="n"/>
      <c r="DB755" s="24" t="n"/>
      <c r="DC755" s="24" t="n"/>
      <c r="DD755" s="24" t="n"/>
      <c r="DE755" s="24" t="n"/>
      <c r="DF755" s="24" t="n"/>
      <c r="DG755" s="24" t="n"/>
      <c r="DH755" s="24" t="n"/>
      <c r="DI755" s="24" t="n"/>
      <c r="DJ755" s="24" t="inlineStr">
        <is>
          <t>0.888889</t>
        </is>
      </c>
      <c r="DK755" s="24" t="n"/>
      <c r="DL755" s="24" t="n"/>
      <c r="DM755" s="24" t="n"/>
      <c r="DN755" s="24" t="n"/>
      <c r="DO755" s="24" t="n"/>
      <c r="DP755" s="24" t="n"/>
      <c r="DQ755" s="24" t="inlineStr">
        <is>
          <t>{"artifact_hash": "1d168f11d221cd3c", "event_id": "401869962", "event_start_utc": "2026-10-03T19:45Z", "features": {"altitude_fatigue_penalty": 0.0, "away_team": "Marshall Thundering Herd", "efficiency_gap": 2.516, "elo_away": 1390.7, "elo_home": 1774.4, "elo_home_win_prob": 0.9298, "event_id": "401869962", "game_start_utc": "2026-10-03T19:45Z", "home_field_advantage_points": 2.8, "home_team": "James Madison Dukes", "is_dome": false, "is_fbs_vs_fcs": false, "is_neutral_site": false, "projected_away_points": 16.5, "projected_home_points": 34.8, "projected_margin_home": 18.3, "projected_possessions": 12.4, "projected_total": 51.2, "stadium_elevation_ft": 1340, "travel_distance_miles": 192.0, "uncertainty": 0.165, "weather_total_adjustment": 0.0}, "historical_source_observation_times_verified": false, "inference_inputs": {"engine_source_sha256": "449ba2f0e86fa9c445730076a0e0bf100fb4914620be53c75c6f3bfe24298f3f", "mu_away": 16.5, "mu_home": 34.8,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319460895701298143706763648456654241503}, "uinteger": 0}, "spread_home_line": -15.5, "total_line": 55.5}, "market_type": "moneyline", "model_version": "college-football-v1", "observed_at_utc": "2026-10-03T16:52:02.220681+00:00", "probabilities": {"away": 0.149515, "home": 0.850485}, "replay_scope": "Full precision score means, exact engine parameters and original RNG state; upstream feature construction not certified.", "schema": "cfb-joint-replay-v1", "snapshot_hash": "e6f39583e22c6b762d2faeb79893798d1f1aaa82495385526f3244375c13c556", "sport": "NCAAF"}</t>
        </is>
      </c>
    </row>
    <row r="756" ht="36" customHeight="1">
      <c r="A756" s="24" t="inlineStr">
        <is>
          <t>9e967cee40204f0a</t>
        </is>
      </c>
      <c r="B756" s="24" t="inlineStr">
        <is>
          <t>2026-10-03T16:52:02.220681Z</t>
        </is>
      </c>
      <c r="C756" s="24" t="inlineStr">
        <is>
          <t>2026-10-03T19:45Z</t>
        </is>
      </c>
      <c r="D756" s="24" t="inlineStr">
        <is>
          <t>401869962</t>
        </is>
      </c>
      <c r="E756" s="24" t="inlineStr">
        <is>
          <t>NCAAF</t>
        </is>
      </c>
      <c r="F756" s="24" t="inlineStr">
        <is>
          <t>Marshall Thundering Herd</t>
        </is>
      </c>
      <c r="G756" s="24" t="inlineStr">
        <is>
          <t>James Madison Dukes</t>
        </is>
      </c>
      <c r="H756" s="24" t="inlineStr">
        <is>
          <t>spread</t>
        </is>
      </c>
      <c r="I756" s="24" t="inlineStr">
        <is>
          <t>home</t>
        </is>
      </c>
      <c r="J756" s="25" t="n">
        <v>-15.5</v>
      </c>
      <c r="K756" s="24" t="inlineStr">
        <is>
          <t>espn_consensus</t>
        </is>
      </c>
      <c r="L756" s="26" t="n">
        <v>-110</v>
      </c>
      <c r="M756" s="27" t="n">
        <v>1.909091</v>
      </c>
      <c r="N756" s="28" t="n">
        <v>0.52381</v>
      </c>
      <c r="O756" s="28" t="n">
        <v>0.5584</v>
      </c>
      <c r="P756" s="28" t="n">
        <v>0.165</v>
      </c>
      <c r="Q756" s="28" t="n">
        <v>0.03459</v>
      </c>
      <c r="R756" s="26" t="n">
        <v>0</v>
      </c>
      <c r="S756" s="29" t="n">
        <v>1</v>
      </c>
      <c r="T756" s="24" t="inlineStr">
        <is>
          <t>cfb-spread-v1</t>
        </is>
      </c>
      <c r="U756" s="24" t="inlineStr">
        <is>
          <t>settled</t>
        </is>
      </c>
      <c r="V756" s="24" t="inlineStr">
        <is>
          <t>win</t>
        </is>
      </c>
      <c r="W756" s="26" t="n">
        <v>17</v>
      </c>
      <c r="X756" s="26" t="n">
        <v>45</v>
      </c>
      <c r="Y756" s="25" t="n"/>
      <c r="Z756" s="26" t="n"/>
      <c r="AA756" s="28" t="n"/>
      <c r="AB756" s="28" t="n"/>
      <c r="AC756" s="30" t="n">
        <v>0.9091</v>
      </c>
      <c r="AD756" s="24" t="inlineStr">
        <is>
          <t>2026-10-04T20:40:45.594258Z</t>
        </is>
      </c>
      <c r="AE756" s="31" t="inlineStr">
        <is>
          <t>Projected home margin +18.3 pts. Spread: Home -15.5 / Away +15.5 -&gt; P(Away cover)=0.442, P(Home cover)=0.558, P(Push)=0.000.</t>
        </is>
      </c>
      <c r="AF756" s="31" t="inlineStr">
        <is>
          <t>College football model; multi-market (moneyline, spread, total).</t>
        </is>
      </c>
      <c r="AG756" s="24" t="inlineStr">
        <is>
          <t>not_applicable</t>
        </is>
      </c>
      <c r="AH756" s="24" t="n"/>
      <c r="AI756" s="31" t="n"/>
      <c r="AJ756" s="31" t="n"/>
      <c r="AK756" s="24" t="inlineStr">
        <is>
          <t>model_qualified</t>
        </is>
      </c>
      <c r="AL756" s="26" t="n">
        <v>4</v>
      </c>
      <c r="AM756" s="24" t="inlineStr">
        <is>
          <t>QUALIFIED_SHADOW_CALL</t>
        </is>
      </c>
      <c r="AN756" s="24" t="inlineStr">
        <is>
          <t>CALL</t>
        </is>
      </c>
      <c r="AO756" s="24" t="inlineStr">
        <is>
          <t>QUALIFIED</t>
        </is>
      </c>
      <c r="AP756" s="24" t="inlineStr">
        <is>
          <t>Marshall Thundering Herd</t>
        </is>
      </c>
      <c r="AQ756" s="24" t="inlineStr">
        <is>
          <t>Marshall Thundering Herd</t>
        </is>
      </c>
      <c r="AR756" s="24" t="inlineStr">
        <is>
          <t>Marshall Thundering Herd</t>
        </is>
      </c>
      <c r="AS756" s="24" t="inlineStr">
        <is>
          <t>James Madison Dukes</t>
        </is>
      </c>
      <c r="AT756" s="24" t="inlineStr">
        <is>
          <t>James Madison Dukes</t>
        </is>
      </c>
      <c r="AU756" s="24" t="inlineStr">
        <is>
          <t>James Madison Dukes</t>
        </is>
      </c>
      <c r="AV756" s="24" t="n"/>
      <c r="AW756" s="24" t="n"/>
      <c r="AX756" s="24" t="inlineStr">
        <is>
          <t>statistical_model</t>
        </is>
      </c>
      <c r="AY756" s="24" t="n"/>
      <c r="AZ756" s="24" t="inlineStr">
        <is>
          <t>shadow_qualified</t>
        </is>
      </c>
      <c r="BA756" s="24" t="inlineStr">
        <is>
          <t>1d168f11d221cd3c</t>
        </is>
      </c>
      <c r="BB756" s="24" t="inlineStr">
        <is>
          <t>cfb_key_number_engine</t>
        </is>
      </c>
      <c r="BC756" s="24" t="inlineStr">
        <is>
          <t>cfb-spread-v1</t>
        </is>
      </c>
      <c r="BD756" s="24" t="inlineStr">
        <is>
          <t>1d168f11d221cd3c</t>
        </is>
      </c>
      <c r="BE756" s="24" t="inlineStr">
        <is>
          <t>cfb-v1</t>
        </is>
      </c>
      <c r="BF756" s="24" t="inlineStr">
        <is>
          <t>1</t>
        </is>
      </c>
      <c r="BG756" s="24" t="inlineStr">
        <is>
          <t>1d168f11d221cd3c</t>
        </is>
      </c>
      <c r="BH756" s="24" t="inlineStr">
        <is>
          <t>2026-10-03T16:52:02.220681+00:00</t>
        </is>
      </c>
      <c r="BI756" s="24" t="inlineStr">
        <is>
          <t>["same_event","same_team_same_day","same_league_same_day"]</t>
        </is>
      </c>
      <c r="BJ756" s="25" t="n">
        <v>-15.5</v>
      </c>
      <c r="BK756" s="26" t="n">
        <v>-110</v>
      </c>
      <c r="BL756" s="27" t="n">
        <v>1.909091</v>
      </c>
      <c r="BM756" s="28" t="n">
        <v>0.52381</v>
      </c>
      <c r="BN756" s="28" t="n"/>
      <c r="BO756" s="28" t="n"/>
      <c r="BP756" s="25" t="n"/>
      <c r="BQ756" s="27" t="n"/>
      <c r="BR756" s="28" t="n"/>
      <c r="BS756" s="28" t="n"/>
      <c r="BT756" s="28" t="n"/>
      <c r="BU756" s="25" t="n"/>
      <c r="BV756" s="29" t="n"/>
      <c r="BW756" s="24" t="n"/>
      <c r="BX756" s="30" t="n"/>
      <c r="BY756" s="27" t="n"/>
      <c r="BZ756" s="24" t="n"/>
      <c r="CA756" s="31" t="n"/>
      <c r="CB756" s="24" t="n"/>
      <c r="CC756" s="24" t="n"/>
      <c r="CD756" s="24" t="n"/>
      <c r="CE756" s="24" t="n"/>
      <c r="CF756" s="24" t="n"/>
      <c r="CG756" s="24" t="n"/>
      <c r="CH756" s="24" t="n"/>
      <c r="CI756" s="24" t="n"/>
      <c r="CJ756" s="24" t="n"/>
      <c r="CK756" s="24" t="n"/>
      <c r="CL756" s="24" t="n"/>
      <c r="CM756" s="24" t="n"/>
      <c r="CN756" s="24" t="n"/>
      <c r="CO756" s="24" t="n"/>
      <c r="CP756" s="24" t="n"/>
      <c r="CQ756" s="24" t="n"/>
      <c r="CR756" s="24" t="n"/>
      <c r="CS756" s="24" t="inlineStr">
        <is>
          <t>True</t>
        </is>
      </c>
      <c r="CT756" s="24" t="n"/>
      <c r="CU756" s="24" t="n"/>
      <c r="CV756" s="24" t="n"/>
      <c r="CW756" s="24" t="n"/>
      <c r="CX756" s="24" t="n"/>
      <c r="CY756" s="24" t="n"/>
      <c r="CZ756" s="24" t="n"/>
      <c r="DA756" s="24" t="n"/>
      <c r="DB756" s="24" t="n"/>
      <c r="DC756" s="24" t="n"/>
      <c r="DD756" s="24" t="n"/>
      <c r="DE756" s="24" t="n"/>
      <c r="DF756" s="24" t="n"/>
      <c r="DG756" s="24" t="n"/>
      <c r="DH756" s="24" t="n"/>
      <c r="DI756" s="24" t="n"/>
      <c r="DJ756" s="24" t="inlineStr">
        <is>
          <t>0.52381</t>
        </is>
      </c>
      <c r="DK756" s="24" t="n"/>
      <c r="DL756" s="24" t="n"/>
      <c r="DM756" s="24" t="n"/>
      <c r="DN756" s="24" t="n"/>
      <c r="DO756" s="24" t="n"/>
      <c r="DP756" s="24" t="n"/>
      <c r="DQ756" s="24" t="inlineStr">
        <is>
          <t>{"artifact_hash": "1d168f11d221cd3c", "event_id": "401869962", "event_start_utc": "2026-10-03T19:45Z", "features": {"altitude_fatigue_penalty": 0.0, "away_team": "Marshall Thundering Herd", "efficiency_gap": 2.516, "elo_away": 1390.7, "elo_home": 1774.4, "elo_home_win_prob": 0.9298, "event_id": "401869962", "game_start_utc": "2026-10-03T19:45Z", "home_field_advantage_points": 2.8, "home_team": "James Madison Dukes", "is_dome": false, "is_fbs_vs_fcs": false, "is_neutral_site": false, "projected_away_points": 16.5, "projected_home_points": 34.8, "projected_margin_home": 18.3, "projected_possessions": 12.4, "projected_total": 51.2, "stadium_elevation_ft": 1340, "travel_distance_miles": 192.0, "uncertainty": 0.165, "weather_total_adjustment": 0.0}, "historical_source_observation_times_verified": false, "inference_inputs": {"engine_source_sha256": "449ba2f0e86fa9c445730076a0e0bf100fb4914620be53c75c6f3bfe24298f3f", "mu_away": 16.5, "mu_home": 34.8,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319460895701298143706763648456654241503}, "uinteger": 0}, "spread_home_line": -15.5, "total_line": 55.5}, "market_type": "spread", "model_version": "cfb-spread-v1", "observed_at_utc": "2026-10-03T16:52:02.220681+00:00", "probabilities": {"away": 0.4416, "home": 0.5584, "push": 0.0}, "replay_scope": "Full precision score means, exact engine parameters and original RNG state; upstream feature construction not certified.", "schema": "cfb-joint-replay-v1", "snapshot_hash": "da891f6a9e4b3e092c9a6fab07ee1caefaa8ef00c6480d6ab967c9afc7340c63", "sport": "NCAAF"}</t>
        </is>
      </c>
    </row>
    <row r="757" ht="36" customHeight="1">
      <c r="A757" s="24" t="inlineStr">
        <is>
          <t>1fac6dd7faea444b</t>
        </is>
      </c>
      <c r="B757" s="24" t="inlineStr">
        <is>
          <t>2026-10-03T16:52:02.220681Z</t>
        </is>
      </c>
      <c r="C757" s="24" t="inlineStr">
        <is>
          <t>2026-10-03T19:45Z</t>
        </is>
      </c>
      <c r="D757" s="24" t="inlineStr">
        <is>
          <t>401869962</t>
        </is>
      </c>
      <c r="E757" s="24" t="inlineStr">
        <is>
          <t>NCAAF</t>
        </is>
      </c>
      <c r="F757" s="24" t="inlineStr">
        <is>
          <t>Marshall Thundering Herd</t>
        </is>
      </c>
      <c r="G757" s="24" t="inlineStr">
        <is>
          <t>James Madison Dukes</t>
        </is>
      </c>
      <c r="H757" s="24" t="inlineStr">
        <is>
          <t>total</t>
        </is>
      </c>
      <c r="I757" s="24" t="inlineStr">
        <is>
          <t>under</t>
        </is>
      </c>
      <c r="J757" s="25" t="n">
        <v>55.5</v>
      </c>
      <c r="K757" s="24" t="inlineStr">
        <is>
          <t>espn_consensus</t>
        </is>
      </c>
      <c r="L757" s="26" t="n">
        <v>-110</v>
      </c>
      <c r="M757" s="27" t="n">
        <v>1.909091</v>
      </c>
      <c r="N757" s="28" t="n">
        <v>0.52381</v>
      </c>
      <c r="O757" s="28" t="n">
        <v>0.6</v>
      </c>
      <c r="P757" s="28" t="n">
        <v>0.165</v>
      </c>
      <c r="Q757" s="28" t="n">
        <v>0.07618999999999999</v>
      </c>
      <c r="R757" s="26" t="n">
        <v>0</v>
      </c>
      <c r="S757" s="29" t="n">
        <v>1</v>
      </c>
      <c r="T757" s="24" t="inlineStr">
        <is>
          <t>cfb-total-v1</t>
        </is>
      </c>
      <c r="U757" s="24" t="inlineStr">
        <is>
          <t>settled</t>
        </is>
      </c>
      <c r="V757" s="24" t="inlineStr">
        <is>
          <t>loss</t>
        </is>
      </c>
      <c r="W757" s="26" t="n">
        <v>17</v>
      </c>
      <c r="X757" s="26" t="n">
        <v>45</v>
      </c>
      <c r="Y757" s="25" t="n"/>
      <c r="Z757" s="26" t="n"/>
      <c r="AA757" s="28" t="n"/>
      <c r="AB757" s="28" t="n"/>
      <c r="AC757" s="30" t="n">
        <v>-1</v>
      </c>
      <c r="AD757" s="24" t="inlineStr">
        <is>
          <t>2026-10-04T20:40:51.513732Z</t>
        </is>
      </c>
      <c r="AE757" s="31" t="inlineStr">
        <is>
          <t>Projected total 51.2 pts (Weather adj: +0.0 pts). Total line 55.5 -&gt; P(Over)=0.400, P(Under)=0.600, P(Push)=0.000.</t>
        </is>
      </c>
      <c r="AF757" s="31" t="inlineStr">
        <is>
          <t>College football model; multi-market (moneyline, spread, total).</t>
        </is>
      </c>
      <c r="AG757" s="24" t="inlineStr">
        <is>
          <t>review_required</t>
        </is>
      </c>
      <c r="AH757" s="24" t="n"/>
      <c r="AI757" s="31" t="n"/>
      <c r="AJ757" s="31" t="n"/>
      <c r="AK757" s="24" t="inlineStr">
        <is>
          <t>model_qualified</t>
        </is>
      </c>
      <c r="AL757" s="26" t="n">
        <v>4</v>
      </c>
      <c r="AM757" s="24" t="inlineStr">
        <is>
          <t>QUALIFIED_SHADOW_CALL</t>
        </is>
      </c>
      <c r="AN757" s="24" t="inlineStr">
        <is>
          <t>CALL</t>
        </is>
      </c>
      <c r="AO757" s="24" t="inlineStr">
        <is>
          <t>QUALIFIED</t>
        </is>
      </c>
      <c r="AP757" s="24" t="inlineStr">
        <is>
          <t>Marshall Thundering Herd</t>
        </is>
      </c>
      <c r="AQ757" s="24" t="inlineStr">
        <is>
          <t>Marshall Thundering Herd</t>
        </is>
      </c>
      <c r="AR757" s="24" t="inlineStr">
        <is>
          <t>Marshall Thundering Herd</t>
        </is>
      </c>
      <c r="AS757" s="24" t="inlineStr">
        <is>
          <t>James Madison Dukes</t>
        </is>
      </c>
      <c r="AT757" s="24" t="inlineStr">
        <is>
          <t>James Madison Dukes</t>
        </is>
      </c>
      <c r="AU757" s="24" t="inlineStr">
        <is>
          <t>James Madison Dukes</t>
        </is>
      </c>
      <c r="AV757" s="24" t="n"/>
      <c r="AW757" s="24" t="n"/>
      <c r="AX757" s="24" t="inlineStr">
        <is>
          <t>statistical_model</t>
        </is>
      </c>
      <c r="AY757" s="24" t="n"/>
      <c r="AZ757" s="24" t="inlineStr">
        <is>
          <t>shadow_qualified</t>
        </is>
      </c>
      <c r="BA757" s="24" t="inlineStr">
        <is>
          <t>1d168f11d221cd3c</t>
        </is>
      </c>
      <c r="BB757" s="24" t="inlineStr">
        <is>
          <t>cfb_key_number_engine</t>
        </is>
      </c>
      <c r="BC757" s="24" t="inlineStr">
        <is>
          <t>cfb-total-v1</t>
        </is>
      </c>
      <c r="BD757" s="24" t="inlineStr">
        <is>
          <t>1d168f11d221cd3c</t>
        </is>
      </c>
      <c r="BE757" s="24" t="inlineStr">
        <is>
          <t>cfb-v1</t>
        </is>
      </c>
      <c r="BF757" s="24" t="inlineStr">
        <is>
          <t>1</t>
        </is>
      </c>
      <c r="BG757" s="24" t="inlineStr">
        <is>
          <t>1d168f11d221cd3c</t>
        </is>
      </c>
      <c r="BH757" s="24" t="inlineStr">
        <is>
          <t>2026-10-03T16:52:02.220681+00:00</t>
        </is>
      </c>
      <c r="BI757" s="24" t="inlineStr">
        <is>
          <t>["same_event","same_team_same_day","same_league_same_day"]</t>
        </is>
      </c>
      <c r="BJ757" s="25" t="n">
        <v>55.5</v>
      </c>
      <c r="BK757" s="26" t="n">
        <v>-110</v>
      </c>
      <c r="BL757" s="27" t="n">
        <v>1.909091</v>
      </c>
      <c r="BM757" s="28" t="n">
        <v>0.52381</v>
      </c>
      <c r="BN757" s="28" t="n"/>
      <c r="BO757" s="28" t="n"/>
      <c r="BP757" s="25" t="n"/>
      <c r="BQ757" s="27" t="n"/>
      <c r="BR757" s="28" t="n"/>
      <c r="BS757" s="28" t="n"/>
      <c r="BT757" s="28" t="n"/>
      <c r="BU757" s="25" t="n"/>
      <c r="BV757" s="29" t="n"/>
      <c r="BW757" s="24" t="n"/>
      <c r="BX757" s="30" t="n"/>
      <c r="BY757" s="27" t="n"/>
      <c r="BZ757" s="24" t="n"/>
      <c r="CA757" s="31" t="n"/>
      <c r="CB757" s="24" t="n"/>
      <c r="CC757" s="24" t="n"/>
      <c r="CD757" s="24" t="n"/>
      <c r="CE757" s="24" t="n"/>
      <c r="CF757" s="24" t="n"/>
      <c r="CG757" s="24" t="n"/>
      <c r="CH757" s="24" t="n"/>
      <c r="CI757" s="24" t="n"/>
      <c r="CJ757" s="24" t="n"/>
      <c r="CK757" s="24" t="n"/>
      <c r="CL757" s="24" t="n"/>
      <c r="CM757" s="24" t="n"/>
      <c r="CN757" s="24" t="n"/>
      <c r="CO757" s="24" t="n"/>
      <c r="CP757" s="24" t="n"/>
      <c r="CQ757" s="24" t="n"/>
      <c r="CR757" s="24" t="n"/>
      <c r="CS757" s="24" t="inlineStr">
        <is>
          <t>True</t>
        </is>
      </c>
      <c r="CT757" s="24" t="n"/>
      <c r="CU757" s="24" t="n"/>
      <c r="CV757" s="24" t="n"/>
      <c r="CW757" s="24" t="n"/>
      <c r="CX757" s="24" t="n"/>
      <c r="CY757" s="24" t="n"/>
      <c r="CZ757" s="24" t="n"/>
      <c r="DA757" s="24" t="n"/>
      <c r="DB757" s="24" t="n"/>
      <c r="DC757" s="24" t="n"/>
      <c r="DD757" s="24" t="n"/>
      <c r="DE757" s="24" t="n"/>
      <c r="DF757" s="24" t="n"/>
      <c r="DG757" s="24" t="n"/>
      <c r="DH757" s="24" t="n"/>
      <c r="DI757" s="24" t="n"/>
      <c r="DJ757" s="24" t="inlineStr">
        <is>
          <t>0.52381</t>
        </is>
      </c>
      <c r="DK757" s="24" t="n"/>
      <c r="DL757" s="24" t="n"/>
      <c r="DM757" s="24" t="n"/>
      <c r="DN757" s="24" t="n"/>
      <c r="DO757" s="24" t="n"/>
      <c r="DP757" s="24" t="n"/>
      <c r="DQ757" s="24" t="inlineStr">
        <is>
          <t>{"artifact_hash": "1d168f11d221cd3c", "event_id": "401869962", "event_start_utc": "2026-10-03T19:45Z", "features": {"altitude_fatigue_penalty": 0.0, "away_team": "Marshall Thundering Herd", "efficiency_gap": 2.516, "elo_away": 1390.7, "elo_home": 1774.4, "elo_home_win_prob": 0.9298, "event_id": "401869962", "game_start_utc": "2026-10-03T19:45Z", "home_field_advantage_points": 2.8, "home_team": "James Madison Dukes", "is_dome": false, "is_fbs_vs_fcs": false, "is_neutral_site": false, "projected_away_points": 16.5, "projected_home_points": 34.8, "projected_margin_home": 18.3, "projected_possessions": 12.4, "projected_total": 51.2, "stadium_elevation_ft": 1340, "travel_distance_miles": 192.0, "uncertainty": 0.165, "weather_total_adjustment": 0.0}, "historical_source_observation_times_verified": false, "inference_inputs": {"engine_source_sha256": "449ba2f0e86fa9c445730076a0e0bf100fb4914620be53c75c6f3bfe24298f3f", "mu_away": 16.5, "mu_home": 34.8,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319460895701298143706763648456654241503}, "uinteger": 0}, "spread_home_line": -15.5, "total_line": 55.5}, "market_type": "total", "model_version": "cfb-total-v1", "observed_at_utc": "2026-10-03T16:52:02.220681+00:00", "probabilities": {"over": 0.4, "push": 0.0, "under": 0.6}, "replay_scope": "Full precision score means, exact engine parameters and original RNG state; upstream feature construction not certified.", "schema": "cfb-joint-replay-v1", "snapshot_hash": "3b0ef25e9fc12a041c2748d4f81de684c47a0c62204aa8100575b403756b15a1", "sport": "NCAAF"}</t>
        </is>
      </c>
    </row>
    <row r="758" ht="36" customHeight="1">
      <c r="A758" s="24" t="inlineStr">
        <is>
          <t>77a083b0ba5c4c30</t>
        </is>
      </c>
      <c r="B758" s="24" t="inlineStr">
        <is>
          <t>2026-10-03T16:52:02.220681Z</t>
        </is>
      </c>
      <c r="C758" s="24" t="inlineStr">
        <is>
          <t>2026-10-03T20:00Z</t>
        </is>
      </c>
      <c r="D758" s="24" t="inlineStr">
        <is>
          <t>401858475</t>
        </is>
      </c>
      <c r="E758" s="24" t="inlineStr">
        <is>
          <t>NCAAF</t>
        </is>
      </c>
      <c r="F758" s="24" t="inlineStr">
        <is>
          <t>Maryland Terrapins</t>
        </is>
      </c>
      <c r="G758" s="24" t="inlineStr">
        <is>
          <t>Nebraska Cornhuskers</t>
        </is>
      </c>
      <c r="H758" s="24" t="inlineStr">
        <is>
          <t>moneyline</t>
        </is>
      </c>
      <c r="I758" s="24" t="inlineStr">
        <is>
          <t>home</t>
        </is>
      </c>
      <c r="J758" s="25" t="n"/>
      <c r="K758" s="24" t="inlineStr">
        <is>
          <t>espn_consensus</t>
        </is>
      </c>
      <c r="L758" s="26" t="n">
        <v>-700</v>
      </c>
      <c r="M758" s="27" t="n">
        <v>1.142857</v>
      </c>
      <c r="N758" s="28" t="n">
        <v>0.875</v>
      </c>
      <c r="O758" s="28" t="n">
        <v>0.737277</v>
      </c>
      <c r="P758" s="28" t="n">
        <v>0.18</v>
      </c>
      <c r="Q758" s="28" t="n">
        <v>-0.137723</v>
      </c>
      <c r="R758" s="26" t="n">
        <v>0</v>
      </c>
      <c r="S758" s="29" t="n">
        <v>1</v>
      </c>
      <c r="T758" s="24" t="inlineStr">
        <is>
          <t>college-football-v1</t>
        </is>
      </c>
      <c r="U758" s="24" t="inlineStr">
        <is>
          <t>settled</t>
        </is>
      </c>
      <c r="V758" s="24" t="inlineStr">
        <is>
          <t>win</t>
        </is>
      </c>
      <c r="W758" s="26" t="n">
        <v>23</v>
      </c>
      <c r="X758" s="26" t="n">
        <v>48</v>
      </c>
      <c r="Y758" s="25" t="n"/>
      <c r="Z758" s="26" t="n"/>
      <c r="AA758" s="28" t="n"/>
      <c r="AB758" s="28" t="n"/>
      <c r="AC758" s="30" t="n">
        <v>0.1429</v>
      </c>
      <c r="AD758" s="24" t="inlineStr">
        <is>
          <t>2026-10-04T20:40:57.344858Z</t>
        </is>
      </c>
      <c r="AE758" s="31" t="inlineStr">
        <is>
          <t>CFB Joint Model (negative_binomial): proj score Maryland Terrapins 22.0 @ Nebraska Cornhuskers 34.4 (Margin +12.3). Possessions: 12.4, HFA: +2.8 pts.</t>
        </is>
      </c>
      <c r="AF758" s="31" t="inlineStr">
        <is>
          <t>College football model; multi-market (moneyline, spread, total).</t>
        </is>
      </c>
      <c r="AG758" s="24" t="inlineStr">
        <is>
          <t>not_applicable</t>
        </is>
      </c>
      <c r="AH758" s="24" t="n"/>
      <c r="AI758" s="31" t="n"/>
      <c r="AJ758" s="31" t="n"/>
      <c r="AK758" s="24" t="inlineStr">
        <is>
          <t>paper_call</t>
        </is>
      </c>
      <c r="AL758" s="26" t="n">
        <v>4</v>
      </c>
      <c r="AM758" s="24" t="inlineStr">
        <is>
          <t>RESEARCH_OBSERVATION</t>
        </is>
      </c>
      <c r="AN758" s="24" t="inlineStr">
        <is>
          <t>CALL</t>
        </is>
      </c>
      <c r="AO758" s="24" t="inlineStr">
        <is>
          <t>PAPER_CALL_LOW_EDGE</t>
        </is>
      </c>
      <c r="AP758" s="24" t="inlineStr">
        <is>
          <t>Maryland Terrapins</t>
        </is>
      </c>
      <c r="AQ758" s="24" t="inlineStr">
        <is>
          <t>Maryland Terrapins</t>
        </is>
      </c>
      <c r="AR758" s="24" t="inlineStr">
        <is>
          <t>Maryland Terrapins</t>
        </is>
      </c>
      <c r="AS758" s="24" t="inlineStr">
        <is>
          <t>Nebraska Cornhuskers</t>
        </is>
      </c>
      <c r="AT758" s="24" t="inlineStr">
        <is>
          <t>Nebraska Cornhuskers</t>
        </is>
      </c>
      <c r="AU758" s="24" t="inlineStr">
        <is>
          <t>Nebraska Cornhuskers</t>
        </is>
      </c>
      <c r="AV758" s="24" t="n"/>
      <c r="AW758" s="24" t="n"/>
      <c r="AX758" s="24" t="inlineStr">
        <is>
          <t>statistical_model</t>
        </is>
      </c>
      <c r="AY758" s="24" t="n"/>
      <c r="AZ758" s="24" t="inlineStr">
        <is>
          <t>shadow_qualified</t>
        </is>
      </c>
      <c r="BA758" s="24" t="inlineStr">
        <is>
          <t>1d168f11d221cd3c</t>
        </is>
      </c>
      <c r="BB758" s="24" t="inlineStr">
        <is>
          <t>cfb_key_number_engine</t>
        </is>
      </c>
      <c r="BC758" s="24" t="inlineStr">
        <is>
          <t>college-football-v1</t>
        </is>
      </c>
      <c r="BD758" s="24" t="inlineStr">
        <is>
          <t>1d168f11d221cd3c</t>
        </is>
      </c>
      <c r="BE758" s="24" t="inlineStr">
        <is>
          <t>cfb-v1</t>
        </is>
      </c>
      <c r="BF758" s="24" t="inlineStr">
        <is>
          <t>1</t>
        </is>
      </c>
      <c r="BG758" s="24" t="inlineStr">
        <is>
          <t>1d168f11d221cd3c</t>
        </is>
      </c>
      <c r="BH758" s="24" t="inlineStr">
        <is>
          <t>2026-10-03T16:52:02.220681+00:00</t>
        </is>
      </c>
      <c r="BI758" s="24" t="inlineStr">
        <is>
          <t>["same_event","same_team_same_day","same_league_same_day"]</t>
        </is>
      </c>
      <c r="BJ758" s="25" t="n"/>
      <c r="BK758" s="26" t="n">
        <v>-700</v>
      </c>
      <c r="BL758" s="27" t="n">
        <v>1.142857</v>
      </c>
      <c r="BM758" s="28" t="n">
        <v>0.875</v>
      </c>
      <c r="BN758" s="28" t="n"/>
      <c r="BO758" s="28" t="n"/>
      <c r="BP758" s="25" t="n"/>
      <c r="BQ758" s="27" t="n"/>
      <c r="BR758" s="28" t="n"/>
      <c r="BS758" s="28" t="n"/>
      <c r="BT758" s="28" t="n"/>
      <c r="BU758" s="25" t="n"/>
      <c r="BV758" s="29" t="n"/>
      <c r="BW758" s="24" t="n"/>
      <c r="BX758" s="30" t="n">
        <v>1</v>
      </c>
      <c r="BY758" s="27" t="n">
        <v>0.142857</v>
      </c>
      <c r="BZ758" s="24" t="inlineStr">
        <is>
          <t>2026-10-04T20:40:57.344858Z</t>
        </is>
      </c>
      <c r="CA758" s="31" t="inlineStr">
        <is>
          <t>fixed one-unit hypothetical scoring; no real exposure or execution</t>
        </is>
      </c>
      <c r="CB758" s="24" t="n"/>
      <c r="CC758" s="24" t="n"/>
      <c r="CD758" s="24" t="n"/>
      <c r="CE758" s="24" t="n"/>
      <c r="CF758" s="24" t="n"/>
      <c r="CG758" s="24" t="n"/>
      <c r="CH758" s="24" t="n"/>
      <c r="CI758" s="24" t="n"/>
      <c r="CJ758" s="24" t="n"/>
      <c r="CK758" s="24" t="n"/>
      <c r="CL758" s="24" t="n"/>
      <c r="CM758" s="24" t="n"/>
      <c r="CN758" s="24" t="n"/>
      <c r="CO758" s="24" t="n"/>
      <c r="CP758" s="24" t="n"/>
      <c r="CQ758" s="24" t="n"/>
      <c r="CR758" s="24" t="n"/>
      <c r="CS758" s="24" t="inlineStr">
        <is>
          <t>False</t>
        </is>
      </c>
      <c r="CT758" s="24" t="n"/>
      <c r="CU758" s="24" t="n"/>
      <c r="CV758" s="24" t="n"/>
      <c r="CW758" s="24" t="n"/>
      <c r="CX758" s="24" t="n"/>
      <c r="CY758" s="24" t="n"/>
      <c r="CZ758" s="24" t="n"/>
      <c r="DA758" s="24" t="n"/>
      <c r="DB758" s="24" t="n"/>
      <c r="DC758" s="24" t="n"/>
      <c r="DD758" s="24" t="n"/>
      <c r="DE758" s="24" t="n"/>
      <c r="DF758" s="24" t="n"/>
      <c r="DG758" s="24" t="n"/>
      <c r="DH758" s="24" t="n"/>
      <c r="DI758" s="24" t="n"/>
      <c r="DJ758" s="24" t="inlineStr">
        <is>
          <t>0.875</t>
        </is>
      </c>
      <c r="DK758" s="24" t="n"/>
      <c r="DL758" s="24" t="n"/>
      <c r="DM758" s="24" t="n"/>
      <c r="DN758" s="24" t="n"/>
      <c r="DO758" s="24" t="n"/>
      <c r="DP758" s="24" t="n"/>
      <c r="DQ758" s="24" t="inlineStr">
        <is>
          <t>{"artifact_hash": "1d168f11d221cd3c", "event_id": "401858475", "event_start_utc": "2026-10-03T20:00Z", "features": {"altitude_fatigue_penalty": 0.0, "away_team": "Maryland Terrapins", "efficiency_gap": 0.992, "elo_away": 1224.9, "elo_home": 1462.4, "elo_home_win_prob": 0.8509, "event_id": "401858475", "game_start_utc": "2026-10-03T20:00Z", "home_field_advantage_points": 2.8, "home_team": "Nebraska Cornhuskers", "is_dome": false, "is_fbs_vs_fcs": false, "is_neutral_site": false, "projected_away_points": 22.0, "projected_home_points": 34.4, "projected_margin_home": 12.3, "projected_possessions": 12.4, "projected_total": 56.4, "stadium_elevation_ft": 1180, "travel_distance_miles": 1053.0, "uncertainty": 0.18, "weather_total_adjustment": 0.0}, "historical_source_observation_times_verified": false, "inference_inputs": {"engine_source_sha256": "449ba2f0e86fa9c445730076a0e0bf100fb4914620be53c75c6f3bfe24298f3f", "mu_away": 22.0, "mu_home": 34.4,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154318667715678210864938762101087957788}, "uinteger": 0}, "spread_home_line": -14.5, "total_line": 52.5}, "market_type": "moneyline", "model_version": "college-football-v1", "observed_at_utc": "2026-10-03T16:52:02.220681+00:00", "probabilities": {"away": 0.262723, "home": 0.737277}, "replay_scope": "Full precision score means, exact engine parameters and original RNG state; upstream feature construction not certified.", "schema": "cfb-joint-replay-v1", "snapshot_hash": "a22c5bb61eff17c735aed5be87564f9277d6ba604defa818bd53d1bfa076a1e3", "sport": "NCAAF"}</t>
        </is>
      </c>
    </row>
    <row r="759" ht="36" customHeight="1">
      <c r="A759" s="24" t="inlineStr">
        <is>
          <t>97f8eb1826144d8d</t>
        </is>
      </c>
      <c r="B759" s="24" t="inlineStr">
        <is>
          <t>2026-10-03T16:52:02.220681Z</t>
        </is>
      </c>
      <c r="C759" s="24" t="inlineStr">
        <is>
          <t>2026-10-03T20:00Z</t>
        </is>
      </c>
      <c r="D759" s="24" t="inlineStr">
        <is>
          <t>401858475</t>
        </is>
      </c>
      <c r="E759" s="24" t="inlineStr">
        <is>
          <t>NCAAF</t>
        </is>
      </c>
      <c r="F759" s="24" t="inlineStr">
        <is>
          <t>Maryland Terrapins</t>
        </is>
      </c>
      <c r="G759" s="24" t="inlineStr">
        <is>
          <t>Nebraska Cornhuskers</t>
        </is>
      </c>
      <c r="H759" s="24" t="inlineStr">
        <is>
          <t>spread</t>
        </is>
      </c>
      <c r="I759" s="24" t="inlineStr">
        <is>
          <t>away</t>
        </is>
      </c>
      <c r="J759" s="25" t="n">
        <v>14.5</v>
      </c>
      <c r="K759" s="24" t="inlineStr">
        <is>
          <t>espn_consensus</t>
        </is>
      </c>
      <c r="L759" s="26" t="n">
        <v>-108</v>
      </c>
      <c r="M759" s="27" t="n">
        <v>1.925926</v>
      </c>
      <c r="N759" s="28" t="n">
        <v>0.519231</v>
      </c>
      <c r="O759" s="28" t="n">
        <v>0.5442669999999999</v>
      </c>
      <c r="P759" s="28" t="n">
        <v>0.18</v>
      </c>
      <c r="Q759" s="28" t="n">
        <v>0.025036</v>
      </c>
      <c r="R759" s="26" t="n">
        <v>0</v>
      </c>
      <c r="S759" s="29" t="n">
        <v>1</v>
      </c>
      <c r="T759" s="24" t="inlineStr">
        <is>
          <t>cfb-spread-v1</t>
        </is>
      </c>
      <c r="U759" s="24" t="inlineStr">
        <is>
          <t>settled</t>
        </is>
      </c>
      <c r="V759" s="24" t="inlineStr">
        <is>
          <t>loss</t>
        </is>
      </c>
      <c r="W759" s="26" t="n">
        <v>23</v>
      </c>
      <c r="X759" s="26" t="n">
        <v>48</v>
      </c>
      <c r="Y759" s="25" t="n"/>
      <c r="Z759" s="26" t="n"/>
      <c r="AA759" s="28" t="n"/>
      <c r="AB759" s="28" t="n"/>
      <c r="AC759" s="30" t="n">
        <v>-1</v>
      </c>
      <c r="AD759" s="24" t="inlineStr">
        <is>
          <t>2026-10-04T20:41:03.297798Z</t>
        </is>
      </c>
      <c r="AE759" s="31" t="inlineStr">
        <is>
          <t>Projected home margin +12.3 pts. Spread: Home -14.5 / Away +14.5 -&gt; P(Away cover)=0.544, P(Home cover)=0.456, P(Push)=0.000.</t>
        </is>
      </c>
      <c r="AF759" s="31" t="inlineStr">
        <is>
          <t>College football model; multi-market (moneyline, spread, total).</t>
        </is>
      </c>
      <c r="AG759" s="24" t="inlineStr">
        <is>
          <t>review_required</t>
        </is>
      </c>
      <c r="AH759" s="24" t="n"/>
      <c r="AI759" s="31" t="n"/>
      <c r="AJ759" s="31" t="n"/>
      <c r="AK759" s="24" t="inlineStr">
        <is>
          <t>paper_call</t>
        </is>
      </c>
      <c r="AL759" s="26" t="n">
        <v>4</v>
      </c>
      <c r="AM759" s="24" t="inlineStr">
        <is>
          <t>RESEARCH_OBSERVATION</t>
        </is>
      </c>
      <c r="AN759" s="24" t="inlineStr">
        <is>
          <t>CALL</t>
        </is>
      </c>
      <c r="AO759" s="24" t="inlineStr">
        <is>
          <t>PAPER_CALL_LOW_EDGE</t>
        </is>
      </c>
      <c r="AP759" s="24" t="inlineStr">
        <is>
          <t>Maryland Terrapins</t>
        </is>
      </c>
      <c r="AQ759" s="24" t="inlineStr">
        <is>
          <t>Maryland Terrapins</t>
        </is>
      </c>
      <c r="AR759" s="24" t="inlineStr">
        <is>
          <t>Maryland Terrapins</t>
        </is>
      </c>
      <c r="AS759" s="24" t="inlineStr">
        <is>
          <t>Nebraska Cornhuskers</t>
        </is>
      </c>
      <c r="AT759" s="24" t="inlineStr">
        <is>
          <t>Nebraska Cornhuskers</t>
        </is>
      </c>
      <c r="AU759" s="24" t="inlineStr">
        <is>
          <t>Nebraska Cornhuskers</t>
        </is>
      </c>
      <c r="AV759" s="24" t="n"/>
      <c r="AW759" s="24" t="n"/>
      <c r="AX759" s="24" t="inlineStr">
        <is>
          <t>statistical_model</t>
        </is>
      </c>
      <c r="AY759" s="24" t="n"/>
      <c r="AZ759" s="24" t="inlineStr">
        <is>
          <t>shadow_qualified</t>
        </is>
      </c>
      <c r="BA759" s="24" t="inlineStr">
        <is>
          <t>1d168f11d221cd3c</t>
        </is>
      </c>
      <c r="BB759" s="24" t="inlineStr">
        <is>
          <t>cfb_key_number_engine</t>
        </is>
      </c>
      <c r="BC759" s="24" t="inlineStr">
        <is>
          <t>cfb-spread-v1</t>
        </is>
      </c>
      <c r="BD759" s="24" t="inlineStr">
        <is>
          <t>1d168f11d221cd3c</t>
        </is>
      </c>
      <c r="BE759" s="24" t="inlineStr">
        <is>
          <t>cfb-v1</t>
        </is>
      </c>
      <c r="BF759" s="24" t="inlineStr">
        <is>
          <t>1</t>
        </is>
      </c>
      <c r="BG759" s="24" t="inlineStr">
        <is>
          <t>1d168f11d221cd3c</t>
        </is>
      </c>
      <c r="BH759" s="24" t="inlineStr">
        <is>
          <t>2026-10-03T16:52:02.220681+00:00</t>
        </is>
      </c>
      <c r="BI759" s="24" t="inlineStr">
        <is>
          <t>["same_event","same_team_same_day","same_league_same_day"]</t>
        </is>
      </c>
      <c r="BJ759" s="25" t="n">
        <v>14.5</v>
      </c>
      <c r="BK759" s="26" t="n">
        <v>-108</v>
      </c>
      <c r="BL759" s="27" t="n">
        <v>1.925926</v>
      </c>
      <c r="BM759" s="28" t="n">
        <v>0.519231</v>
      </c>
      <c r="BN759" s="28" t="n"/>
      <c r="BO759" s="28" t="n"/>
      <c r="BP759" s="25" t="n"/>
      <c r="BQ759" s="27" t="n"/>
      <c r="BR759" s="28" t="n"/>
      <c r="BS759" s="28" t="n"/>
      <c r="BT759" s="28" t="n"/>
      <c r="BU759" s="25" t="n"/>
      <c r="BV759" s="29" t="n"/>
      <c r="BW759" s="24" t="n"/>
      <c r="BX759" s="30" t="n">
        <v>1</v>
      </c>
      <c r="BY759" s="27" t="n">
        <v>-1</v>
      </c>
      <c r="BZ759" s="24" t="inlineStr">
        <is>
          <t>2026-10-04T20:41:03.297798Z</t>
        </is>
      </c>
      <c r="CA759" s="31" t="inlineStr">
        <is>
          <t>fixed one-unit hypothetical scoring; no real exposure or execution</t>
        </is>
      </c>
      <c r="CB759" s="24" t="n"/>
      <c r="CC759" s="24" t="n"/>
      <c r="CD759" s="24" t="n"/>
      <c r="CE759" s="24" t="n"/>
      <c r="CF759" s="24" t="n"/>
      <c r="CG759" s="24" t="n"/>
      <c r="CH759" s="24" t="n"/>
      <c r="CI759" s="24" t="n"/>
      <c r="CJ759" s="24" t="n"/>
      <c r="CK759" s="24" t="n"/>
      <c r="CL759" s="24" t="n"/>
      <c r="CM759" s="24" t="n"/>
      <c r="CN759" s="24" t="n"/>
      <c r="CO759" s="24" t="n"/>
      <c r="CP759" s="24" t="n"/>
      <c r="CQ759" s="24" t="n"/>
      <c r="CR759" s="24" t="n"/>
      <c r="CS759" s="24" t="inlineStr">
        <is>
          <t>True</t>
        </is>
      </c>
      <c r="CT759" s="24" t="n"/>
      <c r="CU759" s="24" t="n"/>
      <c r="CV759" s="24" t="n"/>
      <c r="CW759" s="24" t="n"/>
      <c r="CX759" s="24" t="n"/>
      <c r="CY759" s="24" t="n"/>
      <c r="CZ759" s="24" t="n"/>
      <c r="DA759" s="24" t="n"/>
      <c r="DB759" s="24" t="n"/>
      <c r="DC759" s="24" t="n"/>
      <c r="DD759" s="24" t="n"/>
      <c r="DE759" s="24" t="n"/>
      <c r="DF759" s="24" t="n"/>
      <c r="DG759" s="24" t="n"/>
      <c r="DH759" s="24" t="n"/>
      <c r="DI759" s="24" t="n"/>
      <c r="DJ759" s="24" t="inlineStr">
        <is>
          <t>0.519231</t>
        </is>
      </c>
      <c r="DK759" s="24" t="n"/>
      <c r="DL759" s="24" t="n"/>
      <c r="DM759" s="24" t="n"/>
      <c r="DN759" s="24" t="n"/>
      <c r="DO759" s="24" t="n"/>
      <c r="DP759" s="24" t="n"/>
      <c r="DQ759" s="24" t="inlineStr">
        <is>
          <t>{"artifact_hash": "1d168f11d221cd3c", "event_id": "401858475", "event_start_utc": "2026-10-03T20:00Z", "features": {"altitude_fatigue_penalty": 0.0, "away_team": "Maryland Terrapins", "efficiency_gap": 0.992, "elo_away": 1224.9, "elo_home": 1462.4, "elo_home_win_prob": 0.8509, "event_id": "401858475", "game_start_utc": "2026-10-03T20:00Z", "home_field_advantage_points": 2.8, "home_team": "Nebraska Cornhuskers", "is_dome": false, "is_fbs_vs_fcs": false, "is_neutral_site": false, "projected_away_points": 22.0, "projected_home_points": 34.4, "projected_margin_home": 12.3, "projected_possessions": 12.4, "projected_total": 56.4, "stadium_elevation_ft": 1180, "travel_distance_miles": 1053.0, "uncertainty": 0.18, "weather_total_adjustment": 0.0}, "historical_source_observation_times_verified": false, "inference_inputs": {"engine_source_sha256": "449ba2f0e86fa9c445730076a0e0bf100fb4914620be53c75c6f3bfe24298f3f", "mu_away": 22.0, "mu_home": 34.4,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154318667715678210864938762101087957788}, "uinteger": 0}, "spread_home_line": -14.5, "total_line": 52.5}, "market_type": "spread", "model_version": "cfb-spread-v1", "observed_at_utc": "2026-10-03T16:52:02.220681+00:00", "probabilities": {"away": 0.544267, "home": 0.455733, "push": 0.0}, "replay_scope": "Full precision score means, exact engine parameters and original RNG state; upstream feature construction not certified.", "schema": "cfb-joint-replay-v1", "snapshot_hash": "1712c729c0557db1104e43fb032fe3088c614265e24b10ed9e3de3bbc5862d38", "sport": "NCAAF"}</t>
        </is>
      </c>
    </row>
    <row r="760" ht="36" customHeight="1">
      <c r="A760" s="24" t="inlineStr">
        <is>
          <t>71bd8dff2dd44402</t>
        </is>
      </c>
      <c r="B760" s="24" t="inlineStr">
        <is>
          <t>2026-10-03T16:52:02.220681Z</t>
        </is>
      </c>
      <c r="C760" s="24" t="inlineStr">
        <is>
          <t>2026-10-03T20:00Z</t>
        </is>
      </c>
      <c r="D760" s="24" t="inlineStr">
        <is>
          <t>401858475</t>
        </is>
      </c>
      <c r="E760" s="24" t="inlineStr">
        <is>
          <t>NCAAF</t>
        </is>
      </c>
      <c r="F760" s="24" t="inlineStr">
        <is>
          <t>Maryland Terrapins</t>
        </is>
      </c>
      <c r="G760" s="24" t="inlineStr">
        <is>
          <t>Nebraska Cornhuskers</t>
        </is>
      </c>
      <c r="H760" s="24" t="inlineStr">
        <is>
          <t>total</t>
        </is>
      </c>
      <c r="I760" s="24" t="inlineStr">
        <is>
          <t>over</t>
        </is>
      </c>
      <c r="J760" s="25" t="n">
        <v>52.5</v>
      </c>
      <c r="K760" s="24" t="inlineStr">
        <is>
          <t>espn_consensus</t>
        </is>
      </c>
      <c r="L760" s="26" t="n">
        <v>-110</v>
      </c>
      <c r="M760" s="27" t="n">
        <v>1.909091</v>
      </c>
      <c r="N760" s="28" t="n">
        <v>0.52381</v>
      </c>
      <c r="O760" s="28" t="n">
        <v>0.534</v>
      </c>
      <c r="P760" s="28" t="n">
        <v>0.18</v>
      </c>
      <c r="Q760" s="28" t="n">
        <v>0.01019</v>
      </c>
      <c r="R760" s="26" t="n">
        <v>0</v>
      </c>
      <c r="S760" s="29" t="n">
        <v>1</v>
      </c>
      <c r="T760" s="24" t="inlineStr">
        <is>
          <t>cfb-total-v1</t>
        </is>
      </c>
      <c r="U760" s="24" t="inlineStr">
        <is>
          <t>settled</t>
        </is>
      </c>
      <c r="V760" s="24" t="inlineStr">
        <is>
          <t>win</t>
        </is>
      </c>
      <c r="W760" s="26" t="n">
        <v>23</v>
      </c>
      <c r="X760" s="26" t="n">
        <v>48</v>
      </c>
      <c r="Y760" s="25" t="n"/>
      <c r="Z760" s="26" t="n"/>
      <c r="AA760" s="28" t="n"/>
      <c r="AB760" s="28" t="n"/>
      <c r="AC760" s="30" t="n">
        <v>0.9091</v>
      </c>
      <c r="AD760" s="24" t="inlineStr">
        <is>
          <t>2026-10-04T20:41:09.599508Z</t>
        </is>
      </c>
      <c r="AE760" s="31" t="inlineStr">
        <is>
          <t>Projected total 56.4 pts (Weather adj: +0.0 pts). Total line 52.5 -&gt; P(Over)=0.534, P(Under)=0.466, P(Push)=0.000.</t>
        </is>
      </c>
      <c r="AF760" s="31" t="inlineStr">
        <is>
          <t>College football model; multi-market (moneyline, spread, total).</t>
        </is>
      </c>
      <c r="AG760" s="24" t="inlineStr">
        <is>
          <t>not_applicable</t>
        </is>
      </c>
      <c r="AH760" s="24" t="n"/>
      <c r="AI760" s="31" t="n"/>
      <c r="AJ760" s="31" t="n"/>
      <c r="AK760" s="24" t="inlineStr">
        <is>
          <t>paper_call</t>
        </is>
      </c>
      <c r="AL760" s="26" t="n">
        <v>4</v>
      </c>
      <c r="AM760" s="24" t="inlineStr">
        <is>
          <t>RESEARCH_OBSERVATION</t>
        </is>
      </c>
      <c r="AN760" s="24" t="inlineStr">
        <is>
          <t>CALL</t>
        </is>
      </c>
      <c r="AO760" s="24" t="inlineStr">
        <is>
          <t>PAPER_CALL_LOW_EDGE</t>
        </is>
      </c>
      <c r="AP760" s="24" t="inlineStr">
        <is>
          <t>Maryland Terrapins</t>
        </is>
      </c>
      <c r="AQ760" s="24" t="inlineStr">
        <is>
          <t>Maryland Terrapins</t>
        </is>
      </c>
      <c r="AR760" s="24" t="inlineStr">
        <is>
          <t>Maryland Terrapins</t>
        </is>
      </c>
      <c r="AS760" s="24" t="inlineStr">
        <is>
          <t>Nebraska Cornhuskers</t>
        </is>
      </c>
      <c r="AT760" s="24" t="inlineStr">
        <is>
          <t>Nebraska Cornhuskers</t>
        </is>
      </c>
      <c r="AU760" s="24" t="inlineStr">
        <is>
          <t>Nebraska Cornhuskers</t>
        </is>
      </c>
      <c r="AV760" s="24" t="n"/>
      <c r="AW760" s="24" t="n"/>
      <c r="AX760" s="24" t="inlineStr">
        <is>
          <t>statistical_model</t>
        </is>
      </c>
      <c r="AY760" s="24" t="n"/>
      <c r="AZ760" s="24" t="inlineStr">
        <is>
          <t>shadow_qualified</t>
        </is>
      </c>
      <c r="BA760" s="24" t="inlineStr">
        <is>
          <t>1d168f11d221cd3c</t>
        </is>
      </c>
      <c r="BB760" s="24" t="inlineStr">
        <is>
          <t>cfb_key_number_engine</t>
        </is>
      </c>
      <c r="BC760" s="24" t="inlineStr">
        <is>
          <t>cfb-total-v1</t>
        </is>
      </c>
      <c r="BD760" s="24" t="inlineStr">
        <is>
          <t>1d168f11d221cd3c</t>
        </is>
      </c>
      <c r="BE760" s="24" t="inlineStr">
        <is>
          <t>cfb-v1</t>
        </is>
      </c>
      <c r="BF760" s="24" t="inlineStr">
        <is>
          <t>1</t>
        </is>
      </c>
      <c r="BG760" s="24" t="inlineStr">
        <is>
          <t>1d168f11d221cd3c</t>
        </is>
      </c>
      <c r="BH760" s="24" t="inlineStr">
        <is>
          <t>2026-10-03T16:52:02.220681+00:00</t>
        </is>
      </c>
      <c r="BI760" s="24" t="inlineStr">
        <is>
          <t>["same_event","same_team_same_day","same_league_same_day"]</t>
        </is>
      </c>
      <c r="BJ760" s="25" t="n">
        <v>52.5</v>
      </c>
      <c r="BK760" s="26" t="n">
        <v>-110</v>
      </c>
      <c r="BL760" s="27" t="n">
        <v>1.909091</v>
      </c>
      <c r="BM760" s="28" t="n">
        <v>0.52381</v>
      </c>
      <c r="BN760" s="28" t="n"/>
      <c r="BO760" s="28" t="n"/>
      <c r="BP760" s="25" t="n"/>
      <c r="BQ760" s="27" t="n"/>
      <c r="BR760" s="28" t="n"/>
      <c r="BS760" s="28" t="n"/>
      <c r="BT760" s="28" t="n"/>
      <c r="BU760" s="25" t="n"/>
      <c r="BV760" s="29" t="n"/>
      <c r="BW760" s="24" t="n"/>
      <c r="BX760" s="30" t="n">
        <v>1</v>
      </c>
      <c r="BY760" s="27" t="n">
        <v>0.909091</v>
      </c>
      <c r="BZ760" s="24" t="inlineStr">
        <is>
          <t>2026-10-04T20:41:09.599508Z</t>
        </is>
      </c>
      <c r="CA760" s="31" t="inlineStr">
        <is>
          <t>fixed one-unit hypothetical scoring; no real exposure or execution</t>
        </is>
      </c>
      <c r="CB760" s="24" t="n"/>
      <c r="CC760" s="24" t="n"/>
      <c r="CD760" s="24" t="n"/>
      <c r="CE760" s="24" t="n"/>
      <c r="CF760" s="24" t="n"/>
      <c r="CG760" s="24" t="n"/>
      <c r="CH760" s="24" t="n"/>
      <c r="CI760" s="24" t="n"/>
      <c r="CJ760" s="24" t="n"/>
      <c r="CK760" s="24" t="n"/>
      <c r="CL760" s="24" t="n"/>
      <c r="CM760" s="24" t="n"/>
      <c r="CN760" s="24" t="n"/>
      <c r="CO760" s="24" t="n"/>
      <c r="CP760" s="24" t="n"/>
      <c r="CQ760" s="24" t="n"/>
      <c r="CR760" s="24" t="n"/>
      <c r="CS760" s="24" t="inlineStr">
        <is>
          <t>True</t>
        </is>
      </c>
      <c r="CT760" s="24" t="n"/>
      <c r="CU760" s="24" t="n"/>
      <c r="CV760" s="24" t="n"/>
      <c r="CW760" s="24" t="n"/>
      <c r="CX760" s="24" t="n"/>
      <c r="CY760" s="24" t="n"/>
      <c r="CZ760" s="24" t="n"/>
      <c r="DA760" s="24" t="n"/>
      <c r="DB760" s="24" t="n"/>
      <c r="DC760" s="24" t="n"/>
      <c r="DD760" s="24" t="n"/>
      <c r="DE760" s="24" t="n"/>
      <c r="DF760" s="24" t="n"/>
      <c r="DG760" s="24" t="n"/>
      <c r="DH760" s="24" t="n"/>
      <c r="DI760" s="24" t="n"/>
      <c r="DJ760" s="24" t="inlineStr">
        <is>
          <t>0.52381</t>
        </is>
      </c>
      <c r="DK760" s="24" t="n"/>
      <c r="DL760" s="24" t="n"/>
      <c r="DM760" s="24" t="n"/>
      <c r="DN760" s="24" t="n"/>
      <c r="DO760" s="24" t="n"/>
      <c r="DP760" s="24" t="n"/>
      <c r="DQ760" s="24" t="inlineStr">
        <is>
          <t>{"artifact_hash": "1d168f11d221cd3c", "event_id": "401858475", "event_start_utc": "2026-10-03T20:00Z", "features": {"altitude_fatigue_penalty": 0.0, "away_team": "Maryland Terrapins", "efficiency_gap": 0.992, "elo_away": 1224.9, "elo_home": 1462.4, "elo_home_win_prob": 0.8509, "event_id": "401858475", "game_start_utc": "2026-10-03T20:00Z", "home_field_advantage_points": 2.8, "home_team": "Nebraska Cornhuskers", "is_dome": false, "is_fbs_vs_fcs": false, "is_neutral_site": false, "projected_away_points": 22.0, "projected_home_points": 34.4, "projected_margin_home": 12.3, "projected_possessions": 12.4, "projected_total": 56.4, "stadium_elevation_ft": 1180, "travel_distance_miles": 1053.0, "uncertainty": 0.18, "weather_total_adjustment": 0.0}, "historical_source_observation_times_verified": false, "inference_inputs": {"engine_source_sha256": "449ba2f0e86fa9c445730076a0e0bf100fb4914620be53c75c6f3bfe24298f3f", "mu_away": 22.0, "mu_home": 34.4,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154318667715678210864938762101087957788}, "uinteger": 0}, "spread_home_line": -14.5, "total_line": 52.5}, "market_type": "total", "model_version": "cfb-total-v1", "observed_at_utc": "2026-10-03T16:52:02.220681+00:00", "probabilities": {"over": 0.534, "push": 0.0, "under": 0.466}, "replay_scope": "Full precision score means, exact engine parameters and original RNG state; upstream feature construction not certified.", "schema": "cfb-joint-replay-v1", "snapshot_hash": "93c8a08a29b7504178413bec1222538315c5298729a6e95a81ffb04a807ec2db", "sport": "NCAAF"}</t>
        </is>
      </c>
    </row>
    <row r="761" ht="36" customHeight="1">
      <c r="A761" s="24" t="inlineStr">
        <is>
          <t>77efb95acf064ac6</t>
        </is>
      </c>
      <c r="B761" s="24" t="inlineStr">
        <is>
          <t>2026-10-03T16:52:02.220681Z</t>
        </is>
      </c>
      <c r="C761" s="24" t="inlineStr">
        <is>
          <t>2026-10-03T20:00Z</t>
        </is>
      </c>
      <c r="D761" s="24" t="inlineStr">
        <is>
          <t>401864514</t>
        </is>
      </c>
      <c r="E761" s="24" t="inlineStr">
        <is>
          <t>NCAAF</t>
        </is>
      </c>
      <c r="F761" s="24" t="inlineStr">
        <is>
          <t>UTEP Miners</t>
        </is>
      </c>
      <c r="G761" s="24" t="inlineStr">
        <is>
          <t>New Mexico Lobos</t>
        </is>
      </c>
      <c r="H761" s="24" t="inlineStr">
        <is>
          <t>moneyline</t>
        </is>
      </c>
      <c r="I761" s="24" t="inlineStr">
        <is>
          <t>home</t>
        </is>
      </c>
      <c r="J761" s="25" t="n"/>
      <c r="K761" s="24" t="inlineStr">
        <is>
          <t>espn_consensus</t>
        </is>
      </c>
      <c r="L761" s="26" t="n">
        <v>-2400</v>
      </c>
      <c r="M761" s="27" t="n">
        <v>1.041667</v>
      </c>
      <c r="N761" s="28" t="n">
        <v>0.96</v>
      </c>
      <c r="O761" s="28" t="n">
        <v>0.935347</v>
      </c>
      <c r="P761" s="28" t="n">
        <v>0.165</v>
      </c>
      <c r="Q761" s="28" t="n">
        <v>-0.024653</v>
      </c>
      <c r="R761" s="26" t="n">
        <v>0</v>
      </c>
      <c r="S761" s="29" t="n">
        <v>1</v>
      </c>
      <c r="T761" s="24" t="inlineStr">
        <is>
          <t>college-football-v1</t>
        </is>
      </c>
      <c r="U761" s="24" t="inlineStr">
        <is>
          <t>settled</t>
        </is>
      </c>
      <c r="V761" s="24" t="inlineStr">
        <is>
          <t>win</t>
        </is>
      </c>
      <c r="W761" s="26" t="n">
        <v>7</v>
      </c>
      <c r="X761" s="26" t="n">
        <v>61</v>
      </c>
      <c r="Y761" s="25" t="n"/>
      <c r="Z761" s="26" t="n"/>
      <c r="AA761" s="28" t="n"/>
      <c r="AB761" s="28" t="n"/>
      <c r="AC761" s="30" t="n">
        <v>0.0417</v>
      </c>
      <c r="AD761" s="24" t="inlineStr">
        <is>
          <t>2026-10-04T20:41:15.752386Z</t>
        </is>
      </c>
      <c r="AE761" s="31" t="inlineStr">
        <is>
          <t>CFB Joint Model (negative_binomial): proj score UTEP Miners 13.1 @ New Mexico Lobos 39.2 (Margin +26.0). Possessions: 12.4, HFA: +2.8 pts.</t>
        </is>
      </c>
      <c r="AF761" s="31" t="inlineStr">
        <is>
          <t>College football model; multi-market (moneyline, spread, total).</t>
        </is>
      </c>
      <c r="AG761" s="24" t="inlineStr">
        <is>
          <t>not_applicable</t>
        </is>
      </c>
      <c r="AH761" s="24" t="n"/>
      <c r="AI761" s="31" t="n"/>
      <c r="AJ761" s="31" t="n"/>
      <c r="AK761" s="24" t="inlineStr">
        <is>
          <t>paper_call</t>
        </is>
      </c>
      <c r="AL761" s="26" t="n">
        <v>4</v>
      </c>
      <c r="AM761" s="24" t="inlineStr">
        <is>
          <t>RESEARCH_OBSERVATION</t>
        </is>
      </c>
      <c r="AN761" s="24" t="inlineStr">
        <is>
          <t>CALL</t>
        </is>
      </c>
      <c r="AO761" s="24" t="inlineStr">
        <is>
          <t>PAPER_CALL_LOW_EDGE</t>
        </is>
      </c>
      <c r="AP761" s="24" t="inlineStr">
        <is>
          <t>UTEP Miners</t>
        </is>
      </c>
      <c r="AQ761" s="24" t="inlineStr">
        <is>
          <t>UTEP Miners</t>
        </is>
      </c>
      <c r="AR761" s="24" t="inlineStr">
        <is>
          <t>UTEP Miners</t>
        </is>
      </c>
      <c r="AS761" s="24" t="inlineStr">
        <is>
          <t>New Mexico Lobos</t>
        </is>
      </c>
      <c r="AT761" s="24" t="inlineStr">
        <is>
          <t>New Mexico Lobos</t>
        </is>
      </c>
      <c r="AU761" s="24" t="inlineStr">
        <is>
          <t>New Mexico Lobos</t>
        </is>
      </c>
      <c r="AV761" s="24" t="n"/>
      <c r="AW761" s="24" t="n"/>
      <c r="AX761" s="24" t="inlineStr">
        <is>
          <t>statistical_model</t>
        </is>
      </c>
      <c r="AY761" s="24" t="n"/>
      <c r="AZ761" s="24" t="inlineStr">
        <is>
          <t>shadow_qualified</t>
        </is>
      </c>
      <c r="BA761" s="24" t="inlineStr">
        <is>
          <t>1d168f11d221cd3c</t>
        </is>
      </c>
      <c r="BB761" s="24" t="inlineStr">
        <is>
          <t>cfb_key_number_engine</t>
        </is>
      </c>
      <c r="BC761" s="24" t="inlineStr">
        <is>
          <t>college-football-v1</t>
        </is>
      </c>
      <c r="BD761" s="24" t="inlineStr">
        <is>
          <t>1d168f11d221cd3c</t>
        </is>
      </c>
      <c r="BE761" s="24" t="inlineStr">
        <is>
          <t>cfb-v1</t>
        </is>
      </c>
      <c r="BF761" s="24" t="inlineStr">
        <is>
          <t>1</t>
        </is>
      </c>
      <c r="BG761" s="24" t="inlineStr">
        <is>
          <t>1d168f11d221cd3c</t>
        </is>
      </c>
      <c r="BH761" s="24" t="inlineStr">
        <is>
          <t>2026-10-03T16:52:02.220681+00:00</t>
        </is>
      </c>
      <c r="BI761" s="24" t="inlineStr">
        <is>
          <t>["same_event","same_team_same_day","same_league_same_day"]</t>
        </is>
      </c>
      <c r="BJ761" s="25" t="n"/>
      <c r="BK761" s="26" t="n">
        <v>-2400</v>
      </c>
      <c r="BL761" s="27" t="n">
        <v>1.041667</v>
      </c>
      <c r="BM761" s="28" t="n">
        <v>0.96</v>
      </c>
      <c r="BN761" s="28" t="n"/>
      <c r="BO761" s="28" t="n"/>
      <c r="BP761" s="25" t="n"/>
      <c r="BQ761" s="27" t="n"/>
      <c r="BR761" s="28" t="n"/>
      <c r="BS761" s="28" t="n"/>
      <c r="BT761" s="28" t="n"/>
      <c r="BU761" s="25" t="n"/>
      <c r="BV761" s="29" t="n"/>
      <c r="BW761" s="24" t="n"/>
      <c r="BX761" s="30" t="n">
        <v>1</v>
      </c>
      <c r="BY761" s="27" t="n">
        <v>0.041667</v>
      </c>
      <c r="BZ761" s="24" t="inlineStr">
        <is>
          <t>2026-10-04T20:41:15.752386Z</t>
        </is>
      </c>
      <c r="CA761" s="31" t="inlineStr">
        <is>
          <t>fixed one-unit hypothetical scoring; no real exposure or execution</t>
        </is>
      </c>
      <c r="CB761" s="24" t="n"/>
      <c r="CC761" s="24" t="n"/>
      <c r="CD761" s="24" t="n"/>
      <c r="CE761" s="24" t="n"/>
      <c r="CF761" s="24" t="n"/>
      <c r="CG761" s="24" t="n"/>
      <c r="CH761" s="24" t="n"/>
      <c r="CI761" s="24" t="n"/>
      <c r="CJ761" s="24" t="n"/>
      <c r="CK761" s="24" t="n"/>
      <c r="CL761" s="24" t="n"/>
      <c r="CM761" s="24" t="n"/>
      <c r="CN761" s="24" t="n"/>
      <c r="CO761" s="24" t="n"/>
      <c r="CP761" s="24" t="n"/>
      <c r="CQ761" s="24" t="n"/>
      <c r="CR761" s="24" t="n"/>
      <c r="CS761" s="24" t="inlineStr">
        <is>
          <t>False</t>
        </is>
      </c>
      <c r="CT761" s="24" t="n"/>
      <c r="CU761" s="24" t="n"/>
      <c r="CV761" s="24" t="n"/>
      <c r="CW761" s="24" t="n"/>
      <c r="CX761" s="24" t="n"/>
      <c r="CY761" s="24" t="n"/>
      <c r="CZ761" s="24" t="n"/>
      <c r="DA761" s="24" t="n"/>
      <c r="DB761" s="24" t="n"/>
      <c r="DC761" s="24" t="n"/>
      <c r="DD761" s="24" t="n"/>
      <c r="DE761" s="24" t="n"/>
      <c r="DF761" s="24" t="n"/>
      <c r="DG761" s="24" t="n"/>
      <c r="DH761" s="24" t="n"/>
      <c r="DI761" s="24" t="n"/>
      <c r="DJ761" s="24" t="inlineStr">
        <is>
          <t>0.96</t>
        </is>
      </c>
      <c r="DK761" s="24" t="n"/>
      <c r="DL761" s="24" t="n"/>
      <c r="DM761" s="24" t="n"/>
      <c r="DN761" s="24" t="n"/>
      <c r="DO761" s="24" t="n"/>
      <c r="DP761" s="24" t="n"/>
      <c r="DQ761" s="24" t="inlineStr">
        <is>
          <t>{"artifact_hash": "1d168f11d221cd3c", "event_id": "401864514", "event_start_utc": "2026-10-03T20:00Z", "features": {"altitude_fatigue_penalty": 0.0, "away_team": "UTEP Miners", "efficiency_gap": 4.256, "elo_away": 1127.5, "elo_home": 1696.7, "elo_home_win_prob": 0.9747, "event_id": "401864514", "game_start_utc": "2026-10-03T20:00Z", "home_field_advantage_points": 2.8, "home_team": "New Mexico Lobos", "is_dome": false, "is_fbs_vs_fcs": false, "is_neutral_site": false, "projected_away_points": 13.1, "projected_home_points": 39.2, "projected_margin_home": 26.0, "projected_possessions": 12.4, "projected_total": 52.3, "stadium_elevation_ft": 5100, "travel_distance_miles": 228.0, "uncertainty": 0.165, "weather_total_adjustment": 0.0}, "historical_source_observation_times_verified": false, "inference_inputs": {"engine_source_sha256": "449ba2f0e86fa9c445730076a0e0bf100fb4914620be53c75c6f3bfe24298f3f", "mu_away": 13.1, "mu_home": 39.2,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267536487208330174910488286915298691704}, "uinteger": 0}, "spread_home_line": -23.5, "total_line": 47.5}, "market_type": "moneyline", "model_version": "college-football-v1", "observed_at_utc": "2026-10-03T16:52:02.220681+00:00", "probabilities": {"away": 0.064653, "home": 0.935347}, "replay_scope": "Full precision score means, exact engine parameters and original RNG state; upstream feature construction not certified.", "schema": "cfb-joint-replay-v1", "snapshot_hash": "9ac7bdee69c7e7e195aabceebf6019ff765128031f64ca3e65c258b4b00667a2", "sport": "NCAAF"}</t>
        </is>
      </c>
    </row>
    <row r="762" ht="36" customHeight="1">
      <c r="A762" s="24" t="inlineStr">
        <is>
          <t>175f0cf6d35c4df4</t>
        </is>
      </c>
      <c r="B762" s="24" t="inlineStr">
        <is>
          <t>2026-10-03T16:52:02.220681Z</t>
        </is>
      </c>
      <c r="C762" s="24" t="inlineStr">
        <is>
          <t>2026-10-03T20:00Z</t>
        </is>
      </c>
      <c r="D762" s="24" t="inlineStr">
        <is>
          <t>401864514</t>
        </is>
      </c>
      <c r="E762" s="24" t="inlineStr">
        <is>
          <t>NCAAF</t>
        </is>
      </c>
      <c r="F762" s="24" t="inlineStr">
        <is>
          <t>UTEP Miners</t>
        </is>
      </c>
      <c r="G762" s="24" t="inlineStr">
        <is>
          <t>New Mexico Lobos</t>
        </is>
      </c>
      <c r="H762" s="24" t="inlineStr">
        <is>
          <t>spread</t>
        </is>
      </c>
      <c r="I762" s="24" t="inlineStr">
        <is>
          <t>home</t>
        </is>
      </c>
      <c r="J762" s="25" t="n">
        <v>-23.5</v>
      </c>
      <c r="K762" s="24" t="inlineStr">
        <is>
          <t>espn_consensus</t>
        </is>
      </c>
      <c r="L762" s="26" t="n">
        <v>-110</v>
      </c>
      <c r="M762" s="27" t="n">
        <v>1.909091</v>
      </c>
      <c r="N762" s="28" t="n">
        <v>0.52381</v>
      </c>
      <c r="O762" s="28" t="n">
        <v>0.538133</v>
      </c>
      <c r="P762" s="28" t="n">
        <v>0.165</v>
      </c>
      <c r="Q762" s="28" t="n">
        <v>0.014323</v>
      </c>
      <c r="R762" s="26" t="n">
        <v>0</v>
      </c>
      <c r="S762" s="29" t="n">
        <v>1</v>
      </c>
      <c r="T762" s="24" t="inlineStr">
        <is>
          <t>cfb-spread-v1</t>
        </is>
      </c>
      <c r="U762" s="24" t="inlineStr">
        <is>
          <t>settled</t>
        </is>
      </c>
      <c r="V762" s="24" t="inlineStr">
        <is>
          <t>win</t>
        </is>
      </c>
      <c r="W762" s="26" t="n">
        <v>7</v>
      </c>
      <c r="X762" s="26" t="n">
        <v>61</v>
      </c>
      <c r="Y762" s="25" t="n"/>
      <c r="Z762" s="26" t="n"/>
      <c r="AA762" s="28" t="n"/>
      <c r="AB762" s="28" t="n"/>
      <c r="AC762" s="30" t="n">
        <v>0.9091</v>
      </c>
      <c r="AD762" s="24" t="inlineStr">
        <is>
          <t>2026-10-04T20:41:21.441983Z</t>
        </is>
      </c>
      <c r="AE762" s="31" t="inlineStr">
        <is>
          <t>Projected home margin +26.0 pts. Spread: Home -23.5 / Away +23.5 -&gt; P(Away cover)=0.462, P(Home cover)=0.538, P(Push)=0.000.</t>
        </is>
      </c>
      <c r="AF762" s="31" t="inlineStr">
        <is>
          <t>College football model; multi-market (moneyline, spread, total).</t>
        </is>
      </c>
      <c r="AG762" s="24" t="inlineStr">
        <is>
          <t>not_applicable</t>
        </is>
      </c>
      <c r="AH762" s="24" t="n"/>
      <c r="AI762" s="31" t="n"/>
      <c r="AJ762" s="31" t="n"/>
      <c r="AK762" s="24" t="inlineStr">
        <is>
          <t>paper_call</t>
        </is>
      </c>
      <c r="AL762" s="26" t="n">
        <v>4</v>
      </c>
      <c r="AM762" s="24" t="inlineStr">
        <is>
          <t>RESEARCH_OBSERVATION</t>
        </is>
      </c>
      <c r="AN762" s="24" t="inlineStr">
        <is>
          <t>CALL</t>
        </is>
      </c>
      <c r="AO762" s="24" t="inlineStr">
        <is>
          <t>PAPER_CALL_LOW_EDGE</t>
        </is>
      </c>
      <c r="AP762" s="24" t="inlineStr">
        <is>
          <t>UTEP Miners</t>
        </is>
      </c>
      <c r="AQ762" s="24" t="inlineStr">
        <is>
          <t>UTEP Miners</t>
        </is>
      </c>
      <c r="AR762" s="24" t="inlineStr">
        <is>
          <t>UTEP Miners</t>
        </is>
      </c>
      <c r="AS762" s="24" t="inlineStr">
        <is>
          <t>New Mexico Lobos</t>
        </is>
      </c>
      <c r="AT762" s="24" t="inlineStr">
        <is>
          <t>New Mexico Lobos</t>
        </is>
      </c>
      <c r="AU762" s="24" t="inlineStr">
        <is>
          <t>New Mexico Lobos</t>
        </is>
      </c>
      <c r="AV762" s="24" t="n"/>
      <c r="AW762" s="24" t="n"/>
      <c r="AX762" s="24" t="inlineStr">
        <is>
          <t>statistical_model</t>
        </is>
      </c>
      <c r="AY762" s="24" t="n"/>
      <c r="AZ762" s="24" t="inlineStr">
        <is>
          <t>shadow_qualified</t>
        </is>
      </c>
      <c r="BA762" s="24" t="inlineStr">
        <is>
          <t>1d168f11d221cd3c</t>
        </is>
      </c>
      <c r="BB762" s="24" t="inlineStr">
        <is>
          <t>cfb_key_number_engine</t>
        </is>
      </c>
      <c r="BC762" s="24" t="inlineStr">
        <is>
          <t>cfb-spread-v1</t>
        </is>
      </c>
      <c r="BD762" s="24" t="inlineStr">
        <is>
          <t>1d168f11d221cd3c</t>
        </is>
      </c>
      <c r="BE762" s="24" t="inlineStr">
        <is>
          <t>cfb-v1</t>
        </is>
      </c>
      <c r="BF762" s="24" t="inlineStr">
        <is>
          <t>1</t>
        </is>
      </c>
      <c r="BG762" s="24" t="inlineStr">
        <is>
          <t>1d168f11d221cd3c</t>
        </is>
      </c>
      <c r="BH762" s="24" t="inlineStr">
        <is>
          <t>2026-10-03T16:52:02.220681+00:00</t>
        </is>
      </c>
      <c r="BI762" s="24" t="inlineStr">
        <is>
          <t>["same_event","same_team_same_day","same_league_same_day"]</t>
        </is>
      </c>
      <c r="BJ762" s="25" t="n">
        <v>-23.5</v>
      </c>
      <c r="BK762" s="26" t="n">
        <v>-110</v>
      </c>
      <c r="BL762" s="27" t="n">
        <v>1.909091</v>
      </c>
      <c r="BM762" s="28" t="n">
        <v>0.52381</v>
      </c>
      <c r="BN762" s="28" t="n"/>
      <c r="BO762" s="28" t="n"/>
      <c r="BP762" s="25" t="n"/>
      <c r="BQ762" s="27" t="n"/>
      <c r="BR762" s="28" t="n"/>
      <c r="BS762" s="28" t="n"/>
      <c r="BT762" s="28" t="n"/>
      <c r="BU762" s="25" t="n"/>
      <c r="BV762" s="29" t="n"/>
      <c r="BW762" s="24" t="n"/>
      <c r="BX762" s="30" t="n">
        <v>1</v>
      </c>
      <c r="BY762" s="27" t="n">
        <v>0.909091</v>
      </c>
      <c r="BZ762" s="24" t="inlineStr">
        <is>
          <t>2026-10-04T20:41:21.441983Z</t>
        </is>
      </c>
      <c r="CA762" s="31" t="inlineStr">
        <is>
          <t>fixed one-unit hypothetical scoring; no real exposure or execution</t>
        </is>
      </c>
      <c r="CB762" s="24" t="n"/>
      <c r="CC762" s="24" t="n"/>
      <c r="CD762" s="24" t="n"/>
      <c r="CE762" s="24" t="n"/>
      <c r="CF762" s="24" t="n"/>
      <c r="CG762" s="24" t="n"/>
      <c r="CH762" s="24" t="n"/>
      <c r="CI762" s="24" t="n"/>
      <c r="CJ762" s="24" t="n"/>
      <c r="CK762" s="24" t="n"/>
      <c r="CL762" s="24" t="n"/>
      <c r="CM762" s="24" t="n"/>
      <c r="CN762" s="24" t="n"/>
      <c r="CO762" s="24" t="n"/>
      <c r="CP762" s="24" t="n"/>
      <c r="CQ762" s="24" t="n"/>
      <c r="CR762" s="24" t="n"/>
      <c r="CS762" s="24" t="inlineStr">
        <is>
          <t>True</t>
        </is>
      </c>
      <c r="CT762" s="24" t="n"/>
      <c r="CU762" s="24" t="n"/>
      <c r="CV762" s="24" t="n"/>
      <c r="CW762" s="24" t="n"/>
      <c r="CX762" s="24" t="n"/>
      <c r="CY762" s="24" t="n"/>
      <c r="CZ762" s="24" t="n"/>
      <c r="DA762" s="24" t="n"/>
      <c r="DB762" s="24" t="n"/>
      <c r="DC762" s="24" t="n"/>
      <c r="DD762" s="24" t="n"/>
      <c r="DE762" s="24" t="n"/>
      <c r="DF762" s="24" t="n"/>
      <c r="DG762" s="24" t="n"/>
      <c r="DH762" s="24" t="n"/>
      <c r="DI762" s="24" t="n"/>
      <c r="DJ762" s="24" t="inlineStr">
        <is>
          <t>0.52381</t>
        </is>
      </c>
      <c r="DK762" s="24" t="n"/>
      <c r="DL762" s="24" t="n"/>
      <c r="DM762" s="24" t="n"/>
      <c r="DN762" s="24" t="n"/>
      <c r="DO762" s="24" t="n"/>
      <c r="DP762" s="24" t="n"/>
      <c r="DQ762" s="24" t="inlineStr">
        <is>
          <t>{"artifact_hash": "1d168f11d221cd3c", "event_id": "401864514", "event_start_utc": "2026-10-03T20:00Z", "features": {"altitude_fatigue_penalty": 0.0, "away_team": "UTEP Miners", "efficiency_gap": 4.256, "elo_away": 1127.5, "elo_home": 1696.7, "elo_home_win_prob": 0.9747, "event_id": "401864514", "game_start_utc": "2026-10-03T20:00Z", "home_field_advantage_points": 2.8, "home_team": "New Mexico Lobos", "is_dome": false, "is_fbs_vs_fcs": false, "is_neutral_site": false, "projected_away_points": 13.1, "projected_home_points": 39.2, "projected_margin_home": 26.0, "projected_possessions": 12.4, "projected_total": 52.3, "stadium_elevation_ft": 5100, "travel_distance_miles": 228.0, "uncertainty": 0.165, "weather_total_adjustment": 0.0}, "historical_source_observation_times_verified": false, "inference_inputs": {"engine_source_sha256": "449ba2f0e86fa9c445730076a0e0bf100fb4914620be53c75c6f3bfe24298f3f", "mu_away": 13.1, "mu_home": 39.2,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267536487208330174910488286915298691704}, "uinteger": 0}, "spread_home_line": -23.5, "total_line": 47.5}, "market_type": "spread", "model_version": "cfb-spread-v1", "observed_at_utc": "2026-10-03T16:52:02.220681+00:00", "probabilities": {"away": 0.461867, "home": 0.538133, "push": 0.0}, "replay_scope": "Full precision score means, exact engine parameters and original RNG state; upstream feature construction not certified.", "schema": "cfb-joint-replay-v1", "snapshot_hash": "dddd5e836273c06ff6fa989fc86ce7d1c49a43811beb428d566b3a07aa75d029", "sport": "NCAAF"}</t>
        </is>
      </c>
    </row>
    <row r="763" ht="36" customHeight="1">
      <c r="A763" s="24" t="inlineStr">
        <is>
          <t>dd6ffb5febab4ba3</t>
        </is>
      </c>
      <c r="B763" s="24" t="inlineStr">
        <is>
          <t>2026-10-03T16:52:02.220681Z</t>
        </is>
      </c>
      <c r="C763" s="24" t="inlineStr">
        <is>
          <t>2026-10-03T20:00Z</t>
        </is>
      </c>
      <c r="D763" s="24" t="inlineStr">
        <is>
          <t>401864514</t>
        </is>
      </c>
      <c r="E763" s="24" t="inlineStr">
        <is>
          <t>NCAAF</t>
        </is>
      </c>
      <c r="F763" s="24" t="inlineStr">
        <is>
          <t>UTEP Miners</t>
        </is>
      </c>
      <c r="G763" s="24" t="inlineStr">
        <is>
          <t>New Mexico Lobos</t>
        </is>
      </c>
      <c r="H763" s="24" t="inlineStr">
        <is>
          <t>total</t>
        </is>
      </c>
      <c r="I763" s="24" t="inlineStr">
        <is>
          <t>over</t>
        </is>
      </c>
      <c r="J763" s="25" t="n">
        <v>47.5</v>
      </c>
      <c r="K763" s="24" t="inlineStr">
        <is>
          <t>espn_consensus</t>
        </is>
      </c>
      <c r="L763" s="26" t="n">
        <v>-120</v>
      </c>
      <c r="M763" s="27" t="n">
        <v>1.833333</v>
      </c>
      <c r="N763" s="28" t="n">
        <v>0.545455</v>
      </c>
      <c r="O763" s="28" t="n">
        <v>0.5712</v>
      </c>
      <c r="P763" s="28" t="n">
        <v>0.165</v>
      </c>
      <c r="Q763" s="28" t="n">
        <v>0.025745</v>
      </c>
      <c r="R763" s="26" t="n">
        <v>0</v>
      </c>
      <c r="S763" s="29" t="n">
        <v>1</v>
      </c>
      <c r="T763" s="24" t="inlineStr">
        <is>
          <t>cfb-total-v1</t>
        </is>
      </c>
      <c r="U763" s="24" t="inlineStr">
        <is>
          <t>settled</t>
        </is>
      </c>
      <c r="V763" s="24" t="inlineStr">
        <is>
          <t>win</t>
        </is>
      </c>
      <c r="W763" s="26" t="n">
        <v>7</v>
      </c>
      <c r="X763" s="26" t="n">
        <v>61</v>
      </c>
      <c r="Y763" s="25" t="n"/>
      <c r="Z763" s="26" t="n"/>
      <c r="AA763" s="28" t="n"/>
      <c r="AB763" s="28" t="n"/>
      <c r="AC763" s="30" t="n">
        <v>0.8333</v>
      </c>
      <c r="AD763" s="24" t="inlineStr">
        <is>
          <t>2026-10-04T20:41:27.291060Z</t>
        </is>
      </c>
      <c r="AE763" s="31" t="inlineStr">
        <is>
          <t>Projected total 52.3 pts (Weather adj: +0.0 pts). Total line 47.5 -&gt; P(Over)=0.571, P(Under)=0.429, P(Push)=0.000.</t>
        </is>
      </c>
      <c r="AF763" s="31" t="inlineStr">
        <is>
          <t>College football model; multi-market (moneyline, spread, total).</t>
        </is>
      </c>
      <c r="AG763" s="24" t="inlineStr">
        <is>
          <t>not_applicable</t>
        </is>
      </c>
      <c r="AH763" s="24" t="n"/>
      <c r="AI763" s="31" t="n"/>
      <c r="AJ763" s="31" t="n"/>
      <c r="AK763" s="24" t="inlineStr">
        <is>
          <t>paper_call</t>
        </is>
      </c>
      <c r="AL763" s="26" t="n">
        <v>4</v>
      </c>
      <c r="AM763" s="24" t="inlineStr">
        <is>
          <t>RESEARCH_OBSERVATION</t>
        </is>
      </c>
      <c r="AN763" s="24" t="inlineStr">
        <is>
          <t>CALL</t>
        </is>
      </c>
      <c r="AO763" s="24" t="inlineStr">
        <is>
          <t>PAPER_CALL_LOW_EDGE</t>
        </is>
      </c>
      <c r="AP763" s="24" t="inlineStr">
        <is>
          <t>UTEP Miners</t>
        </is>
      </c>
      <c r="AQ763" s="24" t="inlineStr">
        <is>
          <t>UTEP Miners</t>
        </is>
      </c>
      <c r="AR763" s="24" t="inlineStr">
        <is>
          <t>UTEP Miners</t>
        </is>
      </c>
      <c r="AS763" s="24" t="inlineStr">
        <is>
          <t>New Mexico Lobos</t>
        </is>
      </c>
      <c r="AT763" s="24" t="inlineStr">
        <is>
          <t>New Mexico Lobos</t>
        </is>
      </c>
      <c r="AU763" s="24" t="inlineStr">
        <is>
          <t>New Mexico Lobos</t>
        </is>
      </c>
      <c r="AV763" s="24" t="n"/>
      <c r="AW763" s="24" t="n"/>
      <c r="AX763" s="24" t="inlineStr">
        <is>
          <t>statistical_model</t>
        </is>
      </c>
      <c r="AY763" s="24" t="n"/>
      <c r="AZ763" s="24" t="inlineStr">
        <is>
          <t>shadow_qualified</t>
        </is>
      </c>
      <c r="BA763" s="24" t="inlineStr">
        <is>
          <t>1d168f11d221cd3c</t>
        </is>
      </c>
      <c r="BB763" s="24" t="inlineStr">
        <is>
          <t>cfb_key_number_engine</t>
        </is>
      </c>
      <c r="BC763" s="24" t="inlineStr">
        <is>
          <t>cfb-total-v1</t>
        </is>
      </c>
      <c r="BD763" s="24" t="inlineStr">
        <is>
          <t>1d168f11d221cd3c</t>
        </is>
      </c>
      <c r="BE763" s="24" t="inlineStr">
        <is>
          <t>cfb-v1</t>
        </is>
      </c>
      <c r="BF763" s="24" t="inlineStr">
        <is>
          <t>1</t>
        </is>
      </c>
      <c r="BG763" s="24" t="inlineStr">
        <is>
          <t>1d168f11d221cd3c</t>
        </is>
      </c>
      <c r="BH763" s="24" t="inlineStr">
        <is>
          <t>2026-10-03T16:52:02.220681+00:00</t>
        </is>
      </c>
      <c r="BI763" s="24" t="inlineStr">
        <is>
          <t>["same_event","same_team_same_day","same_league_same_day"]</t>
        </is>
      </c>
      <c r="BJ763" s="25" t="n">
        <v>47.5</v>
      </c>
      <c r="BK763" s="26" t="n">
        <v>-120</v>
      </c>
      <c r="BL763" s="27" t="n">
        <v>1.833333</v>
      </c>
      <c r="BM763" s="28" t="n">
        <v>0.545455</v>
      </c>
      <c r="BN763" s="28" t="n"/>
      <c r="BO763" s="28" t="n"/>
      <c r="BP763" s="25" t="n"/>
      <c r="BQ763" s="27" t="n"/>
      <c r="BR763" s="28" t="n"/>
      <c r="BS763" s="28" t="n"/>
      <c r="BT763" s="28" t="n"/>
      <c r="BU763" s="25" t="n"/>
      <c r="BV763" s="29" t="n"/>
      <c r="BW763" s="24" t="n"/>
      <c r="BX763" s="30" t="n">
        <v>1</v>
      </c>
      <c r="BY763" s="27" t="n">
        <v>0.833333</v>
      </c>
      <c r="BZ763" s="24" t="inlineStr">
        <is>
          <t>2026-10-04T20:41:27.291060Z</t>
        </is>
      </c>
      <c r="CA763" s="31" t="inlineStr">
        <is>
          <t>fixed one-unit hypothetical scoring; no real exposure or execution</t>
        </is>
      </c>
      <c r="CB763" s="24" t="n"/>
      <c r="CC763" s="24" t="n"/>
      <c r="CD763" s="24" t="n"/>
      <c r="CE763" s="24" t="n"/>
      <c r="CF763" s="24" t="n"/>
      <c r="CG763" s="24" t="n"/>
      <c r="CH763" s="24" t="n"/>
      <c r="CI763" s="24" t="n"/>
      <c r="CJ763" s="24" t="n"/>
      <c r="CK763" s="24" t="n"/>
      <c r="CL763" s="24" t="n"/>
      <c r="CM763" s="24" t="n"/>
      <c r="CN763" s="24" t="n"/>
      <c r="CO763" s="24" t="n"/>
      <c r="CP763" s="24" t="n"/>
      <c r="CQ763" s="24" t="n"/>
      <c r="CR763" s="24" t="n"/>
      <c r="CS763" s="24" t="inlineStr">
        <is>
          <t>True</t>
        </is>
      </c>
      <c r="CT763" s="24" t="n"/>
      <c r="CU763" s="24" t="n"/>
      <c r="CV763" s="24" t="n"/>
      <c r="CW763" s="24" t="n"/>
      <c r="CX763" s="24" t="n"/>
      <c r="CY763" s="24" t="n"/>
      <c r="CZ763" s="24" t="n"/>
      <c r="DA763" s="24" t="n"/>
      <c r="DB763" s="24" t="n"/>
      <c r="DC763" s="24" t="n"/>
      <c r="DD763" s="24" t="n"/>
      <c r="DE763" s="24" t="n"/>
      <c r="DF763" s="24" t="n"/>
      <c r="DG763" s="24" t="n"/>
      <c r="DH763" s="24" t="n"/>
      <c r="DI763" s="24" t="n"/>
      <c r="DJ763" s="24" t="inlineStr">
        <is>
          <t>0.545455</t>
        </is>
      </c>
      <c r="DK763" s="24" t="n"/>
      <c r="DL763" s="24" t="n"/>
      <c r="DM763" s="24" t="n"/>
      <c r="DN763" s="24" t="n"/>
      <c r="DO763" s="24" t="n"/>
      <c r="DP763" s="24" t="n"/>
      <c r="DQ763" s="24" t="inlineStr">
        <is>
          <t>{"artifact_hash": "1d168f11d221cd3c", "event_id": "401864514", "event_start_utc": "2026-10-03T20:00Z", "features": {"altitude_fatigue_penalty": 0.0, "away_team": "UTEP Miners", "efficiency_gap": 4.256, "elo_away": 1127.5, "elo_home": 1696.7, "elo_home_win_prob": 0.9747, "event_id": "401864514", "game_start_utc": "2026-10-03T20:00Z", "home_field_advantage_points": 2.8, "home_team": "New Mexico Lobos", "is_dome": false, "is_fbs_vs_fcs": false, "is_neutral_site": false, "projected_away_points": 13.1, "projected_home_points": 39.2, "projected_margin_home": 26.0, "projected_possessions": 12.4, "projected_total": 52.3, "stadium_elevation_ft": 5100, "travel_distance_miles": 228.0, "uncertainty": 0.165, "weather_total_adjustment": 0.0}, "historical_source_observation_times_verified": false, "inference_inputs": {"engine_source_sha256": "449ba2f0e86fa9c445730076a0e0bf100fb4914620be53c75c6f3bfe24298f3f", "mu_away": 13.1, "mu_home": 39.2,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267536487208330174910488286915298691704}, "uinteger": 0}, "spread_home_line": -23.5, "total_line": 47.5}, "market_type": "total", "model_version": "cfb-total-v1", "observed_at_utc": "2026-10-03T16:52:02.220681+00:00", "probabilities": {"over": 0.5712, "push": 0.0, "under": 0.4288}, "replay_scope": "Full precision score means, exact engine parameters and original RNG state; upstream feature construction not certified.", "schema": "cfb-joint-replay-v1", "snapshot_hash": "ad4003a095c6a936f8bf556fcf8b4a26f2b2f5563c13c423c4ad474716582a98", "sport": "NCAAF"}</t>
        </is>
      </c>
    </row>
    <row r="764" ht="36" customHeight="1">
      <c r="A764" s="24" t="inlineStr">
        <is>
          <t>c674bd4fec88432b</t>
        </is>
      </c>
      <c r="B764" s="24" t="inlineStr">
        <is>
          <t>2026-10-03T16:52:02.220681Z</t>
        </is>
      </c>
      <c r="C764" s="24" t="inlineStr">
        <is>
          <t>2026-10-03T20:15Z</t>
        </is>
      </c>
      <c r="D764" s="24" t="inlineStr">
        <is>
          <t>401856709</t>
        </is>
      </c>
      <c r="E764" s="24" t="inlineStr">
        <is>
          <t>NCAAF</t>
        </is>
      </c>
      <c r="F764" s="24" t="inlineStr">
        <is>
          <t>Kentucky Wildcats</t>
        </is>
      </c>
      <c r="G764" s="24" t="inlineStr">
        <is>
          <t>South Carolina Gamecocks</t>
        </is>
      </c>
      <c r="H764" s="24" t="inlineStr">
        <is>
          <t>moneyline</t>
        </is>
      </c>
      <c r="I764" s="24" t="inlineStr">
        <is>
          <t>home</t>
        </is>
      </c>
      <c r="J764" s="25" t="n"/>
      <c r="K764" s="24" t="inlineStr">
        <is>
          <t>espn_consensus</t>
        </is>
      </c>
      <c r="L764" s="26" t="n">
        <v>-142</v>
      </c>
      <c r="M764" s="27" t="n">
        <v>1.704225</v>
      </c>
      <c r="N764" s="28" t="n">
        <v>0.586777</v>
      </c>
      <c r="O764" s="28" t="n">
        <v>0.718163</v>
      </c>
      <c r="P764" s="28" t="n">
        <v>0.18</v>
      </c>
      <c r="Q764" s="28" t="n">
        <v>0.131386</v>
      </c>
      <c r="R764" s="26" t="n">
        <v>8</v>
      </c>
      <c r="S764" s="29" t="n">
        <v>1</v>
      </c>
      <c r="T764" s="24" t="inlineStr">
        <is>
          <t>college-football-v1</t>
        </is>
      </c>
      <c r="U764" s="24" t="inlineStr">
        <is>
          <t>settled</t>
        </is>
      </c>
      <c r="V764" s="24" t="inlineStr">
        <is>
          <t>loss</t>
        </is>
      </c>
      <c r="W764" s="26" t="n">
        <v>35</v>
      </c>
      <c r="X764" s="26" t="n">
        <v>34</v>
      </c>
      <c r="Y764" s="25" t="n"/>
      <c r="Z764" s="26" t="n"/>
      <c r="AA764" s="28" t="n"/>
      <c r="AB764" s="28" t="n"/>
      <c r="AC764" s="30" t="n">
        <v>-1</v>
      </c>
      <c r="AD764" s="24" t="inlineStr">
        <is>
          <t>2026-10-04T20:41:33.348263Z</t>
        </is>
      </c>
      <c r="AE764" s="31" t="inlineStr">
        <is>
          <t>CFB Joint Model (negative_binomial): proj score Kentucky Wildcats 22.9 @ South Carolina Gamecocks 34.1 (Margin +11.2). Possessions: 12.4, HFA: +2.8 pts.</t>
        </is>
      </c>
      <c r="AF764" s="31" t="inlineStr">
        <is>
          <t>College football model; multi-market (moneyline, spread, total).</t>
        </is>
      </c>
      <c r="AG764" s="24" t="inlineStr">
        <is>
          <t>review_required</t>
        </is>
      </c>
      <c r="AH764" s="24" t="n"/>
      <c r="AI764" s="31" t="n"/>
      <c r="AJ764" s="31" t="n"/>
      <c r="AK764" s="24" t="inlineStr">
        <is>
          <t>model_qualified</t>
        </is>
      </c>
      <c r="AL764" s="26" t="n">
        <v>4</v>
      </c>
      <c r="AM764" s="24" t="inlineStr">
        <is>
          <t>QUALIFIED_SHADOW_CALL</t>
        </is>
      </c>
      <c r="AN764" s="24" t="inlineStr">
        <is>
          <t>CALL</t>
        </is>
      </c>
      <c r="AO764" s="24" t="inlineStr">
        <is>
          <t>QUALIFIED</t>
        </is>
      </c>
      <c r="AP764" s="24" t="inlineStr">
        <is>
          <t>Kentucky Wildcats</t>
        </is>
      </c>
      <c r="AQ764" s="24" t="inlineStr">
        <is>
          <t>Kentucky Wildcats</t>
        </is>
      </c>
      <c r="AR764" s="24" t="inlineStr">
        <is>
          <t>Kentucky Wildcats</t>
        </is>
      </c>
      <c r="AS764" s="24" t="inlineStr">
        <is>
          <t>South Carolina Gamecocks</t>
        </is>
      </c>
      <c r="AT764" s="24" t="inlineStr">
        <is>
          <t>South Carolina Gamecocks</t>
        </is>
      </c>
      <c r="AU764" s="24" t="inlineStr">
        <is>
          <t>South Carolina Gamecocks</t>
        </is>
      </c>
      <c r="AV764" s="24" t="n"/>
      <c r="AW764" s="24" t="n"/>
      <c r="AX764" s="24" t="inlineStr">
        <is>
          <t>statistical_model</t>
        </is>
      </c>
      <c r="AY764" s="24" t="n"/>
      <c r="AZ764" s="24" t="inlineStr">
        <is>
          <t>shadow_qualified</t>
        </is>
      </c>
      <c r="BA764" s="24" t="inlineStr">
        <is>
          <t>1d168f11d221cd3c</t>
        </is>
      </c>
      <c r="BB764" s="24" t="inlineStr">
        <is>
          <t>cfb_key_number_engine</t>
        </is>
      </c>
      <c r="BC764" s="24" t="inlineStr">
        <is>
          <t>college-football-v1</t>
        </is>
      </c>
      <c r="BD764" s="24" t="inlineStr">
        <is>
          <t>1d168f11d221cd3c</t>
        </is>
      </c>
      <c r="BE764" s="24" t="inlineStr">
        <is>
          <t>cfb-v1</t>
        </is>
      </c>
      <c r="BF764" s="24" t="inlineStr">
        <is>
          <t>1</t>
        </is>
      </c>
      <c r="BG764" s="24" t="inlineStr">
        <is>
          <t>1d168f11d221cd3c</t>
        </is>
      </c>
      <c r="BH764" s="24" t="inlineStr">
        <is>
          <t>2026-10-03T16:52:02.220681+00:00</t>
        </is>
      </c>
      <c r="BI764" s="24" t="inlineStr">
        <is>
          <t>["same_event","same_team_same_day","same_league_same_day"]</t>
        </is>
      </c>
      <c r="BJ764" s="25" t="n"/>
      <c r="BK764" s="26" t="n">
        <v>-142</v>
      </c>
      <c r="BL764" s="27" t="n">
        <v>1.704225</v>
      </c>
      <c r="BM764" s="28" t="n">
        <v>0.586777</v>
      </c>
      <c r="BN764" s="28" t="n"/>
      <c r="BO764" s="28" t="n"/>
      <c r="BP764" s="25" t="n"/>
      <c r="BQ764" s="27" t="n"/>
      <c r="BR764" s="28" t="n"/>
      <c r="BS764" s="28" t="n"/>
      <c r="BT764" s="28" t="n"/>
      <c r="BU764" s="25" t="n"/>
      <c r="BV764" s="29" t="n"/>
      <c r="BW764" s="24" t="n"/>
      <c r="BX764" s="30" t="n"/>
      <c r="BY764" s="27" t="n"/>
      <c r="BZ764" s="24" t="n"/>
      <c r="CA764" s="31" t="n"/>
      <c r="CB764" s="24" t="n"/>
      <c r="CC764" s="24" t="n"/>
      <c r="CD764" s="24" t="n"/>
      <c r="CE764" s="24" t="n"/>
      <c r="CF764" s="24" t="n"/>
      <c r="CG764" s="24" t="n"/>
      <c r="CH764" s="24" t="n"/>
      <c r="CI764" s="24" t="n"/>
      <c r="CJ764" s="24" t="n"/>
      <c r="CK764" s="24" t="n"/>
      <c r="CL764" s="24" t="n"/>
      <c r="CM764" s="24" t="n"/>
      <c r="CN764" s="24" t="n"/>
      <c r="CO764" s="24" t="n"/>
      <c r="CP764" s="24" t="n"/>
      <c r="CQ764" s="24" t="n"/>
      <c r="CR764" s="24" t="n"/>
      <c r="CS764" s="24" t="inlineStr">
        <is>
          <t>True</t>
        </is>
      </c>
      <c r="CT764" s="24" t="n"/>
      <c r="CU764" s="24" t="n"/>
      <c r="CV764" s="24" t="n"/>
      <c r="CW764" s="24" t="n"/>
      <c r="CX764" s="24" t="n"/>
      <c r="CY764" s="24" t="n"/>
      <c r="CZ764" s="24" t="n"/>
      <c r="DA764" s="24" t="n"/>
      <c r="DB764" s="24" t="n"/>
      <c r="DC764" s="24" t="n"/>
      <c r="DD764" s="24" t="n"/>
      <c r="DE764" s="24" t="n"/>
      <c r="DF764" s="24" t="n"/>
      <c r="DG764" s="24" t="n"/>
      <c r="DH764" s="24" t="n"/>
      <c r="DI764" s="24" t="n"/>
      <c r="DJ764" s="24" t="inlineStr">
        <is>
          <t>0.586777</t>
        </is>
      </c>
      <c r="DK764" s="24" t="n"/>
      <c r="DL764" s="24" t="n"/>
      <c r="DM764" s="24" t="n"/>
      <c r="DN764" s="24" t="n"/>
      <c r="DO764" s="24" t="n"/>
      <c r="DP764" s="24" t="n"/>
      <c r="DQ764" s="24" t="inlineStr">
        <is>
          <t>{"artifact_hash": "1d168f11d221cd3c", "event_id": "401856709", "event_start_utc": "2026-10-03T20:15Z", "features": {"altitude_fatigue_penalty": 0.0, "away_team": "Kentucky Wildcats", "efficiency_gap": 2.347, "elo_away": 1323.4, "elo_home": 1531.9, "elo_home_win_prob": 0.8284, "event_id": "401856709", "game_start_utc": "2026-10-03T20:15Z", "home_field_advantage_points": 2.8, "home_team": "South Carolina Gamecocks", "is_dome": false, "is_fbs_vs_fcs": false, "is_neutral_site": false, "projected_away_points": 22.9, "projected_home_points": 34.1, "projected_margin_home": 11.2, "projected_possessions": 12.4, "projected_total": 57.0, "stadium_elevation_ft": 210, "travel_distance_miles": 341.0, "uncertainty": 0.18, "weather_total_adjustment": 0.0}, "historical_source_observation_times_verified": false, "inference_inputs": {"engine_source_sha256": "449ba2f0e86fa9c445730076a0e0bf100fb4914620be53c75c6f3bfe24298f3f", "mu_away": 22.9, "mu_home": 34.1,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240042032222591738649124786301266876029}, "uinteger": 0}, "spread_home_line": -2.5, "total_line": 52.5}, "market_type": "moneyline", "model_version": "college-football-v1", "observed_at_utc": "2026-10-03T16:52:02.220681+00:00", "probabilities": {"away": 0.281837, "home": 0.718163}, "replay_scope": "Full precision score means, exact engine parameters and original RNG state; upstream feature construction not certified.", "schema": "cfb-joint-replay-v1", "snapshot_hash": "9b727f721fc614f95589f7633cd002fcae7bdde65d0a4a69b5576a0b089b5d90", "sport": "NCAAF"}</t>
        </is>
      </c>
    </row>
    <row r="765" ht="36" customHeight="1">
      <c r="A765" s="24" t="inlineStr">
        <is>
          <t>af6d26d45d5d4eda</t>
        </is>
      </c>
      <c r="B765" s="24" t="inlineStr">
        <is>
          <t>2026-10-03T16:52:02.220681Z</t>
        </is>
      </c>
      <c r="C765" s="24" t="inlineStr">
        <is>
          <t>2026-10-03T20:15Z</t>
        </is>
      </c>
      <c r="D765" s="24" t="inlineStr">
        <is>
          <t>401856709</t>
        </is>
      </c>
      <c r="E765" s="24" t="inlineStr">
        <is>
          <t>NCAAF</t>
        </is>
      </c>
      <c r="F765" s="24" t="inlineStr">
        <is>
          <t>Kentucky Wildcats</t>
        </is>
      </c>
      <c r="G765" s="24" t="inlineStr">
        <is>
          <t>South Carolina Gamecocks</t>
        </is>
      </c>
      <c r="H765" s="24" t="inlineStr">
        <is>
          <t>spread</t>
        </is>
      </c>
      <c r="I765" s="24" t="inlineStr">
        <is>
          <t>home</t>
        </is>
      </c>
      <c r="J765" s="25" t="n">
        <v>-2.5</v>
      </c>
      <c r="K765" s="24" t="inlineStr">
        <is>
          <t>espn_consensus</t>
        </is>
      </c>
      <c r="L765" s="26" t="n">
        <v>-112</v>
      </c>
      <c r="M765" s="27" t="n">
        <v>1.892857</v>
      </c>
      <c r="N765" s="28" t="n">
        <v>0.528302</v>
      </c>
      <c r="O765" s="28" t="n">
        <v>0.6724</v>
      </c>
      <c r="P765" s="28" t="n">
        <v>0.18</v>
      </c>
      <c r="Q765" s="28" t="n">
        <v>0.144098</v>
      </c>
      <c r="R765" s="26" t="n">
        <v>14</v>
      </c>
      <c r="S765" s="29" t="n">
        <v>1</v>
      </c>
      <c r="T765" s="24" t="inlineStr">
        <is>
          <t>cfb-spread-v1</t>
        </is>
      </c>
      <c r="U765" s="24" t="inlineStr">
        <is>
          <t>settled</t>
        </is>
      </c>
      <c r="V765" s="24" t="inlineStr">
        <is>
          <t>loss</t>
        </is>
      </c>
      <c r="W765" s="26" t="n">
        <v>35</v>
      </c>
      <c r="X765" s="26" t="n">
        <v>34</v>
      </c>
      <c r="Y765" s="25" t="n"/>
      <c r="Z765" s="26" t="n"/>
      <c r="AA765" s="28" t="n"/>
      <c r="AB765" s="28" t="n"/>
      <c r="AC765" s="30" t="n">
        <v>-1</v>
      </c>
      <c r="AD765" s="24" t="inlineStr">
        <is>
          <t>2026-10-04T20:41:38.921698Z</t>
        </is>
      </c>
      <c r="AE765" s="31" t="inlineStr">
        <is>
          <t>Projected home margin +11.2 pts. Spread: Home -2.5 / Away +2.5 -&gt; P(Away cover)=0.328, P(Home cover)=0.672, P(Push)=0.000.</t>
        </is>
      </c>
      <c r="AF765" s="31" t="inlineStr">
        <is>
          <t>College football model; multi-market (moneyline, spread, total).</t>
        </is>
      </c>
      <c r="AG765" s="24" t="inlineStr">
        <is>
          <t>review_required</t>
        </is>
      </c>
      <c r="AH765" s="24" t="n"/>
      <c r="AI765" s="31" t="n"/>
      <c r="AJ765" s="31" t="n"/>
      <c r="AK765" s="24" t="inlineStr">
        <is>
          <t>model_qualified</t>
        </is>
      </c>
      <c r="AL765" s="26" t="n">
        <v>4</v>
      </c>
      <c r="AM765" s="24" t="inlineStr">
        <is>
          <t>QUALIFIED_SHADOW_CALL</t>
        </is>
      </c>
      <c r="AN765" s="24" t="inlineStr">
        <is>
          <t>CALL</t>
        </is>
      </c>
      <c r="AO765" s="24" t="inlineStr">
        <is>
          <t>QUALIFIED</t>
        </is>
      </c>
      <c r="AP765" s="24" t="inlineStr">
        <is>
          <t>Kentucky Wildcats</t>
        </is>
      </c>
      <c r="AQ765" s="24" t="inlineStr">
        <is>
          <t>Kentucky Wildcats</t>
        </is>
      </c>
      <c r="AR765" s="24" t="inlineStr">
        <is>
          <t>Kentucky Wildcats</t>
        </is>
      </c>
      <c r="AS765" s="24" t="inlineStr">
        <is>
          <t>South Carolina Gamecocks</t>
        </is>
      </c>
      <c r="AT765" s="24" t="inlineStr">
        <is>
          <t>South Carolina Gamecocks</t>
        </is>
      </c>
      <c r="AU765" s="24" t="inlineStr">
        <is>
          <t>South Carolina Gamecocks</t>
        </is>
      </c>
      <c r="AV765" s="24" t="n"/>
      <c r="AW765" s="24" t="n"/>
      <c r="AX765" s="24" t="inlineStr">
        <is>
          <t>statistical_model</t>
        </is>
      </c>
      <c r="AY765" s="24" t="n"/>
      <c r="AZ765" s="24" t="inlineStr">
        <is>
          <t>shadow_qualified</t>
        </is>
      </c>
      <c r="BA765" s="24" t="inlineStr">
        <is>
          <t>1d168f11d221cd3c</t>
        </is>
      </c>
      <c r="BB765" s="24" t="inlineStr">
        <is>
          <t>cfb_key_number_engine</t>
        </is>
      </c>
      <c r="BC765" s="24" t="inlineStr">
        <is>
          <t>cfb-spread-v1</t>
        </is>
      </c>
      <c r="BD765" s="24" t="inlineStr">
        <is>
          <t>1d168f11d221cd3c</t>
        </is>
      </c>
      <c r="BE765" s="24" t="inlineStr">
        <is>
          <t>cfb-v1</t>
        </is>
      </c>
      <c r="BF765" s="24" t="inlineStr">
        <is>
          <t>1</t>
        </is>
      </c>
      <c r="BG765" s="24" t="inlineStr">
        <is>
          <t>1d168f11d221cd3c</t>
        </is>
      </c>
      <c r="BH765" s="24" t="inlineStr">
        <is>
          <t>2026-10-03T16:52:02.220681+00:00</t>
        </is>
      </c>
      <c r="BI765" s="24" t="inlineStr">
        <is>
          <t>["same_event","same_team_same_day","same_league_same_day"]</t>
        </is>
      </c>
      <c r="BJ765" s="25" t="n">
        <v>-2.5</v>
      </c>
      <c r="BK765" s="26" t="n">
        <v>-112</v>
      </c>
      <c r="BL765" s="27" t="n">
        <v>1.892857</v>
      </c>
      <c r="BM765" s="28" t="n">
        <v>0.528302</v>
      </c>
      <c r="BN765" s="28" t="n"/>
      <c r="BO765" s="28" t="n"/>
      <c r="BP765" s="25" t="n"/>
      <c r="BQ765" s="27" t="n"/>
      <c r="BR765" s="28" t="n"/>
      <c r="BS765" s="28" t="n"/>
      <c r="BT765" s="28" t="n"/>
      <c r="BU765" s="25" t="n"/>
      <c r="BV765" s="29" t="n"/>
      <c r="BW765" s="24" t="n"/>
      <c r="BX765" s="30" t="n"/>
      <c r="BY765" s="27" t="n"/>
      <c r="BZ765" s="24" t="n"/>
      <c r="CA765" s="31" t="n"/>
      <c r="CB765" s="24" t="n"/>
      <c r="CC765" s="24" t="n"/>
      <c r="CD765" s="24" t="n"/>
      <c r="CE765" s="24" t="n"/>
      <c r="CF765" s="24" t="n"/>
      <c r="CG765" s="24" t="n"/>
      <c r="CH765" s="24" t="n"/>
      <c r="CI765" s="24" t="n"/>
      <c r="CJ765" s="24" t="n"/>
      <c r="CK765" s="24" t="n"/>
      <c r="CL765" s="24" t="n"/>
      <c r="CM765" s="24" t="n"/>
      <c r="CN765" s="24" t="n"/>
      <c r="CO765" s="24" t="n"/>
      <c r="CP765" s="24" t="n"/>
      <c r="CQ765" s="24" t="n"/>
      <c r="CR765" s="24" t="n"/>
      <c r="CS765" s="24" t="inlineStr">
        <is>
          <t>True</t>
        </is>
      </c>
      <c r="CT765" s="24" t="n"/>
      <c r="CU765" s="24" t="n"/>
      <c r="CV765" s="24" t="n"/>
      <c r="CW765" s="24" t="n"/>
      <c r="CX765" s="24" t="n"/>
      <c r="CY765" s="24" t="n"/>
      <c r="CZ765" s="24" t="n"/>
      <c r="DA765" s="24" t="n"/>
      <c r="DB765" s="24" t="n"/>
      <c r="DC765" s="24" t="n"/>
      <c r="DD765" s="24" t="n"/>
      <c r="DE765" s="24" t="n"/>
      <c r="DF765" s="24" t="n"/>
      <c r="DG765" s="24" t="n"/>
      <c r="DH765" s="24" t="n"/>
      <c r="DI765" s="24" t="n"/>
      <c r="DJ765" s="24" t="inlineStr">
        <is>
          <t>0.528302</t>
        </is>
      </c>
      <c r="DK765" s="24" t="n"/>
      <c r="DL765" s="24" t="n"/>
      <c r="DM765" s="24" t="n"/>
      <c r="DN765" s="24" t="n"/>
      <c r="DO765" s="24" t="n"/>
      <c r="DP765" s="24" t="n"/>
      <c r="DQ765" s="24" t="inlineStr">
        <is>
          <t>{"artifact_hash": "1d168f11d221cd3c", "event_id": "401856709", "event_start_utc": "2026-10-03T20:15Z", "features": {"altitude_fatigue_penalty": 0.0, "away_team": "Kentucky Wildcats", "efficiency_gap": 2.347, "elo_away": 1323.4, "elo_home": 1531.9, "elo_home_win_prob": 0.8284, "event_id": "401856709", "game_start_utc": "2026-10-03T20:15Z", "home_field_advantage_points": 2.8, "home_team": "South Carolina Gamecocks", "is_dome": false, "is_fbs_vs_fcs": false, "is_neutral_site": false, "projected_away_points": 22.9, "projected_home_points": 34.1, "projected_margin_home": 11.2, "projected_possessions": 12.4, "projected_total": 57.0, "stadium_elevation_ft": 210, "travel_distance_miles": 341.0, "uncertainty": 0.18, "weather_total_adjustment": 0.0}, "historical_source_observation_times_verified": false, "inference_inputs": {"engine_source_sha256": "449ba2f0e86fa9c445730076a0e0bf100fb4914620be53c75c6f3bfe24298f3f", "mu_away": 22.9, "mu_home": 34.1,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240042032222591738649124786301266876029}, "uinteger": 0}, "spread_home_line": -2.5, "total_line": 52.5}, "market_type": "spread", "model_version": "cfb-spread-v1", "observed_at_utc": "2026-10-03T16:52:02.220681+00:00", "probabilities": {"away": 0.3276, "home": 0.6724, "push": 0.0}, "replay_scope": "Full precision score means, exact engine parameters and original RNG state; upstream feature construction not certified.", "schema": "cfb-joint-replay-v1", "snapshot_hash": "a2672745a754e4a2ceea569b13c25e64a98e7179be2309c30b2eda7394256ea1", "sport": "NCAAF"}</t>
        </is>
      </c>
    </row>
    <row r="766" ht="36" customHeight="1">
      <c r="A766" s="24" t="inlineStr">
        <is>
          <t>a9f297d9bff941a9</t>
        </is>
      </c>
      <c r="B766" s="24" t="inlineStr">
        <is>
          <t>2026-10-03T16:52:02.220681Z</t>
        </is>
      </c>
      <c r="C766" s="24" t="inlineStr">
        <is>
          <t>2026-10-03T20:15Z</t>
        </is>
      </c>
      <c r="D766" s="24" t="inlineStr">
        <is>
          <t>401856709</t>
        </is>
      </c>
      <c r="E766" s="24" t="inlineStr">
        <is>
          <t>NCAAF</t>
        </is>
      </c>
      <c r="F766" s="24" t="inlineStr">
        <is>
          <t>Kentucky Wildcats</t>
        </is>
      </c>
      <c r="G766" s="24" t="inlineStr">
        <is>
          <t>South Carolina Gamecocks</t>
        </is>
      </c>
      <c r="H766" s="24" t="inlineStr">
        <is>
          <t>total</t>
        </is>
      </c>
      <c r="I766" s="24" t="inlineStr">
        <is>
          <t>over</t>
        </is>
      </c>
      <c r="J766" s="25" t="n">
        <v>52.5</v>
      </c>
      <c r="K766" s="24" t="inlineStr">
        <is>
          <t>espn_consensus</t>
        </is>
      </c>
      <c r="L766" s="26" t="n">
        <v>-112</v>
      </c>
      <c r="M766" s="27" t="n">
        <v>1.892857</v>
      </c>
      <c r="N766" s="28" t="n">
        <v>0.528302</v>
      </c>
      <c r="O766" s="28" t="n">
        <v>0.5387999999999999</v>
      </c>
      <c r="P766" s="28" t="n">
        <v>0.18</v>
      </c>
      <c r="Q766" s="28" t="n">
        <v>0.010498</v>
      </c>
      <c r="R766" s="26" t="n">
        <v>0</v>
      </c>
      <c r="S766" s="29" t="n">
        <v>1</v>
      </c>
      <c r="T766" s="24" t="inlineStr">
        <is>
          <t>cfb-total-v1</t>
        </is>
      </c>
      <c r="U766" s="24" t="inlineStr">
        <is>
          <t>settled</t>
        </is>
      </c>
      <c r="V766" s="24" t="inlineStr">
        <is>
          <t>win</t>
        </is>
      </c>
      <c r="W766" s="26" t="n">
        <v>35</v>
      </c>
      <c r="X766" s="26" t="n">
        <v>34</v>
      </c>
      <c r="Y766" s="25" t="n"/>
      <c r="Z766" s="26" t="n"/>
      <c r="AA766" s="28" t="n"/>
      <c r="AB766" s="28" t="n"/>
      <c r="AC766" s="30" t="n">
        <v>0.8929</v>
      </c>
      <c r="AD766" s="24" t="inlineStr">
        <is>
          <t>2026-10-04T20:41:44.542171Z</t>
        </is>
      </c>
      <c r="AE766" s="31" t="inlineStr">
        <is>
          <t>Projected total 57.0 pts (Weather adj: +0.0 pts). Total line 52.5 -&gt; P(Over)=0.539, P(Under)=0.461, P(Push)=0.000.</t>
        </is>
      </c>
      <c r="AF766" s="31" t="inlineStr">
        <is>
          <t>College football model; multi-market (moneyline, spread, total).</t>
        </is>
      </c>
      <c r="AG766" s="24" t="inlineStr">
        <is>
          <t>not_applicable</t>
        </is>
      </c>
      <c r="AH766" s="24" t="n"/>
      <c r="AI766" s="31" t="n"/>
      <c r="AJ766" s="31" t="n"/>
      <c r="AK766" s="24" t="inlineStr">
        <is>
          <t>paper_call</t>
        </is>
      </c>
      <c r="AL766" s="26" t="n">
        <v>4</v>
      </c>
      <c r="AM766" s="24" t="inlineStr">
        <is>
          <t>RESEARCH_OBSERVATION</t>
        </is>
      </c>
      <c r="AN766" s="24" t="inlineStr">
        <is>
          <t>CALL</t>
        </is>
      </c>
      <c r="AO766" s="24" t="inlineStr">
        <is>
          <t>PAPER_CALL_LOW_EDGE</t>
        </is>
      </c>
      <c r="AP766" s="24" t="inlineStr">
        <is>
          <t>Kentucky Wildcats</t>
        </is>
      </c>
      <c r="AQ766" s="24" t="inlineStr">
        <is>
          <t>Kentucky Wildcats</t>
        </is>
      </c>
      <c r="AR766" s="24" t="inlineStr">
        <is>
          <t>Kentucky Wildcats</t>
        </is>
      </c>
      <c r="AS766" s="24" t="inlineStr">
        <is>
          <t>South Carolina Gamecocks</t>
        </is>
      </c>
      <c r="AT766" s="24" t="inlineStr">
        <is>
          <t>South Carolina Gamecocks</t>
        </is>
      </c>
      <c r="AU766" s="24" t="inlineStr">
        <is>
          <t>South Carolina Gamecocks</t>
        </is>
      </c>
      <c r="AV766" s="24" t="n"/>
      <c r="AW766" s="24" t="n"/>
      <c r="AX766" s="24" t="inlineStr">
        <is>
          <t>statistical_model</t>
        </is>
      </c>
      <c r="AY766" s="24" t="n"/>
      <c r="AZ766" s="24" t="inlineStr">
        <is>
          <t>shadow_qualified</t>
        </is>
      </c>
      <c r="BA766" s="24" t="inlineStr">
        <is>
          <t>1d168f11d221cd3c</t>
        </is>
      </c>
      <c r="BB766" s="24" t="inlineStr">
        <is>
          <t>cfb_key_number_engine</t>
        </is>
      </c>
      <c r="BC766" s="24" t="inlineStr">
        <is>
          <t>cfb-total-v1</t>
        </is>
      </c>
      <c r="BD766" s="24" t="inlineStr">
        <is>
          <t>1d168f11d221cd3c</t>
        </is>
      </c>
      <c r="BE766" s="24" t="inlineStr">
        <is>
          <t>cfb-v1</t>
        </is>
      </c>
      <c r="BF766" s="24" t="inlineStr">
        <is>
          <t>1</t>
        </is>
      </c>
      <c r="BG766" s="24" t="inlineStr">
        <is>
          <t>1d168f11d221cd3c</t>
        </is>
      </c>
      <c r="BH766" s="24" t="inlineStr">
        <is>
          <t>2026-10-03T16:52:02.220681+00:00</t>
        </is>
      </c>
      <c r="BI766" s="24" t="inlineStr">
        <is>
          <t>["same_event","same_team_same_day","same_league_same_day"]</t>
        </is>
      </c>
      <c r="BJ766" s="25" t="n">
        <v>52.5</v>
      </c>
      <c r="BK766" s="26" t="n">
        <v>-112</v>
      </c>
      <c r="BL766" s="27" t="n">
        <v>1.892857</v>
      </c>
      <c r="BM766" s="28" t="n">
        <v>0.528302</v>
      </c>
      <c r="BN766" s="28" t="n"/>
      <c r="BO766" s="28" t="n"/>
      <c r="BP766" s="25" t="n"/>
      <c r="BQ766" s="27" t="n"/>
      <c r="BR766" s="28" t="n"/>
      <c r="BS766" s="28" t="n"/>
      <c r="BT766" s="28" t="n"/>
      <c r="BU766" s="25" t="n"/>
      <c r="BV766" s="29" t="n"/>
      <c r="BW766" s="24" t="n"/>
      <c r="BX766" s="30" t="n">
        <v>1</v>
      </c>
      <c r="BY766" s="27" t="n">
        <v>0.892857</v>
      </c>
      <c r="BZ766" s="24" t="inlineStr">
        <is>
          <t>2026-10-04T20:41:44.542171Z</t>
        </is>
      </c>
      <c r="CA766" s="31" t="inlineStr">
        <is>
          <t>fixed one-unit hypothetical scoring; no real exposure or execution</t>
        </is>
      </c>
      <c r="CB766" s="24" t="n"/>
      <c r="CC766" s="24" t="n"/>
      <c r="CD766" s="24" t="n"/>
      <c r="CE766" s="24" t="n"/>
      <c r="CF766" s="24" t="n"/>
      <c r="CG766" s="24" t="n"/>
      <c r="CH766" s="24" t="n"/>
      <c r="CI766" s="24" t="n"/>
      <c r="CJ766" s="24" t="n"/>
      <c r="CK766" s="24" t="n"/>
      <c r="CL766" s="24" t="n"/>
      <c r="CM766" s="24" t="n"/>
      <c r="CN766" s="24" t="n"/>
      <c r="CO766" s="24" t="n"/>
      <c r="CP766" s="24" t="n"/>
      <c r="CQ766" s="24" t="n"/>
      <c r="CR766" s="24" t="n"/>
      <c r="CS766" s="24" t="inlineStr">
        <is>
          <t>True</t>
        </is>
      </c>
      <c r="CT766" s="24" t="n"/>
      <c r="CU766" s="24" t="n"/>
      <c r="CV766" s="24" t="n"/>
      <c r="CW766" s="24" t="n"/>
      <c r="CX766" s="24" t="n"/>
      <c r="CY766" s="24" t="n"/>
      <c r="CZ766" s="24" t="n"/>
      <c r="DA766" s="24" t="n"/>
      <c r="DB766" s="24" t="n"/>
      <c r="DC766" s="24" t="n"/>
      <c r="DD766" s="24" t="n"/>
      <c r="DE766" s="24" t="n"/>
      <c r="DF766" s="24" t="n"/>
      <c r="DG766" s="24" t="n"/>
      <c r="DH766" s="24" t="n"/>
      <c r="DI766" s="24" t="n"/>
      <c r="DJ766" s="24" t="inlineStr">
        <is>
          <t>0.528302</t>
        </is>
      </c>
      <c r="DK766" s="24" t="n"/>
      <c r="DL766" s="24" t="n"/>
      <c r="DM766" s="24" t="n"/>
      <c r="DN766" s="24" t="n"/>
      <c r="DO766" s="24" t="n"/>
      <c r="DP766" s="24" t="n"/>
      <c r="DQ766" s="24" t="inlineStr">
        <is>
          <t>{"artifact_hash": "1d168f11d221cd3c", "event_id": "401856709", "event_start_utc": "2026-10-03T20:15Z", "features": {"altitude_fatigue_penalty": 0.0, "away_team": "Kentucky Wildcats", "efficiency_gap": 2.347, "elo_away": 1323.4, "elo_home": 1531.9, "elo_home_win_prob": 0.8284, "event_id": "401856709", "game_start_utc": "2026-10-03T20:15Z", "home_field_advantage_points": 2.8, "home_team": "South Carolina Gamecocks", "is_dome": false, "is_fbs_vs_fcs": false, "is_neutral_site": false, "projected_away_points": 22.9, "projected_home_points": 34.1, "projected_margin_home": 11.2, "projected_possessions": 12.4, "projected_total": 57.0, "stadium_elevation_ft": 210, "travel_distance_miles": 341.0, "uncertainty": 0.18, "weather_total_adjustment": 0.0}, "historical_source_observation_times_verified": false, "inference_inputs": {"engine_source_sha256": "449ba2f0e86fa9c445730076a0e0bf100fb4914620be53c75c6f3bfe24298f3f", "mu_away": 22.9, "mu_home": 34.1,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240042032222591738649124786301266876029}, "uinteger": 0}, "spread_home_line": -2.5, "total_line": 52.5}, "market_type": "total", "model_version": "cfb-total-v1", "observed_at_utc": "2026-10-03T16:52:02.220681+00:00", "probabilities": {"over": 0.5388, "push": 0.0, "under": 0.4612}, "replay_scope": "Full precision score means, exact engine parameters and original RNG state; upstream feature construction not certified.", "schema": "cfb-joint-replay-v1", "snapshot_hash": "56fcd4904c3acfd38397ba85331926218e2098f2adbba36048ce3208e5e54849", "sport": "NCAAF"}</t>
        </is>
      </c>
    </row>
    <row r="767" ht="36" customHeight="1">
      <c r="A767" s="24" t="inlineStr">
        <is>
          <t>b7e2026594ff4f61</t>
        </is>
      </c>
      <c r="B767" s="24" t="inlineStr">
        <is>
          <t>2026-10-03T16:52:02.220681Z</t>
        </is>
      </c>
      <c r="C767" s="24" t="inlineStr">
        <is>
          <t>2026-10-03T20:15Z</t>
        </is>
      </c>
      <c r="D767" s="24" t="inlineStr">
        <is>
          <t>401858472</t>
        </is>
      </c>
      <c r="E767" s="24" t="inlineStr">
        <is>
          <t>NCAAF</t>
        </is>
      </c>
      <c r="F767" s="24" t="inlineStr">
        <is>
          <t>Purdue Boilermakers</t>
        </is>
      </c>
      <c r="G767" s="24" t="inlineStr">
        <is>
          <t>Illinois Fighting Illini</t>
        </is>
      </c>
      <c r="H767" s="24" t="inlineStr">
        <is>
          <t>moneyline</t>
        </is>
      </c>
      <c r="I767" s="24" t="inlineStr">
        <is>
          <t>home</t>
        </is>
      </c>
      <c r="J767" s="25" t="n"/>
      <c r="K767" s="24" t="inlineStr">
        <is>
          <t>espn_consensus</t>
        </is>
      </c>
      <c r="L767" s="26" t="n">
        <v>-375</v>
      </c>
      <c r="M767" s="27" t="n">
        <v>1.266667</v>
      </c>
      <c r="N767" s="28" t="n">
        <v>0.789474</v>
      </c>
      <c r="O767" s="28" t="n">
        <v>0.9106109999999999</v>
      </c>
      <c r="P767" s="28" t="n">
        <v>0.18</v>
      </c>
      <c r="Q767" s="28" t="n">
        <v>0.121137</v>
      </c>
      <c r="R767" s="26" t="n">
        <v>3</v>
      </c>
      <c r="S767" s="29" t="n">
        <v>1</v>
      </c>
      <c r="T767" s="24" t="inlineStr">
        <is>
          <t>college-football-v1</t>
        </is>
      </c>
      <c r="U767" s="24" t="inlineStr">
        <is>
          <t>settled</t>
        </is>
      </c>
      <c r="V767" s="24" t="inlineStr">
        <is>
          <t>loss</t>
        </is>
      </c>
      <c r="W767" s="26" t="n">
        <v>24</v>
      </c>
      <c r="X767" s="26" t="n">
        <v>17</v>
      </c>
      <c r="Y767" s="25" t="n"/>
      <c r="Z767" s="26" t="n"/>
      <c r="AA767" s="28" t="n"/>
      <c r="AB767" s="28" t="n"/>
      <c r="AC767" s="30" t="n">
        <v>-1</v>
      </c>
      <c r="AD767" s="24" t="inlineStr">
        <is>
          <t>2026-10-04T20:41:50.152766Z</t>
        </is>
      </c>
      <c r="AE767" s="31" t="inlineStr">
        <is>
          <t>CFB Joint Model (negative_binomial): proj score Purdue Boilermakers 15.6 @ Illinois Fighting Illini 40.3 (Margin +24.7). Possessions: 12.4, HFA: +2.8 pts.</t>
        </is>
      </c>
      <c r="AF767" s="31" t="inlineStr">
        <is>
          <t>College football model; multi-market (moneyline, spread, total).</t>
        </is>
      </c>
      <c r="AG767" s="24" t="inlineStr">
        <is>
          <t>review_required</t>
        </is>
      </c>
      <c r="AH767" s="24" t="n"/>
      <c r="AI767" s="31" t="n"/>
      <c r="AJ767" s="31" t="n"/>
      <c r="AK767" s="24" t="inlineStr">
        <is>
          <t>model_qualified</t>
        </is>
      </c>
      <c r="AL767" s="26" t="n">
        <v>4</v>
      </c>
      <c r="AM767" s="24" t="inlineStr">
        <is>
          <t>QUALIFIED_SHADOW_CALL</t>
        </is>
      </c>
      <c r="AN767" s="24" t="inlineStr">
        <is>
          <t>CALL</t>
        </is>
      </c>
      <c r="AO767" s="24" t="inlineStr">
        <is>
          <t>QUALIFIED</t>
        </is>
      </c>
      <c r="AP767" s="24" t="inlineStr">
        <is>
          <t>Purdue Boilermakers</t>
        </is>
      </c>
      <c r="AQ767" s="24" t="inlineStr">
        <is>
          <t>Purdue Boilermakers</t>
        </is>
      </c>
      <c r="AR767" s="24" t="inlineStr">
        <is>
          <t>Purdue Boilermakers</t>
        </is>
      </c>
      <c r="AS767" s="24" t="inlineStr">
        <is>
          <t>Illinois Fighting Illini</t>
        </is>
      </c>
      <c r="AT767" s="24" t="inlineStr">
        <is>
          <t>Illinois Fighting Illini</t>
        </is>
      </c>
      <c r="AU767" s="24" t="inlineStr">
        <is>
          <t>Illinois Fighting Illini</t>
        </is>
      </c>
      <c r="AV767" s="24" t="n"/>
      <c r="AW767" s="24" t="n"/>
      <c r="AX767" s="24" t="inlineStr">
        <is>
          <t>statistical_model</t>
        </is>
      </c>
      <c r="AY767" s="24" t="n"/>
      <c r="AZ767" s="24" t="inlineStr">
        <is>
          <t>shadow_qualified</t>
        </is>
      </c>
      <c r="BA767" s="24" t="inlineStr">
        <is>
          <t>1d168f11d221cd3c</t>
        </is>
      </c>
      <c r="BB767" s="24" t="inlineStr">
        <is>
          <t>cfb_key_number_engine</t>
        </is>
      </c>
      <c r="BC767" s="24" t="inlineStr">
        <is>
          <t>college-football-v1</t>
        </is>
      </c>
      <c r="BD767" s="24" t="inlineStr">
        <is>
          <t>1d168f11d221cd3c</t>
        </is>
      </c>
      <c r="BE767" s="24" t="inlineStr">
        <is>
          <t>cfb-v1</t>
        </is>
      </c>
      <c r="BF767" s="24" t="inlineStr">
        <is>
          <t>1</t>
        </is>
      </c>
      <c r="BG767" s="24" t="inlineStr">
        <is>
          <t>1d168f11d221cd3c</t>
        </is>
      </c>
      <c r="BH767" s="24" t="inlineStr">
        <is>
          <t>2026-10-03T16:52:02.220681+00:00</t>
        </is>
      </c>
      <c r="BI767" s="24" t="inlineStr">
        <is>
          <t>["same_event","same_team_same_day","same_league_same_day"]</t>
        </is>
      </c>
      <c r="BJ767" s="25" t="n"/>
      <c r="BK767" s="26" t="n">
        <v>-375</v>
      </c>
      <c r="BL767" s="27" t="n">
        <v>1.266667</v>
      </c>
      <c r="BM767" s="28" t="n">
        <v>0.789474</v>
      </c>
      <c r="BN767" s="28" t="n"/>
      <c r="BO767" s="28" t="n"/>
      <c r="BP767" s="25" t="n"/>
      <c r="BQ767" s="27" t="n"/>
      <c r="BR767" s="28" t="n"/>
      <c r="BS767" s="28" t="n"/>
      <c r="BT767" s="28" t="n"/>
      <c r="BU767" s="25" t="n"/>
      <c r="BV767" s="29" t="n"/>
      <c r="BW767" s="24" t="n"/>
      <c r="BX767" s="30" t="n"/>
      <c r="BY767" s="27" t="n"/>
      <c r="BZ767" s="24" t="n"/>
      <c r="CA767" s="31" t="n"/>
      <c r="CB767" s="24" t="n"/>
      <c r="CC767" s="24" t="n"/>
      <c r="CD767" s="24" t="n"/>
      <c r="CE767" s="24" t="n"/>
      <c r="CF767" s="24" t="n"/>
      <c r="CG767" s="24" t="n"/>
      <c r="CH767" s="24" t="n"/>
      <c r="CI767" s="24" t="n"/>
      <c r="CJ767" s="24" t="n"/>
      <c r="CK767" s="24" t="n"/>
      <c r="CL767" s="24" t="n"/>
      <c r="CM767" s="24" t="n"/>
      <c r="CN767" s="24" t="n"/>
      <c r="CO767" s="24" t="n"/>
      <c r="CP767" s="24" t="n"/>
      <c r="CQ767" s="24" t="n"/>
      <c r="CR767" s="24" t="n"/>
      <c r="CS767" s="24" t="inlineStr">
        <is>
          <t>True</t>
        </is>
      </c>
      <c r="CT767" s="24" t="n"/>
      <c r="CU767" s="24" t="n"/>
      <c r="CV767" s="24" t="n"/>
      <c r="CW767" s="24" t="n"/>
      <c r="CX767" s="24" t="n"/>
      <c r="CY767" s="24" t="n"/>
      <c r="CZ767" s="24" t="n"/>
      <c r="DA767" s="24" t="n"/>
      <c r="DB767" s="24" t="n"/>
      <c r="DC767" s="24" t="n"/>
      <c r="DD767" s="24" t="n"/>
      <c r="DE767" s="24" t="n"/>
      <c r="DF767" s="24" t="n"/>
      <c r="DG767" s="24" t="n"/>
      <c r="DH767" s="24" t="n"/>
      <c r="DI767" s="24" t="n"/>
      <c r="DJ767" s="24" t="inlineStr">
        <is>
          <t>0.789474</t>
        </is>
      </c>
      <c r="DK767" s="24" t="n"/>
      <c r="DL767" s="24" t="n"/>
      <c r="DM767" s="24" t="n"/>
      <c r="DN767" s="24" t="n"/>
      <c r="DO767" s="24" t="n"/>
      <c r="DP767" s="24" t="n"/>
      <c r="DQ767" s="24" t="inlineStr">
        <is>
          <t>{"artifact_hash": "1d168f11d221cd3c", "event_id": "401858472", "event_start_utc": "2026-10-03T20:15Z", "features": {"altitude_fatigue_penalty": 0.0, "away_team": "Purdue Boilermakers", "efficiency_gap": 0.556, "elo_away": 1120.8, "elo_home": 1662.0, "elo_home_win_prob": 0.9704, "event_id": "401858472", "game_start_utc": "2026-10-03T20:15Z", "home_field_advantage_points": 2.8, "home_team": "Illinois Fighting Illini", "is_dome": false, "is_fbs_vs_fcs": false, "is_neutral_site": false, "projected_away_points": 15.6, "projected_home_points": 40.3, "projected_margin_home": 24.7, "projected_possessions": 12.4, "projected_total": 55.9, "stadium_elevation_ft": 730, "travel_distance_miles": 73.0, "uncertainty": 0.18, "weather_total_adjustment": 0.0}, "historical_source_observation_times_verified": false, "inference_inputs": {"engine_source_sha256": "449ba2f0e86fa9c445730076a0e0bf100fb4914620be53c75c6f3bfe24298f3f", "mu_away": 15.6, "mu_home": 40.3,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337659305691541323249874373917330963648}, "uinteger": 0}, "spread_home_line": -9.5, "total_line": 61.5}, "market_type": "moneyline", "model_version": "college-football-v1", "observed_at_utc": "2026-10-03T16:52:02.220681+00:00", "probabilities": {"away": 0.089389, "home": 0.910611}, "replay_scope": "Full precision score means, exact engine parameters and original RNG state; upstream feature construction not certified.", "schema": "cfb-joint-replay-v1", "snapshot_hash": "b643fd2e19c760c008a86dc0c90052cebc4c5f818fabb08b65b2aad9dd4a8bf2", "sport": "NCAAF"}</t>
        </is>
      </c>
    </row>
    <row r="768" ht="36" customHeight="1">
      <c r="A768" s="24" t="inlineStr">
        <is>
          <t>21fff12b63c94f43</t>
        </is>
      </c>
      <c r="B768" s="24" t="inlineStr">
        <is>
          <t>2026-10-03T16:52:02.220681Z</t>
        </is>
      </c>
      <c r="C768" s="24" t="inlineStr">
        <is>
          <t>2026-10-03T20:15Z</t>
        </is>
      </c>
      <c r="D768" s="24" t="inlineStr">
        <is>
          <t>401858472</t>
        </is>
      </c>
      <c r="E768" s="24" t="inlineStr">
        <is>
          <t>NCAAF</t>
        </is>
      </c>
      <c r="F768" s="24" t="inlineStr">
        <is>
          <t>Purdue Boilermakers</t>
        </is>
      </c>
      <c r="G768" s="24" t="inlineStr">
        <is>
          <t>Illinois Fighting Illini</t>
        </is>
      </c>
      <c r="H768" s="24" t="inlineStr">
        <is>
          <t>spread</t>
        </is>
      </c>
      <c r="I768" s="24" t="inlineStr">
        <is>
          <t>home</t>
        </is>
      </c>
      <c r="J768" s="25" t="n">
        <v>-9.5</v>
      </c>
      <c r="K768" s="24" t="inlineStr">
        <is>
          <t>espn_consensus</t>
        </is>
      </c>
      <c r="L768" s="26" t="n">
        <v>-112</v>
      </c>
      <c r="M768" s="27" t="n">
        <v>1.892857</v>
      </c>
      <c r="N768" s="28" t="n">
        <v>0.528302</v>
      </c>
      <c r="O768" s="28" t="n">
        <v>0.797867</v>
      </c>
      <c r="P768" s="28" t="n">
        <v>0.18</v>
      </c>
      <c r="Q768" s="28" t="n">
        <v>0.269565</v>
      </c>
      <c r="R768" s="26" t="n">
        <v>77</v>
      </c>
      <c r="S768" s="29" t="n">
        <v>1.5</v>
      </c>
      <c r="T768" s="24" t="inlineStr">
        <is>
          <t>cfb-spread-v1</t>
        </is>
      </c>
      <c r="U768" s="24" t="inlineStr">
        <is>
          <t>settled</t>
        </is>
      </c>
      <c r="V768" s="24" t="inlineStr">
        <is>
          <t>loss</t>
        </is>
      </c>
      <c r="W768" s="26" t="n">
        <v>24</v>
      </c>
      <c r="X768" s="26" t="n">
        <v>17</v>
      </c>
      <c r="Y768" s="25" t="n"/>
      <c r="Z768" s="26" t="n"/>
      <c r="AA768" s="28" t="n"/>
      <c r="AB768" s="28" t="n"/>
      <c r="AC768" s="30" t="n">
        <v>-1.5</v>
      </c>
      <c r="AD768" s="24" t="inlineStr">
        <is>
          <t>2026-10-04T20:41:55.750783Z</t>
        </is>
      </c>
      <c r="AE768" s="31" t="inlineStr">
        <is>
          <t>Projected home margin +24.7 pts. Spread: Home -9.5 / Away +9.5 -&gt; P(Away cover)=0.202, P(Home cover)=0.798, P(Push)=0.000.</t>
        </is>
      </c>
      <c r="AF768" s="31" t="inlineStr">
        <is>
          <t>College football model; multi-market (moneyline, spread, total).</t>
        </is>
      </c>
      <c r="AG768" s="24" t="inlineStr">
        <is>
          <t>review_required</t>
        </is>
      </c>
      <c r="AH768" s="24" t="n"/>
      <c r="AI768" s="31" t="n"/>
      <c r="AJ768" s="31" t="n"/>
      <c r="AK768" s="24" t="inlineStr">
        <is>
          <t>model_qualified</t>
        </is>
      </c>
      <c r="AL768" s="26" t="n">
        <v>4</v>
      </c>
      <c r="AM768" s="24" t="inlineStr">
        <is>
          <t>QUALIFIED_SHADOW_CALL</t>
        </is>
      </c>
      <c r="AN768" s="24" t="inlineStr">
        <is>
          <t>CALL</t>
        </is>
      </c>
      <c r="AO768" s="24" t="inlineStr">
        <is>
          <t>QUALIFIED</t>
        </is>
      </c>
      <c r="AP768" s="24" t="inlineStr">
        <is>
          <t>Purdue Boilermakers</t>
        </is>
      </c>
      <c r="AQ768" s="24" t="inlineStr">
        <is>
          <t>Purdue Boilermakers</t>
        </is>
      </c>
      <c r="AR768" s="24" t="inlineStr">
        <is>
          <t>Purdue Boilermakers</t>
        </is>
      </c>
      <c r="AS768" s="24" t="inlineStr">
        <is>
          <t>Illinois Fighting Illini</t>
        </is>
      </c>
      <c r="AT768" s="24" t="inlineStr">
        <is>
          <t>Illinois Fighting Illini</t>
        </is>
      </c>
      <c r="AU768" s="24" t="inlineStr">
        <is>
          <t>Illinois Fighting Illini</t>
        </is>
      </c>
      <c r="AV768" s="24" t="n"/>
      <c r="AW768" s="24" t="n"/>
      <c r="AX768" s="24" t="inlineStr">
        <is>
          <t>statistical_model</t>
        </is>
      </c>
      <c r="AY768" s="24" t="n"/>
      <c r="AZ768" s="24" t="inlineStr">
        <is>
          <t>shadow_qualified</t>
        </is>
      </c>
      <c r="BA768" s="24" t="inlineStr">
        <is>
          <t>1d168f11d221cd3c</t>
        </is>
      </c>
      <c r="BB768" s="24" t="inlineStr">
        <is>
          <t>cfb_key_number_engine</t>
        </is>
      </c>
      <c r="BC768" s="24" t="inlineStr">
        <is>
          <t>cfb-spread-v1</t>
        </is>
      </c>
      <c r="BD768" s="24" t="inlineStr">
        <is>
          <t>1d168f11d221cd3c</t>
        </is>
      </c>
      <c r="BE768" s="24" t="inlineStr">
        <is>
          <t>cfb-v1</t>
        </is>
      </c>
      <c r="BF768" s="24" t="inlineStr">
        <is>
          <t>1</t>
        </is>
      </c>
      <c r="BG768" s="24" t="inlineStr">
        <is>
          <t>1d168f11d221cd3c</t>
        </is>
      </c>
      <c r="BH768" s="24" t="inlineStr">
        <is>
          <t>2026-10-03T16:52:02.220681+00:00</t>
        </is>
      </c>
      <c r="BI768" s="24" t="inlineStr">
        <is>
          <t>["same_event","same_team_same_day","same_league_same_day"]</t>
        </is>
      </c>
      <c r="BJ768" s="25" t="n">
        <v>-9.5</v>
      </c>
      <c r="BK768" s="26" t="n">
        <v>-112</v>
      </c>
      <c r="BL768" s="27" t="n">
        <v>1.892857</v>
      </c>
      <c r="BM768" s="28" t="n">
        <v>0.528302</v>
      </c>
      <c r="BN768" s="28" t="n"/>
      <c r="BO768" s="28" t="n"/>
      <c r="BP768" s="25" t="n"/>
      <c r="BQ768" s="27" t="n"/>
      <c r="BR768" s="28" t="n"/>
      <c r="BS768" s="28" t="n"/>
      <c r="BT768" s="28" t="n"/>
      <c r="BU768" s="25" t="n"/>
      <c r="BV768" s="29" t="n"/>
      <c r="BW768" s="24" t="n"/>
      <c r="BX768" s="30" t="n"/>
      <c r="BY768" s="27" t="n"/>
      <c r="BZ768" s="24" t="n"/>
      <c r="CA768" s="31" t="n"/>
      <c r="CB768" s="24" t="n"/>
      <c r="CC768" s="24" t="n"/>
      <c r="CD768" s="24" t="n"/>
      <c r="CE768" s="24" t="n"/>
      <c r="CF768" s="24" t="n"/>
      <c r="CG768" s="24" t="n"/>
      <c r="CH768" s="24" t="n"/>
      <c r="CI768" s="24" t="n"/>
      <c r="CJ768" s="24" t="n"/>
      <c r="CK768" s="24" t="n"/>
      <c r="CL768" s="24" t="n"/>
      <c r="CM768" s="24" t="n"/>
      <c r="CN768" s="24" t="n"/>
      <c r="CO768" s="24" t="n"/>
      <c r="CP768" s="24" t="n"/>
      <c r="CQ768" s="24" t="n"/>
      <c r="CR768" s="24" t="n"/>
      <c r="CS768" s="24" t="inlineStr">
        <is>
          <t>True</t>
        </is>
      </c>
      <c r="CT768" s="24" t="n"/>
      <c r="CU768" s="24" t="n"/>
      <c r="CV768" s="24" t="n"/>
      <c r="CW768" s="24" t="n"/>
      <c r="CX768" s="24" t="n"/>
      <c r="CY768" s="24" t="n"/>
      <c r="CZ768" s="24" t="n"/>
      <c r="DA768" s="24" t="n"/>
      <c r="DB768" s="24" t="n"/>
      <c r="DC768" s="24" t="n"/>
      <c r="DD768" s="24" t="n"/>
      <c r="DE768" s="24" t="n"/>
      <c r="DF768" s="24" t="n"/>
      <c r="DG768" s="24" t="n"/>
      <c r="DH768" s="24" t="n"/>
      <c r="DI768" s="24" t="n"/>
      <c r="DJ768" s="24" t="inlineStr">
        <is>
          <t>0.528302</t>
        </is>
      </c>
      <c r="DK768" s="24" t="n"/>
      <c r="DL768" s="24" t="n"/>
      <c r="DM768" s="24" t="n"/>
      <c r="DN768" s="24" t="n"/>
      <c r="DO768" s="24" t="n"/>
      <c r="DP768" s="24" t="n"/>
      <c r="DQ768" s="24" t="inlineStr">
        <is>
          <t>{"artifact_hash": "1d168f11d221cd3c", "event_id": "401858472", "event_start_utc": "2026-10-03T20:15Z", "features": {"altitude_fatigue_penalty": 0.0, "away_team": "Purdue Boilermakers", "efficiency_gap": 0.556, "elo_away": 1120.8, "elo_home": 1662.0, "elo_home_win_prob": 0.9704, "event_id": "401858472", "game_start_utc": "2026-10-03T20:15Z", "home_field_advantage_points": 2.8, "home_team": "Illinois Fighting Illini", "is_dome": false, "is_fbs_vs_fcs": false, "is_neutral_site": false, "projected_away_points": 15.6, "projected_home_points": 40.3, "projected_margin_home": 24.7, "projected_possessions": 12.4, "projected_total": 55.9, "stadium_elevation_ft": 730, "travel_distance_miles": 73.0, "uncertainty": 0.18, "weather_total_adjustment": 0.0}, "historical_source_observation_times_verified": false, "inference_inputs": {"engine_source_sha256": "449ba2f0e86fa9c445730076a0e0bf100fb4914620be53c75c6f3bfe24298f3f", "mu_away": 15.6, "mu_home": 40.3,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337659305691541323249874373917330963648}, "uinteger": 0}, "spread_home_line": -9.5, "total_line": 61.5}, "market_type": "spread", "model_version": "cfb-spread-v1", "observed_at_utc": "2026-10-03T16:52:02.220681+00:00", "probabilities": {"away": 0.202133, "home": 0.797867, "push": 0.0}, "replay_scope": "Full precision score means, exact engine parameters and original RNG state; upstream feature construction not certified.", "schema": "cfb-joint-replay-v1", "snapshot_hash": "cf25b95e63f698bdf406ac79019178548c457a0ad41c79fe74d725d828033ade", "sport": "NCAAF"}</t>
        </is>
      </c>
    </row>
    <row r="769" ht="36" customHeight="1">
      <c r="A769" s="24" t="inlineStr">
        <is>
          <t>262794ab0b044734</t>
        </is>
      </c>
      <c r="B769" s="24" t="inlineStr">
        <is>
          <t>2026-10-03T16:52:02.220681Z</t>
        </is>
      </c>
      <c r="C769" s="24" t="inlineStr">
        <is>
          <t>2026-10-03T20:15Z</t>
        </is>
      </c>
      <c r="D769" s="24" t="inlineStr">
        <is>
          <t>401858472</t>
        </is>
      </c>
      <c r="E769" s="24" t="inlineStr">
        <is>
          <t>NCAAF</t>
        </is>
      </c>
      <c r="F769" s="24" t="inlineStr">
        <is>
          <t>Purdue Boilermakers</t>
        </is>
      </c>
      <c r="G769" s="24" t="inlineStr">
        <is>
          <t>Illinois Fighting Illini</t>
        </is>
      </c>
      <c r="H769" s="24" t="inlineStr">
        <is>
          <t>total</t>
        </is>
      </c>
      <c r="I769" s="24" t="inlineStr">
        <is>
          <t>under</t>
        </is>
      </c>
      <c r="J769" s="25" t="n">
        <v>61.5</v>
      </c>
      <c r="K769" s="24" t="inlineStr">
        <is>
          <t>espn_consensus</t>
        </is>
      </c>
      <c r="L769" s="26" t="n">
        <v>-112</v>
      </c>
      <c r="M769" s="27" t="n">
        <v>1.892857</v>
      </c>
      <c r="N769" s="28" t="n">
        <v>0.528302</v>
      </c>
      <c r="O769" s="28" t="n">
        <v>0.616267</v>
      </c>
      <c r="P769" s="28" t="n">
        <v>0.18</v>
      </c>
      <c r="Q769" s="28" t="n">
        <v>0.087965</v>
      </c>
      <c r="R769" s="26" t="n">
        <v>0</v>
      </c>
      <c r="S769" s="29" t="n">
        <v>1</v>
      </c>
      <c r="T769" s="24" t="inlineStr">
        <is>
          <t>cfb-total-v1</t>
        </is>
      </c>
      <c r="U769" s="24" t="inlineStr">
        <is>
          <t>settled</t>
        </is>
      </c>
      <c r="V769" s="24" t="inlineStr">
        <is>
          <t>win</t>
        </is>
      </c>
      <c r="W769" s="26" t="n">
        <v>24</v>
      </c>
      <c r="X769" s="26" t="n">
        <v>17</v>
      </c>
      <c r="Y769" s="25" t="n"/>
      <c r="Z769" s="26" t="n"/>
      <c r="AA769" s="28" t="n"/>
      <c r="AB769" s="28" t="n"/>
      <c r="AC769" s="30" t="n">
        <v>0.8929</v>
      </c>
      <c r="AD769" s="24" t="inlineStr">
        <is>
          <t>2026-10-04T20:42:01.746627Z</t>
        </is>
      </c>
      <c r="AE769" s="31" t="inlineStr">
        <is>
          <t>Projected total 55.9 pts (Weather adj: +0.0 pts). Total line 61.5 -&gt; P(Over)=0.384, P(Under)=0.616, P(Push)=0.000.</t>
        </is>
      </c>
      <c r="AF769" s="31" t="inlineStr">
        <is>
          <t>College football model; multi-market (moneyline, spread, total).</t>
        </is>
      </c>
      <c r="AG769" s="24" t="inlineStr">
        <is>
          <t>not_applicable</t>
        </is>
      </c>
      <c r="AH769" s="24" t="n"/>
      <c r="AI769" s="31" t="n"/>
      <c r="AJ769" s="31" t="n"/>
      <c r="AK769" s="24" t="inlineStr">
        <is>
          <t>model_qualified</t>
        </is>
      </c>
      <c r="AL769" s="26" t="n">
        <v>4</v>
      </c>
      <c r="AM769" s="24" t="inlineStr">
        <is>
          <t>QUALIFIED_SHADOW_CALL</t>
        </is>
      </c>
      <c r="AN769" s="24" t="inlineStr">
        <is>
          <t>CALL</t>
        </is>
      </c>
      <c r="AO769" s="24" t="inlineStr">
        <is>
          <t>QUALIFIED</t>
        </is>
      </c>
      <c r="AP769" s="24" t="inlineStr">
        <is>
          <t>Purdue Boilermakers</t>
        </is>
      </c>
      <c r="AQ769" s="24" t="inlineStr">
        <is>
          <t>Purdue Boilermakers</t>
        </is>
      </c>
      <c r="AR769" s="24" t="inlineStr">
        <is>
          <t>Purdue Boilermakers</t>
        </is>
      </c>
      <c r="AS769" s="24" t="inlineStr">
        <is>
          <t>Illinois Fighting Illini</t>
        </is>
      </c>
      <c r="AT769" s="24" t="inlineStr">
        <is>
          <t>Illinois Fighting Illini</t>
        </is>
      </c>
      <c r="AU769" s="24" t="inlineStr">
        <is>
          <t>Illinois Fighting Illini</t>
        </is>
      </c>
      <c r="AV769" s="24" t="n"/>
      <c r="AW769" s="24" t="n"/>
      <c r="AX769" s="24" t="inlineStr">
        <is>
          <t>statistical_model</t>
        </is>
      </c>
      <c r="AY769" s="24" t="n"/>
      <c r="AZ769" s="24" t="inlineStr">
        <is>
          <t>shadow_qualified</t>
        </is>
      </c>
      <c r="BA769" s="24" t="inlineStr">
        <is>
          <t>1d168f11d221cd3c</t>
        </is>
      </c>
      <c r="BB769" s="24" t="inlineStr">
        <is>
          <t>cfb_key_number_engine</t>
        </is>
      </c>
      <c r="BC769" s="24" t="inlineStr">
        <is>
          <t>cfb-total-v1</t>
        </is>
      </c>
      <c r="BD769" s="24" t="inlineStr">
        <is>
          <t>1d168f11d221cd3c</t>
        </is>
      </c>
      <c r="BE769" s="24" t="inlineStr">
        <is>
          <t>cfb-v1</t>
        </is>
      </c>
      <c r="BF769" s="24" t="inlineStr">
        <is>
          <t>1</t>
        </is>
      </c>
      <c r="BG769" s="24" t="inlineStr">
        <is>
          <t>1d168f11d221cd3c</t>
        </is>
      </c>
      <c r="BH769" s="24" t="inlineStr">
        <is>
          <t>2026-10-03T16:52:02.220681+00:00</t>
        </is>
      </c>
      <c r="BI769" s="24" t="inlineStr">
        <is>
          <t>["same_event","same_team_same_day","same_league_same_day"]</t>
        </is>
      </c>
      <c r="BJ769" s="25" t="n">
        <v>61.5</v>
      </c>
      <c r="BK769" s="26" t="n">
        <v>-112</v>
      </c>
      <c r="BL769" s="27" t="n">
        <v>1.892857</v>
      </c>
      <c r="BM769" s="28" t="n">
        <v>0.528302</v>
      </c>
      <c r="BN769" s="28" t="n"/>
      <c r="BO769" s="28" t="n"/>
      <c r="BP769" s="25" t="n"/>
      <c r="BQ769" s="27" t="n"/>
      <c r="BR769" s="28" t="n"/>
      <c r="BS769" s="28" t="n"/>
      <c r="BT769" s="28" t="n"/>
      <c r="BU769" s="25" t="n"/>
      <c r="BV769" s="29" t="n"/>
      <c r="BW769" s="24" t="n"/>
      <c r="BX769" s="30" t="n"/>
      <c r="BY769" s="27" t="n"/>
      <c r="BZ769" s="24" t="n"/>
      <c r="CA769" s="31" t="n"/>
      <c r="CB769" s="24" t="n"/>
      <c r="CC769" s="24" t="n"/>
      <c r="CD769" s="24" t="n"/>
      <c r="CE769" s="24" t="n"/>
      <c r="CF769" s="24" t="n"/>
      <c r="CG769" s="24" t="n"/>
      <c r="CH769" s="24" t="n"/>
      <c r="CI769" s="24" t="n"/>
      <c r="CJ769" s="24" t="n"/>
      <c r="CK769" s="24" t="n"/>
      <c r="CL769" s="24" t="n"/>
      <c r="CM769" s="24" t="n"/>
      <c r="CN769" s="24" t="n"/>
      <c r="CO769" s="24" t="n"/>
      <c r="CP769" s="24" t="n"/>
      <c r="CQ769" s="24" t="n"/>
      <c r="CR769" s="24" t="n"/>
      <c r="CS769" s="24" t="inlineStr">
        <is>
          <t>True</t>
        </is>
      </c>
      <c r="CT769" s="24" t="n"/>
      <c r="CU769" s="24" t="n"/>
      <c r="CV769" s="24" t="n"/>
      <c r="CW769" s="24" t="n"/>
      <c r="CX769" s="24" t="n"/>
      <c r="CY769" s="24" t="n"/>
      <c r="CZ769" s="24" t="n"/>
      <c r="DA769" s="24" t="n"/>
      <c r="DB769" s="24" t="n"/>
      <c r="DC769" s="24" t="n"/>
      <c r="DD769" s="24" t="n"/>
      <c r="DE769" s="24" t="n"/>
      <c r="DF769" s="24" t="n"/>
      <c r="DG769" s="24" t="n"/>
      <c r="DH769" s="24" t="n"/>
      <c r="DI769" s="24" t="n"/>
      <c r="DJ769" s="24" t="inlineStr">
        <is>
          <t>0.528302</t>
        </is>
      </c>
      <c r="DK769" s="24" t="n"/>
      <c r="DL769" s="24" t="n"/>
      <c r="DM769" s="24" t="n"/>
      <c r="DN769" s="24" t="n"/>
      <c r="DO769" s="24" t="n"/>
      <c r="DP769" s="24" t="n"/>
      <c r="DQ769" s="24" t="inlineStr">
        <is>
          <t>{"artifact_hash": "1d168f11d221cd3c", "event_id": "401858472", "event_start_utc": "2026-10-03T20:15Z", "features": {"altitude_fatigue_penalty": 0.0, "away_team": "Purdue Boilermakers", "efficiency_gap": 0.556, "elo_away": 1120.8, "elo_home": 1662.0, "elo_home_win_prob": 0.9704, "event_id": "401858472", "game_start_utc": "2026-10-03T20:15Z", "home_field_advantage_points": 2.8, "home_team": "Illinois Fighting Illini", "is_dome": false, "is_fbs_vs_fcs": false, "is_neutral_site": false, "projected_away_points": 15.6, "projected_home_points": 40.3, "projected_margin_home": 24.7, "projected_possessions": 12.4, "projected_total": 55.9, "stadium_elevation_ft": 730, "travel_distance_miles": 73.0, "uncertainty": 0.18, "weather_total_adjustment": 0.0}, "historical_source_observation_times_verified": false, "inference_inputs": {"engine_source_sha256": "449ba2f0e86fa9c445730076a0e0bf100fb4914620be53c75c6f3bfe24298f3f", "mu_away": 15.6, "mu_home": 40.3,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337659305691541323249874373917330963648}, "uinteger": 0}, "spread_home_line": -9.5, "total_line": 61.5}, "market_type": "total", "model_version": "cfb-total-v1", "observed_at_utc": "2026-10-03T16:52:02.220681+00:00", "probabilities": {"over": 0.383733, "push": 0.0, "under": 0.616267}, "replay_scope": "Full precision score means, exact engine parameters and original RNG state; upstream feature construction not certified.", "schema": "cfb-joint-replay-v1", "snapshot_hash": "933a230b3489dc045e758f10dd3d1a57cf3799f785febd9ee8fa943ec70afa88", "sport": "NCAAF"}</t>
        </is>
      </c>
    </row>
    <row r="770" ht="36" customHeight="1">
      <c r="A770" s="24" t="inlineStr">
        <is>
          <t>9c806ab49e4f4a5c</t>
        </is>
      </c>
      <c r="B770" s="24" t="inlineStr">
        <is>
          <t>2026-10-03T16:52:02.220681Z</t>
        </is>
      </c>
      <c r="C770" s="24" t="inlineStr">
        <is>
          <t>2026-10-03T22:00Z</t>
        </is>
      </c>
      <c r="D770" s="24" t="inlineStr">
        <is>
          <t>401860899</t>
        </is>
      </c>
      <c r="E770" s="24" t="inlineStr">
        <is>
          <t>NCAAF</t>
        </is>
      </c>
      <c r="F770" s="24" t="inlineStr">
        <is>
          <t>Oregon State Beavers</t>
        </is>
      </c>
      <c r="G770" s="24" t="inlineStr">
        <is>
          <t>Colorado State Rams</t>
        </is>
      </c>
      <c r="H770" s="24" t="inlineStr">
        <is>
          <t>moneyline</t>
        </is>
      </c>
      <c r="I770" s="24" t="inlineStr">
        <is>
          <t>home</t>
        </is>
      </c>
      <c r="J770" s="25" t="n"/>
      <c r="K770" s="24" t="inlineStr">
        <is>
          <t>espn_consensus</t>
        </is>
      </c>
      <c r="L770" s="26" t="n">
        <v>210</v>
      </c>
      <c r="M770" s="27" t="n">
        <v>3.1</v>
      </c>
      <c r="N770" s="28" t="n">
        <v>0.322581</v>
      </c>
      <c r="O770" s="28" t="n">
        <v>0.701581</v>
      </c>
      <c r="P770" s="28" t="n">
        <v>0.165</v>
      </c>
      <c r="Q770" s="28" t="n">
        <v>0.379</v>
      </c>
      <c r="R770" s="26" t="n">
        <v>100</v>
      </c>
      <c r="S770" s="29" t="n">
        <v>2</v>
      </c>
      <c r="T770" s="24" t="inlineStr">
        <is>
          <t>college-football-v1</t>
        </is>
      </c>
      <c r="U770" s="24" t="inlineStr">
        <is>
          <t>settled</t>
        </is>
      </c>
      <c r="V770" s="24" t="inlineStr">
        <is>
          <t>loss</t>
        </is>
      </c>
      <c r="W770" s="26" t="n">
        <v>56</v>
      </c>
      <c r="X770" s="26" t="n">
        <v>26</v>
      </c>
      <c r="Y770" s="25" t="n"/>
      <c r="Z770" s="26" t="n"/>
      <c r="AA770" s="28" t="n"/>
      <c r="AB770" s="28" t="n"/>
      <c r="AC770" s="30" t="n">
        <v>-2</v>
      </c>
      <c r="AD770" s="24" t="inlineStr">
        <is>
          <t>2026-10-04T20:42:07.674618Z</t>
        </is>
      </c>
      <c r="AE770" s="31" t="inlineStr">
        <is>
          <t>CFB Joint Model (negative_binomial): proj score Oregon State Beavers 21.9 @ Colorado State Rams 32.0 (Margin +10.1). Possessions: 12.4, HFA: +2.8 pts.</t>
        </is>
      </c>
      <c r="AF770" s="31" t="inlineStr">
        <is>
          <t>College football model; multi-market (moneyline, spread, total).</t>
        </is>
      </c>
      <c r="AG770" s="24" t="inlineStr">
        <is>
          <t>review_required</t>
        </is>
      </c>
      <c r="AH770" s="24" t="n"/>
      <c r="AI770" s="31" t="n"/>
      <c r="AJ770" s="31" t="n"/>
      <c r="AK770" s="24" t="inlineStr">
        <is>
          <t>model_qualified</t>
        </is>
      </c>
      <c r="AL770" s="26" t="n">
        <v>4</v>
      </c>
      <c r="AM770" s="24" t="inlineStr">
        <is>
          <t>QUALIFIED_SHADOW_CALL</t>
        </is>
      </c>
      <c r="AN770" s="24" t="inlineStr">
        <is>
          <t>CALL</t>
        </is>
      </c>
      <c r="AO770" s="24" t="inlineStr">
        <is>
          <t>QUALIFIED</t>
        </is>
      </c>
      <c r="AP770" s="24" t="inlineStr">
        <is>
          <t>Oregon State Beavers</t>
        </is>
      </c>
      <c r="AQ770" s="24" t="inlineStr">
        <is>
          <t>Oregon State Beavers</t>
        </is>
      </c>
      <c r="AR770" s="24" t="inlineStr">
        <is>
          <t>Oregon State Beavers</t>
        </is>
      </c>
      <c r="AS770" s="24" t="inlineStr">
        <is>
          <t>Colorado State Rams</t>
        </is>
      </c>
      <c r="AT770" s="24" t="inlineStr">
        <is>
          <t>Colorado State Rams</t>
        </is>
      </c>
      <c r="AU770" s="24" t="inlineStr">
        <is>
          <t>Colorado State Rams</t>
        </is>
      </c>
      <c r="AV770" s="24" t="n"/>
      <c r="AW770" s="24" t="n"/>
      <c r="AX770" s="24" t="inlineStr">
        <is>
          <t>statistical_model</t>
        </is>
      </c>
      <c r="AY770" s="24" t="n"/>
      <c r="AZ770" s="24" t="inlineStr">
        <is>
          <t>shadow_qualified</t>
        </is>
      </c>
      <c r="BA770" s="24" t="inlineStr">
        <is>
          <t>1d168f11d221cd3c</t>
        </is>
      </c>
      <c r="BB770" s="24" t="inlineStr">
        <is>
          <t>cfb_key_number_engine</t>
        </is>
      </c>
      <c r="BC770" s="24" t="inlineStr">
        <is>
          <t>college-football-v1</t>
        </is>
      </c>
      <c r="BD770" s="24" t="inlineStr">
        <is>
          <t>1d168f11d221cd3c</t>
        </is>
      </c>
      <c r="BE770" s="24" t="inlineStr">
        <is>
          <t>cfb-v1</t>
        </is>
      </c>
      <c r="BF770" s="24" t="inlineStr">
        <is>
          <t>1</t>
        </is>
      </c>
      <c r="BG770" s="24" t="inlineStr">
        <is>
          <t>1d168f11d221cd3c</t>
        </is>
      </c>
      <c r="BH770" s="24" t="inlineStr">
        <is>
          <t>2026-10-03T16:52:02.220681+00:00</t>
        </is>
      </c>
      <c r="BI770" s="24" t="inlineStr">
        <is>
          <t>["same_event","same_team_same_day","same_league_same_day"]</t>
        </is>
      </c>
      <c r="BJ770" s="25" t="n"/>
      <c r="BK770" s="26" t="n">
        <v>210</v>
      </c>
      <c r="BL770" s="27" t="n">
        <v>3.1</v>
      </c>
      <c r="BM770" s="28" t="n">
        <v>0.322581</v>
      </c>
      <c r="BN770" s="28" t="n"/>
      <c r="BO770" s="28" t="n"/>
      <c r="BP770" s="25" t="n"/>
      <c r="BQ770" s="27" t="n"/>
      <c r="BR770" s="28" t="n"/>
      <c r="BS770" s="28" t="n"/>
      <c r="BT770" s="28" t="n"/>
      <c r="BU770" s="25" t="n"/>
      <c r="BV770" s="29" t="n"/>
      <c r="BW770" s="24" t="n"/>
      <c r="BX770" s="30" t="n"/>
      <c r="BY770" s="27" t="n"/>
      <c r="BZ770" s="24" t="n"/>
      <c r="CA770" s="31" t="n"/>
      <c r="CB770" s="24" t="n"/>
      <c r="CC770" s="24" t="n"/>
      <c r="CD770" s="24" t="n"/>
      <c r="CE770" s="24" t="n"/>
      <c r="CF770" s="24" t="n"/>
      <c r="CG770" s="24" t="n"/>
      <c r="CH770" s="24" t="n"/>
      <c r="CI770" s="24" t="n"/>
      <c r="CJ770" s="24" t="n"/>
      <c r="CK770" s="24" t="n"/>
      <c r="CL770" s="24" t="n"/>
      <c r="CM770" s="24" t="n"/>
      <c r="CN770" s="24" t="n"/>
      <c r="CO770" s="24" t="n"/>
      <c r="CP770" s="24" t="n"/>
      <c r="CQ770" s="24" t="n"/>
      <c r="CR770" s="24" t="n"/>
      <c r="CS770" s="24" t="inlineStr">
        <is>
          <t>True</t>
        </is>
      </c>
      <c r="CT770" s="24" t="n"/>
      <c r="CU770" s="24" t="n"/>
      <c r="CV770" s="24" t="n"/>
      <c r="CW770" s="24" t="n"/>
      <c r="CX770" s="24" t="n"/>
      <c r="CY770" s="24" t="n"/>
      <c r="CZ770" s="24" t="n"/>
      <c r="DA770" s="24" t="n"/>
      <c r="DB770" s="24" t="n"/>
      <c r="DC770" s="24" t="n"/>
      <c r="DD770" s="24" t="n"/>
      <c r="DE770" s="24" t="n"/>
      <c r="DF770" s="24" t="n"/>
      <c r="DG770" s="24" t="n"/>
      <c r="DH770" s="24" t="n"/>
      <c r="DI770" s="24" t="n"/>
      <c r="DJ770" s="24" t="inlineStr">
        <is>
          <t>0.322581</t>
        </is>
      </c>
      <c r="DK770" s="24" t="n"/>
      <c r="DL770" s="24" t="n"/>
      <c r="DM770" s="24" t="n"/>
      <c r="DN770" s="24" t="n"/>
      <c r="DO770" s="24" t="n"/>
      <c r="DP770" s="24" t="n"/>
      <c r="DQ770" s="24" t="inlineStr">
        <is>
          <t>{"artifact_hash": "1d168f11d221cd3c", "event_id": "401860899", "event_start_utc": "2026-10-03T22:00Z", "features": {"altitude_fatigue_penalty": 0.75, "away_team": "Oregon State Beavers", "efficiency_gap": 1.406, "elo_away": 1148.0, "elo_home": 1327.7, "elo_home_win_prob": 0.8036, "event_id": "401860899", "game_start_utc": "2026-10-03T22:00Z", "home_field_advantage_points": 2.8, "home_team": "Colorado State Rams", "is_dome": false, "is_fbs_vs_fcs": false, "is_neutral_site": false, "projected_away_points": 21.9, "projected_home_points": 32.0, "projected_margin_home": 10.1, "projected_possessions": 12.4, "projected_total": 53.9, "stadium_elevation_ft": 5003, "travel_distance_miles": 964.0, "uncertainty": 0.165, "weather_total_adjustment": 0.0}, "historical_source_observation_times_verified": false, "inference_inputs": {"engine_source_sha256": "449ba2f0e86fa9c445730076a0e0bf100fb4914620be53c75c6f3bfe24298f3f", "mu_away": 21.9, "mu_home": 32.0,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52486384169410180962258467831305309614}, "uinteger": 0}, "spread_home_line": 7.0, "total_line": 62.5}, "market_type": "moneyline", "model_version": "college-football-v1", "observed_at_utc": "2026-10-03T16:52:02.220681+00:00", "probabilities": {"away": 0.298419, "home": 0.701581}, "replay_scope": "Full precision score means, exact engine parameters and original RNG state; upstream feature construction not certified.", "schema": "cfb-joint-replay-v1", "snapshot_hash": "57cf967f946790abc82e3160790d31e426bd9bf046f11433bd697bcebaa6e2f5", "sport": "NCAAF"}</t>
        </is>
      </c>
    </row>
    <row r="771" ht="36" customHeight="1">
      <c r="A771" s="24" t="inlineStr">
        <is>
          <t>14727c911ff34bba</t>
        </is>
      </c>
      <c r="B771" s="24" t="inlineStr">
        <is>
          <t>2026-10-03T16:52:02.220681Z</t>
        </is>
      </c>
      <c r="C771" s="24" t="inlineStr">
        <is>
          <t>2026-10-03T22:00Z</t>
        </is>
      </c>
      <c r="D771" s="24" t="inlineStr">
        <is>
          <t>401860899</t>
        </is>
      </c>
      <c r="E771" s="24" t="inlineStr">
        <is>
          <t>NCAAF</t>
        </is>
      </c>
      <c r="F771" s="24" t="inlineStr">
        <is>
          <t>Oregon State Beavers</t>
        </is>
      </c>
      <c r="G771" s="24" t="inlineStr">
        <is>
          <t>Colorado State Rams</t>
        </is>
      </c>
      <c r="H771" s="24" t="inlineStr">
        <is>
          <t>spread</t>
        </is>
      </c>
      <c r="I771" s="24" t="inlineStr">
        <is>
          <t>home</t>
        </is>
      </c>
      <c r="J771" s="25" t="n">
        <v>7</v>
      </c>
      <c r="K771" s="24" t="inlineStr">
        <is>
          <t>espn_consensus</t>
        </is>
      </c>
      <c r="L771" s="26" t="n">
        <v>-112</v>
      </c>
      <c r="M771" s="27" t="n">
        <v>1.892857</v>
      </c>
      <c r="N771" s="28" t="n">
        <v>0.528302</v>
      </c>
      <c r="O771" s="28" t="n">
        <v>0.8042</v>
      </c>
      <c r="P771" s="28" t="n">
        <v>0.165</v>
      </c>
      <c r="Q771" s="28" t="n">
        <v>0.275898</v>
      </c>
      <c r="R771" s="26" t="n">
        <v>89</v>
      </c>
      <c r="S771" s="29" t="n">
        <v>1.75</v>
      </c>
      <c r="T771" s="24" t="inlineStr">
        <is>
          <t>cfb-spread-v1</t>
        </is>
      </c>
      <c r="U771" s="24" t="inlineStr">
        <is>
          <t>settled</t>
        </is>
      </c>
      <c r="V771" s="24" t="inlineStr">
        <is>
          <t>loss</t>
        </is>
      </c>
      <c r="W771" s="26" t="n">
        <v>56</v>
      </c>
      <c r="X771" s="26" t="n">
        <v>26</v>
      </c>
      <c r="Y771" s="25" t="n"/>
      <c r="Z771" s="26" t="n"/>
      <c r="AA771" s="28" t="n"/>
      <c r="AB771" s="28" t="n"/>
      <c r="AC771" s="30" t="n">
        <v>-1.75</v>
      </c>
      <c r="AD771" s="24" t="inlineStr">
        <is>
          <t>2026-10-04T20:42:13.319190Z</t>
        </is>
      </c>
      <c r="AE771" s="31" t="inlineStr">
        <is>
          <t>Projected home margin +10.1 pts. Spread: Home +7.0 / Away -7.0 -&gt; P(Away cover)=0.184, P(Home cover)=0.804, P(Push)=0.012.</t>
        </is>
      </c>
      <c r="AF771" s="31" t="inlineStr">
        <is>
          <t>College football model; multi-market (moneyline, spread, total).</t>
        </is>
      </c>
      <c r="AG771" s="24" t="inlineStr">
        <is>
          <t>review_required</t>
        </is>
      </c>
      <c r="AH771" s="24" t="n"/>
      <c r="AI771" s="31" t="n"/>
      <c r="AJ771" s="31" t="n"/>
      <c r="AK771" s="24" t="inlineStr">
        <is>
          <t>model_qualified</t>
        </is>
      </c>
      <c r="AL771" s="26" t="n">
        <v>4</v>
      </c>
      <c r="AM771" s="24" t="inlineStr">
        <is>
          <t>QUALIFIED_SHADOW_CALL</t>
        </is>
      </c>
      <c r="AN771" s="24" t="inlineStr">
        <is>
          <t>CALL</t>
        </is>
      </c>
      <c r="AO771" s="24" t="inlineStr">
        <is>
          <t>QUALIFIED</t>
        </is>
      </c>
      <c r="AP771" s="24" t="inlineStr">
        <is>
          <t>Oregon State Beavers</t>
        </is>
      </c>
      <c r="AQ771" s="24" t="inlineStr">
        <is>
          <t>Oregon State Beavers</t>
        </is>
      </c>
      <c r="AR771" s="24" t="inlineStr">
        <is>
          <t>Oregon State Beavers</t>
        </is>
      </c>
      <c r="AS771" s="24" t="inlineStr">
        <is>
          <t>Colorado State Rams</t>
        </is>
      </c>
      <c r="AT771" s="24" t="inlineStr">
        <is>
          <t>Colorado State Rams</t>
        </is>
      </c>
      <c r="AU771" s="24" t="inlineStr">
        <is>
          <t>Colorado State Rams</t>
        </is>
      </c>
      <c r="AV771" s="24" t="n"/>
      <c r="AW771" s="24" t="n"/>
      <c r="AX771" s="24" t="inlineStr">
        <is>
          <t>statistical_model</t>
        </is>
      </c>
      <c r="AY771" s="24" t="n"/>
      <c r="AZ771" s="24" t="inlineStr">
        <is>
          <t>shadow_qualified</t>
        </is>
      </c>
      <c r="BA771" s="24" t="inlineStr">
        <is>
          <t>1d168f11d221cd3c</t>
        </is>
      </c>
      <c r="BB771" s="24" t="inlineStr">
        <is>
          <t>cfb_key_number_engine</t>
        </is>
      </c>
      <c r="BC771" s="24" t="inlineStr">
        <is>
          <t>cfb-spread-v1</t>
        </is>
      </c>
      <c r="BD771" s="24" t="inlineStr">
        <is>
          <t>1d168f11d221cd3c</t>
        </is>
      </c>
      <c r="BE771" s="24" t="inlineStr">
        <is>
          <t>cfb-v1</t>
        </is>
      </c>
      <c r="BF771" s="24" t="inlineStr">
        <is>
          <t>1</t>
        </is>
      </c>
      <c r="BG771" s="24" t="inlineStr">
        <is>
          <t>1d168f11d221cd3c</t>
        </is>
      </c>
      <c r="BH771" s="24" t="inlineStr">
        <is>
          <t>2026-10-03T16:52:02.220681+00:00</t>
        </is>
      </c>
      <c r="BI771" s="24" t="inlineStr">
        <is>
          <t>["same_event","same_team_same_day","same_league_same_day"]</t>
        </is>
      </c>
      <c r="BJ771" s="25" t="n">
        <v>7</v>
      </c>
      <c r="BK771" s="26" t="n">
        <v>-112</v>
      </c>
      <c r="BL771" s="27" t="n">
        <v>1.892857</v>
      </c>
      <c r="BM771" s="28" t="n">
        <v>0.528302</v>
      </c>
      <c r="BN771" s="28" t="n"/>
      <c r="BO771" s="28" t="n"/>
      <c r="BP771" s="25" t="n"/>
      <c r="BQ771" s="27" t="n"/>
      <c r="BR771" s="28" t="n"/>
      <c r="BS771" s="28" t="n"/>
      <c r="BT771" s="28" t="n"/>
      <c r="BU771" s="25" t="n"/>
      <c r="BV771" s="29" t="n"/>
      <c r="BW771" s="24" t="n"/>
      <c r="BX771" s="30" t="n"/>
      <c r="BY771" s="27" t="n"/>
      <c r="BZ771" s="24" t="n"/>
      <c r="CA771" s="31" t="n"/>
      <c r="CB771" s="24" t="n"/>
      <c r="CC771" s="24" t="n"/>
      <c r="CD771" s="24" t="n"/>
      <c r="CE771" s="24" t="n"/>
      <c r="CF771" s="24" t="n"/>
      <c r="CG771" s="24" t="n"/>
      <c r="CH771" s="24" t="n"/>
      <c r="CI771" s="24" t="n"/>
      <c r="CJ771" s="24" t="n"/>
      <c r="CK771" s="24" t="n"/>
      <c r="CL771" s="24" t="n"/>
      <c r="CM771" s="24" t="n"/>
      <c r="CN771" s="24" t="n"/>
      <c r="CO771" s="24" t="n"/>
      <c r="CP771" s="24" t="n"/>
      <c r="CQ771" s="24" t="n"/>
      <c r="CR771" s="24" t="n"/>
      <c r="CS771" s="24" t="inlineStr">
        <is>
          <t>True</t>
        </is>
      </c>
      <c r="CT771" s="24" t="n"/>
      <c r="CU771" s="24" t="n"/>
      <c r="CV771" s="24" t="n"/>
      <c r="CW771" s="24" t="n"/>
      <c r="CX771" s="24" t="n"/>
      <c r="CY771" s="24" t="n"/>
      <c r="CZ771" s="24" t="n"/>
      <c r="DA771" s="24" t="n"/>
      <c r="DB771" s="24" t="n"/>
      <c r="DC771" s="24" t="n"/>
      <c r="DD771" s="24" t="n"/>
      <c r="DE771" s="24" t="n"/>
      <c r="DF771" s="24" t="n"/>
      <c r="DG771" s="24" t="n"/>
      <c r="DH771" s="24" t="n"/>
      <c r="DI771" s="24" t="n"/>
      <c r="DJ771" s="24" t="inlineStr">
        <is>
          <t>0.528302</t>
        </is>
      </c>
      <c r="DK771" s="24" t="n"/>
      <c r="DL771" s="24" t="n"/>
      <c r="DM771" s="24" t="n"/>
      <c r="DN771" s="24" t="n"/>
      <c r="DO771" s="24" t="n"/>
      <c r="DP771" s="24" t="n"/>
      <c r="DQ771" s="24" t="inlineStr">
        <is>
          <t>{"artifact_hash": "1d168f11d221cd3c", "event_id": "401860899", "event_start_utc": "2026-10-03T22:00Z", "features": {"altitude_fatigue_penalty": 0.75, "away_team": "Oregon State Beavers", "efficiency_gap": 1.406, "elo_away": 1148.0, "elo_home": 1327.7, "elo_home_win_prob": 0.8036, "event_id": "401860899", "game_start_utc": "2026-10-03T22:00Z", "home_field_advantage_points": 2.8, "home_team": "Colorado State Rams", "is_dome": false, "is_fbs_vs_fcs": false, "is_neutral_site": false, "projected_away_points": 21.9, "projected_home_points": 32.0, "projected_margin_home": 10.1, "projected_possessions": 12.4, "projected_total": 53.9, "stadium_elevation_ft": 5003, "travel_distance_miles": 964.0, "uncertainty": 0.165, "weather_total_adjustment": 0.0}, "historical_source_observation_times_verified": false, "inference_inputs": {"engine_source_sha256": "449ba2f0e86fa9c445730076a0e0bf100fb4914620be53c75c6f3bfe24298f3f", "mu_away": 21.9, "mu_home": 32.0,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52486384169410180962258467831305309614}, "uinteger": 0}, "spread_home_line": 7.0, "total_line": 62.5}, "market_type": "spread", "model_version": "cfb-spread-v1", "observed_at_utc": "2026-10-03T16:52:02.220681+00:00", "probabilities": {"away": 0.183667, "home": 0.8042, "push": 0.012133}, "replay_scope": "Full precision score means, exact engine parameters and original RNG state; upstream feature construction not certified.", "schema": "cfb-joint-replay-v1", "snapshot_hash": "633827425bf75ea5702b38eb9caceaf573da87c08ea347d015bee304d8792e51", "sport": "NCAAF"}</t>
        </is>
      </c>
    </row>
    <row r="772" ht="36" customHeight="1">
      <c r="A772" s="24" t="inlineStr">
        <is>
          <t>48331509043c4fe9</t>
        </is>
      </c>
      <c r="B772" s="24" t="inlineStr">
        <is>
          <t>2026-10-03T16:52:02.220681Z</t>
        </is>
      </c>
      <c r="C772" s="24" t="inlineStr">
        <is>
          <t>2026-10-03T22:00Z</t>
        </is>
      </c>
      <c r="D772" s="24" t="inlineStr">
        <is>
          <t>401860899</t>
        </is>
      </c>
      <c r="E772" s="24" t="inlineStr">
        <is>
          <t>NCAAF</t>
        </is>
      </c>
      <c r="F772" s="24" t="inlineStr">
        <is>
          <t>Oregon State Beavers</t>
        </is>
      </c>
      <c r="G772" s="24" t="inlineStr">
        <is>
          <t>Colorado State Rams</t>
        </is>
      </c>
      <c r="H772" s="24" t="inlineStr">
        <is>
          <t>total</t>
        </is>
      </c>
      <c r="I772" s="24" t="inlineStr">
        <is>
          <t>under</t>
        </is>
      </c>
      <c r="J772" s="25" t="n">
        <v>62.5</v>
      </c>
      <c r="K772" s="24" t="inlineStr">
        <is>
          <t>espn_consensus</t>
        </is>
      </c>
      <c r="L772" s="26" t="n">
        <v>-110</v>
      </c>
      <c r="M772" s="27" t="n">
        <v>1.909091</v>
      </c>
      <c r="N772" s="28" t="n">
        <v>0.52381</v>
      </c>
      <c r="O772" s="28" t="n">
        <v>0.659933</v>
      </c>
      <c r="P772" s="28" t="n">
        <v>0.165</v>
      </c>
      <c r="Q772" s="28" t="n">
        <v>0.136123</v>
      </c>
      <c r="R772" s="26" t="n">
        <v>19</v>
      </c>
      <c r="S772" s="29" t="n">
        <v>1</v>
      </c>
      <c r="T772" s="24" t="inlineStr">
        <is>
          <t>cfb-total-v1</t>
        </is>
      </c>
      <c r="U772" s="24" t="inlineStr">
        <is>
          <t>settled</t>
        </is>
      </c>
      <c r="V772" s="24" t="inlineStr">
        <is>
          <t>loss</t>
        </is>
      </c>
      <c r="W772" s="26" t="n">
        <v>56</v>
      </c>
      <c r="X772" s="26" t="n">
        <v>26</v>
      </c>
      <c r="Y772" s="25" t="n"/>
      <c r="Z772" s="26" t="n"/>
      <c r="AA772" s="28" t="n"/>
      <c r="AB772" s="28" t="n"/>
      <c r="AC772" s="30" t="n">
        <v>-1</v>
      </c>
      <c r="AD772" s="24" t="inlineStr">
        <is>
          <t>2026-10-04T20:42:19.273884Z</t>
        </is>
      </c>
      <c r="AE772" s="31" t="inlineStr">
        <is>
          <t>Projected total 53.9 pts (Weather adj: +0.0 pts). Total line 62.5 -&gt; P(Over)=0.340, P(Under)=0.660, P(Push)=0.000.</t>
        </is>
      </c>
      <c r="AF772" s="31" t="inlineStr">
        <is>
          <t>College football model; multi-market (moneyline, spread, total).</t>
        </is>
      </c>
      <c r="AG772" s="24" t="inlineStr">
        <is>
          <t>review_required</t>
        </is>
      </c>
      <c r="AH772" s="24" t="n"/>
      <c r="AI772" s="31" t="n"/>
      <c r="AJ772" s="31" t="n"/>
      <c r="AK772" s="24" t="inlineStr">
        <is>
          <t>model_qualified</t>
        </is>
      </c>
      <c r="AL772" s="26" t="n">
        <v>4</v>
      </c>
      <c r="AM772" s="24" t="inlineStr">
        <is>
          <t>QUALIFIED_SHADOW_CALL</t>
        </is>
      </c>
      <c r="AN772" s="24" t="inlineStr">
        <is>
          <t>CALL</t>
        </is>
      </c>
      <c r="AO772" s="24" t="inlineStr">
        <is>
          <t>QUALIFIED</t>
        </is>
      </c>
      <c r="AP772" s="24" t="inlineStr">
        <is>
          <t>Oregon State Beavers</t>
        </is>
      </c>
      <c r="AQ772" s="24" t="inlineStr">
        <is>
          <t>Oregon State Beavers</t>
        </is>
      </c>
      <c r="AR772" s="24" t="inlineStr">
        <is>
          <t>Oregon State Beavers</t>
        </is>
      </c>
      <c r="AS772" s="24" t="inlineStr">
        <is>
          <t>Colorado State Rams</t>
        </is>
      </c>
      <c r="AT772" s="24" t="inlineStr">
        <is>
          <t>Colorado State Rams</t>
        </is>
      </c>
      <c r="AU772" s="24" t="inlineStr">
        <is>
          <t>Colorado State Rams</t>
        </is>
      </c>
      <c r="AV772" s="24" t="n"/>
      <c r="AW772" s="24" t="n"/>
      <c r="AX772" s="24" t="inlineStr">
        <is>
          <t>statistical_model</t>
        </is>
      </c>
      <c r="AY772" s="24" t="n"/>
      <c r="AZ772" s="24" t="inlineStr">
        <is>
          <t>shadow_qualified</t>
        </is>
      </c>
      <c r="BA772" s="24" t="inlineStr">
        <is>
          <t>1d168f11d221cd3c</t>
        </is>
      </c>
      <c r="BB772" s="24" t="inlineStr">
        <is>
          <t>cfb_key_number_engine</t>
        </is>
      </c>
      <c r="BC772" s="24" t="inlineStr">
        <is>
          <t>cfb-total-v1</t>
        </is>
      </c>
      <c r="BD772" s="24" t="inlineStr">
        <is>
          <t>1d168f11d221cd3c</t>
        </is>
      </c>
      <c r="BE772" s="24" t="inlineStr">
        <is>
          <t>cfb-v1</t>
        </is>
      </c>
      <c r="BF772" s="24" t="inlineStr">
        <is>
          <t>1</t>
        </is>
      </c>
      <c r="BG772" s="24" t="inlineStr">
        <is>
          <t>1d168f11d221cd3c</t>
        </is>
      </c>
      <c r="BH772" s="24" t="inlineStr">
        <is>
          <t>2026-10-03T16:52:02.220681+00:00</t>
        </is>
      </c>
      <c r="BI772" s="24" t="inlineStr">
        <is>
          <t>["same_event","same_team_same_day","same_league_same_day"]</t>
        </is>
      </c>
      <c r="BJ772" s="25" t="n">
        <v>62.5</v>
      </c>
      <c r="BK772" s="26" t="n">
        <v>-110</v>
      </c>
      <c r="BL772" s="27" t="n">
        <v>1.909091</v>
      </c>
      <c r="BM772" s="28" t="n">
        <v>0.52381</v>
      </c>
      <c r="BN772" s="28" t="n"/>
      <c r="BO772" s="28" t="n"/>
      <c r="BP772" s="25" t="n"/>
      <c r="BQ772" s="27" t="n"/>
      <c r="BR772" s="28" t="n"/>
      <c r="BS772" s="28" t="n"/>
      <c r="BT772" s="28" t="n"/>
      <c r="BU772" s="25" t="n"/>
      <c r="BV772" s="29" t="n"/>
      <c r="BW772" s="24" t="n"/>
      <c r="BX772" s="30" t="n"/>
      <c r="BY772" s="27" t="n"/>
      <c r="BZ772" s="24" t="n"/>
      <c r="CA772" s="31" t="n"/>
      <c r="CB772" s="24" t="n"/>
      <c r="CC772" s="24" t="n"/>
      <c r="CD772" s="24" t="n"/>
      <c r="CE772" s="24" t="n"/>
      <c r="CF772" s="24" t="n"/>
      <c r="CG772" s="24" t="n"/>
      <c r="CH772" s="24" t="n"/>
      <c r="CI772" s="24" t="n"/>
      <c r="CJ772" s="24" t="n"/>
      <c r="CK772" s="24" t="n"/>
      <c r="CL772" s="24" t="n"/>
      <c r="CM772" s="24" t="n"/>
      <c r="CN772" s="24" t="n"/>
      <c r="CO772" s="24" t="n"/>
      <c r="CP772" s="24" t="n"/>
      <c r="CQ772" s="24" t="n"/>
      <c r="CR772" s="24" t="n"/>
      <c r="CS772" s="24" t="inlineStr">
        <is>
          <t>True</t>
        </is>
      </c>
      <c r="CT772" s="24" t="n"/>
      <c r="CU772" s="24" t="n"/>
      <c r="CV772" s="24" t="n"/>
      <c r="CW772" s="24" t="n"/>
      <c r="CX772" s="24" t="n"/>
      <c r="CY772" s="24" t="n"/>
      <c r="CZ772" s="24" t="n"/>
      <c r="DA772" s="24" t="n"/>
      <c r="DB772" s="24" t="n"/>
      <c r="DC772" s="24" t="n"/>
      <c r="DD772" s="24" t="n"/>
      <c r="DE772" s="24" t="n"/>
      <c r="DF772" s="24" t="n"/>
      <c r="DG772" s="24" t="n"/>
      <c r="DH772" s="24" t="n"/>
      <c r="DI772" s="24" t="n"/>
      <c r="DJ772" s="24" t="inlineStr">
        <is>
          <t>0.52381</t>
        </is>
      </c>
      <c r="DK772" s="24" t="n"/>
      <c r="DL772" s="24" t="n"/>
      <c r="DM772" s="24" t="n"/>
      <c r="DN772" s="24" t="n"/>
      <c r="DO772" s="24" t="n"/>
      <c r="DP772" s="24" t="n"/>
      <c r="DQ772" s="24" t="inlineStr">
        <is>
          <t>{"artifact_hash": "1d168f11d221cd3c", "event_id": "401860899", "event_start_utc": "2026-10-03T22:00Z", "features": {"altitude_fatigue_penalty": 0.75, "away_team": "Oregon State Beavers", "efficiency_gap": 1.406, "elo_away": 1148.0, "elo_home": 1327.7, "elo_home_win_prob": 0.8036, "event_id": "401860899", "game_start_utc": "2026-10-03T22:00Z", "home_field_advantage_points": 2.8, "home_team": "Colorado State Rams", "is_dome": false, "is_fbs_vs_fcs": false, "is_neutral_site": false, "projected_away_points": 21.9, "projected_home_points": 32.0, "projected_margin_home": 10.1, "projected_possessions": 12.4, "projected_total": 53.9, "stadium_elevation_ft": 5003, "travel_distance_miles": 964.0, "uncertainty": 0.165, "weather_total_adjustment": 0.0}, "historical_source_observation_times_verified": false, "inference_inputs": {"engine_source_sha256": "449ba2f0e86fa9c445730076a0e0bf100fb4914620be53c75c6f3bfe24298f3f", "mu_away": 21.9, "mu_home": 32.0,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52486384169410180962258467831305309614}, "uinteger": 0}, "spread_home_line": 7.0, "total_line": 62.5}, "market_type": "total", "model_version": "cfb-total-v1", "observed_at_utc": "2026-10-03T16:52:02.220681+00:00", "probabilities": {"over": 0.340067, "push": 0.0, "under": 0.659933}, "replay_scope": "Full precision score means, exact engine parameters and original RNG state; upstream feature construction not certified.", "schema": "cfb-joint-replay-v1", "snapshot_hash": "fb3a60668281f72a734ca2f3d0c9b1fce3ed37f089a530c16bbe5ba99fa5eaf9", "sport": "NCAAF"}</t>
        </is>
      </c>
    </row>
    <row r="773" ht="36" customHeight="1">
      <c r="A773" s="24" t="inlineStr">
        <is>
          <t>e1d39424805a4f1f</t>
        </is>
      </c>
      <c r="B773" s="24" t="inlineStr">
        <is>
          <t>2026-10-03T16:52:02.220681Z</t>
        </is>
      </c>
      <c r="C773" s="24" t="inlineStr">
        <is>
          <t>2026-10-03T22:00Z</t>
        </is>
      </c>
      <c r="D773" s="24" t="inlineStr">
        <is>
          <t>401862790</t>
        </is>
      </c>
      <c r="E773" s="24" t="inlineStr">
        <is>
          <t>NCAAF</t>
        </is>
      </c>
      <c r="F773" s="24" t="inlineStr">
        <is>
          <t>Texas Southern Tigers</t>
        </is>
      </c>
      <c r="G773" s="24" t="inlineStr">
        <is>
          <t>Florida Atlantic Owls</t>
        </is>
      </c>
      <c r="H773" s="24" t="inlineStr">
        <is>
          <t>spread</t>
        </is>
      </c>
      <c r="I773" s="24" t="inlineStr">
        <is>
          <t>away</t>
        </is>
      </c>
      <c r="J773" s="25" t="n">
        <v>47.5</v>
      </c>
      <c r="K773" s="24" t="inlineStr">
        <is>
          <t>espn_consensus</t>
        </is>
      </c>
      <c r="L773" s="26" t="n">
        <v>-112</v>
      </c>
      <c r="M773" s="27" t="n">
        <v>1.892857</v>
      </c>
      <c r="N773" s="28" t="n">
        <v>0.528302</v>
      </c>
      <c r="O773" s="28" t="n">
        <v>0.983</v>
      </c>
      <c r="P773" s="28" t="n">
        <v>0.18</v>
      </c>
      <c r="Q773" s="28" t="n">
        <v>0.454698</v>
      </c>
      <c r="R773" s="26" t="n">
        <v>100</v>
      </c>
      <c r="S773" s="29" t="n">
        <v>2</v>
      </c>
      <c r="T773" s="24" t="inlineStr">
        <is>
          <t>cfb-spread-v1</t>
        </is>
      </c>
      <c r="U773" s="24" t="inlineStr">
        <is>
          <t>settled</t>
        </is>
      </c>
      <c r="V773" s="24" t="inlineStr">
        <is>
          <t>loss</t>
        </is>
      </c>
      <c r="W773" s="26" t="n">
        <v>10</v>
      </c>
      <c r="X773" s="26" t="n">
        <v>66</v>
      </c>
      <c r="Y773" s="25" t="n"/>
      <c r="Z773" s="26" t="n"/>
      <c r="AA773" s="28" t="n"/>
      <c r="AB773" s="28" t="n"/>
      <c r="AC773" s="30" t="n">
        <v>-2</v>
      </c>
      <c r="AD773" s="24" t="inlineStr">
        <is>
          <t>2026-10-04T20:42:25.425779Z</t>
        </is>
      </c>
      <c r="AE773" s="31" t="inlineStr">
        <is>
          <t>Projected home margin -0.7 pts. Spread: Home -47.5 / Away +47.5 -&gt; P(Away cover)=0.983, P(Home cover)=0.017, P(Push)=0.000.</t>
        </is>
      </c>
      <c r="AF773" s="31" t="inlineStr">
        <is>
          <t>College football model; multi-market (moneyline, spread, total).</t>
        </is>
      </c>
      <c r="AG773" s="24" t="inlineStr">
        <is>
          <t>review_required</t>
        </is>
      </c>
      <c r="AH773" s="24" t="n"/>
      <c r="AI773" s="31" t="n"/>
      <c r="AJ773" s="31" t="n"/>
      <c r="AK773" s="24" t="inlineStr">
        <is>
          <t>model_qualified</t>
        </is>
      </c>
      <c r="AL773" s="26" t="n">
        <v>4</v>
      </c>
      <c r="AM773" s="24" t="inlineStr">
        <is>
          <t>QUALIFIED_SHADOW_CALL</t>
        </is>
      </c>
      <c r="AN773" s="24" t="inlineStr">
        <is>
          <t>CALL</t>
        </is>
      </c>
      <c r="AO773" s="24" t="inlineStr">
        <is>
          <t>QUALIFIED</t>
        </is>
      </c>
      <c r="AP773" s="24" t="inlineStr">
        <is>
          <t>Texas Southern Tigers</t>
        </is>
      </c>
      <c r="AQ773" s="24" t="inlineStr">
        <is>
          <t>Texas Southern Tigers</t>
        </is>
      </c>
      <c r="AR773" s="24" t="inlineStr">
        <is>
          <t>Texas Southern Tigers</t>
        </is>
      </c>
      <c r="AS773" s="24" t="inlineStr">
        <is>
          <t>Florida Atlantic Owls</t>
        </is>
      </c>
      <c r="AT773" s="24" t="inlineStr">
        <is>
          <t>Florida Atlantic Owls</t>
        </is>
      </c>
      <c r="AU773" s="24" t="inlineStr">
        <is>
          <t>Florida Atlantic Owls</t>
        </is>
      </c>
      <c r="AV773" s="24" t="n"/>
      <c r="AW773" s="24" t="n"/>
      <c r="AX773" s="24" t="inlineStr">
        <is>
          <t>statistical_model</t>
        </is>
      </c>
      <c r="AY773" s="24" t="n"/>
      <c r="AZ773" s="24" t="inlineStr">
        <is>
          <t>shadow_qualified</t>
        </is>
      </c>
      <c r="BA773" s="24" t="inlineStr">
        <is>
          <t>1d168f11d221cd3c</t>
        </is>
      </c>
      <c r="BB773" s="24" t="inlineStr">
        <is>
          <t>cfb_key_number_engine</t>
        </is>
      </c>
      <c r="BC773" s="24" t="inlineStr">
        <is>
          <t>cfb-spread-v1</t>
        </is>
      </c>
      <c r="BD773" s="24" t="inlineStr">
        <is>
          <t>1d168f11d221cd3c</t>
        </is>
      </c>
      <c r="BE773" s="24" t="inlineStr">
        <is>
          <t>cfb-v1</t>
        </is>
      </c>
      <c r="BF773" s="24" t="inlineStr">
        <is>
          <t>1</t>
        </is>
      </c>
      <c r="BG773" s="24" t="inlineStr">
        <is>
          <t>1d168f11d221cd3c</t>
        </is>
      </c>
      <c r="BH773" s="24" t="inlineStr">
        <is>
          <t>2026-10-03T16:52:02.220681+00:00</t>
        </is>
      </c>
      <c r="BI773" s="24" t="inlineStr">
        <is>
          <t>["same_event","same_team_same_day","same_league_same_day"]</t>
        </is>
      </c>
      <c r="BJ773" s="25" t="n">
        <v>47.5</v>
      </c>
      <c r="BK773" s="26" t="n">
        <v>-112</v>
      </c>
      <c r="BL773" s="27" t="n">
        <v>1.892857</v>
      </c>
      <c r="BM773" s="28" t="n">
        <v>0.528302</v>
      </c>
      <c r="BN773" s="28" t="n"/>
      <c r="BO773" s="28" t="n"/>
      <c r="BP773" s="25" t="n"/>
      <c r="BQ773" s="27" t="n"/>
      <c r="BR773" s="28" t="n"/>
      <c r="BS773" s="28" t="n"/>
      <c r="BT773" s="28" t="n"/>
      <c r="BU773" s="25" t="n"/>
      <c r="BV773" s="29" t="n"/>
      <c r="BW773" s="24" t="n"/>
      <c r="BX773" s="30" t="n"/>
      <c r="BY773" s="27" t="n"/>
      <c r="BZ773" s="24" t="n"/>
      <c r="CA773" s="31" t="n"/>
      <c r="CB773" s="24" t="n"/>
      <c r="CC773" s="24" t="n"/>
      <c r="CD773" s="24" t="n"/>
      <c r="CE773" s="24" t="n"/>
      <c r="CF773" s="24" t="n"/>
      <c r="CG773" s="24" t="n"/>
      <c r="CH773" s="24" t="n"/>
      <c r="CI773" s="24" t="n"/>
      <c r="CJ773" s="24" t="n"/>
      <c r="CK773" s="24" t="n"/>
      <c r="CL773" s="24" t="n"/>
      <c r="CM773" s="24" t="n"/>
      <c r="CN773" s="24" t="n"/>
      <c r="CO773" s="24" t="n"/>
      <c r="CP773" s="24" t="n"/>
      <c r="CQ773" s="24" t="n"/>
      <c r="CR773" s="24" t="n"/>
      <c r="CS773" s="24" t="inlineStr">
        <is>
          <t>True</t>
        </is>
      </c>
      <c r="CT773" s="24" t="n"/>
      <c r="CU773" s="24" t="n"/>
      <c r="CV773" s="24" t="n"/>
      <c r="CW773" s="24" t="n"/>
      <c r="CX773" s="24" t="n"/>
      <c r="CY773" s="24" t="n"/>
      <c r="CZ773" s="24" t="n"/>
      <c r="DA773" s="24" t="n"/>
      <c r="DB773" s="24" t="n"/>
      <c r="DC773" s="24" t="n"/>
      <c r="DD773" s="24" t="n"/>
      <c r="DE773" s="24" t="n"/>
      <c r="DF773" s="24" t="n"/>
      <c r="DG773" s="24" t="n"/>
      <c r="DH773" s="24" t="n"/>
      <c r="DI773" s="24" t="n"/>
      <c r="DJ773" s="24" t="inlineStr">
        <is>
          <t>0.528302</t>
        </is>
      </c>
      <c r="DK773" s="24" t="n"/>
      <c r="DL773" s="24" t="n"/>
      <c r="DM773" s="24" t="n"/>
      <c r="DN773" s="24" t="n"/>
      <c r="DO773" s="24" t="n"/>
      <c r="DP773" s="24" t="n"/>
      <c r="DQ773" s="24" t="inlineStr">
        <is>
          <t>{"artifact_hash": "1d168f11d221cd3c", "event_id": "401862790", "event_start_utc": "2026-10-03T22:00Z", "features": {"altitude_fatigue_penalty": 0.0, "away_team": "Texas Southern Tigers", "efficiency_gap": -1.511, "elo_away": 1337.5, "elo_home": 1256.5, "elo_home_win_prob": 0.4769, "event_id": "401862790", "game_start_utc": "2026-10-03T22:00Z", "home_field_advantage_points": 2.8, "home_team": "Florida Atlantic Owls", "is_dome": false, "is_fbs_vs_fcs": false, "is_neutral_site": false, "projected_away_points": 26.8, "projected_home_points": 26.1, "projected_margin_home": -0.7,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18956176237054278782931976471378241318}, "uinteger": 0}, "spread_home_line": -47.5, "total_line": 62.5}, "market_type": "spread", "model_version": "cfb-spread-v1", "observed_at_utc": "2026-10-03T16:52:02.220681+00:00", "probabilities": {"away": 0.983, "home": 0.017, "push": 0.0}, "replay_scope": "Full precision score means, exact engine parameters and original RNG state; upstream feature construction not certified.", "schema": "cfb-joint-replay-v1", "snapshot_hash": "4b34718ffe3352a9bfcaedfa2fbb5c98d215d9487505384eb5f4679563fe7c13", "sport": "NCAAF"}</t>
        </is>
      </c>
    </row>
    <row r="774" ht="36" customHeight="1">
      <c r="A774" s="24" t="inlineStr">
        <is>
          <t>3a22b04135894fd8</t>
        </is>
      </c>
      <c r="B774" s="24" t="inlineStr">
        <is>
          <t>2026-10-03T16:52:02.220681Z</t>
        </is>
      </c>
      <c r="C774" s="24" t="inlineStr">
        <is>
          <t>2026-10-03T22:00Z</t>
        </is>
      </c>
      <c r="D774" s="24" t="inlineStr">
        <is>
          <t>401862790</t>
        </is>
      </c>
      <c r="E774" s="24" t="inlineStr">
        <is>
          <t>NCAAF</t>
        </is>
      </c>
      <c r="F774" s="24" t="inlineStr">
        <is>
          <t>Texas Southern Tigers</t>
        </is>
      </c>
      <c r="G774" s="24" t="inlineStr">
        <is>
          <t>Florida Atlantic Owls</t>
        </is>
      </c>
      <c r="H774" s="24" t="inlineStr">
        <is>
          <t>total</t>
        </is>
      </c>
      <c r="I774" s="24" t="inlineStr">
        <is>
          <t>under</t>
        </is>
      </c>
      <c r="J774" s="25" t="n">
        <v>62.5</v>
      </c>
      <c r="K774" s="24" t="inlineStr">
        <is>
          <t>espn_consensus</t>
        </is>
      </c>
      <c r="L774" s="26" t="n">
        <v>-115</v>
      </c>
      <c r="M774" s="27" t="n">
        <v>1.869565</v>
      </c>
      <c r="N774" s="28" t="n">
        <v>0.534884</v>
      </c>
      <c r="O774" s="28" t="n">
        <v>0.6806</v>
      </c>
      <c r="P774" s="28" t="n">
        <v>0.18</v>
      </c>
      <c r="Q774" s="28" t="n">
        <v>0.145716</v>
      </c>
      <c r="R774" s="26" t="n">
        <v>15</v>
      </c>
      <c r="S774" s="29" t="n">
        <v>1</v>
      </c>
      <c r="T774" s="24" t="inlineStr">
        <is>
          <t>cfb-total-v1</t>
        </is>
      </c>
      <c r="U774" s="24" t="inlineStr">
        <is>
          <t>settled</t>
        </is>
      </c>
      <c r="V774" s="24" t="inlineStr">
        <is>
          <t>loss</t>
        </is>
      </c>
      <c r="W774" s="26" t="n">
        <v>10</v>
      </c>
      <c r="X774" s="26" t="n">
        <v>66</v>
      </c>
      <c r="Y774" s="25" t="n"/>
      <c r="Z774" s="26" t="n"/>
      <c r="AA774" s="28" t="n"/>
      <c r="AB774" s="28" t="n"/>
      <c r="AC774" s="30" t="n">
        <v>-1</v>
      </c>
      <c r="AD774" s="24" t="inlineStr">
        <is>
          <t>2026-10-04T20:42:31.286446Z</t>
        </is>
      </c>
      <c r="AE774" s="31" t="inlineStr">
        <is>
          <t>Projected total 52.9 pts (Weather adj: +0.0 pts). Total line 62.5 -&gt; P(Over)=0.319, P(Under)=0.681, P(Push)=0.000.</t>
        </is>
      </c>
      <c r="AF774" s="31" t="inlineStr">
        <is>
          <t>College football model; multi-market (moneyline, spread, total).</t>
        </is>
      </c>
      <c r="AG774" s="24" t="inlineStr">
        <is>
          <t>review_required</t>
        </is>
      </c>
      <c r="AH774" s="24" t="n"/>
      <c r="AI774" s="31" t="n"/>
      <c r="AJ774" s="31" t="n"/>
      <c r="AK774" s="24" t="inlineStr">
        <is>
          <t>model_qualified</t>
        </is>
      </c>
      <c r="AL774" s="26" t="n">
        <v>4</v>
      </c>
      <c r="AM774" s="24" t="inlineStr">
        <is>
          <t>QUALIFIED_SHADOW_CALL</t>
        </is>
      </c>
      <c r="AN774" s="24" t="inlineStr">
        <is>
          <t>CALL</t>
        </is>
      </c>
      <c r="AO774" s="24" t="inlineStr">
        <is>
          <t>QUALIFIED</t>
        </is>
      </c>
      <c r="AP774" s="24" t="inlineStr">
        <is>
          <t>Texas Southern Tigers</t>
        </is>
      </c>
      <c r="AQ774" s="24" t="inlineStr">
        <is>
          <t>Texas Southern Tigers</t>
        </is>
      </c>
      <c r="AR774" s="24" t="inlineStr">
        <is>
          <t>Texas Southern Tigers</t>
        </is>
      </c>
      <c r="AS774" s="24" t="inlineStr">
        <is>
          <t>Florida Atlantic Owls</t>
        </is>
      </c>
      <c r="AT774" s="24" t="inlineStr">
        <is>
          <t>Florida Atlantic Owls</t>
        </is>
      </c>
      <c r="AU774" s="24" t="inlineStr">
        <is>
          <t>Florida Atlantic Owls</t>
        </is>
      </c>
      <c r="AV774" s="24" t="n"/>
      <c r="AW774" s="24" t="n"/>
      <c r="AX774" s="24" t="inlineStr">
        <is>
          <t>statistical_model</t>
        </is>
      </c>
      <c r="AY774" s="24" t="n"/>
      <c r="AZ774" s="24" t="inlineStr">
        <is>
          <t>shadow_qualified</t>
        </is>
      </c>
      <c r="BA774" s="24" t="inlineStr">
        <is>
          <t>1d168f11d221cd3c</t>
        </is>
      </c>
      <c r="BB774" s="24" t="inlineStr">
        <is>
          <t>cfb_key_number_engine</t>
        </is>
      </c>
      <c r="BC774" s="24" t="inlineStr">
        <is>
          <t>cfb-total-v1</t>
        </is>
      </c>
      <c r="BD774" s="24" t="inlineStr">
        <is>
          <t>1d168f11d221cd3c</t>
        </is>
      </c>
      <c r="BE774" s="24" t="inlineStr">
        <is>
          <t>cfb-v1</t>
        </is>
      </c>
      <c r="BF774" s="24" t="inlineStr">
        <is>
          <t>1</t>
        </is>
      </c>
      <c r="BG774" s="24" t="inlineStr">
        <is>
          <t>1d168f11d221cd3c</t>
        </is>
      </c>
      <c r="BH774" s="24" t="inlineStr">
        <is>
          <t>2026-10-03T16:52:02.220681+00:00</t>
        </is>
      </c>
      <c r="BI774" s="24" t="inlineStr">
        <is>
          <t>["same_event","same_team_same_day","same_league_same_day"]</t>
        </is>
      </c>
      <c r="BJ774" s="25" t="n">
        <v>62.5</v>
      </c>
      <c r="BK774" s="26" t="n">
        <v>-115</v>
      </c>
      <c r="BL774" s="27" t="n">
        <v>1.869565</v>
      </c>
      <c r="BM774" s="28" t="n">
        <v>0.534884</v>
      </c>
      <c r="BN774" s="28" t="n"/>
      <c r="BO774" s="28" t="n"/>
      <c r="BP774" s="25" t="n"/>
      <c r="BQ774" s="27" t="n"/>
      <c r="BR774" s="28" t="n"/>
      <c r="BS774" s="28" t="n"/>
      <c r="BT774" s="28" t="n"/>
      <c r="BU774" s="25" t="n"/>
      <c r="BV774" s="29" t="n"/>
      <c r="BW774" s="24" t="n"/>
      <c r="BX774" s="30" t="n"/>
      <c r="BY774" s="27" t="n"/>
      <c r="BZ774" s="24" t="n"/>
      <c r="CA774" s="31" t="n"/>
      <c r="CB774" s="24" t="n"/>
      <c r="CC774" s="24" t="n"/>
      <c r="CD774" s="24" t="n"/>
      <c r="CE774" s="24" t="n"/>
      <c r="CF774" s="24" t="n"/>
      <c r="CG774" s="24" t="n"/>
      <c r="CH774" s="24" t="n"/>
      <c r="CI774" s="24" t="n"/>
      <c r="CJ774" s="24" t="n"/>
      <c r="CK774" s="24" t="n"/>
      <c r="CL774" s="24" t="n"/>
      <c r="CM774" s="24" t="n"/>
      <c r="CN774" s="24" t="n"/>
      <c r="CO774" s="24" t="n"/>
      <c r="CP774" s="24" t="n"/>
      <c r="CQ774" s="24" t="n"/>
      <c r="CR774" s="24" t="n"/>
      <c r="CS774" s="24" t="inlineStr">
        <is>
          <t>True</t>
        </is>
      </c>
      <c r="CT774" s="24" t="n"/>
      <c r="CU774" s="24" t="n"/>
      <c r="CV774" s="24" t="n"/>
      <c r="CW774" s="24" t="n"/>
      <c r="CX774" s="24" t="n"/>
      <c r="CY774" s="24" t="n"/>
      <c r="CZ774" s="24" t="n"/>
      <c r="DA774" s="24" t="n"/>
      <c r="DB774" s="24" t="n"/>
      <c r="DC774" s="24" t="n"/>
      <c r="DD774" s="24" t="n"/>
      <c r="DE774" s="24" t="n"/>
      <c r="DF774" s="24" t="n"/>
      <c r="DG774" s="24" t="n"/>
      <c r="DH774" s="24" t="n"/>
      <c r="DI774" s="24" t="n"/>
      <c r="DJ774" s="24" t="inlineStr">
        <is>
          <t>0.534884</t>
        </is>
      </c>
      <c r="DK774" s="24" t="n"/>
      <c r="DL774" s="24" t="n"/>
      <c r="DM774" s="24" t="n"/>
      <c r="DN774" s="24" t="n"/>
      <c r="DO774" s="24" t="n"/>
      <c r="DP774" s="24" t="n"/>
      <c r="DQ774" s="24" t="inlineStr">
        <is>
          <t>{"artifact_hash": "1d168f11d221cd3c", "event_id": "401862790", "event_start_utc": "2026-10-03T22:00Z", "features": {"altitude_fatigue_penalty": 0.0, "away_team": "Texas Southern Tigers", "efficiency_gap": -1.511, "elo_away": 1337.5, "elo_home": 1256.5, "elo_home_win_prob": 0.4769, "event_id": "401862790", "game_start_utc": "2026-10-03T22:00Z", "home_field_advantage_points": 2.8, "home_team": "Florida Atlantic Owls", "is_dome": false, "is_fbs_vs_fcs": false, "is_neutral_site": false, "projected_away_points": 26.8, "projected_home_points": 26.1, "projected_margin_home": -0.7, "projected_possessions": 12.4, "projected_total": 52.9,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26.8, "mu_home": 26.1,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18956176237054278782931976471378241318}, "uinteger": 0}, "spread_home_line": -47.5, "total_line": 62.5}, "market_type": "total", "model_version": "cfb-total-v1", "observed_at_utc": "2026-10-03T16:52:02.220681+00:00", "probabilities": {"over": 0.3194, "push": 0.0, "under": 0.6806}, "replay_scope": "Full precision score means, exact engine parameters and original RNG state; upstream feature construction not certified.", "schema": "cfb-joint-replay-v1", "snapshot_hash": "6f6f25aa62231ce4c87eaa359a530742f8061862baed7846f8f0320dde4f37c0", "sport": "NCAAF"}</t>
        </is>
      </c>
    </row>
    <row r="775" ht="36" customHeight="1">
      <c r="A775" s="24" t="inlineStr">
        <is>
          <t>ddbf8c35b7d744b9</t>
        </is>
      </c>
      <c r="B775" s="24" t="inlineStr">
        <is>
          <t>2026-10-03T22:32:35.686759Z</t>
        </is>
      </c>
      <c r="C775" s="24" t="inlineStr">
        <is>
          <t>2026-10-03T23:00Z</t>
        </is>
      </c>
      <c r="D775" s="24" t="inlineStr">
        <is>
          <t>401856818</t>
        </is>
      </c>
      <c r="E775" s="24" t="inlineStr">
        <is>
          <t>NCAAF</t>
        </is>
      </c>
      <c r="F775" s="24" t="inlineStr">
        <is>
          <t>BYU Cougars</t>
        </is>
      </c>
      <c r="G775" s="24" t="inlineStr">
        <is>
          <t>TCU Horned Frogs</t>
        </is>
      </c>
      <c r="H775" s="24" t="inlineStr">
        <is>
          <t>moneyline</t>
        </is>
      </c>
      <c r="I775" s="24" t="inlineStr">
        <is>
          <t>away</t>
        </is>
      </c>
      <c r="J775" s="25" t="n"/>
      <c r="K775" s="24" t="inlineStr">
        <is>
          <t>espn_consensus</t>
        </is>
      </c>
      <c r="L775" s="26" t="n">
        <v>-225</v>
      </c>
      <c r="M775" s="27" t="n">
        <v>1.444444</v>
      </c>
      <c r="N775" s="28" t="n">
        <v>0.692308</v>
      </c>
      <c r="O775" s="28" t="n">
        <v>0.521589</v>
      </c>
      <c r="P775" s="28" t="n">
        <v>0.18</v>
      </c>
      <c r="Q775" s="28" t="n">
        <v>-0.170719</v>
      </c>
      <c r="R775" s="26" t="n">
        <v>0</v>
      </c>
      <c r="S775" s="29" t="n">
        <v>1</v>
      </c>
      <c r="T775" s="24" t="inlineStr">
        <is>
          <t>college-football-v1</t>
        </is>
      </c>
      <c r="U775" s="24" t="inlineStr">
        <is>
          <t>settled</t>
        </is>
      </c>
      <c r="V775" s="24" t="inlineStr">
        <is>
          <t>win</t>
        </is>
      </c>
      <c r="W775" s="26" t="n">
        <v>17</v>
      </c>
      <c r="X775" s="26" t="n">
        <v>10</v>
      </c>
      <c r="Y775" s="25" t="n"/>
      <c r="Z775" s="26" t="n"/>
      <c r="AA775" s="28" t="n"/>
      <c r="AB775" s="28" t="n"/>
      <c r="AC775" s="30" t="n">
        <v>0.4444</v>
      </c>
      <c r="AD775" s="24" t="inlineStr">
        <is>
          <t>2026-10-04T20:43:48.276783Z</t>
        </is>
      </c>
      <c r="AE775" s="31" t="inlineStr">
        <is>
          <t>CFB Joint Model (negative_binomial): proj score BYU Cougars 27.1 @ TCU Horned Frogs 26.0 (Margin -1.1). Possessions: 12.4, HFA: +2.8 pts.</t>
        </is>
      </c>
      <c r="AF775" s="31" t="inlineStr">
        <is>
          <t>College football model; multi-market (moneyline, spread, total).</t>
        </is>
      </c>
      <c r="AG775" s="24" t="inlineStr">
        <is>
          <t>not_applicable</t>
        </is>
      </c>
      <c r="AH775" s="24" t="n"/>
      <c r="AI775" s="31" t="n"/>
      <c r="AJ775" s="31" t="n"/>
      <c r="AK775" s="24" t="inlineStr">
        <is>
          <t>paper_call</t>
        </is>
      </c>
      <c r="AL775" s="26" t="n">
        <v>4</v>
      </c>
      <c r="AM775" s="24" t="inlineStr">
        <is>
          <t>RESEARCH_OBSERVATION</t>
        </is>
      </c>
      <c r="AN775" s="24" t="inlineStr">
        <is>
          <t>CALL</t>
        </is>
      </c>
      <c r="AO775" s="24" t="inlineStr">
        <is>
          <t>PAPER_CALL_LOW_EDGE</t>
        </is>
      </c>
      <c r="AP775" s="24" t="inlineStr">
        <is>
          <t>BYU Cougars</t>
        </is>
      </c>
      <c r="AQ775" s="24" t="inlineStr">
        <is>
          <t>BYU Cougars</t>
        </is>
      </c>
      <c r="AR775" s="24" t="inlineStr">
        <is>
          <t>BYU Cougars</t>
        </is>
      </c>
      <c r="AS775" s="24" t="inlineStr">
        <is>
          <t>TCU Horned Frogs</t>
        </is>
      </c>
      <c r="AT775" s="24" t="inlineStr">
        <is>
          <t>TCU Horned Frogs</t>
        </is>
      </c>
      <c r="AU775" s="24" t="inlineStr">
        <is>
          <t>TCU Horned Frogs</t>
        </is>
      </c>
      <c r="AV775" s="24" t="n"/>
      <c r="AW775" s="24" t="n"/>
      <c r="AX775" s="24" t="inlineStr">
        <is>
          <t>statistical_model</t>
        </is>
      </c>
      <c r="AY775" s="24" t="n"/>
      <c r="AZ775" s="24" t="inlineStr">
        <is>
          <t>shadow_qualified</t>
        </is>
      </c>
      <c r="BA775" s="24" t="inlineStr">
        <is>
          <t>1d168f11d221cd3c</t>
        </is>
      </c>
      <c r="BB775" s="24" t="inlineStr">
        <is>
          <t>cfb_key_number_engine</t>
        </is>
      </c>
      <c r="BC775" s="24" t="inlineStr">
        <is>
          <t>college-football-v1</t>
        </is>
      </c>
      <c r="BD775" s="24" t="inlineStr">
        <is>
          <t>1d168f11d221cd3c</t>
        </is>
      </c>
      <c r="BE775" s="24" t="inlineStr">
        <is>
          <t>cfb-v1</t>
        </is>
      </c>
      <c r="BF775" s="24" t="inlineStr">
        <is>
          <t>1</t>
        </is>
      </c>
      <c r="BG775" s="24" t="inlineStr">
        <is>
          <t>1d168f11d221cd3c</t>
        </is>
      </c>
      <c r="BH775" s="24" t="inlineStr">
        <is>
          <t>2026-10-03T22:32:35.686759+00:00</t>
        </is>
      </c>
      <c r="BI775" s="24" t="inlineStr">
        <is>
          <t>["same_event","same_team_same_day","same_league_same_day"]</t>
        </is>
      </c>
      <c r="BJ775" s="25" t="n"/>
      <c r="BK775" s="26" t="n">
        <v>-225</v>
      </c>
      <c r="BL775" s="27" t="n">
        <v>1.444444</v>
      </c>
      <c r="BM775" s="28" t="n">
        <v>0.692308</v>
      </c>
      <c r="BN775" s="28" t="n"/>
      <c r="BO775" s="28" t="n"/>
      <c r="BP775" s="25" t="n"/>
      <c r="BQ775" s="27" t="n"/>
      <c r="BR775" s="28" t="n"/>
      <c r="BS775" s="28" t="n"/>
      <c r="BT775" s="28" t="n"/>
      <c r="BU775" s="25" t="n"/>
      <c r="BV775" s="29" t="n"/>
      <c r="BW775" s="24" t="n"/>
      <c r="BX775" s="30" t="n">
        <v>1</v>
      </c>
      <c r="BY775" s="27" t="n">
        <v>0.444444</v>
      </c>
      <c r="BZ775" s="24" t="inlineStr">
        <is>
          <t>2026-10-04T20:43:48.276783Z</t>
        </is>
      </c>
      <c r="CA775" s="31" t="inlineStr">
        <is>
          <t>fixed one-unit hypothetical scoring; no real exposure or execution</t>
        </is>
      </c>
      <c r="CB775" s="24" t="n"/>
      <c r="CC775" s="24" t="n"/>
      <c r="CD775" s="24" t="n"/>
      <c r="CE775" s="24" t="n"/>
      <c r="CF775" s="24" t="n"/>
      <c r="CG775" s="24" t="n"/>
      <c r="CH775" s="24" t="n"/>
      <c r="CI775" s="24" t="n"/>
      <c r="CJ775" s="24" t="n"/>
      <c r="CK775" s="24" t="n"/>
      <c r="CL775" s="24" t="n"/>
      <c r="CM775" s="24" t="n"/>
      <c r="CN775" s="24" t="n"/>
      <c r="CO775" s="24" t="n"/>
      <c r="CP775" s="24" t="n"/>
      <c r="CQ775" s="24" t="n"/>
      <c r="CR775" s="24" t="n"/>
      <c r="CS775" s="24" t="inlineStr">
        <is>
          <t>False</t>
        </is>
      </c>
      <c r="CT775" s="24" t="n"/>
      <c r="CU775" s="24" t="n"/>
      <c r="CV775" s="24" t="n"/>
      <c r="CW775" s="24" t="n"/>
      <c r="CX775" s="24" t="n"/>
      <c r="CY775" s="24" t="n"/>
      <c r="CZ775" s="24" t="n"/>
      <c r="DA775" s="24" t="n"/>
      <c r="DB775" s="24" t="n"/>
      <c r="DC775" s="24" t="n"/>
      <c r="DD775" s="24" t="n"/>
      <c r="DE775" s="24" t="n"/>
      <c r="DF775" s="24" t="n"/>
      <c r="DG775" s="24" t="n"/>
      <c r="DH775" s="24" t="n"/>
      <c r="DI775" s="24" t="n"/>
      <c r="DJ775" s="24" t="inlineStr">
        <is>
          <t>0.692308</t>
        </is>
      </c>
      <c r="DK775" s="24" t="n"/>
      <c r="DL775" s="24" t="n"/>
      <c r="DM775" s="24" t="n"/>
      <c r="DN775" s="24" t="n"/>
      <c r="DO775" s="24" t="n"/>
      <c r="DP775" s="24" t="n"/>
      <c r="DQ775" s="24" t="inlineStr">
        <is>
          <t>{"artifact_hash": "1d168f11d221cd3c", "event_id": "401856818", "event_start_utc": "2026-10-03T23:00Z", "features": {"altitude_fatigue_penalty": 0.0, "away_team": "BYU Cougars", "efficiency_gap": -0.411, "elo_away": 1688.8, "elo_home": 1596.1, "elo_home_win_prob": 0.4602, "event_id": "401856818", "game_start_utc": "2026-10-03T23:00Z", "home_field_advantage_points": 2.8, "home_team": "TCU Horned Frogs", "is_dome": false, "is_fbs_vs_fcs": false, "is_neutral_site": false, "projected_away_points": 27.1, "projected_home_points": 26.0, "projected_margin_home": -1.1, "projected_possessions": 12.4, "projected_total": 53.1, "stadium_elevation_ft": 620, "travel_distance_miles": 948.0, "uncertainty": 0.18, "weather_total_adjustment": 0.0}, "historical_source_observation_times_verified": false, "inference_inputs": {"engine_source_sha256": "449ba2f0e86fa9c445730076a0e0bf100fb4914620be53c75c6f3bfe24298f3f", "mu_away": 27.1, "mu_home": 26.0,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300036402312317814501853034891897434641}, "uinteger": 0}, "spread_home_line": 6.0, "total_line": 49.5}, "market_type": "moneyline", "model_version": "college-football-v1", "observed_at_utc": "2026-10-03T22:32:35.686759+00:00", "probabilities": {"away": 0.521589, "home": 0.478411}, "replay_scope": "Full precision score means, exact engine parameters and original RNG state; upstream feature construction not certified.", "schema": "cfb-joint-replay-v1", "snapshot_hash": "aebdaac94ead4fb84588364daade2c3da87bfdca275aa5ba197009871ae2056f", "sport": "NCAAF"}</t>
        </is>
      </c>
    </row>
    <row r="776" ht="36" customHeight="1">
      <c r="A776" s="24" t="inlineStr">
        <is>
          <t>c5daac216f804899</t>
        </is>
      </c>
      <c r="B776" s="24" t="inlineStr">
        <is>
          <t>2026-10-03T22:32:35.686759Z</t>
        </is>
      </c>
      <c r="C776" s="24" t="inlineStr">
        <is>
          <t>2026-10-03T23:00Z</t>
        </is>
      </c>
      <c r="D776" s="24" t="inlineStr">
        <is>
          <t>401856818</t>
        </is>
      </c>
      <c r="E776" s="24" t="inlineStr">
        <is>
          <t>NCAAF</t>
        </is>
      </c>
      <c r="F776" s="24" t="inlineStr">
        <is>
          <t>BYU Cougars</t>
        </is>
      </c>
      <c r="G776" s="24" t="inlineStr">
        <is>
          <t>TCU Horned Frogs</t>
        </is>
      </c>
      <c r="H776" s="24" t="inlineStr">
        <is>
          <t>spread</t>
        </is>
      </c>
      <c r="I776" s="24" t="inlineStr">
        <is>
          <t>home</t>
        </is>
      </c>
      <c r="J776" s="25" t="n">
        <v>6</v>
      </c>
      <c r="K776" s="24" t="inlineStr">
        <is>
          <t>espn_consensus</t>
        </is>
      </c>
      <c r="L776" s="26" t="n">
        <v>-110</v>
      </c>
      <c r="M776" s="27" t="n">
        <v>1.909091</v>
      </c>
      <c r="N776" s="28" t="n">
        <v>0.52381</v>
      </c>
      <c r="O776" s="28" t="n">
        <v>0.593067</v>
      </c>
      <c r="P776" s="28" t="n">
        <v>0.18</v>
      </c>
      <c r="Q776" s="28" t="n">
        <v>0.069257</v>
      </c>
      <c r="R776" s="26" t="n">
        <v>0</v>
      </c>
      <c r="S776" s="29" t="n">
        <v>1</v>
      </c>
      <c r="T776" s="24" t="inlineStr">
        <is>
          <t>cfb-spread-v1</t>
        </is>
      </c>
      <c r="U776" s="24" t="inlineStr">
        <is>
          <t>settled</t>
        </is>
      </c>
      <c r="V776" s="24" t="inlineStr">
        <is>
          <t>loss</t>
        </is>
      </c>
      <c r="W776" s="26" t="n">
        <v>17</v>
      </c>
      <c r="X776" s="26" t="n">
        <v>10</v>
      </c>
      <c r="Y776" s="25" t="n"/>
      <c r="Z776" s="26" t="n"/>
      <c r="AA776" s="28" t="n"/>
      <c r="AB776" s="28" t="n"/>
      <c r="AC776" s="30" t="n">
        <v>-1</v>
      </c>
      <c r="AD776" s="24" t="inlineStr">
        <is>
          <t>2026-10-04T20:43:54.020734Z</t>
        </is>
      </c>
      <c r="AE776" s="31" t="inlineStr">
        <is>
          <t>Projected home margin -1.1 pts. Spread: Home +6.0 / Away -6.0 -&gt; P(Away cover)=0.388, P(Home cover)=0.593, P(Push)=0.019.</t>
        </is>
      </c>
      <c r="AF776" s="31" t="inlineStr">
        <is>
          <t>College football model; multi-market (moneyline, spread, total).</t>
        </is>
      </c>
      <c r="AG776" s="24" t="inlineStr">
        <is>
          <t>review_required</t>
        </is>
      </c>
      <c r="AH776" s="24" t="n"/>
      <c r="AI776" s="31" t="n"/>
      <c r="AJ776" s="31" t="n"/>
      <c r="AK776" s="24" t="inlineStr">
        <is>
          <t>model_qualified</t>
        </is>
      </c>
      <c r="AL776" s="26" t="n">
        <v>4</v>
      </c>
      <c r="AM776" s="24" t="inlineStr">
        <is>
          <t>QUALIFIED_SHADOW_CALL</t>
        </is>
      </c>
      <c r="AN776" s="24" t="inlineStr">
        <is>
          <t>CALL</t>
        </is>
      </c>
      <c r="AO776" s="24" t="inlineStr">
        <is>
          <t>QUALIFIED</t>
        </is>
      </c>
      <c r="AP776" s="24" t="inlineStr">
        <is>
          <t>BYU Cougars</t>
        </is>
      </c>
      <c r="AQ776" s="24" t="inlineStr">
        <is>
          <t>BYU Cougars</t>
        </is>
      </c>
      <c r="AR776" s="24" t="inlineStr">
        <is>
          <t>BYU Cougars</t>
        </is>
      </c>
      <c r="AS776" s="24" t="inlineStr">
        <is>
          <t>TCU Horned Frogs</t>
        </is>
      </c>
      <c r="AT776" s="24" t="inlineStr">
        <is>
          <t>TCU Horned Frogs</t>
        </is>
      </c>
      <c r="AU776" s="24" t="inlineStr">
        <is>
          <t>TCU Horned Frogs</t>
        </is>
      </c>
      <c r="AV776" s="24" t="n"/>
      <c r="AW776" s="24" t="n"/>
      <c r="AX776" s="24" t="inlineStr">
        <is>
          <t>statistical_model</t>
        </is>
      </c>
      <c r="AY776" s="24" t="n"/>
      <c r="AZ776" s="24" t="inlineStr">
        <is>
          <t>shadow_qualified</t>
        </is>
      </c>
      <c r="BA776" s="24" t="inlineStr">
        <is>
          <t>1d168f11d221cd3c</t>
        </is>
      </c>
      <c r="BB776" s="24" t="inlineStr">
        <is>
          <t>cfb_key_number_engine</t>
        </is>
      </c>
      <c r="BC776" s="24" t="inlineStr">
        <is>
          <t>cfb-spread-v1</t>
        </is>
      </c>
      <c r="BD776" s="24" t="inlineStr">
        <is>
          <t>1d168f11d221cd3c</t>
        </is>
      </c>
      <c r="BE776" s="24" t="inlineStr">
        <is>
          <t>cfb-v1</t>
        </is>
      </c>
      <c r="BF776" s="24" t="inlineStr">
        <is>
          <t>1</t>
        </is>
      </c>
      <c r="BG776" s="24" t="inlineStr">
        <is>
          <t>1d168f11d221cd3c</t>
        </is>
      </c>
      <c r="BH776" s="24" t="inlineStr">
        <is>
          <t>2026-10-03T22:32:35.686759+00:00</t>
        </is>
      </c>
      <c r="BI776" s="24" t="inlineStr">
        <is>
          <t>["same_event","same_team_same_day","same_league_same_day"]</t>
        </is>
      </c>
      <c r="BJ776" s="25" t="n">
        <v>6</v>
      </c>
      <c r="BK776" s="26" t="n">
        <v>-110</v>
      </c>
      <c r="BL776" s="27" t="n">
        <v>1.909091</v>
      </c>
      <c r="BM776" s="28" t="n">
        <v>0.52381</v>
      </c>
      <c r="BN776" s="28" t="n"/>
      <c r="BO776" s="28" t="n"/>
      <c r="BP776" s="25" t="n"/>
      <c r="BQ776" s="27" t="n"/>
      <c r="BR776" s="28" t="n"/>
      <c r="BS776" s="28" t="n"/>
      <c r="BT776" s="28" t="n"/>
      <c r="BU776" s="25" t="n"/>
      <c r="BV776" s="29" t="n"/>
      <c r="BW776" s="24" t="n"/>
      <c r="BX776" s="30" t="n"/>
      <c r="BY776" s="27" t="n"/>
      <c r="BZ776" s="24" t="n"/>
      <c r="CA776" s="31" t="n"/>
      <c r="CB776" s="24" t="n"/>
      <c r="CC776" s="24" t="n"/>
      <c r="CD776" s="24" t="n"/>
      <c r="CE776" s="24" t="n"/>
      <c r="CF776" s="24" t="n"/>
      <c r="CG776" s="24" t="n"/>
      <c r="CH776" s="24" t="n"/>
      <c r="CI776" s="24" t="n"/>
      <c r="CJ776" s="24" t="n"/>
      <c r="CK776" s="24" t="n"/>
      <c r="CL776" s="24" t="n"/>
      <c r="CM776" s="24" t="n"/>
      <c r="CN776" s="24" t="n"/>
      <c r="CO776" s="24" t="n"/>
      <c r="CP776" s="24" t="n"/>
      <c r="CQ776" s="24" t="n"/>
      <c r="CR776" s="24" t="n"/>
      <c r="CS776" s="24" t="inlineStr">
        <is>
          <t>True</t>
        </is>
      </c>
      <c r="CT776" s="24" t="n"/>
      <c r="CU776" s="24" t="n"/>
      <c r="CV776" s="24" t="n"/>
      <c r="CW776" s="24" t="n"/>
      <c r="CX776" s="24" t="n"/>
      <c r="CY776" s="24" t="n"/>
      <c r="CZ776" s="24" t="n"/>
      <c r="DA776" s="24" t="n"/>
      <c r="DB776" s="24" t="n"/>
      <c r="DC776" s="24" t="n"/>
      <c r="DD776" s="24" t="n"/>
      <c r="DE776" s="24" t="n"/>
      <c r="DF776" s="24" t="n"/>
      <c r="DG776" s="24" t="n"/>
      <c r="DH776" s="24" t="n"/>
      <c r="DI776" s="24" t="n"/>
      <c r="DJ776" s="24" t="inlineStr">
        <is>
          <t>0.52381</t>
        </is>
      </c>
      <c r="DK776" s="24" t="n"/>
      <c r="DL776" s="24" t="n"/>
      <c r="DM776" s="24" t="n"/>
      <c r="DN776" s="24" t="n"/>
      <c r="DO776" s="24" t="n"/>
      <c r="DP776" s="24" t="n"/>
      <c r="DQ776" s="24" t="inlineStr">
        <is>
          <t>{"artifact_hash": "1d168f11d221cd3c", "event_id": "401856818", "event_start_utc": "2026-10-03T23:00Z", "features": {"altitude_fatigue_penalty": 0.0, "away_team": "BYU Cougars", "efficiency_gap": -0.411, "elo_away": 1688.8, "elo_home": 1596.1, "elo_home_win_prob": 0.4602, "event_id": "401856818", "game_start_utc": "2026-10-03T23:00Z", "home_field_advantage_points": 2.8, "home_team": "TCU Horned Frogs", "is_dome": false, "is_fbs_vs_fcs": false, "is_neutral_site": false, "projected_away_points": 27.1, "projected_home_points": 26.0, "projected_margin_home": -1.1, "projected_possessions": 12.4, "projected_total": 53.1, "stadium_elevation_ft": 620, "travel_distance_miles": 948.0, "uncertainty": 0.18, "weather_total_adjustment": 0.0}, "historical_source_observation_times_verified": false, "inference_inputs": {"engine_source_sha256": "449ba2f0e86fa9c445730076a0e0bf100fb4914620be53c75c6f3bfe24298f3f", "mu_away": 27.1, "mu_home": 26.0,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300036402312317814501853034891897434641}, "uinteger": 0}, "spread_home_line": 6.0, "total_line": 49.5}, "market_type": "spread", "model_version": "cfb-spread-v1", "observed_at_utc": "2026-10-03T22:32:35.686759+00:00", "probabilities": {"away": 0.3876, "home": 0.593067, "push": 0.019333}, "replay_scope": "Full precision score means, exact engine parameters and original RNG state; upstream feature construction not certified.", "schema": "cfb-joint-replay-v1", "snapshot_hash": "37f0e03aa8e886f73fc81cb061ebd0e27c3d923168bd58da4efef268dd03ab2f", "sport": "NCAAF"}</t>
        </is>
      </c>
    </row>
    <row r="777" ht="36" customHeight="1">
      <c r="A777" s="24" t="inlineStr">
        <is>
          <t>b3c5725ca5b34aae</t>
        </is>
      </c>
      <c r="B777" s="24" t="inlineStr">
        <is>
          <t>2026-10-03T22:32:35.686759Z</t>
        </is>
      </c>
      <c r="C777" s="24" t="inlineStr">
        <is>
          <t>2026-10-03T23:00Z</t>
        </is>
      </c>
      <c r="D777" s="24" t="inlineStr">
        <is>
          <t>401856818</t>
        </is>
      </c>
      <c r="E777" s="24" t="inlineStr">
        <is>
          <t>NCAAF</t>
        </is>
      </c>
      <c r="F777" s="24" t="inlineStr">
        <is>
          <t>BYU Cougars</t>
        </is>
      </c>
      <c r="G777" s="24" t="inlineStr">
        <is>
          <t>TCU Horned Frogs</t>
        </is>
      </c>
      <c r="H777" s="24" t="inlineStr">
        <is>
          <t>total</t>
        </is>
      </c>
      <c r="I777" s="24" t="inlineStr">
        <is>
          <t>over</t>
        </is>
      </c>
      <c r="J777" s="25" t="n">
        <v>49.5</v>
      </c>
      <c r="K777" s="24" t="inlineStr">
        <is>
          <t>espn_consensus</t>
        </is>
      </c>
      <c r="L777" s="26" t="n">
        <v>-105</v>
      </c>
      <c r="M777" s="27" t="n">
        <v>1.952381</v>
      </c>
      <c r="N777" s="28" t="n">
        <v>0.512195</v>
      </c>
      <c r="O777" s="28" t="n">
        <v>0.5232</v>
      </c>
      <c r="P777" s="28" t="n">
        <v>0.18</v>
      </c>
      <c r="Q777" s="28" t="n">
        <v>0.011005</v>
      </c>
      <c r="R777" s="26" t="n">
        <v>0</v>
      </c>
      <c r="S777" s="29" t="n">
        <v>1</v>
      </c>
      <c r="T777" s="24" t="inlineStr">
        <is>
          <t>cfb-total-v1</t>
        </is>
      </c>
      <c r="U777" s="24" t="inlineStr">
        <is>
          <t>settled</t>
        </is>
      </c>
      <c r="V777" s="24" t="inlineStr">
        <is>
          <t>loss</t>
        </is>
      </c>
      <c r="W777" s="26" t="n">
        <v>17</v>
      </c>
      <c r="X777" s="26" t="n">
        <v>10</v>
      </c>
      <c r="Y777" s="25" t="n"/>
      <c r="Z777" s="26" t="n"/>
      <c r="AA777" s="28" t="n"/>
      <c r="AB777" s="28" t="n"/>
      <c r="AC777" s="30" t="n">
        <v>-1</v>
      </c>
      <c r="AD777" s="24" t="inlineStr">
        <is>
          <t>2026-10-04T20:43:59.699019Z</t>
        </is>
      </c>
      <c r="AE777" s="31" t="inlineStr">
        <is>
          <t>Projected total 53.1 pts (Weather adj: +0.0 pts). Total line 49.5 -&gt; P(Over)=0.523, P(Under)=0.477, P(Push)=0.000.</t>
        </is>
      </c>
      <c r="AF777" s="31" t="inlineStr">
        <is>
          <t>College football model; multi-market (moneyline, spread, total).</t>
        </is>
      </c>
      <c r="AG777" s="24" t="inlineStr">
        <is>
          <t>review_required</t>
        </is>
      </c>
      <c r="AH777" s="24" t="n"/>
      <c r="AI777" s="31" t="n"/>
      <c r="AJ777" s="31" t="n"/>
      <c r="AK777" s="24" t="inlineStr">
        <is>
          <t>paper_call</t>
        </is>
      </c>
      <c r="AL777" s="26" t="n">
        <v>4</v>
      </c>
      <c r="AM777" s="24" t="inlineStr">
        <is>
          <t>RESEARCH_OBSERVATION</t>
        </is>
      </c>
      <c r="AN777" s="24" t="inlineStr">
        <is>
          <t>CALL</t>
        </is>
      </c>
      <c r="AO777" s="24" t="inlineStr">
        <is>
          <t>PAPER_CALL_LOW_EDGE</t>
        </is>
      </c>
      <c r="AP777" s="24" t="inlineStr">
        <is>
          <t>BYU Cougars</t>
        </is>
      </c>
      <c r="AQ777" s="24" t="inlineStr">
        <is>
          <t>BYU Cougars</t>
        </is>
      </c>
      <c r="AR777" s="24" t="inlineStr">
        <is>
          <t>BYU Cougars</t>
        </is>
      </c>
      <c r="AS777" s="24" t="inlineStr">
        <is>
          <t>TCU Horned Frogs</t>
        </is>
      </c>
      <c r="AT777" s="24" t="inlineStr">
        <is>
          <t>TCU Horned Frogs</t>
        </is>
      </c>
      <c r="AU777" s="24" t="inlineStr">
        <is>
          <t>TCU Horned Frogs</t>
        </is>
      </c>
      <c r="AV777" s="24" t="n"/>
      <c r="AW777" s="24" t="n"/>
      <c r="AX777" s="24" t="inlineStr">
        <is>
          <t>statistical_model</t>
        </is>
      </c>
      <c r="AY777" s="24" t="n"/>
      <c r="AZ777" s="24" t="inlineStr">
        <is>
          <t>shadow_qualified</t>
        </is>
      </c>
      <c r="BA777" s="24" t="inlineStr">
        <is>
          <t>1d168f11d221cd3c</t>
        </is>
      </c>
      <c r="BB777" s="24" t="inlineStr">
        <is>
          <t>cfb_key_number_engine</t>
        </is>
      </c>
      <c r="BC777" s="24" t="inlineStr">
        <is>
          <t>cfb-total-v1</t>
        </is>
      </c>
      <c r="BD777" s="24" t="inlineStr">
        <is>
          <t>1d168f11d221cd3c</t>
        </is>
      </c>
      <c r="BE777" s="24" t="inlineStr">
        <is>
          <t>cfb-v1</t>
        </is>
      </c>
      <c r="BF777" s="24" t="inlineStr">
        <is>
          <t>1</t>
        </is>
      </c>
      <c r="BG777" s="24" t="inlineStr">
        <is>
          <t>1d168f11d221cd3c</t>
        </is>
      </c>
      <c r="BH777" s="24" t="inlineStr">
        <is>
          <t>2026-10-03T22:32:35.686759+00:00</t>
        </is>
      </c>
      <c r="BI777" s="24" t="inlineStr">
        <is>
          <t>["same_event","same_team_same_day","same_league_same_day"]</t>
        </is>
      </c>
      <c r="BJ777" s="25" t="n">
        <v>49.5</v>
      </c>
      <c r="BK777" s="26" t="n">
        <v>-105</v>
      </c>
      <c r="BL777" s="27" t="n">
        <v>1.952381</v>
      </c>
      <c r="BM777" s="28" t="n">
        <v>0.512195</v>
      </c>
      <c r="BN777" s="28" t="n"/>
      <c r="BO777" s="28" t="n"/>
      <c r="BP777" s="25" t="n"/>
      <c r="BQ777" s="27" t="n"/>
      <c r="BR777" s="28" t="n"/>
      <c r="BS777" s="28" t="n"/>
      <c r="BT777" s="28" t="n"/>
      <c r="BU777" s="25" t="n"/>
      <c r="BV777" s="29" t="n"/>
      <c r="BW777" s="24" t="n"/>
      <c r="BX777" s="30" t="n">
        <v>1</v>
      </c>
      <c r="BY777" s="27" t="n">
        <v>-1</v>
      </c>
      <c r="BZ777" s="24" t="inlineStr">
        <is>
          <t>2026-10-04T20:43:59.699019Z</t>
        </is>
      </c>
      <c r="CA777" s="31" t="inlineStr">
        <is>
          <t>fixed one-unit hypothetical scoring; no real exposure or execution</t>
        </is>
      </c>
      <c r="CB777" s="24" t="n"/>
      <c r="CC777" s="24" t="n"/>
      <c r="CD777" s="24" t="n"/>
      <c r="CE777" s="24" t="n"/>
      <c r="CF777" s="24" t="n"/>
      <c r="CG777" s="24" t="n"/>
      <c r="CH777" s="24" t="n"/>
      <c r="CI777" s="24" t="n"/>
      <c r="CJ777" s="24" t="n"/>
      <c r="CK777" s="24" t="n"/>
      <c r="CL777" s="24" t="n"/>
      <c r="CM777" s="24" t="n"/>
      <c r="CN777" s="24" t="n"/>
      <c r="CO777" s="24" t="n"/>
      <c r="CP777" s="24" t="n"/>
      <c r="CQ777" s="24" t="n"/>
      <c r="CR777" s="24" t="n"/>
      <c r="CS777" s="24" t="inlineStr">
        <is>
          <t>True</t>
        </is>
      </c>
      <c r="CT777" s="24" t="n"/>
      <c r="CU777" s="24" t="n"/>
      <c r="CV777" s="24" t="n"/>
      <c r="CW777" s="24" t="n"/>
      <c r="CX777" s="24" t="n"/>
      <c r="CY777" s="24" t="n"/>
      <c r="CZ777" s="24" t="n"/>
      <c r="DA777" s="24" t="n"/>
      <c r="DB777" s="24" t="n"/>
      <c r="DC777" s="24" t="n"/>
      <c r="DD777" s="24" t="n"/>
      <c r="DE777" s="24" t="n"/>
      <c r="DF777" s="24" t="n"/>
      <c r="DG777" s="24" t="n"/>
      <c r="DH777" s="24" t="n"/>
      <c r="DI777" s="24" t="n"/>
      <c r="DJ777" s="24" t="inlineStr">
        <is>
          <t>0.512195</t>
        </is>
      </c>
      <c r="DK777" s="24" t="n"/>
      <c r="DL777" s="24" t="n"/>
      <c r="DM777" s="24" t="n"/>
      <c r="DN777" s="24" t="n"/>
      <c r="DO777" s="24" t="n"/>
      <c r="DP777" s="24" t="n"/>
      <c r="DQ777" s="24" t="inlineStr">
        <is>
          <t>{"artifact_hash": "1d168f11d221cd3c", "event_id": "401856818", "event_start_utc": "2026-10-03T23:00Z", "features": {"altitude_fatigue_penalty": 0.0, "away_team": "BYU Cougars", "efficiency_gap": -0.411, "elo_away": 1688.8, "elo_home": 1596.1, "elo_home_win_prob": 0.4602, "event_id": "401856818", "game_start_utc": "2026-10-03T23:00Z", "home_field_advantage_points": 2.8, "home_team": "TCU Horned Frogs", "is_dome": false, "is_fbs_vs_fcs": false, "is_neutral_site": false, "projected_away_points": 27.1, "projected_home_points": 26.0, "projected_margin_home": -1.1, "projected_possessions": 12.4, "projected_total": 53.1, "stadium_elevation_ft": 620, "travel_distance_miles": 948.0, "uncertainty": 0.18, "weather_total_adjustment": 0.0}, "historical_source_observation_times_verified": false, "inference_inputs": {"engine_source_sha256": "449ba2f0e86fa9c445730076a0e0bf100fb4914620be53c75c6f3bfe24298f3f", "mu_away": 27.1, "mu_home": 26.0,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300036402312317814501853034891897434641}, "uinteger": 0}, "spread_home_line": 6.0, "total_line": 49.5}, "market_type": "total", "model_version": "cfb-total-v1", "observed_at_utc": "2026-10-03T22:32:35.686759+00:00", "probabilities": {"over": 0.5232, "push": 0.0, "under": 0.4768}, "replay_scope": "Full precision score means, exact engine parameters and original RNG state; upstream feature construction not certified.", "schema": "cfb-joint-replay-v1", "snapshot_hash": "7ed85062ba393a7b175c8ab31ded5e2aed4ef4d9e3bbe45fb3765de38526f0cf", "sport": "NCAAF"}</t>
        </is>
      </c>
    </row>
    <row r="778" ht="36" customHeight="1">
      <c r="A778" s="24" t="inlineStr">
        <is>
          <t>7102fc656a314f59</t>
        </is>
      </c>
      <c r="B778" s="24" t="inlineStr">
        <is>
          <t>2026-10-03T22:32:35.686759Z</t>
        </is>
      </c>
      <c r="C778" s="24" t="inlineStr">
        <is>
          <t>2026-10-03T23:00Z</t>
        </is>
      </c>
      <c r="D778" s="24" t="inlineStr">
        <is>
          <t>401856711</t>
        </is>
      </c>
      <c r="E778" s="24" t="inlineStr">
        <is>
          <t>NCAAF</t>
        </is>
      </c>
      <c r="F778" s="24" t="inlineStr">
        <is>
          <t>Arkansas Razorbacks</t>
        </is>
      </c>
      <c r="G778" s="24" t="inlineStr">
        <is>
          <t>Texas A&amp;M Aggies</t>
        </is>
      </c>
      <c r="H778" s="24" t="inlineStr">
        <is>
          <t>moneyline</t>
        </is>
      </c>
      <c r="I778" s="24" t="inlineStr">
        <is>
          <t>home</t>
        </is>
      </c>
      <c r="J778" s="25" t="n"/>
      <c r="K778" s="24" t="inlineStr">
        <is>
          <t>espn_consensus</t>
        </is>
      </c>
      <c r="L778" s="26" t="n">
        <v>-575</v>
      </c>
      <c r="M778" s="27" t="n">
        <v>1.173913</v>
      </c>
      <c r="N778" s="28" t="n">
        <v>0.8518520000000001</v>
      </c>
      <c r="O778" s="28" t="n">
        <v>0.843808</v>
      </c>
      <c r="P778" s="28" t="n">
        <v>0.18</v>
      </c>
      <c r="Q778" s="28" t="n">
        <v>-0.008044000000000001</v>
      </c>
      <c r="R778" s="26" t="n">
        <v>0</v>
      </c>
      <c r="S778" s="29" t="n">
        <v>1</v>
      </c>
      <c r="T778" s="24" t="inlineStr">
        <is>
          <t>college-football-v1</t>
        </is>
      </c>
      <c r="U778" s="24" t="inlineStr">
        <is>
          <t>settled</t>
        </is>
      </c>
      <c r="V778" s="24" t="inlineStr">
        <is>
          <t>win</t>
        </is>
      </c>
      <c r="W778" s="26" t="n">
        <v>7</v>
      </c>
      <c r="X778" s="26" t="n">
        <v>34</v>
      </c>
      <c r="Y778" s="25" t="n"/>
      <c r="Z778" s="26" t="n"/>
      <c r="AA778" s="28" t="n"/>
      <c r="AB778" s="28" t="n"/>
      <c r="AC778" s="30" t="n">
        <v>0.1739</v>
      </c>
      <c r="AD778" s="24" t="inlineStr">
        <is>
          <t>2026-10-04T20:44:05.711894Z</t>
        </is>
      </c>
      <c r="AE778" s="31" t="inlineStr">
        <is>
          <t>CFB Joint Model (negative_binomial): proj score Arkansas Razorbacks 18.1 @ Texas A&amp;M Aggies 37.2 (Margin +19.1). Possessions: 12.4, HFA: +2.8 pts.</t>
        </is>
      </c>
      <c r="AF778" s="31" t="inlineStr">
        <is>
          <t>College football model; multi-market (moneyline, spread, total).</t>
        </is>
      </c>
      <c r="AG778" s="24" t="inlineStr">
        <is>
          <t>not_applicable</t>
        </is>
      </c>
      <c r="AH778" s="24" t="n"/>
      <c r="AI778" s="31" t="n"/>
      <c r="AJ778" s="31" t="n"/>
      <c r="AK778" s="24" t="inlineStr">
        <is>
          <t>paper_call</t>
        </is>
      </c>
      <c r="AL778" s="26" t="n">
        <v>4</v>
      </c>
      <c r="AM778" s="24" t="inlineStr">
        <is>
          <t>RESEARCH_OBSERVATION</t>
        </is>
      </c>
      <c r="AN778" s="24" t="inlineStr">
        <is>
          <t>CALL</t>
        </is>
      </c>
      <c r="AO778" s="24" t="inlineStr">
        <is>
          <t>PAPER_CALL_LOW_EDGE</t>
        </is>
      </c>
      <c r="AP778" s="24" t="inlineStr">
        <is>
          <t>Arkansas Razorbacks</t>
        </is>
      </c>
      <c r="AQ778" s="24" t="inlineStr">
        <is>
          <t>Arkansas Razorbacks</t>
        </is>
      </c>
      <c r="AR778" s="24" t="inlineStr">
        <is>
          <t>Arkansas Razorbacks</t>
        </is>
      </c>
      <c r="AS778" s="24" t="inlineStr">
        <is>
          <t>Texas A&amp;M Aggies</t>
        </is>
      </c>
      <c r="AT778" s="24" t="inlineStr">
        <is>
          <t>Texas A&amp;M Aggies</t>
        </is>
      </c>
      <c r="AU778" s="24" t="inlineStr">
        <is>
          <t>Texas A&amp;M Aggies</t>
        </is>
      </c>
      <c r="AV778" s="24" t="n"/>
      <c r="AW778" s="24" t="n"/>
      <c r="AX778" s="24" t="inlineStr">
        <is>
          <t>statistical_model</t>
        </is>
      </c>
      <c r="AY778" s="24" t="n"/>
      <c r="AZ778" s="24" t="inlineStr">
        <is>
          <t>shadow_qualified</t>
        </is>
      </c>
      <c r="BA778" s="24" t="inlineStr">
        <is>
          <t>1d168f11d221cd3c</t>
        </is>
      </c>
      <c r="BB778" s="24" t="inlineStr">
        <is>
          <t>cfb_key_number_engine</t>
        </is>
      </c>
      <c r="BC778" s="24" t="inlineStr">
        <is>
          <t>college-football-v1</t>
        </is>
      </c>
      <c r="BD778" s="24" t="inlineStr">
        <is>
          <t>1d168f11d221cd3c</t>
        </is>
      </c>
      <c r="BE778" s="24" t="inlineStr">
        <is>
          <t>cfb-v1</t>
        </is>
      </c>
      <c r="BF778" s="24" t="inlineStr">
        <is>
          <t>1</t>
        </is>
      </c>
      <c r="BG778" s="24" t="inlineStr">
        <is>
          <t>1d168f11d221cd3c</t>
        </is>
      </c>
      <c r="BH778" s="24" t="inlineStr">
        <is>
          <t>2026-10-03T22:32:35.686759+00:00</t>
        </is>
      </c>
      <c r="BI778" s="24" t="inlineStr">
        <is>
          <t>["same_event","same_team_same_day","same_league_same_day"]</t>
        </is>
      </c>
      <c r="BJ778" s="25" t="n"/>
      <c r="BK778" s="26" t="n">
        <v>-575</v>
      </c>
      <c r="BL778" s="27" t="n">
        <v>1.173913</v>
      </c>
      <c r="BM778" s="28" t="n">
        <v>0.8518520000000001</v>
      </c>
      <c r="BN778" s="28" t="n"/>
      <c r="BO778" s="28" t="n"/>
      <c r="BP778" s="25" t="n"/>
      <c r="BQ778" s="27" t="n"/>
      <c r="BR778" s="28" t="n"/>
      <c r="BS778" s="28" t="n"/>
      <c r="BT778" s="28" t="n"/>
      <c r="BU778" s="25" t="n"/>
      <c r="BV778" s="29" t="n"/>
      <c r="BW778" s="24" t="n"/>
      <c r="BX778" s="30" t="n">
        <v>1</v>
      </c>
      <c r="BY778" s="27" t="n">
        <v>0.173913</v>
      </c>
      <c r="BZ778" s="24" t="inlineStr">
        <is>
          <t>2026-10-04T20:44:05.711894Z</t>
        </is>
      </c>
      <c r="CA778" s="31" t="inlineStr">
        <is>
          <t>fixed one-unit hypothetical scoring; no real exposure or execution</t>
        </is>
      </c>
      <c r="CB778" s="24" t="n"/>
      <c r="CC778" s="24" t="n"/>
      <c r="CD778" s="24" t="n"/>
      <c r="CE778" s="24" t="n"/>
      <c r="CF778" s="24" t="n"/>
      <c r="CG778" s="24" t="n"/>
      <c r="CH778" s="24" t="n"/>
      <c r="CI778" s="24" t="n"/>
      <c r="CJ778" s="24" t="n"/>
      <c r="CK778" s="24" t="n"/>
      <c r="CL778" s="24" t="n"/>
      <c r="CM778" s="24" t="n"/>
      <c r="CN778" s="24" t="n"/>
      <c r="CO778" s="24" t="n"/>
      <c r="CP778" s="24" t="n"/>
      <c r="CQ778" s="24" t="n"/>
      <c r="CR778" s="24" t="n"/>
      <c r="CS778" s="24" t="inlineStr">
        <is>
          <t>False</t>
        </is>
      </c>
      <c r="CT778" s="24" t="n"/>
      <c r="CU778" s="24" t="n"/>
      <c r="CV778" s="24" t="n"/>
      <c r="CW778" s="24" t="n"/>
      <c r="CX778" s="24" t="n"/>
      <c r="CY778" s="24" t="n"/>
      <c r="CZ778" s="24" t="n"/>
      <c r="DA778" s="24" t="n"/>
      <c r="DB778" s="24" t="n"/>
      <c r="DC778" s="24" t="n"/>
      <c r="DD778" s="24" t="n"/>
      <c r="DE778" s="24" t="n"/>
      <c r="DF778" s="24" t="n"/>
      <c r="DG778" s="24" t="n"/>
      <c r="DH778" s="24" t="n"/>
      <c r="DI778" s="24" t="n"/>
      <c r="DJ778" s="24" t="inlineStr">
        <is>
          <t>0.851852</t>
        </is>
      </c>
      <c r="DK778" s="24" t="n"/>
      <c r="DL778" s="24" t="n"/>
      <c r="DM778" s="24" t="n"/>
      <c r="DN778" s="24" t="n"/>
      <c r="DO778" s="24" t="n"/>
      <c r="DP778" s="24" t="n"/>
      <c r="DQ778" s="24" t="inlineStr">
        <is>
          <t>{"artifact_hash": "1d168f11d221cd3c", "event_id": "401856711", "event_start_utc": "2026-10-03T23:00Z", "features": {"altitude_fatigue_penalty": 0.0, "away_team": "Arkansas Razorbacks", "efficiency_gap": 0.0, "elo_away": 1257.0, "elo_home": 1660.5, "elo_home_win_prob": 0.9369, "event_id": "401856711", "game_start_utc": "2026-10-03T23:00Z", "home_field_advantage_points": 2.8, "home_team": "Texas A&amp;M Aggies", "is_dome": false, "is_fbs_vs_fcs": false, "is_neutral_site": false, "projected_away_points": 18.1, "projected_home_points": 37.2, "projected_margin_home": 19.1, "projected_possessions": 12.4, "projected_total": 55.3, "stadium_elevation_ft": 330, "travel_distance_miles": 397.0, "uncertainty": 0.18, "weather_total_adjustment": 0.0}, "historical_source_observation_times_verified": false, "inference_inputs": {"engine_source_sha256": "449ba2f0e86fa9c445730076a0e0bf100fb4914620be53c75c6f3bfe24298f3f", "mu_away": 18.1, "mu_home": 37.2,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56179011895661789167817152676274793844}, "uinteger": 0}, "spread_home_line": -13.5, "total_line": 50.5}, "market_type": "moneyline", "model_version": "college-football-v1", "observed_at_utc": "2026-10-03T22:32:35.686759+00:00", "probabilities": {"away": 0.156192, "home": 0.843808}, "replay_scope": "Full precision score means, exact engine parameters and original RNG state; upstream feature construction not certified.", "schema": "cfb-joint-replay-v1", "snapshot_hash": "8171285fe30743aa7da570953a304da66ff12b3310f5c179f7a0b05221c29aa5", "sport": "NCAAF"}</t>
        </is>
      </c>
    </row>
    <row r="779" ht="36" customHeight="1">
      <c r="A779" s="24" t="inlineStr">
        <is>
          <t>84f41dffc23447b5</t>
        </is>
      </c>
      <c r="B779" s="24" t="inlineStr">
        <is>
          <t>2026-10-03T22:32:35.686759Z</t>
        </is>
      </c>
      <c r="C779" s="24" t="inlineStr">
        <is>
          <t>2026-10-03T23:00Z</t>
        </is>
      </c>
      <c r="D779" s="24" t="inlineStr">
        <is>
          <t>401856711</t>
        </is>
      </c>
      <c r="E779" s="24" t="inlineStr">
        <is>
          <t>NCAAF</t>
        </is>
      </c>
      <c r="F779" s="24" t="inlineStr">
        <is>
          <t>Arkansas Razorbacks</t>
        </is>
      </c>
      <c r="G779" s="24" t="inlineStr">
        <is>
          <t>Texas A&amp;M Aggies</t>
        </is>
      </c>
      <c r="H779" s="24" t="inlineStr">
        <is>
          <t>spread</t>
        </is>
      </c>
      <c r="I779" s="24" t="inlineStr">
        <is>
          <t>home</t>
        </is>
      </c>
      <c r="J779" s="25" t="n">
        <v>-13.5</v>
      </c>
      <c r="K779" s="24" t="inlineStr">
        <is>
          <t>espn_consensus</t>
        </is>
      </c>
      <c r="L779" s="26" t="n">
        <v>-112</v>
      </c>
      <c r="M779" s="27" t="n">
        <v>1.892857</v>
      </c>
      <c r="N779" s="28" t="n">
        <v>0.528302</v>
      </c>
      <c r="O779" s="28" t="n">
        <v>0.609067</v>
      </c>
      <c r="P779" s="28" t="n">
        <v>0.18</v>
      </c>
      <c r="Q779" s="28" t="n">
        <v>0.080765</v>
      </c>
      <c r="R779" s="26" t="n">
        <v>0</v>
      </c>
      <c r="S779" s="29" t="n">
        <v>1</v>
      </c>
      <c r="T779" s="24" t="inlineStr">
        <is>
          <t>cfb-spread-v1</t>
        </is>
      </c>
      <c r="U779" s="24" t="inlineStr">
        <is>
          <t>settled</t>
        </is>
      </c>
      <c r="V779" s="24" t="inlineStr">
        <is>
          <t>win</t>
        </is>
      </c>
      <c r="W779" s="26" t="n">
        <v>7</v>
      </c>
      <c r="X779" s="26" t="n">
        <v>34</v>
      </c>
      <c r="Y779" s="25" t="n"/>
      <c r="Z779" s="26" t="n"/>
      <c r="AA779" s="28" t="n"/>
      <c r="AB779" s="28" t="n"/>
      <c r="AC779" s="30" t="n">
        <v>0.8929</v>
      </c>
      <c r="AD779" s="24" t="inlineStr">
        <is>
          <t>2026-10-04T20:44:11.332947Z</t>
        </is>
      </c>
      <c r="AE779" s="31" t="inlineStr">
        <is>
          <t>Projected home margin +19.1 pts. Spread: Home -13.5 / Away +13.5 -&gt; P(Away cover)=0.391, P(Home cover)=0.609, P(Push)=0.000.</t>
        </is>
      </c>
      <c r="AF779" s="31" t="inlineStr">
        <is>
          <t>College football model; multi-market (moneyline, spread, total).</t>
        </is>
      </c>
      <c r="AG779" s="24" t="inlineStr">
        <is>
          <t>not_applicable</t>
        </is>
      </c>
      <c r="AH779" s="24" t="n"/>
      <c r="AI779" s="31" t="n"/>
      <c r="AJ779" s="31" t="n"/>
      <c r="AK779" s="24" t="inlineStr">
        <is>
          <t>model_qualified</t>
        </is>
      </c>
      <c r="AL779" s="26" t="n">
        <v>4</v>
      </c>
      <c r="AM779" s="24" t="inlineStr">
        <is>
          <t>QUALIFIED_SHADOW_CALL</t>
        </is>
      </c>
      <c r="AN779" s="24" t="inlineStr">
        <is>
          <t>CALL</t>
        </is>
      </c>
      <c r="AO779" s="24" t="inlineStr">
        <is>
          <t>QUALIFIED</t>
        </is>
      </c>
      <c r="AP779" s="24" t="inlineStr">
        <is>
          <t>Arkansas Razorbacks</t>
        </is>
      </c>
      <c r="AQ779" s="24" t="inlineStr">
        <is>
          <t>Arkansas Razorbacks</t>
        </is>
      </c>
      <c r="AR779" s="24" t="inlineStr">
        <is>
          <t>Arkansas Razorbacks</t>
        </is>
      </c>
      <c r="AS779" s="24" t="inlineStr">
        <is>
          <t>Texas A&amp;M Aggies</t>
        </is>
      </c>
      <c r="AT779" s="24" t="inlineStr">
        <is>
          <t>Texas A&amp;M Aggies</t>
        </is>
      </c>
      <c r="AU779" s="24" t="inlineStr">
        <is>
          <t>Texas A&amp;M Aggies</t>
        </is>
      </c>
      <c r="AV779" s="24" t="n"/>
      <c r="AW779" s="24" t="n"/>
      <c r="AX779" s="24" t="inlineStr">
        <is>
          <t>statistical_model</t>
        </is>
      </c>
      <c r="AY779" s="24" t="n"/>
      <c r="AZ779" s="24" t="inlineStr">
        <is>
          <t>shadow_qualified</t>
        </is>
      </c>
      <c r="BA779" s="24" t="inlineStr">
        <is>
          <t>1d168f11d221cd3c</t>
        </is>
      </c>
      <c r="BB779" s="24" t="inlineStr">
        <is>
          <t>cfb_key_number_engine</t>
        </is>
      </c>
      <c r="BC779" s="24" t="inlineStr">
        <is>
          <t>cfb-spread-v1</t>
        </is>
      </c>
      <c r="BD779" s="24" t="inlineStr">
        <is>
          <t>1d168f11d221cd3c</t>
        </is>
      </c>
      <c r="BE779" s="24" t="inlineStr">
        <is>
          <t>cfb-v1</t>
        </is>
      </c>
      <c r="BF779" s="24" t="inlineStr">
        <is>
          <t>1</t>
        </is>
      </c>
      <c r="BG779" s="24" t="inlineStr">
        <is>
          <t>1d168f11d221cd3c</t>
        </is>
      </c>
      <c r="BH779" s="24" t="inlineStr">
        <is>
          <t>2026-10-03T22:32:35.686759+00:00</t>
        </is>
      </c>
      <c r="BI779" s="24" t="inlineStr">
        <is>
          <t>["same_event","same_team_same_day","same_league_same_day"]</t>
        </is>
      </c>
      <c r="BJ779" s="25" t="n">
        <v>-13.5</v>
      </c>
      <c r="BK779" s="26" t="n">
        <v>-112</v>
      </c>
      <c r="BL779" s="27" t="n">
        <v>1.892857</v>
      </c>
      <c r="BM779" s="28" t="n">
        <v>0.528302</v>
      </c>
      <c r="BN779" s="28" t="n"/>
      <c r="BO779" s="28" t="n"/>
      <c r="BP779" s="25" t="n"/>
      <c r="BQ779" s="27" t="n"/>
      <c r="BR779" s="28" t="n"/>
      <c r="BS779" s="28" t="n"/>
      <c r="BT779" s="28" t="n"/>
      <c r="BU779" s="25" t="n"/>
      <c r="BV779" s="29" t="n"/>
      <c r="BW779" s="24" t="n"/>
      <c r="BX779" s="30" t="n"/>
      <c r="BY779" s="27" t="n"/>
      <c r="BZ779" s="24" t="n"/>
      <c r="CA779" s="31" t="n"/>
      <c r="CB779" s="24" t="n"/>
      <c r="CC779" s="24" t="n"/>
      <c r="CD779" s="24" t="n"/>
      <c r="CE779" s="24" t="n"/>
      <c r="CF779" s="24" t="n"/>
      <c r="CG779" s="24" t="n"/>
      <c r="CH779" s="24" t="n"/>
      <c r="CI779" s="24" t="n"/>
      <c r="CJ779" s="24" t="n"/>
      <c r="CK779" s="24" t="n"/>
      <c r="CL779" s="24" t="n"/>
      <c r="CM779" s="24" t="n"/>
      <c r="CN779" s="24" t="n"/>
      <c r="CO779" s="24" t="n"/>
      <c r="CP779" s="24" t="n"/>
      <c r="CQ779" s="24" t="n"/>
      <c r="CR779" s="24" t="n"/>
      <c r="CS779" s="24" t="inlineStr">
        <is>
          <t>True</t>
        </is>
      </c>
      <c r="CT779" s="24" t="n"/>
      <c r="CU779" s="24" t="n"/>
      <c r="CV779" s="24" t="n"/>
      <c r="CW779" s="24" t="n"/>
      <c r="CX779" s="24" t="n"/>
      <c r="CY779" s="24" t="n"/>
      <c r="CZ779" s="24" t="n"/>
      <c r="DA779" s="24" t="n"/>
      <c r="DB779" s="24" t="n"/>
      <c r="DC779" s="24" t="n"/>
      <c r="DD779" s="24" t="n"/>
      <c r="DE779" s="24" t="n"/>
      <c r="DF779" s="24" t="n"/>
      <c r="DG779" s="24" t="n"/>
      <c r="DH779" s="24" t="n"/>
      <c r="DI779" s="24" t="n"/>
      <c r="DJ779" s="24" t="inlineStr">
        <is>
          <t>0.528302</t>
        </is>
      </c>
      <c r="DK779" s="24" t="n"/>
      <c r="DL779" s="24" t="n"/>
      <c r="DM779" s="24" t="n"/>
      <c r="DN779" s="24" t="n"/>
      <c r="DO779" s="24" t="n"/>
      <c r="DP779" s="24" t="n"/>
      <c r="DQ779" s="24" t="inlineStr">
        <is>
          <t>{"artifact_hash": "1d168f11d221cd3c", "event_id": "401856711", "event_start_utc": "2026-10-03T23:00Z", "features": {"altitude_fatigue_penalty": 0.0, "away_team": "Arkansas Razorbacks", "efficiency_gap": 0.0, "elo_away": 1257.0, "elo_home": 1660.5, "elo_home_win_prob": 0.9369, "event_id": "401856711", "game_start_utc": "2026-10-03T23:00Z", "home_field_advantage_points": 2.8, "home_team": "Texas A&amp;M Aggies", "is_dome": false, "is_fbs_vs_fcs": false, "is_neutral_site": false, "projected_away_points": 18.1, "projected_home_points": 37.2, "projected_margin_home": 19.1, "projected_possessions": 12.4, "projected_total": 55.3, "stadium_elevation_ft": 330, "travel_distance_miles": 397.0, "uncertainty": 0.18, "weather_total_adjustment": 0.0}, "historical_source_observation_times_verified": false, "inference_inputs": {"engine_source_sha256": "449ba2f0e86fa9c445730076a0e0bf100fb4914620be53c75c6f3bfe24298f3f", "mu_away": 18.1, "mu_home": 37.2,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56179011895661789167817152676274793844}, "uinteger": 0}, "spread_home_line": -13.5, "total_line": 50.5}, "market_type": "spread", "model_version": "cfb-spread-v1", "observed_at_utc": "2026-10-03T22:32:35.686759+00:00", "probabilities": {"away": 0.390933, "home": 0.609067, "push": 0.0}, "replay_scope": "Full precision score means, exact engine parameters and original RNG state; upstream feature construction not certified.", "schema": "cfb-joint-replay-v1", "snapshot_hash": "015e48637649f6ac49a71e629efa65fa1b5a2c3433ed3cac15d60cc58c0d9299", "sport": "NCAAF"}</t>
        </is>
      </c>
    </row>
    <row r="780" ht="36" customHeight="1">
      <c r="A780" s="24" t="inlineStr">
        <is>
          <t>24912396b7ad4ce3</t>
        </is>
      </c>
      <c r="B780" s="24" t="inlineStr">
        <is>
          <t>2026-10-03T22:32:35.686759Z</t>
        </is>
      </c>
      <c r="C780" s="24" t="inlineStr">
        <is>
          <t>2026-10-03T23:00Z</t>
        </is>
      </c>
      <c r="D780" s="24" t="inlineStr">
        <is>
          <t>401856711</t>
        </is>
      </c>
      <c r="E780" s="24" t="inlineStr">
        <is>
          <t>NCAAF</t>
        </is>
      </c>
      <c r="F780" s="24" t="inlineStr">
        <is>
          <t>Arkansas Razorbacks</t>
        </is>
      </c>
      <c r="G780" s="24" t="inlineStr">
        <is>
          <t>Texas A&amp;M Aggies</t>
        </is>
      </c>
      <c r="H780" s="24" t="inlineStr">
        <is>
          <t>total</t>
        </is>
      </c>
      <c r="I780" s="24" t="inlineStr">
        <is>
          <t>over</t>
        </is>
      </c>
      <c r="J780" s="25" t="n">
        <v>50.5</v>
      </c>
      <c r="K780" s="24" t="inlineStr">
        <is>
          <t>espn_consensus</t>
        </is>
      </c>
      <c r="L780" s="26" t="n">
        <v>-108</v>
      </c>
      <c r="M780" s="27" t="n">
        <v>1.925926</v>
      </c>
      <c r="N780" s="28" t="n">
        <v>0.519231</v>
      </c>
      <c r="O780" s="28" t="n">
        <v>0.558933</v>
      </c>
      <c r="P780" s="28" t="n">
        <v>0.18</v>
      </c>
      <c r="Q780" s="28" t="n">
        <v>0.039702</v>
      </c>
      <c r="R780" s="26" t="n">
        <v>0</v>
      </c>
      <c r="S780" s="29" t="n">
        <v>1</v>
      </c>
      <c r="T780" s="24" t="inlineStr">
        <is>
          <t>cfb-total-v1</t>
        </is>
      </c>
      <c r="U780" s="24" t="inlineStr">
        <is>
          <t>settled</t>
        </is>
      </c>
      <c r="V780" s="24" t="inlineStr">
        <is>
          <t>loss</t>
        </is>
      </c>
      <c r="W780" s="26" t="n">
        <v>7</v>
      </c>
      <c r="X780" s="26" t="n">
        <v>34</v>
      </c>
      <c r="Y780" s="25" t="n"/>
      <c r="Z780" s="26" t="n"/>
      <c r="AA780" s="28" t="n"/>
      <c r="AB780" s="28" t="n"/>
      <c r="AC780" s="30" t="n">
        <v>-1</v>
      </c>
      <c r="AD780" s="24" t="inlineStr">
        <is>
          <t>2026-10-04T20:44:17.226018Z</t>
        </is>
      </c>
      <c r="AE780" s="31" t="inlineStr">
        <is>
          <t>Projected total 55.3 pts (Weather adj: +0.0 pts). Total line 50.5 -&gt; P(Over)=0.559, P(Under)=0.441, P(Push)=0.000.</t>
        </is>
      </c>
      <c r="AF780" s="31" t="inlineStr">
        <is>
          <t>College football model; multi-market (moneyline, spread, total).</t>
        </is>
      </c>
      <c r="AG780" s="24" t="inlineStr">
        <is>
          <t>review_required</t>
        </is>
      </c>
      <c r="AH780" s="24" t="n"/>
      <c r="AI780" s="31" t="n"/>
      <c r="AJ780" s="31" t="n"/>
      <c r="AK780" s="24" t="inlineStr">
        <is>
          <t>model_qualified</t>
        </is>
      </c>
      <c r="AL780" s="26" t="n">
        <v>4</v>
      </c>
      <c r="AM780" s="24" t="inlineStr">
        <is>
          <t>QUALIFIED_SHADOW_CALL</t>
        </is>
      </c>
      <c r="AN780" s="24" t="inlineStr">
        <is>
          <t>CALL</t>
        </is>
      </c>
      <c r="AO780" s="24" t="inlineStr">
        <is>
          <t>QUALIFIED</t>
        </is>
      </c>
      <c r="AP780" s="24" t="inlineStr">
        <is>
          <t>Arkansas Razorbacks</t>
        </is>
      </c>
      <c r="AQ780" s="24" t="inlineStr">
        <is>
          <t>Arkansas Razorbacks</t>
        </is>
      </c>
      <c r="AR780" s="24" t="inlineStr">
        <is>
          <t>Arkansas Razorbacks</t>
        </is>
      </c>
      <c r="AS780" s="24" t="inlineStr">
        <is>
          <t>Texas A&amp;M Aggies</t>
        </is>
      </c>
      <c r="AT780" s="24" t="inlineStr">
        <is>
          <t>Texas A&amp;M Aggies</t>
        </is>
      </c>
      <c r="AU780" s="24" t="inlineStr">
        <is>
          <t>Texas A&amp;M Aggies</t>
        </is>
      </c>
      <c r="AV780" s="24" t="n"/>
      <c r="AW780" s="24" t="n"/>
      <c r="AX780" s="24" t="inlineStr">
        <is>
          <t>statistical_model</t>
        </is>
      </c>
      <c r="AY780" s="24" t="n"/>
      <c r="AZ780" s="24" t="inlineStr">
        <is>
          <t>shadow_qualified</t>
        </is>
      </c>
      <c r="BA780" s="24" t="inlineStr">
        <is>
          <t>1d168f11d221cd3c</t>
        </is>
      </c>
      <c r="BB780" s="24" t="inlineStr">
        <is>
          <t>cfb_key_number_engine</t>
        </is>
      </c>
      <c r="BC780" s="24" t="inlineStr">
        <is>
          <t>cfb-total-v1</t>
        </is>
      </c>
      <c r="BD780" s="24" t="inlineStr">
        <is>
          <t>1d168f11d221cd3c</t>
        </is>
      </c>
      <c r="BE780" s="24" t="inlineStr">
        <is>
          <t>cfb-v1</t>
        </is>
      </c>
      <c r="BF780" s="24" t="inlineStr">
        <is>
          <t>1</t>
        </is>
      </c>
      <c r="BG780" s="24" t="inlineStr">
        <is>
          <t>1d168f11d221cd3c</t>
        </is>
      </c>
      <c r="BH780" s="24" t="inlineStr">
        <is>
          <t>2026-10-03T22:32:35.686759+00:00</t>
        </is>
      </c>
      <c r="BI780" s="24" t="inlineStr">
        <is>
          <t>["same_event","same_team_same_day","same_league_same_day"]</t>
        </is>
      </c>
      <c r="BJ780" s="25" t="n">
        <v>50.5</v>
      </c>
      <c r="BK780" s="26" t="n">
        <v>-108</v>
      </c>
      <c r="BL780" s="27" t="n">
        <v>1.925926</v>
      </c>
      <c r="BM780" s="28" t="n">
        <v>0.519231</v>
      </c>
      <c r="BN780" s="28" t="n"/>
      <c r="BO780" s="28" t="n"/>
      <c r="BP780" s="25" t="n"/>
      <c r="BQ780" s="27" t="n"/>
      <c r="BR780" s="28" t="n"/>
      <c r="BS780" s="28" t="n"/>
      <c r="BT780" s="28" t="n"/>
      <c r="BU780" s="25" t="n"/>
      <c r="BV780" s="29" t="n"/>
      <c r="BW780" s="24" t="n"/>
      <c r="BX780" s="30" t="n"/>
      <c r="BY780" s="27" t="n"/>
      <c r="BZ780" s="24" t="n"/>
      <c r="CA780" s="31" t="n"/>
      <c r="CB780" s="24" t="n"/>
      <c r="CC780" s="24" t="n"/>
      <c r="CD780" s="24" t="n"/>
      <c r="CE780" s="24" t="n"/>
      <c r="CF780" s="24" t="n"/>
      <c r="CG780" s="24" t="n"/>
      <c r="CH780" s="24" t="n"/>
      <c r="CI780" s="24" t="n"/>
      <c r="CJ780" s="24" t="n"/>
      <c r="CK780" s="24" t="n"/>
      <c r="CL780" s="24" t="n"/>
      <c r="CM780" s="24" t="n"/>
      <c r="CN780" s="24" t="n"/>
      <c r="CO780" s="24" t="n"/>
      <c r="CP780" s="24" t="n"/>
      <c r="CQ780" s="24" t="n"/>
      <c r="CR780" s="24" t="n"/>
      <c r="CS780" s="24" t="inlineStr">
        <is>
          <t>True</t>
        </is>
      </c>
      <c r="CT780" s="24" t="n"/>
      <c r="CU780" s="24" t="n"/>
      <c r="CV780" s="24" t="n"/>
      <c r="CW780" s="24" t="n"/>
      <c r="CX780" s="24" t="n"/>
      <c r="CY780" s="24" t="n"/>
      <c r="CZ780" s="24" t="n"/>
      <c r="DA780" s="24" t="n"/>
      <c r="DB780" s="24" t="n"/>
      <c r="DC780" s="24" t="n"/>
      <c r="DD780" s="24" t="n"/>
      <c r="DE780" s="24" t="n"/>
      <c r="DF780" s="24" t="n"/>
      <c r="DG780" s="24" t="n"/>
      <c r="DH780" s="24" t="n"/>
      <c r="DI780" s="24" t="n"/>
      <c r="DJ780" s="24" t="inlineStr">
        <is>
          <t>0.519231</t>
        </is>
      </c>
      <c r="DK780" s="24" t="n"/>
      <c r="DL780" s="24" t="n"/>
      <c r="DM780" s="24" t="n"/>
      <c r="DN780" s="24" t="n"/>
      <c r="DO780" s="24" t="n"/>
      <c r="DP780" s="24" t="n"/>
      <c r="DQ780" s="24" t="inlineStr">
        <is>
          <t>{"artifact_hash": "1d168f11d221cd3c", "event_id": "401856711", "event_start_utc": "2026-10-03T23:00Z", "features": {"altitude_fatigue_penalty": 0.0, "away_team": "Arkansas Razorbacks", "efficiency_gap": 0.0, "elo_away": 1257.0, "elo_home": 1660.5, "elo_home_win_prob": 0.9369, "event_id": "401856711", "game_start_utc": "2026-10-03T23:00Z", "home_field_advantage_points": 2.8, "home_team": "Texas A&amp;M Aggies", "is_dome": false, "is_fbs_vs_fcs": false, "is_neutral_site": false, "projected_away_points": 18.1, "projected_home_points": 37.2, "projected_margin_home": 19.1, "projected_possessions": 12.4, "projected_total": 55.3, "stadium_elevation_ft": 330, "travel_distance_miles": 397.0, "uncertainty": 0.18, "weather_total_adjustment": 0.0}, "historical_source_observation_times_verified": false, "inference_inputs": {"engine_source_sha256": "449ba2f0e86fa9c445730076a0e0bf100fb4914620be53c75c6f3bfe24298f3f", "mu_away": 18.1, "mu_home": 37.2,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56179011895661789167817152676274793844}, "uinteger": 0}, "spread_home_line": -13.5, "total_line": 50.5}, "market_type": "total", "model_version": "cfb-total-v1", "observed_at_utc": "2026-10-03T22:32:35.686759+00:00", "probabilities": {"over": 0.558933, "push": 0.0, "under": 0.441067}, "replay_scope": "Full precision score means, exact engine parameters and original RNG state; upstream feature construction not certified.", "schema": "cfb-joint-replay-v1", "snapshot_hash": "b65ad69c2beec56ee750d5fa48ae4fdfe719ce5ed0aaea0d2b1b7411245d0aab", "sport": "NCAAF"}</t>
        </is>
      </c>
    </row>
    <row r="781" ht="36" customHeight="1">
      <c r="A781" s="24" t="inlineStr">
        <is>
          <t>b6c48e92e37e462a</t>
        </is>
      </c>
      <c r="B781" s="24" t="inlineStr">
        <is>
          <t>2026-10-03T22:32:35.686759Z</t>
        </is>
      </c>
      <c r="C781" s="24" t="inlineStr">
        <is>
          <t>2026-10-03T23:00Z</t>
        </is>
      </c>
      <c r="D781" s="24" t="inlineStr">
        <is>
          <t>401862788</t>
        </is>
      </c>
      <c r="E781" s="24" t="inlineStr">
        <is>
          <t>NCAAF</t>
        </is>
      </c>
      <c r="F781" s="24" t="inlineStr">
        <is>
          <t>UTSA Roadrunners</t>
        </is>
      </c>
      <c r="G781" s="24" t="inlineStr">
        <is>
          <t>Rice Owls</t>
        </is>
      </c>
      <c r="H781" s="24" t="inlineStr">
        <is>
          <t>moneyline</t>
        </is>
      </c>
      <c r="I781" s="24" t="inlineStr">
        <is>
          <t>away</t>
        </is>
      </c>
      <c r="J781" s="25" t="n"/>
      <c r="K781" s="24" t="inlineStr">
        <is>
          <t>espn_consensus</t>
        </is>
      </c>
      <c r="L781" s="26" t="n">
        <v>-500</v>
      </c>
      <c r="M781" s="27" t="n">
        <v>1.2</v>
      </c>
      <c r="N781" s="28" t="n">
        <v>0.833333</v>
      </c>
      <c r="O781" s="28" t="n">
        <v>0.685344</v>
      </c>
      <c r="P781" s="28" t="n">
        <v>0.18</v>
      </c>
      <c r="Q781" s="28" t="n">
        <v>-0.147989</v>
      </c>
      <c r="R781" s="26" t="n">
        <v>0</v>
      </c>
      <c r="S781" s="29" t="n">
        <v>1</v>
      </c>
      <c r="T781" s="24" t="inlineStr">
        <is>
          <t>college-football-v1</t>
        </is>
      </c>
      <c r="U781" s="24" t="inlineStr">
        <is>
          <t>settled</t>
        </is>
      </c>
      <c r="V781" s="24" t="inlineStr">
        <is>
          <t>win</t>
        </is>
      </c>
      <c r="W781" s="26" t="n">
        <v>16</v>
      </c>
      <c r="X781" s="26" t="n">
        <v>14</v>
      </c>
      <c r="Y781" s="25" t="n"/>
      <c r="Z781" s="26" t="n"/>
      <c r="AA781" s="28" t="n"/>
      <c r="AB781" s="28" t="n"/>
      <c r="AC781" s="30" t="n">
        <v>0.2</v>
      </c>
      <c r="AD781" s="24" t="inlineStr">
        <is>
          <t>2026-10-04T20:44:23.400695Z</t>
        </is>
      </c>
      <c r="AE781" s="31" t="inlineStr">
        <is>
          <t>CFB Joint Model (negative_binomial): proj score UTSA Roadrunners 31.5 @ Rice Owls 22.2 (Margin -9.2). Possessions: 12.4, HFA: +2.8 pts.</t>
        </is>
      </c>
      <c r="AF781" s="31" t="inlineStr">
        <is>
          <t>College football model; multi-market (moneyline, spread, total).</t>
        </is>
      </c>
      <c r="AG781" s="24" t="inlineStr">
        <is>
          <t>not_applicable</t>
        </is>
      </c>
      <c r="AH781" s="24" t="n"/>
      <c r="AI781" s="31" t="n"/>
      <c r="AJ781" s="31" t="n"/>
      <c r="AK781" s="24" t="inlineStr">
        <is>
          <t>paper_call</t>
        </is>
      </c>
      <c r="AL781" s="26" t="n">
        <v>4</v>
      </c>
      <c r="AM781" s="24" t="inlineStr">
        <is>
          <t>RESEARCH_OBSERVATION</t>
        </is>
      </c>
      <c r="AN781" s="24" t="inlineStr">
        <is>
          <t>CALL</t>
        </is>
      </c>
      <c r="AO781" s="24" t="inlineStr">
        <is>
          <t>PAPER_CALL_LOW_EDGE</t>
        </is>
      </c>
      <c r="AP781" s="24" t="inlineStr">
        <is>
          <t>UTSA Roadrunners</t>
        </is>
      </c>
      <c r="AQ781" s="24" t="inlineStr">
        <is>
          <t>UTSA Roadrunners</t>
        </is>
      </c>
      <c r="AR781" s="24" t="inlineStr">
        <is>
          <t>UTSA Roadrunners</t>
        </is>
      </c>
      <c r="AS781" s="24" t="inlineStr">
        <is>
          <t>Rice Owls</t>
        </is>
      </c>
      <c r="AT781" s="24" t="inlineStr">
        <is>
          <t>Rice Owls</t>
        </is>
      </c>
      <c r="AU781" s="24" t="inlineStr">
        <is>
          <t>Rice Owls</t>
        </is>
      </c>
      <c r="AV781" s="24" t="n"/>
      <c r="AW781" s="24" t="n"/>
      <c r="AX781" s="24" t="inlineStr">
        <is>
          <t>statistical_model</t>
        </is>
      </c>
      <c r="AY781" s="24" t="n"/>
      <c r="AZ781" s="24" t="inlineStr">
        <is>
          <t>shadow_qualified</t>
        </is>
      </c>
      <c r="BA781" s="24" t="inlineStr">
        <is>
          <t>1d168f11d221cd3c</t>
        </is>
      </c>
      <c r="BB781" s="24" t="inlineStr">
        <is>
          <t>cfb_key_number_engine</t>
        </is>
      </c>
      <c r="BC781" s="24" t="inlineStr">
        <is>
          <t>college-football-v1</t>
        </is>
      </c>
      <c r="BD781" s="24" t="inlineStr">
        <is>
          <t>1d168f11d221cd3c</t>
        </is>
      </c>
      <c r="BE781" s="24" t="inlineStr">
        <is>
          <t>cfb-v1</t>
        </is>
      </c>
      <c r="BF781" s="24" t="inlineStr">
        <is>
          <t>1</t>
        </is>
      </c>
      <c r="BG781" s="24" t="inlineStr">
        <is>
          <t>1d168f11d221cd3c</t>
        </is>
      </c>
      <c r="BH781" s="24" t="inlineStr">
        <is>
          <t>2026-10-03T22:32:35.686759+00:00</t>
        </is>
      </c>
      <c r="BI781" s="24" t="inlineStr">
        <is>
          <t>["same_event","same_team_same_day","same_league_same_day"]</t>
        </is>
      </c>
      <c r="BJ781" s="25" t="n"/>
      <c r="BK781" s="26" t="n">
        <v>-500</v>
      </c>
      <c r="BL781" s="27" t="n">
        <v>1.2</v>
      </c>
      <c r="BM781" s="28" t="n">
        <v>0.833333</v>
      </c>
      <c r="BN781" s="28" t="n"/>
      <c r="BO781" s="28" t="n"/>
      <c r="BP781" s="25" t="n"/>
      <c r="BQ781" s="27" t="n"/>
      <c r="BR781" s="28" t="n"/>
      <c r="BS781" s="28" t="n"/>
      <c r="BT781" s="28" t="n"/>
      <c r="BU781" s="25" t="n"/>
      <c r="BV781" s="29" t="n"/>
      <c r="BW781" s="24" t="n"/>
      <c r="BX781" s="30" t="n">
        <v>1</v>
      </c>
      <c r="BY781" s="27" t="n">
        <v>0.2</v>
      </c>
      <c r="BZ781" s="24" t="inlineStr">
        <is>
          <t>2026-10-04T20:44:23.400695Z</t>
        </is>
      </c>
      <c r="CA781" s="31" t="inlineStr">
        <is>
          <t>fixed one-unit hypothetical scoring; no real exposure or execution</t>
        </is>
      </c>
      <c r="CB781" s="24" t="n"/>
      <c r="CC781" s="24" t="n"/>
      <c r="CD781" s="24" t="n"/>
      <c r="CE781" s="24" t="n"/>
      <c r="CF781" s="24" t="n"/>
      <c r="CG781" s="24" t="n"/>
      <c r="CH781" s="24" t="n"/>
      <c r="CI781" s="24" t="n"/>
      <c r="CJ781" s="24" t="n"/>
      <c r="CK781" s="24" t="n"/>
      <c r="CL781" s="24" t="n"/>
      <c r="CM781" s="24" t="n"/>
      <c r="CN781" s="24" t="n"/>
      <c r="CO781" s="24" t="n"/>
      <c r="CP781" s="24" t="n"/>
      <c r="CQ781" s="24" t="n"/>
      <c r="CR781" s="24" t="n"/>
      <c r="CS781" s="24" t="inlineStr">
        <is>
          <t>False</t>
        </is>
      </c>
      <c r="CT781" s="24" t="n"/>
      <c r="CU781" s="24" t="n"/>
      <c r="CV781" s="24" t="n"/>
      <c r="CW781" s="24" t="n"/>
      <c r="CX781" s="24" t="n"/>
      <c r="CY781" s="24" t="n"/>
      <c r="CZ781" s="24" t="n"/>
      <c r="DA781" s="24" t="n"/>
      <c r="DB781" s="24" t="n"/>
      <c r="DC781" s="24" t="n"/>
      <c r="DD781" s="24" t="n"/>
      <c r="DE781" s="24" t="n"/>
      <c r="DF781" s="24" t="n"/>
      <c r="DG781" s="24" t="n"/>
      <c r="DH781" s="24" t="n"/>
      <c r="DI781" s="24" t="n"/>
      <c r="DJ781" s="24" t="inlineStr">
        <is>
          <t>0.833333</t>
        </is>
      </c>
      <c r="DK781" s="24" t="n"/>
      <c r="DL781" s="24" t="n"/>
      <c r="DM781" s="24" t="n"/>
      <c r="DN781" s="24" t="n"/>
      <c r="DO781" s="24" t="n"/>
      <c r="DP781" s="24" t="n"/>
      <c r="DQ781" s="24" t="inlineStr">
        <is>
          <t>{"artifact_hash": "1d168f11d221cd3c", "event_id": "401862788", "event_start_utc": "2026-10-03T23:00Z", "features": {"altitude_fatigue_penalty": 0.0, "away_team": "UTSA Roadrunners", "efficiency_gap": 0.0, "elo_away": 1534.1, "elo_home": 1242.5, "elo_home_win_prob": 0.2135, "event_id": "401862788", "game_start_utc": "2026-10-03T23:00Z", "home_field_advantage_points": 2.8, "home_team": "Rice Owls", "is_dome": false, "is_fbs_vs_fcs": false, "is_neutral_site": false, "projected_away_points": 31.5, "projected_home_points": 22.2, "projected_margin_home": -9.2, "projected_possessions": 12.4, "projected_total": 53.7, "stadium_elevation_ft": 50, "travel_distance_miles": 186.0, "uncertainty": 0.18, "weather_total_adjustment": 0.0}, "historical_source_observation_times_verified": false, "inference_inputs": {"engine_source_sha256": "449ba2f0e86fa9c445730076a0e0bf100fb4914620be53c75c6f3bfe24298f3f", "mu_away": 31.5, "mu_home": 22.2,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126069141830563837226607700469358795527}, "uinteger": 0}, "spread_home_line": 12.5, "total_line": 56.5}, "market_type": "moneyline", "model_version": "college-football-v1", "observed_at_utc": "2026-10-03T22:32:35.686759+00:00", "probabilities": {"away": 0.685344, "home": 0.314656}, "replay_scope": "Full precision score means, exact engine parameters and original RNG state; upstream feature construction not certified.", "schema": "cfb-joint-replay-v1", "snapshot_hash": "804859b1f8cd6ac45a6e5581481c73909eb1b5befddb096fb10c926653049bb0", "sport": "NCAAF"}</t>
        </is>
      </c>
    </row>
    <row r="782" ht="36" customHeight="1">
      <c r="A782" s="24" t="inlineStr">
        <is>
          <t>316a12cfc5a84b99</t>
        </is>
      </c>
      <c r="B782" s="24" t="inlineStr">
        <is>
          <t>2026-10-03T22:32:35.686759Z</t>
        </is>
      </c>
      <c r="C782" s="24" t="inlineStr">
        <is>
          <t>2026-10-03T23:00Z</t>
        </is>
      </c>
      <c r="D782" s="24" t="inlineStr">
        <is>
          <t>401862788</t>
        </is>
      </c>
      <c r="E782" s="24" t="inlineStr">
        <is>
          <t>NCAAF</t>
        </is>
      </c>
      <c r="F782" s="24" t="inlineStr">
        <is>
          <t>UTSA Roadrunners</t>
        </is>
      </c>
      <c r="G782" s="24" t="inlineStr">
        <is>
          <t>Rice Owls</t>
        </is>
      </c>
      <c r="H782" s="24" t="inlineStr">
        <is>
          <t>spread</t>
        </is>
      </c>
      <c r="I782" s="24" t="inlineStr">
        <is>
          <t>home</t>
        </is>
      </c>
      <c r="J782" s="25" t="n">
        <v>12.5</v>
      </c>
      <c r="K782" s="24" t="inlineStr">
        <is>
          <t>espn_consensus</t>
        </is>
      </c>
      <c r="L782" s="26" t="n">
        <v>-115</v>
      </c>
      <c r="M782" s="27" t="n">
        <v>1.869565</v>
      </c>
      <c r="N782" s="28" t="n">
        <v>0.534884</v>
      </c>
      <c r="O782" s="28" t="n">
        <v>0.5674</v>
      </c>
      <c r="P782" s="28" t="n">
        <v>0.18</v>
      </c>
      <c r="Q782" s="28" t="n">
        <v>0.032516</v>
      </c>
      <c r="R782" s="26" t="n">
        <v>0</v>
      </c>
      <c r="S782" s="29" t="n">
        <v>1</v>
      </c>
      <c r="T782" s="24" t="inlineStr">
        <is>
          <t>cfb-spread-v1</t>
        </is>
      </c>
      <c r="U782" s="24" t="inlineStr">
        <is>
          <t>settled</t>
        </is>
      </c>
      <c r="V782" s="24" t="inlineStr">
        <is>
          <t>win</t>
        </is>
      </c>
      <c r="W782" s="26" t="n">
        <v>16</v>
      </c>
      <c r="X782" s="26" t="n">
        <v>14</v>
      </c>
      <c r="Y782" s="25" t="n"/>
      <c r="Z782" s="26" t="n"/>
      <c r="AA782" s="28" t="n"/>
      <c r="AB782" s="28" t="n"/>
      <c r="AC782" s="30" t="n">
        <v>0.8696</v>
      </c>
      <c r="AD782" s="24" t="inlineStr">
        <is>
          <t>2026-10-04T20:44:29.540984Z</t>
        </is>
      </c>
      <c r="AE782" s="31" t="inlineStr">
        <is>
          <t>Projected home margin -9.2 pts. Spread: Home +12.5 / Away -12.5 -&gt; P(Away cover)=0.433, P(Home cover)=0.567, P(Push)=0.000.</t>
        </is>
      </c>
      <c r="AF782" s="31" t="inlineStr">
        <is>
          <t>College football model; multi-market (moneyline, spread, total).</t>
        </is>
      </c>
      <c r="AG782" s="24" t="inlineStr">
        <is>
          <t>not_applicable</t>
        </is>
      </c>
      <c r="AH782" s="24" t="n"/>
      <c r="AI782" s="31" t="n"/>
      <c r="AJ782" s="31" t="n"/>
      <c r="AK782" s="24" t="inlineStr">
        <is>
          <t>model_qualified</t>
        </is>
      </c>
      <c r="AL782" s="26" t="n">
        <v>4</v>
      </c>
      <c r="AM782" s="24" t="inlineStr">
        <is>
          <t>QUALIFIED_SHADOW_CALL</t>
        </is>
      </c>
      <c r="AN782" s="24" t="inlineStr">
        <is>
          <t>CALL</t>
        </is>
      </c>
      <c r="AO782" s="24" t="inlineStr">
        <is>
          <t>QUALIFIED</t>
        </is>
      </c>
      <c r="AP782" s="24" t="inlineStr">
        <is>
          <t>UTSA Roadrunners</t>
        </is>
      </c>
      <c r="AQ782" s="24" t="inlineStr">
        <is>
          <t>UTSA Roadrunners</t>
        </is>
      </c>
      <c r="AR782" s="24" t="inlineStr">
        <is>
          <t>UTSA Roadrunners</t>
        </is>
      </c>
      <c r="AS782" s="24" t="inlineStr">
        <is>
          <t>Rice Owls</t>
        </is>
      </c>
      <c r="AT782" s="24" t="inlineStr">
        <is>
          <t>Rice Owls</t>
        </is>
      </c>
      <c r="AU782" s="24" t="inlineStr">
        <is>
          <t>Rice Owls</t>
        </is>
      </c>
      <c r="AV782" s="24" t="n"/>
      <c r="AW782" s="24" t="n"/>
      <c r="AX782" s="24" t="inlineStr">
        <is>
          <t>statistical_model</t>
        </is>
      </c>
      <c r="AY782" s="24" t="n"/>
      <c r="AZ782" s="24" t="inlineStr">
        <is>
          <t>shadow_qualified</t>
        </is>
      </c>
      <c r="BA782" s="24" t="inlineStr">
        <is>
          <t>1d168f11d221cd3c</t>
        </is>
      </c>
      <c r="BB782" s="24" t="inlineStr">
        <is>
          <t>cfb_key_number_engine</t>
        </is>
      </c>
      <c r="BC782" s="24" t="inlineStr">
        <is>
          <t>cfb-spread-v1</t>
        </is>
      </c>
      <c r="BD782" s="24" t="inlineStr">
        <is>
          <t>1d168f11d221cd3c</t>
        </is>
      </c>
      <c r="BE782" s="24" t="inlineStr">
        <is>
          <t>cfb-v1</t>
        </is>
      </c>
      <c r="BF782" s="24" t="inlineStr">
        <is>
          <t>1</t>
        </is>
      </c>
      <c r="BG782" s="24" t="inlineStr">
        <is>
          <t>1d168f11d221cd3c</t>
        </is>
      </c>
      <c r="BH782" s="24" t="inlineStr">
        <is>
          <t>2026-10-03T22:32:35.686759+00:00</t>
        </is>
      </c>
      <c r="BI782" s="24" t="inlineStr">
        <is>
          <t>["same_event","same_team_same_day","same_league_same_day"]</t>
        </is>
      </c>
      <c r="BJ782" s="25" t="n">
        <v>12.5</v>
      </c>
      <c r="BK782" s="26" t="n">
        <v>-115</v>
      </c>
      <c r="BL782" s="27" t="n">
        <v>1.869565</v>
      </c>
      <c r="BM782" s="28" t="n">
        <v>0.534884</v>
      </c>
      <c r="BN782" s="28" t="n"/>
      <c r="BO782" s="28" t="n"/>
      <c r="BP782" s="25" t="n"/>
      <c r="BQ782" s="27" t="n"/>
      <c r="BR782" s="28" t="n"/>
      <c r="BS782" s="28" t="n"/>
      <c r="BT782" s="28" t="n"/>
      <c r="BU782" s="25" t="n"/>
      <c r="BV782" s="29" t="n"/>
      <c r="BW782" s="24" t="n"/>
      <c r="BX782" s="30" t="n"/>
      <c r="BY782" s="27" t="n"/>
      <c r="BZ782" s="24" t="n"/>
      <c r="CA782" s="31" t="n"/>
      <c r="CB782" s="24" t="n"/>
      <c r="CC782" s="24" t="n"/>
      <c r="CD782" s="24" t="n"/>
      <c r="CE782" s="24" t="n"/>
      <c r="CF782" s="24" t="n"/>
      <c r="CG782" s="24" t="n"/>
      <c r="CH782" s="24" t="n"/>
      <c r="CI782" s="24" t="n"/>
      <c r="CJ782" s="24" t="n"/>
      <c r="CK782" s="24" t="n"/>
      <c r="CL782" s="24" t="n"/>
      <c r="CM782" s="24" t="n"/>
      <c r="CN782" s="24" t="n"/>
      <c r="CO782" s="24" t="n"/>
      <c r="CP782" s="24" t="n"/>
      <c r="CQ782" s="24" t="n"/>
      <c r="CR782" s="24" t="n"/>
      <c r="CS782" s="24" t="inlineStr">
        <is>
          <t>True</t>
        </is>
      </c>
      <c r="CT782" s="24" t="n"/>
      <c r="CU782" s="24" t="n"/>
      <c r="CV782" s="24" t="n"/>
      <c r="CW782" s="24" t="n"/>
      <c r="CX782" s="24" t="n"/>
      <c r="CY782" s="24" t="n"/>
      <c r="CZ782" s="24" t="n"/>
      <c r="DA782" s="24" t="n"/>
      <c r="DB782" s="24" t="n"/>
      <c r="DC782" s="24" t="n"/>
      <c r="DD782" s="24" t="n"/>
      <c r="DE782" s="24" t="n"/>
      <c r="DF782" s="24" t="n"/>
      <c r="DG782" s="24" t="n"/>
      <c r="DH782" s="24" t="n"/>
      <c r="DI782" s="24" t="n"/>
      <c r="DJ782" s="24" t="inlineStr">
        <is>
          <t>0.534884</t>
        </is>
      </c>
      <c r="DK782" s="24" t="n"/>
      <c r="DL782" s="24" t="n"/>
      <c r="DM782" s="24" t="n"/>
      <c r="DN782" s="24" t="n"/>
      <c r="DO782" s="24" t="n"/>
      <c r="DP782" s="24" t="n"/>
      <c r="DQ782" s="24" t="inlineStr">
        <is>
          <t>{"artifact_hash": "1d168f11d221cd3c", "event_id": "401862788", "event_start_utc": "2026-10-03T23:00Z", "features": {"altitude_fatigue_penalty": 0.0, "away_team": "UTSA Roadrunners", "efficiency_gap": 0.0, "elo_away": 1534.1, "elo_home": 1242.5, "elo_home_win_prob": 0.2135, "event_id": "401862788", "game_start_utc": "2026-10-03T23:00Z", "home_field_advantage_points": 2.8, "home_team": "Rice Owls", "is_dome": false, "is_fbs_vs_fcs": false, "is_neutral_site": false, "projected_away_points": 31.5, "projected_home_points": 22.2, "projected_margin_home": -9.2, "projected_possessions": 12.4, "projected_total": 53.7, "stadium_elevation_ft": 50, "travel_distance_miles": 186.0, "uncertainty": 0.18, "weather_total_adjustment": 0.0}, "historical_source_observation_times_verified": false, "inference_inputs": {"engine_source_sha256": "449ba2f0e86fa9c445730076a0e0bf100fb4914620be53c75c6f3bfe24298f3f", "mu_away": 31.5, "mu_home": 22.2,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126069141830563837226607700469358795527}, "uinteger": 0}, "spread_home_line": 12.5, "total_line": 56.5}, "market_type": "spread", "model_version": "cfb-spread-v1", "observed_at_utc": "2026-10-03T22:32:35.686759+00:00", "probabilities": {"away": 0.4326, "home": 0.5674, "push": 0.0}, "replay_scope": "Full precision score means, exact engine parameters and original RNG state; upstream feature construction not certified.", "schema": "cfb-joint-replay-v1", "snapshot_hash": "c1b643f391b2b4fdc2c2274fed4e10a1ee8b8f50e2a85204a3c4e1ceea58b317", "sport": "NCAAF"}</t>
        </is>
      </c>
    </row>
    <row r="783" ht="36" customHeight="1">
      <c r="A783" s="24" t="inlineStr">
        <is>
          <t>5e31091e03ee47c3</t>
        </is>
      </c>
      <c r="B783" s="24" t="inlineStr">
        <is>
          <t>2026-10-03T22:32:35.686759Z</t>
        </is>
      </c>
      <c r="C783" s="24" t="inlineStr">
        <is>
          <t>2026-10-03T23:00Z</t>
        </is>
      </c>
      <c r="D783" s="24" t="inlineStr">
        <is>
          <t>401862788</t>
        </is>
      </c>
      <c r="E783" s="24" t="inlineStr">
        <is>
          <t>NCAAF</t>
        </is>
      </c>
      <c r="F783" s="24" t="inlineStr">
        <is>
          <t>UTSA Roadrunners</t>
        </is>
      </c>
      <c r="G783" s="24" t="inlineStr">
        <is>
          <t>Rice Owls</t>
        </is>
      </c>
      <c r="H783" s="24" t="inlineStr">
        <is>
          <t>total</t>
        </is>
      </c>
      <c r="I783" s="24" t="inlineStr">
        <is>
          <t>under</t>
        </is>
      </c>
      <c r="J783" s="25" t="n">
        <v>56.5</v>
      </c>
      <c r="K783" s="24" t="inlineStr">
        <is>
          <t>espn_consensus</t>
        </is>
      </c>
      <c r="L783" s="26" t="n">
        <v>-108</v>
      </c>
      <c r="M783" s="27" t="n">
        <v>1.925926</v>
      </c>
      <c r="N783" s="28" t="n">
        <v>0.519231</v>
      </c>
      <c r="O783" s="28" t="n">
        <v>0.576933</v>
      </c>
      <c r="P783" s="28" t="n">
        <v>0.18</v>
      </c>
      <c r="Q783" s="28" t="n">
        <v>0.057702</v>
      </c>
      <c r="R783" s="26" t="n">
        <v>0</v>
      </c>
      <c r="S783" s="29" t="n">
        <v>1</v>
      </c>
      <c r="T783" s="24" t="inlineStr">
        <is>
          <t>cfb-total-v1</t>
        </is>
      </c>
      <c r="U783" s="24" t="inlineStr">
        <is>
          <t>settled</t>
        </is>
      </c>
      <c r="V783" s="24" t="inlineStr">
        <is>
          <t>win</t>
        </is>
      </c>
      <c r="W783" s="26" t="n">
        <v>16</v>
      </c>
      <c r="X783" s="26" t="n">
        <v>14</v>
      </c>
      <c r="Y783" s="25" t="n"/>
      <c r="Z783" s="26" t="n"/>
      <c r="AA783" s="28" t="n"/>
      <c r="AB783" s="28" t="n"/>
      <c r="AC783" s="30" t="n">
        <v>0.9258999999999999</v>
      </c>
      <c r="AD783" s="24" t="inlineStr">
        <is>
          <t>2026-10-04T20:44:35.716474Z</t>
        </is>
      </c>
      <c r="AE783" s="31" t="inlineStr">
        <is>
          <t>Projected total 53.7 pts (Weather adj: +0.0 pts). Total line 56.5 -&gt; P(Over)=0.423, P(Under)=0.577, P(Push)=0.000.</t>
        </is>
      </c>
      <c r="AF783" s="31" t="inlineStr">
        <is>
          <t>College football model; multi-market (moneyline, spread, total).</t>
        </is>
      </c>
      <c r="AG783" s="24" t="inlineStr">
        <is>
          <t>not_applicable</t>
        </is>
      </c>
      <c r="AH783" s="24" t="n"/>
      <c r="AI783" s="31" t="n"/>
      <c r="AJ783" s="31" t="n"/>
      <c r="AK783" s="24" t="inlineStr">
        <is>
          <t>model_qualified</t>
        </is>
      </c>
      <c r="AL783" s="26" t="n">
        <v>4</v>
      </c>
      <c r="AM783" s="24" t="inlineStr">
        <is>
          <t>QUALIFIED_SHADOW_CALL</t>
        </is>
      </c>
      <c r="AN783" s="24" t="inlineStr">
        <is>
          <t>CALL</t>
        </is>
      </c>
      <c r="AO783" s="24" t="inlineStr">
        <is>
          <t>QUALIFIED</t>
        </is>
      </c>
      <c r="AP783" s="24" t="inlineStr">
        <is>
          <t>UTSA Roadrunners</t>
        </is>
      </c>
      <c r="AQ783" s="24" t="inlineStr">
        <is>
          <t>UTSA Roadrunners</t>
        </is>
      </c>
      <c r="AR783" s="24" t="inlineStr">
        <is>
          <t>UTSA Roadrunners</t>
        </is>
      </c>
      <c r="AS783" s="24" t="inlineStr">
        <is>
          <t>Rice Owls</t>
        </is>
      </c>
      <c r="AT783" s="24" t="inlineStr">
        <is>
          <t>Rice Owls</t>
        </is>
      </c>
      <c r="AU783" s="24" t="inlineStr">
        <is>
          <t>Rice Owls</t>
        </is>
      </c>
      <c r="AV783" s="24" t="n"/>
      <c r="AW783" s="24" t="n"/>
      <c r="AX783" s="24" t="inlineStr">
        <is>
          <t>statistical_model</t>
        </is>
      </c>
      <c r="AY783" s="24" t="n"/>
      <c r="AZ783" s="24" t="inlineStr">
        <is>
          <t>shadow_qualified</t>
        </is>
      </c>
      <c r="BA783" s="24" t="inlineStr">
        <is>
          <t>1d168f11d221cd3c</t>
        </is>
      </c>
      <c r="BB783" s="24" t="inlineStr">
        <is>
          <t>cfb_key_number_engine</t>
        </is>
      </c>
      <c r="BC783" s="24" t="inlineStr">
        <is>
          <t>cfb-total-v1</t>
        </is>
      </c>
      <c r="BD783" s="24" t="inlineStr">
        <is>
          <t>1d168f11d221cd3c</t>
        </is>
      </c>
      <c r="BE783" s="24" t="inlineStr">
        <is>
          <t>cfb-v1</t>
        </is>
      </c>
      <c r="BF783" s="24" t="inlineStr">
        <is>
          <t>1</t>
        </is>
      </c>
      <c r="BG783" s="24" t="inlineStr">
        <is>
          <t>1d168f11d221cd3c</t>
        </is>
      </c>
      <c r="BH783" s="24" t="inlineStr">
        <is>
          <t>2026-10-03T22:32:35.686759+00:00</t>
        </is>
      </c>
      <c r="BI783" s="24" t="inlineStr">
        <is>
          <t>["same_event","same_team_same_day","same_league_same_day"]</t>
        </is>
      </c>
      <c r="BJ783" s="25" t="n">
        <v>56.5</v>
      </c>
      <c r="BK783" s="26" t="n">
        <v>-108</v>
      </c>
      <c r="BL783" s="27" t="n">
        <v>1.925926</v>
      </c>
      <c r="BM783" s="28" t="n">
        <v>0.519231</v>
      </c>
      <c r="BN783" s="28" t="n"/>
      <c r="BO783" s="28" t="n"/>
      <c r="BP783" s="25" t="n"/>
      <c r="BQ783" s="27" t="n"/>
      <c r="BR783" s="28" t="n"/>
      <c r="BS783" s="28" t="n"/>
      <c r="BT783" s="28" t="n"/>
      <c r="BU783" s="25" t="n"/>
      <c r="BV783" s="29" t="n"/>
      <c r="BW783" s="24" t="n"/>
      <c r="BX783" s="30" t="n"/>
      <c r="BY783" s="27" t="n"/>
      <c r="BZ783" s="24" t="n"/>
      <c r="CA783" s="31" t="n"/>
      <c r="CB783" s="24" t="n"/>
      <c r="CC783" s="24" t="n"/>
      <c r="CD783" s="24" t="n"/>
      <c r="CE783" s="24" t="n"/>
      <c r="CF783" s="24" t="n"/>
      <c r="CG783" s="24" t="n"/>
      <c r="CH783" s="24" t="n"/>
      <c r="CI783" s="24" t="n"/>
      <c r="CJ783" s="24" t="n"/>
      <c r="CK783" s="24" t="n"/>
      <c r="CL783" s="24" t="n"/>
      <c r="CM783" s="24" t="n"/>
      <c r="CN783" s="24" t="n"/>
      <c r="CO783" s="24" t="n"/>
      <c r="CP783" s="24" t="n"/>
      <c r="CQ783" s="24" t="n"/>
      <c r="CR783" s="24" t="n"/>
      <c r="CS783" s="24" t="inlineStr">
        <is>
          <t>True</t>
        </is>
      </c>
      <c r="CT783" s="24" t="n"/>
      <c r="CU783" s="24" t="n"/>
      <c r="CV783" s="24" t="n"/>
      <c r="CW783" s="24" t="n"/>
      <c r="CX783" s="24" t="n"/>
      <c r="CY783" s="24" t="n"/>
      <c r="CZ783" s="24" t="n"/>
      <c r="DA783" s="24" t="n"/>
      <c r="DB783" s="24" t="n"/>
      <c r="DC783" s="24" t="n"/>
      <c r="DD783" s="24" t="n"/>
      <c r="DE783" s="24" t="n"/>
      <c r="DF783" s="24" t="n"/>
      <c r="DG783" s="24" t="n"/>
      <c r="DH783" s="24" t="n"/>
      <c r="DI783" s="24" t="n"/>
      <c r="DJ783" s="24" t="inlineStr">
        <is>
          <t>0.519231</t>
        </is>
      </c>
      <c r="DK783" s="24" t="n"/>
      <c r="DL783" s="24" t="n"/>
      <c r="DM783" s="24" t="n"/>
      <c r="DN783" s="24" t="n"/>
      <c r="DO783" s="24" t="n"/>
      <c r="DP783" s="24" t="n"/>
      <c r="DQ783" s="24" t="inlineStr">
        <is>
          <t>{"artifact_hash": "1d168f11d221cd3c", "event_id": "401862788", "event_start_utc": "2026-10-03T23:00Z", "features": {"altitude_fatigue_penalty": 0.0, "away_team": "UTSA Roadrunners", "efficiency_gap": 0.0, "elo_away": 1534.1, "elo_home": 1242.5, "elo_home_win_prob": 0.2135, "event_id": "401862788", "game_start_utc": "2026-10-03T23:00Z", "home_field_advantage_points": 2.8, "home_team": "Rice Owls", "is_dome": false, "is_fbs_vs_fcs": false, "is_neutral_site": false, "projected_away_points": 31.5, "projected_home_points": 22.2, "projected_margin_home": -9.2, "projected_possessions": 12.4, "projected_total": 53.7, "stadium_elevation_ft": 50, "travel_distance_miles": 186.0, "uncertainty": 0.18, "weather_total_adjustment": 0.0}, "historical_source_observation_times_verified": false, "inference_inputs": {"engine_source_sha256": "449ba2f0e86fa9c445730076a0e0bf100fb4914620be53c75c6f3bfe24298f3f", "mu_away": 31.5, "mu_home": 22.2,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126069141830563837226607700469358795527}, "uinteger": 0}, "spread_home_line": 12.5, "total_line": 56.5}, "market_type": "total", "model_version": "cfb-total-v1", "observed_at_utc": "2026-10-03T22:32:35.686759+00:00", "probabilities": {"over": 0.423067, "push": 0.0, "under": 0.576933}, "replay_scope": "Full precision score means, exact engine parameters and original RNG state; upstream feature construction not certified.", "schema": "cfb-joint-replay-v1", "snapshot_hash": "657838c27f43c97eb3a7c64b4eb28064420feeee7691cdbb3e647ecd1abf0675", "sport": "NCAAF"}</t>
        </is>
      </c>
    </row>
    <row r="784" ht="36" customHeight="1">
      <c r="A784" s="24" t="inlineStr">
        <is>
          <t>0017922f90c64156</t>
        </is>
      </c>
      <c r="B784" s="24" t="inlineStr">
        <is>
          <t>2026-10-03T22:32:35.686759Z</t>
        </is>
      </c>
      <c r="C784" s="24" t="inlineStr">
        <is>
          <t>2026-10-03T23:00Z</t>
        </is>
      </c>
      <c r="D784" s="24" t="inlineStr">
        <is>
          <t>401869942</t>
        </is>
      </c>
      <c r="E784" s="24" t="inlineStr">
        <is>
          <t>NCAAF</t>
        </is>
      </c>
      <c r="F784" s="24" t="inlineStr">
        <is>
          <t>Georgia Southern Eagles</t>
        </is>
      </c>
      <c r="G784" s="24" t="inlineStr">
        <is>
          <t>Coastal Carolina Chanticleers</t>
        </is>
      </c>
      <c r="H784" s="24" t="inlineStr">
        <is>
          <t>moneyline</t>
        </is>
      </c>
      <c r="I784" s="24" t="inlineStr">
        <is>
          <t>away</t>
        </is>
      </c>
      <c r="J784" s="25" t="n"/>
      <c r="K784" s="24" t="inlineStr">
        <is>
          <t>espn_consensus</t>
        </is>
      </c>
      <c r="L784" s="26" t="n">
        <v>-125</v>
      </c>
      <c r="M784" s="27" t="n">
        <v>1.8</v>
      </c>
      <c r="N784" s="28" t="n">
        <v>0.555556</v>
      </c>
      <c r="O784" s="28" t="n">
        <v>0.645077</v>
      </c>
      <c r="P784" s="28" t="n">
        <v>0.18</v>
      </c>
      <c r="Q784" s="28" t="n">
        <v>0.089521</v>
      </c>
      <c r="R784" s="26" t="n">
        <v>0</v>
      </c>
      <c r="S784" s="29" t="n">
        <v>1</v>
      </c>
      <c r="T784" s="24" t="inlineStr">
        <is>
          <t>college-football-v1</t>
        </is>
      </c>
      <c r="U784" s="24" t="inlineStr">
        <is>
          <t>settled</t>
        </is>
      </c>
      <c r="V784" s="24" t="inlineStr">
        <is>
          <t>win</t>
        </is>
      </c>
      <c r="W784" s="26" t="n">
        <v>31</v>
      </c>
      <c r="X784" s="26" t="n">
        <v>24</v>
      </c>
      <c r="Y784" s="25" t="n"/>
      <c r="Z784" s="26" t="n"/>
      <c r="AA784" s="28" t="n"/>
      <c r="AB784" s="28" t="n"/>
      <c r="AC784" s="30" t="n">
        <v>0.8</v>
      </c>
      <c r="AD784" s="24" t="inlineStr">
        <is>
          <t>2026-10-04T20:44:41.922806Z</t>
        </is>
      </c>
      <c r="AE784" s="31" t="inlineStr">
        <is>
          <t>CFB Joint Model (negative_binomial): proj score Georgia Southern Eagles 30.2 @ Coastal Carolina Chanticleers 23.1 (Margin -7.0). Possessions: 12.4, HFA: +2.8 pts.</t>
        </is>
      </c>
      <c r="AF784" s="31" t="inlineStr">
        <is>
          <t>College football model; multi-market (moneyline, spread, total).</t>
        </is>
      </c>
      <c r="AG784" s="24" t="inlineStr">
        <is>
          <t>not_applicable</t>
        </is>
      </c>
      <c r="AH784" s="24" t="n"/>
      <c r="AI784" s="31" t="n"/>
      <c r="AJ784" s="31" t="n"/>
      <c r="AK784" s="24" t="inlineStr">
        <is>
          <t>model_qualified</t>
        </is>
      </c>
      <c r="AL784" s="26" t="n">
        <v>4</v>
      </c>
      <c r="AM784" s="24" t="inlineStr">
        <is>
          <t>QUALIFIED_SHADOW_CALL</t>
        </is>
      </c>
      <c r="AN784" s="24" t="inlineStr">
        <is>
          <t>CALL</t>
        </is>
      </c>
      <c r="AO784" s="24" t="inlineStr">
        <is>
          <t>QUALIFIED</t>
        </is>
      </c>
      <c r="AP784" s="24" t="inlineStr">
        <is>
          <t>Georgia Southern Eagles</t>
        </is>
      </c>
      <c r="AQ784" s="24" t="inlineStr">
        <is>
          <t>Georgia Southern Eagles</t>
        </is>
      </c>
      <c r="AR784" s="24" t="inlineStr">
        <is>
          <t>Georgia Southern Eagles</t>
        </is>
      </c>
      <c r="AS784" s="24" t="inlineStr">
        <is>
          <t>Coastal Carolina Chanticleers</t>
        </is>
      </c>
      <c r="AT784" s="24" t="inlineStr">
        <is>
          <t>Coastal Carolina Chanticleers</t>
        </is>
      </c>
      <c r="AU784" s="24" t="inlineStr">
        <is>
          <t>Coastal Carolina Chanticleers</t>
        </is>
      </c>
      <c r="AV784" s="24" t="n"/>
      <c r="AW784" s="24" t="n"/>
      <c r="AX784" s="24" t="inlineStr">
        <is>
          <t>statistical_model</t>
        </is>
      </c>
      <c r="AY784" s="24" t="n"/>
      <c r="AZ784" s="24" t="inlineStr">
        <is>
          <t>shadow_qualified</t>
        </is>
      </c>
      <c r="BA784" s="24" t="inlineStr">
        <is>
          <t>1d168f11d221cd3c</t>
        </is>
      </c>
      <c r="BB784" s="24" t="inlineStr">
        <is>
          <t>cfb_key_number_engine</t>
        </is>
      </c>
      <c r="BC784" s="24" t="inlineStr">
        <is>
          <t>college-football-v1</t>
        </is>
      </c>
      <c r="BD784" s="24" t="inlineStr">
        <is>
          <t>1d168f11d221cd3c</t>
        </is>
      </c>
      <c r="BE784" s="24" t="inlineStr">
        <is>
          <t>cfb-v1</t>
        </is>
      </c>
      <c r="BF784" s="24" t="inlineStr">
        <is>
          <t>1</t>
        </is>
      </c>
      <c r="BG784" s="24" t="inlineStr">
        <is>
          <t>1d168f11d221cd3c</t>
        </is>
      </c>
      <c r="BH784" s="24" t="inlineStr">
        <is>
          <t>2026-10-03T22:32:35.686759+00:00</t>
        </is>
      </c>
      <c r="BI784" s="24" t="inlineStr">
        <is>
          <t>["same_event","same_team_same_day","same_league_same_day"]</t>
        </is>
      </c>
      <c r="BJ784" s="25" t="n"/>
      <c r="BK784" s="26" t="n">
        <v>-125</v>
      </c>
      <c r="BL784" s="27" t="n">
        <v>1.8</v>
      </c>
      <c r="BM784" s="28" t="n">
        <v>0.555556</v>
      </c>
      <c r="BN784" s="28" t="n"/>
      <c r="BO784" s="28" t="n"/>
      <c r="BP784" s="25" t="n"/>
      <c r="BQ784" s="27" t="n"/>
      <c r="BR784" s="28" t="n"/>
      <c r="BS784" s="28" t="n"/>
      <c r="BT784" s="28" t="n"/>
      <c r="BU784" s="25" t="n"/>
      <c r="BV784" s="29" t="n"/>
      <c r="BW784" s="24" t="n"/>
      <c r="BX784" s="30" t="n"/>
      <c r="BY784" s="27" t="n"/>
      <c r="BZ784" s="24" t="n"/>
      <c r="CA784" s="31" t="n"/>
      <c r="CB784" s="24" t="n"/>
      <c r="CC784" s="24" t="n"/>
      <c r="CD784" s="24" t="n"/>
      <c r="CE784" s="24" t="n"/>
      <c r="CF784" s="24" t="n"/>
      <c r="CG784" s="24" t="n"/>
      <c r="CH784" s="24" t="n"/>
      <c r="CI784" s="24" t="n"/>
      <c r="CJ784" s="24" t="n"/>
      <c r="CK784" s="24" t="n"/>
      <c r="CL784" s="24" t="n"/>
      <c r="CM784" s="24" t="n"/>
      <c r="CN784" s="24" t="n"/>
      <c r="CO784" s="24" t="n"/>
      <c r="CP784" s="24" t="n"/>
      <c r="CQ784" s="24" t="n"/>
      <c r="CR784" s="24" t="n"/>
      <c r="CS784" s="24" t="inlineStr">
        <is>
          <t>True</t>
        </is>
      </c>
      <c r="CT784" s="24" t="n"/>
      <c r="CU784" s="24" t="n"/>
      <c r="CV784" s="24" t="n"/>
      <c r="CW784" s="24" t="n"/>
      <c r="CX784" s="24" t="n"/>
      <c r="CY784" s="24" t="n"/>
      <c r="CZ784" s="24" t="n"/>
      <c r="DA784" s="24" t="n"/>
      <c r="DB784" s="24" t="n"/>
      <c r="DC784" s="24" t="n"/>
      <c r="DD784" s="24" t="n"/>
      <c r="DE784" s="24" t="n"/>
      <c r="DF784" s="24" t="n"/>
      <c r="DG784" s="24" t="n"/>
      <c r="DH784" s="24" t="n"/>
      <c r="DI784" s="24" t="n"/>
      <c r="DJ784" s="24" t="inlineStr">
        <is>
          <t>0.555556</t>
        </is>
      </c>
      <c r="DK784" s="24" t="n"/>
      <c r="DL784" s="24" t="n"/>
      <c r="DM784" s="24" t="n"/>
      <c r="DN784" s="24" t="n"/>
      <c r="DO784" s="24" t="n"/>
      <c r="DP784" s="24" t="n"/>
      <c r="DQ784" s="24" t="inlineStr">
        <is>
          <t>{"artifact_hash": "1d168f11d221cd3c", "event_id": "401869942", "event_start_utc": "2026-10-03T23:00Z", "features": {"altitude_fatigue_penalty": 0.0, "away_team": "Georgia Southern Eagles", "efficiency_gap": -0.194, "elo_away": 1535.0, "elo_home": 1297.7, "elo_home_win_prob": 0.2706, "event_id": "401869942", "game_start_utc": "2026-10-03T23:00Z", "home_field_advantage_points": 2.8, "home_team": "Coastal Carolina Chanticleers", "is_dome": false, "is_fbs_vs_fcs": false, "is_neutral_site": false, "projected_away_points": 30.2, "projected_home_points": 23.1, "projected_margin_home": -7.0, "projected_possessions": 12.4, "projected_total": 53.3, "stadium_elevation_ft": 40, "travel_distance_miles": 186.0, "uncertainty": 0.18, "weather_total_adjustment": 0.0}, "historical_source_observation_times_verified": false, "inference_inputs": {"engine_source_sha256": "449ba2f0e86fa9c445730076a0e0bf100fb4914620be53c75c6f3bfe24298f3f", "mu_away": 30.2, "mu_home": 23.1,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249388053906502629116271026849537997183}, "uinteger": 0}, "spread_home_line": 2.5, "total_line": 53.5}, "market_type": "moneyline", "model_version": "college-football-v1", "observed_at_utc": "2026-10-03T22:32:35.686759+00:00", "probabilities": {"away": 0.645077, "home": 0.354923}, "replay_scope": "Full precision score means, exact engine parameters and original RNG state; upstream feature construction not certified.", "schema": "cfb-joint-replay-v1", "snapshot_hash": "0118b5cded65fbb516ba9f7eb537276b08ded23fdbd261ccb122a0056aaf76d0", "sport": "NCAAF"}</t>
        </is>
      </c>
    </row>
    <row r="785" ht="36" customHeight="1">
      <c r="A785" s="24" t="inlineStr">
        <is>
          <t>dad0db48e2a64c60</t>
        </is>
      </c>
      <c r="B785" s="24" t="inlineStr">
        <is>
          <t>2026-10-03T22:32:35.686759Z</t>
        </is>
      </c>
      <c r="C785" s="24" t="inlineStr">
        <is>
          <t>2026-10-03T23:00Z</t>
        </is>
      </c>
      <c r="D785" s="24" t="inlineStr">
        <is>
          <t>401869942</t>
        </is>
      </c>
      <c r="E785" s="24" t="inlineStr">
        <is>
          <t>NCAAF</t>
        </is>
      </c>
      <c r="F785" s="24" t="inlineStr">
        <is>
          <t>Georgia Southern Eagles</t>
        </is>
      </c>
      <c r="G785" s="24" t="inlineStr">
        <is>
          <t>Coastal Carolina Chanticleers</t>
        </is>
      </c>
      <c r="H785" s="24" t="inlineStr">
        <is>
          <t>spread</t>
        </is>
      </c>
      <c r="I785" s="24" t="inlineStr">
        <is>
          <t>away</t>
        </is>
      </c>
      <c r="J785" s="25" t="n">
        <v>-2.5</v>
      </c>
      <c r="K785" s="24" t="inlineStr">
        <is>
          <t>espn_consensus</t>
        </is>
      </c>
      <c r="L785" s="26" t="n">
        <v>-105</v>
      </c>
      <c r="M785" s="27" t="n">
        <v>1.952381</v>
      </c>
      <c r="N785" s="28" t="n">
        <v>0.512195</v>
      </c>
      <c r="O785" s="28" t="n">
        <v>0.596133</v>
      </c>
      <c r="P785" s="28" t="n">
        <v>0.18</v>
      </c>
      <c r="Q785" s="28" t="n">
        <v>0.083938</v>
      </c>
      <c r="R785" s="26" t="n">
        <v>0</v>
      </c>
      <c r="S785" s="29" t="n">
        <v>1</v>
      </c>
      <c r="T785" s="24" t="inlineStr">
        <is>
          <t>cfb-spread-v1</t>
        </is>
      </c>
      <c r="U785" s="24" t="inlineStr">
        <is>
          <t>settled</t>
        </is>
      </c>
      <c r="V785" s="24" t="inlineStr">
        <is>
          <t>win</t>
        </is>
      </c>
      <c r="W785" s="26" t="n">
        <v>31</v>
      </c>
      <c r="X785" s="26" t="n">
        <v>24</v>
      </c>
      <c r="Y785" s="25" t="n"/>
      <c r="Z785" s="26" t="n"/>
      <c r="AA785" s="28" t="n"/>
      <c r="AB785" s="28" t="n"/>
      <c r="AC785" s="30" t="n">
        <v>0.9524</v>
      </c>
      <c r="AD785" s="24" t="inlineStr">
        <is>
          <t>2026-10-04T20:44:48.062180Z</t>
        </is>
      </c>
      <c r="AE785" s="31" t="inlineStr">
        <is>
          <t>Projected home margin -7.0 pts. Spread: Home +2.5 / Away -2.5 -&gt; P(Away cover)=0.596, P(Home cover)=0.404, P(Push)=0.000.</t>
        </is>
      </c>
      <c r="AF785" s="31" t="inlineStr">
        <is>
          <t>College football model; multi-market (moneyline, spread, total).</t>
        </is>
      </c>
      <c r="AG785" s="24" t="inlineStr">
        <is>
          <t>not_applicable</t>
        </is>
      </c>
      <c r="AH785" s="24" t="n"/>
      <c r="AI785" s="31" t="n"/>
      <c r="AJ785" s="31" t="n"/>
      <c r="AK785" s="24" t="inlineStr">
        <is>
          <t>model_qualified</t>
        </is>
      </c>
      <c r="AL785" s="26" t="n">
        <v>4</v>
      </c>
      <c r="AM785" s="24" t="inlineStr">
        <is>
          <t>QUALIFIED_SHADOW_CALL</t>
        </is>
      </c>
      <c r="AN785" s="24" t="inlineStr">
        <is>
          <t>CALL</t>
        </is>
      </c>
      <c r="AO785" s="24" t="inlineStr">
        <is>
          <t>QUALIFIED</t>
        </is>
      </c>
      <c r="AP785" s="24" t="inlineStr">
        <is>
          <t>Georgia Southern Eagles</t>
        </is>
      </c>
      <c r="AQ785" s="24" t="inlineStr">
        <is>
          <t>Georgia Southern Eagles</t>
        </is>
      </c>
      <c r="AR785" s="24" t="inlineStr">
        <is>
          <t>Georgia Southern Eagles</t>
        </is>
      </c>
      <c r="AS785" s="24" t="inlineStr">
        <is>
          <t>Coastal Carolina Chanticleers</t>
        </is>
      </c>
      <c r="AT785" s="24" t="inlineStr">
        <is>
          <t>Coastal Carolina Chanticleers</t>
        </is>
      </c>
      <c r="AU785" s="24" t="inlineStr">
        <is>
          <t>Coastal Carolina Chanticleers</t>
        </is>
      </c>
      <c r="AV785" s="24" t="n"/>
      <c r="AW785" s="24" t="n"/>
      <c r="AX785" s="24" t="inlineStr">
        <is>
          <t>statistical_model</t>
        </is>
      </c>
      <c r="AY785" s="24" t="n"/>
      <c r="AZ785" s="24" t="inlineStr">
        <is>
          <t>shadow_qualified</t>
        </is>
      </c>
      <c r="BA785" s="24" t="inlineStr">
        <is>
          <t>1d168f11d221cd3c</t>
        </is>
      </c>
      <c r="BB785" s="24" t="inlineStr">
        <is>
          <t>cfb_key_number_engine</t>
        </is>
      </c>
      <c r="BC785" s="24" t="inlineStr">
        <is>
          <t>cfb-spread-v1</t>
        </is>
      </c>
      <c r="BD785" s="24" t="inlineStr">
        <is>
          <t>1d168f11d221cd3c</t>
        </is>
      </c>
      <c r="BE785" s="24" t="inlineStr">
        <is>
          <t>cfb-v1</t>
        </is>
      </c>
      <c r="BF785" s="24" t="inlineStr">
        <is>
          <t>1</t>
        </is>
      </c>
      <c r="BG785" s="24" t="inlineStr">
        <is>
          <t>1d168f11d221cd3c</t>
        </is>
      </c>
      <c r="BH785" s="24" t="inlineStr">
        <is>
          <t>2026-10-03T22:32:35.686759+00:00</t>
        </is>
      </c>
      <c r="BI785" s="24" t="inlineStr">
        <is>
          <t>["same_event","same_team_same_day","same_league_same_day"]</t>
        </is>
      </c>
      <c r="BJ785" s="25" t="n">
        <v>-2.5</v>
      </c>
      <c r="BK785" s="26" t="n">
        <v>-105</v>
      </c>
      <c r="BL785" s="27" t="n">
        <v>1.952381</v>
      </c>
      <c r="BM785" s="28" t="n">
        <v>0.512195</v>
      </c>
      <c r="BN785" s="28" t="n"/>
      <c r="BO785" s="28" t="n"/>
      <c r="BP785" s="25" t="n"/>
      <c r="BQ785" s="27" t="n"/>
      <c r="BR785" s="28" t="n"/>
      <c r="BS785" s="28" t="n"/>
      <c r="BT785" s="28" t="n"/>
      <c r="BU785" s="25" t="n"/>
      <c r="BV785" s="29" t="n"/>
      <c r="BW785" s="24" t="n"/>
      <c r="BX785" s="30" t="n"/>
      <c r="BY785" s="27" t="n"/>
      <c r="BZ785" s="24" t="n"/>
      <c r="CA785" s="31" t="n"/>
      <c r="CB785" s="24" t="n"/>
      <c r="CC785" s="24" t="n"/>
      <c r="CD785" s="24" t="n"/>
      <c r="CE785" s="24" t="n"/>
      <c r="CF785" s="24" t="n"/>
      <c r="CG785" s="24" t="n"/>
      <c r="CH785" s="24" t="n"/>
      <c r="CI785" s="24" t="n"/>
      <c r="CJ785" s="24" t="n"/>
      <c r="CK785" s="24" t="n"/>
      <c r="CL785" s="24" t="n"/>
      <c r="CM785" s="24" t="n"/>
      <c r="CN785" s="24" t="n"/>
      <c r="CO785" s="24" t="n"/>
      <c r="CP785" s="24" t="n"/>
      <c r="CQ785" s="24" t="n"/>
      <c r="CR785" s="24" t="n"/>
      <c r="CS785" s="24" t="inlineStr">
        <is>
          <t>True</t>
        </is>
      </c>
      <c r="CT785" s="24" t="n"/>
      <c r="CU785" s="24" t="n"/>
      <c r="CV785" s="24" t="n"/>
      <c r="CW785" s="24" t="n"/>
      <c r="CX785" s="24" t="n"/>
      <c r="CY785" s="24" t="n"/>
      <c r="CZ785" s="24" t="n"/>
      <c r="DA785" s="24" t="n"/>
      <c r="DB785" s="24" t="n"/>
      <c r="DC785" s="24" t="n"/>
      <c r="DD785" s="24" t="n"/>
      <c r="DE785" s="24" t="n"/>
      <c r="DF785" s="24" t="n"/>
      <c r="DG785" s="24" t="n"/>
      <c r="DH785" s="24" t="n"/>
      <c r="DI785" s="24" t="n"/>
      <c r="DJ785" s="24" t="inlineStr">
        <is>
          <t>0.512195</t>
        </is>
      </c>
      <c r="DK785" s="24" t="n"/>
      <c r="DL785" s="24" t="n"/>
      <c r="DM785" s="24" t="n"/>
      <c r="DN785" s="24" t="n"/>
      <c r="DO785" s="24" t="n"/>
      <c r="DP785" s="24" t="n"/>
      <c r="DQ785" s="24" t="inlineStr">
        <is>
          <t>{"artifact_hash": "1d168f11d221cd3c", "event_id": "401869942", "event_start_utc": "2026-10-03T23:00Z", "features": {"altitude_fatigue_penalty": 0.0, "away_team": "Georgia Southern Eagles", "efficiency_gap": -0.194, "elo_away": 1535.0, "elo_home": 1297.7, "elo_home_win_prob": 0.2706, "event_id": "401869942", "game_start_utc": "2026-10-03T23:00Z", "home_field_advantage_points": 2.8, "home_team": "Coastal Carolina Chanticleers", "is_dome": false, "is_fbs_vs_fcs": false, "is_neutral_site": false, "projected_away_points": 30.2, "projected_home_points": 23.1, "projected_margin_home": -7.0, "projected_possessions": 12.4, "projected_total": 53.3, "stadium_elevation_ft": 40, "travel_distance_miles": 186.0, "uncertainty": 0.18, "weather_total_adjustment": 0.0}, "historical_source_observation_times_verified": false, "inference_inputs": {"engine_source_sha256": "449ba2f0e86fa9c445730076a0e0bf100fb4914620be53c75c6f3bfe24298f3f", "mu_away": 30.2, "mu_home": 23.1,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249388053906502629116271026849537997183}, "uinteger": 0}, "spread_home_line": 2.5, "total_line": 53.5}, "market_type": "spread", "model_version": "cfb-spread-v1", "observed_at_utc": "2026-10-03T22:32:35.686759+00:00", "probabilities": {"away": 0.596133, "home": 0.403867, "push": 0.0}, "replay_scope": "Full precision score means, exact engine parameters and original RNG state; upstream feature construction not certified.", "schema": "cfb-joint-replay-v1", "snapshot_hash": "c03fa1c599c7bbce86aebb3ba62b49dd4a38323b5481fbdcd56f8bd38c748ba9", "sport": "NCAAF"}</t>
        </is>
      </c>
    </row>
    <row r="786" ht="36" customHeight="1">
      <c r="A786" s="24" t="inlineStr">
        <is>
          <t>e268ebb3d4d24700</t>
        </is>
      </c>
      <c r="B786" s="24" t="inlineStr">
        <is>
          <t>2026-10-03T22:32:35.686759Z</t>
        </is>
      </c>
      <c r="C786" s="24" t="inlineStr">
        <is>
          <t>2026-10-03T23:00Z</t>
        </is>
      </c>
      <c r="D786" s="24" t="inlineStr">
        <is>
          <t>401869942</t>
        </is>
      </c>
      <c r="E786" s="24" t="inlineStr">
        <is>
          <t>NCAAF</t>
        </is>
      </c>
      <c r="F786" s="24" t="inlineStr">
        <is>
          <t>Georgia Southern Eagles</t>
        </is>
      </c>
      <c r="G786" s="24" t="inlineStr">
        <is>
          <t>Coastal Carolina Chanticleers</t>
        </is>
      </c>
      <c r="H786" s="24" t="inlineStr">
        <is>
          <t>total</t>
        </is>
      </c>
      <c r="I786" s="24" t="inlineStr">
        <is>
          <t>under</t>
        </is>
      </c>
      <c r="J786" s="25" t="n">
        <v>53.5</v>
      </c>
      <c r="K786" s="24" t="inlineStr">
        <is>
          <t>espn_consensus</t>
        </is>
      </c>
      <c r="L786" s="26" t="n">
        <v>-115</v>
      </c>
      <c r="M786" s="27" t="n">
        <v>1.869565</v>
      </c>
      <c r="N786" s="28" t="n">
        <v>0.534884</v>
      </c>
      <c r="O786" s="28" t="n">
        <v>0.540733</v>
      </c>
      <c r="P786" s="28" t="n">
        <v>0.18</v>
      </c>
      <c r="Q786" s="28" t="n">
        <v>0.005849</v>
      </c>
      <c r="R786" s="26" t="n">
        <v>0</v>
      </c>
      <c r="S786" s="29" t="n">
        <v>1</v>
      </c>
      <c r="T786" s="24" t="inlineStr">
        <is>
          <t>cfb-total-v1</t>
        </is>
      </c>
      <c r="U786" s="24" t="inlineStr">
        <is>
          <t>settled</t>
        </is>
      </c>
      <c r="V786" s="24" t="inlineStr">
        <is>
          <t>loss</t>
        </is>
      </c>
      <c r="W786" s="26" t="n">
        <v>31</v>
      </c>
      <c r="X786" s="26" t="n">
        <v>24</v>
      </c>
      <c r="Y786" s="25" t="n"/>
      <c r="Z786" s="26" t="n"/>
      <c r="AA786" s="28" t="n"/>
      <c r="AB786" s="28" t="n"/>
      <c r="AC786" s="30" t="n">
        <v>-1</v>
      </c>
      <c r="AD786" s="24" t="inlineStr">
        <is>
          <t>2026-10-04T20:44:54.767562Z</t>
        </is>
      </c>
      <c r="AE786" s="31" t="inlineStr">
        <is>
          <t>Projected total 53.3 pts (Weather adj: +0.0 pts). Total line 53.5 -&gt; P(Over)=0.459, P(Under)=0.541, P(Push)=0.000.</t>
        </is>
      </c>
      <c r="AF786" s="31" t="inlineStr">
        <is>
          <t>College football model; multi-market (moneyline, spread, total).</t>
        </is>
      </c>
      <c r="AG786" s="24" t="inlineStr">
        <is>
          <t>review_required</t>
        </is>
      </c>
      <c r="AH786" s="24" t="n"/>
      <c r="AI786" s="31" t="n"/>
      <c r="AJ786" s="31" t="n"/>
      <c r="AK786" s="24" t="inlineStr">
        <is>
          <t>paper_call</t>
        </is>
      </c>
      <c r="AL786" s="26" t="n">
        <v>4</v>
      </c>
      <c r="AM786" s="24" t="inlineStr">
        <is>
          <t>RESEARCH_OBSERVATION</t>
        </is>
      </c>
      <c r="AN786" s="24" t="inlineStr">
        <is>
          <t>CALL</t>
        </is>
      </c>
      <c r="AO786" s="24" t="inlineStr">
        <is>
          <t>PAPER_CALL_LOW_EDGE</t>
        </is>
      </c>
      <c r="AP786" s="24" t="inlineStr">
        <is>
          <t>Georgia Southern Eagles</t>
        </is>
      </c>
      <c r="AQ786" s="24" t="inlineStr">
        <is>
          <t>Georgia Southern Eagles</t>
        </is>
      </c>
      <c r="AR786" s="24" t="inlineStr">
        <is>
          <t>Georgia Southern Eagles</t>
        </is>
      </c>
      <c r="AS786" s="24" t="inlineStr">
        <is>
          <t>Coastal Carolina Chanticleers</t>
        </is>
      </c>
      <c r="AT786" s="24" t="inlineStr">
        <is>
          <t>Coastal Carolina Chanticleers</t>
        </is>
      </c>
      <c r="AU786" s="24" t="inlineStr">
        <is>
          <t>Coastal Carolina Chanticleers</t>
        </is>
      </c>
      <c r="AV786" s="24" t="n"/>
      <c r="AW786" s="24" t="n"/>
      <c r="AX786" s="24" t="inlineStr">
        <is>
          <t>statistical_model</t>
        </is>
      </c>
      <c r="AY786" s="24" t="n"/>
      <c r="AZ786" s="24" t="inlineStr">
        <is>
          <t>shadow_qualified</t>
        </is>
      </c>
      <c r="BA786" s="24" t="inlineStr">
        <is>
          <t>1d168f11d221cd3c</t>
        </is>
      </c>
      <c r="BB786" s="24" t="inlineStr">
        <is>
          <t>cfb_key_number_engine</t>
        </is>
      </c>
      <c r="BC786" s="24" t="inlineStr">
        <is>
          <t>cfb-total-v1</t>
        </is>
      </c>
      <c r="BD786" s="24" t="inlineStr">
        <is>
          <t>1d168f11d221cd3c</t>
        </is>
      </c>
      <c r="BE786" s="24" t="inlineStr">
        <is>
          <t>cfb-v1</t>
        </is>
      </c>
      <c r="BF786" s="24" t="inlineStr">
        <is>
          <t>1</t>
        </is>
      </c>
      <c r="BG786" s="24" t="inlineStr">
        <is>
          <t>1d168f11d221cd3c</t>
        </is>
      </c>
      <c r="BH786" s="24" t="inlineStr">
        <is>
          <t>2026-10-03T22:32:35.686759+00:00</t>
        </is>
      </c>
      <c r="BI786" s="24" t="inlineStr">
        <is>
          <t>["same_event","same_team_same_day","same_league_same_day"]</t>
        </is>
      </c>
      <c r="BJ786" s="25" t="n">
        <v>53.5</v>
      </c>
      <c r="BK786" s="26" t="n">
        <v>-115</v>
      </c>
      <c r="BL786" s="27" t="n">
        <v>1.869565</v>
      </c>
      <c r="BM786" s="28" t="n">
        <v>0.534884</v>
      </c>
      <c r="BN786" s="28" t="n"/>
      <c r="BO786" s="28" t="n"/>
      <c r="BP786" s="25" t="n"/>
      <c r="BQ786" s="27" t="n"/>
      <c r="BR786" s="28" t="n"/>
      <c r="BS786" s="28" t="n"/>
      <c r="BT786" s="28" t="n"/>
      <c r="BU786" s="25" t="n"/>
      <c r="BV786" s="29" t="n"/>
      <c r="BW786" s="24" t="n"/>
      <c r="BX786" s="30" t="n">
        <v>1</v>
      </c>
      <c r="BY786" s="27" t="n">
        <v>-1</v>
      </c>
      <c r="BZ786" s="24" t="inlineStr">
        <is>
          <t>2026-10-04T20:44:54.767562Z</t>
        </is>
      </c>
      <c r="CA786" s="31" t="inlineStr">
        <is>
          <t>fixed one-unit hypothetical scoring; no real exposure or execution</t>
        </is>
      </c>
      <c r="CB786" s="24" t="n"/>
      <c r="CC786" s="24" t="n"/>
      <c r="CD786" s="24" t="n"/>
      <c r="CE786" s="24" t="n"/>
      <c r="CF786" s="24" t="n"/>
      <c r="CG786" s="24" t="n"/>
      <c r="CH786" s="24" t="n"/>
      <c r="CI786" s="24" t="n"/>
      <c r="CJ786" s="24" t="n"/>
      <c r="CK786" s="24" t="n"/>
      <c r="CL786" s="24" t="n"/>
      <c r="CM786" s="24" t="n"/>
      <c r="CN786" s="24" t="n"/>
      <c r="CO786" s="24" t="n"/>
      <c r="CP786" s="24" t="n"/>
      <c r="CQ786" s="24" t="n"/>
      <c r="CR786" s="24" t="n"/>
      <c r="CS786" s="24" t="inlineStr">
        <is>
          <t>True</t>
        </is>
      </c>
      <c r="CT786" s="24" t="n"/>
      <c r="CU786" s="24" t="n"/>
      <c r="CV786" s="24" t="n"/>
      <c r="CW786" s="24" t="n"/>
      <c r="CX786" s="24" t="n"/>
      <c r="CY786" s="24" t="n"/>
      <c r="CZ786" s="24" t="n"/>
      <c r="DA786" s="24" t="n"/>
      <c r="DB786" s="24" t="n"/>
      <c r="DC786" s="24" t="n"/>
      <c r="DD786" s="24" t="n"/>
      <c r="DE786" s="24" t="n"/>
      <c r="DF786" s="24" t="n"/>
      <c r="DG786" s="24" t="n"/>
      <c r="DH786" s="24" t="n"/>
      <c r="DI786" s="24" t="n"/>
      <c r="DJ786" s="24" t="inlineStr">
        <is>
          <t>0.534884</t>
        </is>
      </c>
      <c r="DK786" s="24" t="n"/>
      <c r="DL786" s="24" t="n"/>
      <c r="DM786" s="24" t="n"/>
      <c r="DN786" s="24" t="n"/>
      <c r="DO786" s="24" t="n"/>
      <c r="DP786" s="24" t="n"/>
      <c r="DQ786" s="24" t="inlineStr">
        <is>
          <t>{"artifact_hash": "1d168f11d221cd3c", "event_id": "401869942", "event_start_utc": "2026-10-03T23:00Z", "features": {"altitude_fatigue_penalty": 0.0, "away_team": "Georgia Southern Eagles", "efficiency_gap": -0.194, "elo_away": 1535.0, "elo_home": 1297.7, "elo_home_win_prob": 0.2706, "event_id": "401869942", "game_start_utc": "2026-10-03T23:00Z", "home_field_advantage_points": 2.8, "home_team": "Coastal Carolina Chanticleers", "is_dome": false, "is_fbs_vs_fcs": false, "is_neutral_site": false, "projected_away_points": 30.2, "projected_home_points": 23.1, "projected_margin_home": -7.0, "projected_possessions": 12.4, "projected_total": 53.3, "stadium_elevation_ft": 40, "travel_distance_miles": 186.0, "uncertainty": 0.18, "weather_total_adjustment": 0.0}, "historical_source_observation_times_verified": false, "inference_inputs": {"engine_source_sha256": "449ba2f0e86fa9c445730076a0e0bf100fb4914620be53c75c6f3bfe24298f3f", "mu_away": 30.2, "mu_home": 23.1,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249388053906502629116271026849537997183}, "uinteger": 0}, "spread_home_line": 2.5, "total_line": 53.5}, "market_type": "total", "model_version": "cfb-total-v1", "observed_at_utc": "2026-10-03T22:32:35.686759+00:00", "probabilities": {"over": 0.459267, "push": 0.0, "under": 0.540733}, "replay_scope": "Full precision score means, exact engine parameters and original RNG state; upstream feature construction not certified.", "schema": "cfb-joint-replay-v1", "snapshot_hash": "03555a26e34b87cf37344587a1fbde321295d3ac05a25a25080dd9840211b696", "sport": "NCAAF"}</t>
        </is>
      </c>
    </row>
    <row r="787" ht="36" customHeight="1">
      <c r="A787" s="24" t="inlineStr">
        <is>
          <t>14dbbea15fcb4473</t>
        </is>
      </c>
      <c r="B787" s="24" t="inlineStr">
        <is>
          <t>2026-10-03T22:32:35.686759Z</t>
        </is>
      </c>
      <c r="C787" s="24" t="inlineStr">
        <is>
          <t>2026-10-03T23:00Z</t>
        </is>
      </c>
      <c r="D787" s="24" t="inlineStr">
        <is>
          <t>401871089</t>
        </is>
      </c>
      <c r="E787" s="24" t="inlineStr">
        <is>
          <t>NCAAF</t>
        </is>
      </c>
      <c r="F787" s="24" t="inlineStr">
        <is>
          <t>UL Monroe Warhawks</t>
        </is>
      </c>
      <c r="G787" s="24" t="inlineStr">
        <is>
          <t>South Alabama Jaguars</t>
        </is>
      </c>
      <c r="H787" s="24" t="inlineStr">
        <is>
          <t>moneyline</t>
        </is>
      </c>
      <c r="I787" s="24" t="inlineStr">
        <is>
          <t>home</t>
        </is>
      </c>
      <c r="J787" s="25" t="n"/>
      <c r="K787" s="24" t="inlineStr">
        <is>
          <t>espn_consensus</t>
        </is>
      </c>
      <c r="L787" s="26" t="n">
        <v>-575</v>
      </c>
      <c r="M787" s="27" t="n">
        <v>1.173913</v>
      </c>
      <c r="N787" s="28" t="n">
        <v>0.8518520000000001</v>
      </c>
      <c r="O787" s="28" t="n">
        <v>0.768248</v>
      </c>
      <c r="P787" s="28" t="n">
        <v>0.18</v>
      </c>
      <c r="Q787" s="28" t="n">
        <v>-0.083604</v>
      </c>
      <c r="R787" s="26" t="n">
        <v>0</v>
      </c>
      <c r="S787" s="29" t="n">
        <v>1</v>
      </c>
      <c r="T787" s="24" t="inlineStr">
        <is>
          <t>college-football-v1</t>
        </is>
      </c>
      <c r="U787" s="24" t="inlineStr">
        <is>
          <t>settled</t>
        </is>
      </c>
      <c r="V787" s="24" t="inlineStr">
        <is>
          <t>win</t>
        </is>
      </c>
      <c r="W787" s="26" t="n">
        <v>35</v>
      </c>
      <c r="X787" s="26" t="n">
        <v>52</v>
      </c>
      <c r="Y787" s="25" t="n"/>
      <c r="Z787" s="26" t="n"/>
      <c r="AA787" s="28" t="n"/>
      <c r="AB787" s="28" t="n"/>
      <c r="AC787" s="30" t="n">
        <v>0.1739</v>
      </c>
      <c r="AD787" s="24" t="inlineStr">
        <is>
          <t>2026-10-04T20:45:01.032321Z</t>
        </is>
      </c>
      <c r="AE787" s="31" t="inlineStr">
        <is>
          <t>CFB Joint Model (negative_binomial): proj score UL Monroe Warhawks 19.4 @ South Alabama Jaguars 33.1 (Margin +13.7). Possessions: 12.4, HFA: +2.8 pts.</t>
        </is>
      </c>
      <c r="AF787" s="31" t="inlineStr">
        <is>
          <t>College football model; multi-market (moneyline, spread, total).</t>
        </is>
      </c>
      <c r="AG787" s="24" t="inlineStr">
        <is>
          <t>not_applicable</t>
        </is>
      </c>
      <c r="AH787" s="24" t="n"/>
      <c r="AI787" s="31" t="n"/>
      <c r="AJ787" s="31" t="n"/>
      <c r="AK787" s="24" t="inlineStr">
        <is>
          <t>paper_call</t>
        </is>
      </c>
      <c r="AL787" s="26" t="n">
        <v>4</v>
      </c>
      <c r="AM787" s="24" t="inlineStr">
        <is>
          <t>RESEARCH_OBSERVATION</t>
        </is>
      </c>
      <c r="AN787" s="24" t="inlineStr">
        <is>
          <t>CALL</t>
        </is>
      </c>
      <c r="AO787" s="24" t="inlineStr">
        <is>
          <t>PAPER_CALL_LOW_EDGE</t>
        </is>
      </c>
      <c r="AP787" s="24" t="inlineStr">
        <is>
          <t>UL Monroe Warhawks</t>
        </is>
      </c>
      <c r="AQ787" s="24" t="inlineStr">
        <is>
          <t>UL Monroe Warhawks</t>
        </is>
      </c>
      <c r="AR787" s="24" t="inlineStr">
        <is>
          <t>UL Monroe Warhawks</t>
        </is>
      </c>
      <c r="AS787" s="24" t="inlineStr">
        <is>
          <t>South Alabama Jaguars</t>
        </is>
      </c>
      <c r="AT787" s="24" t="inlineStr">
        <is>
          <t>South Alabama Jaguars</t>
        </is>
      </c>
      <c r="AU787" s="24" t="inlineStr">
        <is>
          <t>South Alabama Jaguars</t>
        </is>
      </c>
      <c r="AV787" s="24" t="n"/>
      <c r="AW787" s="24" t="n"/>
      <c r="AX787" s="24" t="inlineStr">
        <is>
          <t>statistical_model</t>
        </is>
      </c>
      <c r="AY787" s="24" t="n"/>
      <c r="AZ787" s="24" t="inlineStr">
        <is>
          <t>shadow_qualified</t>
        </is>
      </c>
      <c r="BA787" s="24" t="inlineStr">
        <is>
          <t>1d168f11d221cd3c</t>
        </is>
      </c>
      <c r="BB787" s="24" t="inlineStr">
        <is>
          <t>cfb_key_number_engine</t>
        </is>
      </c>
      <c r="BC787" s="24" t="inlineStr">
        <is>
          <t>college-football-v1</t>
        </is>
      </c>
      <c r="BD787" s="24" t="inlineStr">
        <is>
          <t>1d168f11d221cd3c</t>
        </is>
      </c>
      <c r="BE787" s="24" t="inlineStr">
        <is>
          <t>cfb-v1</t>
        </is>
      </c>
      <c r="BF787" s="24" t="inlineStr">
        <is>
          <t>1</t>
        </is>
      </c>
      <c r="BG787" s="24" t="inlineStr">
        <is>
          <t>1d168f11d221cd3c</t>
        </is>
      </c>
      <c r="BH787" s="24" t="inlineStr">
        <is>
          <t>2026-10-03T22:32:35.686759+00:00</t>
        </is>
      </c>
      <c r="BI787" s="24" t="inlineStr">
        <is>
          <t>["same_event","same_team_same_day","same_league_same_day"]</t>
        </is>
      </c>
      <c r="BJ787" s="25" t="n"/>
      <c r="BK787" s="26" t="n">
        <v>-575</v>
      </c>
      <c r="BL787" s="27" t="n">
        <v>1.173913</v>
      </c>
      <c r="BM787" s="28" t="n">
        <v>0.8518520000000001</v>
      </c>
      <c r="BN787" s="28" t="n"/>
      <c r="BO787" s="28" t="n"/>
      <c r="BP787" s="25" t="n"/>
      <c r="BQ787" s="27" t="n"/>
      <c r="BR787" s="28" t="n"/>
      <c r="BS787" s="28" t="n"/>
      <c r="BT787" s="28" t="n"/>
      <c r="BU787" s="25" t="n"/>
      <c r="BV787" s="29" t="n"/>
      <c r="BW787" s="24" t="n"/>
      <c r="BX787" s="30" t="n">
        <v>1</v>
      </c>
      <c r="BY787" s="27" t="n">
        <v>0.173913</v>
      </c>
      <c r="BZ787" s="24" t="inlineStr">
        <is>
          <t>2026-10-04T20:45:01.032321Z</t>
        </is>
      </c>
      <c r="CA787" s="31" t="inlineStr">
        <is>
          <t>fixed one-unit hypothetical scoring; no real exposure or execution</t>
        </is>
      </c>
      <c r="CB787" s="24" t="n"/>
      <c r="CC787" s="24" t="n"/>
      <c r="CD787" s="24" t="n"/>
      <c r="CE787" s="24" t="n"/>
      <c r="CF787" s="24" t="n"/>
      <c r="CG787" s="24" t="n"/>
      <c r="CH787" s="24" t="n"/>
      <c r="CI787" s="24" t="n"/>
      <c r="CJ787" s="24" t="n"/>
      <c r="CK787" s="24" t="n"/>
      <c r="CL787" s="24" t="n"/>
      <c r="CM787" s="24" t="n"/>
      <c r="CN787" s="24" t="n"/>
      <c r="CO787" s="24" t="n"/>
      <c r="CP787" s="24" t="n"/>
      <c r="CQ787" s="24" t="n"/>
      <c r="CR787" s="24" t="n"/>
      <c r="CS787" s="24" t="inlineStr">
        <is>
          <t>False</t>
        </is>
      </c>
      <c r="CT787" s="24" t="n"/>
      <c r="CU787" s="24" t="n"/>
      <c r="CV787" s="24" t="n"/>
      <c r="CW787" s="24" t="n"/>
      <c r="CX787" s="24" t="n"/>
      <c r="CY787" s="24" t="n"/>
      <c r="CZ787" s="24" t="n"/>
      <c r="DA787" s="24" t="n"/>
      <c r="DB787" s="24" t="n"/>
      <c r="DC787" s="24" t="n"/>
      <c r="DD787" s="24" t="n"/>
      <c r="DE787" s="24" t="n"/>
      <c r="DF787" s="24" t="n"/>
      <c r="DG787" s="24" t="n"/>
      <c r="DH787" s="24" t="n"/>
      <c r="DI787" s="24" t="n"/>
      <c r="DJ787" s="24" t="inlineStr">
        <is>
          <t>0.851852</t>
        </is>
      </c>
      <c r="DK787" s="24" t="n"/>
      <c r="DL787" s="24" t="n"/>
      <c r="DM787" s="24" t="n"/>
      <c r="DN787" s="24" t="n"/>
      <c r="DO787" s="24" t="n"/>
      <c r="DP787" s="24" t="n"/>
      <c r="DQ787" s="24" t="inlineStr">
        <is>
          <t>{"artifact_hash": "1d168f11d221cd3c", "event_id": "401871089", "event_start_utc": "2026-10-03T23:00Z", "features": {"altitude_fatigue_penalty": 0.0, "away_team": "UL Monroe Warhawks", "efficiency_gap": 2.226, "elo_away": 1138.8, "elo_home": 1408.7, "elo_home_win_prob": 0.8731, "event_id": "401871089", "game_start_utc": "2026-10-03T23:00Z", "home_field_advantage_points": 2.8, "home_team": "South Alabama Jaguars", "is_dome": false, "is_fbs_vs_fcs": false, "is_neutral_site": false, "projected_away_points": 19.4, "projected_home_points": 33.1, "projected_margin_home": 13.7, "projected_possessions": 12.4, "projected_total": 52.5, "stadium_elevation_ft": 130, "travel_distance_miles": 261.0, "uncertainty": 0.18, "weather_total_adjustment": 0.0}, "historical_source_observation_times_verified": false, "inference_inputs": {"engine_source_sha256": "449ba2f0e86fa9c445730076a0e0bf100fb4914620be53c75c6f3bfe24298f3f", "mu_away": 19.4, "mu_home": 33.1,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240095032664099962161852137815141730023}, "uinteger": 0}, "spread_home_line": -13.5, "total_line": 57.5}, "market_type": "moneyline", "model_version": "college-football-v1", "observed_at_utc": "2026-10-03T22:32:35.686759+00:00", "probabilities": {"away": 0.231752, "home": 0.768248}, "replay_scope": "Full precision score means, exact engine parameters and original RNG state; upstream feature construction not certified.", "schema": "cfb-joint-replay-v1", "snapshot_hash": "972f0410c8af5b9f1acbaf0ced8164867bd44d422f37fc2455d32020ed398e17", "sport": "NCAAF"}</t>
        </is>
      </c>
    </row>
    <row r="788" ht="36" customHeight="1">
      <c r="A788" s="24" t="inlineStr">
        <is>
          <t>0bb3b57aaf884eb4</t>
        </is>
      </c>
      <c r="B788" s="24" t="inlineStr">
        <is>
          <t>2026-10-03T22:32:35.686759Z</t>
        </is>
      </c>
      <c r="C788" s="24" t="inlineStr">
        <is>
          <t>2026-10-03T23:00Z</t>
        </is>
      </c>
      <c r="D788" s="24" t="inlineStr">
        <is>
          <t>401871089</t>
        </is>
      </c>
      <c r="E788" s="24" t="inlineStr">
        <is>
          <t>NCAAF</t>
        </is>
      </c>
      <c r="F788" s="24" t="inlineStr">
        <is>
          <t>UL Monroe Warhawks</t>
        </is>
      </c>
      <c r="G788" s="24" t="inlineStr">
        <is>
          <t>South Alabama Jaguars</t>
        </is>
      </c>
      <c r="H788" s="24" t="inlineStr">
        <is>
          <t>spread</t>
        </is>
      </c>
      <c r="I788" s="24" t="inlineStr">
        <is>
          <t>home</t>
        </is>
      </c>
      <c r="J788" s="25" t="n">
        <v>-13.5</v>
      </c>
      <c r="K788" s="24" t="inlineStr">
        <is>
          <t>espn_consensus</t>
        </is>
      </c>
      <c r="L788" s="26" t="n">
        <v>-110</v>
      </c>
      <c r="M788" s="27" t="n">
        <v>1.909091</v>
      </c>
      <c r="N788" s="28" t="n">
        <v>0.52381</v>
      </c>
      <c r="O788" s="28" t="n">
        <v>0.5056</v>
      </c>
      <c r="P788" s="28" t="n">
        <v>0.18</v>
      </c>
      <c r="Q788" s="28" t="n">
        <v>-0.01821</v>
      </c>
      <c r="R788" s="26" t="n">
        <v>0</v>
      </c>
      <c r="S788" s="29" t="n">
        <v>1</v>
      </c>
      <c r="T788" s="24" t="inlineStr">
        <is>
          <t>cfb-spread-v1</t>
        </is>
      </c>
      <c r="U788" s="24" t="inlineStr">
        <is>
          <t>settled</t>
        </is>
      </c>
      <c r="V788" s="24" t="inlineStr">
        <is>
          <t>win</t>
        </is>
      </c>
      <c r="W788" s="26" t="n">
        <v>35</v>
      </c>
      <c r="X788" s="26" t="n">
        <v>52</v>
      </c>
      <c r="Y788" s="25" t="n"/>
      <c r="Z788" s="26" t="n"/>
      <c r="AA788" s="28" t="n"/>
      <c r="AB788" s="28" t="n"/>
      <c r="AC788" s="30" t="n">
        <v>0.9091</v>
      </c>
      <c r="AD788" s="24" t="inlineStr">
        <is>
          <t>2026-10-04T20:45:07.204380Z</t>
        </is>
      </c>
      <c r="AE788" s="31" t="inlineStr">
        <is>
          <t>Projected home margin +13.7 pts. Spread: Home -13.5 / Away +13.5 -&gt; P(Away cover)=0.494, P(Home cover)=0.506, P(Push)=0.000.</t>
        </is>
      </c>
      <c r="AF788" s="31" t="inlineStr">
        <is>
          <t>College football model; multi-market (moneyline, spread, total).</t>
        </is>
      </c>
      <c r="AG788" s="24" t="inlineStr">
        <is>
          <t>not_applicable</t>
        </is>
      </c>
      <c r="AH788" s="24" t="n"/>
      <c r="AI788" s="31" t="n"/>
      <c r="AJ788" s="31" t="n"/>
      <c r="AK788" s="24" t="inlineStr">
        <is>
          <t>paper_call</t>
        </is>
      </c>
      <c r="AL788" s="26" t="n">
        <v>4</v>
      </c>
      <c r="AM788" s="24" t="inlineStr">
        <is>
          <t>RESEARCH_OBSERVATION</t>
        </is>
      </c>
      <c r="AN788" s="24" t="inlineStr">
        <is>
          <t>CALL</t>
        </is>
      </c>
      <c r="AO788" s="24" t="inlineStr">
        <is>
          <t>PAPER_CALL_LOW_EDGE</t>
        </is>
      </c>
      <c r="AP788" s="24" t="inlineStr">
        <is>
          <t>UL Monroe Warhawks</t>
        </is>
      </c>
      <c r="AQ788" s="24" t="inlineStr">
        <is>
          <t>UL Monroe Warhawks</t>
        </is>
      </c>
      <c r="AR788" s="24" t="inlineStr">
        <is>
          <t>UL Monroe Warhawks</t>
        </is>
      </c>
      <c r="AS788" s="24" t="inlineStr">
        <is>
          <t>South Alabama Jaguars</t>
        </is>
      </c>
      <c r="AT788" s="24" t="inlineStr">
        <is>
          <t>South Alabama Jaguars</t>
        </is>
      </c>
      <c r="AU788" s="24" t="inlineStr">
        <is>
          <t>South Alabama Jaguars</t>
        </is>
      </c>
      <c r="AV788" s="24" t="n"/>
      <c r="AW788" s="24" t="n"/>
      <c r="AX788" s="24" t="inlineStr">
        <is>
          <t>statistical_model</t>
        </is>
      </c>
      <c r="AY788" s="24" t="n"/>
      <c r="AZ788" s="24" t="inlineStr">
        <is>
          <t>shadow_qualified</t>
        </is>
      </c>
      <c r="BA788" s="24" t="inlineStr">
        <is>
          <t>1d168f11d221cd3c</t>
        </is>
      </c>
      <c r="BB788" s="24" t="inlineStr">
        <is>
          <t>cfb_key_number_engine</t>
        </is>
      </c>
      <c r="BC788" s="24" t="inlineStr">
        <is>
          <t>cfb-spread-v1</t>
        </is>
      </c>
      <c r="BD788" s="24" t="inlineStr">
        <is>
          <t>1d168f11d221cd3c</t>
        </is>
      </c>
      <c r="BE788" s="24" t="inlineStr">
        <is>
          <t>cfb-v1</t>
        </is>
      </c>
      <c r="BF788" s="24" t="inlineStr">
        <is>
          <t>1</t>
        </is>
      </c>
      <c r="BG788" s="24" t="inlineStr">
        <is>
          <t>1d168f11d221cd3c</t>
        </is>
      </c>
      <c r="BH788" s="24" t="inlineStr">
        <is>
          <t>2026-10-03T22:32:35.686759+00:00</t>
        </is>
      </c>
      <c r="BI788" s="24" t="inlineStr">
        <is>
          <t>["same_event","same_team_same_day","same_league_same_day"]</t>
        </is>
      </c>
      <c r="BJ788" s="25" t="n">
        <v>-13.5</v>
      </c>
      <c r="BK788" s="26" t="n">
        <v>-110</v>
      </c>
      <c r="BL788" s="27" t="n">
        <v>1.909091</v>
      </c>
      <c r="BM788" s="28" t="n">
        <v>0.52381</v>
      </c>
      <c r="BN788" s="28" t="n"/>
      <c r="BO788" s="28" t="n"/>
      <c r="BP788" s="25" t="n"/>
      <c r="BQ788" s="27" t="n"/>
      <c r="BR788" s="28" t="n"/>
      <c r="BS788" s="28" t="n"/>
      <c r="BT788" s="28" t="n"/>
      <c r="BU788" s="25" t="n"/>
      <c r="BV788" s="29" t="n"/>
      <c r="BW788" s="24" t="n"/>
      <c r="BX788" s="30" t="n">
        <v>1</v>
      </c>
      <c r="BY788" s="27" t="n">
        <v>0.909091</v>
      </c>
      <c r="BZ788" s="24" t="inlineStr">
        <is>
          <t>2026-10-04T20:45:07.204380Z</t>
        </is>
      </c>
      <c r="CA788" s="31" t="inlineStr">
        <is>
          <t>fixed one-unit hypothetical scoring; no real exposure or execution</t>
        </is>
      </c>
      <c r="CB788" s="24" t="n"/>
      <c r="CC788" s="24" t="n"/>
      <c r="CD788" s="24" t="n"/>
      <c r="CE788" s="24" t="n"/>
      <c r="CF788" s="24" t="n"/>
      <c r="CG788" s="24" t="n"/>
      <c r="CH788" s="24" t="n"/>
      <c r="CI788" s="24" t="n"/>
      <c r="CJ788" s="24" t="n"/>
      <c r="CK788" s="24" t="n"/>
      <c r="CL788" s="24" t="n"/>
      <c r="CM788" s="24" t="n"/>
      <c r="CN788" s="24" t="n"/>
      <c r="CO788" s="24" t="n"/>
      <c r="CP788" s="24" t="n"/>
      <c r="CQ788" s="24" t="n"/>
      <c r="CR788" s="24" t="n"/>
      <c r="CS788" s="24" t="inlineStr">
        <is>
          <t>False</t>
        </is>
      </c>
      <c r="CT788" s="24" t="n"/>
      <c r="CU788" s="24" t="n"/>
      <c r="CV788" s="24" t="n"/>
      <c r="CW788" s="24" t="n"/>
      <c r="CX788" s="24" t="n"/>
      <c r="CY788" s="24" t="n"/>
      <c r="CZ788" s="24" t="n"/>
      <c r="DA788" s="24" t="n"/>
      <c r="DB788" s="24" t="n"/>
      <c r="DC788" s="24" t="n"/>
      <c r="DD788" s="24" t="n"/>
      <c r="DE788" s="24" t="n"/>
      <c r="DF788" s="24" t="n"/>
      <c r="DG788" s="24" t="n"/>
      <c r="DH788" s="24" t="n"/>
      <c r="DI788" s="24" t="n"/>
      <c r="DJ788" s="24" t="inlineStr">
        <is>
          <t>0.52381</t>
        </is>
      </c>
      <c r="DK788" s="24" t="n"/>
      <c r="DL788" s="24" t="n"/>
      <c r="DM788" s="24" t="n"/>
      <c r="DN788" s="24" t="n"/>
      <c r="DO788" s="24" t="n"/>
      <c r="DP788" s="24" t="n"/>
      <c r="DQ788" s="24" t="inlineStr">
        <is>
          <t>{"artifact_hash": "1d168f11d221cd3c", "event_id": "401871089", "event_start_utc": "2026-10-03T23:00Z", "features": {"altitude_fatigue_penalty": 0.0, "away_team": "UL Monroe Warhawks", "efficiency_gap": 2.226, "elo_away": 1138.8, "elo_home": 1408.7, "elo_home_win_prob": 0.8731, "event_id": "401871089", "game_start_utc": "2026-10-03T23:00Z", "home_field_advantage_points": 2.8, "home_team": "South Alabama Jaguars", "is_dome": false, "is_fbs_vs_fcs": false, "is_neutral_site": false, "projected_away_points": 19.4, "projected_home_points": 33.1, "projected_margin_home": 13.7, "projected_possessions": 12.4, "projected_total": 52.5, "stadium_elevation_ft": 130, "travel_distance_miles": 261.0, "uncertainty": 0.18, "weather_total_adjustment": 0.0}, "historical_source_observation_times_verified": false, "inference_inputs": {"engine_source_sha256": "449ba2f0e86fa9c445730076a0e0bf100fb4914620be53c75c6f3bfe24298f3f", "mu_away": 19.4, "mu_home": 33.1,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240095032664099962161852137815141730023}, "uinteger": 0}, "spread_home_line": -13.5, "total_line": 57.5}, "market_type": "spread", "model_version": "cfb-spread-v1", "observed_at_utc": "2026-10-03T22:32:35.686759+00:00", "probabilities": {"away": 0.4944, "home": 0.5056, "push": 0.0}, "replay_scope": "Full precision score means, exact engine parameters and original RNG state; upstream feature construction not certified.", "schema": "cfb-joint-replay-v1", "snapshot_hash": "d54e9a64df61ea6f46e9c25f5e4926e0563849eabb4f3d592f01fdfae4b5eea6", "sport": "NCAAF"}</t>
        </is>
      </c>
    </row>
    <row r="789" ht="36" customHeight="1">
      <c r="A789" s="24" t="inlineStr">
        <is>
          <t>7b03e594af2d4eb8</t>
        </is>
      </c>
      <c r="B789" s="24" t="inlineStr">
        <is>
          <t>2026-10-03T22:32:35.686759Z</t>
        </is>
      </c>
      <c r="C789" s="24" t="inlineStr">
        <is>
          <t>2026-10-03T23:00Z</t>
        </is>
      </c>
      <c r="D789" s="24" t="inlineStr">
        <is>
          <t>401871089</t>
        </is>
      </c>
      <c r="E789" s="24" t="inlineStr">
        <is>
          <t>NCAAF</t>
        </is>
      </c>
      <c r="F789" s="24" t="inlineStr">
        <is>
          <t>UL Monroe Warhawks</t>
        </is>
      </c>
      <c r="G789" s="24" t="inlineStr">
        <is>
          <t>South Alabama Jaguars</t>
        </is>
      </c>
      <c r="H789" s="24" t="inlineStr">
        <is>
          <t>total</t>
        </is>
      </c>
      <c r="I789" s="24" t="inlineStr">
        <is>
          <t>under</t>
        </is>
      </c>
      <c r="J789" s="25" t="n">
        <v>57.5</v>
      </c>
      <c r="K789" s="24" t="inlineStr">
        <is>
          <t>espn_consensus</t>
        </is>
      </c>
      <c r="L789" s="26" t="n">
        <v>-108</v>
      </c>
      <c r="M789" s="27" t="n">
        <v>1.925926</v>
      </c>
      <c r="N789" s="28" t="n">
        <v>0.519231</v>
      </c>
      <c r="O789" s="28" t="n">
        <v>0.606533</v>
      </c>
      <c r="P789" s="28" t="n">
        <v>0.18</v>
      </c>
      <c r="Q789" s="28" t="n">
        <v>0.087302</v>
      </c>
      <c r="R789" s="26" t="n">
        <v>0</v>
      </c>
      <c r="S789" s="29" t="n">
        <v>1</v>
      </c>
      <c r="T789" s="24" t="inlineStr">
        <is>
          <t>cfb-total-v1</t>
        </is>
      </c>
      <c r="U789" s="24" t="inlineStr">
        <is>
          <t>settled</t>
        </is>
      </c>
      <c r="V789" s="24" t="inlineStr">
        <is>
          <t>loss</t>
        </is>
      </c>
      <c r="W789" s="26" t="n">
        <v>35</v>
      </c>
      <c r="X789" s="26" t="n">
        <v>52</v>
      </c>
      <c r="Y789" s="25" t="n"/>
      <c r="Z789" s="26" t="n"/>
      <c r="AA789" s="28" t="n"/>
      <c r="AB789" s="28" t="n"/>
      <c r="AC789" s="30" t="n">
        <v>-1</v>
      </c>
      <c r="AD789" s="24" t="inlineStr">
        <is>
          <t>2026-10-04T20:45:12.889325Z</t>
        </is>
      </c>
      <c r="AE789" s="31" t="inlineStr">
        <is>
          <t>Projected total 52.5 pts (Weather adj: +0.0 pts). Total line 57.5 -&gt; P(Over)=0.393, P(Under)=0.607, P(Push)=0.000.</t>
        </is>
      </c>
      <c r="AF789" s="31" t="inlineStr">
        <is>
          <t>College football model; multi-market (moneyline, spread, total).</t>
        </is>
      </c>
      <c r="AG789" s="24" t="inlineStr">
        <is>
          <t>review_required</t>
        </is>
      </c>
      <c r="AH789" s="24" t="n"/>
      <c r="AI789" s="31" t="n"/>
      <c r="AJ789" s="31" t="n"/>
      <c r="AK789" s="24" t="inlineStr">
        <is>
          <t>model_qualified</t>
        </is>
      </c>
      <c r="AL789" s="26" t="n">
        <v>4</v>
      </c>
      <c r="AM789" s="24" t="inlineStr">
        <is>
          <t>QUALIFIED_SHADOW_CALL</t>
        </is>
      </c>
      <c r="AN789" s="24" t="inlineStr">
        <is>
          <t>CALL</t>
        </is>
      </c>
      <c r="AO789" s="24" t="inlineStr">
        <is>
          <t>QUALIFIED</t>
        </is>
      </c>
      <c r="AP789" s="24" t="inlineStr">
        <is>
          <t>UL Monroe Warhawks</t>
        </is>
      </c>
      <c r="AQ789" s="24" t="inlineStr">
        <is>
          <t>UL Monroe Warhawks</t>
        </is>
      </c>
      <c r="AR789" s="24" t="inlineStr">
        <is>
          <t>UL Monroe Warhawks</t>
        </is>
      </c>
      <c r="AS789" s="24" t="inlineStr">
        <is>
          <t>South Alabama Jaguars</t>
        </is>
      </c>
      <c r="AT789" s="24" t="inlineStr">
        <is>
          <t>South Alabama Jaguars</t>
        </is>
      </c>
      <c r="AU789" s="24" t="inlineStr">
        <is>
          <t>South Alabama Jaguars</t>
        </is>
      </c>
      <c r="AV789" s="24" t="n"/>
      <c r="AW789" s="24" t="n"/>
      <c r="AX789" s="24" t="inlineStr">
        <is>
          <t>statistical_model</t>
        </is>
      </c>
      <c r="AY789" s="24" t="n"/>
      <c r="AZ789" s="24" t="inlineStr">
        <is>
          <t>shadow_qualified</t>
        </is>
      </c>
      <c r="BA789" s="24" t="inlineStr">
        <is>
          <t>1d168f11d221cd3c</t>
        </is>
      </c>
      <c r="BB789" s="24" t="inlineStr">
        <is>
          <t>cfb_key_number_engine</t>
        </is>
      </c>
      <c r="BC789" s="24" t="inlineStr">
        <is>
          <t>cfb-total-v1</t>
        </is>
      </c>
      <c r="BD789" s="24" t="inlineStr">
        <is>
          <t>1d168f11d221cd3c</t>
        </is>
      </c>
      <c r="BE789" s="24" t="inlineStr">
        <is>
          <t>cfb-v1</t>
        </is>
      </c>
      <c r="BF789" s="24" t="inlineStr">
        <is>
          <t>1</t>
        </is>
      </c>
      <c r="BG789" s="24" t="inlineStr">
        <is>
          <t>1d168f11d221cd3c</t>
        </is>
      </c>
      <c r="BH789" s="24" t="inlineStr">
        <is>
          <t>2026-10-03T22:32:35.686759+00:00</t>
        </is>
      </c>
      <c r="BI789" s="24" t="inlineStr">
        <is>
          <t>["same_event","same_team_same_day","same_league_same_day"]</t>
        </is>
      </c>
      <c r="BJ789" s="25" t="n">
        <v>57.5</v>
      </c>
      <c r="BK789" s="26" t="n">
        <v>-108</v>
      </c>
      <c r="BL789" s="27" t="n">
        <v>1.925926</v>
      </c>
      <c r="BM789" s="28" t="n">
        <v>0.519231</v>
      </c>
      <c r="BN789" s="28" t="n"/>
      <c r="BO789" s="28" t="n"/>
      <c r="BP789" s="25" t="n"/>
      <c r="BQ789" s="27" t="n"/>
      <c r="BR789" s="28" t="n"/>
      <c r="BS789" s="28" t="n"/>
      <c r="BT789" s="28" t="n"/>
      <c r="BU789" s="25" t="n"/>
      <c r="BV789" s="29" t="n"/>
      <c r="BW789" s="24" t="n"/>
      <c r="BX789" s="30" t="n"/>
      <c r="BY789" s="27" t="n"/>
      <c r="BZ789" s="24" t="n"/>
      <c r="CA789" s="31" t="n"/>
      <c r="CB789" s="24" t="n"/>
      <c r="CC789" s="24" t="n"/>
      <c r="CD789" s="24" t="n"/>
      <c r="CE789" s="24" t="n"/>
      <c r="CF789" s="24" t="n"/>
      <c r="CG789" s="24" t="n"/>
      <c r="CH789" s="24" t="n"/>
      <c r="CI789" s="24" t="n"/>
      <c r="CJ789" s="24" t="n"/>
      <c r="CK789" s="24" t="n"/>
      <c r="CL789" s="24" t="n"/>
      <c r="CM789" s="24" t="n"/>
      <c r="CN789" s="24" t="n"/>
      <c r="CO789" s="24" t="n"/>
      <c r="CP789" s="24" t="n"/>
      <c r="CQ789" s="24" t="n"/>
      <c r="CR789" s="24" t="n"/>
      <c r="CS789" s="24" t="inlineStr">
        <is>
          <t>True</t>
        </is>
      </c>
      <c r="CT789" s="24" t="n"/>
      <c r="CU789" s="24" t="n"/>
      <c r="CV789" s="24" t="n"/>
      <c r="CW789" s="24" t="n"/>
      <c r="CX789" s="24" t="n"/>
      <c r="CY789" s="24" t="n"/>
      <c r="CZ789" s="24" t="n"/>
      <c r="DA789" s="24" t="n"/>
      <c r="DB789" s="24" t="n"/>
      <c r="DC789" s="24" t="n"/>
      <c r="DD789" s="24" t="n"/>
      <c r="DE789" s="24" t="n"/>
      <c r="DF789" s="24" t="n"/>
      <c r="DG789" s="24" t="n"/>
      <c r="DH789" s="24" t="n"/>
      <c r="DI789" s="24" t="n"/>
      <c r="DJ789" s="24" t="inlineStr">
        <is>
          <t>0.519231</t>
        </is>
      </c>
      <c r="DK789" s="24" t="n"/>
      <c r="DL789" s="24" t="n"/>
      <c r="DM789" s="24" t="n"/>
      <c r="DN789" s="24" t="n"/>
      <c r="DO789" s="24" t="n"/>
      <c r="DP789" s="24" t="n"/>
      <c r="DQ789" s="24" t="inlineStr">
        <is>
          <t>{"artifact_hash": "1d168f11d221cd3c", "event_id": "401871089", "event_start_utc": "2026-10-03T23:00Z", "features": {"altitude_fatigue_penalty": 0.0, "away_team": "UL Monroe Warhawks", "efficiency_gap": 2.226, "elo_away": 1138.8, "elo_home": 1408.7, "elo_home_win_prob": 0.8731, "event_id": "401871089", "game_start_utc": "2026-10-03T23:00Z", "home_field_advantage_points": 2.8, "home_team": "South Alabama Jaguars", "is_dome": false, "is_fbs_vs_fcs": false, "is_neutral_site": false, "projected_away_points": 19.4, "projected_home_points": 33.1, "projected_margin_home": 13.7, "projected_possessions": 12.4, "projected_total": 52.5, "stadium_elevation_ft": 130, "travel_distance_miles": 261.0, "uncertainty": 0.18, "weather_total_adjustment": 0.0}, "historical_source_observation_times_verified": false, "inference_inputs": {"engine_source_sha256": "449ba2f0e86fa9c445730076a0e0bf100fb4914620be53c75c6f3bfe24298f3f", "mu_away": 19.4, "mu_home": 33.1,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240095032664099962161852137815141730023}, "uinteger": 0}, "spread_home_line": -13.5, "total_line": 57.5}, "market_type": "total", "model_version": "cfb-total-v1", "observed_at_utc": "2026-10-03T22:32:35.686759+00:00", "probabilities": {"over": 0.393467, "push": 0.0, "under": 0.606533}, "replay_scope": "Full precision score means, exact engine parameters and original RNG state; upstream feature construction not certified.", "schema": "cfb-joint-replay-v1", "snapshot_hash": "e6706ac08ec177a2b0a13ad1b70f0f81219e6f6a145321edaa8a2c92dde8d6ec", "sport": "NCAAF"}</t>
        </is>
      </c>
    </row>
    <row r="790" ht="36" customHeight="1">
      <c r="A790" s="24" t="inlineStr">
        <is>
          <t>2b8097e22198415d</t>
        </is>
      </c>
      <c r="B790" s="24" t="inlineStr">
        <is>
          <t>2026-10-03T22:32:35.686759Z</t>
        </is>
      </c>
      <c r="C790" s="24" t="inlineStr">
        <is>
          <t>2026-10-03T23:30Z</t>
        </is>
      </c>
      <c r="D790" s="24" t="inlineStr">
        <is>
          <t>401858249</t>
        </is>
      </c>
      <c r="E790" s="24" t="inlineStr">
        <is>
          <t>NCAAF</t>
        </is>
      </c>
      <c r="F790" s="24" t="inlineStr">
        <is>
          <t>Miami Hurricanes</t>
        </is>
      </c>
      <c r="G790" s="24" t="inlineStr">
        <is>
          <t>Clemson Tigers</t>
        </is>
      </c>
      <c r="H790" s="24" t="inlineStr">
        <is>
          <t>moneyline</t>
        </is>
      </c>
      <c r="I790" s="24" t="inlineStr">
        <is>
          <t>away</t>
        </is>
      </c>
      <c r="J790" s="25" t="n"/>
      <c r="K790" s="24" t="inlineStr">
        <is>
          <t>espn_consensus</t>
        </is>
      </c>
      <c r="L790" s="26" t="n">
        <v>-700</v>
      </c>
      <c r="M790" s="27" t="n">
        <v>1.142857</v>
      </c>
      <c r="N790" s="28" t="n">
        <v>0.875</v>
      </c>
      <c r="O790" s="28" t="n">
        <v>0.698419</v>
      </c>
      <c r="P790" s="28" t="n">
        <v>0.165</v>
      </c>
      <c r="Q790" s="28" t="n">
        <v>-0.176581</v>
      </c>
      <c r="R790" s="26" t="n">
        <v>0</v>
      </c>
      <c r="S790" s="29" t="n">
        <v>1</v>
      </c>
      <c r="T790" s="24" t="inlineStr">
        <is>
          <t>college-football-v1</t>
        </is>
      </c>
      <c r="U790" s="24" t="inlineStr">
        <is>
          <t>settled</t>
        </is>
      </c>
      <c r="V790" s="24" t="inlineStr">
        <is>
          <t>win</t>
        </is>
      </c>
      <c r="W790" s="26" t="n">
        <v>41</v>
      </c>
      <c r="X790" s="26" t="n">
        <v>13</v>
      </c>
      <c r="Y790" s="25" t="n"/>
      <c r="Z790" s="26" t="n"/>
      <c r="AA790" s="28" t="n"/>
      <c r="AB790" s="28" t="n"/>
      <c r="AC790" s="30" t="n">
        <v>0.1429</v>
      </c>
      <c r="AD790" s="24" t="inlineStr">
        <is>
          <t>2026-10-04T20:45:18.928707Z</t>
        </is>
      </c>
      <c r="AE790" s="31" t="inlineStr">
        <is>
          <t>CFB Joint Model (negative_binomial): proj score Miami Hurricanes 32.1 @ Clemson Tigers 22.1 (Margin -10.0). Possessions: 12.4, HFA: +2.8 pts.</t>
        </is>
      </c>
      <c r="AF790" s="31" t="inlineStr">
        <is>
          <t>College football model; multi-market (moneyline, spread, total).</t>
        </is>
      </c>
      <c r="AG790" s="24" t="inlineStr">
        <is>
          <t>not_applicable</t>
        </is>
      </c>
      <c r="AH790" s="24" t="n"/>
      <c r="AI790" s="31" t="n"/>
      <c r="AJ790" s="31" t="n"/>
      <c r="AK790" s="24" t="inlineStr">
        <is>
          <t>paper_call</t>
        </is>
      </c>
      <c r="AL790" s="26" t="n">
        <v>4</v>
      </c>
      <c r="AM790" s="24" t="inlineStr">
        <is>
          <t>RESEARCH_OBSERVATION</t>
        </is>
      </c>
      <c r="AN790" s="24" t="inlineStr">
        <is>
          <t>CALL</t>
        </is>
      </c>
      <c r="AO790" s="24" t="inlineStr">
        <is>
          <t>PAPER_CALL_LOW_EDGE</t>
        </is>
      </c>
      <c r="AP790" s="24" t="inlineStr">
        <is>
          <t>Miami Hurricanes</t>
        </is>
      </c>
      <c r="AQ790" s="24" t="inlineStr">
        <is>
          <t>Miami Hurricanes</t>
        </is>
      </c>
      <c r="AR790" s="24" t="inlineStr">
        <is>
          <t>Miami Hurricanes</t>
        </is>
      </c>
      <c r="AS790" s="24" t="inlineStr">
        <is>
          <t>Clemson Tigers</t>
        </is>
      </c>
      <c r="AT790" s="24" t="inlineStr">
        <is>
          <t>Clemson Tigers</t>
        </is>
      </c>
      <c r="AU790" s="24" t="inlineStr">
        <is>
          <t>Clemson Tigers</t>
        </is>
      </c>
      <c r="AV790" s="24" t="n"/>
      <c r="AW790" s="24" t="n"/>
      <c r="AX790" s="24" t="inlineStr">
        <is>
          <t>statistical_model</t>
        </is>
      </c>
      <c r="AY790" s="24" t="n"/>
      <c r="AZ790" s="24" t="inlineStr">
        <is>
          <t>shadow_qualified</t>
        </is>
      </c>
      <c r="BA790" s="24" t="inlineStr">
        <is>
          <t>1d168f11d221cd3c</t>
        </is>
      </c>
      <c r="BB790" s="24" t="inlineStr">
        <is>
          <t>cfb_key_number_engine</t>
        </is>
      </c>
      <c r="BC790" s="24" t="inlineStr">
        <is>
          <t>college-football-v1</t>
        </is>
      </c>
      <c r="BD790" s="24" t="inlineStr">
        <is>
          <t>1d168f11d221cd3c</t>
        </is>
      </c>
      <c r="BE790" s="24" t="inlineStr">
        <is>
          <t>cfb-v1</t>
        </is>
      </c>
      <c r="BF790" s="24" t="inlineStr">
        <is>
          <t>1</t>
        </is>
      </c>
      <c r="BG790" s="24" t="inlineStr">
        <is>
          <t>1d168f11d221cd3c</t>
        </is>
      </c>
      <c r="BH790" s="24" t="inlineStr">
        <is>
          <t>2026-10-03T22:32:35.686759+00:00</t>
        </is>
      </c>
      <c r="BI790" s="24" t="inlineStr">
        <is>
          <t>["same_event","same_team_same_day","same_league_same_day"]</t>
        </is>
      </c>
      <c r="BJ790" s="25" t="n"/>
      <c r="BK790" s="26" t="n">
        <v>-700</v>
      </c>
      <c r="BL790" s="27" t="n">
        <v>1.142857</v>
      </c>
      <c r="BM790" s="28" t="n">
        <v>0.875</v>
      </c>
      <c r="BN790" s="28" t="n"/>
      <c r="BO790" s="28" t="n"/>
      <c r="BP790" s="25" t="n"/>
      <c r="BQ790" s="27" t="n"/>
      <c r="BR790" s="28" t="n"/>
      <c r="BS790" s="28" t="n"/>
      <c r="BT790" s="28" t="n"/>
      <c r="BU790" s="25" t="n"/>
      <c r="BV790" s="29" t="n"/>
      <c r="BW790" s="24" t="n"/>
      <c r="BX790" s="30" t="n">
        <v>1</v>
      </c>
      <c r="BY790" s="27" t="n">
        <v>0.142857</v>
      </c>
      <c r="BZ790" s="24" t="inlineStr">
        <is>
          <t>2026-10-04T20:45:18.928707Z</t>
        </is>
      </c>
      <c r="CA790" s="31" t="inlineStr">
        <is>
          <t>fixed one-unit hypothetical scoring; no real exposure or execution</t>
        </is>
      </c>
      <c r="CB790" s="24" t="n"/>
      <c r="CC790" s="24" t="n"/>
      <c r="CD790" s="24" t="n"/>
      <c r="CE790" s="24" t="n"/>
      <c r="CF790" s="24" t="n"/>
      <c r="CG790" s="24" t="n"/>
      <c r="CH790" s="24" t="n"/>
      <c r="CI790" s="24" t="n"/>
      <c r="CJ790" s="24" t="n"/>
      <c r="CK790" s="24" t="n"/>
      <c r="CL790" s="24" t="n"/>
      <c r="CM790" s="24" t="n"/>
      <c r="CN790" s="24" t="n"/>
      <c r="CO790" s="24" t="n"/>
      <c r="CP790" s="24" t="n"/>
      <c r="CQ790" s="24" t="n"/>
      <c r="CR790" s="24" t="n"/>
      <c r="CS790" s="24" t="inlineStr">
        <is>
          <t>False</t>
        </is>
      </c>
      <c r="CT790" s="24" t="n"/>
      <c r="CU790" s="24" t="n"/>
      <c r="CV790" s="24" t="n"/>
      <c r="CW790" s="24" t="n"/>
      <c r="CX790" s="24" t="n"/>
      <c r="CY790" s="24" t="n"/>
      <c r="CZ790" s="24" t="n"/>
      <c r="DA790" s="24" t="n"/>
      <c r="DB790" s="24" t="n"/>
      <c r="DC790" s="24" t="n"/>
      <c r="DD790" s="24" t="n"/>
      <c r="DE790" s="24" t="n"/>
      <c r="DF790" s="24" t="n"/>
      <c r="DG790" s="24" t="n"/>
      <c r="DH790" s="24" t="n"/>
      <c r="DI790" s="24" t="n"/>
      <c r="DJ790" s="24" t="inlineStr">
        <is>
          <t>0.875</t>
        </is>
      </c>
      <c r="DK790" s="24" t="n"/>
      <c r="DL790" s="24" t="n"/>
      <c r="DM790" s="24" t="n"/>
      <c r="DN790" s="24" t="n"/>
      <c r="DO790" s="24" t="n"/>
      <c r="DP790" s="24" t="n"/>
      <c r="DQ790" s="24" t="inlineStr">
        <is>
          <t>{"artifact_hash": "1d168f11d221cd3c", "event_id": "401858249", "event_start_utc": "2026-10-03T23:30Z", "features": {"altitude_fatigue_penalty": 0.0, "away_team": "Miami Hurricanes", "efficiency_gap": -3.871, "elo_away": 1785.8, "elo_home": 1486.4, "elo_home_win_prob": 0.206, "event_id": "401858249", "game_start_utc": "2026-10-03T23:30Z", "home_field_advantage_points": 2.8, "home_team": "Clemson Tigers", "is_dome": false, "is_fbs_vs_fcs": false, "is_neutral_site": false, "projected_away_points": 32.1, "projected_home_points": 22.1, "projected_margin_home": -10.0, "projected_possessions": 12.4, "projected_total": 54.2, "stadium_elevation_ft": 750, "travel_distance_miles": 622.0, "uncertainty": 0.165, "weather_total_adjustment": 0.0}, "historical_source_observation_times_verified": false, "inference_inputs": {"engine_source_sha256": "449ba2f0e86fa9c445730076a0e0bf100fb4914620be53c75c6f3bfe24298f3f", "mu_away": 32.1, "mu_home": 22.1,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41008940593401596396588148576692068985}, "uinteger": 0}, "spread_home_line": 14.0, "total_line": 49.5}, "market_type": "moneyline", "model_version": "college-football-v1", "observed_at_utc": "2026-10-03T22:32:35.686759+00:00", "probabilities": {"away": 0.698419, "home": 0.301581}, "replay_scope": "Full precision score means, exact engine parameters and original RNG state; upstream feature construction not certified.", "schema": "cfb-joint-replay-v1", "snapshot_hash": "55511f0a8f47970e2cc773f4f89485d52000de0b55c1037c841c8de08271eb5d", "sport": "NCAAF"}</t>
        </is>
      </c>
    </row>
    <row r="791" ht="36" customHeight="1">
      <c r="A791" s="24" t="inlineStr">
        <is>
          <t>a7dcca0756864f35</t>
        </is>
      </c>
      <c r="B791" s="24" t="inlineStr">
        <is>
          <t>2026-10-03T22:32:35.686759Z</t>
        </is>
      </c>
      <c r="C791" s="24" t="inlineStr">
        <is>
          <t>2026-10-03T23:30Z</t>
        </is>
      </c>
      <c r="D791" s="24" t="inlineStr">
        <is>
          <t>401858249</t>
        </is>
      </c>
      <c r="E791" s="24" t="inlineStr">
        <is>
          <t>NCAAF</t>
        </is>
      </c>
      <c r="F791" s="24" t="inlineStr">
        <is>
          <t>Miami Hurricanes</t>
        </is>
      </c>
      <c r="G791" s="24" t="inlineStr">
        <is>
          <t>Clemson Tigers</t>
        </is>
      </c>
      <c r="H791" s="24" t="inlineStr">
        <is>
          <t>spread</t>
        </is>
      </c>
      <c r="I791" s="24" t="inlineStr">
        <is>
          <t>home</t>
        </is>
      </c>
      <c r="J791" s="25" t="n">
        <v>14</v>
      </c>
      <c r="K791" s="24" t="inlineStr">
        <is>
          <t>espn_consensus</t>
        </is>
      </c>
      <c r="L791" s="26" t="n">
        <v>-108</v>
      </c>
      <c r="M791" s="27" t="n">
        <v>1.925926</v>
      </c>
      <c r="N791" s="28" t="n">
        <v>0.519231</v>
      </c>
      <c r="O791" s="28" t="n">
        <v>0.579333</v>
      </c>
      <c r="P791" s="28" t="n">
        <v>0.165</v>
      </c>
      <c r="Q791" s="28" t="n">
        <v>0.060102</v>
      </c>
      <c r="R791" s="26" t="n">
        <v>0</v>
      </c>
      <c r="S791" s="29" t="n">
        <v>1</v>
      </c>
      <c r="T791" s="24" t="inlineStr">
        <is>
          <t>cfb-spread-v1</t>
        </is>
      </c>
      <c r="U791" s="24" t="inlineStr">
        <is>
          <t>settled</t>
        </is>
      </c>
      <c r="V791" s="24" t="inlineStr">
        <is>
          <t>loss</t>
        </is>
      </c>
      <c r="W791" s="26" t="n">
        <v>41</v>
      </c>
      <c r="X791" s="26" t="n">
        <v>13</v>
      </c>
      <c r="Y791" s="25" t="n"/>
      <c r="Z791" s="26" t="n"/>
      <c r="AA791" s="28" t="n"/>
      <c r="AB791" s="28" t="n"/>
      <c r="AC791" s="30" t="n">
        <v>-1</v>
      </c>
      <c r="AD791" s="24" t="inlineStr">
        <is>
          <t>2026-10-04T20:45:24.576497Z</t>
        </is>
      </c>
      <c r="AE791" s="31" t="inlineStr">
        <is>
          <t>Projected home margin -10.0 pts. Spread: Home +14.0 / Away -14.0 -&gt; P(Away cover)=0.400, P(Home cover)=0.579, P(Push)=0.020.</t>
        </is>
      </c>
      <c r="AF791" s="31" t="inlineStr">
        <is>
          <t>College football model; multi-market (moneyline, spread, total).</t>
        </is>
      </c>
      <c r="AG791" s="24" t="inlineStr">
        <is>
          <t>review_required</t>
        </is>
      </c>
      <c r="AH791" s="24" t="n"/>
      <c r="AI791" s="31" t="n"/>
      <c r="AJ791" s="31" t="n"/>
      <c r="AK791" s="24" t="inlineStr">
        <is>
          <t>model_qualified</t>
        </is>
      </c>
      <c r="AL791" s="26" t="n">
        <v>4</v>
      </c>
      <c r="AM791" s="24" t="inlineStr">
        <is>
          <t>QUALIFIED_SHADOW_CALL</t>
        </is>
      </c>
      <c r="AN791" s="24" t="inlineStr">
        <is>
          <t>CALL</t>
        </is>
      </c>
      <c r="AO791" s="24" t="inlineStr">
        <is>
          <t>QUALIFIED</t>
        </is>
      </c>
      <c r="AP791" s="24" t="inlineStr">
        <is>
          <t>Miami Hurricanes</t>
        </is>
      </c>
      <c r="AQ791" s="24" t="inlineStr">
        <is>
          <t>Miami Hurricanes</t>
        </is>
      </c>
      <c r="AR791" s="24" t="inlineStr">
        <is>
          <t>Miami Hurricanes</t>
        </is>
      </c>
      <c r="AS791" s="24" t="inlineStr">
        <is>
          <t>Clemson Tigers</t>
        </is>
      </c>
      <c r="AT791" s="24" t="inlineStr">
        <is>
          <t>Clemson Tigers</t>
        </is>
      </c>
      <c r="AU791" s="24" t="inlineStr">
        <is>
          <t>Clemson Tigers</t>
        </is>
      </c>
      <c r="AV791" s="24" t="n"/>
      <c r="AW791" s="24" t="n"/>
      <c r="AX791" s="24" t="inlineStr">
        <is>
          <t>statistical_model</t>
        </is>
      </c>
      <c r="AY791" s="24" t="n"/>
      <c r="AZ791" s="24" t="inlineStr">
        <is>
          <t>shadow_qualified</t>
        </is>
      </c>
      <c r="BA791" s="24" t="inlineStr">
        <is>
          <t>1d168f11d221cd3c</t>
        </is>
      </c>
      <c r="BB791" s="24" t="inlineStr">
        <is>
          <t>cfb_key_number_engine</t>
        </is>
      </c>
      <c r="BC791" s="24" t="inlineStr">
        <is>
          <t>cfb-spread-v1</t>
        </is>
      </c>
      <c r="BD791" s="24" t="inlineStr">
        <is>
          <t>1d168f11d221cd3c</t>
        </is>
      </c>
      <c r="BE791" s="24" t="inlineStr">
        <is>
          <t>cfb-v1</t>
        </is>
      </c>
      <c r="BF791" s="24" t="inlineStr">
        <is>
          <t>1</t>
        </is>
      </c>
      <c r="BG791" s="24" t="inlineStr">
        <is>
          <t>1d168f11d221cd3c</t>
        </is>
      </c>
      <c r="BH791" s="24" t="inlineStr">
        <is>
          <t>2026-10-03T22:32:35.686759+00:00</t>
        </is>
      </c>
      <c r="BI791" s="24" t="inlineStr">
        <is>
          <t>["same_event","same_team_same_day","same_league_same_day"]</t>
        </is>
      </c>
      <c r="BJ791" s="25" t="n">
        <v>14</v>
      </c>
      <c r="BK791" s="26" t="n">
        <v>-108</v>
      </c>
      <c r="BL791" s="27" t="n">
        <v>1.925926</v>
      </c>
      <c r="BM791" s="28" t="n">
        <v>0.519231</v>
      </c>
      <c r="BN791" s="28" t="n"/>
      <c r="BO791" s="28" t="n"/>
      <c r="BP791" s="25" t="n"/>
      <c r="BQ791" s="27" t="n"/>
      <c r="BR791" s="28" t="n"/>
      <c r="BS791" s="28" t="n"/>
      <c r="BT791" s="28" t="n"/>
      <c r="BU791" s="25" t="n"/>
      <c r="BV791" s="29" t="n"/>
      <c r="BW791" s="24" t="n"/>
      <c r="BX791" s="30" t="n"/>
      <c r="BY791" s="27" t="n"/>
      <c r="BZ791" s="24" t="n"/>
      <c r="CA791" s="31" t="n"/>
      <c r="CB791" s="24" t="n"/>
      <c r="CC791" s="24" t="n"/>
      <c r="CD791" s="24" t="n"/>
      <c r="CE791" s="24" t="n"/>
      <c r="CF791" s="24" t="n"/>
      <c r="CG791" s="24" t="n"/>
      <c r="CH791" s="24" t="n"/>
      <c r="CI791" s="24" t="n"/>
      <c r="CJ791" s="24" t="n"/>
      <c r="CK791" s="24" t="n"/>
      <c r="CL791" s="24" t="n"/>
      <c r="CM791" s="24" t="n"/>
      <c r="CN791" s="24" t="n"/>
      <c r="CO791" s="24" t="n"/>
      <c r="CP791" s="24" t="n"/>
      <c r="CQ791" s="24" t="n"/>
      <c r="CR791" s="24" t="n"/>
      <c r="CS791" s="24" t="inlineStr">
        <is>
          <t>True</t>
        </is>
      </c>
      <c r="CT791" s="24" t="n"/>
      <c r="CU791" s="24" t="n"/>
      <c r="CV791" s="24" t="n"/>
      <c r="CW791" s="24" t="n"/>
      <c r="CX791" s="24" t="n"/>
      <c r="CY791" s="24" t="n"/>
      <c r="CZ791" s="24" t="n"/>
      <c r="DA791" s="24" t="n"/>
      <c r="DB791" s="24" t="n"/>
      <c r="DC791" s="24" t="n"/>
      <c r="DD791" s="24" t="n"/>
      <c r="DE791" s="24" t="n"/>
      <c r="DF791" s="24" t="n"/>
      <c r="DG791" s="24" t="n"/>
      <c r="DH791" s="24" t="n"/>
      <c r="DI791" s="24" t="n"/>
      <c r="DJ791" s="24" t="inlineStr">
        <is>
          <t>0.519231</t>
        </is>
      </c>
      <c r="DK791" s="24" t="n"/>
      <c r="DL791" s="24" t="n"/>
      <c r="DM791" s="24" t="n"/>
      <c r="DN791" s="24" t="n"/>
      <c r="DO791" s="24" t="n"/>
      <c r="DP791" s="24" t="n"/>
      <c r="DQ791" s="24" t="inlineStr">
        <is>
          <t>{"artifact_hash": "1d168f11d221cd3c", "event_id": "401858249", "event_start_utc": "2026-10-03T23:30Z", "features": {"altitude_fatigue_penalty": 0.0, "away_team": "Miami Hurricanes", "efficiency_gap": -3.871, "elo_away": 1785.8, "elo_home": 1486.4, "elo_home_win_prob": 0.206, "event_id": "401858249", "game_start_utc": "2026-10-03T23:30Z", "home_field_advantage_points": 2.8, "home_team": "Clemson Tigers", "is_dome": false, "is_fbs_vs_fcs": false, "is_neutral_site": false, "projected_away_points": 32.1, "projected_home_points": 22.1, "projected_margin_home": -10.0, "projected_possessions": 12.4, "projected_total": 54.2, "stadium_elevation_ft": 750, "travel_distance_miles": 622.0, "uncertainty": 0.165, "weather_total_adjustment": 0.0}, "historical_source_observation_times_verified": false, "inference_inputs": {"engine_source_sha256": "449ba2f0e86fa9c445730076a0e0bf100fb4914620be53c75c6f3bfe24298f3f", "mu_away": 32.1, "mu_home": 22.1,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41008940593401596396588148576692068985}, "uinteger": 0}, "spread_home_line": 14.0, "total_line": 49.5}, "market_type": "spread", "model_version": "cfb-spread-v1", "observed_at_utc": "2026-10-03T22:32:35.686759+00:00", "probabilities": {"away": 0.4002, "home": 0.579333, "push": 0.020467}, "replay_scope": "Full precision score means, exact engine parameters and original RNG state; upstream feature construction not certified.", "schema": "cfb-joint-replay-v1", "snapshot_hash": "455d8b9fa8412582efaf133bbd21464f067ad68e60e9d80bd93e598ba437e815", "sport": "NCAAF"}</t>
        </is>
      </c>
    </row>
    <row r="792" ht="36" customHeight="1">
      <c r="A792" s="24" t="inlineStr">
        <is>
          <t>ffb633c89182469f</t>
        </is>
      </c>
      <c r="B792" s="24" t="inlineStr">
        <is>
          <t>2026-10-03T22:32:35.686759Z</t>
        </is>
      </c>
      <c r="C792" s="24" t="inlineStr">
        <is>
          <t>2026-10-03T23:30Z</t>
        </is>
      </c>
      <c r="D792" s="24" t="inlineStr">
        <is>
          <t>401858249</t>
        </is>
      </c>
      <c r="E792" s="24" t="inlineStr">
        <is>
          <t>NCAAF</t>
        </is>
      </c>
      <c r="F792" s="24" t="inlineStr">
        <is>
          <t>Miami Hurricanes</t>
        </is>
      </c>
      <c r="G792" s="24" t="inlineStr">
        <is>
          <t>Clemson Tigers</t>
        </is>
      </c>
      <c r="H792" s="24" t="inlineStr">
        <is>
          <t>total</t>
        </is>
      </c>
      <c r="I792" s="24" t="inlineStr">
        <is>
          <t>over</t>
        </is>
      </c>
      <c r="J792" s="25" t="n">
        <v>49.5</v>
      </c>
      <c r="K792" s="24" t="inlineStr">
        <is>
          <t>espn_consensus</t>
        </is>
      </c>
      <c r="L792" s="26" t="n">
        <v>-105</v>
      </c>
      <c r="M792" s="27" t="n">
        <v>1.952381</v>
      </c>
      <c r="N792" s="28" t="n">
        <v>0.512195</v>
      </c>
      <c r="O792" s="28" t="n">
        <v>0.5436</v>
      </c>
      <c r="P792" s="28" t="n">
        <v>0.165</v>
      </c>
      <c r="Q792" s="28" t="n">
        <v>0.031405</v>
      </c>
      <c r="R792" s="26" t="n">
        <v>0</v>
      </c>
      <c r="S792" s="29" t="n">
        <v>1</v>
      </c>
      <c r="T792" s="24" t="inlineStr">
        <is>
          <t>cfb-total-v1</t>
        </is>
      </c>
      <c r="U792" s="24" t="inlineStr">
        <is>
          <t>settled</t>
        </is>
      </c>
      <c r="V792" s="24" t="inlineStr">
        <is>
          <t>win</t>
        </is>
      </c>
      <c r="W792" s="26" t="n">
        <v>41</v>
      </c>
      <c r="X792" s="26" t="n">
        <v>13</v>
      </c>
      <c r="Y792" s="25" t="n"/>
      <c r="Z792" s="26" t="n"/>
      <c r="AA792" s="28" t="n"/>
      <c r="AB792" s="28" t="n"/>
      <c r="AC792" s="30" t="n">
        <v>0.9524</v>
      </c>
      <c r="AD792" s="24" t="inlineStr">
        <is>
          <t>2026-10-04T20:45:29.132191Z</t>
        </is>
      </c>
      <c r="AE792" s="31" t="inlineStr">
        <is>
          <t>Projected total 54.2 pts (Weather adj: +0.0 pts). Total line 49.5 -&gt; P(Over)=0.544, P(Under)=0.456, P(Push)=0.000.</t>
        </is>
      </c>
      <c r="AF792" s="31" t="inlineStr">
        <is>
          <t>College football model; multi-market (moneyline, spread, total).</t>
        </is>
      </c>
      <c r="AG792" s="24" t="inlineStr">
        <is>
          <t>not_applicable</t>
        </is>
      </c>
      <c r="AH792" s="24" t="n"/>
      <c r="AI792" s="31" t="n"/>
      <c r="AJ792" s="31" t="n"/>
      <c r="AK792" s="24" t="inlineStr">
        <is>
          <t>model_qualified</t>
        </is>
      </c>
      <c r="AL792" s="26" t="n">
        <v>4</v>
      </c>
      <c r="AM792" s="24" t="inlineStr">
        <is>
          <t>QUALIFIED_SHADOW_CALL</t>
        </is>
      </c>
      <c r="AN792" s="24" t="inlineStr">
        <is>
          <t>CALL</t>
        </is>
      </c>
      <c r="AO792" s="24" t="inlineStr">
        <is>
          <t>QUALIFIED</t>
        </is>
      </c>
      <c r="AP792" s="24" t="inlineStr">
        <is>
          <t>Miami Hurricanes</t>
        </is>
      </c>
      <c r="AQ792" s="24" t="inlineStr">
        <is>
          <t>Miami Hurricanes</t>
        </is>
      </c>
      <c r="AR792" s="24" t="inlineStr">
        <is>
          <t>Miami Hurricanes</t>
        </is>
      </c>
      <c r="AS792" s="24" t="inlineStr">
        <is>
          <t>Clemson Tigers</t>
        </is>
      </c>
      <c r="AT792" s="24" t="inlineStr">
        <is>
          <t>Clemson Tigers</t>
        </is>
      </c>
      <c r="AU792" s="24" t="inlineStr">
        <is>
          <t>Clemson Tigers</t>
        </is>
      </c>
      <c r="AV792" s="24" t="n"/>
      <c r="AW792" s="24" t="n"/>
      <c r="AX792" s="24" t="inlineStr">
        <is>
          <t>statistical_model</t>
        </is>
      </c>
      <c r="AY792" s="24" t="n"/>
      <c r="AZ792" s="24" t="inlineStr">
        <is>
          <t>shadow_qualified</t>
        </is>
      </c>
      <c r="BA792" s="24" t="inlineStr">
        <is>
          <t>1d168f11d221cd3c</t>
        </is>
      </c>
      <c r="BB792" s="24" t="inlineStr">
        <is>
          <t>cfb_key_number_engine</t>
        </is>
      </c>
      <c r="BC792" s="24" t="inlineStr">
        <is>
          <t>cfb-total-v1</t>
        </is>
      </c>
      <c r="BD792" s="24" t="inlineStr">
        <is>
          <t>1d168f11d221cd3c</t>
        </is>
      </c>
      <c r="BE792" s="24" t="inlineStr">
        <is>
          <t>cfb-v1</t>
        </is>
      </c>
      <c r="BF792" s="24" t="inlineStr">
        <is>
          <t>1</t>
        </is>
      </c>
      <c r="BG792" s="24" t="inlineStr">
        <is>
          <t>1d168f11d221cd3c</t>
        </is>
      </c>
      <c r="BH792" s="24" t="inlineStr">
        <is>
          <t>2026-10-03T22:32:35.686759+00:00</t>
        </is>
      </c>
      <c r="BI792" s="24" t="inlineStr">
        <is>
          <t>["same_event","same_team_same_day","same_league_same_day"]</t>
        </is>
      </c>
      <c r="BJ792" s="25" t="n">
        <v>49.5</v>
      </c>
      <c r="BK792" s="26" t="n">
        <v>-105</v>
      </c>
      <c r="BL792" s="27" t="n">
        <v>1.952381</v>
      </c>
      <c r="BM792" s="28" t="n">
        <v>0.512195</v>
      </c>
      <c r="BN792" s="28" t="n"/>
      <c r="BO792" s="28" t="n"/>
      <c r="BP792" s="25" t="n"/>
      <c r="BQ792" s="27" t="n"/>
      <c r="BR792" s="28" t="n"/>
      <c r="BS792" s="28" t="n"/>
      <c r="BT792" s="28" t="n"/>
      <c r="BU792" s="25" t="n"/>
      <c r="BV792" s="29" t="n"/>
      <c r="BW792" s="24" t="n"/>
      <c r="BX792" s="30" t="n"/>
      <c r="BY792" s="27" t="n"/>
      <c r="BZ792" s="24" t="n"/>
      <c r="CA792" s="31" t="n"/>
      <c r="CB792" s="24" t="n"/>
      <c r="CC792" s="24" t="n"/>
      <c r="CD792" s="24" t="n"/>
      <c r="CE792" s="24" t="n"/>
      <c r="CF792" s="24" t="n"/>
      <c r="CG792" s="24" t="n"/>
      <c r="CH792" s="24" t="n"/>
      <c r="CI792" s="24" t="n"/>
      <c r="CJ792" s="24" t="n"/>
      <c r="CK792" s="24" t="n"/>
      <c r="CL792" s="24" t="n"/>
      <c r="CM792" s="24" t="n"/>
      <c r="CN792" s="24" t="n"/>
      <c r="CO792" s="24" t="n"/>
      <c r="CP792" s="24" t="n"/>
      <c r="CQ792" s="24" t="n"/>
      <c r="CR792" s="24" t="n"/>
      <c r="CS792" s="24" t="inlineStr">
        <is>
          <t>True</t>
        </is>
      </c>
      <c r="CT792" s="24" t="n"/>
      <c r="CU792" s="24" t="n"/>
      <c r="CV792" s="24" t="n"/>
      <c r="CW792" s="24" t="n"/>
      <c r="CX792" s="24" t="n"/>
      <c r="CY792" s="24" t="n"/>
      <c r="CZ792" s="24" t="n"/>
      <c r="DA792" s="24" t="n"/>
      <c r="DB792" s="24" t="n"/>
      <c r="DC792" s="24" t="n"/>
      <c r="DD792" s="24" t="n"/>
      <c r="DE792" s="24" t="n"/>
      <c r="DF792" s="24" t="n"/>
      <c r="DG792" s="24" t="n"/>
      <c r="DH792" s="24" t="n"/>
      <c r="DI792" s="24" t="n"/>
      <c r="DJ792" s="24" t="inlineStr">
        <is>
          <t>0.512195</t>
        </is>
      </c>
      <c r="DK792" s="24" t="n"/>
      <c r="DL792" s="24" t="n"/>
      <c r="DM792" s="24" t="n"/>
      <c r="DN792" s="24" t="n"/>
      <c r="DO792" s="24" t="n"/>
      <c r="DP792" s="24" t="n"/>
      <c r="DQ792" s="24" t="inlineStr">
        <is>
          <t>{"artifact_hash": "1d168f11d221cd3c", "event_id": "401858249", "event_start_utc": "2026-10-03T23:30Z", "features": {"altitude_fatigue_penalty": 0.0, "away_team": "Miami Hurricanes", "efficiency_gap": -3.871, "elo_away": 1785.8, "elo_home": 1486.4, "elo_home_win_prob": 0.206, "event_id": "401858249", "game_start_utc": "2026-10-03T23:30Z", "home_field_advantage_points": 2.8, "home_team": "Clemson Tigers", "is_dome": false, "is_fbs_vs_fcs": false, "is_neutral_site": false, "projected_away_points": 32.1, "projected_home_points": 22.1, "projected_margin_home": -10.0, "projected_possessions": 12.4, "projected_total": 54.2, "stadium_elevation_ft": 750, "travel_distance_miles": 622.0, "uncertainty": 0.165, "weather_total_adjustment": 0.0}, "historical_source_observation_times_verified": false, "inference_inputs": {"engine_source_sha256": "449ba2f0e86fa9c445730076a0e0bf100fb4914620be53c75c6f3bfe24298f3f", "mu_away": 32.1, "mu_home": 22.1,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41008940593401596396588148576692068985}, "uinteger": 0}, "spread_home_line": 14.0, "total_line": 49.5}, "market_type": "total", "model_version": "cfb-total-v1", "observed_at_utc": "2026-10-03T22:32:35.686759+00:00", "probabilities": {"over": 0.5436, "push": 0.0, "under": 0.4564}, "replay_scope": "Full precision score means, exact engine parameters and original RNG state; upstream feature construction not certified.", "schema": "cfb-joint-replay-v1", "snapshot_hash": "6a8ec9f4c90df6bb9f2c2e12815b62167573b856b8d06a24f7f9f3a5b4177499", "sport": "NCAAF"}</t>
        </is>
      </c>
    </row>
    <row r="793" ht="36" customHeight="1">
      <c r="A793" s="24" t="inlineStr">
        <is>
          <t>44449918b6204867</t>
        </is>
      </c>
      <c r="B793" s="24" t="inlineStr">
        <is>
          <t>2026-10-03T22:32:35.686759Z</t>
        </is>
      </c>
      <c r="C793" s="24" t="inlineStr">
        <is>
          <t>2026-10-03T23:30Z</t>
        </is>
      </c>
      <c r="D793" s="24" t="inlineStr">
        <is>
          <t>401856821</t>
        </is>
      </c>
      <c r="E793" s="24" t="inlineStr">
        <is>
          <t>NCAAF</t>
        </is>
      </c>
      <c r="F793" s="24" t="inlineStr">
        <is>
          <t>Texas Tech Red Raiders</t>
        </is>
      </c>
      <c r="G793" s="24" t="inlineStr">
        <is>
          <t>Colorado Buffaloes</t>
        </is>
      </c>
      <c r="H793" s="24" t="inlineStr">
        <is>
          <t>moneyline</t>
        </is>
      </c>
      <c r="I793" s="24" t="inlineStr">
        <is>
          <t>away</t>
        </is>
      </c>
      <c r="J793" s="25" t="n"/>
      <c r="K793" s="24" t="inlineStr">
        <is>
          <t>espn_consensus</t>
        </is>
      </c>
      <c r="L793" s="26" t="n">
        <v>-575</v>
      </c>
      <c r="M793" s="27" t="n">
        <v>1.173913</v>
      </c>
      <c r="N793" s="28" t="n">
        <v>0.8518520000000001</v>
      </c>
      <c r="O793" s="28" t="n">
        <v>0.814744</v>
      </c>
      <c r="P793" s="28" t="n">
        <v>0.18</v>
      </c>
      <c r="Q793" s="28" t="n">
        <v>-0.037108</v>
      </c>
      <c r="R793" s="26" t="n">
        <v>0</v>
      </c>
      <c r="S793" s="29" t="n">
        <v>1</v>
      </c>
      <c r="T793" s="24" t="inlineStr">
        <is>
          <t>college-football-v1</t>
        </is>
      </c>
      <c r="U793" s="24" t="inlineStr">
        <is>
          <t>settled</t>
        </is>
      </c>
      <c r="V793" s="24" t="inlineStr">
        <is>
          <t>win</t>
        </is>
      </c>
      <c r="W793" s="26" t="n">
        <v>29</v>
      </c>
      <c r="X793" s="26" t="n">
        <v>7</v>
      </c>
      <c r="Y793" s="25" t="n"/>
      <c r="Z793" s="26" t="n"/>
      <c r="AA793" s="28" t="n"/>
      <c r="AB793" s="28" t="n"/>
      <c r="AC793" s="30" t="n">
        <v>0.1739</v>
      </c>
      <c r="AD793" s="24" t="inlineStr">
        <is>
          <t>2026-10-04T20:45:33.939971Z</t>
        </is>
      </c>
      <c r="AE793" s="31" t="inlineStr">
        <is>
          <t>CFB Joint Model (negative_binomial): proj score Texas Tech Red Raiders 35.0 @ Colorado Buffaloes 18.4 (Margin -16.6). Possessions: 12.4, HFA: +2.8 pts.</t>
        </is>
      </c>
      <c r="AF793" s="31" t="inlineStr">
        <is>
          <t>College football model; multi-market (moneyline, spread, total).</t>
        </is>
      </c>
      <c r="AG793" s="24" t="inlineStr">
        <is>
          <t>not_applicable</t>
        </is>
      </c>
      <c r="AH793" s="24" t="n"/>
      <c r="AI793" s="31" t="n"/>
      <c r="AJ793" s="31" t="n"/>
      <c r="AK793" s="24" t="inlineStr">
        <is>
          <t>paper_call</t>
        </is>
      </c>
      <c r="AL793" s="26" t="n">
        <v>4</v>
      </c>
      <c r="AM793" s="24" t="inlineStr">
        <is>
          <t>RESEARCH_OBSERVATION</t>
        </is>
      </c>
      <c r="AN793" s="24" t="inlineStr">
        <is>
          <t>CALL</t>
        </is>
      </c>
      <c r="AO793" s="24" t="inlineStr">
        <is>
          <t>PAPER_CALL_LOW_EDGE</t>
        </is>
      </c>
      <c r="AP793" s="24" t="inlineStr">
        <is>
          <t>Texas Tech Red Raiders</t>
        </is>
      </c>
      <c r="AQ793" s="24" t="inlineStr">
        <is>
          <t>Texas Tech Red Raiders</t>
        </is>
      </c>
      <c r="AR793" s="24" t="inlineStr">
        <is>
          <t>Texas Tech Red Raiders</t>
        </is>
      </c>
      <c r="AS793" s="24" t="inlineStr">
        <is>
          <t>Colorado Buffaloes</t>
        </is>
      </c>
      <c r="AT793" s="24" t="inlineStr">
        <is>
          <t>Colorado Buffaloes</t>
        </is>
      </c>
      <c r="AU793" s="24" t="inlineStr">
        <is>
          <t>Colorado Buffaloes</t>
        </is>
      </c>
      <c r="AV793" s="24" t="n"/>
      <c r="AW793" s="24" t="n"/>
      <c r="AX793" s="24" t="inlineStr">
        <is>
          <t>statistical_model</t>
        </is>
      </c>
      <c r="AY793" s="24" t="n"/>
      <c r="AZ793" s="24" t="inlineStr">
        <is>
          <t>shadow_qualified</t>
        </is>
      </c>
      <c r="BA793" s="24" t="inlineStr">
        <is>
          <t>1d168f11d221cd3c</t>
        </is>
      </c>
      <c r="BB793" s="24" t="inlineStr">
        <is>
          <t>cfb_key_number_engine</t>
        </is>
      </c>
      <c r="BC793" s="24" t="inlineStr">
        <is>
          <t>college-football-v1</t>
        </is>
      </c>
      <c r="BD793" s="24" t="inlineStr">
        <is>
          <t>1d168f11d221cd3c</t>
        </is>
      </c>
      <c r="BE793" s="24" t="inlineStr">
        <is>
          <t>cfb-v1</t>
        </is>
      </c>
      <c r="BF793" s="24" t="inlineStr">
        <is>
          <t>1</t>
        </is>
      </c>
      <c r="BG793" s="24" t="inlineStr">
        <is>
          <t>1d168f11d221cd3c</t>
        </is>
      </c>
      <c r="BH793" s="24" t="inlineStr">
        <is>
          <t>2026-10-03T22:32:35.686759+00:00</t>
        </is>
      </c>
      <c r="BI793" s="24" t="inlineStr">
        <is>
          <t>["same_event","same_team_same_day","same_league_same_day"]</t>
        </is>
      </c>
      <c r="BJ793" s="25" t="n"/>
      <c r="BK793" s="26" t="n">
        <v>-575</v>
      </c>
      <c r="BL793" s="27" t="n">
        <v>1.173913</v>
      </c>
      <c r="BM793" s="28" t="n">
        <v>0.8518520000000001</v>
      </c>
      <c r="BN793" s="28" t="n"/>
      <c r="BO793" s="28" t="n"/>
      <c r="BP793" s="25" t="n"/>
      <c r="BQ793" s="27" t="n"/>
      <c r="BR793" s="28" t="n"/>
      <c r="BS793" s="28" t="n"/>
      <c r="BT793" s="28" t="n"/>
      <c r="BU793" s="25" t="n"/>
      <c r="BV793" s="29" t="n"/>
      <c r="BW793" s="24" t="n"/>
      <c r="BX793" s="30" t="n">
        <v>1</v>
      </c>
      <c r="BY793" s="27" t="n">
        <v>0.173913</v>
      </c>
      <c r="BZ793" s="24" t="inlineStr">
        <is>
          <t>2026-10-04T20:45:33.939971Z</t>
        </is>
      </c>
      <c r="CA793" s="31" t="inlineStr">
        <is>
          <t>fixed one-unit hypothetical scoring; no real exposure or execution</t>
        </is>
      </c>
      <c r="CB793" s="24" t="n"/>
      <c r="CC793" s="24" t="n"/>
      <c r="CD793" s="24" t="n"/>
      <c r="CE793" s="24" t="n"/>
      <c r="CF793" s="24" t="n"/>
      <c r="CG793" s="24" t="n"/>
      <c r="CH793" s="24" t="n"/>
      <c r="CI793" s="24" t="n"/>
      <c r="CJ793" s="24" t="n"/>
      <c r="CK793" s="24" t="n"/>
      <c r="CL793" s="24" t="n"/>
      <c r="CM793" s="24" t="n"/>
      <c r="CN793" s="24" t="n"/>
      <c r="CO793" s="24" t="n"/>
      <c r="CP793" s="24" t="n"/>
      <c r="CQ793" s="24" t="n"/>
      <c r="CR793" s="24" t="n"/>
      <c r="CS793" s="24" t="inlineStr">
        <is>
          <t>False</t>
        </is>
      </c>
      <c r="CT793" s="24" t="n"/>
      <c r="CU793" s="24" t="n"/>
      <c r="CV793" s="24" t="n"/>
      <c r="CW793" s="24" t="n"/>
      <c r="CX793" s="24" t="n"/>
      <c r="CY793" s="24" t="n"/>
      <c r="CZ793" s="24" t="n"/>
      <c r="DA793" s="24" t="n"/>
      <c r="DB793" s="24" t="n"/>
      <c r="DC793" s="24" t="n"/>
      <c r="DD793" s="24" t="n"/>
      <c r="DE793" s="24" t="n"/>
      <c r="DF793" s="24" t="n"/>
      <c r="DG793" s="24" t="n"/>
      <c r="DH793" s="24" t="n"/>
      <c r="DI793" s="24" t="n"/>
      <c r="DJ793" s="24" t="inlineStr">
        <is>
          <t>0.851852</t>
        </is>
      </c>
      <c r="DK793" s="24" t="n"/>
      <c r="DL793" s="24" t="n"/>
      <c r="DM793" s="24" t="n"/>
      <c r="DN793" s="24" t="n"/>
      <c r="DO793" s="24" t="n"/>
      <c r="DP793" s="24" t="n"/>
      <c r="DQ793" s="24" t="inlineStr">
        <is>
          <t>{"artifact_hash": "1d168f11d221cd3c", "event_id": "401856821", "event_start_utc": "2026-10-03T23:30Z", "features": {"altitude_fatigue_penalty": 0.93, "away_team": "Texas Tech Red Raiders", "efficiency_gap": -0.121, "elo_away": 1751.5, "elo_home": 1279.5, "elo_home_win_prob": 0.0876, "event_id": "401856821", "game_start_utc": "2026-10-03T23:30Z", "home_field_advantage_points": 2.8, "home_team": "Colorado Buffaloes", "is_dome": false, "is_fbs_vs_fcs": false, "is_neutral_site": false, "projected_away_points": 35.0, "projected_home_points": 18.4, "projected_margin_home": -16.6, "projected_possessions": 12.4, "projected_total": 53.4, "stadium_elevation_ft": 5360, "travel_distance_miles": 481.0, "uncertainty": 0.18, "weather_total_adjustment": 0.0}, "historical_source_observation_times_verified": false, "inference_inputs": {"engine_source_sha256": "449ba2f0e86fa9c445730076a0e0bf100fb4914620be53c75c6f3bfe24298f3f", "mu_away": 35.0,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30112448294283131332689379089660235696}, "uinteger": 0}, "spread_home_line": 13.5, "total_line": 49.5}, "market_type": "moneyline", "model_version": "college-football-v1", "observed_at_utc": "2026-10-03T22:32:35.686759+00:00", "probabilities": {"away": 0.814744, "home": 0.185256}, "replay_scope": "Full precision score means, exact engine parameters and original RNG state; upstream feature construction not certified.", "schema": "cfb-joint-replay-v1", "snapshot_hash": "351a9c9aafe4c656c34d27efad0a8f2167454f87ba7ff4835869043a3c7ed7a5", "sport": "NCAAF"}</t>
        </is>
      </c>
    </row>
    <row r="794" ht="36" customHeight="1">
      <c r="A794" s="24" t="inlineStr">
        <is>
          <t>f679b4f239d34bb0</t>
        </is>
      </c>
      <c r="B794" s="24" t="inlineStr">
        <is>
          <t>2026-10-03T22:32:35.686759Z</t>
        </is>
      </c>
      <c r="C794" s="24" t="inlineStr">
        <is>
          <t>2026-10-03T23:30Z</t>
        </is>
      </c>
      <c r="D794" s="24" t="inlineStr">
        <is>
          <t>401856821</t>
        </is>
      </c>
      <c r="E794" s="24" t="inlineStr">
        <is>
          <t>NCAAF</t>
        </is>
      </c>
      <c r="F794" s="24" t="inlineStr">
        <is>
          <t>Texas Tech Red Raiders</t>
        </is>
      </c>
      <c r="G794" s="24" t="inlineStr">
        <is>
          <t>Colorado Buffaloes</t>
        </is>
      </c>
      <c r="H794" s="24" t="inlineStr">
        <is>
          <t>spread</t>
        </is>
      </c>
      <c r="I794" s="24" t="inlineStr">
        <is>
          <t>away</t>
        </is>
      </c>
      <c r="J794" s="25" t="n">
        <v>-13.5</v>
      </c>
      <c r="K794" s="24" t="inlineStr">
        <is>
          <t>espn_consensus</t>
        </is>
      </c>
      <c r="L794" s="26" t="n">
        <v>-110</v>
      </c>
      <c r="M794" s="27" t="n">
        <v>1.909091</v>
      </c>
      <c r="N794" s="28" t="n">
        <v>0.52381</v>
      </c>
      <c r="O794" s="28" t="n">
        <v>0.5664670000000001</v>
      </c>
      <c r="P794" s="28" t="n">
        <v>0.18</v>
      </c>
      <c r="Q794" s="28" t="n">
        <v>0.042657</v>
      </c>
      <c r="R794" s="26" t="n">
        <v>0</v>
      </c>
      <c r="S794" s="29" t="n">
        <v>1</v>
      </c>
      <c r="T794" s="24" t="inlineStr">
        <is>
          <t>cfb-spread-v1</t>
        </is>
      </c>
      <c r="U794" s="24" t="inlineStr">
        <is>
          <t>settled</t>
        </is>
      </c>
      <c r="V794" s="24" t="inlineStr">
        <is>
          <t>win</t>
        </is>
      </c>
      <c r="W794" s="26" t="n">
        <v>29</v>
      </c>
      <c r="X794" s="26" t="n">
        <v>7</v>
      </c>
      <c r="Y794" s="25" t="n"/>
      <c r="Z794" s="26" t="n"/>
      <c r="AA794" s="28" t="n"/>
      <c r="AB794" s="28" t="n"/>
      <c r="AC794" s="30" t="n">
        <v>0.9091</v>
      </c>
      <c r="AD794" s="24" t="inlineStr">
        <is>
          <t>2026-10-04T20:45:38.022024Z</t>
        </is>
      </c>
      <c r="AE794" s="31" t="inlineStr">
        <is>
          <t>Projected home margin -16.6 pts. Spread: Home +13.5 / Away -13.5 -&gt; P(Away cover)=0.566, P(Home cover)=0.434, P(Push)=0.000.</t>
        </is>
      </c>
      <c r="AF794" s="31" t="inlineStr">
        <is>
          <t>College football model; multi-market (moneyline, spread, total).</t>
        </is>
      </c>
      <c r="AG794" s="24" t="inlineStr">
        <is>
          <t>not_applicable</t>
        </is>
      </c>
      <c r="AH794" s="24" t="n"/>
      <c r="AI794" s="31" t="n"/>
      <c r="AJ794" s="31" t="n"/>
      <c r="AK794" s="24" t="inlineStr">
        <is>
          <t>model_qualified</t>
        </is>
      </c>
      <c r="AL794" s="26" t="n">
        <v>4</v>
      </c>
      <c r="AM794" s="24" t="inlineStr">
        <is>
          <t>QUALIFIED_SHADOW_CALL</t>
        </is>
      </c>
      <c r="AN794" s="24" t="inlineStr">
        <is>
          <t>CALL</t>
        </is>
      </c>
      <c r="AO794" s="24" t="inlineStr">
        <is>
          <t>QUALIFIED</t>
        </is>
      </c>
      <c r="AP794" s="24" t="inlineStr">
        <is>
          <t>Texas Tech Red Raiders</t>
        </is>
      </c>
      <c r="AQ794" s="24" t="inlineStr">
        <is>
          <t>Texas Tech Red Raiders</t>
        </is>
      </c>
      <c r="AR794" s="24" t="inlineStr">
        <is>
          <t>Texas Tech Red Raiders</t>
        </is>
      </c>
      <c r="AS794" s="24" t="inlineStr">
        <is>
          <t>Colorado Buffaloes</t>
        </is>
      </c>
      <c r="AT794" s="24" t="inlineStr">
        <is>
          <t>Colorado Buffaloes</t>
        </is>
      </c>
      <c r="AU794" s="24" t="inlineStr">
        <is>
          <t>Colorado Buffaloes</t>
        </is>
      </c>
      <c r="AV794" s="24" t="n"/>
      <c r="AW794" s="24" t="n"/>
      <c r="AX794" s="24" t="inlineStr">
        <is>
          <t>statistical_model</t>
        </is>
      </c>
      <c r="AY794" s="24" t="n"/>
      <c r="AZ794" s="24" t="inlineStr">
        <is>
          <t>shadow_qualified</t>
        </is>
      </c>
      <c r="BA794" s="24" t="inlineStr">
        <is>
          <t>1d168f11d221cd3c</t>
        </is>
      </c>
      <c r="BB794" s="24" t="inlineStr">
        <is>
          <t>cfb_key_number_engine</t>
        </is>
      </c>
      <c r="BC794" s="24" t="inlineStr">
        <is>
          <t>cfb-spread-v1</t>
        </is>
      </c>
      <c r="BD794" s="24" t="inlineStr">
        <is>
          <t>1d168f11d221cd3c</t>
        </is>
      </c>
      <c r="BE794" s="24" t="inlineStr">
        <is>
          <t>cfb-v1</t>
        </is>
      </c>
      <c r="BF794" s="24" t="inlineStr">
        <is>
          <t>1</t>
        </is>
      </c>
      <c r="BG794" s="24" t="inlineStr">
        <is>
          <t>1d168f11d221cd3c</t>
        </is>
      </c>
      <c r="BH794" s="24" t="inlineStr">
        <is>
          <t>2026-10-03T22:32:35.686759+00:00</t>
        </is>
      </c>
      <c r="BI794" s="24" t="inlineStr">
        <is>
          <t>["same_event","same_team_same_day","same_league_same_day"]</t>
        </is>
      </c>
      <c r="BJ794" s="25" t="n">
        <v>-13.5</v>
      </c>
      <c r="BK794" s="26" t="n">
        <v>-110</v>
      </c>
      <c r="BL794" s="27" t="n">
        <v>1.909091</v>
      </c>
      <c r="BM794" s="28" t="n">
        <v>0.52381</v>
      </c>
      <c r="BN794" s="28" t="n"/>
      <c r="BO794" s="28" t="n"/>
      <c r="BP794" s="25" t="n"/>
      <c r="BQ794" s="27" t="n"/>
      <c r="BR794" s="28" t="n"/>
      <c r="BS794" s="28" t="n"/>
      <c r="BT794" s="28" t="n"/>
      <c r="BU794" s="25" t="n"/>
      <c r="BV794" s="29" t="n"/>
      <c r="BW794" s="24" t="n"/>
      <c r="BX794" s="30" t="n"/>
      <c r="BY794" s="27" t="n"/>
      <c r="BZ794" s="24" t="n"/>
      <c r="CA794" s="31" t="n"/>
      <c r="CB794" s="24" t="n"/>
      <c r="CC794" s="24" t="n"/>
      <c r="CD794" s="24" t="n"/>
      <c r="CE794" s="24" t="n"/>
      <c r="CF794" s="24" t="n"/>
      <c r="CG794" s="24" t="n"/>
      <c r="CH794" s="24" t="n"/>
      <c r="CI794" s="24" t="n"/>
      <c r="CJ794" s="24" t="n"/>
      <c r="CK794" s="24" t="n"/>
      <c r="CL794" s="24" t="n"/>
      <c r="CM794" s="24" t="n"/>
      <c r="CN794" s="24" t="n"/>
      <c r="CO794" s="24" t="n"/>
      <c r="CP794" s="24" t="n"/>
      <c r="CQ794" s="24" t="n"/>
      <c r="CR794" s="24" t="n"/>
      <c r="CS794" s="24" t="inlineStr">
        <is>
          <t>True</t>
        </is>
      </c>
      <c r="CT794" s="24" t="n"/>
      <c r="CU794" s="24" t="n"/>
      <c r="CV794" s="24" t="n"/>
      <c r="CW794" s="24" t="n"/>
      <c r="CX794" s="24" t="n"/>
      <c r="CY794" s="24" t="n"/>
      <c r="CZ794" s="24" t="n"/>
      <c r="DA794" s="24" t="n"/>
      <c r="DB794" s="24" t="n"/>
      <c r="DC794" s="24" t="n"/>
      <c r="DD794" s="24" t="n"/>
      <c r="DE794" s="24" t="n"/>
      <c r="DF794" s="24" t="n"/>
      <c r="DG794" s="24" t="n"/>
      <c r="DH794" s="24" t="n"/>
      <c r="DI794" s="24" t="n"/>
      <c r="DJ794" s="24" t="inlineStr">
        <is>
          <t>0.52381</t>
        </is>
      </c>
      <c r="DK794" s="24" t="n"/>
      <c r="DL794" s="24" t="n"/>
      <c r="DM794" s="24" t="n"/>
      <c r="DN794" s="24" t="n"/>
      <c r="DO794" s="24" t="n"/>
      <c r="DP794" s="24" t="n"/>
      <c r="DQ794" s="24" t="inlineStr">
        <is>
          <t>{"artifact_hash": "1d168f11d221cd3c", "event_id": "401856821", "event_start_utc": "2026-10-03T23:30Z", "features": {"altitude_fatigue_penalty": 0.93, "away_team": "Texas Tech Red Raiders", "efficiency_gap": -0.121, "elo_away": 1751.5, "elo_home": 1279.5, "elo_home_win_prob": 0.0876, "event_id": "401856821", "game_start_utc": "2026-10-03T23:30Z", "home_field_advantage_points": 2.8, "home_team": "Colorado Buffaloes", "is_dome": false, "is_fbs_vs_fcs": false, "is_neutral_site": false, "projected_away_points": 35.0, "projected_home_points": 18.4, "projected_margin_home": -16.6, "projected_possessions": 12.4, "projected_total": 53.4, "stadium_elevation_ft": 5360, "travel_distance_miles": 481.0, "uncertainty": 0.18, "weather_total_adjustment": 0.0}, "historical_source_observation_times_verified": false, "inference_inputs": {"engine_source_sha256": "449ba2f0e86fa9c445730076a0e0bf100fb4914620be53c75c6f3bfe24298f3f", "mu_away": 35.0,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30112448294283131332689379089660235696}, "uinteger": 0}, "spread_home_line": 13.5, "total_line": 49.5}, "market_type": "spread", "model_version": "cfb-spread-v1", "observed_at_utc": "2026-10-03T22:32:35.686759+00:00", "probabilities": {"away": 0.566467, "home": 0.433533, "push": 0.0}, "replay_scope": "Full precision score means, exact engine parameters and original RNG state; upstream feature construction not certified.", "schema": "cfb-joint-replay-v1", "snapshot_hash": "b8df0765df702a480030bc7c52d9e31f8166d327febc159666f7d079cd03ebfd", "sport": "NCAAF"}</t>
        </is>
      </c>
    </row>
    <row r="795" ht="36" customHeight="1">
      <c r="A795" s="24" t="inlineStr">
        <is>
          <t>2a2578417b954c3d</t>
        </is>
      </c>
      <c r="B795" s="24" t="inlineStr">
        <is>
          <t>2026-10-03T22:32:35.686759Z</t>
        </is>
      </c>
      <c r="C795" s="24" t="inlineStr">
        <is>
          <t>2026-10-03T23:30Z</t>
        </is>
      </c>
      <c r="D795" s="24" t="inlineStr">
        <is>
          <t>401856821</t>
        </is>
      </c>
      <c r="E795" s="24" t="inlineStr">
        <is>
          <t>NCAAF</t>
        </is>
      </c>
      <c r="F795" s="24" t="inlineStr">
        <is>
          <t>Texas Tech Red Raiders</t>
        </is>
      </c>
      <c r="G795" s="24" t="inlineStr">
        <is>
          <t>Colorado Buffaloes</t>
        </is>
      </c>
      <c r="H795" s="24" t="inlineStr">
        <is>
          <t>total</t>
        </is>
      </c>
      <c r="I795" s="24" t="inlineStr">
        <is>
          <t>over</t>
        </is>
      </c>
      <c r="J795" s="25" t="n">
        <v>49.5</v>
      </c>
      <c r="K795" s="24" t="inlineStr">
        <is>
          <t>espn_consensus</t>
        </is>
      </c>
      <c r="L795" s="26" t="n">
        <v>-108</v>
      </c>
      <c r="M795" s="27" t="n">
        <v>1.925926</v>
      </c>
      <c r="N795" s="28" t="n">
        <v>0.519231</v>
      </c>
      <c r="O795" s="28" t="n">
        <v>0.541533</v>
      </c>
      <c r="P795" s="28" t="n">
        <v>0.18</v>
      </c>
      <c r="Q795" s="28" t="n">
        <v>0.022302</v>
      </c>
      <c r="R795" s="26" t="n">
        <v>0</v>
      </c>
      <c r="S795" s="29" t="n">
        <v>1</v>
      </c>
      <c r="T795" s="24" t="inlineStr">
        <is>
          <t>cfb-total-v1</t>
        </is>
      </c>
      <c r="U795" s="24" t="inlineStr">
        <is>
          <t>settled</t>
        </is>
      </c>
      <c r="V795" s="24" t="inlineStr">
        <is>
          <t>loss</t>
        </is>
      </c>
      <c r="W795" s="26" t="n">
        <v>29</v>
      </c>
      <c r="X795" s="26" t="n">
        <v>7</v>
      </c>
      <c r="Y795" s="25" t="n"/>
      <c r="Z795" s="26" t="n"/>
      <c r="AA795" s="28" t="n"/>
      <c r="AB795" s="28" t="n"/>
      <c r="AC795" s="30" t="n">
        <v>-1</v>
      </c>
      <c r="AD795" s="24" t="inlineStr">
        <is>
          <t>2026-10-04T20:45:42.225751Z</t>
        </is>
      </c>
      <c r="AE795" s="31" t="inlineStr">
        <is>
          <t>Projected total 53.4 pts (Weather adj: +0.0 pts). Total line 49.5 -&gt; P(Over)=0.542, P(Under)=0.458, P(Push)=0.000.</t>
        </is>
      </c>
      <c r="AF795" s="31" t="inlineStr">
        <is>
          <t>College football model; multi-market (moneyline, spread, total).</t>
        </is>
      </c>
      <c r="AG795" s="24" t="inlineStr">
        <is>
          <t>review_required</t>
        </is>
      </c>
      <c r="AH795" s="24" t="n"/>
      <c r="AI795" s="31" t="n"/>
      <c r="AJ795" s="31" t="n"/>
      <c r="AK795" s="24" t="inlineStr">
        <is>
          <t>paper_call</t>
        </is>
      </c>
      <c r="AL795" s="26" t="n">
        <v>4</v>
      </c>
      <c r="AM795" s="24" t="inlineStr">
        <is>
          <t>RESEARCH_OBSERVATION</t>
        </is>
      </c>
      <c r="AN795" s="24" t="inlineStr">
        <is>
          <t>CALL</t>
        </is>
      </c>
      <c r="AO795" s="24" t="inlineStr">
        <is>
          <t>PAPER_CALL_LOW_EDGE</t>
        </is>
      </c>
      <c r="AP795" s="24" t="inlineStr">
        <is>
          <t>Texas Tech Red Raiders</t>
        </is>
      </c>
      <c r="AQ795" s="24" t="inlineStr">
        <is>
          <t>Texas Tech Red Raiders</t>
        </is>
      </c>
      <c r="AR795" s="24" t="inlineStr">
        <is>
          <t>Texas Tech Red Raiders</t>
        </is>
      </c>
      <c r="AS795" s="24" t="inlineStr">
        <is>
          <t>Colorado Buffaloes</t>
        </is>
      </c>
      <c r="AT795" s="24" t="inlineStr">
        <is>
          <t>Colorado Buffaloes</t>
        </is>
      </c>
      <c r="AU795" s="24" t="inlineStr">
        <is>
          <t>Colorado Buffaloes</t>
        </is>
      </c>
      <c r="AV795" s="24" t="n"/>
      <c r="AW795" s="24" t="n"/>
      <c r="AX795" s="24" t="inlineStr">
        <is>
          <t>statistical_model</t>
        </is>
      </c>
      <c r="AY795" s="24" t="n"/>
      <c r="AZ795" s="24" t="inlineStr">
        <is>
          <t>shadow_qualified</t>
        </is>
      </c>
      <c r="BA795" s="24" t="inlineStr">
        <is>
          <t>1d168f11d221cd3c</t>
        </is>
      </c>
      <c r="BB795" s="24" t="inlineStr">
        <is>
          <t>cfb_key_number_engine</t>
        </is>
      </c>
      <c r="BC795" s="24" t="inlineStr">
        <is>
          <t>cfb-total-v1</t>
        </is>
      </c>
      <c r="BD795" s="24" t="inlineStr">
        <is>
          <t>1d168f11d221cd3c</t>
        </is>
      </c>
      <c r="BE795" s="24" t="inlineStr">
        <is>
          <t>cfb-v1</t>
        </is>
      </c>
      <c r="BF795" s="24" t="inlineStr">
        <is>
          <t>1</t>
        </is>
      </c>
      <c r="BG795" s="24" t="inlineStr">
        <is>
          <t>1d168f11d221cd3c</t>
        </is>
      </c>
      <c r="BH795" s="24" t="inlineStr">
        <is>
          <t>2026-10-03T22:32:35.686759+00:00</t>
        </is>
      </c>
      <c r="BI795" s="24" t="inlineStr">
        <is>
          <t>["same_event","same_team_same_day","same_league_same_day"]</t>
        </is>
      </c>
      <c r="BJ795" s="25" t="n">
        <v>49.5</v>
      </c>
      <c r="BK795" s="26" t="n">
        <v>-108</v>
      </c>
      <c r="BL795" s="27" t="n">
        <v>1.925926</v>
      </c>
      <c r="BM795" s="28" t="n">
        <v>0.519231</v>
      </c>
      <c r="BN795" s="28" t="n"/>
      <c r="BO795" s="28" t="n"/>
      <c r="BP795" s="25" t="n"/>
      <c r="BQ795" s="27" t="n"/>
      <c r="BR795" s="28" t="n"/>
      <c r="BS795" s="28" t="n"/>
      <c r="BT795" s="28" t="n"/>
      <c r="BU795" s="25" t="n"/>
      <c r="BV795" s="29" t="n"/>
      <c r="BW795" s="24" t="n"/>
      <c r="BX795" s="30" t="n">
        <v>1</v>
      </c>
      <c r="BY795" s="27" t="n">
        <v>-1</v>
      </c>
      <c r="BZ795" s="24" t="inlineStr">
        <is>
          <t>2026-10-04T20:45:42.225751Z</t>
        </is>
      </c>
      <c r="CA795" s="31" t="inlineStr">
        <is>
          <t>fixed one-unit hypothetical scoring; no real exposure or execution</t>
        </is>
      </c>
      <c r="CB795" s="24" t="n"/>
      <c r="CC795" s="24" t="n"/>
      <c r="CD795" s="24" t="n"/>
      <c r="CE795" s="24" t="n"/>
      <c r="CF795" s="24" t="n"/>
      <c r="CG795" s="24" t="n"/>
      <c r="CH795" s="24" t="n"/>
      <c r="CI795" s="24" t="n"/>
      <c r="CJ795" s="24" t="n"/>
      <c r="CK795" s="24" t="n"/>
      <c r="CL795" s="24" t="n"/>
      <c r="CM795" s="24" t="n"/>
      <c r="CN795" s="24" t="n"/>
      <c r="CO795" s="24" t="n"/>
      <c r="CP795" s="24" t="n"/>
      <c r="CQ795" s="24" t="n"/>
      <c r="CR795" s="24" t="n"/>
      <c r="CS795" s="24" t="inlineStr">
        <is>
          <t>True</t>
        </is>
      </c>
      <c r="CT795" s="24" t="n"/>
      <c r="CU795" s="24" t="n"/>
      <c r="CV795" s="24" t="n"/>
      <c r="CW795" s="24" t="n"/>
      <c r="CX795" s="24" t="n"/>
      <c r="CY795" s="24" t="n"/>
      <c r="CZ795" s="24" t="n"/>
      <c r="DA795" s="24" t="n"/>
      <c r="DB795" s="24" t="n"/>
      <c r="DC795" s="24" t="n"/>
      <c r="DD795" s="24" t="n"/>
      <c r="DE795" s="24" t="n"/>
      <c r="DF795" s="24" t="n"/>
      <c r="DG795" s="24" t="n"/>
      <c r="DH795" s="24" t="n"/>
      <c r="DI795" s="24" t="n"/>
      <c r="DJ795" s="24" t="inlineStr">
        <is>
          <t>0.519231</t>
        </is>
      </c>
      <c r="DK795" s="24" t="n"/>
      <c r="DL795" s="24" t="n"/>
      <c r="DM795" s="24" t="n"/>
      <c r="DN795" s="24" t="n"/>
      <c r="DO795" s="24" t="n"/>
      <c r="DP795" s="24" t="n"/>
      <c r="DQ795" s="24" t="inlineStr">
        <is>
          <t>{"artifact_hash": "1d168f11d221cd3c", "event_id": "401856821", "event_start_utc": "2026-10-03T23:30Z", "features": {"altitude_fatigue_penalty": 0.93, "away_team": "Texas Tech Red Raiders", "efficiency_gap": -0.121, "elo_away": 1751.5, "elo_home": 1279.5, "elo_home_win_prob": 0.0876, "event_id": "401856821", "game_start_utc": "2026-10-03T23:30Z", "home_field_advantage_points": 2.8, "home_team": "Colorado Buffaloes", "is_dome": false, "is_fbs_vs_fcs": false, "is_neutral_site": false, "projected_away_points": 35.0, "projected_home_points": 18.4, "projected_margin_home": -16.6, "projected_possessions": 12.4, "projected_total": 53.4, "stadium_elevation_ft": 5360, "travel_distance_miles": 481.0, "uncertainty": 0.18, "weather_total_adjustment": 0.0}, "historical_source_observation_times_verified": false, "inference_inputs": {"engine_source_sha256": "449ba2f0e86fa9c445730076a0e0bf100fb4914620be53c75c6f3bfe24298f3f", "mu_away": 35.0, "mu_home": 18.4,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30112448294283131332689379089660235696}, "uinteger": 0}, "spread_home_line": 13.5, "total_line": 49.5}, "market_type": "total", "model_version": "cfb-total-v1", "observed_at_utc": "2026-10-03T22:32:35.686759+00:00", "probabilities": {"over": 0.541533, "push": 0.0, "under": 0.458467}, "replay_scope": "Full precision score means, exact engine parameters and original RNG state; upstream feature construction not certified.", "schema": "cfb-joint-replay-v1", "snapshot_hash": "4fbe193f5dfe21910825342cd427d2f3d447027db1f47d04515d2ebf378346b7", "sport": "NCAAF"}</t>
        </is>
      </c>
    </row>
    <row r="796" ht="36" customHeight="1">
      <c r="A796" s="24" t="inlineStr">
        <is>
          <t>05dbfb96b3d347de</t>
        </is>
      </c>
      <c r="B796" s="24" t="inlineStr">
        <is>
          <t>2026-10-03T22:32:35.686759Z</t>
        </is>
      </c>
      <c r="C796" s="24" t="inlineStr">
        <is>
          <t>2026-10-03T23:30Z</t>
        </is>
      </c>
      <c r="D796" s="24" t="inlineStr">
        <is>
          <t>401858478</t>
        </is>
      </c>
      <c r="E796" s="24" t="inlineStr">
        <is>
          <t>NCAAF</t>
        </is>
      </c>
      <c r="F796" s="24" t="inlineStr">
        <is>
          <t>Washington Huskies</t>
        </is>
      </c>
      <c r="G796" s="24" t="inlineStr">
        <is>
          <t>USC Trojans</t>
        </is>
      </c>
      <c r="H796" s="24" t="inlineStr">
        <is>
          <t>moneyline</t>
        </is>
      </c>
      <c r="I796" s="24" t="inlineStr">
        <is>
          <t>home</t>
        </is>
      </c>
      <c r="J796" s="25" t="n"/>
      <c r="K796" s="24" t="inlineStr">
        <is>
          <t>espn_consensus</t>
        </is>
      </c>
      <c r="L796" s="26" t="n">
        <v>-325</v>
      </c>
      <c r="M796" s="27" t="n">
        <v>1.307692</v>
      </c>
      <c r="N796" s="28" t="n">
        <v>0.764706</v>
      </c>
      <c r="O796" s="28" t="n">
        <v>0.584229</v>
      </c>
      <c r="P796" s="28" t="n">
        <v>0.165</v>
      </c>
      <c r="Q796" s="28" t="n">
        <v>-0.180477</v>
      </c>
      <c r="R796" s="26" t="n">
        <v>0</v>
      </c>
      <c r="S796" s="29" t="n">
        <v>1</v>
      </c>
      <c r="T796" s="24" t="inlineStr">
        <is>
          <t>college-football-v1</t>
        </is>
      </c>
      <c r="U796" s="24" t="inlineStr">
        <is>
          <t>settled</t>
        </is>
      </c>
      <c r="V796" s="24" t="inlineStr">
        <is>
          <t>win</t>
        </is>
      </c>
      <c r="W796" s="26" t="n">
        <v>21</v>
      </c>
      <c r="X796" s="26" t="n">
        <v>25</v>
      </c>
      <c r="Y796" s="25" t="n"/>
      <c r="Z796" s="26" t="n"/>
      <c r="AA796" s="28" t="n"/>
      <c r="AB796" s="28" t="n"/>
      <c r="AC796" s="30" t="n">
        <v>0.3077</v>
      </c>
      <c r="AD796" s="24" t="inlineStr">
        <is>
          <t>2026-10-04T20:45:46.869448Z</t>
        </is>
      </c>
      <c r="AE796" s="31" t="inlineStr">
        <is>
          <t>CFB Joint Model (negative_binomial): proj score Washington Huskies 25.7 @ USC Trojans 29.6 (Margin +4.0). Possessions: 12.4, HFA: +2.8 pts.</t>
        </is>
      </c>
      <c r="AF796" s="31" t="inlineStr">
        <is>
          <t>College football model; multi-market (moneyline, spread, total).</t>
        </is>
      </c>
      <c r="AG796" s="24" t="inlineStr">
        <is>
          <t>not_applicable</t>
        </is>
      </c>
      <c r="AH796" s="24" t="n"/>
      <c r="AI796" s="31" t="n"/>
      <c r="AJ796" s="31" t="n"/>
      <c r="AK796" s="24" t="inlineStr">
        <is>
          <t>paper_call</t>
        </is>
      </c>
      <c r="AL796" s="26" t="n">
        <v>4</v>
      </c>
      <c r="AM796" s="24" t="inlineStr">
        <is>
          <t>RESEARCH_OBSERVATION</t>
        </is>
      </c>
      <c r="AN796" s="24" t="inlineStr">
        <is>
          <t>CALL</t>
        </is>
      </c>
      <c r="AO796" s="24" t="inlineStr">
        <is>
          <t>PAPER_CALL_LOW_EDGE</t>
        </is>
      </c>
      <c r="AP796" s="24" t="inlineStr">
        <is>
          <t>Washington Huskies</t>
        </is>
      </c>
      <c r="AQ796" s="24" t="inlineStr">
        <is>
          <t>Washington Huskies</t>
        </is>
      </c>
      <c r="AR796" s="24" t="inlineStr">
        <is>
          <t>Washington Huskies</t>
        </is>
      </c>
      <c r="AS796" s="24" t="inlineStr">
        <is>
          <t>USC Trojans</t>
        </is>
      </c>
      <c r="AT796" s="24" t="inlineStr">
        <is>
          <t>USC Trojans</t>
        </is>
      </c>
      <c r="AU796" s="24" t="inlineStr">
        <is>
          <t>USC Trojans</t>
        </is>
      </c>
      <c r="AV796" s="24" t="n"/>
      <c r="AW796" s="24" t="n"/>
      <c r="AX796" s="24" t="inlineStr">
        <is>
          <t>statistical_model</t>
        </is>
      </c>
      <c r="AY796" s="24" t="n"/>
      <c r="AZ796" s="24" t="inlineStr">
        <is>
          <t>shadow_qualified</t>
        </is>
      </c>
      <c r="BA796" s="24" t="inlineStr">
        <is>
          <t>1d168f11d221cd3c</t>
        </is>
      </c>
      <c r="BB796" s="24" t="inlineStr">
        <is>
          <t>cfb_key_number_engine</t>
        </is>
      </c>
      <c r="BC796" s="24" t="inlineStr">
        <is>
          <t>college-football-v1</t>
        </is>
      </c>
      <c r="BD796" s="24" t="inlineStr">
        <is>
          <t>1d168f11d221cd3c</t>
        </is>
      </c>
      <c r="BE796" s="24" t="inlineStr">
        <is>
          <t>cfb-v1</t>
        </is>
      </c>
      <c r="BF796" s="24" t="inlineStr">
        <is>
          <t>1</t>
        </is>
      </c>
      <c r="BG796" s="24" t="inlineStr">
        <is>
          <t>1d168f11d221cd3c</t>
        </is>
      </c>
      <c r="BH796" s="24" t="inlineStr">
        <is>
          <t>2026-10-03T22:32:35.686759+00:00</t>
        </is>
      </c>
      <c r="BI796" s="24" t="inlineStr">
        <is>
          <t>["same_event","same_team_same_day","same_league_same_day"]</t>
        </is>
      </c>
      <c r="BJ796" s="25" t="n"/>
      <c r="BK796" s="26" t="n">
        <v>-325</v>
      </c>
      <c r="BL796" s="27" t="n">
        <v>1.307692</v>
      </c>
      <c r="BM796" s="28" t="n">
        <v>0.764706</v>
      </c>
      <c r="BN796" s="28" t="n"/>
      <c r="BO796" s="28" t="n"/>
      <c r="BP796" s="25" t="n"/>
      <c r="BQ796" s="27" t="n"/>
      <c r="BR796" s="28" t="n"/>
      <c r="BS796" s="28" t="n"/>
      <c r="BT796" s="28" t="n"/>
      <c r="BU796" s="25" t="n"/>
      <c r="BV796" s="29" t="n"/>
      <c r="BW796" s="24" t="n"/>
      <c r="BX796" s="30" t="n">
        <v>1</v>
      </c>
      <c r="BY796" s="27" t="n">
        <v>0.307692</v>
      </c>
      <c r="BZ796" s="24" t="inlineStr">
        <is>
          <t>2026-10-04T20:45:46.869448Z</t>
        </is>
      </c>
      <c r="CA796" s="31" t="inlineStr">
        <is>
          <t>fixed one-unit hypothetical scoring; no real exposure or execution</t>
        </is>
      </c>
      <c r="CB796" s="24" t="n"/>
      <c r="CC796" s="24" t="n"/>
      <c r="CD796" s="24" t="n"/>
      <c r="CE796" s="24" t="n"/>
      <c r="CF796" s="24" t="n"/>
      <c r="CG796" s="24" t="n"/>
      <c r="CH796" s="24" t="n"/>
      <c r="CI796" s="24" t="n"/>
      <c r="CJ796" s="24" t="n"/>
      <c r="CK796" s="24" t="n"/>
      <c r="CL796" s="24" t="n"/>
      <c r="CM796" s="24" t="n"/>
      <c r="CN796" s="24" t="n"/>
      <c r="CO796" s="24" t="n"/>
      <c r="CP796" s="24" t="n"/>
      <c r="CQ796" s="24" t="n"/>
      <c r="CR796" s="24" t="n"/>
      <c r="CS796" s="24" t="inlineStr">
        <is>
          <t>False</t>
        </is>
      </c>
      <c r="CT796" s="24" t="n"/>
      <c r="CU796" s="24" t="n"/>
      <c r="CV796" s="24" t="n"/>
      <c r="CW796" s="24" t="n"/>
      <c r="CX796" s="24" t="n"/>
      <c r="CY796" s="24" t="n"/>
      <c r="CZ796" s="24" t="n"/>
      <c r="DA796" s="24" t="n"/>
      <c r="DB796" s="24" t="n"/>
      <c r="DC796" s="24" t="n"/>
      <c r="DD796" s="24" t="n"/>
      <c r="DE796" s="24" t="n"/>
      <c r="DF796" s="24" t="n"/>
      <c r="DG796" s="24" t="n"/>
      <c r="DH796" s="24" t="n"/>
      <c r="DI796" s="24" t="n"/>
      <c r="DJ796" s="24" t="inlineStr">
        <is>
          <t>0.764706</t>
        </is>
      </c>
      <c r="DK796" s="24" t="n"/>
      <c r="DL796" s="24" t="n"/>
      <c r="DM796" s="24" t="n"/>
      <c r="DN796" s="24" t="n"/>
      <c r="DO796" s="24" t="n"/>
      <c r="DP796" s="24" t="n"/>
      <c r="DQ796" s="24" t="inlineStr">
        <is>
          <t>{"artifact_hash": "1d168f11d221cd3c", "event_id": "401858478", "event_start_utc": "2026-10-03T23:30Z", "features": {"altitude_fatigue_penalty": 0.0, "away_team": "Washington Huskies", "efficiency_gap": 0.653, "elo_away": 1695.9, "elo_home": 1724.5, "elo_home_win_prob": 0.6314, "event_id": "401858478", "game_start_utc": "2026-10-03T23:30Z", "home_field_advantage_points": 2.8, "home_team": "USC Trojans", "is_dome": false, "is_fbs_vs_fcs": false, "is_neutral_site": false, "projected_away_points": 25.7, "projected_home_points": 29.6, "projected_margin_home": 4.0, "projected_possessions": 12.4, "projected_total": 55.3, "stadium_elevation_ft": 210, "travel_distance_miles": 965.0, "uncertainty": 0.165, "weather_total_adjustment": 0.0}, "historical_source_observation_times_verified": false, "inference_inputs": {"engine_source_sha256": "449ba2f0e86fa9c445730076a0e0bf100fb4914620be53c75c6f3bfe24298f3f", "mu_away": 25.7, "mu_home": 29.6,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263168259553605663803108075320291787341}, "uinteger": 0}, "spread_home_line": -7.5, "total_line": 58.5}, "market_type": "moneyline", "model_version": "college-football-v1", "observed_at_utc": "2026-10-03T22:32:35.686759+00:00", "probabilities": {"away": 0.415771, "home": 0.584229}, "replay_scope": "Full precision score means, exact engine parameters and original RNG state; upstream feature construction not certified.", "schema": "cfb-joint-replay-v1", "snapshot_hash": "253b7ea111b89afbc1118b3e53bdabf2adef11283f79f3475ab53f83f288537e", "sport": "NCAAF"}</t>
        </is>
      </c>
    </row>
    <row r="797" ht="36" customHeight="1">
      <c r="A797" s="24" t="inlineStr">
        <is>
          <t>9ca2ecb27562482b</t>
        </is>
      </c>
      <c r="B797" s="24" t="inlineStr">
        <is>
          <t>2026-10-03T22:32:35.686759Z</t>
        </is>
      </c>
      <c r="C797" s="24" t="inlineStr">
        <is>
          <t>2026-10-03T23:30Z</t>
        </is>
      </c>
      <c r="D797" s="24" t="inlineStr">
        <is>
          <t>401858478</t>
        </is>
      </c>
      <c r="E797" s="24" t="inlineStr">
        <is>
          <t>NCAAF</t>
        </is>
      </c>
      <c r="F797" s="24" t="inlineStr">
        <is>
          <t>Washington Huskies</t>
        </is>
      </c>
      <c r="G797" s="24" t="inlineStr">
        <is>
          <t>USC Trojans</t>
        </is>
      </c>
      <c r="H797" s="24" t="inlineStr">
        <is>
          <t>spread</t>
        </is>
      </c>
      <c r="I797" s="24" t="inlineStr">
        <is>
          <t>away</t>
        </is>
      </c>
      <c r="J797" s="25" t="n">
        <v>7.5</v>
      </c>
      <c r="K797" s="24" t="inlineStr">
        <is>
          <t>espn_consensus</t>
        </is>
      </c>
      <c r="L797" s="26" t="n">
        <v>-115</v>
      </c>
      <c r="M797" s="27" t="n">
        <v>1.869565</v>
      </c>
      <c r="N797" s="28" t="n">
        <v>0.534884</v>
      </c>
      <c r="O797" s="28" t="n">
        <v>0.5698</v>
      </c>
      <c r="P797" s="28" t="n">
        <v>0.165</v>
      </c>
      <c r="Q797" s="28" t="n">
        <v>0.034916</v>
      </c>
      <c r="R797" s="26" t="n">
        <v>0</v>
      </c>
      <c r="S797" s="29" t="n">
        <v>1</v>
      </c>
      <c r="T797" s="24" t="inlineStr">
        <is>
          <t>cfb-spread-v1</t>
        </is>
      </c>
      <c r="U797" s="24" t="inlineStr">
        <is>
          <t>settled</t>
        </is>
      </c>
      <c r="V797" s="24" t="inlineStr">
        <is>
          <t>win</t>
        </is>
      </c>
      <c r="W797" s="26" t="n">
        <v>21</v>
      </c>
      <c r="X797" s="26" t="n">
        <v>25</v>
      </c>
      <c r="Y797" s="25" t="n"/>
      <c r="Z797" s="26" t="n"/>
      <c r="AA797" s="28" t="n"/>
      <c r="AB797" s="28" t="n"/>
      <c r="AC797" s="30" t="n">
        <v>0.8696</v>
      </c>
      <c r="AD797" s="24" t="inlineStr">
        <is>
          <t>2026-10-04T20:45:51.900398Z</t>
        </is>
      </c>
      <c r="AE797" s="31" t="inlineStr">
        <is>
          <t>Projected home margin +4.0 pts. Spread: Home -7.5 / Away +7.5 -&gt; P(Away cover)=0.570, P(Home cover)=0.430, P(Push)=0.000.</t>
        </is>
      </c>
      <c r="AF797" s="31" t="inlineStr">
        <is>
          <t>College football model; multi-market (moneyline, spread, total).</t>
        </is>
      </c>
      <c r="AG797" s="24" t="inlineStr">
        <is>
          <t>not_applicable</t>
        </is>
      </c>
      <c r="AH797" s="24" t="n"/>
      <c r="AI797" s="31" t="n"/>
      <c r="AJ797" s="31" t="n"/>
      <c r="AK797" s="24" t="inlineStr">
        <is>
          <t>model_qualified</t>
        </is>
      </c>
      <c r="AL797" s="26" t="n">
        <v>4</v>
      </c>
      <c r="AM797" s="24" t="inlineStr">
        <is>
          <t>QUALIFIED_SHADOW_CALL</t>
        </is>
      </c>
      <c r="AN797" s="24" t="inlineStr">
        <is>
          <t>CALL</t>
        </is>
      </c>
      <c r="AO797" s="24" t="inlineStr">
        <is>
          <t>QUALIFIED</t>
        </is>
      </c>
      <c r="AP797" s="24" t="inlineStr">
        <is>
          <t>Washington Huskies</t>
        </is>
      </c>
      <c r="AQ797" s="24" t="inlineStr">
        <is>
          <t>Washington Huskies</t>
        </is>
      </c>
      <c r="AR797" s="24" t="inlineStr">
        <is>
          <t>Washington Huskies</t>
        </is>
      </c>
      <c r="AS797" s="24" t="inlineStr">
        <is>
          <t>USC Trojans</t>
        </is>
      </c>
      <c r="AT797" s="24" t="inlineStr">
        <is>
          <t>USC Trojans</t>
        </is>
      </c>
      <c r="AU797" s="24" t="inlineStr">
        <is>
          <t>USC Trojans</t>
        </is>
      </c>
      <c r="AV797" s="24" t="n"/>
      <c r="AW797" s="24" t="n"/>
      <c r="AX797" s="24" t="inlineStr">
        <is>
          <t>statistical_model</t>
        </is>
      </c>
      <c r="AY797" s="24" t="n"/>
      <c r="AZ797" s="24" t="inlineStr">
        <is>
          <t>shadow_qualified</t>
        </is>
      </c>
      <c r="BA797" s="24" t="inlineStr">
        <is>
          <t>1d168f11d221cd3c</t>
        </is>
      </c>
      <c r="BB797" s="24" t="inlineStr">
        <is>
          <t>cfb_key_number_engine</t>
        </is>
      </c>
      <c r="BC797" s="24" t="inlineStr">
        <is>
          <t>cfb-spread-v1</t>
        </is>
      </c>
      <c r="BD797" s="24" t="inlineStr">
        <is>
          <t>1d168f11d221cd3c</t>
        </is>
      </c>
      <c r="BE797" s="24" t="inlineStr">
        <is>
          <t>cfb-v1</t>
        </is>
      </c>
      <c r="BF797" s="24" t="inlineStr">
        <is>
          <t>1</t>
        </is>
      </c>
      <c r="BG797" s="24" t="inlineStr">
        <is>
          <t>1d168f11d221cd3c</t>
        </is>
      </c>
      <c r="BH797" s="24" t="inlineStr">
        <is>
          <t>2026-10-03T22:32:35.686759+00:00</t>
        </is>
      </c>
      <c r="BI797" s="24" t="inlineStr">
        <is>
          <t>["same_event","same_team_same_day","same_league_same_day"]</t>
        </is>
      </c>
      <c r="BJ797" s="25" t="n">
        <v>7.5</v>
      </c>
      <c r="BK797" s="26" t="n">
        <v>-115</v>
      </c>
      <c r="BL797" s="27" t="n">
        <v>1.869565</v>
      </c>
      <c r="BM797" s="28" t="n">
        <v>0.534884</v>
      </c>
      <c r="BN797" s="28" t="n"/>
      <c r="BO797" s="28" t="n"/>
      <c r="BP797" s="25" t="n"/>
      <c r="BQ797" s="27" t="n"/>
      <c r="BR797" s="28" t="n"/>
      <c r="BS797" s="28" t="n"/>
      <c r="BT797" s="28" t="n"/>
      <c r="BU797" s="25" t="n"/>
      <c r="BV797" s="29" t="n"/>
      <c r="BW797" s="24" t="n"/>
      <c r="BX797" s="30" t="n"/>
      <c r="BY797" s="27" t="n"/>
      <c r="BZ797" s="24" t="n"/>
      <c r="CA797" s="31" t="n"/>
      <c r="CB797" s="24" t="n"/>
      <c r="CC797" s="24" t="n"/>
      <c r="CD797" s="24" t="n"/>
      <c r="CE797" s="24" t="n"/>
      <c r="CF797" s="24" t="n"/>
      <c r="CG797" s="24" t="n"/>
      <c r="CH797" s="24" t="n"/>
      <c r="CI797" s="24" t="n"/>
      <c r="CJ797" s="24" t="n"/>
      <c r="CK797" s="24" t="n"/>
      <c r="CL797" s="24" t="n"/>
      <c r="CM797" s="24" t="n"/>
      <c r="CN797" s="24" t="n"/>
      <c r="CO797" s="24" t="n"/>
      <c r="CP797" s="24" t="n"/>
      <c r="CQ797" s="24" t="n"/>
      <c r="CR797" s="24" t="n"/>
      <c r="CS797" s="24" t="inlineStr">
        <is>
          <t>True</t>
        </is>
      </c>
      <c r="CT797" s="24" t="n"/>
      <c r="CU797" s="24" t="n"/>
      <c r="CV797" s="24" t="n"/>
      <c r="CW797" s="24" t="n"/>
      <c r="CX797" s="24" t="n"/>
      <c r="CY797" s="24" t="n"/>
      <c r="CZ797" s="24" t="n"/>
      <c r="DA797" s="24" t="n"/>
      <c r="DB797" s="24" t="n"/>
      <c r="DC797" s="24" t="n"/>
      <c r="DD797" s="24" t="n"/>
      <c r="DE797" s="24" t="n"/>
      <c r="DF797" s="24" t="n"/>
      <c r="DG797" s="24" t="n"/>
      <c r="DH797" s="24" t="n"/>
      <c r="DI797" s="24" t="n"/>
      <c r="DJ797" s="24" t="inlineStr">
        <is>
          <t>0.534884</t>
        </is>
      </c>
      <c r="DK797" s="24" t="n"/>
      <c r="DL797" s="24" t="n"/>
      <c r="DM797" s="24" t="n"/>
      <c r="DN797" s="24" t="n"/>
      <c r="DO797" s="24" t="n"/>
      <c r="DP797" s="24" t="n"/>
      <c r="DQ797" s="24" t="inlineStr">
        <is>
          <t>{"artifact_hash": "1d168f11d221cd3c", "event_id": "401858478", "event_start_utc": "2026-10-03T23:30Z", "features": {"altitude_fatigue_penalty": 0.0, "away_team": "Washington Huskies", "efficiency_gap": 0.653, "elo_away": 1695.9, "elo_home": 1724.5, "elo_home_win_prob": 0.6314, "event_id": "401858478", "game_start_utc": "2026-10-03T23:30Z", "home_field_advantage_points": 2.8, "home_team": "USC Trojans", "is_dome": false, "is_fbs_vs_fcs": false, "is_neutral_site": false, "projected_away_points": 25.7, "projected_home_points": 29.6, "projected_margin_home": 4.0, "projected_possessions": 12.4, "projected_total": 55.3, "stadium_elevation_ft": 210, "travel_distance_miles": 965.0, "uncertainty": 0.165, "weather_total_adjustment": 0.0}, "historical_source_observation_times_verified": false, "inference_inputs": {"engine_source_sha256": "449ba2f0e86fa9c445730076a0e0bf100fb4914620be53c75c6f3bfe24298f3f", "mu_away": 25.7, "mu_home": 29.6,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263168259553605663803108075320291787341}, "uinteger": 0}, "spread_home_line": -7.5, "total_line": 58.5}, "market_type": "spread", "model_version": "cfb-spread-v1", "observed_at_utc": "2026-10-03T22:32:35.686759+00:00", "probabilities": {"away": 0.5698, "home": 0.4302, "push": 0.0}, "replay_scope": "Full precision score means, exact engine parameters and original RNG state; upstream feature construction not certified.", "schema": "cfb-joint-replay-v1", "snapshot_hash": "9566c287d6b9f1a165bed38d1e7d1171ae26ede45cd8835b875ba45ecd317ae9", "sport": "NCAAF"}</t>
        </is>
      </c>
    </row>
    <row r="798" ht="36" customHeight="1">
      <c r="A798" s="24" t="inlineStr">
        <is>
          <t>cfe58d4603d74e65</t>
        </is>
      </c>
      <c r="B798" s="24" t="inlineStr">
        <is>
          <t>2026-10-03T22:32:35.686759Z</t>
        </is>
      </c>
      <c r="C798" s="24" t="inlineStr">
        <is>
          <t>2026-10-03T23:30Z</t>
        </is>
      </c>
      <c r="D798" s="24" t="inlineStr">
        <is>
          <t>401858478</t>
        </is>
      </c>
      <c r="E798" s="24" t="inlineStr">
        <is>
          <t>NCAAF</t>
        </is>
      </c>
      <c r="F798" s="24" t="inlineStr">
        <is>
          <t>Washington Huskies</t>
        </is>
      </c>
      <c r="G798" s="24" t="inlineStr">
        <is>
          <t>USC Trojans</t>
        </is>
      </c>
      <c r="H798" s="24" t="inlineStr">
        <is>
          <t>total</t>
        </is>
      </c>
      <c r="I798" s="24" t="inlineStr">
        <is>
          <t>under</t>
        </is>
      </c>
      <c r="J798" s="25" t="n">
        <v>58.5</v>
      </c>
      <c r="K798" s="24" t="inlineStr">
        <is>
          <t>espn_consensus</t>
        </is>
      </c>
      <c r="L798" s="26" t="n">
        <v>-115</v>
      </c>
      <c r="M798" s="27" t="n">
        <v>1.869565</v>
      </c>
      <c r="N798" s="28" t="n">
        <v>0.534884</v>
      </c>
      <c r="O798" s="28" t="n">
        <v>0.578467</v>
      </c>
      <c r="P798" s="28" t="n">
        <v>0.165</v>
      </c>
      <c r="Q798" s="28" t="n">
        <v>0.043583</v>
      </c>
      <c r="R798" s="26" t="n">
        <v>0</v>
      </c>
      <c r="S798" s="29" t="n">
        <v>1</v>
      </c>
      <c r="T798" s="24" t="inlineStr">
        <is>
          <t>cfb-total-v1</t>
        </is>
      </c>
      <c r="U798" s="24" t="inlineStr">
        <is>
          <t>settled</t>
        </is>
      </c>
      <c r="V798" s="24" t="inlineStr">
        <is>
          <t>win</t>
        </is>
      </c>
      <c r="W798" s="26" t="n">
        <v>21</v>
      </c>
      <c r="X798" s="26" t="n">
        <v>25</v>
      </c>
      <c r="Y798" s="25" t="n"/>
      <c r="Z798" s="26" t="n"/>
      <c r="AA798" s="28" t="n"/>
      <c r="AB798" s="28" t="n"/>
      <c r="AC798" s="30" t="n">
        <v>0.8696</v>
      </c>
      <c r="AD798" s="24" t="inlineStr">
        <is>
          <t>2026-10-04T20:45:57.984330Z</t>
        </is>
      </c>
      <c r="AE798" s="31" t="inlineStr">
        <is>
          <t>Projected total 55.3 pts (Weather adj: +0.0 pts). Total line 58.5 -&gt; P(Over)=0.422, P(Under)=0.578, P(Push)=0.000.</t>
        </is>
      </c>
      <c r="AF798" s="31" t="inlineStr">
        <is>
          <t>College football model; multi-market (moneyline, spread, total).</t>
        </is>
      </c>
      <c r="AG798" s="24" t="inlineStr">
        <is>
          <t>not_applicable</t>
        </is>
      </c>
      <c r="AH798" s="24" t="n"/>
      <c r="AI798" s="31" t="n"/>
      <c r="AJ798" s="31" t="n"/>
      <c r="AK798" s="24" t="inlineStr">
        <is>
          <t>model_qualified</t>
        </is>
      </c>
      <c r="AL798" s="26" t="n">
        <v>4</v>
      </c>
      <c r="AM798" s="24" t="inlineStr">
        <is>
          <t>QUALIFIED_SHADOW_CALL</t>
        </is>
      </c>
      <c r="AN798" s="24" t="inlineStr">
        <is>
          <t>CALL</t>
        </is>
      </c>
      <c r="AO798" s="24" t="inlineStr">
        <is>
          <t>QUALIFIED</t>
        </is>
      </c>
      <c r="AP798" s="24" t="inlineStr">
        <is>
          <t>Washington Huskies</t>
        </is>
      </c>
      <c r="AQ798" s="24" t="inlineStr">
        <is>
          <t>Washington Huskies</t>
        </is>
      </c>
      <c r="AR798" s="24" t="inlineStr">
        <is>
          <t>Washington Huskies</t>
        </is>
      </c>
      <c r="AS798" s="24" t="inlineStr">
        <is>
          <t>USC Trojans</t>
        </is>
      </c>
      <c r="AT798" s="24" t="inlineStr">
        <is>
          <t>USC Trojans</t>
        </is>
      </c>
      <c r="AU798" s="24" t="inlineStr">
        <is>
          <t>USC Trojans</t>
        </is>
      </c>
      <c r="AV798" s="24" t="n"/>
      <c r="AW798" s="24" t="n"/>
      <c r="AX798" s="24" t="inlineStr">
        <is>
          <t>statistical_model</t>
        </is>
      </c>
      <c r="AY798" s="24" t="n"/>
      <c r="AZ798" s="24" t="inlineStr">
        <is>
          <t>shadow_qualified</t>
        </is>
      </c>
      <c r="BA798" s="24" t="inlineStr">
        <is>
          <t>1d168f11d221cd3c</t>
        </is>
      </c>
      <c r="BB798" s="24" t="inlineStr">
        <is>
          <t>cfb_key_number_engine</t>
        </is>
      </c>
      <c r="BC798" s="24" t="inlineStr">
        <is>
          <t>cfb-total-v1</t>
        </is>
      </c>
      <c r="BD798" s="24" t="inlineStr">
        <is>
          <t>1d168f11d221cd3c</t>
        </is>
      </c>
      <c r="BE798" s="24" t="inlineStr">
        <is>
          <t>cfb-v1</t>
        </is>
      </c>
      <c r="BF798" s="24" t="inlineStr">
        <is>
          <t>1</t>
        </is>
      </c>
      <c r="BG798" s="24" t="inlineStr">
        <is>
          <t>1d168f11d221cd3c</t>
        </is>
      </c>
      <c r="BH798" s="24" t="inlineStr">
        <is>
          <t>2026-10-03T22:32:35.686759+00:00</t>
        </is>
      </c>
      <c r="BI798" s="24" t="inlineStr">
        <is>
          <t>["same_event","same_team_same_day","same_league_same_day"]</t>
        </is>
      </c>
      <c r="BJ798" s="25" t="n">
        <v>58.5</v>
      </c>
      <c r="BK798" s="26" t="n">
        <v>-115</v>
      </c>
      <c r="BL798" s="27" t="n">
        <v>1.869565</v>
      </c>
      <c r="BM798" s="28" t="n">
        <v>0.534884</v>
      </c>
      <c r="BN798" s="28" t="n"/>
      <c r="BO798" s="28" t="n"/>
      <c r="BP798" s="25" t="n"/>
      <c r="BQ798" s="27" t="n"/>
      <c r="BR798" s="28" t="n"/>
      <c r="BS798" s="28" t="n"/>
      <c r="BT798" s="28" t="n"/>
      <c r="BU798" s="25" t="n"/>
      <c r="BV798" s="29" t="n"/>
      <c r="BW798" s="24" t="n"/>
      <c r="BX798" s="30" t="n"/>
      <c r="BY798" s="27" t="n"/>
      <c r="BZ798" s="24" t="n"/>
      <c r="CA798" s="31" t="n"/>
      <c r="CB798" s="24" t="n"/>
      <c r="CC798" s="24" t="n"/>
      <c r="CD798" s="24" t="n"/>
      <c r="CE798" s="24" t="n"/>
      <c r="CF798" s="24" t="n"/>
      <c r="CG798" s="24" t="n"/>
      <c r="CH798" s="24" t="n"/>
      <c r="CI798" s="24" t="n"/>
      <c r="CJ798" s="24" t="n"/>
      <c r="CK798" s="24" t="n"/>
      <c r="CL798" s="24" t="n"/>
      <c r="CM798" s="24" t="n"/>
      <c r="CN798" s="24" t="n"/>
      <c r="CO798" s="24" t="n"/>
      <c r="CP798" s="24" t="n"/>
      <c r="CQ798" s="24" t="n"/>
      <c r="CR798" s="24" t="n"/>
      <c r="CS798" s="24" t="inlineStr">
        <is>
          <t>True</t>
        </is>
      </c>
      <c r="CT798" s="24" t="n"/>
      <c r="CU798" s="24" t="n"/>
      <c r="CV798" s="24" t="n"/>
      <c r="CW798" s="24" t="n"/>
      <c r="CX798" s="24" t="n"/>
      <c r="CY798" s="24" t="n"/>
      <c r="CZ798" s="24" t="n"/>
      <c r="DA798" s="24" t="n"/>
      <c r="DB798" s="24" t="n"/>
      <c r="DC798" s="24" t="n"/>
      <c r="DD798" s="24" t="n"/>
      <c r="DE798" s="24" t="n"/>
      <c r="DF798" s="24" t="n"/>
      <c r="DG798" s="24" t="n"/>
      <c r="DH798" s="24" t="n"/>
      <c r="DI798" s="24" t="n"/>
      <c r="DJ798" s="24" t="inlineStr">
        <is>
          <t>0.534884</t>
        </is>
      </c>
      <c r="DK798" s="24" t="n"/>
      <c r="DL798" s="24" t="n"/>
      <c r="DM798" s="24" t="n"/>
      <c r="DN798" s="24" t="n"/>
      <c r="DO798" s="24" t="n"/>
      <c r="DP798" s="24" t="n"/>
      <c r="DQ798" s="24" t="inlineStr">
        <is>
          <t>{"artifact_hash": "1d168f11d221cd3c", "event_id": "401858478", "event_start_utc": "2026-10-03T23:30Z", "features": {"altitude_fatigue_penalty": 0.0, "away_team": "Washington Huskies", "efficiency_gap": 0.653, "elo_away": 1695.9, "elo_home": 1724.5, "elo_home_win_prob": 0.6314, "event_id": "401858478", "game_start_utc": "2026-10-03T23:30Z", "home_field_advantage_points": 2.8, "home_team": "USC Trojans", "is_dome": false, "is_fbs_vs_fcs": false, "is_neutral_site": false, "projected_away_points": 25.7, "projected_home_points": 29.6, "projected_margin_home": 4.0, "projected_possessions": 12.4, "projected_total": 55.3, "stadium_elevation_ft": 210, "travel_distance_miles": 965.0, "uncertainty": 0.165, "weather_total_adjustment": 0.0}, "historical_source_observation_times_verified": false, "inference_inputs": {"engine_source_sha256": "449ba2f0e86fa9c445730076a0e0bf100fb4914620be53c75c6f3bfe24298f3f", "mu_away": 25.7, "mu_home": 29.6,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263168259553605663803108075320291787341}, "uinteger": 0}, "spread_home_line": -7.5, "total_line": 58.5}, "market_type": "total", "model_version": "cfb-total-v1", "observed_at_utc": "2026-10-03T22:32:35.686759+00:00", "probabilities": {"over": 0.421533, "push": 0.0, "under": 0.578467}, "replay_scope": "Full precision score means, exact engine parameters and original RNG state; upstream feature construction not certified.", "schema": "cfb-joint-replay-v1", "snapshot_hash": "1ab3413cc70c67166753e36cdb667d65b1b8e6e1fa5c7e317e937206b571d3a9", "sport": "NCAAF"}</t>
        </is>
      </c>
    </row>
    <row r="799" ht="36" customHeight="1">
      <c r="A799" s="24" t="inlineStr">
        <is>
          <t>acf3dab715314e66</t>
        </is>
      </c>
      <c r="B799" s="24" t="inlineStr">
        <is>
          <t>2026-10-03T22:32:35.686759Z</t>
        </is>
      </c>
      <c r="C799" s="24" t="inlineStr">
        <is>
          <t>2026-10-03T23:30Z</t>
        </is>
      </c>
      <c r="D799" s="24" t="inlineStr">
        <is>
          <t>401860898</t>
        </is>
      </c>
      <c r="E799" s="24" t="inlineStr">
        <is>
          <t>NCAAF</t>
        </is>
      </c>
      <c r="F799" s="24" t="inlineStr">
        <is>
          <t>Utah State Aggies</t>
        </is>
      </c>
      <c r="G799" s="24" t="inlineStr">
        <is>
          <t>Boise State Broncos</t>
        </is>
      </c>
      <c r="H799" s="24" t="inlineStr">
        <is>
          <t>moneyline</t>
        </is>
      </c>
      <c r="I799" s="24" t="inlineStr">
        <is>
          <t>home</t>
        </is>
      </c>
      <c r="J799" s="25" t="n"/>
      <c r="K799" s="24" t="inlineStr">
        <is>
          <t>espn_consensus</t>
        </is>
      </c>
      <c r="L799" s="26" t="n">
        <v>-1450</v>
      </c>
      <c r="M799" s="27" t="n">
        <v>1.068966</v>
      </c>
      <c r="N799" s="28" t="n">
        <v>0.935484</v>
      </c>
      <c r="O799" s="28" t="n">
        <v>0.600459</v>
      </c>
      <c r="P799" s="28" t="n">
        <v>0.18</v>
      </c>
      <c r="Q799" s="28" t="n">
        <v>-0.335025</v>
      </c>
      <c r="R799" s="26" t="n">
        <v>0</v>
      </c>
      <c r="S799" s="29" t="n">
        <v>1</v>
      </c>
      <c r="T799" s="24" t="inlineStr">
        <is>
          <t>college-football-v1</t>
        </is>
      </c>
      <c r="U799" s="24" t="inlineStr">
        <is>
          <t>settled</t>
        </is>
      </c>
      <c r="V799" s="24" t="inlineStr">
        <is>
          <t>win</t>
        </is>
      </c>
      <c r="W799" s="26" t="n">
        <v>18</v>
      </c>
      <c r="X799" s="26" t="n">
        <v>37</v>
      </c>
      <c r="Y799" s="25" t="n"/>
      <c r="Z799" s="26" t="n"/>
      <c r="AA799" s="28" t="n"/>
      <c r="AB799" s="28" t="n"/>
      <c r="AC799" s="30" t="n">
        <v>0.06900000000000001</v>
      </c>
      <c r="AD799" s="24" t="inlineStr">
        <is>
          <t>2026-10-04T20:46:02.479366Z</t>
        </is>
      </c>
      <c r="AE799" s="31" t="inlineStr">
        <is>
          <t>CFB Joint Model (negative_binomial): proj score Utah State Aggies 24.5 @ Boise State Broncos 29.1 (Margin +4.6). Possessions: 12.4, HFA: +2.8 pts.</t>
        </is>
      </c>
      <c r="AF799" s="31" t="inlineStr">
        <is>
          <t>College football model; multi-market (moneyline, spread, total).</t>
        </is>
      </c>
      <c r="AG799" s="24" t="inlineStr">
        <is>
          <t>not_applicable</t>
        </is>
      </c>
      <c r="AH799" s="24" t="n"/>
      <c r="AI799" s="31" t="n"/>
      <c r="AJ799" s="31" t="n"/>
      <c r="AK799" s="24" t="inlineStr">
        <is>
          <t>paper_call</t>
        </is>
      </c>
      <c r="AL799" s="26" t="n">
        <v>4</v>
      </c>
      <c r="AM799" s="24" t="inlineStr">
        <is>
          <t>RESEARCH_OBSERVATION</t>
        </is>
      </c>
      <c r="AN799" s="24" t="inlineStr">
        <is>
          <t>CALL</t>
        </is>
      </c>
      <c r="AO799" s="24" t="inlineStr">
        <is>
          <t>PAPER_CALL_LOW_EDGE</t>
        </is>
      </c>
      <c r="AP799" s="24" t="inlineStr">
        <is>
          <t>Utah State Aggies</t>
        </is>
      </c>
      <c r="AQ799" s="24" t="inlineStr">
        <is>
          <t>Utah State Aggies</t>
        </is>
      </c>
      <c r="AR799" s="24" t="inlineStr">
        <is>
          <t>Utah State Aggies</t>
        </is>
      </c>
      <c r="AS799" s="24" t="inlineStr">
        <is>
          <t>Boise State Broncos</t>
        </is>
      </c>
      <c r="AT799" s="24" t="inlineStr">
        <is>
          <t>Boise State Broncos</t>
        </is>
      </c>
      <c r="AU799" s="24" t="inlineStr">
        <is>
          <t>Boise State Broncos</t>
        </is>
      </c>
      <c r="AV799" s="24" t="n"/>
      <c r="AW799" s="24" t="n"/>
      <c r="AX799" s="24" t="inlineStr">
        <is>
          <t>statistical_model</t>
        </is>
      </c>
      <c r="AY799" s="24" t="n"/>
      <c r="AZ799" s="24" t="inlineStr">
        <is>
          <t>shadow_qualified</t>
        </is>
      </c>
      <c r="BA799" s="24" t="inlineStr">
        <is>
          <t>1d168f11d221cd3c</t>
        </is>
      </c>
      <c r="BB799" s="24" t="inlineStr">
        <is>
          <t>cfb_key_number_engine</t>
        </is>
      </c>
      <c r="BC799" s="24" t="inlineStr">
        <is>
          <t>college-football-v1</t>
        </is>
      </c>
      <c r="BD799" s="24" t="inlineStr">
        <is>
          <t>1d168f11d221cd3c</t>
        </is>
      </c>
      <c r="BE799" s="24" t="inlineStr">
        <is>
          <t>cfb-v1</t>
        </is>
      </c>
      <c r="BF799" s="24" t="inlineStr">
        <is>
          <t>1</t>
        </is>
      </c>
      <c r="BG799" s="24" t="inlineStr">
        <is>
          <t>1d168f11d221cd3c</t>
        </is>
      </c>
      <c r="BH799" s="24" t="inlineStr">
        <is>
          <t>2026-10-03T22:32:35.686759+00:00</t>
        </is>
      </c>
      <c r="BI799" s="24" t="inlineStr">
        <is>
          <t>["same_event","same_team_same_day","same_league_same_day"]</t>
        </is>
      </c>
      <c r="BJ799" s="25" t="n"/>
      <c r="BK799" s="26" t="n">
        <v>-1450</v>
      </c>
      <c r="BL799" s="27" t="n">
        <v>1.068966</v>
      </c>
      <c r="BM799" s="28" t="n">
        <v>0.935484</v>
      </c>
      <c r="BN799" s="28" t="n"/>
      <c r="BO799" s="28" t="n"/>
      <c r="BP799" s="25" t="n"/>
      <c r="BQ799" s="27" t="n"/>
      <c r="BR799" s="28" t="n"/>
      <c r="BS799" s="28" t="n"/>
      <c r="BT799" s="28" t="n"/>
      <c r="BU799" s="25" t="n"/>
      <c r="BV799" s="29" t="n"/>
      <c r="BW799" s="24" t="n"/>
      <c r="BX799" s="30" t="n">
        <v>1</v>
      </c>
      <c r="BY799" s="27" t="n">
        <v>0.068966</v>
      </c>
      <c r="BZ799" s="24" t="inlineStr">
        <is>
          <t>2026-10-04T20:46:02.479366Z</t>
        </is>
      </c>
      <c r="CA799" s="31" t="inlineStr">
        <is>
          <t>fixed one-unit hypothetical scoring; no real exposure or execution</t>
        </is>
      </c>
      <c r="CB799" s="24" t="n"/>
      <c r="CC799" s="24" t="n"/>
      <c r="CD799" s="24" t="n"/>
      <c r="CE799" s="24" t="n"/>
      <c r="CF799" s="24" t="n"/>
      <c r="CG799" s="24" t="n"/>
      <c r="CH799" s="24" t="n"/>
      <c r="CI799" s="24" t="n"/>
      <c r="CJ799" s="24" t="n"/>
      <c r="CK799" s="24" t="n"/>
      <c r="CL799" s="24" t="n"/>
      <c r="CM799" s="24" t="n"/>
      <c r="CN799" s="24" t="n"/>
      <c r="CO799" s="24" t="n"/>
      <c r="CP799" s="24" t="n"/>
      <c r="CQ799" s="24" t="n"/>
      <c r="CR799" s="24" t="n"/>
      <c r="CS799" s="24" t="inlineStr">
        <is>
          <t>False</t>
        </is>
      </c>
      <c r="CT799" s="24" t="n"/>
      <c r="CU799" s="24" t="n"/>
      <c r="CV799" s="24" t="n"/>
      <c r="CW799" s="24" t="n"/>
      <c r="CX799" s="24" t="n"/>
      <c r="CY799" s="24" t="n"/>
      <c r="CZ799" s="24" t="n"/>
      <c r="DA799" s="24" t="n"/>
      <c r="DB799" s="24" t="n"/>
      <c r="DC799" s="24" t="n"/>
      <c r="DD799" s="24" t="n"/>
      <c r="DE799" s="24" t="n"/>
      <c r="DF799" s="24" t="n"/>
      <c r="DG799" s="24" t="n"/>
      <c r="DH799" s="24" t="n"/>
      <c r="DI799" s="24" t="n"/>
      <c r="DJ799" s="24" t="inlineStr">
        <is>
          <t>0.935484</t>
        </is>
      </c>
      <c r="DK799" s="24" t="n"/>
      <c r="DL799" s="24" t="n"/>
      <c r="DM799" s="24" t="n"/>
      <c r="DN799" s="24" t="n"/>
      <c r="DO799" s="24" t="n"/>
      <c r="DP799" s="24" t="n"/>
      <c r="DQ799" s="24" t="inlineStr">
        <is>
          <t>{"artifact_hash": "1d168f11d221cd3c", "event_id": "401860898", "event_start_utc": "2026-10-03T23:30Z", "features": {"altitude_fatigue_penalty": 0.0, "away_team": "Utah State Aggies", "efficiency_gap": -0.218, "elo_away": 1438.6, "elo_home": 1486.9, "elo_home_win_prob": 0.6575, "event_id": "401860898", "game_start_utc": "2026-10-03T23:30Z", "home_field_advantage_points": 2.8, "home_team": "Boise State Broncos", "is_dome": false, "is_fbs_vs_fcs": false, "is_neutral_site": false, "projected_away_points": 24.5, "projected_home_points": 29.1, "projected_margin_home": 4.6, "projected_possessions": 12.4, "projected_total": 53.6, "stadium_elevation_ft": 2695, "travel_distance_miles": 257.0, "uncertainty": 0.18, "weather_total_adjustment": 0.0}, "historical_source_observation_times_verified": false, "inference_inputs": {"engine_source_sha256": "449ba2f0e86fa9c445730076a0e0bf100fb4914620be53c75c6f3bfe24298f3f", "mu_away": 24.5, "mu_home": 29.1,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199194590434550207539864003530779636671}, "uinteger": 0}, "spread_home_line": -19.5, "total_line": 51.5}, "market_type": "moneyline", "model_version": "college-football-v1", "observed_at_utc": "2026-10-03T22:32:35.686759+00:00", "probabilities": {"away": 0.399541, "home": 0.600459}, "replay_scope": "Full precision score means, exact engine parameters and original RNG state; upstream feature construction not certified.", "schema": "cfb-joint-replay-v1", "snapshot_hash": "6b922214e44b2b064d4204d8b80cb659c14b8206d2cc27e62419ac07bdc8a1bb", "sport": "NCAAF"}</t>
        </is>
      </c>
    </row>
    <row r="800" ht="36" customHeight="1">
      <c r="A800" s="24" t="inlineStr">
        <is>
          <t>7fa1c9ab2160497b</t>
        </is>
      </c>
      <c r="B800" s="24" t="inlineStr">
        <is>
          <t>2026-10-03T22:32:35.686759Z</t>
        </is>
      </c>
      <c r="C800" s="24" t="inlineStr">
        <is>
          <t>2026-10-03T23:30Z</t>
        </is>
      </c>
      <c r="D800" s="24" t="inlineStr">
        <is>
          <t>401860898</t>
        </is>
      </c>
      <c r="E800" s="24" t="inlineStr">
        <is>
          <t>NCAAF</t>
        </is>
      </c>
      <c r="F800" s="24" t="inlineStr">
        <is>
          <t>Utah State Aggies</t>
        </is>
      </c>
      <c r="G800" s="24" t="inlineStr">
        <is>
          <t>Boise State Broncos</t>
        </is>
      </c>
      <c r="H800" s="24" t="inlineStr">
        <is>
          <t>spread</t>
        </is>
      </c>
      <c r="I800" s="24" t="inlineStr">
        <is>
          <t>away</t>
        </is>
      </c>
      <c r="J800" s="25" t="n">
        <v>19.5</v>
      </c>
      <c r="K800" s="24" t="inlineStr">
        <is>
          <t>espn_consensus</t>
        </is>
      </c>
      <c r="L800" s="26" t="n">
        <v>-110</v>
      </c>
      <c r="M800" s="27" t="n">
        <v>1.909091</v>
      </c>
      <c r="N800" s="28" t="n">
        <v>0.52381</v>
      </c>
      <c r="O800" s="28" t="n">
        <v>0.768533</v>
      </c>
      <c r="P800" s="28" t="n">
        <v>0.18</v>
      </c>
      <c r="Q800" s="28" t="n">
        <v>0.244723</v>
      </c>
      <c r="R800" s="26" t="n">
        <v>64</v>
      </c>
      <c r="S800" s="29" t="n">
        <v>1.5</v>
      </c>
      <c r="T800" s="24" t="inlineStr">
        <is>
          <t>cfb-spread-v1</t>
        </is>
      </c>
      <c r="U800" s="24" t="inlineStr">
        <is>
          <t>settled</t>
        </is>
      </c>
      <c r="V800" s="24" t="inlineStr">
        <is>
          <t>win</t>
        </is>
      </c>
      <c r="W800" s="26" t="n">
        <v>18</v>
      </c>
      <c r="X800" s="26" t="n">
        <v>37</v>
      </c>
      <c r="Y800" s="25" t="n"/>
      <c r="Z800" s="26" t="n"/>
      <c r="AA800" s="28" t="n"/>
      <c r="AB800" s="28" t="n"/>
      <c r="AC800" s="30" t="n">
        <v>1.3636</v>
      </c>
      <c r="AD800" s="24" t="inlineStr">
        <is>
          <t>2026-10-04T20:46:06.833103Z</t>
        </is>
      </c>
      <c r="AE800" s="31" t="inlineStr">
        <is>
          <t>Projected home margin +4.6 pts. Spread: Home -19.5 / Away +19.5 -&gt; P(Away cover)=0.769, P(Home cover)=0.231, P(Push)=0.000.</t>
        </is>
      </c>
      <c r="AF800" s="31" t="inlineStr">
        <is>
          <t>College football model; multi-market (moneyline, spread, total).</t>
        </is>
      </c>
      <c r="AG800" s="24" t="inlineStr">
        <is>
          <t>not_applicable</t>
        </is>
      </c>
      <c r="AH800" s="24" t="n"/>
      <c r="AI800" s="31" t="n"/>
      <c r="AJ800" s="31" t="n"/>
      <c r="AK800" s="24" t="inlineStr">
        <is>
          <t>model_qualified</t>
        </is>
      </c>
      <c r="AL800" s="26" t="n">
        <v>4</v>
      </c>
      <c r="AM800" s="24" t="inlineStr">
        <is>
          <t>QUALIFIED_SHADOW_CALL</t>
        </is>
      </c>
      <c r="AN800" s="24" t="inlineStr">
        <is>
          <t>CALL</t>
        </is>
      </c>
      <c r="AO800" s="24" t="inlineStr">
        <is>
          <t>QUALIFIED</t>
        </is>
      </c>
      <c r="AP800" s="24" t="inlineStr">
        <is>
          <t>Utah State Aggies</t>
        </is>
      </c>
      <c r="AQ800" s="24" t="inlineStr">
        <is>
          <t>Utah State Aggies</t>
        </is>
      </c>
      <c r="AR800" s="24" t="inlineStr">
        <is>
          <t>Utah State Aggies</t>
        </is>
      </c>
      <c r="AS800" s="24" t="inlineStr">
        <is>
          <t>Boise State Broncos</t>
        </is>
      </c>
      <c r="AT800" s="24" t="inlineStr">
        <is>
          <t>Boise State Broncos</t>
        </is>
      </c>
      <c r="AU800" s="24" t="inlineStr">
        <is>
          <t>Boise State Broncos</t>
        </is>
      </c>
      <c r="AV800" s="24" t="n"/>
      <c r="AW800" s="24" t="n"/>
      <c r="AX800" s="24" t="inlineStr">
        <is>
          <t>statistical_model</t>
        </is>
      </c>
      <c r="AY800" s="24" t="n"/>
      <c r="AZ800" s="24" t="inlineStr">
        <is>
          <t>shadow_qualified</t>
        </is>
      </c>
      <c r="BA800" s="24" t="inlineStr">
        <is>
          <t>1d168f11d221cd3c</t>
        </is>
      </c>
      <c r="BB800" s="24" t="inlineStr">
        <is>
          <t>cfb_key_number_engine</t>
        </is>
      </c>
      <c r="BC800" s="24" t="inlineStr">
        <is>
          <t>cfb-spread-v1</t>
        </is>
      </c>
      <c r="BD800" s="24" t="inlineStr">
        <is>
          <t>1d168f11d221cd3c</t>
        </is>
      </c>
      <c r="BE800" s="24" t="inlineStr">
        <is>
          <t>cfb-v1</t>
        </is>
      </c>
      <c r="BF800" s="24" t="inlineStr">
        <is>
          <t>1</t>
        </is>
      </c>
      <c r="BG800" s="24" t="inlineStr">
        <is>
          <t>1d168f11d221cd3c</t>
        </is>
      </c>
      <c r="BH800" s="24" t="inlineStr">
        <is>
          <t>2026-10-03T22:32:35.686759+00:00</t>
        </is>
      </c>
      <c r="BI800" s="24" t="inlineStr">
        <is>
          <t>["same_event","same_team_same_day","same_league_same_day"]</t>
        </is>
      </c>
      <c r="BJ800" s="25" t="n">
        <v>19.5</v>
      </c>
      <c r="BK800" s="26" t="n">
        <v>-110</v>
      </c>
      <c r="BL800" s="27" t="n">
        <v>1.909091</v>
      </c>
      <c r="BM800" s="28" t="n">
        <v>0.52381</v>
      </c>
      <c r="BN800" s="28" t="n"/>
      <c r="BO800" s="28" t="n"/>
      <c r="BP800" s="25" t="n"/>
      <c r="BQ800" s="27" t="n"/>
      <c r="BR800" s="28" t="n"/>
      <c r="BS800" s="28" t="n"/>
      <c r="BT800" s="28" t="n"/>
      <c r="BU800" s="25" t="n"/>
      <c r="BV800" s="29" t="n"/>
      <c r="BW800" s="24" t="n"/>
      <c r="BX800" s="30" t="n"/>
      <c r="BY800" s="27" t="n"/>
      <c r="BZ800" s="24" t="n"/>
      <c r="CA800" s="31" t="n"/>
      <c r="CB800" s="24" t="n"/>
      <c r="CC800" s="24" t="n"/>
      <c r="CD800" s="24" t="n"/>
      <c r="CE800" s="24" t="n"/>
      <c r="CF800" s="24" t="n"/>
      <c r="CG800" s="24" t="n"/>
      <c r="CH800" s="24" t="n"/>
      <c r="CI800" s="24" t="n"/>
      <c r="CJ800" s="24" t="n"/>
      <c r="CK800" s="24" t="n"/>
      <c r="CL800" s="24" t="n"/>
      <c r="CM800" s="24" t="n"/>
      <c r="CN800" s="24" t="n"/>
      <c r="CO800" s="24" t="n"/>
      <c r="CP800" s="24" t="n"/>
      <c r="CQ800" s="24" t="n"/>
      <c r="CR800" s="24" t="n"/>
      <c r="CS800" s="24" t="inlineStr">
        <is>
          <t>True</t>
        </is>
      </c>
      <c r="CT800" s="24" t="n"/>
      <c r="CU800" s="24" t="n"/>
      <c r="CV800" s="24" t="n"/>
      <c r="CW800" s="24" t="n"/>
      <c r="CX800" s="24" t="n"/>
      <c r="CY800" s="24" t="n"/>
      <c r="CZ800" s="24" t="n"/>
      <c r="DA800" s="24" t="n"/>
      <c r="DB800" s="24" t="n"/>
      <c r="DC800" s="24" t="n"/>
      <c r="DD800" s="24" t="n"/>
      <c r="DE800" s="24" t="n"/>
      <c r="DF800" s="24" t="n"/>
      <c r="DG800" s="24" t="n"/>
      <c r="DH800" s="24" t="n"/>
      <c r="DI800" s="24" t="n"/>
      <c r="DJ800" s="24" t="inlineStr">
        <is>
          <t>0.52381</t>
        </is>
      </c>
      <c r="DK800" s="24" t="n"/>
      <c r="DL800" s="24" t="n"/>
      <c r="DM800" s="24" t="n"/>
      <c r="DN800" s="24" t="n"/>
      <c r="DO800" s="24" t="n"/>
      <c r="DP800" s="24" t="n"/>
      <c r="DQ800" s="24" t="inlineStr">
        <is>
          <t>{"artifact_hash": "1d168f11d221cd3c", "event_id": "401860898", "event_start_utc": "2026-10-03T23:30Z", "features": {"altitude_fatigue_penalty": 0.0, "away_team": "Utah State Aggies", "efficiency_gap": -0.218, "elo_away": 1438.6, "elo_home": 1486.9, "elo_home_win_prob": 0.6575, "event_id": "401860898", "game_start_utc": "2026-10-03T23:30Z", "home_field_advantage_points": 2.8, "home_team": "Boise State Broncos", "is_dome": false, "is_fbs_vs_fcs": false, "is_neutral_site": false, "projected_away_points": 24.5, "projected_home_points": 29.1, "projected_margin_home": 4.6, "projected_possessions": 12.4, "projected_total": 53.6, "stadium_elevation_ft": 2695, "travel_distance_miles": 257.0, "uncertainty": 0.18, "weather_total_adjustment": 0.0}, "historical_source_observation_times_verified": false, "inference_inputs": {"engine_source_sha256": "449ba2f0e86fa9c445730076a0e0bf100fb4914620be53c75c6f3bfe24298f3f", "mu_away": 24.5, "mu_home": 29.1,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199194590434550207539864003530779636671}, "uinteger": 0}, "spread_home_line": -19.5, "total_line": 51.5}, "market_type": "spread", "model_version": "cfb-spread-v1", "observed_at_utc": "2026-10-03T22:32:35.686759+00:00", "probabilities": {"away": 0.768533, "home": 0.231467, "push": 0.0}, "replay_scope": "Full precision score means, exact engine parameters and original RNG state; upstream feature construction not certified.", "schema": "cfb-joint-replay-v1", "snapshot_hash": "8639a2b823bc40723415531abda4210aa9fb4232b7b754ba5943c731a24d213a", "sport": "NCAAF"}</t>
        </is>
      </c>
    </row>
    <row r="801" ht="36" customHeight="1">
      <c r="A801" s="24" t="inlineStr">
        <is>
          <t>dfb7165bb5bd41d0</t>
        </is>
      </c>
      <c r="B801" s="24" t="inlineStr">
        <is>
          <t>2026-10-03T22:32:35.686759Z</t>
        </is>
      </c>
      <c r="C801" s="24" t="inlineStr">
        <is>
          <t>2026-10-03T23:30Z</t>
        </is>
      </c>
      <c r="D801" s="24" t="inlineStr">
        <is>
          <t>401860898</t>
        </is>
      </c>
      <c r="E801" s="24" t="inlineStr">
        <is>
          <t>NCAAF</t>
        </is>
      </c>
      <c r="F801" s="24" t="inlineStr">
        <is>
          <t>Utah State Aggies</t>
        </is>
      </c>
      <c r="G801" s="24" t="inlineStr">
        <is>
          <t>Boise State Broncos</t>
        </is>
      </c>
      <c r="H801" s="24" t="inlineStr">
        <is>
          <t>total</t>
        </is>
      </c>
      <c r="I801" s="24" t="inlineStr">
        <is>
          <t>over</t>
        </is>
      </c>
      <c r="J801" s="25" t="n">
        <v>51.5</v>
      </c>
      <c r="K801" s="24" t="inlineStr">
        <is>
          <t>espn_consensus</t>
        </is>
      </c>
      <c r="L801" s="26" t="n">
        <v>-102</v>
      </c>
      <c r="M801" s="27" t="n">
        <v>1.980392</v>
      </c>
      <c r="N801" s="28" t="n">
        <v>0.50495</v>
      </c>
      <c r="O801" s="28" t="n">
        <v>0.504333</v>
      </c>
      <c r="P801" s="28" t="n">
        <v>0.18</v>
      </c>
      <c r="Q801" s="28" t="n">
        <v>-0.000617</v>
      </c>
      <c r="R801" s="26" t="n">
        <v>0</v>
      </c>
      <c r="S801" s="29" t="n">
        <v>1</v>
      </c>
      <c r="T801" s="24" t="inlineStr">
        <is>
          <t>cfb-total-v1</t>
        </is>
      </c>
      <c r="U801" s="24" t="inlineStr">
        <is>
          <t>settled</t>
        </is>
      </c>
      <c r="V801" s="24" t="inlineStr">
        <is>
          <t>win</t>
        </is>
      </c>
      <c r="W801" s="26" t="n">
        <v>18</v>
      </c>
      <c r="X801" s="26" t="n">
        <v>37</v>
      </c>
      <c r="Y801" s="25" t="n"/>
      <c r="Z801" s="26" t="n"/>
      <c r="AA801" s="28" t="n"/>
      <c r="AB801" s="28" t="n"/>
      <c r="AC801" s="30" t="n">
        <v>0.9804</v>
      </c>
      <c r="AD801" s="24" t="inlineStr">
        <is>
          <t>2026-10-04T20:46:11.155969Z</t>
        </is>
      </c>
      <c r="AE801" s="31" t="inlineStr">
        <is>
          <t>Projected total 53.6 pts (Weather adj: +0.0 pts). Total line 51.5 -&gt; P(Over)=0.504, P(Under)=0.496, P(Push)=0.000.</t>
        </is>
      </c>
      <c r="AF801" s="31" t="inlineStr">
        <is>
          <t>College football model; multi-market (moneyline, spread, total).</t>
        </is>
      </c>
      <c r="AG801" s="24" t="inlineStr">
        <is>
          <t>not_applicable</t>
        </is>
      </c>
      <c r="AH801" s="24" t="n"/>
      <c r="AI801" s="31" t="n"/>
      <c r="AJ801" s="31" t="n"/>
      <c r="AK801" s="24" t="inlineStr">
        <is>
          <t>paper_call</t>
        </is>
      </c>
      <c r="AL801" s="26" t="n">
        <v>4</v>
      </c>
      <c r="AM801" s="24" t="inlineStr">
        <is>
          <t>RESEARCH_OBSERVATION</t>
        </is>
      </c>
      <c r="AN801" s="24" t="inlineStr">
        <is>
          <t>CALL</t>
        </is>
      </c>
      <c r="AO801" s="24" t="inlineStr">
        <is>
          <t>PAPER_CALL_LOW_EDGE</t>
        </is>
      </c>
      <c r="AP801" s="24" t="inlineStr">
        <is>
          <t>Utah State Aggies</t>
        </is>
      </c>
      <c r="AQ801" s="24" t="inlineStr">
        <is>
          <t>Utah State Aggies</t>
        </is>
      </c>
      <c r="AR801" s="24" t="inlineStr">
        <is>
          <t>Utah State Aggies</t>
        </is>
      </c>
      <c r="AS801" s="24" t="inlineStr">
        <is>
          <t>Boise State Broncos</t>
        </is>
      </c>
      <c r="AT801" s="24" t="inlineStr">
        <is>
          <t>Boise State Broncos</t>
        </is>
      </c>
      <c r="AU801" s="24" t="inlineStr">
        <is>
          <t>Boise State Broncos</t>
        </is>
      </c>
      <c r="AV801" s="24" t="n"/>
      <c r="AW801" s="24" t="n"/>
      <c r="AX801" s="24" t="inlineStr">
        <is>
          <t>statistical_model</t>
        </is>
      </c>
      <c r="AY801" s="24" t="n"/>
      <c r="AZ801" s="24" t="inlineStr">
        <is>
          <t>shadow_qualified</t>
        </is>
      </c>
      <c r="BA801" s="24" t="inlineStr">
        <is>
          <t>1d168f11d221cd3c</t>
        </is>
      </c>
      <c r="BB801" s="24" t="inlineStr">
        <is>
          <t>cfb_key_number_engine</t>
        </is>
      </c>
      <c r="BC801" s="24" t="inlineStr">
        <is>
          <t>cfb-total-v1</t>
        </is>
      </c>
      <c r="BD801" s="24" t="inlineStr">
        <is>
          <t>1d168f11d221cd3c</t>
        </is>
      </c>
      <c r="BE801" s="24" t="inlineStr">
        <is>
          <t>cfb-v1</t>
        </is>
      </c>
      <c r="BF801" s="24" t="inlineStr">
        <is>
          <t>1</t>
        </is>
      </c>
      <c r="BG801" s="24" t="inlineStr">
        <is>
          <t>1d168f11d221cd3c</t>
        </is>
      </c>
      <c r="BH801" s="24" t="inlineStr">
        <is>
          <t>2026-10-03T22:32:35.686759+00:00</t>
        </is>
      </c>
      <c r="BI801" s="24" t="inlineStr">
        <is>
          <t>["same_event","same_team_same_day","same_league_same_day"]</t>
        </is>
      </c>
      <c r="BJ801" s="25" t="n">
        <v>51.5</v>
      </c>
      <c r="BK801" s="26" t="n">
        <v>-102</v>
      </c>
      <c r="BL801" s="27" t="n">
        <v>1.980392</v>
      </c>
      <c r="BM801" s="28" t="n">
        <v>0.50495</v>
      </c>
      <c r="BN801" s="28" t="n"/>
      <c r="BO801" s="28" t="n"/>
      <c r="BP801" s="25" t="n"/>
      <c r="BQ801" s="27" t="n"/>
      <c r="BR801" s="28" t="n"/>
      <c r="BS801" s="28" t="n"/>
      <c r="BT801" s="28" t="n"/>
      <c r="BU801" s="25" t="n"/>
      <c r="BV801" s="29" t="n"/>
      <c r="BW801" s="24" t="n"/>
      <c r="BX801" s="30" t="n">
        <v>1</v>
      </c>
      <c r="BY801" s="27" t="n">
        <v>0.980392</v>
      </c>
      <c r="BZ801" s="24" t="inlineStr">
        <is>
          <t>2026-10-04T20:46:11.155969Z</t>
        </is>
      </c>
      <c r="CA801" s="31" t="inlineStr">
        <is>
          <t>fixed one-unit hypothetical scoring; no real exposure or execution</t>
        </is>
      </c>
      <c r="CB801" s="24" t="n"/>
      <c r="CC801" s="24" t="n"/>
      <c r="CD801" s="24" t="n"/>
      <c r="CE801" s="24" t="n"/>
      <c r="CF801" s="24" t="n"/>
      <c r="CG801" s="24" t="n"/>
      <c r="CH801" s="24" t="n"/>
      <c r="CI801" s="24" t="n"/>
      <c r="CJ801" s="24" t="n"/>
      <c r="CK801" s="24" t="n"/>
      <c r="CL801" s="24" t="n"/>
      <c r="CM801" s="24" t="n"/>
      <c r="CN801" s="24" t="n"/>
      <c r="CO801" s="24" t="n"/>
      <c r="CP801" s="24" t="n"/>
      <c r="CQ801" s="24" t="n"/>
      <c r="CR801" s="24" t="n"/>
      <c r="CS801" s="24" t="inlineStr">
        <is>
          <t>False</t>
        </is>
      </c>
      <c r="CT801" s="24" t="n"/>
      <c r="CU801" s="24" t="n"/>
      <c r="CV801" s="24" t="n"/>
      <c r="CW801" s="24" t="n"/>
      <c r="CX801" s="24" t="n"/>
      <c r="CY801" s="24" t="n"/>
      <c r="CZ801" s="24" t="n"/>
      <c r="DA801" s="24" t="n"/>
      <c r="DB801" s="24" t="n"/>
      <c r="DC801" s="24" t="n"/>
      <c r="DD801" s="24" t="n"/>
      <c r="DE801" s="24" t="n"/>
      <c r="DF801" s="24" t="n"/>
      <c r="DG801" s="24" t="n"/>
      <c r="DH801" s="24" t="n"/>
      <c r="DI801" s="24" t="n"/>
      <c r="DJ801" s="24" t="inlineStr">
        <is>
          <t>0.50495</t>
        </is>
      </c>
      <c r="DK801" s="24" t="n"/>
      <c r="DL801" s="24" t="n"/>
      <c r="DM801" s="24" t="n"/>
      <c r="DN801" s="24" t="n"/>
      <c r="DO801" s="24" t="n"/>
      <c r="DP801" s="24" t="n"/>
      <c r="DQ801" s="24" t="inlineStr">
        <is>
          <t>{"artifact_hash": "1d168f11d221cd3c", "event_id": "401860898", "event_start_utc": "2026-10-03T23:30Z", "features": {"altitude_fatigue_penalty": 0.0, "away_team": "Utah State Aggies", "efficiency_gap": -0.218, "elo_away": 1438.6, "elo_home": 1486.9, "elo_home_win_prob": 0.6575, "event_id": "401860898", "game_start_utc": "2026-10-03T23:30Z", "home_field_advantage_points": 2.8, "home_team": "Boise State Broncos", "is_dome": false, "is_fbs_vs_fcs": false, "is_neutral_site": false, "projected_away_points": 24.5, "projected_home_points": 29.1, "projected_margin_home": 4.6, "projected_possessions": 12.4, "projected_total": 53.6, "stadium_elevation_ft": 2695, "travel_distance_miles": 257.0, "uncertainty": 0.18, "weather_total_adjustment": 0.0}, "historical_source_observation_times_verified": false, "inference_inputs": {"engine_source_sha256": "449ba2f0e86fa9c445730076a0e0bf100fb4914620be53c75c6f3bfe24298f3f", "mu_away": 24.5, "mu_home": 29.1,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199194590434550207539864003530779636671}, "uinteger": 0}, "spread_home_line": -19.5, "total_line": 51.5}, "market_type": "total", "model_version": "cfb-total-v1", "observed_at_utc": "2026-10-03T22:32:35.686759+00:00", "probabilities": {"over": 0.504333, "push": 0.0, "under": 0.495667}, "replay_scope": "Full precision score means, exact engine parameters and original RNG state; upstream feature construction not certified.", "schema": "cfb-joint-replay-v1", "snapshot_hash": "54bb80a45175793ae6761361a88a91ab68eecd21f9bedbc8897a3cdd431febb9", "sport": "NCAAF"}</t>
        </is>
      </c>
    </row>
    <row r="802" ht="36" customHeight="1">
      <c r="A802" s="24" t="inlineStr">
        <is>
          <t>b9f62111eb544c51</t>
        </is>
      </c>
      <c r="B802" s="24" t="inlineStr">
        <is>
          <t>2026-10-03T22:32:35.686759Z</t>
        </is>
      </c>
      <c r="C802" s="24" t="inlineStr">
        <is>
          <t>2026-10-03T23:30Z</t>
        </is>
      </c>
      <c r="D802" s="24" t="inlineStr">
        <is>
          <t>401862792</t>
        </is>
      </c>
      <c r="E802" s="24" t="inlineStr">
        <is>
          <t>NCAAF</t>
        </is>
      </c>
      <c r="F802" s="24" t="inlineStr">
        <is>
          <t>Temple Owls</t>
        </is>
      </c>
      <c r="G802" s="24" t="inlineStr">
        <is>
          <t>South Florida Bulls</t>
        </is>
      </c>
      <c r="H802" s="24" t="inlineStr">
        <is>
          <t>moneyline</t>
        </is>
      </c>
      <c r="I802" s="24" t="inlineStr">
        <is>
          <t>home</t>
        </is>
      </c>
      <c r="J802" s="25" t="n"/>
      <c r="K802" s="24" t="inlineStr">
        <is>
          <t>espn_consensus</t>
        </is>
      </c>
      <c r="L802" s="26" t="n">
        <v>-230</v>
      </c>
      <c r="M802" s="27" t="n">
        <v>1.434783</v>
      </c>
      <c r="N802" s="28" t="n">
        <v>0.69697</v>
      </c>
      <c r="O802" s="28" t="n">
        <v>0.826067</v>
      </c>
      <c r="P802" s="28" t="n">
        <v>0.18</v>
      </c>
      <c r="Q802" s="28" t="n">
        <v>0.129097</v>
      </c>
      <c r="R802" s="26" t="n">
        <v>7</v>
      </c>
      <c r="S802" s="29" t="n">
        <v>1</v>
      </c>
      <c r="T802" s="24" t="inlineStr">
        <is>
          <t>college-football-v1</t>
        </is>
      </c>
      <c r="U802" s="24" t="inlineStr">
        <is>
          <t>settled</t>
        </is>
      </c>
      <c r="V802" s="24" t="inlineStr">
        <is>
          <t>loss</t>
        </is>
      </c>
      <c r="W802" s="26" t="n">
        <v>17</v>
      </c>
      <c r="X802" s="26" t="n">
        <v>13</v>
      </c>
      <c r="Y802" s="25" t="n"/>
      <c r="Z802" s="26" t="n"/>
      <c r="AA802" s="28" t="n"/>
      <c r="AB802" s="28" t="n"/>
      <c r="AC802" s="30" t="n">
        <v>-1</v>
      </c>
      <c r="AD802" s="24" t="inlineStr">
        <is>
          <t>2026-10-04T20:46:15.669869Z</t>
        </is>
      </c>
      <c r="AE802" s="31" t="inlineStr">
        <is>
          <t>CFB Joint Model (negative_binomial): proj score Temple Owls 18.1 @ South Florida Bulls 35.6 (Margin +17.6). Possessions: 12.4, HFA: +2.8 pts.</t>
        </is>
      </c>
      <c r="AF802" s="31" t="inlineStr">
        <is>
          <t>College football model; multi-market (moneyline, spread, total).</t>
        </is>
      </c>
      <c r="AG802" s="24" t="inlineStr">
        <is>
          <t>review_required</t>
        </is>
      </c>
      <c r="AH802" s="24" t="n"/>
      <c r="AI802" s="31" t="n"/>
      <c r="AJ802" s="31" t="n"/>
      <c r="AK802" s="24" t="inlineStr">
        <is>
          <t>model_qualified</t>
        </is>
      </c>
      <c r="AL802" s="26" t="n">
        <v>4</v>
      </c>
      <c r="AM802" s="24" t="inlineStr">
        <is>
          <t>QUALIFIED_SHADOW_CALL</t>
        </is>
      </c>
      <c r="AN802" s="24" t="inlineStr">
        <is>
          <t>CALL</t>
        </is>
      </c>
      <c r="AO802" s="24" t="inlineStr">
        <is>
          <t>QUALIFIED</t>
        </is>
      </c>
      <c r="AP802" s="24" t="inlineStr">
        <is>
          <t>Temple Owls</t>
        </is>
      </c>
      <c r="AQ802" s="24" t="inlineStr">
        <is>
          <t>Temple Owls</t>
        </is>
      </c>
      <c r="AR802" s="24" t="inlineStr">
        <is>
          <t>Temple Owls</t>
        </is>
      </c>
      <c r="AS802" s="24" t="inlineStr">
        <is>
          <t>South Florida Bulls</t>
        </is>
      </c>
      <c r="AT802" s="24" t="inlineStr">
        <is>
          <t>South Florida Bulls</t>
        </is>
      </c>
      <c r="AU802" s="24" t="inlineStr">
        <is>
          <t>South Florida Bulls</t>
        </is>
      </c>
      <c r="AV802" s="24" t="n"/>
      <c r="AW802" s="24" t="n"/>
      <c r="AX802" s="24" t="inlineStr">
        <is>
          <t>statistical_model</t>
        </is>
      </c>
      <c r="AY802" s="24" t="n"/>
      <c r="AZ802" s="24" t="inlineStr">
        <is>
          <t>shadow_qualified</t>
        </is>
      </c>
      <c r="BA802" s="24" t="inlineStr">
        <is>
          <t>1d168f11d221cd3c</t>
        </is>
      </c>
      <c r="BB802" s="24" t="inlineStr">
        <is>
          <t>cfb_key_number_engine</t>
        </is>
      </c>
      <c r="BC802" s="24" t="inlineStr">
        <is>
          <t>college-football-v1</t>
        </is>
      </c>
      <c r="BD802" s="24" t="inlineStr">
        <is>
          <t>1d168f11d221cd3c</t>
        </is>
      </c>
      <c r="BE802" s="24" t="inlineStr">
        <is>
          <t>cfb-v1</t>
        </is>
      </c>
      <c r="BF802" s="24" t="inlineStr">
        <is>
          <t>1</t>
        </is>
      </c>
      <c r="BG802" s="24" t="inlineStr">
        <is>
          <t>1d168f11d221cd3c</t>
        </is>
      </c>
      <c r="BH802" s="24" t="inlineStr">
        <is>
          <t>2026-10-03T22:32:35.686759+00:00</t>
        </is>
      </c>
      <c r="BI802" s="24" t="inlineStr">
        <is>
          <t>["same_event","same_team_same_day","same_league_same_day"]</t>
        </is>
      </c>
      <c r="BJ802" s="25" t="n"/>
      <c r="BK802" s="26" t="n">
        <v>-230</v>
      </c>
      <c r="BL802" s="27" t="n">
        <v>1.434783</v>
      </c>
      <c r="BM802" s="28" t="n">
        <v>0.69697</v>
      </c>
      <c r="BN802" s="28" t="n"/>
      <c r="BO802" s="28" t="n"/>
      <c r="BP802" s="25" t="n"/>
      <c r="BQ802" s="27" t="n"/>
      <c r="BR802" s="28" t="n"/>
      <c r="BS802" s="28" t="n"/>
      <c r="BT802" s="28" t="n"/>
      <c r="BU802" s="25" t="n"/>
      <c r="BV802" s="29" t="n"/>
      <c r="BW802" s="24" t="n"/>
      <c r="BX802" s="30" t="n"/>
      <c r="BY802" s="27" t="n"/>
      <c r="BZ802" s="24" t="n"/>
      <c r="CA802" s="31" t="n"/>
      <c r="CB802" s="24" t="n"/>
      <c r="CC802" s="24" t="n"/>
      <c r="CD802" s="24" t="n"/>
      <c r="CE802" s="24" t="n"/>
      <c r="CF802" s="24" t="n"/>
      <c r="CG802" s="24" t="n"/>
      <c r="CH802" s="24" t="n"/>
      <c r="CI802" s="24" t="n"/>
      <c r="CJ802" s="24" t="n"/>
      <c r="CK802" s="24" t="n"/>
      <c r="CL802" s="24" t="n"/>
      <c r="CM802" s="24" t="n"/>
      <c r="CN802" s="24" t="n"/>
      <c r="CO802" s="24" t="n"/>
      <c r="CP802" s="24" t="n"/>
      <c r="CQ802" s="24" t="n"/>
      <c r="CR802" s="24" t="n"/>
      <c r="CS802" s="24" t="inlineStr">
        <is>
          <t>True</t>
        </is>
      </c>
      <c r="CT802" s="24" t="n"/>
      <c r="CU802" s="24" t="n"/>
      <c r="CV802" s="24" t="n"/>
      <c r="CW802" s="24" t="n"/>
      <c r="CX802" s="24" t="n"/>
      <c r="CY802" s="24" t="n"/>
      <c r="CZ802" s="24" t="n"/>
      <c r="DA802" s="24" t="n"/>
      <c r="DB802" s="24" t="n"/>
      <c r="DC802" s="24" t="n"/>
      <c r="DD802" s="24" t="n"/>
      <c r="DE802" s="24" t="n"/>
      <c r="DF802" s="24" t="n"/>
      <c r="DG802" s="24" t="n"/>
      <c r="DH802" s="24" t="n"/>
      <c r="DI802" s="24" t="n"/>
      <c r="DJ802" s="24" t="inlineStr">
        <is>
          <t>0.69697</t>
        </is>
      </c>
      <c r="DK802" s="24" t="n"/>
      <c r="DL802" s="24" t="n"/>
      <c r="DM802" s="24" t="n"/>
      <c r="DN802" s="24" t="n"/>
      <c r="DO802" s="24" t="n"/>
      <c r="DP802" s="24" t="n"/>
      <c r="DQ802" s="24" t="inlineStr">
        <is>
          <t>{"artifact_hash": "1d168f11d221cd3c", "event_id": "401862792", "event_start_utc": "2026-10-03T23:30Z", "features": {"altitude_fatigue_penalty": 0.0, "away_team": "Temple Owls", "efficiency_gap": 0.0, "elo_away": 1292.2, "elo_home": 1657.2, "elo_home_win_prob": 0.9224, "event_id": "401862792", "game_start_utc": "2026-10-03T23:30Z", "home_field_advantage_points": 2.8, "home_team": "South Florida Bulls", "is_dome": false, "is_fbs_vs_fcs": false, "is_neutral_site": false, "projected_away_points": 18.1, "projected_home_points": 35.6, "projected_margin_home": 17.6, "projected_possessions": 12.4, "projected_total": 53.7, "stadium_elevation_ft": 40, "travel_distance_miles": 924.0, "uncertainty": 0.18, "weather_total_adjustment": 0.0}, "historical_source_observation_times_verified": false, "inference_inputs": {"engine_source_sha256": "449ba2f0e86fa9c445730076a0e0bf100fb4914620be53c75c6f3bfe24298f3f", "mu_away": 18.1, "mu_home": 35.6,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39401798691289415597873056580195435344}, "uinteger": 0}, "spread_home_line": -5.5, "total_line": 50.5}, "market_type": "moneyline", "model_version": "college-football-v1", "observed_at_utc": "2026-10-03T22:32:35.686759+00:00", "probabilities": {"away": 0.173933, "home": 0.826067}, "replay_scope": "Full precision score means, exact engine parameters and original RNG state; upstream feature construction not certified.", "schema": "cfb-joint-replay-v1", "snapshot_hash": "454946ace72a1829a962d08fd5819fe931412fac43e653c99fbce0b3ecd8c711", "sport": "NCAAF"}</t>
        </is>
      </c>
    </row>
    <row r="803" ht="36" customHeight="1">
      <c r="A803" s="24" t="inlineStr">
        <is>
          <t>7cca0c45dc644a0e</t>
        </is>
      </c>
      <c r="B803" s="24" t="inlineStr">
        <is>
          <t>2026-10-03T22:32:35.686759Z</t>
        </is>
      </c>
      <c r="C803" s="24" t="inlineStr">
        <is>
          <t>2026-10-03T23:30Z</t>
        </is>
      </c>
      <c r="D803" s="24" t="inlineStr">
        <is>
          <t>401862792</t>
        </is>
      </c>
      <c r="E803" s="24" t="inlineStr">
        <is>
          <t>NCAAF</t>
        </is>
      </c>
      <c r="F803" s="24" t="inlineStr">
        <is>
          <t>Temple Owls</t>
        </is>
      </c>
      <c r="G803" s="24" t="inlineStr">
        <is>
          <t>South Florida Bulls</t>
        </is>
      </c>
      <c r="H803" s="24" t="inlineStr">
        <is>
          <t>spread</t>
        </is>
      </c>
      <c r="I803" s="24" t="inlineStr">
        <is>
          <t>home</t>
        </is>
      </c>
      <c r="J803" s="25" t="n">
        <v>-5.5</v>
      </c>
      <c r="K803" s="24" t="inlineStr">
        <is>
          <t>espn_consensus</t>
        </is>
      </c>
      <c r="L803" s="26" t="n">
        <v>-112</v>
      </c>
      <c r="M803" s="27" t="n">
        <v>1.892857</v>
      </c>
      <c r="N803" s="28" t="n">
        <v>0.528302</v>
      </c>
      <c r="O803" s="28" t="n">
        <v>0.7386</v>
      </c>
      <c r="P803" s="28" t="n">
        <v>0.18</v>
      </c>
      <c r="Q803" s="28" t="n">
        <v>0.210298</v>
      </c>
      <c r="R803" s="26" t="n">
        <v>47</v>
      </c>
      <c r="S803" s="29" t="n">
        <v>1.25</v>
      </c>
      <c r="T803" s="24" t="inlineStr">
        <is>
          <t>cfb-spread-v1</t>
        </is>
      </c>
      <c r="U803" s="24" t="inlineStr">
        <is>
          <t>settled</t>
        </is>
      </c>
      <c r="V803" s="24" t="inlineStr">
        <is>
          <t>loss</t>
        </is>
      </c>
      <c r="W803" s="26" t="n">
        <v>17</v>
      </c>
      <c r="X803" s="26" t="n">
        <v>13</v>
      </c>
      <c r="Y803" s="25" t="n"/>
      <c r="Z803" s="26" t="n"/>
      <c r="AA803" s="28" t="n"/>
      <c r="AB803" s="28" t="n"/>
      <c r="AC803" s="30" t="n">
        <v>-1.25</v>
      </c>
      <c r="AD803" s="24" t="inlineStr">
        <is>
          <t>2026-10-04T20:46:20.067856Z</t>
        </is>
      </c>
      <c r="AE803" s="31" t="inlineStr">
        <is>
          <t>Projected home margin +17.6 pts. Spread: Home -5.5 / Away +5.5 -&gt; P(Away cover)=0.261, P(Home cover)=0.739, P(Push)=0.000.</t>
        </is>
      </c>
      <c r="AF803" s="31" t="inlineStr">
        <is>
          <t>College football model; multi-market (moneyline, spread, total).</t>
        </is>
      </c>
      <c r="AG803" s="24" t="inlineStr">
        <is>
          <t>review_required</t>
        </is>
      </c>
      <c r="AH803" s="24" t="n"/>
      <c r="AI803" s="31" t="n"/>
      <c r="AJ803" s="31" t="n"/>
      <c r="AK803" s="24" t="inlineStr">
        <is>
          <t>model_qualified</t>
        </is>
      </c>
      <c r="AL803" s="26" t="n">
        <v>4</v>
      </c>
      <c r="AM803" s="24" t="inlineStr">
        <is>
          <t>QUALIFIED_SHADOW_CALL</t>
        </is>
      </c>
      <c r="AN803" s="24" t="inlineStr">
        <is>
          <t>CALL</t>
        </is>
      </c>
      <c r="AO803" s="24" t="inlineStr">
        <is>
          <t>QUALIFIED</t>
        </is>
      </c>
      <c r="AP803" s="24" t="inlineStr">
        <is>
          <t>Temple Owls</t>
        </is>
      </c>
      <c r="AQ803" s="24" t="inlineStr">
        <is>
          <t>Temple Owls</t>
        </is>
      </c>
      <c r="AR803" s="24" t="inlineStr">
        <is>
          <t>Temple Owls</t>
        </is>
      </c>
      <c r="AS803" s="24" t="inlineStr">
        <is>
          <t>South Florida Bulls</t>
        </is>
      </c>
      <c r="AT803" s="24" t="inlineStr">
        <is>
          <t>South Florida Bulls</t>
        </is>
      </c>
      <c r="AU803" s="24" t="inlineStr">
        <is>
          <t>South Florida Bulls</t>
        </is>
      </c>
      <c r="AV803" s="24" t="n"/>
      <c r="AW803" s="24" t="n"/>
      <c r="AX803" s="24" t="inlineStr">
        <is>
          <t>statistical_model</t>
        </is>
      </c>
      <c r="AY803" s="24" t="n"/>
      <c r="AZ803" s="24" t="inlineStr">
        <is>
          <t>shadow_qualified</t>
        </is>
      </c>
      <c r="BA803" s="24" t="inlineStr">
        <is>
          <t>1d168f11d221cd3c</t>
        </is>
      </c>
      <c r="BB803" s="24" t="inlineStr">
        <is>
          <t>cfb_key_number_engine</t>
        </is>
      </c>
      <c r="BC803" s="24" t="inlineStr">
        <is>
          <t>cfb-spread-v1</t>
        </is>
      </c>
      <c r="BD803" s="24" t="inlineStr">
        <is>
          <t>1d168f11d221cd3c</t>
        </is>
      </c>
      <c r="BE803" s="24" t="inlineStr">
        <is>
          <t>cfb-v1</t>
        </is>
      </c>
      <c r="BF803" s="24" t="inlineStr">
        <is>
          <t>1</t>
        </is>
      </c>
      <c r="BG803" s="24" t="inlineStr">
        <is>
          <t>1d168f11d221cd3c</t>
        </is>
      </c>
      <c r="BH803" s="24" t="inlineStr">
        <is>
          <t>2026-10-03T22:32:35.686759+00:00</t>
        </is>
      </c>
      <c r="BI803" s="24" t="inlineStr">
        <is>
          <t>["same_event","same_team_same_day","same_league_same_day"]</t>
        </is>
      </c>
      <c r="BJ803" s="25" t="n">
        <v>-5.5</v>
      </c>
      <c r="BK803" s="26" t="n">
        <v>-112</v>
      </c>
      <c r="BL803" s="27" t="n">
        <v>1.892857</v>
      </c>
      <c r="BM803" s="28" t="n">
        <v>0.528302</v>
      </c>
      <c r="BN803" s="28" t="n"/>
      <c r="BO803" s="28" t="n"/>
      <c r="BP803" s="25" t="n"/>
      <c r="BQ803" s="27" t="n"/>
      <c r="BR803" s="28" t="n"/>
      <c r="BS803" s="28" t="n"/>
      <c r="BT803" s="28" t="n"/>
      <c r="BU803" s="25" t="n"/>
      <c r="BV803" s="29" t="n"/>
      <c r="BW803" s="24" t="n"/>
      <c r="BX803" s="30" t="n"/>
      <c r="BY803" s="27" t="n"/>
      <c r="BZ803" s="24" t="n"/>
      <c r="CA803" s="31" t="n"/>
      <c r="CB803" s="24" t="n"/>
      <c r="CC803" s="24" t="n"/>
      <c r="CD803" s="24" t="n"/>
      <c r="CE803" s="24" t="n"/>
      <c r="CF803" s="24" t="n"/>
      <c r="CG803" s="24" t="n"/>
      <c r="CH803" s="24" t="n"/>
      <c r="CI803" s="24" t="n"/>
      <c r="CJ803" s="24" t="n"/>
      <c r="CK803" s="24" t="n"/>
      <c r="CL803" s="24" t="n"/>
      <c r="CM803" s="24" t="n"/>
      <c r="CN803" s="24" t="n"/>
      <c r="CO803" s="24" t="n"/>
      <c r="CP803" s="24" t="n"/>
      <c r="CQ803" s="24" t="n"/>
      <c r="CR803" s="24" t="n"/>
      <c r="CS803" s="24" t="inlineStr">
        <is>
          <t>True</t>
        </is>
      </c>
      <c r="CT803" s="24" t="n"/>
      <c r="CU803" s="24" t="n"/>
      <c r="CV803" s="24" t="n"/>
      <c r="CW803" s="24" t="n"/>
      <c r="CX803" s="24" t="n"/>
      <c r="CY803" s="24" t="n"/>
      <c r="CZ803" s="24" t="n"/>
      <c r="DA803" s="24" t="n"/>
      <c r="DB803" s="24" t="n"/>
      <c r="DC803" s="24" t="n"/>
      <c r="DD803" s="24" t="n"/>
      <c r="DE803" s="24" t="n"/>
      <c r="DF803" s="24" t="n"/>
      <c r="DG803" s="24" t="n"/>
      <c r="DH803" s="24" t="n"/>
      <c r="DI803" s="24" t="n"/>
      <c r="DJ803" s="24" t="inlineStr">
        <is>
          <t>0.528302</t>
        </is>
      </c>
      <c r="DK803" s="24" t="n"/>
      <c r="DL803" s="24" t="n"/>
      <c r="DM803" s="24" t="n"/>
      <c r="DN803" s="24" t="n"/>
      <c r="DO803" s="24" t="n"/>
      <c r="DP803" s="24" t="n"/>
      <c r="DQ803" s="24" t="inlineStr">
        <is>
          <t>{"artifact_hash": "1d168f11d221cd3c", "event_id": "401862792", "event_start_utc": "2026-10-03T23:30Z", "features": {"altitude_fatigue_penalty": 0.0, "away_team": "Temple Owls", "efficiency_gap": 0.0, "elo_away": 1292.2, "elo_home": 1657.2, "elo_home_win_prob": 0.9224, "event_id": "401862792", "game_start_utc": "2026-10-03T23:30Z", "home_field_advantage_points": 2.8, "home_team": "South Florida Bulls", "is_dome": false, "is_fbs_vs_fcs": false, "is_neutral_site": false, "projected_away_points": 18.1, "projected_home_points": 35.6, "projected_margin_home": 17.6, "projected_possessions": 12.4, "projected_total": 53.7, "stadium_elevation_ft": 40, "travel_distance_miles": 924.0, "uncertainty": 0.18, "weather_total_adjustment": 0.0}, "historical_source_observation_times_verified": false, "inference_inputs": {"engine_source_sha256": "449ba2f0e86fa9c445730076a0e0bf100fb4914620be53c75c6f3bfe24298f3f", "mu_away": 18.1, "mu_home": 35.6,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39401798691289415597873056580195435344}, "uinteger": 0}, "spread_home_line": -5.5, "total_line": 50.5}, "market_type": "spread", "model_version": "cfb-spread-v1", "observed_at_utc": "2026-10-03T22:32:35.686759+00:00", "probabilities": {"away": 0.2614, "home": 0.7386, "push": 0.0}, "replay_scope": "Full precision score means, exact engine parameters and original RNG state; upstream feature construction not certified.", "schema": "cfb-joint-replay-v1", "snapshot_hash": "b57be0b93fdb1f50b8a43439e3528fa02e5f1cc2458a919849399395ecb49c2b", "sport": "NCAAF"}</t>
        </is>
      </c>
    </row>
    <row r="804" ht="36" customHeight="1">
      <c r="A804" s="24" t="inlineStr">
        <is>
          <t>0a18eb0a2a094b92</t>
        </is>
      </c>
      <c r="B804" s="24" t="inlineStr">
        <is>
          <t>2026-10-03T22:32:35.686759Z</t>
        </is>
      </c>
      <c r="C804" s="24" t="inlineStr">
        <is>
          <t>2026-10-03T23:30Z</t>
        </is>
      </c>
      <c r="D804" s="24" t="inlineStr">
        <is>
          <t>401862792</t>
        </is>
      </c>
      <c r="E804" s="24" t="inlineStr">
        <is>
          <t>NCAAF</t>
        </is>
      </c>
      <c r="F804" s="24" t="inlineStr">
        <is>
          <t>Temple Owls</t>
        </is>
      </c>
      <c r="G804" s="24" t="inlineStr">
        <is>
          <t>South Florida Bulls</t>
        </is>
      </c>
      <c r="H804" s="24" t="inlineStr">
        <is>
          <t>total</t>
        </is>
      </c>
      <c r="I804" s="24" t="inlineStr">
        <is>
          <t>over</t>
        </is>
      </c>
      <c r="J804" s="25" t="n">
        <v>50.5</v>
      </c>
      <c r="K804" s="24" t="inlineStr">
        <is>
          <t>espn_consensus</t>
        </is>
      </c>
      <c r="L804" s="26" t="n">
        <v>-108</v>
      </c>
      <c r="M804" s="27" t="n">
        <v>1.925926</v>
      </c>
      <c r="N804" s="28" t="n">
        <v>0.519231</v>
      </c>
      <c r="O804" s="28" t="n">
        <v>0.527133</v>
      </c>
      <c r="P804" s="28" t="n">
        <v>0.18</v>
      </c>
      <c r="Q804" s="28" t="n">
        <v>0.007901999999999999</v>
      </c>
      <c r="R804" s="26" t="n">
        <v>0</v>
      </c>
      <c r="S804" s="29" t="n">
        <v>1</v>
      </c>
      <c r="T804" s="24" t="inlineStr">
        <is>
          <t>cfb-total-v1</t>
        </is>
      </c>
      <c r="U804" s="24" t="inlineStr">
        <is>
          <t>settled</t>
        </is>
      </c>
      <c r="V804" s="24" t="inlineStr">
        <is>
          <t>loss</t>
        </is>
      </c>
      <c r="W804" s="26" t="n">
        <v>17</v>
      </c>
      <c r="X804" s="26" t="n">
        <v>13</v>
      </c>
      <c r="Y804" s="25" t="n"/>
      <c r="Z804" s="26" t="n"/>
      <c r="AA804" s="28" t="n"/>
      <c r="AB804" s="28" t="n"/>
      <c r="AC804" s="30" t="n">
        <v>-1</v>
      </c>
      <c r="AD804" s="24" t="inlineStr">
        <is>
          <t>2026-10-04T20:46:24.519038Z</t>
        </is>
      </c>
      <c r="AE804" s="31" t="inlineStr">
        <is>
          <t>Projected total 53.7 pts (Weather adj: +0.0 pts). Total line 50.5 -&gt; P(Over)=0.527, P(Under)=0.473, P(Push)=0.000.</t>
        </is>
      </c>
      <c r="AF804" s="31" t="inlineStr">
        <is>
          <t>College football model; multi-market (moneyline, spread, total).</t>
        </is>
      </c>
      <c r="AG804" s="24" t="inlineStr">
        <is>
          <t>review_required</t>
        </is>
      </c>
      <c r="AH804" s="24" t="n"/>
      <c r="AI804" s="31" t="n"/>
      <c r="AJ804" s="31" t="n"/>
      <c r="AK804" s="24" t="inlineStr">
        <is>
          <t>paper_call</t>
        </is>
      </c>
      <c r="AL804" s="26" t="n">
        <v>4</v>
      </c>
      <c r="AM804" s="24" t="inlineStr">
        <is>
          <t>RESEARCH_OBSERVATION</t>
        </is>
      </c>
      <c r="AN804" s="24" t="inlineStr">
        <is>
          <t>CALL</t>
        </is>
      </c>
      <c r="AO804" s="24" t="inlineStr">
        <is>
          <t>PAPER_CALL_LOW_EDGE</t>
        </is>
      </c>
      <c r="AP804" s="24" t="inlineStr">
        <is>
          <t>Temple Owls</t>
        </is>
      </c>
      <c r="AQ804" s="24" t="inlineStr">
        <is>
          <t>Temple Owls</t>
        </is>
      </c>
      <c r="AR804" s="24" t="inlineStr">
        <is>
          <t>Temple Owls</t>
        </is>
      </c>
      <c r="AS804" s="24" t="inlineStr">
        <is>
          <t>South Florida Bulls</t>
        </is>
      </c>
      <c r="AT804" s="24" t="inlineStr">
        <is>
          <t>South Florida Bulls</t>
        </is>
      </c>
      <c r="AU804" s="24" t="inlineStr">
        <is>
          <t>South Florida Bulls</t>
        </is>
      </c>
      <c r="AV804" s="24" t="n"/>
      <c r="AW804" s="24" t="n"/>
      <c r="AX804" s="24" t="inlineStr">
        <is>
          <t>statistical_model</t>
        </is>
      </c>
      <c r="AY804" s="24" t="n"/>
      <c r="AZ804" s="24" t="inlineStr">
        <is>
          <t>shadow_qualified</t>
        </is>
      </c>
      <c r="BA804" s="24" t="inlineStr">
        <is>
          <t>1d168f11d221cd3c</t>
        </is>
      </c>
      <c r="BB804" s="24" t="inlineStr">
        <is>
          <t>cfb_key_number_engine</t>
        </is>
      </c>
      <c r="BC804" s="24" t="inlineStr">
        <is>
          <t>cfb-total-v1</t>
        </is>
      </c>
      <c r="BD804" s="24" t="inlineStr">
        <is>
          <t>1d168f11d221cd3c</t>
        </is>
      </c>
      <c r="BE804" s="24" t="inlineStr">
        <is>
          <t>cfb-v1</t>
        </is>
      </c>
      <c r="BF804" s="24" t="inlineStr">
        <is>
          <t>1</t>
        </is>
      </c>
      <c r="BG804" s="24" t="inlineStr">
        <is>
          <t>1d168f11d221cd3c</t>
        </is>
      </c>
      <c r="BH804" s="24" t="inlineStr">
        <is>
          <t>2026-10-03T22:32:35.686759+00:00</t>
        </is>
      </c>
      <c r="BI804" s="24" t="inlineStr">
        <is>
          <t>["same_event","same_team_same_day","same_league_same_day"]</t>
        </is>
      </c>
      <c r="BJ804" s="25" t="n">
        <v>50.5</v>
      </c>
      <c r="BK804" s="26" t="n">
        <v>-108</v>
      </c>
      <c r="BL804" s="27" t="n">
        <v>1.925926</v>
      </c>
      <c r="BM804" s="28" t="n">
        <v>0.519231</v>
      </c>
      <c r="BN804" s="28" t="n"/>
      <c r="BO804" s="28" t="n"/>
      <c r="BP804" s="25" t="n"/>
      <c r="BQ804" s="27" t="n"/>
      <c r="BR804" s="28" t="n"/>
      <c r="BS804" s="28" t="n"/>
      <c r="BT804" s="28" t="n"/>
      <c r="BU804" s="25" t="n"/>
      <c r="BV804" s="29" t="n"/>
      <c r="BW804" s="24" t="n"/>
      <c r="BX804" s="30" t="n">
        <v>1</v>
      </c>
      <c r="BY804" s="27" t="n">
        <v>-1</v>
      </c>
      <c r="BZ804" s="24" t="inlineStr">
        <is>
          <t>2026-10-04T20:46:24.519038Z</t>
        </is>
      </c>
      <c r="CA804" s="31" t="inlineStr">
        <is>
          <t>fixed one-unit hypothetical scoring; no real exposure or execution</t>
        </is>
      </c>
      <c r="CB804" s="24" t="n"/>
      <c r="CC804" s="24" t="n"/>
      <c r="CD804" s="24" t="n"/>
      <c r="CE804" s="24" t="n"/>
      <c r="CF804" s="24" t="n"/>
      <c r="CG804" s="24" t="n"/>
      <c r="CH804" s="24" t="n"/>
      <c r="CI804" s="24" t="n"/>
      <c r="CJ804" s="24" t="n"/>
      <c r="CK804" s="24" t="n"/>
      <c r="CL804" s="24" t="n"/>
      <c r="CM804" s="24" t="n"/>
      <c r="CN804" s="24" t="n"/>
      <c r="CO804" s="24" t="n"/>
      <c r="CP804" s="24" t="n"/>
      <c r="CQ804" s="24" t="n"/>
      <c r="CR804" s="24" t="n"/>
      <c r="CS804" s="24" t="inlineStr">
        <is>
          <t>True</t>
        </is>
      </c>
      <c r="CT804" s="24" t="n"/>
      <c r="CU804" s="24" t="n"/>
      <c r="CV804" s="24" t="n"/>
      <c r="CW804" s="24" t="n"/>
      <c r="CX804" s="24" t="n"/>
      <c r="CY804" s="24" t="n"/>
      <c r="CZ804" s="24" t="n"/>
      <c r="DA804" s="24" t="n"/>
      <c r="DB804" s="24" t="n"/>
      <c r="DC804" s="24" t="n"/>
      <c r="DD804" s="24" t="n"/>
      <c r="DE804" s="24" t="n"/>
      <c r="DF804" s="24" t="n"/>
      <c r="DG804" s="24" t="n"/>
      <c r="DH804" s="24" t="n"/>
      <c r="DI804" s="24" t="n"/>
      <c r="DJ804" s="24" t="inlineStr">
        <is>
          <t>0.519231</t>
        </is>
      </c>
      <c r="DK804" s="24" t="n"/>
      <c r="DL804" s="24" t="n"/>
      <c r="DM804" s="24" t="n"/>
      <c r="DN804" s="24" t="n"/>
      <c r="DO804" s="24" t="n"/>
      <c r="DP804" s="24" t="n"/>
      <c r="DQ804" s="24" t="inlineStr">
        <is>
          <t>{"artifact_hash": "1d168f11d221cd3c", "event_id": "401862792", "event_start_utc": "2026-10-03T23:30Z", "features": {"altitude_fatigue_penalty": 0.0, "away_team": "Temple Owls", "efficiency_gap": 0.0, "elo_away": 1292.2, "elo_home": 1657.2, "elo_home_win_prob": 0.9224, "event_id": "401862792", "game_start_utc": "2026-10-03T23:30Z", "home_field_advantage_points": 2.8, "home_team": "South Florida Bulls", "is_dome": false, "is_fbs_vs_fcs": false, "is_neutral_site": false, "projected_away_points": 18.1, "projected_home_points": 35.6, "projected_margin_home": 17.6, "projected_possessions": 12.4, "projected_total": 53.7, "stadium_elevation_ft": 40, "travel_distance_miles": 924.0, "uncertainty": 0.18, "weather_total_adjustment": 0.0}, "historical_source_observation_times_verified": false, "inference_inputs": {"engine_source_sha256": "449ba2f0e86fa9c445730076a0e0bf100fb4914620be53c75c6f3bfe24298f3f", "mu_away": 18.1, "mu_home": 35.6,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39401798691289415597873056580195435344}, "uinteger": 0}, "spread_home_line": -5.5, "total_line": 50.5}, "market_type": "total", "model_version": "cfb-total-v1", "observed_at_utc": "2026-10-03T22:32:35.686759+00:00", "probabilities": {"over": 0.527133, "push": 0.0, "under": 0.472867}, "replay_scope": "Full precision score means, exact engine parameters and original RNG state; upstream feature construction not certified.", "schema": "cfb-joint-replay-v1", "snapshot_hash": "e5e6f3078162c16ef42f6af9363cab625051f9625e3c176c51c900b44dc40165", "sport": "NCAAF"}</t>
        </is>
      </c>
    </row>
    <row r="805" ht="36" customHeight="1">
      <c r="A805" s="24" t="inlineStr">
        <is>
          <t>96d9a25b56da4fb7</t>
        </is>
      </c>
      <c r="B805" s="24" t="inlineStr">
        <is>
          <t>2026-10-03T22:32:35.686759Z</t>
        </is>
      </c>
      <c r="C805" s="24" t="inlineStr">
        <is>
          <t>2026-10-03T23:30Z</t>
        </is>
      </c>
      <c r="D805" s="24" t="inlineStr">
        <is>
          <t>401869842</t>
        </is>
      </c>
      <c r="E805" s="24" t="inlineStr">
        <is>
          <t>NCAAF</t>
        </is>
      </c>
      <c r="F805" s="24" t="inlineStr">
        <is>
          <t>Army Black Knights</t>
        </is>
      </c>
      <c r="G805" s="24" t="inlineStr">
        <is>
          <t>Louisiana Tech Bulldogs</t>
        </is>
      </c>
      <c r="H805" s="24" t="inlineStr">
        <is>
          <t>moneyline</t>
        </is>
      </c>
      <c r="I805" s="24" t="inlineStr">
        <is>
          <t>home</t>
        </is>
      </c>
      <c r="J805" s="25" t="n"/>
      <c r="K805" s="24" t="inlineStr">
        <is>
          <t>espn_consensus</t>
        </is>
      </c>
      <c r="L805" s="26" t="n">
        <v>-110</v>
      </c>
      <c r="M805" s="27" t="n">
        <v>1.909091</v>
      </c>
      <c r="N805" s="28" t="n">
        <v>0.52381</v>
      </c>
      <c r="O805" s="28" t="n">
        <v>0.50436</v>
      </c>
      <c r="P805" s="28" t="n">
        <v>0.18</v>
      </c>
      <c r="Q805" s="28" t="n">
        <v>-0.01945</v>
      </c>
      <c r="R805" s="26" t="n">
        <v>0</v>
      </c>
      <c r="S805" s="29" t="n">
        <v>1</v>
      </c>
      <c r="T805" s="24" t="inlineStr">
        <is>
          <t>college-football-v1</t>
        </is>
      </c>
      <c r="U805" s="24" t="inlineStr">
        <is>
          <t>settled</t>
        </is>
      </c>
      <c r="V805" s="24" t="inlineStr">
        <is>
          <t>win</t>
        </is>
      </c>
      <c r="W805" s="26" t="n">
        <v>29</v>
      </c>
      <c r="X805" s="26" t="n">
        <v>31</v>
      </c>
      <c r="Y805" s="25" t="n"/>
      <c r="Z805" s="26" t="n"/>
      <c r="AA805" s="28" t="n"/>
      <c r="AB805" s="28" t="n"/>
      <c r="AC805" s="30" t="n">
        <v>0.9091</v>
      </c>
      <c r="AD805" s="24" t="inlineStr">
        <is>
          <t>2026-10-04T20:46:29.138292Z</t>
        </is>
      </c>
      <c r="AE805" s="31" t="inlineStr">
        <is>
          <t>CFB Joint Model (negative_binomial): proj score Army Black Knights 26.6 @ Louisiana Tech Bulldogs 26.7 (Margin +0.1). Possessions: 12.4, HFA: +2.8 pts.</t>
        </is>
      </c>
      <c r="AF805" s="31" t="inlineStr">
        <is>
          <t>College football model; multi-market (moneyline, spread, total).</t>
        </is>
      </c>
      <c r="AG805" s="24" t="inlineStr">
        <is>
          <t>not_applicable</t>
        </is>
      </c>
      <c r="AH805" s="24" t="n"/>
      <c r="AI805" s="31" t="n"/>
      <c r="AJ805" s="31" t="n"/>
      <c r="AK805" s="24" t="inlineStr">
        <is>
          <t>paper_call</t>
        </is>
      </c>
      <c r="AL805" s="26" t="n">
        <v>4</v>
      </c>
      <c r="AM805" s="24" t="inlineStr">
        <is>
          <t>RESEARCH_OBSERVATION</t>
        </is>
      </c>
      <c r="AN805" s="24" t="inlineStr">
        <is>
          <t>CALL</t>
        </is>
      </c>
      <c r="AO805" s="24" t="inlineStr">
        <is>
          <t>PAPER_CALL_LOW_EDGE</t>
        </is>
      </c>
      <c r="AP805" s="24" t="inlineStr">
        <is>
          <t>Army Black Knights</t>
        </is>
      </c>
      <c r="AQ805" s="24" t="inlineStr">
        <is>
          <t>Army Black Knights</t>
        </is>
      </c>
      <c r="AR805" s="24" t="inlineStr">
        <is>
          <t>Army Black Knights</t>
        </is>
      </c>
      <c r="AS805" s="24" t="inlineStr">
        <is>
          <t>Louisiana Tech Bulldogs</t>
        </is>
      </c>
      <c r="AT805" s="24" t="inlineStr">
        <is>
          <t>Louisiana Tech Bulldogs</t>
        </is>
      </c>
      <c r="AU805" s="24" t="inlineStr">
        <is>
          <t>Louisiana Tech Bulldogs</t>
        </is>
      </c>
      <c r="AV805" s="24" t="n"/>
      <c r="AW805" s="24" t="n"/>
      <c r="AX805" s="24" t="inlineStr">
        <is>
          <t>statistical_model</t>
        </is>
      </c>
      <c r="AY805" s="24" t="n"/>
      <c r="AZ805" s="24" t="inlineStr">
        <is>
          <t>shadow_qualified</t>
        </is>
      </c>
      <c r="BA805" s="24" t="inlineStr">
        <is>
          <t>1d168f11d221cd3c</t>
        </is>
      </c>
      <c r="BB805" s="24" t="inlineStr">
        <is>
          <t>cfb_key_number_engine</t>
        </is>
      </c>
      <c r="BC805" s="24" t="inlineStr">
        <is>
          <t>college-football-v1</t>
        </is>
      </c>
      <c r="BD805" s="24" t="inlineStr">
        <is>
          <t>1d168f11d221cd3c</t>
        </is>
      </c>
      <c r="BE805" s="24" t="inlineStr">
        <is>
          <t>cfb-v1</t>
        </is>
      </c>
      <c r="BF805" s="24" t="inlineStr">
        <is>
          <t>1</t>
        </is>
      </c>
      <c r="BG805" s="24" t="inlineStr">
        <is>
          <t>1d168f11d221cd3c</t>
        </is>
      </c>
      <c r="BH805" s="24" t="inlineStr">
        <is>
          <t>2026-10-03T22:32:35.686759+00:00</t>
        </is>
      </c>
      <c r="BI805" s="24" t="inlineStr">
        <is>
          <t>["same_event","same_team_same_day","same_league_same_day"]</t>
        </is>
      </c>
      <c r="BJ805" s="25" t="n"/>
      <c r="BK805" s="26" t="n">
        <v>-110</v>
      </c>
      <c r="BL805" s="27" t="n">
        <v>1.909091</v>
      </c>
      <c r="BM805" s="28" t="n">
        <v>0.52381</v>
      </c>
      <c r="BN805" s="28" t="n"/>
      <c r="BO805" s="28" t="n"/>
      <c r="BP805" s="25" t="n"/>
      <c r="BQ805" s="27" t="n"/>
      <c r="BR805" s="28" t="n"/>
      <c r="BS805" s="28" t="n"/>
      <c r="BT805" s="28" t="n"/>
      <c r="BU805" s="25" t="n"/>
      <c r="BV805" s="29" t="n"/>
      <c r="BW805" s="24" t="n"/>
      <c r="BX805" s="30" t="n">
        <v>1</v>
      </c>
      <c r="BY805" s="27" t="n">
        <v>0.909091</v>
      </c>
      <c r="BZ805" s="24" t="inlineStr">
        <is>
          <t>2026-10-04T20:46:29.138292Z</t>
        </is>
      </c>
      <c r="CA805" s="31" t="inlineStr">
        <is>
          <t>fixed one-unit hypothetical scoring; no real exposure or execution</t>
        </is>
      </c>
      <c r="CB805" s="24" t="n"/>
      <c r="CC805" s="24" t="n"/>
      <c r="CD805" s="24" t="n"/>
      <c r="CE805" s="24" t="n"/>
      <c r="CF805" s="24" t="n"/>
      <c r="CG805" s="24" t="n"/>
      <c r="CH805" s="24" t="n"/>
      <c r="CI805" s="24" t="n"/>
      <c r="CJ805" s="24" t="n"/>
      <c r="CK805" s="24" t="n"/>
      <c r="CL805" s="24" t="n"/>
      <c r="CM805" s="24" t="n"/>
      <c r="CN805" s="24" t="n"/>
      <c r="CO805" s="24" t="n"/>
      <c r="CP805" s="24" t="n"/>
      <c r="CQ805" s="24" t="n"/>
      <c r="CR805" s="24" t="n"/>
      <c r="CS805" s="24" t="inlineStr">
        <is>
          <t>False</t>
        </is>
      </c>
      <c r="CT805" s="24" t="n"/>
      <c r="CU805" s="24" t="n"/>
      <c r="CV805" s="24" t="n"/>
      <c r="CW805" s="24" t="n"/>
      <c r="CX805" s="24" t="n"/>
      <c r="CY805" s="24" t="n"/>
      <c r="CZ805" s="24" t="n"/>
      <c r="DA805" s="24" t="n"/>
      <c r="DB805" s="24" t="n"/>
      <c r="DC805" s="24" t="n"/>
      <c r="DD805" s="24" t="n"/>
      <c r="DE805" s="24" t="n"/>
      <c r="DF805" s="24" t="n"/>
      <c r="DG805" s="24" t="n"/>
      <c r="DH805" s="24" t="n"/>
      <c r="DI805" s="24" t="n"/>
      <c r="DJ805" s="24" t="inlineStr">
        <is>
          <t>0.52381</t>
        </is>
      </c>
      <c r="DK805" s="24" t="n"/>
      <c r="DL805" s="24" t="n"/>
      <c r="DM805" s="24" t="n"/>
      <c r="DN805" s="24" t="n"/>
      <c r="DO805" s="24" t="n"/>
      <c r="DP805" s="24" t="n"/>
      <c r="DQ805" s="24" t="inlineStr">
        <is>
          <t>{"artifact_hash": "1d168f11d221cd3c", "event_id": "401869842", "event_start_utc": "2026-10-03T23:30Z", "features": {"altitude_fatigue_penalty": 0.0, "away_team": "Army Black Knights", "efficiency_gap": -0.674, "elo_away": 1644.4, "elo_home": 1581.7, "elo_home_win_prob": 0.5033, "event_id": "401869842", "game_start_utc": "2026-10-03T23:30Z", "home_field_advantage_points": 2.8, "home_team": "Louisiana Tech Bulldogs", "is_dome": false, "is_fbs_vs_fcs": false, "is_neutral_site": false, "projected_away_points": 26.6, "projected_home_points": 26.7, "projected_margin_home": 0.1, "projected_possessions": 12.4, "projected_total": 53.2, "stadium_elevation_ft": 310, "travel_distance_miles": 1196.0, "uncertainty": 0.18, "weather_total_adjustment": 0.0}, "historical_source_observation_times_verified": false, "inference_inputs": {"engine_source_sha256": "449ba2f0e86fa9c445730076a0e0bf100fb4914620be53c75c6f3bfe24298f3f", "mu_away": 26.6, "mu_home": 26.7,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75112185102996337151177754943627673982}, "uinteger": 0}, "spread_home_line": -1.5, "total_line": 47.5}, "market_type": "moneyline", "model_version": "college-football-v1", "observed_at_utc": "2026-10-03T22:32:35.686759+00:00", "probabilities": {"away": 0.49564, "home": 0.50436}, "replay_scope": "Full precision score means, exact engine parameters and original RNG state; upstream feature construction not certified.", "schema": "cfb-joint-replay-v1", "snapshot_hash": "dac8fa02932ba99d5b22b95cc454575c77cfdbd6e43cad3ba3fd344403966461", "sport": "NCAAF"}</t>
        </is>
      </c>
    </row>
    <row r="806" ht="36" customHeight="1">
      <c r="A806" s="24" t="inlineStr">
        <is>
          <t>89081fa2b45f47d6</t>
        </is>
      </c>
      <c r="B806" s="24" t="inlineStr">
        <is>
          <t>2026-10-03T22:32:35.686759Z</t>
        </is>
      </c>
      <c r="C806" s="24" t="inlineStr">
        <is>
          <t>2026-10-03T23:30Z</t>
        </is>
      </c>
      <c r="D806" s="24" t="inlineStr">
        <is>
          <t>401869842</t>
        </is>
      </c>
      <c r="E806" s="24" t="inlineStr">
        <is>
          <t>NCAAF</t>
        </is>
      </c>
      <c r="F806" s="24" t="inlineStr">
        <is>
          <t>Army Black Knights</t>
        </is>
      </c>
      <c r="G806" s="24" t="inlineStr">
        <is>
          <t>Louisiana Tech Bulldogs</t>
        </is>
      </c>
      <c r="H806" s="24" t="inlineStr">
        <is>
          <t>spread</t>
        </is>
      </c>
      <c r="I806" s="24" t="inlineStr">
        <is>
          <t>away</t>
        </is>
      </c>
      <c r="J806" s="25" t="n">
        <v>1.5</v>
      </c>
      <c r="K806" s="24" t="inlineStr">
        <is>
          <t>espn_consensus</t>
        </is>
      </c>
      <c r="L806" s="26" t="n">
        <v>-115</v>
      </c>
      <c r="M806" s="27" t="n">
        <v>1.869565</v>
      </c>
      <c r="N806" s="28" t="n">
        <v>0.534884</v>
      </c>
      <c r="O806" s="28" t="n">
        <v>0.529467</v>
      </c>
      <c r="P806" s="28" t="n">
        <v>0.18</v>
      </c>
      <c r="Q806" s="28" t="n">
        <v>-0.005417</v>
      </c>
      <c r="R806" s="26" t="n">
        <v>0</v>
      </c>
      <c r="S806" s="29" t="n">
        <v>1</v>
      </c>
      <c r="T806" s="24" t="inlineStr">
        <is>
          <t>cfb-spread-v1</t>
        </is>
      </c>
      <c r="U806" s="24" t="inlineStr">
        <is>
          <t>settled</t>
        </is>
      </c>
      <c r="V806" s="24" t="inlineStr">
        <is>
          <t>loss</t>
        </is>
      </c>
      <c r="W806" s="26" t="n">
        <v>29</v>
      </c>
      <c r="X806" s="26" t="n">
        <v>31</v>
      </c>
      <c r="Y806" s="25" t="n"/>
      <c r="Z806" s="26" t="n"/>
      <c r="AA806" s="28" t="n"/>
      <c r="AB806" s="28" t="n"/>
      <c r="AC806" s="30" t="n">
        <v>-1</v>
      </c>
      <c r="AD806" s="24" t="inlineStr">
        <is>
          <t>2026-10-04T20:46:33.431970Z</t>
        </is>
      </c>
      <c r="AE806" s="31" t="inlineStr">
        <is>
          <t>Projected home margin +0.1 pts. Spread: Home -1.5 / Away +1.5 -&gt; P(Away cover)=0.529, P(Home cover)=0.471, P(Push)=0.000.</t>
        </is>
      </c>
      <c r="AF806" s="31" t="inlineStr">
        <is>
          <t>College football model; multi-market (moneyline, spread, total).</t>
        </is>
      </c>
      <c r="AG806" s="24" t="inlineStr">
        <is>
          <t>review_required</t>
        </is>
      </c>
      <c r="AH806" s="24" t="n"/>
      <c r="AI806" s="31" t="n"/>
      <c r="AJ806" s="31" t="n"/>
      <c r="AK806" s="24" t="inlineStr">
        <is>
          <t>paper_call</t>
        </is>
      </c>
      <c r="AL806" s="26" t="n">
        <v>4</v>
      </c>
      <c r="AM806" s="24" t="inlineStr">
        <is>
          <t>RESEARCH_OBSERVATION</t>
        </is>
      </c>
      <c r="AN806" s="24" t="inlineStr">
        <is>
          <t>CALL</t>
        </is>
      </c>
      <c r="AO806" s="24" t="inlineStr">
        <is>
          <t>PAPER_CALL_LOW_EDGE</t>
        </is>
      </c>
      <c r="AP806" s="24" t="inlineStr">
        <is>
          <t>Army Black Knights</t>
        </is>
      </c>
      <c r="AQ806" s="24" t="inlineStr">
        <is>
          <t>Army Black Knights</t>
        </is>
      </c>
      <c r="AR806" s="24" t="inlineStr">
        <is>
          <t>Army Black Knights</t>
        </is>
      </c>
      <c r="AS806" s="24" t="inlineStr">
        <is>
          <t>Louisiana Tech Bulldogs</t>
        </is>
      </c>
      <c r="AT806" s="24" t="inlineStr">
        <is>
          <t>Louisiana Tech Bulldogs</t>
        </is>
      </c>
      <c r="AU806" s="24" t="inlineStr">
        <is>
          <t>Louisiana Tech Bulldogs</t>
        </is>
      </c>
      <c r="AV806" s="24" t="n"/>
      <c r="AW806" s="24" t="n"/>
      <c r="AX806" s="24" t="inlineStr">
        <is>
          <t>statistical_model</t>
        </is>
      </c>
      <c r="AY806" s="24" t="n"/>
      <c r="AZ806" s="24" t="inlineStr">
        <is>
          <t>shadow_qualified</t>
        </is>
      </c>
      <c r="BA806" s="24" t="inlineStr">
        <is>
          <t>1d168f11d221cd3c</t>
        </is>
      </c>
      <c r="BB806" s="24" t="inlineStr">
        <is>
          <t>cfb_key_number_engine</t>
        </is>
      </c>
      <c r="BC806" s="24" t="inlineStr">
        <is>
          <t>cfb-spread-v1</t>
        </is>
      </c>
      <c r="BD806" s="24" t="inlineStr">
        <is>
          <t>1d168f11d221cd3c</t>
        </is>
      </c>
      <c r="BE806" s="24" t="inlineStr">
        <is>
          <t>cfb-v1</t>
        </is>
      </c>
      <c r="BF806" s="24" t="inlineStr">
        <is>
          <t>1</t>
        </is>
      </c>
      <c r="BG806" s="24" t="inlineStr">
        <is>
          <t>1d168f11d221cd3c</t>
        </is>
      </c>
      <c r="BH806" s="24" t="inlineStr">
        <is>
          <t>2026-10-03T22:32:35.686759+00:00</t>
        </is>
      </c>
      <c r="BI806" s="24" t="inlineStr">
        <is>
          <t>["same_event","same_team_same_day","same_league_same_day"]</t>
        </is>
      </c>
      <c r="BJ806" s="25" t="n">
        <v>1.5</v>
      </c>
      <c r="BK806" s="26" t="n">
        <v>-115</v>
      </c>
      <c r="BL806" s="27" t="n">
        <v>1.869565</v>
      </c>
      <c r="BM806" s="28" t="n">
        <v>0.534884</v>
      </c>
      <c r="BN806" s="28" t="n"/>
      <c r="BO806" s="28" t="n"/>
      <c r="BP806" s="25" t="n"/>
      <c r="BQ806" s="27" t="n"/>
      <c r="BR806" s="28" t="n"/>
      <c r="BS806" s="28" t="n"/>
      <c r="BT806" s="28" t="n"/>
      <c r="BU806" s="25" t="n"/>
      <c r="BV806" s="29" t="n"/>
      <c r="BW806" s="24" t="n"/>
      <c r="BX806" s="30" t="n">
        <v>1</v>
      </c>
      <c r="BY806" s="27" t="n">
        <v>-1</v>
      </c>
      <c r="BZ806" s="24" t="inlineStr">
        <is>
          <t>2026-10-04T20:46:33.431970Z</t>
        </is>
      </c>
      <c r="CA806" s="31" t="inlineStr">
        <is>
          <t>fixed one-unit hypothetical scoring; no real exposure or execution</t>
        </is>
      </c>
      <c r="CB806" s="24" t="n"/>
      <c r="CC806" s="24" t="n"/>
      <c r="CD806" s="24" t="n"/>
      <c r="CE806" s="24" t="n"/>
      <c r="CF806" s="24" t="n"/>
      <c r="CG806" s="24" t="n"/>
      <c r="CH806" s="24" t="n"/>
      <c r="CI806" s="24" t="n"/>
      <c r="CJ806" s="24" t="n"/>
      <c r="CK806" s="24" t="n"/>
      <c r="CL806" s="24" t="n"/>
      <c r="CM806" s="24" t="n"/>
      <c r="CN806" s="24" t="n"/>
      <c r="CO806" s="24" t="n"/>
      <c r="CP806" s="24" t="n"/>
      <c r="CQ806" s="24" t="n"/>
      <c r="CR806" s="24" t="n"/>
      <c r="CS806" s="24" t="inlineStr">
        <is>
          <t>False</t>
        </is>
      </c>
      <c r="CT806" s="24" t="n"/>
      <c r="CU806" s="24" t="n"/>
      <c r="CV806" s="24" t="n"/>
      <c r="CW806" s="24" t="n"/>
      <c r="CX806" s="24" t="n"/>
      <c r="CY806" s="24" t="n"/>
      <c r="CZ806" s="24" t="n"/>
      <c r="DA806" s="24" t="n"/>
      <c r="DB806" s="24" t="n"/>
      <c r="DC806" s="24" t="n"/>
      <c r="DD806" s="24" t="n"/>
      <c r="DE806" s="24" t="n"/>
      <c r="DF806" s="24" t="n"/>
      <c r="DG806" s="24" t="n"/>
      <c r="DH806" s="24" t="n"/>
      <c r="DI806" s="24" t="n"/>
      <c r="DJ806" s="24" t="inlineStr">
        <is>
          <t>0.534884</t>
        </is>
      </c>
      <c r="DK806" s="24" t="n"/>
      <c r="DL806" s="24" t="n"/>
      <c r="DM806" s="24" t="n"/>
      <c r="DN806" s="24" t="n"/>
      <c r="DO806" s="24" t="n"/>
      <c r="DP806" s="24" t="n"/>
      <c r="DQ806" s="24" t="inlineStr">
        <is>
          <t>{"artifact_hash": "1d168f11d221cd3c", "event_id": "401869842", "event_start_utc": "2026-10-03T23:30Z", "features": {"altitude_fatigue_penalty": 0.0, "away_team": "Army Black Knights", "efficiency_gap": -0.674, "elo_away": 1644.4, "elo_home": 1581.7, "elo_home_win_prob": 0.5033, "event_id": "401869842", "game_start_utc": "2026-10-03T23:30Z", "home_field_advantage_points": 2.8, "home_team": "Louisiana Tech Bulldogs", "is_dome": false, "is_fbs_vs_fcs": false, "is_neutral_site": false, "projected_away_points": 26.6, "projected_home_points": 26.7, "projected_margin_home": 0.1, "projected_possessions": 12.4, "projected_total": 53.2, "stadium_elevation_ft": 310, "travel_distance_miles": 1196.0, "uncertainty": 0.18, "weather_total_adjustment": 0.0}, "historical_source_observation_times_verified": false, "inference_inputs": {"engine_source_sha256": "449ba2f0e86fa9c445730076a0e0bf100fb4914620be53c75c6f3bfe24298f3f", "mu_away": 26.6, "mu_home": 26.7,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75112185102996337151177754943627673982}, "uinteger": 0}, "spread_home_line": -1.5, "total_line": 47.5}, "market_type": "spread", "model_version": "cfb-spread-v1", "observed_at_utc": "2026-10-03T22:32:35.686759+00:00", "probabilities": {"away": 0.529467, "home": 0.470533, "push": 0.0}, "replay_scope": "Full precision score means, exact engine parameters and original RNG state; upstream feature construction not certified.", "schema": "cfb-joint-replay-v1", "snapshot_hash": "cd1bec6087705c4c7ccf1e208286a975a5f89c19bc81b9954079c314a830d920", "sport": "NCAAF"}</t>
        </is>
      </c>
    </row>
    <row r="807" ht="36" customHeight="1">
      <c r="A807" s="24" t="inlineStr">
        <is>
          <t>38ff9aa3abbc413f</t>
        </is>
      </c>
      <c r="B807" s="24" t="inlineStr">
        <is>
          <t>2026-10-03T22:32:35.686759Z</t>
        </is>
      </c>
      <c r="C807" s="24" t="inlineStr">
        <is>
          <t>2026-10-03T23:30Z</t>
        </is>
      </c>
      <c r="D807" s="24" t="inlineStr">
        <is>
          <t>401869842</t>
        </is>
      </c>
      <c r="E807" s="24" t="inlineStr">
        <is>
          <t>NCAAF</t>
        </is>
      </c>
      <c r="F807" s="24" t="inlineStr">
        <is>
          <t>Army Black Knights</t>
        </is>
      </c>
      <c r="G807" s="24" t="inlineStr">
        <is>
          <t>Louisiana Tech Bulldogs</t>
        </is>
      </c>
      <c r="H807" s="24" t="inlineStr">
        <is>
          <t>total</t>
        </is>
      </c>
      <c r="I807" s="24" t="inlineStr">
        <is>
          <t>over</t>
        </is>
      </c>
      <c r="J807" s="25" t="n">
        <v>47.5</v>
      </c>
      <c r="K807" s="24" t="inlineStr">
        <is>
          <t>espn_consensus</t>
        </is>
      </c>
      <c r="L807" s="26" t="n">
        <v>-105</v>
      </c>
      <c r="M807" s="27" t="n">
        <v>1.952381</v>
      </c>
      <c r="N807" s="28" t="n">
        <v>0.512195</v>
      </c>
      <c r="O807" s="28" t="n">
        <v>0.561333</v>
      </c>
      <c r="P807" s="28" t="n">
        <v>0.18</v>
      </c>
      <c r="Q807" s="28" t="n">
        <v>0.049138</v>
      </c>
      <c r="R807" s="26" t="n">
        <v>0</v>
      </c>
      <c r="S807" s="29" t="n">
        <v>1</v>
      </c>
      <c r="T807" s="24" t="inlineStr">
        <is>
          <t>cfb-total-v1</t>
        </is>
      </c>
      <c r="U807" s="24" t="inlineStr">
        <is>
          <t>settled</t>
        </is>
      </c>
      <c r="V807" s="24" t="inlineStr">
        <is>
          <t>win</t>
        </is>
      </c>
      <c r="W807" s="26" t="n">
        <v>29</v>
      </c>
      <c r="X807" s="26" t="n">
        <v>31</v>
      </c>
      <c r="Y807" s="25" t="n"/>
      <c r="Z807" s="26" t="n"/>
      <c r="AA807" s="28" t="n"/>
      <c r="AB807" s="28" t="n"/>
      <c r="AC807" s="30" t="n">
        <v>0.9524</v>
      </c>
      <c r="AD807" s="24" t="inlineStr">
        <is>
          <t>2026-10-04T20:46:38.104603Z</t>
        </is>
      </c>
      <c r="AE807" s="31" t="inlineStr">
        <is>
          <t>Projected total 53.2 pts (Weather adj: +0.0 pts). Total line 47.5 -&gt; P(Over)=0.561, P(Under)=0.439, P(Push)=0.000.</t>
        </is>
      </c>
      <c r="AF807" s="31" t="inlineStr">
        <is>
          <t>College football model; multi-market (moneyline, spread, total).</t>
        </is>
      </c>
      <c r="AG807" s="24" t="inlineStr">
        <is>
          <t>not_applicable</t>
        </is>
      </c>
      <c r="AH807" s="24" t="n"/>
      <c r="AI807" s="31" t="n"/>
      <c r="AJ807" s="31" t="n"/>
      <c r="AK807" s="24" t="inlineStr">
        <is>
          <t>model_qualified</t>
        </is>
      </c>
      <c r="AL807" s="26" t="n">
        <v>4</v>
      </c>
      <c r="AM807" s="24" t="inlineStr">
        <is>
          <t>QUALIFIED_SHADOW_CALL</t>
        </is>
      </c>
      <c r="AN807" s="24" t="inlineStr">
        <is>
          <t>CALL</t>
        </is>
      </c>
      <c r="AO807" s="24" t="inlineStr">
        <is>
          <t>QUALIFIED</t>
        </is>
      </c>
      <c r="AP807" s="24" t="inlineStr">
        <is>
          <t>Army Black Knights</t>
        </is>
      </c>
      <c r="AQ807" s="24" t="inlineStr">
        <is>
          <t>Army Black Knights</t>
        </is>
      </c>
      <c r="AR807" s="24" t="inlineStr">
        <is>
          <t>Army Black Knights</t>
        </is>
      </c>
      <c r="AS807" s="24" t="inlineStr">
        <is>
          <t>Louisiana Tech Bulldogs</t>
        </is>
      </c>
      <c r="AT807" s="24" t="inlineStr">
        <is>
          <t>Louisiana Tech Bulldogs</t>
        </is>
      </c>
      <c r="AU807" s="24" t="inlineStr">
        <is>
          <t>Louisiana Tech Bulldogs</t>
        </is>
      </c>
      <c r="AV807" s="24" t="n"/>
      <c r="AW807" s="24" t="n"/>
      <c r="AX807" s="24" t="inlineStr">
        <is>
          <t>statistical_model</t>
        </is>
      </c>
      <c r="AY807" s="24" t="n"/>
      <c r="AZ807" s="24" t="inlineStr">
        <is>
          <t>shadow_qualified</t>
        </is>
      </c>
      <c r="BA807" s="24" t="inlineStr">
        <is>
          <t>1d168f11d221cd3c</t>
        </is>
      </c>
      <c r="BB807" s="24" t="inlineStr">
        <is>
          <t>cfb_key_number_engine</t>
        </is>
      </c>
      <c r="BC807" s="24" t="inlineStr">
        <is>
          <t>cfb-total-v1</t>
        </is>
      </c>
      <c r="BD807" s="24" t="inlineStr">
        <is>
          <t>1d168f11d221cd3c</t>
        </is>
      </c>
      <c r="BE807" s="24" t="inlineStr">
        <is>
          <t>cfb-v1</t>
        </is>
      </c>
      <c r="BF807" s="24" t="inlineStr">
        <is>
          <t>1</t>
        </is>
      </c>
      <c r="BG807" s="24" t="inlineStr">
        <is>
          <t>1d168f11d221cd3c</t>
        </is>
      </c>
      <c r="BH807" s="24" t="inlineStr">
        <is>
          <t>2026-10-03T22:32:35.686759+00:00</t>
        </is>
      </c>
      <c r="BI807" s="24" t="inlineStr">
        <is>
          <t>["same_event","same_team_same_day","same_league_same_day"]</t>
        </is>
      </c>
      <c r="BJ807" s="25" t="n">
        <v>47.5</v>
      </c>
      <c r="BK807" s="26" t="n">
        <v>-105</v>
      </c>
      <c r="BL807" s="27" t="n">
        <v>1.952381</v>
      </c>
      <c r="BM807" s="28" t="n">
        <v>0.512195</v>
      </c>
      <c r="BN807" s="28" t="n"/>
      <c r="BO807" s="28" t="n"/>
      <c r="BP807" s="25" t="n"/>
      <c r="BQ807" s="27" t="n"/>
      <c r="BR807" s="28" t="n"/>
      <c r="BS807" s="28" t="n"/>
      <c r="BT807" s="28" t="n"/>
      <c r="BU807" s="25" t="n"/>
      <c r="BV807" s="29" t="n"/>
      <c r="BW807" s="24" t="n"/>
      <c r="BX807" s="30" t="n"/>
      <c r="BY807" s="27" t="n"/>
      <c r="BZ807" s="24" t="n"/>
      <c r="CA807" s="31" t="n"/>
      <c r="CB807" s="24" t="n"/>
      <c r="CC807" s="24" t="n"/>
      <c r="CD807" s="24" t="n"/>
      <c r="CE807" s="24" t="n"/>
      <c r="CF807" s="24" t="n"/>
      <c r="CG807" s="24" t="n"/>
      <c r="CH807" s="24" t="n"/>
      <c r="CI807" s="24" t="n"/>
      <c r="CJ807" s="24" t="n"/>
      <c r="CK807" s="24" t="n"/>
      <c r="CL807" s="24" t="n"/>
      <c r="CM807" s="24" t="n"/>
      <c r="CN807" s="24" t="n"/>
      <c r="CO807" s="24" t="n"/>
      <c r="CP807" s="24" t="n"/>
      <c r="CQ807" s="24" t="n"/>
      <c r="CR807" s="24" t="n"/>
      <c r="CS807" s="24" t="inlineStr">
        <is>
          <t>True</t>
        </is>
      </c>
      <c r="CT807" s="24" t="n"/>
      <c r="CU807" s="24" t="n"/>
      <c r="CV807" s="24" t="n"/>
      <c r="CW807" s="24" t="n"/>
      <c r="CX807" s="24" t="n"/>
      <c r="CY807" s="24" t="n"/>
      <c r="CZ807" s="24" t="n"/>
      <c r="DA807" s="24" t="n"/>
      <c r="DB807" s="24" t="n"/>
      <c r="DC807" s="24" t="n"/>
      <c r="DD807" s="24" t="n"/>
      <c r="DE807" s="24" t="n"/>
      <c r="DF807" s="24" t="n"/>
      <c r="DG807" s="24" t="n"/>
      <c r="DH807" s="24" t="n"/>
      <c r="DI807" s="24" t="n"/>
      <c r="DJ807" s="24" t="inlineStr">
        <is>
          <t>0.512195</t>
        </is>
      </c>
      <c r="DK807" s="24" t="n"/>
      <c r="DL807" s="24" t="n"/>
      <c r="DM807" s="24" t="n"/>
      <c r="DN807" s="24" t="n"/>
      <c r="DO807" s="24" t="n"/>
      <c r="DP807" s="24" t="n"/>
      <c r="DQ807" s="24" t="inlineStr">
        <is>
          <t>{"artifact_hash": "1d168f11d221cd3c", "event_id": "401869842", "event_start_utc": "2026-10-03T23:30Z", "features": {"altitude_fatigue_penalty": 0.0, "away_team": "Army Black Knights", "efficiency_gap": -0.674, "elo_away": 1644.4, "elo_home": 1581.7, "elo_home_win_prob": 0.5033, "event_id": "401869842", "game_start_utc": "2026-10-03T23:30Z", "home_field_advantage_points": 2.8, "home_team": "Louisiana Tech Bulldogs", "is_dome": false, "is_fbs_vs_fcs": false, "is_neutral_site": false, "projected_away_points": 26.6, "projected_home_points": 26.7, "projected_margin_home": 0.1, "projected_possessions": 12.4, "projected_total": 53.2, "stadium_elevation_ft": 310, "travel_distance_miles": 1196.0, "uncertainty": 0.18, "weather_total_adjustment": 0.0}, "historical_source_observation_times_verified": false, "inference_inputs": {"engine_source_sha256": "449ba2f0e86fa9c445730076a0e0bf100fb4914620be53c75c6f3bfe24298f3f", "mu_away": 26.6, "mu_home": 26.7,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75112185102996337151177754943627673982}, "uinteger": 0}, "spread_home_line": -1.5, "total_line": 47.5}, "market_type": "total", "model_version": "cfb-total-v1", "observed_at_utc": "2026-10-03T22:32:35.686759+00:00", "probabilities": {"over": 0.561333, "push": 0.0, "under": 0.438667}, "replay_scope": "Full precision score means, exact engine parameters and original RNG state; upstream feature construction not certified.", "schema": "cfb-joint-replay-v1", "snapshot_hash": "bb6b58042aef38dca98c1af86e30faee78c2f01113a67ff1aa50a35fe6691e83", "sport": "NCAAF"}</t>
        </is>
      </c>
    </row>
    <row r="808" ht="36" customHeight="1">
      <c r="A808" s="24" t="inlineStr">
        <is>
          <t>64d5bc788eb944a7</t>
        </is>
      </c>
      <c r="B808" s="24" t="inlineStr">
        <is>
          <t>2026-10-03T22:32:35.686759Z</t>
        </is>
      </c>
      <c r="C808" s="24" t="inlineStr">
        <is>
          <t>2026-10-03T23:45Z</t>
        </is>
      </c>
      <c r="D808" s="24" t="inlineStr">
        <is>
          <t>401856706</t>
        </is>
      </c>
      <c r="E808" s="24" t="inlineStr">
        <is>
          <t>NCAAF</t>
        </is>
      </c>
      <c r="F808" s="24" t="inlineStr">
        <is>
          <t>McNeese Cowboys</t>
        </is>
      </c>
      <c r="G808" s="24" t="inlineStr">
        <is>
          <t>LSU Tigers</t>
        </is>
      </c>
      <c r="H808" s="24" t="inlineStr">
        <is>
          <t>spread</t>
        </is>
      </c>
      <c r="I808" s="24" t="inlineStr">
        <is>
          <t>away</t>
        </is>
      </c>
      <c r="J808" s="25" t="n">
        <v>53.5</v>
      </c>
      <c r="K808" s="24" t="inlineStr">
        <is>
          <t>espn_consensus</t>
        </is>
      </c>
      <c r="L808" s="26" t="n">
        <v>-110</v>
      </c>
      <c r="M808" s="27" t="n">
        <v>1.909091</v>
      </c>
      <c r="N808" s="28" t="n">
        <v>0.52381</v>
      </c>
      <c r="O808" s="28" t="n">
        <v>0.974</v>
      </c>
      <c r="P808" s="28" t="n">
        <v>0.18</v>
      </c>
      <c r="Q808" s="28" t="n">
        <v>0.45019</v>
      </c>
      <c r="R808" s="26" t="n">
        <v>100</v>
      </c>
      <c r="S808" s="29" t="n">
        <v>2</v>
      </c>
      <c r="T808" s="24" t="inlineStr">
        <is>
          <t>cfb-spread-v1</t>
        </is>
      </c>
      <c r="U808" s="24" t="inlineStr">
        <is>
          <t>settled</t>
        </is>
      </c>
      <c r="V808" s="24" t="inlineStr">
        <is>
          <t>win</t>
        </is>
      </c>
      <c r="W808" s="26" t="n">
        <v>14</v>
      </c>
      <c r="X808" s="26" t="n">
        <v>63</v>
      </c>
      <c r="Y808" s="25" t="n"/>
      <c r="Z808" s="26" t="n"/>
      <c r="AA808" s="28" t="n"/>
      <c r="AB808" s="28" t="n"/>
      <c r="AC808" s="30" t="n">
        <v>1.8182</v>
      </c>
      <c r="AD808" s="24" t="inlineStr">
        <is>
          <t>2026-10-04T20:46:43.201077Z</t>
        </is>
      </c>
      <c r="AE808" s="31" t="inlineStr">
        <is>
          <t>Projected home margin +11.3 pts. Spread: Home -53.5 / Away +53.5 -&gt; P(Away cover)=0.974, P(Home cover)=0.026, P(Push)=0.000.</t>
        </is>
      </c>
      <c r="AF808" s="31" t="inlineStr">
        <is>
          <t>College football model; multi-market (moneyline, spread, total).</t>
        </is>
      </c>
      <c r="AG808" s="24" t="inlineStr">
        <is>
          <t>not_applicable</t>
        </is>
      </c>
      <c r="AH808" s="24" t="n"/>
      <c r="AI808" s="31" t="n"/>
      <c r="AJ808" s="31" t="n"/>
      <c r="AK808" s="24" t="inlineStr">
        <is>
          <t>model_qualified</t>
        </is>
      </c>
      <c r="AL808" s="26" t="n">
        <v>4</v>
      </c>
      <c r="AM808" s="24" t="inlineStr">
        <is>
          <t>QUALIFIED_SHADOW_CALL</t>
        </is>
      </c>
      <c r="AN808" s="24" t="inlineStr">
        <is>
          <t>CALL</t>
        </is>
      </c>
      <c r="AO808" s="24" t="inlineStr">
        <is>
          <t>QUALIFIED</t>
        </is>
      </c>
      <c r="AP808" s="24" t="inlineStr">
        <is>
          <t>McNeese Cowboys</t>
        </is>
      </c>
      <c r="AQ808" s="24" t="inlineStr">
        <is>
          <t>McNeese Cowboys</t>
        </is>
      </c>
      <c r="AR808" s="24" t="inlineStr">
        <is>
          <t>McNeese Cowboys</t>
        </is>
      </c>
      <c r="AS808" s="24" t="inlineStr">
        <is>
          <t>LSU Tigers</t>
        </is>
      </c>
      <c r="AT808" s="24" t="inlineStr">
        <is>
          <t>LSU Tigers</t>
        </is>
      </c>
      <c r="AU808" s="24" t="inlineStr">
        <is>
          <t>LSU Tigers</t>
        </is>
      </c>
      <c r="AV808" s="24" t="n"/>
      <c r="AW808" s="24" t="n"/>
      <c r="AX808" s="24" t="inlineStr">
        <is>
          <t>statistical_model</t>
        </is>
      </c>
      <c r="AY808" s="24" t="n"/>
      <c r="AZ808" s="24" t="inlineStr">
        <is>
          <t>shadow_qualified</t>
        </is>
      </c>
      <c r="BA808" s="24" t="inlineStr">
        <is>
          <t>1d168f11d221cd3c</t>
        </is>
      </c>
      <c r="BB808" s="24" t="inlineStr">
        <is>
          <t>cfb_key_number_engine</t>
        </is>
      </c>
      <c r="BC808" s="24" t="inlineStr">
        <is>
          <t>cfb-spread-v1</t>
        </is>
      </c>
      <c r="BD808" s="24" t="inlineStr">
        <is>
          <t>1d168f11d221cd3c</t>
        </is>
      </c>
      <c r="BE808" s="24" t="inlineStr">
        <is>
          <t>cfb-v1</t>
        </is>
      </c>
      <c r="BF808" s="24" t="inlineStr">
        <is>
          <t>1</t>
        </is>
      </c>
      <c r="BG808" s="24" t="inlineStr">
        <is>
          <t>1d168f11d221cd3c</t>
        </is>
      </c>
      <c r="BH808" s="24" t="inlineStr">
        <is>
          <t>2026-10-03T22:32:35.686759+00:00</t>
        </is>
      </c>
      <c r="BI808" s="24" t="inlineStr">
        <is>
          <t>["same_event","same_team_same_day","same_league_same_day"]</t>
        </is>
      </c>
      <c r="BJ808" s="25" t="n">
        <v>53.5</v>
      </c>
      <c r="BK808" s="26" t="n">
        <v>-110</v>
      </c>
      <c r="BL808" s="27" t="n">
        <v>1.909091</v>
      </c>
      <c r="BM808" s="28" t="n">
        <v>0.52381</v>
      </c>
      <c r="BN808" s="28" t="n"/>
      <c r="BO808" s="28" t="n"/>
      <c r="BP808" s="25" t="n"/>
      <c r="BQ808" s="27" t="n"/>
      <c r="BR808" s="28" t="n"/>
      <c r="BS808" s="28" t="n"/>
      <c r="BT808" s="28" t="n"/>
      <c r="BU808" s="25" t="n"/>
      <c r="BV808" s="29" t="n"/>
      <c r="BW808" s="24" t="n"/>
      <c r="BX808" s="30" t="n"/>
      <c r="BY808" s="27" t="n"/>
      <c r="BZ808" s="24" t="n"/>
      <c r="CA808" s="31" t="n"/>
      <c r="CB808" s="24" t="n"/>
      <c r="CC808" s="24" t="n"/>
      <c r="CD808" s="24" t="n"/>
      <c r="CE808" s="24" t="n"/>
      <c r="CF808" s="24" t="n"/>
      <c r="CG808" s="24" t="n"/>
      <c r="CH808" s="24" t="n"/>
      <c r="CI808" s="24" t="n"/>
      <c r="CJ808" s="24" t="n"/>
      <c r="CK808" s="24" t="n"/>
      <c r="CL808" s="24" t="n"/>
      <c r="CM808" s="24" t="n"/>
      <c r="CN808" s="24" t="n"/>
      <c r="CO808" s="24" t="n"/>
      <c r="CP808" s="24" t="n"/>
      <c r="CQ808" s="24" t="n"/>
      <c r="CR808" s="24" t="n"/>
      <c r="CS808" s="24" t="inlineStr">
        <is>
          <t>True</t>
        </is>
      </c>
      <c r="CT808" s="24" t="n"/>
      <c r="CU808" s="24" t="n"/>
      <c r="CV808" s="24" t="n"/>
      <c r="CW808" s="24" t="n"/>
      <c r="CX808" s="24" t="n"/>
      <c r="CY808" s="24" t="n"/>
      <c r="CZ808" s="24" t="n"/>
      <c r="DA808" s="24" t="n"/>
      <c r="DB808" s="24" t="n"/>
      <c r="DC808" s="24" t="n"/>
      <c r="DD808" s="24" t="n"/>
      <c r="DE808" s="24" t="n"/>
      <c r="DF808" s="24" t="n"/>
      <c r="DG808" s="24" t="n"/>
      <c r="DH808" s="24" t="n"/>
      <c r="DI808" s="24" t="n"/>
      <c r="DJ808" s="24" t="inlineStr">
        <is>
          <t>0.52381</t>
        </is>
      </c>
      <c r="DK808" s="24" t="n"/>
      <c r="DL808" s="24" t="n"/>
      <c r="DM808" s="24" t="n"/>
      <c r="DN808" s="24" t="n"/>
      <c r="DO808" s="24" t="n"/>
      <c r="DP808" s="24" t="n"/>
      <c r="DQ808" s="24" t="inlineStr">
        <is>
          <t>{"artifact_hash": "1d168f11d221cd3c", "event_id": "401856706", "event_start_utc": "2026-10-03T23:45Z", "features": {"altitude_fatigue_penalty": 0.0, "away_team": "McNeese Cowboys", "efficiency_gap": 3.258, "elo_away": 1337.5, "elo_home": 1549.1, "elo_home_win_prob": 0.8309, "event_id": "401856706", "game_start_utc": "2026-10-03T23:45Z", "home_field_advantage_points": 2.8, "home_team": "LSU Tigers", "is_dome": false, "is_fbs_vs_fcs": false, "is_neutral_site": false, "projected_away_points": 22.1, "projected_home_points": 33.4, "projected_margin_home": 11.3, "projected_possessions": 12.4, "projected_total": 55.4,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22.1,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256417780915957777057580059304291349116}, "uinteger": 0}, "spread_home_line": -53.5, "total_line": 62.5}, "market_type": "spread", "model_version": "cfb-spread-v1", "observed_at_utc": "2026-10-03T22:32:35.686759+00:00", "probabilities": {"away": 0.974, "home": 0.026, "push": 0.0}, "replay_scope": "Full precision score means, exact engine parameters and original RNG state; upstream feature construction not certified.", "schema": "cfb-joint-replay-v1", "snapshot_hash": "c901f9b22c05191e3b81446f9d2e0fc33d1201665e6cebf63d2ce62148c0072a", "sport": "NCAAF"}</t>
        </is>
      </c>
    </row>
    <row r="809" ht="36" customHeight="1">
      <c r="A809" s="24" t="inlineStr">
        <is>
          <t>07093e66fd644fa8</t>
        </is>
      </c>
      <c r="B809" s="24" t="inlineStr">
        <is>
          <t>2026-10-03T22:32:35.686759Z</t>
        </is>
      </c>
      <c r="C809" s="24" t="inlineStr">
        <is>
          <t>2026-10-03T23:45Z</t>
        </is>
      </c>
      <c r="D809" s="24" t="inlineStr">
        <is>
          <t>401856706</t>
        </is>
      </c>
      <c r="E809" s="24" t="inlineStr">
        <is>
          <t>NCAAF</t>
        </is>
      </c>
      <c r="F809" s="24" t="inlineStr">
        <is>
          <t>McNeese Cowboys</t>
        </is>
      </c>
      <c r="G809" s="24" t="inlineStr">
        <is>
          <t>LSU Tigers</t>
        </is>
      </c>
      <c r="H809" s="24" t="inlineStr">
        <is>
          <t>total</t>
        </is>
      </c>
      <c r="I809" s="24" t="inlineStr">
        <is>
          <t>under</t>
        </is>
      </c>
      <c r="J809" s="25" t="n">
        <v>62.5</v>
      </c>
      <c r="K809" s="24" t="inlineStr">
        <is>
          <t>espn_consensus</t>
        </is>
      </c>
      <c r="L809" s="26" t="n">
        <v>-115</v>
      </c>
      <c r="M809" s="27" t="n">
        <v>1.869565</v>
      </c>
      <c r="N809" s="28" t="n">
        <v>0.534884</v>
      </c>
      <c r="O809" s="28" t="n">
        <v>0.637267</v>
      </c>
      <c r="P809" s="28" t="n">
        <v>0.18</v>
      </c>
      <c r="Q809" s="28" t="n">
        <v>0.102383</v>
      </c>
      <c r="R809" s="26" t="n">
        <v>0</v>
      </c>
      <c r="S809" s="29" t="n">
        <v>1</v>
      </c>
      <c r="T809" s="24" t="inlineStr">
        <is>
          <t>cfb-total-v1</t>
        </is>
      </c>
      <c r="U809" s="24" t="inlineStr">
        <is>
          <t>settled</t>
        </is>
      </c>
      <c r="V809" s="24" t="inlineStr">
        <is>
          <t>loss</t>
        </is>
      </c>
      <c r="W809" s="26" t="n">
        <v>14</v>
      </c>
      <c r="X809" s="26" t="n">
        <v>63</v>
      </c>
      <c r="Y809" s="25" t="n"/>
      <c r="Z809" s="26" t="n"/>
      <c r="AA809" s="28" t="n"/>
      <c r="AB809" s="28" t="n"/>
      <c r="AC809" s="30" t="n">
        <v>-1</v>
      </c>
      <c r="AD809" s="24" t="inlineStr">
        <is>
          <t>2026-10-04T20:46:49.337926Z</t>
        </is>
      </c>
      <c r="AE809" s="31" t="inlineStr">
        <is>
          <t>Projected total 55.4 pts (Weather adj: +0.0 pts). Total line 62.5 -&gt; P(Over)=0.363, P(Under)=0.637, P(Push)=0.000.</t>
        </is>
      </c>
      <c r="AF809" s="31" t="inlineStr">
        <is>
          <t>College football model; multi-market (moneyline, spread, total).</t>
        </is>
      </c>
      <c r="AG809" s="24" t="inlineStr">
        <is>
          <t>review_required</t>
        </is>
      </c>
      <c r="AH809" s="24" t="n"/>
      <c r="AI809" s="31" t="n"/>
      <c r="AJ809" s="31" t="n"/>
      <c r="AK809" s="24" t="inlineStr">
        <is>
          <t>model_qualified</t>
        </is>
      </c>
      <c r="AL809" s="26" t="n">
        <v>4</v>
      </c>
      <c r="AM809" s="24" t="inlineStr">
        <is>
          <t>QUALIFIED_SHADOW_CALL</t>
        </is>
      </c>
      <c r="AN809" s="24" t="inlineStr">
        <is>
          <t>CALL</t>
        </is>
      </c>
      <c r="AO809" s="24" t="inlineStr">
        <is>
          <t>QUALIFIED</t>
        </is>
      </c>
      <c r="AP809" s="24" t="inlineStr">
        <is>
          <t>McNeese Cowboys</t>
        </is>
      </c>
      <c r="AQ809" s="24" t="inlineStr">
        <is>
          <t>McNeese Cowboys</t>
        </is>
      </c>
      <c r="AR809" s="24" t="inlineStr">
        <is>
          <t>McNeese Cowboys</t>
        </is>
      </c>
      <c r="AS809" s="24" t="inlineStr">
        <is>
          <t>LSU Tigers</t>
        </is>
      </c>
      <c r="AT809" s="24" t="inlineStr">
        <is>
          <t>LSU Tigers</t>
        </is>
      </c>
      <c r="AU809" s="24" t="inlineStr">
        <is>
          <t>LSU Tigers</t>
        </is>
      </c>
      <c r="AV809" s="24" t="n"/>
      <c r="AW809" s="24" t="n"/>
      <c r="AX809" s="24" t="inlineStr">
        <is>
          <t>statistical_model</t>
        </is>
      </c>
      <c r="AY809" s="24" t="n"/>
      <c r="AZ809" s="24" t="inlineStr">
        <is>
          <t>shadow_qualified</t>
        </is>
      </c>
      <c r="BA809" s="24" t="inlineStr">
        <is>
          <t>1d168f11d221cd3c</t>
        </is>
      </c>
      <c r="BB809" s="24" t="inlineStr">
        <is>
          <t>cfb_key_number_engine</t>
        </is>
      </c>
      <c r="BC809" s="24" t="inlineStr">
        <is>
          <t>cfb-total-v1</t>
        </is>
      </c>
      <c r="BD809" s="24" t="inlineStr">
        <is>
          <t>1d168f11d221cd3c</t>
        </is>
      </c>
      <c r="BE809" s="24" t="inlineStr">
        <is>
          <t>cfb-v1</t>
        </is>
      </c>
      <c r="BF809" s="24" t="inlineStr">
        <is>
          <t>1</t>
        </is>
      </c>
      <c r="BG809" s="24" t="inlineStr">
        <is>
          <t>1d168f11d221cd3c</t>
        </is>
      </c>
      <c r="BH809" s="24" t="inlineStr">
        <is>
          <t>2026-10-03T22:32:35.686759+00:00</t>
        </is>
      </c>
      <c r="BI809" s="24" t="inlineStr">
        <is>
          <t>["same_event","same_team_same_day","same_league_same_day"]</t>
        </is>
      </c>
      <c r="BJ809" s="25" t="n">
        <v>62.5</v>
      </c>
      <c r="BK809" s="26" t="n">
        <v>-115</v>
      </c>
      <c r="BL809" s="27" t="n">
        <v>1.869565</v>
      </c>
      <c r="BM809" s="28" t="n">
        <v>0.534884</v>
      </c>
      <c r="BN809" s="28" t="n"/>
      <c r="BO809" s="28" t="n"/>
      <c r="BP809" s="25" t="n"/>
      <c r="BQ809" s="27" t="n"/>
      <c r="BR809" s="28" t="n"/>
      <c r="BS809" s="28" t="n"/>
      <c r="BT809" s="28" t="n"/>
      <c r="BU809" s="25" t="n"/>
      <c r="BV809" s="29" t="n"/>
      <c r="BW809" s="24" t="n"/>
      <c r="BX809" s="30" t="n"/>
      <c r="BY809" s="27" t="n"/>
      <c r="BZ809" s="24" t="n"/>
      <c r="CA809" s="31" t="n"/>
      <c r="CB809" s="24" t="n"/>
      <c r="CC809" s="24" t="n"/>
      <c r="CD809" s="24" t="n"/>
      <c r="CE809" s="24" t="n"/>
      <c r="CF809" s="24" t="n"/>
      <c r="CG809" s="24" t="n"/>
      <c r="CH809" s="24" t="n"/>
      <c r="CI809" s="24" t="n"/>
      <c r="CJ809" s="24" t="n"/>
      <c r="CK809" s="24" t="n"/>
      <c r="CL809" s="24" t="n"/>
      <c r="CM809" s="24" t="n"/>
      <c r="CN809" s="24" t="n"/>
      <c r="CO809" s="24" t="n"/>
      <c r="CP809" s="24" t="n"/>
      <c r="CQ809" s="24" t="n"/>
      <c r="CR809" s="24" t="n"/>
      <c r="CS809" s="24" t="inlineStr">
        <is>
          <t>True</t>
        </is>
      </c>
      <c r="CT809" s="24" t="n"/>
      <c r="CU809" s="24" t="n"/>
      <c r="CV809" s="24" t="n"/>
      <c r="CW809" s="24" t="n"/>
      <c r="CX809" s="24" t="n"/>
      <c r="CY809" s="24" t="n"/>
      <c r="CZ809" s="24" t="n"/>
      <c r="DA809" s="24" t="n"/>
      <c r="DB809" s="24" t="n"/>
      <c r="DC809" s="24" t="n"/>
      <c r="DD809" s="24" t="n"/>
      <c r="DE809" s="24" t="n"/>
      <c r="DF809" s="24" t="n"/>
      <c r="DG809" s="24" t="n"/>
      <c r="DH809" s="24" t="n"/>
      <c r="DI809" s="24" t="n"/>
      <c r="DJ809" s="24" t="inlineStr">
        <is>
          <t>0.534884</t>
        </is>
      </c>
      <c r="DK809" s="24" t="n"/>
      <c r="DL809" s="24" t="n"/>
      <c r="DM809" s="24" t="n"/>
      <c r="DN809" s="24" t="n"/>
      <c r="DO809" s="24" t="n"/>
      <c r="DP809" s="24" t="n"/>
      <c r="DQ809" s="24" t="inlineStr">
        <is>
          <t>{"artifact_hash": "1d168f11d221cd3c", "event_id": "401856706", "event_start_utc": "2026-10-03T23:45Z", "features": {"altitude_fatigue_penalty": 0.0, "away_team": "McNeese Cowboys", "efficiency_gap": 3.258, "elo_away": 1337.5, "elo_home": 1549.1, "elo_home_win_prob": 0.8309, "event_id": "401856706", "game_start_utc": "2026-10-03T23:45Z", "home_field_advantage_points": 2.8, "home_team": "LSU Tigers", "is_dome": false, "is_fbs_vs_fcs": false, "is_neutral_site": false, "projected_away_points": 22.1, "projected_home_points": 33.4, "projected_margin_home": 11.3, "projected_possessions": 12.4, "projected_total": 55.4,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22.1, "mu_home": 33.4,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256417780915957777057580059304291349116}, "uinteger": 0}, "spread_home_line": -53.5, "total_line": 62.5}, "market_type": "total", "model_version": "cfb-total-v1", "observed_at_utc": "2026-10-03T22:32:35.686759+00:00", "probabilities": {"over": 0.362733, "push": 0.0, "under": 0.637267}, "replay_scope": "Full precision score means, exact engine parameters and original RNG state; upstream feature construction not certified.", "schema": "cfb-joint-replay-v1", "snapshot_hash": "7f74d3cfc8ab0f001eaa3f9d071223b6d1def7fad8dc6382c7d5f1301b78fbde", "sport": "NCAAF"}</t>
        </is>
      </c>
    </row>
    <row r="810" ht="36" customHeight="1">
      <c r="A810" s="24" t="inlineStr">
        <is>
          <t>b790059faaf0484d</t>
        </is>
      </c>
      <c r="B810" s="24" t="inlineStr">
        <is>
          <t>2026-10-03T22:32:35.686759Z</t>
        </is>
      </c>
      <c r="C810" s="24" t="inlineStr">
        <is>
          <t>2026-10-04T00:00Z</t>
        </is>
      </c>
      <c r="D810" s="24" t="inlineStr">
        <is>
          <t>401858477</t>
        </is>
      </c>
      <c r="E810" s="24" t="inlineStr">
        <is>
          <t>NCAAF</t>
        </is>
      </c>
      <c r="F810" s="24" t="inlineStr">
        <is>
          <t>Indiana Hoosiers</t>
        </is>
      </c>
      <c r="G810" s="24" t="inlineStr">
        <is>
          <t>Rutgers Scarlet Knights</t>
        </is>
      </c>
      <c r="H810" s="24" t="inlineStr">
        <is>
          <t>moneyline</t>
        </is>
      </c>
      <c r="I810" s="24" t="inlineStr">
        <is>
          <t>away</t>
        </is>
      </c>
      <c r="J810" s="25" t="n"/>
      <c r="K810" s="24" t="inlineStr">
        <is>
          <t>espn_consensus</t>
        </is>
      </c>
      <c r="L810" s="26" t="n">
        <v>-2400</v>
      </c>
      <c r="M810" s="27" t="n">
        <v>1.041667</v>
      </c>
      <c r="N810" s="28" t="n">
        <v>0.96</v>
      </c>
      <c r="O810" s="28" t="n">
        <v>0.889923</v>
      </c>
      <c r="P810" s="28" t="n">
        <v>0.165</v>
      </c>
      <c r="Q810" s="28" t="n">
        <v>-0.070077</v>
      </c>
      <c r="R810" s="26" t="n">
        <v>0</v>
      </c>
      <c r="S810" s="29" t="n">
        <v>1</v>
      </c>
      <c r="T810" s="24" t="inlineStr">
        <is>
          <t>college-football-v1</t>
        </is>
      </c>
      <c r="U810" s="24" t="inlineStr">
        <is>
          <t>settled</t>
        </is>
      </c>
      <c r="V810" s="24" t="inlineStr">
        <is>
          <t>win</t>
        </is>
      </c>
      <c r="W810" s="26" t="n">
        <v>47</v>
      </c>
      <c r="X810" s="26" t="n">
        <v>15</v>
      </c>
      <c r="Y810" s="25" t="n"/>
      <c r="Z810" s="26" t="n"/>
      <c r="AA810" s="28" t="n"/>
      <c r="AB810" s="28" t="n"/>
      <c r="AC810" s="30" t="n">
        <v>0.0417</v>
      </c>
      <c r="AD810" s="24" t="inlineStr">
        <is>
          <t>2026-10-04T20:46:55.420567Z</t>
        </is>
      </c>
      <c r="AE810" s="31" t="inlineStr">
        <is>
          <t>CFB Joint Model (negative_binomial): proj score Indiana Hoosiers 39.3 @ Rutgers Scarlet Knights 16.6 (Margin -22.8). Possessions: 12.4, HFA: +2.8 pts.</t>
        </is>
      </c>
      <c r="AF810" s="31" t="inlineStr">
        <is>
          <t>College football model; multi-market (moneyline, spread, total).</t>
        </is>
      </c>
      <c r="AG810" s="24" t="inlineStr">
        <is>
          <t>not_applicable</t>
        </is>
      </c>
      <c r="AH810" s="24" t="n"/>
      <c r="AI810" s="31" t="n"/>
      <c r="AJ810" s="31" t="n"/>
      <c r="AK810" s="24" t="inlineStr">
        <is>
          <t>paper_call</t>
        </is>
      </c>
      <c r="AL810" s="26" t="n">
        <v>4</v>
      </c>
      <c r="AM810" s="24" t="inlineStr">
        <is>
          <t>RESEARCH_OBSERVATION</t>
        </is>
      </c>
      <c r="AN810" s="24" t="inlineStr">
        <is>
          <t>CALL</t>
        </is>
      </c>
      <c r="AO810" s="24" t="inlineStr">
        <is>
          <t>PAPER_CALL_LOW_EDGE</t>
        </is>
      </c>
      <c r="AP810" s="24" t="inlineStr">
        <is>
          <t>Indiana Hoosiers</t>
        </is>
      </c>
      <c r="AQ810" s="24" t="inlineStr">
        <is>
          <t>Indiana Hoosiers</t>
        </is>
      </c>
      <c r="AR810" s="24" t="inlineStr">
        <is>
          <t>Indiana Hoosiers</t>
        </is>
      </c>
      <c r="AS810" s="24" t="inlineStr">
        <is>
          <t>Rutgers Scarlet Knights</t>
        </is>
      </c>
      <c r="AT810" s="24" t="inlineStr">
        <is>
          <t>Rutgers Scarlet Knights</t>
        </is>
      </c>
      <c r="AU810" s="24" t="inlineStr">
        <is>
          <t>Rutgers Scarlet Knights</t>
        </is>
      </c>
      <c r="AV810" s="24" t="n"/>
      <c r="AW810" s="24" t="n"/>
      <c r="AX810" s="24" t="inlineStr">
        <is>
          <t>statistical_model</t>
        </is>
      </c>
      <c r="AY810" s="24" t="n"/>
      <c r="AZ810" s="24" t="inlineStr">
        <is>
          <t>shadow_qualified</t>
        </is>
      </c>
      <c r="BA810" s="24" t="inlineStr">
        <is>
          <t>1d168f11d221cd3c</t>
        </is>
      </c>
      <c r="BB810" s="24" t="inlineStr">
        <is>
          <t>cfb_key_number_engine</t>
        </is>
      </c>
      <c r="BC810" s="24" t="inlineStr">
        <is>
          <t>college-football-v1</t>
        </is>
      </c>
      <c r="BD810" s="24" t="inlineStr">
        <is>
          <t>1d168f11d221cd3c</t>
        </is>
      </c>
      <c r="BE810" s="24" t="inlineStr">
        <is>
          <t>cfb-v1</t>
        </is>
      </c>
      <c r="BF810" s="24" t="inlineStr">
        <is>
          <t>1</t>
        </is>
      </c>
      <c r="BG810" s="24" t="inlineStr">
        <is>
          <t>1d168f11d221cd3c</t>
        </is>
      </c>
      <c r="BH810" s="24" t="inlineStr">
        <is>
          <t>2026-10-03T22:32:35.686759+00:00</t>
        </is>
      </c>
      <c r="BI810" s="24" t="inlineStr">
        <is>
          <t>["same_event","same_team_same_day","same_league_same_day"]</t>
        </is>
      </c>
      <c r="BJ810" s="25" t="n"/>
      <c r="BK810" s="26" t="n">
        <v>-2400</v>
      </c>
      <c r="BL810" s="27" t="n">
        <v>1.041667</v>
      </c>
      <c r="BM810" s="28" t="n">
        <v>0.96</v>
      </c>
      <c r="BN810" s="28" t="n"/>
      <c r="BO810" s="28" t="n"/>
      <c r="BP810" s="25" t="n"/>
      <c r="BQ810" s="27" t="n"/>
      <c r="BR810" s="28" t="n"/>
      <c r="BS810" s="28" t="n"/>
      <c r="BT810" s="28" t="n"/>
      <c r="BU810" s="25" t="n"/>
      <c r="BV810" s="29" t="n"/>
      <c r="BW810" s="24" t="n"/>
      <c r="BX810" s="30" t="n">
        <v>1</v>
      </c>
      <c r="BY810" s="27" t="n">
        <v>0.041667</v>
      </c>
      <c r="BZ810" s="24" t="inlineStr">
        <is>
          <t>2026-10-04T20:46:55.420567Z</t>
        </is>
      </c>
      <c r="CA810" s="31" t="inlineStr">
        <is>
          <t>fixed one-unit hypothetical scoring; no real exposure or execution</t>
        </is>
      </c>
      <c r="CB810" s="24" t="n"/>
      <c r="CC810" s="24" t="n"/>
      <c r="CD810" s="24" t="n"/>
      <c r="CE810" s="24" t="n"/>
      <c r="CF810" s="24" t="n"/>
      <c r="CG810" s="24" t="n"/>
      <c r="CH810" s="24" t="n"/>
      <c r="CI810" s="24" t="n"/>
      <c r="CJ810" s="24" t="n"/>
      <c r="CK810" s="24" t="n"/>
      <c r="CL810" s="24" t="n"/>
      <c r="CM810" s="24" t="n"/>
      <c r="CN810" s="24" t="n"/>
      <c r="CO810" s="24" t="n"/>
      <c r="CP810" s="24" t="n"/>
      <c r="CQ810" s="24" t="n"/>
      <c r="CR810" s="24" t="n"/>
      <c r="CS810" s="24" t="inlineStr">
        <is>
          <t>False</t>
        </is>
      </c>
      <c r="CT810" s="24" t="n"/>
      <c r="CU810" s="24" t="n"/>
      <c r="CV810" s="24" t="n"/>
      <c r="CW810" s="24" t="n"/>
      <c r="CX810" s="24" t="n"/>
      <c r="CY810" s="24" t="n"/>
      <c r="CZ810" s="24" t="n"/>
      <c r="DA810" s="24" t="n"/>
      <c r="DB810" s="24" t="n"/>
      <c r="DC810" s="24" t="n"/>
      <c r="DD810" s="24" t="n"/>
      <c r="DE810" s="24" t="n"/>
      <c r="DF810" s="24" t="n"/>
      <c r="DG810" s="24" t="n"/>
      <c r="DH810" s="24" t="n"/>
      <c r="DI810" s="24" t="n"/>
      <c r="DJ810" s="24" t="inlineStr">
        <is>
          <t>0.96</t>
        </is>
      </c>
      <c r="DK810" s="24" t="n"/>
      <c r="DL810" s="24" t="n"/>
      <c r="DM810" s="24" t="n"/>
      <c r="DN810" s="24" t="n"/>
      <c r="DO810" s="24" t="n"/>
      <c r="DP810" s="24" t="n"/>
      <c r="DQ810" s="24" t="inlineStr">
        <is>
          <t>{"artifact_hash": "1d168f11d221cd3c", "event_id": "401858477", "event_start_utc": "2026-10-04T00:00Z", "features": {"altitude_fatigue_penalty": 0.0, "away_team": "Indiana Hoosiers", "efficiency_gap": -2.516, "elo_away": 1934.8, "elo_home": 1301.2, "elo_home_win_prob": 0.0365, "event_id": "401858477", "game_start_utc": "2026-10-04T00:00Z", "home_field_advantage_points": 2.8, "home_team": "Rutgers Scarlet Knights", "is_dome": false, "is_fbs_vs_fcs": false, "is_neutral_site": false, "projected_away_points": 39.3, "projected_home_points": 16.6, "projected_margin_home": -22.8, "projected_possessions": 12.4, "projected_total": 55.9, "stadium_elevation_ft": 80, "travel_distance_miles": 646.0, "uncertainty": 0.165, "weather_total_adjustment": 0.0}, "historical_source_observation_times_verified": false, "inference_inputs": {"engine_source_sha256": "449ba2f0e86fa9c445730076a0e0bf100fb4914620be53c75c6f3bfe24298f3f", "mu_away": 39.3, "mu_home": 16.6,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7345560357046728473551207023783056032}, "uinteger": 0}, "spread_home_line": 24.5, "total_line": 57.5}, "market_type": "moneyline", "model_version": "college-football-v1", "observed_at_utc": "2026-10-03T22:32:35.686759+00:00", "probabilities": {"away": 0.889923, "home": 0.110077}, "replay_scope": "Full precision score means, exact engine parameters and original RNG state; upstream feature construction not certified.", "schema": "cfb-joint-replay-v1", "snapshot_hash": "a807627f808e09d21f819dc3d0211be4b35c2cbb9a8ef4108b3c12a2ed47aad9", "sport": "NCAAF"}</t>
        </is>
      </c>
    </row>
    <row r="811" ht="36" customHeight="1">
      <c r="A811" s="24" t="inlineStr">
        <is>
          <t>ed29632853824652</t>
        </is>
      </c>
      <c r="B811" s="24" t="inlineStr">
        <is>
          <t>2026-10-03T22:32:35.686759Z</t>
        </is>
      </c>
      <c r="C811" s="24" t="inlineStr">
        <is>
          <t>2026-10-04T00:00Z</t>
        </is>
      </c>
      <c r="D811" s="24" t="inlineStr">
        <is>
          <t>401858477</t>
        </is>
      </c>
      <c r="E811" s="24" t="inlineStr">
        <is>
          <t>NCAAF</t>
        </is>
      </c>
      <c r="F811" s="24" t="inlineStr">
        <is>
          <t>Indiana Hoosiers</t>
        </is>
      </c>
      <c r="G811" s="24" t="inlineStr">
        <is>
          <t>Rutgers Scarlet Knights</t>
        </is>
      </c>
      <c r="H811" s="24" t="inlineStr">
        <is>
          <t>spread</t>
        </is>
      </c>
      <c r="I811" s="24" t="inlineStr">
        <is>
          <t>home</t>
        </is>
      </c>
      <c r="J811" s="25" t="n">
        <v>24.5</v>
      </c>
      <c r="K811" s="24" t="inlineStr">
        <is>
          <t>espn_consensus</t>
        </is>
      </c>
      <c r="L811" s="26" t="n">
        <v>-115</v>
      </c>
      <c r="M811" s="27" t="n">
        <v>1.869565</v>
      </c>
      <c r="N811" s="28" t="n">
        <v>0.534884</v>
      </c>
      <c r="O811" s="28" t="n">
        <v>0.544533</v>
      </c>
      <c r="P811" s="28" t="n">
        <v>0.165</v>
      </c>
      <c r="Q811" s="28" t="n">
        <v>0.009649</v>
      </c>
      <c r="R811" s="26" t="n">
        <v>0</v>
      </c>
      <c r="S811" s="29" t="n">
        <v>1</v>
      </c>
      <c r="T811" s="24" t="inlineStr">
        <is>
          <t>cfb-spread-v1</t>
        </is>
      </c>
      <c r="U811" s="24" t="inlineStr">
        <is>
          <t>settled</t>
        </is>
      </c>
      <c r="V811" s="24" t="inlineStr">
        <is>
          <t>loss</t>
        </is>
      </c>
      <c r="W811" s="26" t="n">
        <v>47</v>
      </c>
      <c r="X811" s="26" t="n">
        <v>15</v>
      </c>
      <c r="Y811" s="25" t="n"/>
      <c r="Z811" s="26" t="n"/>
      <c r="AA811" s="28" t="n"/>
      <c r="AB811" s="28" t="n"/>
      <c r="AC811" s="30" t="n">
        <v>-1</v>
      </c>
      <c r="AD811" s="24" t="inlineStr">
        <is>
          <t>2026-10-04T20:47:01.176368Z</t>
        </is>
      </c>
      <c r="AE811" s="31" t="inlineStr">
        <is>
          <t>Projected home margin -22.8 pts. Spread: Home +24.5 / Away -24.5 -&gt; P(Away cover)=0.455, P(Home cover)=0.545, P(Push)=0.000.</t>
        </is>
      </c>
      <c r="AF811" s="31" t="inlineStr">
        <is>
          <t>College football model; multi-market (moneyline, spread, total).</t>
        </is>
      </c>
      <c r="AG811" s="24" t="inlineStr">
        <is>
          <t>review_required</t>
        </is>
      </c>
      <c r="AH811" s="24" t="n"/>
      <c r="AI811" s="31" t="n"/>
      <c r="AJ811" s="31" t="n"/>
      <c r="AK811" s="24" t="inlineStr">
        <is>
          <t>paper_call</t>
        </is>
      </c>
      <c r="AL811" s="26" t="n">
        <v>4</v>
      </c>
      <c r="AM811" s="24" t="inlineStr">
        <is>
          <t>RESEARCH_OBSERVATION</t>
        </is>
      </c>
      <c r="AN811" s="24" t="inlineStr">
        <is>
          <t>CALL</t>
        </is>
      </c>
      <c r="AO811" s="24" t="inlineStr">
        <is>
          <t>PAPER_CALL_LOW_EDGE</t>
        </is>
      </c>
      <c r="AP811" s="24" t="inlineStr">
        <is>
          <t>Indiana Hoosiers</t>
        </is>
      </c>
      <c r="AQ811" s="24" t="inlineStr">
        <is>
          <t>Indiana Hoosiers</t>
        </is>
      </c>
      <c r="AR811" s="24" t="inlineStr">
        <is>
          <t>Indiana Hoosiers</t>
        </is>
      </c>
      <c r="AS811" s="24" t="inlineStr">
        <is>
          <t>Rutgers Scarlet Knights</t>
        </is>
      </c>
      <c r="AT811" s="24" t="inlineStr">
        <is>
          <t>Rutgers Scarlet Knights</t>
        </is>
      </c>
      <c r="AU811" s="24" t="inlineStr">
        <is>
          <t>Rutgers Scarlet Knights</t>
        </is>
      </c>
      <c r="AV811" s="24" t="n"/>
      <c r="AW811" s="24" t="n"/>
      <c r="AX811" s="24" t="inlineStr">
        <is>
          <t>statistical_model</t>
        </is>
      </c>
      <c r="AY811" s="24" t="n"/>
      <c r="AZ811" s="24" t="inlineStr">
        <is>
          <t>shadow_qualified</t>
        </is>
      </c>
      <c r="BA811" s="24" t="inlineStr">
        <is>
          <t>1d168f11d221cd3c</t>
        </is>
      </c>
      <c r="BB811" s="24" t="inlineStr">
        <is>
          <t>cfb_key_number_engine</t>
        </is>
      </c>
      <c r="BC811" s="24" t="inlineStr">
        <is>
          <t>cfb-spread-v1</t>
        </is>
      </c>
      <c r="BD811" s="24" t="inlineStr">
        <is>
          <t>1d168f11d221cd3c</t>
        </is>
      </c>
      <c r="BE811" s="24" t="inlineStr">
        <is>
          <t>cfb-v1</t>
        </is>
      </c>
      <c r="BF811" s="24" t="inlineStr">
        <is>
          <t>1</t>
        </is>
      </c>
      <c r="BG811" s="24" t="inlineStr">
        <is>
          <t>1d168f11d221cd3c</t>
        </is>
      </c>
      <c r="BH811" s="24" t="inlineStr">
        <is>
          <t>2026-10-03T22:32:35.686759+00:00</t>
        </is>
      </c>
      <c r="BI811" s="24" t="inlineStr">
        <is>
          <t>["same_event","same_team_same_day","same_league_same_day"]</t>
        </is>
      </c>
      <c r="BJ811" s="25" t="n">
        <v>24.5</v>
      </c>
      <c r="BK811" s="26" t="n">
        <v>-115</v>
      </c>
      <c r="BL811" s="27" t="n">
        <v>1.869565</v>
      </c>
      <c r="BM811" s="28" t="n">
        <v>0.534884</v>
      </c>
      <c r="BN811" s="28" t="n"/>
      <c r="BO811" s="28" t="n"/>
      <c r="BP811" s="25" t="n"/>
      <c r="BQ811" s="27" t="n"/>
      <c r="BR811" s="28" t="n"/>
      <c r="BS811" s="28" t="n"/>
      <c r="BT811" s="28" t="n"/>
      <c r="BU811" s="25" t="n"/>
      <c r="BV811" s="29" t="n"/>
      <c r="BW811" s="24" t="n"/>
      <c r="BX811" s="30" t="n">
        <v>1</v>
      </c>
      <c r="BY811" s="27" t="n">
        <v>-1</v>
      </c>
      <c r="BZ811" s="24" t="inlineStr">
        <is>
          <t>2026-10-04T20:47:01.176368Z</t>
        </is>
      </c>
      <c r="CA811" s="31" t="inlineStr">
        <is>
          <t>fixed one-unit hypothetical scoring; no real exposure or execution</t>
        </is>
      </c>
      <c r="CB811" s="24" t="n"/>
      <c r="CC811" s="24" t="n"/>
      <c r="CD811" s="24" t="n"/>
      <c r="CE811" s="24" t="n"/>
      <c r="CF811" s="24" t="n"/>
      <c r="CG811" s="24" t="n"/>
      <c r="CH811" s="24" t="n"/>
      <c r="CI811" s="24" t="n"/>
      <c r="CJ811" s="24" t="n"/>
      <c r="CK811" s="24" t="n"/>
      <c r="CL811" s="24" t="n"/>
      <c r="CM811" s="24" t="n"/>
      <c r="CN811" s="24" t="n"/>
      <c r="CO811" s="24" t="n"/>
      <c r="CP811" s="24" t="n"/>
      <c r="CQ811" s="24" t="n"/>
      <c r="CR811" s="24" t="n"/>
      <c r="CS811" s="24" t="inlineStr">
        <is>
          <t>True</t>
        </is>
      </c>
      <c r="CT811" s="24" t="n"/>
      <c r="CU811" s="24" t="n"/>
      <c r="CV811" s="24" t="n"/>
      <c r="CW811" s="24" t="n"/>
      <c r="CX811" s="24" t="n"/>
      <c r="CY811" s="24" t="n"/>
      <c r="CZ811" s="24" t="n"/>
      <c r="DA811" s="24" t="n"/>
      <c r="DB811" s="24" t="n"/>
      <c r="DC811" s="24" t="n"/>
      <c r="DD811" s="24" t="n"/>
      <c r="DE811" s="24" t="n"/>
      <c r="DF811" s="24" t="n"/>
      <c r="DG811" s="24" t="n"/>
      <c r="DH811" s="24" t="n"/>
      <c r="DI811" s="24" t="n"/>
      <c r="DJ811" s="24" t="inlineStr">
        <is>
          <t>0.534884</t>
        </is>
      </c>
      <c r="DK811" s="24" t="n"/>
      <c r="DL811" s="24" t="n"/>
      <c r="DM811" s="24" t="n"/>
      <c r="DN811" s="24" t="n"/>
      <c r="DO811" s="24" t="n"/>
      <c r="DP811" s="24" t="n"/>
      <c r="DQ811" s="24" t="inlineStr">
        <is>
          <t>{"artifact_hash": "1d168f11d221cd3c", "event_id": "401858477", "event_start_utc": "2026-10-04T00:00Z", "features": {"altitude_fatigue_penalty": 0.0, "away_team": "Indiana Hoosiers", "efficiency_gap": -2.516, "elo_away": 1934.8, "elo_home": 1301.2, "elo_home_win_prob": 0.0365, "event_id": "401858477", "game_start_utc": "2026-10-04T00:00Z", "home_field_advantage_points": 2.8, "home_team": "Rutgers Scarlet Knights", "is_dome": false, "is_fbs_vs_fcs": false, "is_neutral_site": false, "projected_away_points": 39.3, "projected_home_points": 16.6, "projected_margin_home": -22.8, "projected_possessions": 12.4, "projected_total": 55.9, "stadium_elevation_ft": 80, "travel_distance_miles": 646.0, "uncertainty": 0.165, "weather_total_adjustment": 0.0}, "historical_source_observation_times_verified": false, "inference_inputs": {"engine_source_sha256": "449ba2f0e86fa9c445730076a0e0bf100fb4914620be53c75c6f3bfe24298f3f", "mu_away": 39.3, "mu_home": 16.6,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7345560357046728473551207023783056032}, "uinteger": 0}, "spread_home_line": 24.5, "total_line": 57.5}, "market_type": "spread", "model_version": "cfb-spread-v1", "observed_at_utc": "2026-10-03T22:32:35.686759+00:00", "probabilities": {"away": 0.455467, "home": 0.544533, "push": 0.0}, "replay_scope": "Full precision score means, exact engine parameters and original RNG state; upstream feature construction not certified.", "schema": "cfb-joint-replay-v1", "snapshot_hash": "ef0467fa5d8afa572bdeb740fdd32c9f127a0c91e4a1732d8b81e1d1e261c094", "sport": "NCAAF"}</t>
        </is>
      </c>
    </row>
    <row r="812" ht="36" customHeight="1">
      <c r="A812" s="24" t="inlineStr">
        <is>
          <t>a2e7dd2f7a5a4552</t>
        </is>
      </c>
      <c r="B812" s="24" t="inlineStr">
        <is>
          <t>2026-10-03T22:32:35.686759Z</t>
        </is>
      </c>
      <c r="C812" s="24" t="inlineStr">
        <is>
          <t>2026-10-04T00:00Z</t>
        </is>
      </c>
      <c r="D812" s="24" t="inlineStr">
        <is>
          <t>401858477</t>
        </is>
      </c>
      <c r="E812" s="24" t="inlineStr">
        <is>
          <t>NCAAF</t>
        </is>
      </c>
      <c r="F812" s="24" t="inlineStr">
        <is>
          <t>Indiana Hoosiers</t>
        </is>
      </c>
      <c r="G812" s="24" t="inlineStr">
        <is>
          <t>Rutgers Scarlet Knights</t>
        </is>
      </c>
      <c r="H812" s="24" t="inlineStr">
        <is>
          <t>total</t>
        </is>
      </c>
      <c r="I812" s="24" t="inlineStr">
        <is>
          <t>under</t>
        </is>
      </c>
      <c r="J812" s="25" t="n">
        <v>57.5</v>
      </c>
      <c r="K812" s="24" t="inlineStr">
        <is>
          <t>espn_consensus</t>
        </is>
      </c>
      <c r="L812" s="26" t="n">
        <v>-115</v>
      </c>
      <c r="M812" s="27" t="n">
        <v>1.869565</v>
      </c>
      <c r="N812" s="28" t="n">
        <v>0.534884</v>
      </c>
      <c r="O812" s="28" t="n">
        <v>0.543667</v>
      </c>
      <c r="P812" s="28" t="n">
        <v>0.165</v>
      </c>
      <c r="Q812" s="28" t="n">
        <v>0.008782999999999999</v>
      </c>
      <c r="R812" s="26" t="n">
        <v>0</v>
      </c>
      <c r="S812" s="29" t="n">
        <v>1</v>
      </c>
      <c r="T812" s="24" t="inlineStr">
        <is>
          <t>cfb-total-v1</t>
        </is>
      </c>
      <c r="U812" s="24" t="inlineStr">
        <is>
          <t>settled</t>
        </is>
      </c>
      <c r="V812" s="24" t="inlineStr">
        <is>
          <t>loss</t>
        </is>
      </c>
      <c r="W812" s="26" t="n">
        <v>47</v>
      </c>
      <c r="X812" s="26" t="n">
        <v>15</v>
      </c>
      <c r="Y812" s="25" t="n"/>
      <c r="Z812" s="26" t="n"/>
      <c r="AA812" s="28" t="n"/>
      <c r="AB812" s="28" t="n"/>
      <c r="AC812" s="30" t="n">
        <v>-1</v>
      </c>
      <c r="AD812" s="24" t="inlineStr">
        <is>
          <t>2026-10-04T20:47:07.047750Z</t>
        </is>
      </c>
      <c r="AE812" s="31" t="inlineStr">
        <is>
          <t>Projected total 55.9 pts (Weather adj: +0.0 pts). Total line 57.5 -&gt; P(Over)=0.456, P(Under)=0.544, P(Push)=0.000.</t>
        </is>
      </c>
      <c r="AF812" s="31" t="inlineStr">
        <is>
          <t>College football model; multi-market (moneyline, spread, total).</t>
        </is>
      </c>
      <c r="AG812" s="24" t="inlineStr">
        <is>
          <t>review_required</t>
        </is>
      </c>
      <c r="AH812" s="24" t="n"/>
      <c r="AI812" s="31" t="n"/>
      <c r="AJ812" s="31" t="n"/>
      <c r="AK812" s="24" t="inlineStr">
        <is>
          <t>paper_call</t>
        </is>
      </c>
      <c r="AL812" s="26" t="n">
        <v>4</v>
      </c>
      <c r="AM812" s="24" t="inlineStr">
        <is>
          <t>RESEARCH_OBSERVATION</t>
        </is>
      </c>
      <c r="AN812" s="24" t="inlineStr">
        <is>
          <t>CALL</t>
        </is>
      </c>
      <c r="AO812" s="24" t="inlineStr">
        <is>
          <t>PAPER_CALL_LOW_EDGE</t>
        </is>
      </c>
      <c r="AP812" s="24" t="inlineStr">
        <is>
          <t>Indiana Hoosiers</t>
        </is>
      </c>
      <c r="AQ812" s="24" t="inlineStr">
        <is>
          <t>Indiana Hoosiers</t>
        </is>
      </c>
      <c r="AR812" s="24" t="inlineStr">
        <is>
          <t>Indiana Hoosiers</t>
        </is>
      </c>
      <c r="AS812" s="24" t="inlineStr">
        <is>
          <t>Rutgers Scarlet Knights</t>
        </is>
      </c>
      <c r="AT812" s="24" t="inlineStr">
        <is>
          <t>Rutgers Scarlet Knights</t>
        </is>
      </c>
      <c r="AU812" s="24" t="inlineStr">
        <is>
          <t>Rutgers Scarlet Knights</t>
        </is>
      </c>
      <c r="AV812" s="24" t="n"/>
      <c r="AW812" s="24" t="n"/>
      <c r="AX812" s="24" t="inlineStr">
        <is>
          <t>statistical_model</t>
        </is>
      </c>
      <c r="AY812" s="24" t="n"/>
      <c r="AZ812" s="24" t="inlineStr">
        <is>
          <t>shadow_qualified</t>
        </is>
      </c>
      <c r="BA812" s="24" t="inlineStr">
        <is>
          <t>1d168f11d221cd3c</t>
        </is>
      </c>
      <c r="BB812" s="24" t="inlineStr">
        <is>
          <t>cfb_key_number_engine</t>
        </is>
      </c>
      <c r="BC812" s="24" t="inlineStr">
        <is>
          <t>cfb-total-v1</t>
        </is>
      </c>
      <c r="BD812" s="24" t="inlineStr">
        <is>
          <t>1d168f11d221cd3c</t>
        </is>
      </c>
      <c r="BE812" s="24" t="inlineStr">
        <is>
          <t>cfb-v1</t>
        </is>
      </c>
      <c r="BF812" s="24" t="inlineStr">
        <is>
          <t>1</t>
        </is>
      </c>
      <c r="BG812" s="24" t="inlineStr">
        <is>
          <t>1d168f11d221cd3c</t>
        </is>
      </c>
      <c r="BH812" s="24" t="inlineStr">
        <is>
          <t>2026-10-03T22:32:35.686759+00:00</t>
        </is>
      </c>
      <c r="BI812" s="24" t="inlineStr">
        <is>
          <t>["same_event","same_team_same_day","same_league_same_day"]</t>
        </is>
      </c>
      <c r="BJ812" s="25" t="n">
        <v>57.5</v>
      </c>
      <c r="BK812" s="26" t="n">
        <v>-115</v>
      </c>
      <c r="BL812" s="27" t="n">
        <v>1.869565</v>
      </c>
      <c r="BM812" s="28" t="n">
        <v>0.534884</v>
      </c>
      <c r="BN812" s="28" t="n"/>
      <c r="BO812" s="28" t="n"/>
      <c r="BP812" s="25" t="n"/>
      <c r="BQ812" s="27" t="n"/>
      <c r="BR812" s="28" t="n"/>
      <c r="BS812" s="28" t="n"/>
      <c r="BT812" s="28" t="n"/>
      <c r="BU812" s="25" t="n"/>
      <c r="BV812" s="29" t="n"/>
      <c r="BW812" s="24" t="n"/>
      <c r="BX812" s="30" t="n">
        <v>1</v>
      </c>
      <c r="BY812" s="27" t="n">
        <v>-1</v>
      </c>
      <c r="BZ812" s="24" t="inlineStr">
        <is>
          <t>2026-10-04T20:47:07.047750Z</t>
        </is>
      </c>
      <c r="CA812" s="31" t="inlineStr">
        <is>
          <t>fixed one-unit hypothetical scoring; no real exposure or execution</t>
        </is>
      </c>
      <c r="CB812" s="24" t="n"/>
      <c r="CC812" s="24" t="n"/>
      <c r="CD812" s="24" t="n"/>
      <c r="CE812" s="24" t="n"/>
      <c r="CF812" s="24" t="n"/>
      <c r="CG812" s="24" t="n"/>
      <c r="CH812" s="24" t="n"/>
      <c r="CI812" s="24" t="n"/>
      <c r="CJ812" s="24" t="n"/>
      <c r="CK812" s="24" t="n"/>
      <c r="CL812" s="24" t="n"/>
      <c r="CM812" s="24" t="n"/>
      <c r="CN812" s="24" t="n"/>
      <c r="CO812" s="24" t="n"/>
      <c r="CP812" s="24" t="n"/>
      <c r="CQ812" s="24" t="n"/>
      <c r="CR812" s="24" t="n"/>
      <c r="CS812" s="24" t="inlineStr">
        <is>
          <t>True</t>
        </is>
      </c>
      <c r="CT812" s="24" t="n"/>
      <c r="CU812" s="24" t="n"/>
      <c r="CV812" s="24" t="n"/>
      <c r="CW812" s="24" t="n"/>
      <c r="CX812" s="24" t="n"/>
      <c r="CY812" s="24" t="n"/>
      <c r="CZ812" s="24" t="n"/>
      <c r="DA812" s="24" t="n"/>
      <c r="DB812" s="24" t="n"/>
      <c r="DC812" s="24" t="n"/>
      <c r="DD812" s="24" t="n"/>
      <c r="DE812" s="24" t="n"/>
      <c r="DF812" s="24" t="n"/>
      <c r="DG812" s="24" t="n"/>
      <c r="DH812" s="24" t="n"/>
      <c r="DI812" s="24" t="n"/>
      <c r="DJ812" s="24" t="inlineStr">
        <is>
          <t>0.534884</t>
        </is>
      </c>
      <c r="DK812" s="24" t="n"/>
      <c r="DL812" s="24" t="n"/>
      <c r="DM812" s="24" t="n"/>
      <c r="DN812" s="24" t="n"/>
      <c r="DO812" s="24" t="n"/>
      <c r="DP812" s="24" t="n"/>
      <c r="DQ812" s="24" t="inlineStr">
        <is>
          <t>{"artifact_hash": "1d168f11d221cd3c", "event_id": "401858477", "event_start_utc": "2026-10-04T00:00Z", "features": {"altitude_fatigue_penalty": 0.0, "away_team": "Indiana Hoosiers", "efficiency_gap": -2.516, "elo_away": 1934.8, "elo_home": 1301.2, "elo_home_win_prob": 0.0365, "event_id": "401858477", "game_start_utc": "2026-10-04T00:00Z", "home_field_advantage_points": 2.8, "home_team": "Rutgers Scarlet Knights", "is_dome": false, "is_fbs_vs_fcs": false, "is_neutral_site": false, "projected_away_points": 39.3, "projected_home_points": 16.6, "projected_margin_home": -22.8, "projected_possessions": 12.4, "projected_total": 55.9, "stadium_elevation_ft": 80, "travel_distance_miles": 646.0, "uncertainty": 0.165, "weather_total_adjustment": 0.0}, "historical_source_observation_times_verified": false, "inference_inputs": {"engine_source_sha256": "449ba2f0e86fa9c445730076a0e0bf100fb4914620be53c75c6f3bfe24298f3f", "mu_away": 39.3, "mu_home": 16.6,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7345560357046728473551207023783056032}, "uinteger": 0}, "spread_home_line": 24.5, "total_line": 57.5}, "market_type": "total", "model_version": "cfb-total-v1", "observed_at_utc": "2026-10-03T22:32:35.686759+00:00", "probabilities": {"over": 0.456333, "push": 0.0, "under": 0.543667}, "replay_scope": "Full precision score means, exact engine parameters and original RNG state; upstream feature construction not certified.", "schema": "cfb-joint-replay-v1", "snapshot_hash": "5c504830ff5837a4a784d88447383103dd59d8e0d13a1c7d6bbd3ddf8c52e7f6", "sport": "NCAAF"}</t>
        </is>
      </c>
    </row>
    <row r="813" ht="36" customHeight="1">
      <c r="A813" s="24" t="inlineStr">
        <is>
          <t>7f6a3470c87d4cf3</t>
        </is>
      </c>
      <c r="B813" s="24" t="inlineStr">
        <is>
          <t>2026-10-03T22:32:35.686759Z</t>
        </is>
      </c>
      <c r="C813" s="24" t="inlineStr">
        <is>
          <t>2026-10-04T00:00Z</t>
        </is>
      </c>
      <c r="D813" s="24" t="inlineStr">
        <is>
          <t>401869932</t>
        </is>
      </c>
      <c r="E813" s="24" t="inlineStr">
        <is>
          <t>NCAAF</t>
        </is>
      </c>
      <c r="F813" s="24" t="inlineStr">
        <is>
          <t>Arkansas State Red Wolves</t>
        </is>
      </c>
      <c r="G813" s="24" t="inlineStr">
        <is>
          <t>Louisiana Ragin' Cajuns</t>
        </is>
      </c>
      <c r="H813" s="24" t="inlineStr">
        <is>
          <t>moneyline</t>
        </is>
      </c>
      <c r="I813" s="24" t="inlineStr">
        <is>
          <t>home</t>
        </is>
      </c>
      <c r="J813" s="25" t="n"/>
      <c r="K813" s="24" t="inlineStr">
        <is>
          <t>espn_consensus</t>
        </is>
      </c>
      <c r="L813" s="26" t="n">
        <v>-205</v>
      </c>
      <c r="M813" s="27" t="n">
        <v>1.487805</v>
      </c>
      <c r="N813" s="28" t="n">
        <v>0.672131</v>
      </c>
      <c r="O813" s="28" t="n">
        <v>0.608584</v>
      </c>
      <c r="P813" s="28" t="n">
        <v>0.18</v>
      </c>
      <c r="Q813" s="28" t="n">
        <v>-0.06354700000000001</v>
      </c>
      <c r="R813" s="26" t="n">
        <v>0</v>
      </c>
      <c r="S813" s="29" t="n">
        <v>1</v>
      </c>
      <c r="T813" s="24" t="inlineStr">
        <is>
          <t>college-football-v1</t>
        </is>
      </c>
      <c r="U813" s="24" t="inlineStr">
        <is>
          <t>settled</t>
        </is>
      </c>
      <c r="V813" s="24" t="inlineStr">
        <is>
          <t>win</t>
        </is>
      </c>
      <c r="W813" s="26" t="n">
        <v>20</v>
      </c>
      <c r="X813" s="26" t="n">
        <v>23</v>
      </c>
      <c r="Y813" s="25" t="n"/>
      <c r="Z813" s="26" t="n"/>
      <c r="AA813" s="28" t="n"/>
      <c r="AB813" s="28" t="n"/>
      <c r="AC813" s="30" t="n">
        <v>0.4878</v>
      </c>
      <c r="AD813" s="24" t="inlineStr">
        <is>
          <t>2026-10-04T20:47:12.958006Z</t>
        </is>
      </c>
      <c r="AE813" s="31" t="inlineStr">
        <is>
          <t>CFB Joint Model (negative_binomial): proj score Arkansas State Red Wolves 24.0 @ Louisiana Ragin' Cajuns 29.3 (Margin +5.2). Possessions: 12.4, HFA: +2.8 pts.</t>
        </is>
      </c>
      <c r="AF813" s="31" t="inlineStr">
        <is>
          <t>College football model; multi-market (moneyline, spread, total).</t>
        </is>
      </c>
      <c r="AG813" s="24" t="inlineStr">
        <is>
          <t>not_applicable</t>
        </is>
      </c>
      <c r="AH813" s="24" t="n"/>
      <c r="AI813" s="31" t="n"/>
      <c r="AJ813" s="31" t="n"/>
      <c r="AK813" s="24" t="inlineStr">
        <is>
          <t>paper_call</t>
        </is>
      </c>
      <c r="AL813" s="26" t="n">
        <v>4</v>
      </c>
      <c r="AM813" s="24" t="inlineStr">
        <is>
          <t>RESEARCH_OBSERVATION</t>
        </is>
      </c>
      <c r="AN813" s="24" t="inlineStr">
        <is>
          <t>CALL</t>
        </is>
      </c>
      <c r="AO813" s="24" t="inlineStr">
        <is>
          <t>PAPER_CALL_LOW_EDGE</t>
        </is>
      </c>
      <c r="AP813" s="24" t="inlineStr">
        <is>
          <t>Arkansas State Red Wolves</t>
        </is>
      </c>
      <c r="AQ813" s="24" t="inlineStr">
        <is>
          <t>Arkansas State Red Wolves</t>
        </is>
      </c>
      <c r="AR813" s="24" t="inlineStr">
        <is>
          <t>Arkansas State Red Wolves</t>
        </is>
      </c>
      <c r="AS813" s="24" t="inlineStr">
        <is>
          <t>Louisiana Ragin' Cajuns</t>
        </is>
      </c>
      <c r="AT813" s="24" t="inlineStr">
        <is>
          <t>Louisiana Ragin' Cajuns</t>
        </is>
      </c>
      <c r="AU813" s="24" t="inlineStr">
        <is>
          <t>Louisiana Ragin' Cajuns</t>
        </is>
      </c>
      <c r="AV813" s="24" t="n"/>
      <c r="AW813" s="24" t="n"/>
      <c r="AX813" s="24" t="inlineStr">
        <is>
          <t>statistical_model</t>
        </is>
      </c>
      <c r="AY813" s="24" t="n"/>
      <c r="AZ813" s="24" t="inlineStr">
        <is>
          <t>shadow_qualified</t>
        </is>
      </c>
      <c r="BA813" s="24" t="inlineStr">
        <is>
          <t>1d168f11d221cd3c</t>
        </is>
      </c>
      <c r="BB813" s="24" t="inlineStr">
        <is>
          <t>cfb_key_number_engine</t>
        </is>
      </c>
      <c r="BC813" s="24" t="inlineStr">
        <is>
          <t>college-football-v1</t>
        </is>
      </c>
      <c r="BD813" s="24" t="inlineStr">
        <is>
          <t>1d168f11d221cd3c</t>
        </is>
      </c>
      <c r="BE813" s="24" t="inlineStr">
        <is>
          <t>cfb-v1</t>
        </is>
      </c>
      <c r="BF813" s="24" t="inlineStr">
        <is>
          <t>1</t>
        </is>
      </c>
      <c r="BG813" s="24" t="inlineStr">
        <is>
          <t>1d168f11d221cd3c</t>
        </is>
      </c>
      <c r="BH813" s="24" t="inlineStr">
        <is>
          <t>2026-10-03T22:32:35.686759+00:00</t>
        </is>
      </c>
      <c r="BI813" s="24" t="inlineStr">
        <is>
          <t>["same_event","same_team_same_day","same_league_same_day"]</t>
        </is>
      </c>
      <c r="BJ813" s="25" t="n"/>
      <c r="BK813" s="26" t="n">
        <v>-205</v>
      </c>
      <c r="BL813" s="27" t="n">
        <v>1.487805</v>
      </c>
      <c r="BM813" s="28" t="n">
        <v>0.672131</v>
      </c>
      <c r="BN813" s="28" t="n"/>
      <c r="BO813" s="28" t="n"/>
      <c r="BP813" s="25" t="n"/>
      <c r="BQ813" s="27" t="n"/>
      <c r="BR813" s="28" t="n"/>
      <c r="BS813" s="28" t="n"/>
      <c r="BT813" s="28" t="n"/>
      <c r="BU813" s="25" t="n"/>
      <c r="BV813" s="29" t="n"/>
      <c r="BW813" s="24" t="n"/>
      <c r="BX813" s="30" t="n">
        <v>1</v>
      </c>
      <c r="BY813" s="27" t="n">
        <v>0.487805</v>
      </c>
      <c r="BZ813" s="24" t="inlineStr">
        <is>
          <t>2026-10-04T20:47:12.958006Z</t>
        </is>
      </c>
      <c r="CA813" s="31" t="inlineStr">
        <is>
          <t>fixed one-unit hypothetical scoring; no real exposure or execution</t>
        </is>
      </c>
      <c r="CB813" s="24" t="n"/>
      <c r="CC813" s="24" t="n"/>
      <c r="CD813" s="24" t="n"/>
      <c r="CE813" s="24" t="n"/>
      <c r="CF813" s="24" t="n"/>
      <c r="CG813" s="24" t="n"/>
      <c r="CH813" s="24" t="n"/>
      <c r="CI813" s="24" t="n"/>
      <c r="CJ813" s="24" t="n"/>
      <c r="CK813" s="24" t="n"/>
      <c r="CL813" s="24" t="n"/>
      <c r="CM813" s="24" t="n"/>
      <c r="CN813" s="24" t="n"/>
      <c r="CO813" s="24" t="n"/>
      <c r="CP813" s="24" t="n"/>
      <c r="CQ813" s="24" t="n"/>
      <c r="CR813" s="24" t="n"/>
      <c r="CS813" s="24" t="inlineStr">
        <is>
          <t>False</t>
        </is>
      </c>
      <c r="CT813" s="24" t="n"/>
      <c r="CU813" s="24" t="n"/>
      <c r="CV813" s="24" t="n"/>
      <c r="CW813" s="24" t="n"/>
      <c r="CX813" s="24" t="n"/>
      <c r="CY813" s="24" t="n"/>
      <c r="CZ813" s="24" t="n"/>
      <c r="DA813" s="24" t="n"/>
      <c r="DB813" s="24" t="n"/>
      <c r="DC813" s="24" t="n"/>
      <c r="DD813" s="24" t="n"/>
      <c r="DE813" s="24" t="n"/>
      <c r="DF813" s="24" t="n"/>
      <c r="DG813" s="24" t="n"/>
      <c r="DH813" s="24" t="n"/>
      <c r="DI813" s="24" t="n"/>
      <c r="DJ813" s="24" t="inlineStr">
        <is>
          <t>0.672131</t>
        </is>
      </c>
      <c r="DK813" s="24" t="n"/>
      <c r="DL813" s="24" t="n"/>
      <c r="DM813" s="24" t="n"/>
      <c r="DN813" s="24" t="n"/>
      <c r="DO813" s="24" t="n"/>
      <c r="DP813" s="24" t="n"/>
      <c r="DQ813" s="24" t="inlineStr">
        <is>
          <t>{"artifact_hash": "1d168f11d221cd3c", "event_id": "401869932", "event_start_utc": "2026-10-04T00:00Z", "features": {"altitude_fatigue_penalty": 0.0, "away_team": "Arkansas State Red Wolves", "efficiency_gap": 0.726, "elo_away": 1378.9, "elo_home": 1442.3, "elo_home_win_prob": 0.6768, "event_id": "401869932", "game_start_utc": "2026-10-04T00:00Z", "home_field_advantage_points": 2.8, "home_team": "Louisiana Ragin' Cajuns", "is_dome": false, "is_fbs_vs_fcs": false, "is_neutral_site": false, "projected_away_points": 24.0, "projected_home_points": 29.3, "projected_margin_home": 5.2, "projected_possessions": 12.4, "projected_total": 53.3, "stadium_elevation_ft": 35, "travel_distance_miles": 397.0, "uncertainty": 0.18, "weather_total_adjustment": 0.0}, "historical_source_observation_times_verified": false, "inference_inputs": {"engine_source_sha256": "449ba2f0e86fa9c445730076a0e0bf100fb4914620be53c75c6f3bfe24298f3f", "mu_away": 24.0, "mu_home": 29.3,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225558849805459947340147070494129273545}, "uinteger": 0}, "spread_home_line": -5.5, "total_line": 49.5}, "market_type": "moneyline", "model_version": "college-football-v1", "observed_at_utc": "2026-10-03T22:32:35.686759+00:00", "probabilities": {"away": 0.391416, "home": 0.608584}, "replay_scope": "Full precision score means, exact engine parameters and original RNG state; upstream feature construction not certified.", "schema": "cfb-joint-replay-v1", "snapshot_hash": "58072fa614adf9b75b670e9e147caa3c0f8f985808d944788cc0b8745d749b2f", "sport": "NCAAF"}</t>
        </is>
      </c>
    </row>
    <row r="814" ht="36" customHeight="1">
      <c r="A814" s="24" t="inlineStr">
        <is>
          <t>621a2fc5ad964c1f</t>
        </is>
      </c>
      <c r="B814" s="24" t="inlineStr">
        <is>
          <t>2026-10-03T22:32:35.686759Z</t>
        </is>
      </c>
      <c r="C814" s="24" t="inlineStr">
        <is>
          <t>2026-10-04T00:00Z</t>
        </is>
      </c>
      <c r="D814" s="24" t="inlineStr">
        <is>
          <t>401869932</t>
        </is>
      </c>
      <c r="E814" s="24" t="inlineStr">
        <is>
          <t>NCAAF</t>
        </is>
      </c>
      <c r="F814" s="24" t="inlineStr">
        <is>
          <t>Arkansas State Red Wolves</t>
        </is>
      </c>
      <c r="G814" s="24" t="inlineStr">
        <is>
          <t>Louisiana Ragin' Cajuns</t>
        </is>
      </c>
      <c r="H814" s="24" t="inlineStr">
        <is>
          <t>spread</t>
        </is>
      </c>
      <c r="I814" s="24" t="inlineStr">
        <is>
          <t>away</t>
        </is>
      </c>
      <c r="J814" s="25" t="n">
        <v>5.5</v>
      </c>
      <c r="K814" s="24" t="inlineStr">
        <is>
          <t>espn_consensus</t>
        </is>
      </c>
      <c r="L814" s="26" t="n">
        <v>-112</v>
      </c>
      <c r="M814" s="27" t="n">
        <v>1.892857</v>
      </c>
      <c r="N814" s="28" t="n">
        <v>0.528302</v>
      </c>
      <c r="O814" s="28" t="n">
        <v>0.505467</v>
      </c>
      <c r="P814" s="28" t="n">
        <v>0.18</v>
      </c>
      <c r="Q814" s="28" t="n">
        <v>-0.022835</v>
      </c>
      <c r="R814" s="26" t="n">
        <v>0</v>
      </c>
      <c r="S814" s="29" t="n">
        <v>1</v>
      </c>
      <c r="T814" s="24" t="inlineStr">
        <is>
          <t>cfb-spread-v1</t>
        </is>
      </c>
      <c r="U814" s="24" t="inlineStr">
        <is>
          <t>settled</t>
        </is>
      </c>
      <c r="V814" s="24" t="inlineStr">
        <is>
          <t>win</t>
        </is>
      </c>
      <c r="W814" s="26" t="n">
        <v>20</v>
      </c>
      <c r="X814" s="26" t="n">
        <v>23</v>
      </c>
      <c r="Y814" s="25" t="n"/>
      <c r="Z814" s="26" t="n"/>
      <c r="AA814" s="28" t="n"/>
      <c r="AB814" s="28" t="n"/>
      <c r="AC814" s="30" t="n">
        <v>0.8929</v>
      </c>
      <c r="AD814" s="24" t="inlineStr">
        <is>
          <t>2026-10-04T20:47:18.699915Z</t>
        </is>
      </c>
      <c r="AE814" s="31" t="inlineStr">
        <is>
          <t>Projected home margin +5.2 pts. Spread: Home -5.5 / Away +5.5 -&gt; P(Away cover)=0.505, P(Home cover)=0.495, P(Push)=0.000.</t>
        </is>
      </c>
      <c r="AF814" s="31" t="inlineStr">
        <is>
          <t>College football model; multi-market (moneyline, spread, total).</t>
        </is>
      </c>
      <c r="AG814" s="24" t="inlineStr">
        <is>
          <t>not_applicable</t>
        </is>
      </c>
      <c r="AH814" s="24" t="n"/>
      <c r="AI814" s="31" t="n"/>
      <c r="AJ814" s="31" t="n"/>
      <c r="AK814" s="24" t="inlineStr">
        <is>
          <t>paper_call</t>
        </is>
      </c>
      <c r="AL814" s="26" t="n">
        <v>4</v>
      </c>
      <c r="AM814" s="24" t="inlineStr">
        <is>
          <t>RESEARCH_OBSERVATION</t>
        </is>
      </c>
      <c r="AN814" s="24" t="inlineStr">
        <is>
          <t>CALL</t>
        </is>
      </c>
      <c r="AO814" s="24" t="inlineStr">
        <is>
          <t>PAPER_CALL_LOW_EDGE</t>
        </is>
      </c>
      <c r="AP814" s="24" t="inlineStr">
        <is>
          <t>Arkansas State Red Wolves</t>
        </is>
      </c>
      <c r="AQ814" s="24" t="inlineStr">
        <is>
          <t>Arkansas State Red Wolves</t>
        </is>
      </c>
      <c r="AR814" s="24" t="inlineStr">
        <is>
          <t>Arkansas State Red Wolves</t>
        </is>
      </c>
      <c r="AS814" s="24" t="inlineStr">
        <is>
          <t>Louisiana Ragin' Cajuns</t>
        </is>
      </c>
      <c r="AT814" s="24" t="inlineStr">
        <is>
          <t>Louisiana Ragin' Cajuns</t>
        </is>
      </c>
      <c r="AU814" s="24" t="inlineStr">
        <is>
          <t>Louisiana Ragin' Cajuns</t>
        </is>
      </c>
      <c r="AV814" s="24" t="n"/>
      <c r="AW814" s="24" t="n"/>
      <c r="AX814" s="24" t="inlineStr">
        <is>
          <t>statistical_model</t>
        </is>
      </c>
      <c r="AY814" s="24" t="n"/>
      <c r="AZ814" s="24" t="inlineStr">
        <is>
          <t>shadow_qualified</t>
        </is>
      </c>
      <c r="BA814" s="24" t="inlineStr">
        <is>
          <t>1d168f11d221cd3c</t>
        </is>
      </c>
      <c r="BB814" s="24" t="inlineStr">
        <is>
          <t>cfb_key_number_engine</t>
        </is>
      </c>
      <c r="BC814" s="24" t="inlineStr">
        <is>
          <t>cfb-spread-v1</t>
        </is>
      </c>
      <c r="BD814" s="24" t="inlineStr">
        <is>
          <t>1d168f11d221cd3c</t>
        </is>
      </c>
      <c r="BE814" s="24" t="inlineStr">
        <is>
          <t>cfb-v1</t>
        </is>
      </c>
      <c r="BF814" s="24" t="inlineStr">
        <is>
          <t>1</t>
        </is>
      </c>
      <c r="BG814" s="24" t="inlineStr">
        <is>
          <t>1d168f11d221cd3c</t>
        </is>
      </c>
      <c r="BH814" s="24" t="inlineStr">
        <is>
          <t>2026-10-03T22:32:35.686759+00:00</t>
        </is>
      </c>
      <c r="BI814" s="24" t="inlineStr">
        <is>
          <t>["same_event","same_team_same_day","same_league_same_day"]</t>
        </is>
      </c>
      <c r="BJ814" s="25" t="n">
        <v>5.5</v>
      </c>
      <c r="BK814" s="26" t="n">
        <v>-112</v>
      </c>
      <c r="BL814" s="27" t="n">
        <v>1.892857</v>
      </c>
      <c r="BM814" s="28" t="n">
        <v>0.528302</v>
      </c>
      <c r="BN814" s="28" t="n"/>
      <c r="BO814" s="28" t="n"/>
      <c r="BP814" s="25" t="n"/>
      <c r="BQ814" s="27" t="n"/>
      <c r="BR814" s="28" t="n"/>
      <c r="BS814" s="28" t="n"/>
      <c r="BT814" s="28" t="n"/>
      <c r="BU814" s="25" t="n"/>
      <c r="BV814" s="29" t="n"/>
      <c r="BW814" s="24" t="n"/>
      <c r="BX814" s="30" t="n">
        <v>1</v>
      </c>
      <c r="BY814" s="27" t="n">
        <v>0.892857</v>
      </c>
      <c r="BZ814" s="24" t="inlineStr">
        <is>
          <t>2026-10-04T20:47:18.699915Z</t>
        </is>
      </c>
      <c r="CA814" s="31" t="inlineStr">
        <is>
          <t>fixed one-unit hypothetical scoring; no real exposure or execution</t>
        </is>
      </c>
      <c r="CB814" s="24" t="n"/>
      <c r="CC814" s="24" t="n"/>
      <c r="CD814" s="24" t="n"/>
      <c r="CE814" s="24" t="n"/>
      <c r="CF814" s="24" t="n"/>
      <c r="CG814" s="24" t="n"/>
      <c r="CH814" s="24" t="n"/>
      <c r="CI814" s="24" t="n"/>
      <c r="CJ814" s="24" t="n"/>
      <c r="CK814" s="24" t="n"/>
      <c r="CL814" s="24" t="n"/>
      <c r="CM814" s="24" t="n"/>
      <c r="CN814" s="24" t="n"/>
      <c r="CO814" s="24" t="n"/>
      <c r="CP814" s="24" t="n"/>
      <c r="CQ814" s="24" t="n"/>
      <c r="CR814" s="24" t="n"/>
      <c r="CS814" s="24" t="inlineStr">
        <is>
          <t>False</t>
        </is>
      </c>
      <c r="CT814" s="24" t="n"/>
      <c r="CU814" s="24" t="n"/>
      <c r="CV814" s="24" t="n"/>
      <c r="CW814" s="24" t="n"/>
      <c r="CX814" s="24" t="n"/>
      <c r="CY814" s="24" t="n"/>
      <c r="CZ814" s="24" t="n"/>
      <c r="DA814" s="24" t="n"/>
      <c r="DB814" s="24" t="n"/>
      <c r="DC814" s="24" t="n"/>
      <c r="DD814" s="24" t="n"/>
      <c r="DE814" s="24" t="n"/>
      <c r="DF814" s="24" t="n"/>
      <c r="DG814" s="24" t="n"/>
      <c r="DH814" s="24" t="n"/>
      <c r="DI814" s="24" t="n"/>
      <c r="DJ814" s="24" t="inlineStr">
        <is>
          <t>0.528302</t>
        </is>
      </c>
      <c r="DK814" s="24" t="n"/>
      <c r="DL814" s="24" t="n"/>
      <c r="DM814" s="24" t="n"/>
      <c r="DN814" s="24" t="n"/>
      <c r="DO814" s="24" t="n"/>
      <c r="DP814" s="24" t="n"/>
      <c r="DQ814" s="24" t="inlineStr">
        <is>
          <t>{"artifact_hash": "1d168f11d221cd3c", "event_id": "401869932", "event_start_utc": "2026-10-04T00:00Z", "features": {"altitude_fatigue_penalty": 0.0, "away_team": "Arkansas State Red Wolves", "efficiency_gap": 0.726, "elo_away": 1378.9, "elo_home": 1442.3, "elo_home_win_prob": 0.6768, "event_id": "401869932", "game_start_utc": "2026-10-04T00:00Z", "home_field_advantage_points": 2.8, "home_team": "Louisiana Ragin' Cajuns", "is_dome": false, "is_fbs_vs_fcs": false, "is_neutral_site": false, "projected_away_points": 24.0, "projected_home_points": 29.3, "projected_margin_home": 5.2, "projected_possessions": 12.4, "projected_total": 53.3, "stadium_elevation_ft": 35, "travel_distance_miles": 397.0, "uncertainty": 0.18, "weather_total_adjustment": 0.0}, "historical_source_observation_times_verified": false, "inference_inputs": {"engine_source_sha256": "449ba2f0e86fa9c445730076a0e0bf100fb4914620be53c75c6f3bfe24298f3f", "mu_away": 24.0, "mu_home": 29.3,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225558849805459947340147070494129273545}, "uinteger": 0}, "spread_home_line": -5.5, "total_line": 49.5}, "market_type": "spread", "model_version": "cfb-spread-v1", "observed_at_utc": "2026-10-03T22:32:35.686759+00:00", "probabilities": {"away": 0.505467, "home": 0.494533, "push": 0.0}, "replay_scope": "Full precision score means, exact engine parameters and original RNG state; upstream feature construction not certified.", "schema": "cfb-joint-replay-v1", "snapshot_hash": "377cc0094bbf8d185e0f7cbfe8e7cae2ad24ab0eef0a5bf1e01af5f40410a877", "sport": "NCAAF"}</t>
        </is>
      </c>
    </row>
    <row r="815" ht="36" customHeight="1">
      <c r="A815" s="24" t="inlineStr">
        <is>
          <t>9c9395551eae43f6</t>
        </is>
      </c>
      <c r="B815" s="24" t="inlineStr">
        <is>
          <t>2026-10-03T22:32:35.686759Z</t>
        </is>
      </c>
      <c r="C815" s="24" t="inlineStr">
        <is>
          <t>2026-10-04T00:00Z</t>
        </is>
      </c>
      <c r="D815" s="24" t="inlineStr">
        <is>
          <t>401869932</t>
        </is>
      </c>
      <c r="E815" s="24" t="inlineStr">
        <is>
          <t>NCAAF</t>
        </is>
      </c>
      <c r="F815" s="24" t="inlineStr">
        <is>
          <t>Arkansas State Red Wolves</t>
        </is>
      </c>
      <c r="G815" s="24" t="inlineStr">
        <is>
          <t>Louisiana Ragin' Cajuns</t>
        </is>
      </c>
      <c r="H815" s="24" t="inlineStr">
        <is>
          <t>total</t>
        </is>
      </c>
      <c r="I815" s="24" t="inlineStr">
        <is>
          <t>over</t>
        </is>
      </c>
      <c r="J815" s="25" t="n">
        <v>49.5</v>
      </c>
      <c r="K815" s="24" t="inlineStr">
        <is>
          <t>espn_consensus</t>
        </is>
      </c>
      <c r="L815" s="26" t="n">
        <v>-110</v>
      </c>
      <c r="M815" s="27" t="n">
        <v>1.909091</v>
      </c>
      <c r="N815" s="28" t="n">
        <v>0.52381</v>
      </c>
      <c r="O815" s="28" t="n">
        <v>0.527067</v>
      </c>
      <c r="P815" s="28" t="n">
        <v>0.18</v>
      </c>
      <c r="Q815" s="28" t="n">
        <v>0.003257</v>
      </c>
      <c r="R815" s="26" t="n">
        <v>0</v>
      </c>
      <c r="S815" s="29" t="n">
        <v>1</v>
      </c>
      <c r="T815" s="24" t="inlineStr">
        <is>
          <t>cfb-total-v1</t>
        </is>
      </c>
      <c r="U815" s="24" t="inlineStr">
        <is>
          <t>settled</t>
        </is>
      </c>
      <c r="V815" s="24" t="inlineStr">
        <is>
          <t>loss</t>
        </is>
      </c>
      <c r="W815" s="26" t="n">
        <v>20</v>
      </c>
      <c r="X815" s="26" t="n">
        <v>23</v>
      </c>
      <c r="Y815" s="25" t="n"/>
      <c r="Z815" s="26" t="n"/>
      <c r="AA815" s="28" t="n"/>
      <c r="AB815" s="28" t="n"/>
      <c r="AC815" s="30" t="n">
        <v>-1</v>
      </c>
      <c r="AD815" s="24" t="inlineStr">
        <is>
          <t>2026-10-04T20:47:24.423023Z</t>
        </is>
      </c>
      <c r="AE815" s="31" t="inlineStr">
        <is>
          <t>Projected total 53.3 pts (Weather adj: +0.0 pts). Total line 49.5 -&gt; P(Over)=0.527, P(Under)=0.473, P(Push)=0.000.</t>
        </is>
      </c>
      <c r="AF815" s="31" t="inlineStr">
        <is>
          <t>College football model; multi-market (moneyline, spread, total).</t>
        </is>
      </c>
      <c r="AG815" s="24" t="inlineStr">
        <is>
          <t>review_required</t>
        </is>
      </c>
      <c r="AH815" s="24" t="n"/>
      <c r="AI815" s="31" t="n"/>
      <c r="AJ815" s="31" t="n"/>
      <c r="AK815" s="24" t="inlineStr">
        <is>
          <t>paper_call</t>
        </is>
      </c>
      <c r="AL815" s="26" t="n">
        <v>4</v>
      </c>
      <c r="AM815" s="24" t="inlineStr">
        <is>
          <t>RESEARCH_OBSERVATION</t>
        </is>
      </c>
      <c r="AN815" s="24" t="inlineStr">
        <is>
          <t>CALL</t>
        </is>
      </c>
      <c r="AO815" s="24" t="inlineStr">
        <is>
          <t>PAPER_CALL_LOW_EDGE</t>
        </is>
      </c>
      <c r="AP815" s="24" t="inlineStr">
        <is>
          <t>Arkansas State Red Wolves</t>
        </is>
      </c>
      <c r="AQ815" s="24" t="inlineStr">
        <is>
          <t>Arkansas State Red Wolves</t>
        </is>
      </c>
      <c r="AR815" s="24" t="inlineStr">
        <is>
          <t>Arkansas State Red Wolves</t>
        </is>
      </c>
      <c r="AS815" s="24" t="inlineStr">
        <is>
          <t>Louisiana Ragin' Cajuns</t>
        </is>
      </c>
      <c r="AT815" s="24" t="inlineStr">
        <is>
          <t>Louisiana Ragin' Cajuns</t>
        </is>
      </c>
      <c r="AU815" s="24" t="inlineStr">
        <is>
          <t>Louisiana Ragin' Cajuns</t>
        </is>
      </c>
      <c r="AV815" s="24" t="n"/>
      <c r="AW815" s="24" t="n"/>
      <c r="AX815" s="24" t="inlineStr">
        <is>
          <t>statistical_model</t>
        </is>
      </c>
      <c r="AY815" s="24" t="n"/>
      <c r="AZ815" s="24" t="inlineStr">
        <is>
          <t>shadow_qualified</t>
        </is>
      </c>
      <c r="BA815" s="24" t="inlineStr">
        <is>
          <t>1d168f11d221cd3c</t>
        </is>
      </c>
      <c r="BB815" s="24" t="inlineStr">
        <is>
          <t>cfb_key_number_engine</t>
        </is>
      </c>
      <c r="BC815" s="24" t="inlineStr">
        <is>
          <t>cfb-total-v1</t>
        </is>
      </c>
      <c r="BD815" s="24" t="inlineStr">
        <is>
          <t>1d168f11d221cd3c</t>
        </is>
      </c>
      <c r="BE815" s="24" t="inlineStr">
        <is>
          <t>cfb-v1</t>
        </is>
      </c>
      <c r="BF815" s="24" t="inlineStr">
        <is>
          <t>1</t>
        </is>
      </c>
      <c r="BG815" s="24" t="inlineStr">
        <is>
          <t>1d168f11d221cd3c</t>
        </is>
      </c>
      <c r="BH815" s="24" t="inlineStr">
        <is>
          <t>2026-10-03T22:32:35.686759+00:00</t>
        </is>
      </c>
      <c r="BI815" s="24" t="inlineStr">
        <is>
          <t>["same_event","same_team_same_day","same_league_same_day"]</t>
        </is>
      </c>
      <c r="BJ815" s="25" t="n">
        <v>49.5</v>
      </c>
      <c r="BK815" s="26" t="n">
        <v>-110</v>
      </c>
      <c r="BL815" s="27" t="n">
        <v>1.909091</v>
      </c>
      <c r="BM815" s="28" t="n">
        <v>0.52381</v>
      </c>
      <c r="BN815" s="28" t="n"/>
      <c r="BO815" s="28" t="n"/>
      <c r="BP815" s="25" t="n"/>
      <c r="BQ815" s="27" t="n"/>
      <c r="BR815" s="28" t="n"/>
      <c r="BS815" s="28" t="n"/>
      <c r="BT815" s="28" t="n"/>
      <c r="BU815" s="25" t="n"/>
      <c r="BV815" s="29" t="n"/>
      <c r="BW815" s="24" t="n"/>
      <c r="BX815" s="30" t="n">
        <v>1</v>
      </c>
      <c r="BY815" s="27" t="n">
        <v>-1</v>
      </c>
      <c r="BZ815" s="24" t="inlineStr">
        <is>
          <t>2026-10-04T20:47:24.423023Z</t>
        </is>
      </c>
      <c r="CA815" s="31" t="inlineStr">
        <is>
          <t>fixed one-unit hypothetical scoring; no real exposure or execution</t>
        </is>
      </c>
      <c r="CB815" s="24" t="n"/>
      <c r="CC815" s="24" t="n"/>
      <c r="CD815" s="24" t="n"/>
      <c r="CE815" s="24" t="n"/>
      <c r="CF815" s="24" t="n"/>
      <c r="CG815" s="24" t="n"/>
      <c r="CH815" s="24" t="n"/>
      <c r="CI815" s="24" t="n"/>
      <c r="CJ815" s="24" t="n"/>
      <c r="CK815" s="24" t="n"/>
      <c r="CL815" s="24" t="n"/>
      <c r="CM815" s="24" t="n"/>
      <c r="CN815" s="24" t="n"/>
      <c r="CO815" s="24" t="n"/>
      <c r="CP815" s="24" t="n"/>
      <c r="CQ815" s="24" t="n"/>
      <c r="CR815" s="24" t="n"/>
      <c r="CS815" s="24" t="inlineStr">
        <is>
          <t>True</t>
        </is>
      </c>
      <c r="CT815" s="24" t="n"/>
      <c r="CU815" s="24" t="n"/>
      <c r="CV815" s="24" t="n"/>
      <c r="CW815" s="24" t="n"/>
      <c r="CX815" s="24" t="n"/>
      <c r="CY815" s="24" t="n"/>
      <c r="CZ815" s="24" t="n"/>
      <c r="DA815" s="24" t="n"/>
      <c r="DB815" s="24" t="n"/>
      <c r="DC815" s="24" t="n"/>
      <c r="DD815" s="24" t="n"/>
      <c r="DE815" s="24" t="n"/>
      <c r="DF815" s="24" t="n"/>
      <c r="DG815" s="24" t="n"/>
      <c r="DH815" s="24" t="n"/>
      <c r="DI815" s="24" t="n"/>
      <c r="DJ815" s="24" t="inlineStr">
        <is>
          <t>0.52381</t>
        </is>
      </c>
      <c r="DK815" s="24" t="n"/>
      <c r="DL815" s="24" t="n"/>
      <c r="DM815" s="24" t="n"/>
      <c r="DN815" s="24" t="n"/>
      <c r="DO815" s="24" t="n"/>
      <c r="DP815" s="24" t="n"/>
      <c r="DQ815" s="24" t="inlineStr">
        <is>
          <t>{"artifact_hash": "1d168f11d221cd3c", "event_id": "401869932", "event_start_utc": "2026-10-04T00:00Z", "features": {"altitude_fatigue_penalty": 0.0, "away_team": "Arkansas State Red Wolves", "efficiency_gap": 0.726, "elo_away": 1378.9, "elo_home": 1442.3, "elo_home_win_prob": 0.6768, "event_id": "401869932", "game_start_utc": "2026-10-04T00:00Z", "home_field_advantage_points": 2.8, "home_team": "Louisiana Ragin' Cajuns", "is_dome": false, "is_fbs_vs_fcs": false, "is_neutral_site": false, "projected_away_points": 24.0, "projected_home_points": 29.3, "projected_margin_home": 5.2, "projected_possessions": 12.4, "projected_total": 53.3, "stadium_elevation_ft": 35, "travel_distance_miles": 397.0, "uncertainty": 0.18, "weather_total_adjustment": 0.0}, "historical_source_observation_times_verified": false, "inference_inputs": {"engine_source_sha256": "449ba2f0e86fa9c445730076a0e0bf100fb4914620be53c75c6f3bfe24298f3f", "mu_away": 24.0, "mu_home": 29.3,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225558849805459947340147070494129273545}, "uinteger": 0}, "spread_home_line": -5.5, "total_line": 49.5}, "market_type": "total", "model_version": "cfb-total-v1", "observed_at_utc": "2026-10-03T22:32:35.686759+00:00", "probabilities": {"over": 0.527067, "push": 0.0, "under": 0.472933}, "replay_scope": "Full precision score means, exact engine parameters and original RNG state; upstream feature construction not certified.", "schema": "cfb-joint-replay-v1", "snapshot_hash": "595a02f50c7c99bf5d66495276fee80f8649ed330260f3285f596bc04b65d2a8", "sport": "NCAAF"}</t>
        </is>
      </c>
    </row>
    <row r="816" ht="36" customHeight="1">
      <c r="A816" s="24" t="inlineStr">
        <is>
          <t>ea0c5e7cda7c45fe</t>
        </is>
      </c>
      <c r="B816" s="24" t="inlineStr">
        <is>
          <t>2026-10-03T22:32:35.686759Z</t>
        </is>
      </c>
      <c r="C816" s="24" t="inlineStr">
        <is>
          <t>2026-10-04T01:30Z</t>
        </is>
      </c>
      <c r="D816" s="24" t="inlineStr">
        <is>
          <t>401860921</t>
        </is>
      </c>
      <c r="E816" s="24" t="inlineStr">
        <is>
          <t>NCAAF</t>
        </is>
      </c>
      <c r="F816" s="24" t="inlineStr">
        <is>
          <t>Fresno State Bulldogs</t>
        </is>
      </c>
      <c r="G816" s="24" t="inlineStr">
        <is>
          <t>Washington State Cougars</t>
        </is>
      </c>
      <c r="H816" s="24" t="inlineStr">
        <is>
          <t>moneyline</t>
        </is>
      </c>
      <c r="I816" s="24" t="inlineStr">
        <is>
          <t>home</t>
        </is>
      </c>
      <c r="J816" s="25" t="n"/>
      <c r="K816" s="24" t="inlineStr">
        <is>
          <t>espn_consensus</t>
        </is>
      </c>
      <c r="L816" s="26" t="n">
        <v>-130</v>
      </c>
      <c r="M816" s="27" t="n">
        <v>1.769231</v>
      </c>
      <c r="N816" s="28" t="n">
        <v>0.565217</v>
      </c>
      <c r="O816" s="28" t="n">
        <v>0.590877</v>
      </c>
      <c r="P816" s="28" t="n">
        <v>0.165</v>
      </c>
      <c r="Q816" s="28" t="n">
        <v>0.02566</v>
      </c>
      <c r="R816" s="26" t="n">
        <v>0</v>
      </c>
      <c r="S816" s="29" t="n">
        <v>1</v>
      </c>
      <c r="T816" s="24" t="inlineStr">
        <is>
          <t>college-football-v1</t>
        </is>
      </c>
      <c r="U816" s="24" t="inlineStr">
        <is>
          <t>settled</t>
        </is>
      </c>
      <c r="V816" s="24" t="inlineStr">
        <is>
          <t>loss</t>
        </is>
      </c>
      <c r="W816" s="26" t="n">
        <v>26</v>
      </c>
      <c r="X816" s="26" t="n">
        <v>6</v>
      </c>
      <c r="Y816" s="25" t="n"/>
      <c r="Z816" s="26" t="n"/>
      <c r="AA816" s="28" t="n"/>
      <c r="AB816" s="28" t="n"/>
      <c r="AC816" s="30" t="n">
        <v>-1</v>
      </c>
      <c r="AD816" s="24" t="inlineStr">
        <is>
          <t>2026-10-04T20:47:30.531970Z</t>
        </is>
      </c>
      <c r="AE816" s="31" t="inlineStr">
        <is>
          <t>CFB Joint Model (negative_binomial): proj score Fresno State Bulldogs 23.2 @ Washington State Cougars 27.5 (Margin +4.3). Possessions: 12.4, HFA: +2.8 pts.</t>
        </is>
      </c>
      <c r="AF816" s="31" t="inlineStr">
        <is>
          <t>College football model; multi-market (moneyline, spread, total).</t>
        </is>
      </c>
      <c r="AG816" s="24" t="inlineStr">
        <is>
          <t>review_required</t>
        </is>
      </c>
      <c r="AH816" s="24" t="n"/>
      <c r="AI816" s="31" t="n"/>
      <c r="AJ816" s="31" t="n"/>
      <c r="AK816" s="24" t="inlineStr">
        <is>
          <t>paper_call</t>
        </is>
      </c>
      <c r="AL816" s="26" t="n">
        <v>4</v>
      </c>
      <c r="AM816" s="24" t="inlineStr">
        <is>
          <t>RESEARCH_OBSERVATION</t>
        </is>
      </c>
      <c r="AN816" s="24" t="inlineStr">
        <is>
          <t>CALL</t>
        </is>
      </c>
      <c r="AO816" s="24" t="inlineStr">
        <is>
          <t>PAPER_CALL_LOW_EDGE</t>
        </is>
      </c>
      <c r="AP816" s="24" t="inlineStr">
        <is>
          <t>Fresno State Bulldogs</t>
        </is>
      </c>
      <c r="AQ816" s="24" t="inlineStr">
        <is>
          <t>Fresno State Bulldogs</t>
        </is>
      </c>
      <c r="AR816" s="24" t="inlineStr">
        <is>
          <t>Fresno State Bulldogs</t>
        </is>
      </c>
      <c r="AS816" s="24" t="inlineStr">
        <is>
          <t>Washington State Cougars</t>
        </is>
      </c>
      <c r="AT816" s="24" t="inlineStr">
        <is>
          <t>Washington State Cougars</t>
        </is>
      </c>
      <c r="AU816" s="24" t="inlineStr">
        <is>
          <t>Washington State Cougars</t>
        </is>
      </c>
      <c r="AV816" s="24" t="n"/>
      <c r="AW816" s="24" t="n"/>
      <c r="AX816" s="24" t="inlineStr">
        <is>
          <t>statistical_model</t>
        </is>
      </c>
      <c r="AY816" s="24" t="n"/>
      <c r="AZ816" s="24" t="inlineStr">
        <is>
          <t>shadow_qualified</t>
        </is>
      </c>
      <c r="BA816" s="24" t="inlineStr">
        <is>
          <t>1d168f11d221cd3c</t>
        </is>
      </c>
      <c r="BB816" s="24" t="inlineStr">
        <is>
          <t>cfb_key_number_engine</t>
        </is>
      </c>
      <c r="BC816" s="24" t="inlineStr">
        <is>
          <t>college-football-v1</t>
        </is>
      </c>
      <c r="BD816" s="24" t="inlineStr">
        <is>
          <t>1d168f11d221cd3c</t>
        </is>
      </c>
      <c r="BE816" s="24" t="inlineStr">
        <is>
          <t>cfb-v1</t>
        </is>
      </c>
      <c r="BF816" s="24" t="inlineStr">
        <is>
          <t>1</t>
        </is>
      </c>
      <c r="BG816" s="24" t="inlineStr">
        <is>
          <t>1d168f11d221cd3c</t>
        </is>
      </c>
      <c r="BH816" s="24" t="inlineStr">
        <is>
          <t>2026-10-03T22:32:35.686759+00:00</t>
        </is>
      </c>
      <c r="BI816" s="24" t="inlineStr">
        <is>
          <t>["same_event","same_team_same_day","same_league_same_day"]</t>
        </is>
      </c>
      <c r="BJ816" s="25" t="n"/>
      <c r="BK816" s="26" t="n">
        <v>-130</v>
      </c>
      <c r="BL816" s="27" t="n">
        <v>1.769231</v>
      </c>
      <c r="BM816" s="28" t="n">
        <v>0.565217</v>
      </c>
      <c r="BN816" s="28" t="n"/>
      <c r="BO816" s="28" t="n"/>
      <c r="BP816" s="25" t="n"/>
      <c r="BQ816" s="27" t="n"/>
      <c r="BR816" s="28" t="n"/>
      <c r="BS816" s="28" t="n"/>
      <c r="BT816" s="28" t="n"/>
      <c r="BU816" s="25" t="n"/>
      <c r="BV816" s="29" t="n"/>
      <c r="BW816" s="24" t="n"/>
      <c r="BX816" s="30" t="n">
        <v>1</v>
      </c>
      <c r="BY816" s="27" t="n">
        <v>-1</v>
      </c>
      <c r="BZ816" s="24" t="inlineStr">
        <is>
          <t>2026-10-04T20:47:30.531970Z</t>
        </is>
      </c>
      <c r="CA816" s="31" t="inlineStr">
        <is>
          <t>fixed one-unit hypothetical scoring; no real exposure or execution</t>
        </is>
      </c>
      <c r="CB816" s="24" t="n"/>
      <c r="CC816" s="24" t="n"/>
      <c r="CD816" s="24" t="n"/>
      <c r="CE816" s="24" t="n"/>
      <c r="CF816" s="24" t="n"/>
      <c r="CG816" s="24" t="n"/>
      <c r="CH816" s="24" t="n"/>
      <c r="CI816" s="24" t="n"/>
      <c r="CJ816" s="24" t="n"/>
      <c r="CK816" s="24" t="n"/>
      <c r="CL816" s="24" t="n"/>
      <c r="CM816" s="24" t="n"/>
      <c r="CN816" s="24" t="n"/>
      <c r="CO816" s="24" t="n"/>
      <c r="CP816" s="24" t="n"/>
      <c r="CQ816" s="24" t="n"/>
      <c r="CR816" s="24" t="n"/>
      <c r="CS816" s="24" t="inlineStr">
        <is>
          <t>True</t>
        </is>
      </c>
      <c r="CT816" s="24" t="n"/>
      <c r="CU816" s="24" t="n"/>
      <c r="CV816" s="24" t="n"/>
      <c r="CW816" s="24" t="n"/>
      <c r="CX816" s="24" t="n"/>
      <c r="CY816" s="24" t="n"/>
      <c r="CZ816" s="24" t="n"/>
      <c r="DA816" s="24" t="n"/>
      <c r="DB816" s="24" t="n"/>
      <c r="DC816" s="24" t="n"/>
      <c r="DD816" s="24" t="n"/>
      <c r="DE816" s="24" t="n"/>
      <c r="DF816" s="24" t="n"/>
      <c r="DG816" s="24" t="n"/>
      <c r="DH816" s="24" t="n"/>
      <c r="DI816" s="24" t="n"/>
      <c r="DJ816" s="24" t="inlineStr">
        <is>
          <t>0.565217</t>
        </is>
      </c>
      <c r="DK816" s="24" t="n"/>
      <c r="DL816" s="24" t="n"/>
      <c r="DM816" s="24" t="n"/>
      <c r="DN816" s="24" t="n"/>
      <c r="DO816" s="24" t="n"/>
      <c r="DP816" s="24" t="n"/>
      <c r="DQ816" s="24" t="inlineStr">
        <is>
          <t>{"artifact_hash": "1d168f11d221cd3c", "event_id": "401860921", "event_start_utc": "2026-10-04T01:30Z", "features": {"altitude_fatigue_penalty": 0.0, "away_team": "Fresno State Bulldogs", "efficiency_gap": 1.498, "elo_away": 1524.4, "elo_home": 1555.8, "elo_home_win_prob": 0.6354, "event_id": "401860921", "game_start_utc": "2026-10-04T01:30Z", "home_field_advantage_points": 2.8, "home_team": "Washington State Cougars", "is_dome": false, "is_fbs_vs_fcs": false, "is_neutral_site": false, "projected_away_points": 23.2, "projected_home_points": 27.5, "projected_margin_home": 4.3, "projected_possessions": 12.4, "projected_total": 50.8, "stadium_elevation_ft": 2530, "travel_distance_miles": 698.0, "uncertainty": 0.165, "weather_total_adjustment": 0.0}, "historical_source_observation_times_verified": false, "inference_inputs": {"engine_source_sha256": "449ba2f0e86fa9c445730076a0e0bf100fb4914620be53c75c6f3bfe24298f3f", "mu_away": 23.2, "mu_home": 27.5,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230276769814266654890741109629120955047}, "uinteger": 0}, "spread_home_line": -2.5, "total_line": 44.5}, "market_type": "moneyline", "model_version": "college-football-v1", "observed_at_utc": "2026-10-03T22:32:35.686759+00:00", "probabilities": {"away": 0.409123, "home": 0.590877}, "replay_scope": "Full precision score means, exact engine parameters and original RNG state; upstream feature construction not certified.", "schema": "cfb-joint-replay-v1", "snapshot_hash": "061f4f1d7a746167715cfd7a01cdc048fc062d030939a6fa465222cab790979c", "sport": "NCAAF"}</t>
        </is>
      </c>
    </row>
    <row r="817" ht="36" customHeight="1">
      <c r="A817" s="24" t="inlineStr">
        <is>
          <t>6e4d0c3a201346a1</t>
        </is>
      </c>
      <c r="B817" s="24" t="inlineStr">
        <is>
          <t>2026-10-03T22:32:35.686759Z</t>
        </is>
      </c>
      <c r="C817" s="24" t="inlineStr">
        <is>
          <t>2026-10-04T01:30Z</t>
        </is>
      </c>
      <c r="D817" s="24" t="inlineStr">
        <is>
          <t>401860921</t>
        </is>
      </c>
      <c r="E817" s="24" t="inlineStr">
        <is>
          <t>NCAAF</t>
        </is>
      </c>
      <c r="F817" s="24" t="inlineStr">
        <is>
          <t>Fresno State Bulldogs</t>
        </is>
      </c>
      <c r="G817" s="24" t="inlineStr">
        <is>
          <t>Washington State Cougars</t>
        </is>
      </c>
      <c r="H817" s="24" t="inlineStr">
        <is>
          <t>spread</t>
        </is>
      </c>
      <c r="I817" s="24" t="inlineStr">
        <is>
          <t>home</t>
        </is>
      </c>
      <c r="J817" s="25" t="n">
        <v>-2.5</v>
      </c>
      <c r="K817" s="24" t="inlineStr">
        <is>
          <t>espn_consensus</t>
        </is>
      </c>
      <c r="L817" s="26" t="n">
        <v>-108</v>
      </c>
      <c r="M817" s="27" t="n">
        <v>1.925926</v>
      </c>
      <c r="N817" s="28" t="n">
        <v>0.519231</v>
      </c>
      <c r="O817" s="28" t="n">
        <v>0.5342</v>
      </c>
      <c r="P817" s="28" t="n">
        <v>0.165</v>
      </c>
      <c r="Q817" s="28" t="n">
        <v>0.014969</v>
      </c>
      <c r="R817" s="26" t="n">
        <v>0</v>
      </c>
      <c r="S817" s="29" t="n">
        <v>1</v>
      </c>
      <c r="T817" s="24" t="inlineStr">
        <is>
          <t>cfb-spread-v1</t>
        </is>
      </c>
      <c r="U817" s="24" t="inlineStr">
        <is>
          <t>settled</t>
        </is>
      </c>
      <c r="V817" s="24" t="inlineStr">
        <is>
          <t>loss</t>
        </is>
      </c>
      <c r="W817" s="26" t="n">
        <v>26</v>
      </c>
      <c r="X817" s="26" t="n">
        <v>6</v>
      </c>
      <c r="Y817" s="25" t="n"/>
      <c r="Z817" s="26" t="n"/>
      <c r="AA817" s="28" t="n"/>
      <c r="AB817" s="28" t="n"/>
      <c r="AC817" s="30" t="n">
        <v>-1</v>
      </c>
      <c r="AD817" s="24" t="inlineStr">
        <is>
          <t>2026-10-04T20:47:36.650518Z</t>
        </is>
      </c>
      <c r="AE817" s="31" t="inlineStr">
        <is>
          <t>Projected home margin +4.3 pts. Spread: Home -2.5 / Away +2.5 -&gt; P(Away cover)=0.466, P(Home cover)=0.534, P(Push)=0.000.</t>
        </is>
      </c>
      <c r="AF817" s="31" t="inlineStr">
        <is>
          <t>College football model; multi-market (moneyline, spread, total).</t>
        </is>
      </c>
      <c r="AG817" s="24" t="inlineStr">
        <is>
          <t>review_required</t>
        </is>
      </c>
      <c r="AH817" s="24" t="n"/>
      <c r="AI817" s="31" t="n"/>
      <c r="AJ817" s="31" t="n"/>
      <c r="AK817" s="24" t="inlineStr">
        <is>
          <t>paper_call</t>
        </is>
      </c>
      <c r="AL817" s="26" t="n">
        <v>4</v>
      </c>
      <c r="AM817" s="24" t="inlineStr">
        <is>
          <t>RESEARCH_OBSERVATION</t>
        </is>
      </c>
      <c r="AN817" s="24" t="inlineStr">
        <is>
          <t>CALL</t>
        </is>
      </c>
      <c r="AO817" s="24" t="inlineStr">
        <is>
          <t>PAPER_CALL_LOW_EDGE</t>
        </is>
      </c>
      <c r="AP817" s="24" t="inlineStr">
        <is>
          <t>Fresno State Bulldogs</t>
        </is>
      </c>
      <c r="AQ817" s="24" t="inlineStr">
        <is>
          <t>Fresno State Bulldogs</t>
        </is>
      </c>
      <c r="AR817" s="24" t="inlineStr">
        <is>
          <t>Fresno State Bulldogs</t>
        </is>
      </c>
      <c r="AS817" s="24" t="inlineStr">
        <is>
          <t>Washington State Cougars</t>
        </is>
      </c>
      <c r="AT817" s="24" t="inlineStr">
        <is>
          <t>Washington State Cougars</t>
        </is>
      </c>
      <c r="AU817" s="24" t="inlineStr">
        <is>
          <t>Washington State Cougars</t>
        </is>
      </c>
      <c r="AV817" s="24" t="n"/>
      <c r="AW817" s="24" t="n"/>
      <c r="AX817" s="24" t="inlineStr">
        <is>
          <t>statistical_model</t>
        </is>
      </c>
      <c r="AY817" s="24" t="n"/>
      <c r="AZ817" s="24" t="inlineStr">
        <is>
          <t>shadow_qualified</t>
        </is>
      </c>
      <c r="BA817" s="24" t="inlineStr">
        <is>
          <t>1d168f11d221cd3c</t>
        </is>
      </c>
      <c r="BB817" s="24" t="inlineStr">
        <is>
          <t>cfb_key_number_engine</t>
        </is>
      </c>
      <c r="BC817" s="24" t="inlineStr">
        <is>
          <t>cfb-spread-v1</t>
        </is>
      </c>
      <c r="BD817" s="24" t="inlineStr">
        <is>
          <t>1d168f11d221cd3c</t>
        </is>
      </c>
      <c r="BE817" s="24" t="inlineStr">
        <is>
          <t>cfb-v1</t>
        </is>
      </c>
      <c r="BF817" s="24" t="inlineStr">
        <is>
          <t>1</t>
        </is>
      </c>
      <c r="BG817" s="24" t="inlineStr">
        <is>
          <t>1d168f11d221cd3c</t>
        </is>
      </c>
      <c r="BH817" s="24" t="inlineStr">
        <is>
          <t>2026-10-03T22:32:35.686759+00:00</t>
        </is>
      </c>
      <c r="BI817" s="24" t="inlineStr">
        <is>
          <t>["same_event","same_team_same_day","same_league_same_day"]</t>
        </is>
      </c>
      <c r="BJ817" s="25" t="n">
        <v>-2.5</v>
      </c>
      <c r="BK817" s="26" t="n">
        <v>-108</v>
      </c>
      <c r="BL817" s="27" t="n">
        <v>1.925926</v>
      </c>
      <c r="BM817" s="28" t="n">
        <v>0.519231</v>
      </c>
      <c r="BN817" s="28" t="n"/>
      <c r="BO817" s="28" t="n"/>
      <c r="BP817" s="25" t="n"/>
      <c r="BQ817" s="27" t="n"/>
      <c r="BR817" s="28" t="n"/>
      <c r="BS817" s="28" t="n"/>
      <c r="BT817" s="28" t="n"/>
      <c r="BU817" s="25" t="n"/>
      <c r="BV817" s="29" t="n"/>
      <c r="BW817" s="24" t="n"/>
      <c r="BX817" s="30" t="n">
        <v>1</v>
      </c>
      <c r="BY817" s="27" t="n">
        <v>-1</v>
      </c>
      <c r="BZ817" s="24" t="inlineStr">
        <is>
          <t>2026-10-04T20:47:36.650518Z</t>
        </is>
      </c>
      <c r="CA817" s="31" t="inlineStr">
        <is>
          <t>fixed one-unit hypothetical scoring; no real exposure or execution</t>
        </is>
      </c>
      <c r="CB817" s="24" t="n"/>
      <c r="CC817" s="24" t="n"/>
      <c r="CD817" s="24" t="n"/>
      <c r="CE817" s="24" t="n"/>
      <c r="CF817" s="24" t="n"/>
      <c r="CG817" s="24" t="n"/>
      <c r="CH817" s="24" t="n"/>
      <c r="CI817" s="24" t="n"/>
      <c r="CJ817" s="24" t="n"/>
      <c r="CK817" s="24" t="n"/>
      <c r="CL817" s="24" t="n"/>
      <c r="CM817" s="24" t="n"/>
      <c r="CN817" s="24" t="n"/>
      <c r="CO817" s="24" t="n"/>
      <c r="CP817" s="24" t="n"/>
      <c r="CQ817" s="24" t="n"/>
      <c r="CR817" s="24" t="n"/>
      <c r="CS817" s="24" t="inlineStr">
        <is>
          <t>True</t>
        </is>
      </c>
      <c r="CT817" s="24" t="n"/>
      <c r="CU817" s="24" t="n"/>
      <c r="CV817" s="24" t="n"/>
      <c r="CW817" s="24" t="n"/>
      <c r="CX817" s="24" t="n"/>
      <c r="CY817" s="24" t="n"/>
      <c r="CZ817" s="24" t="n"/>
      <c r="DA817" s="24" t="n"/>
      <c r="DB817" s="24" t="n"/>
      <c r="DC817" s="24" t="n"/>
      <c r="DD817" s="24" t="n"/>
      <c r="DE817" s="24" t="n"/>
      <c r="DF817" s="24" t="n"/>
      <c r="DG817" s="24" t="n"/>
      <c r="DH817" s="24" t="n"/>
      <c r="DI817" s="24" t="n"/>
      <c r="DJ817" s="24" t="inlineStr">
        <is>
          <t>0.519231</t>
        </is>
      </c>
      <c r="DK817" s="24" t="n"/>
      <c r="DL817" s="24" t="n"/>
      <c r="DM817" s="24" t="n"/>
      <c r="DN817" s="24" t="n"/>
      <c r="DO817" s="24" t="n"/>
      <c r="DP817" s="24" t="n"/>
      <c r="DQ817" s="24" t="inlineStr">
        <is>
          <t>{"artifact_hash": "1d168f11d221cd3c", "event_id": "401860921", "event_start_utc": "2026-10-04T01:30Z", "features": {"altitude_fatigue_penalty": 0.0, "away_team": "Fresno State Bulldogs", "efficiency_gap": 1.498, "elo_away": 1524.4, "elo_home": 1555.8, "elo_home_win_prob": 0.6354, "event_id": "401860921", "game_start_utc": "2026-10-04T01:30Z", "home_field_advantage_points": 2.8, "home_team": "Washington State Cougars", "is_dome": false, "is_fbs_vs_fcs": false, "is_neutral_site": false, "projected_away_points": 23.2, "projected_home_points": 27.5, "projected_margin_home": 4.3, "projected_possessions": 12.4, "projected_total": 50.8, "stadium_elevation_ft": 2530, "travel_distance_miles": 698.0, "uncertainty": 0.165, "weather_total_adjustment": 0.0}, "historical_source_observation_times_verified": false, "inference_inputs": {"engine_source_sha256": "449ba2f0e86fa9c445730076a0e0bf100fb4914620be53c75c6f3bfe24298f3f", "mu_away": 23.2, "mu_home": 27.5,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230276769814266654890741109629120955047}, "uinteger": 0}, "spread_home_line": -2.5, "total_line": 44.5}, "market_type": "spread", "model_version": "cfb-spread-v1", "observed_at_utc": "2026-10-03T22:32:35.686759+00:00", "probabilities": {"away": 0.4658, "home": 0.5342, "push": 0.0}, "replay_scope": "Full precision score means, exact engine parameters and original RNG state; upstream feature construction not certified.", "schema": "cfb-joint-replay-v1", "snapshot_hash": "a5074e5eafa100e3c604cad61aafd338297424b592ebe187d5208c19eecb94c4", "sport": "NCAAF"}</t>
        </is>
      </c>
    </row>
    <row r="818" ht="36" customHeight="1">
      <c r="A818" s="24" t="inlineStr">
        <is>
          <t>e7ebecac4ff343c0</t>
        </is>
      </c>
      <c r="B818" s="24" t="inlineStr">
        <is>
          <t>2026-10-03T22:32:35.686759Z</t>
        </is>
      </c>
      <c r="C818" s="24" t="inlineStr">
        <is>
          <t>2026-10-04T01:30Z</t>
        </is>
      </c>
      <c r="D818" s="24" t="inlineStr">
        <is>
          <t>401860921</t>
        </is>
      </c>
      <c r="E818" s="24" t="inlineStr">
        <is>
          <t>NCAAF</t>
        </is>
      </c>
      <c r="F818" s="24" t="inlineStr">
        <is>
          <t>Fresno State Bulldogs</t>
        </is>
      </c>
      <c r="G818" s="24" t="inlineStr">
        <is>
          <t>Washington State Cougars</t>
        </is>
      </c>
      <c r="H818" s="24" t="inlineStr">
        <is>
          <t>total</t>
        </is>
      </c>
      <c r="I818" s="24" t="inlineStr">
        <is>
          <t>over</t>
        </is>
      </c>
      <c r="J818" s="25" t="n">
        <v>44.5</v>
      </c>
      <c r="K818" s="24" t="inlineStr">
        <is>
          <t>espn_consensus</t>
        </is>
      </c>
      <c r="L818" s="26" t="n">
        <v>-105</v>
      </c>
      <c r="M818" s="27" t="n">
        <v>1.952381</v>
      </c>
      <c r="N818" s="28" t="n">
        <v>0.512195</v>
      </c>
      <c r="O818" s="28" t="n">
        <v>0.565733</v>
      </c>
      <c r="P818" s="28" t="n">
        <v>0.165</v>
      </c>
      <c r="Q818" s="28" t="n">
        <v>0.053538</v>
      </c>
      <c r="R818" s="26" t="n">
        <v>0</v>
      </c>
      <c r="S818" s="29" t="n">
        <v>1</v>
      </c>
      <c r="T818" s="24" t="inlineStr">
        <is>
          <t>cfb-total-v1</t>
        </is>
      </c>
      <c r="U818" s="24" t="inlineStr">
        <is>
          <t>settled</t>
        </is>
      </c>
      <c r="V818" s="24" t="inlineStr">
        <is>
          <t>loss</t>
        </is>
      </c>
      <c r="W818" s="26" t="n">
        <v>26</v>
      </c>
      <c r="X818" s="26" t="n">
        <v>6</v>
      </c>
      <c r="Y818" s="25" t="n"/>
      <c r="Z818" s="26" t="n"/>
      <c r="AA818" s="28" t="n"/>
      <c r="AB818" s="28" t="n"/>
      <c r="AC818" s="30" t="n">
        <v>-1</v>
      </c>
      <c r="AD818" s="24" t="inlineStr">
        <is>
          <t>2026-10-04T20:47:42.842324Z</t>
        </is>
      </c>
      <c r="AE818" s="31" t="inlineStr">
        <is>
          <t>Projected total 50.8 pts (Weather adj: +0.0 pts). Total line 44.5 -&gt; P(Over)=0.566, P(Under)=0.434, P(Push)=0.000.</t>
        </is>
      </c>
      <c r="AF818" s="31" t="inlineStr">
        <is>
          <t>College football model; multi-market (moneyline, spread, total).</t>
        </is>
      </c>
      <c r="AG818" s="24" t="inlineStr">
        <is>
          <t>review_required</t>
        </is>
      </c>
      <c r="AH818" s="24" t="n"/>
      <c r="AI818" s="31" t="n"/>
      <c r="AJ818" s="31" t="n"/>
      <c r="AK818" s="24" t="inlineStr">
        <is>
          <t>model_qualified</t>
        </is>
      </c>
      <c r="AL818" s="26" t="n">
        <v>4</v>
      </c>
      <c r="AM818" s="24" t="inlineStr">
        <is>
          <t>QUALIFIED_SHADOW_CALL</t>
        </is>
      </c>
      <c r="AN818" s="24" t="inlineStr">
        <is>
          <t>CALL</t>
        </is>
      </c>
      <c r="AO818" s="24" t="inlineStr">
        <is>
          <t>QUALIFIED</t>
        </is>
      </c>
      <c r="AP818" s="24" t="inlineStr">
        <is>
          <t>Fresno State Bulldogs</t>
        </is>
      </c>
      <c r="AQ818" s="24" t="inlineStr">
        <is>
          <t>Fresno State Bulldogs</t>
        </is>
      </c>
      <c r="AR818" s="24" t="inlineStr">
        <is>
          <t>Fresno State Bulldogs</t>
        </is>
      </c>
      <c r="AS818" s="24" t="inlineStr">
        <is>
          <t>Washington State Cougars</t>
        </is>
      </c>
      <c r="AT818" s="24" t="inlineStr">
        <is>
          <t>Washington State Cougars</t>
        </is>
      </c>
      <c r="AU818" s="24" t="inlineStr">
        <is>
          <t>Washington State Cougars</t>
        </is>
      </c>
      <c r="AV818" s="24" t="n"/>
      <c r="AW818" s="24" t="n"/>
      <c r="AX818" s="24" t="inlineStr">
        <is>
          <t>statistical_model</t>
        </is>
      </c>
      <c r="AY818" s="24" t="n"/>
      <c r="AZ818" s="24" t="inlineStr">
        <is>
          <t>shadow_qualified</t>
        </is>
      </c>
      <c r="BA818" s="24" t="inlineStr">
        <is>
          <t>1d168f11d221cd3c</t>
        </is>
      </c>
      <c r="BB818" s="24" t="inlineStr">
        <is>
          <t>cfb_key_number_engine</t>
        </is>
      </c>
      <c r="BC818" s="24" t="inlineStr">
        <is>
          <t>cfb-total-v1</t>
        </is>
      </c>
      <c r="BD818" s="24" t="inlineStr">
        <is>
          <t>1d168f11d221cd3c</t>
        </is>
      </c>
      <c r="BE818" s="24" t="inlineStr">
        <is>
          <t>cfb-v1</t>
        </is>
      </c>
      <c r="BF818" s="24" t="inlineStr">
        <is>
          <t>1</t>
        </is>
      </c>
      <c r="BG818" s="24" t="inlineStr">
        <is>
          <t>1d168f11d221cd3c</t>
        </is>
      </c>
      <c r="BH818" s="24" t="inlineStr">
        <is>
          <t>2026-10-03T22:32:35.686759+00:00</t>
        </is>
      </c>
      <c r="BI818" s="24" t="inlineStr">
        <is>
          <t>["same_event","same_team_same_day","same_league_same_day"]</t>
        </is>
      </c>
      <c r="BJ818" s="25" t="n">
        <v>44.5</v>
      </c>
      <c r="BK818" s="26" t="n">
        <v>-105</v>
      </c>
      <c r="BL818" s="27" t="n">
        <v>1.952381</v>
      </c>
      <c r="BM818" s="28" t="n">
        <v>0.512195</v>
      </c>
      <c r="BN818" s="28" t="n"/>
      <c r="BO818" s="28" t="n"/>
      <c r="BP818" s="25" t="n"/>
      <c r="BQ818" s="27" t="n"/>
      <c r="BR818" s="28" t="n"/>
      <c r="BS818" s="28" t="n"/>
      <c r="BT818" s="28" t="n"/>
      <c r="BU818" s="25" t="n"/>
      <c r="BV818" s="29" t="n"/>
      <c r="BW818" s="24" t="n"/>
      <c r="BX818" s="30" t="n"/>
      <c r="BY818" s="27" t="n"/>
      <c r="BZ818" s="24" t="n"/>
      <c r="CA818" s="31" t="n"/>
      <c r="CB818" s="24" t="n"/>
      <c r="CC818" s="24" t="n"/>
      <c r="CD818" s="24" t="n"/>
      <c r="CE818" s="24" t="n"/>
      <c r="CF818" s="24" t="n"/>
      <c r="CG818" s="24" t="n"/>
      <c r="CH818" s="24" t="n"/>
      <c r="CI818" s="24" t="n"/>
      <c r="CJ818" s="24" t="n"/>
      <c r="CK818" s="24" t="n"/>
      <c r="CL818" s="24" t="n"/>
      <c r="CM818" s="24" t="n"/>
      <c r="CN818" s="24" t="n"/>
      <c r="CO818" s="24" t="n"/>
      <c r="CP818" s="24" t="n"/>
      <c r="CQ818" s="24" t="n"/>
      <c r="CR818" s="24" t="n"/>
      <c r="CS818" s="24" t="inlineStr">
        <is>
          <t>True</t>
        </is>
      </c>
      <c r="CT818" s="24" t="n"/>
      <c r="CU818" s="24" t="n"/>
      <c r="CV818" s="24" t="n"/>
      <c r="CW818" s="24" t="n"/>
      <c r="CX818" s="24" t="n"/>
      <c r="CY818" s="24" t="n"/>
      <c r="CZ818" s="24" t="n"/>
      <c r="DA818" s="24" t="n"/>
      <c r="DB818" s="24" t="n"/>
      <c r="DC818" s="24" t="n"/>
      <c r="DD818" s="24" t="n"/>
      <c r="DE818" s="24" t="n"/>
      <c r="DF818" s="24" t="n"/>
      <c r="DG818" s="24" t="n"/>
      <c r="DH818" s="24" t="n"/>
      <c r="DI818" s="24" t="n"/>
      <c r="DJ818" s="24" t="inlineStr">
        <is>
          <t>0.512195</t>
        </is>
      </c>
      <c r="DK818" s="24" t="n"/>
      <c r="DL818" s="24" t="n"/>
      <c r="DM818" s="24" t="n"/>
      <c r="DN818" s="24" t="n"/>
      <c r="DO818" s="24" t="n"/>
      <c r="DP818" s="24" t="n"/>
      <c r="DQ818" s="24" t="inlineStr">
        <is>
          <t>{"artifact_hash": "1d168f11d221cd3c", "event_id": "401860921", "event_start_utc": "2026-10-04T01:30Z", "features": {"altitude_fatigue_penalty": 0.0, "away_team": "Fresno State Bulldogs", "efficiency_gap": 1.498, "elo_away": 1524.4, "elo_home": 1555.8, "elo_home_win_prob": 0.6354, "event_id": "401860921", "game_start_utc": "2026-10-04T01:30Z", "home_field_advantage_points": 2.8, "home_team": "Washington State Cougars", "is_dome": false, "is_fbs_vs_fcs": false, "is_neutral_site": false, "projected_away_points": 23.2, "projected_home_points": 27.5, "projected_margin_home": 4.3, "projected_possessions": 12.4, "projected_total": 50.8, "stadium_elevation_ft": 2530, "travel_distance_miles": 698.0, "uncertainty": 0.165, "weather_total_adjustment": 0.0}, "historical_source_observation_times_verified": false, "inference_inputs": {"engine_source_sha256": "449ba2f0e86fa9c445730076a0e0bf100fb4914620be53c75c6f3bfe24298f3f", "mu_away": 23.2, "mu_home": 27.5, "parameters": {"distribution_type": "negative_binomial", "margin_sd": 19.375, "n_simulations": 15000, "nb_dispersion": 12.0, "score_correlation": 0.18, "total_sd": 14.8}, "rng_state_before": {"bit_generator": "PCG64", "has_uint32": 0, "state": {"inc": 332724090758049132448979897138935081983, "state": 230276769814266654890741109629120955047}, "uinteger": 0}, "spread_home_line": -2.5, "total_line": 44.5}, "market_type": "total", "model_version": "cfb-total-v1", "observed_at_utc": "2026-10-03T22:32:35.686759+00:00", "probabilities": {"over": 0.565733, "push": 0.0, "under": 0.434267}, "replay_scope": "Full precision score means, exact engine parameters and original RNG state; upstream feature construction not certified.", "schema": "cfb-joint-replay-v1", "snapshot_hash": "cf7d938856c94054e6975baecf5c0e277e7f3fdb198a587edc6a4912320526e9", "sport": "NCAAF"}</t>
        </is>
      </c>
    </row>
    <row r="819" ht="36" customHeight="1">
      <c r="A819" s="24" t="inlineStr">
        <is>
          <t>3e3490a3075f498c</t>
        </is>
      </c>
      <c r="B819" s="24" t="inlineStr">
        <is>
          <t>2026-10-03T22:32:35.686759Z</t>
        </is>
      </c>
      <c r="C819" s="24" t="inlineStr">
        <is>
          <t>2026-10-04T02:30Z</t>
        </is>
      </c>
      <c r="D819" s="24" t="inlineStr">
        <is>
          <t>401856817</t>
        </is>
      </c>
      <c r="E819" s="24" t="inlineStr">
        <is>
          <t>NCAAF</t>
        </is>
      </c>
      <c r="F819" s="24" t="inlineStr">
        <is>
          <t>Baylor Bears</t>
        </is>
      </c>
      <c r="G819" s="24" t="inlineStr">
        <is>
          <t>Arizona State Sun Devils</t>
        </is>
      </c>
      <c r="H819" s="24" t="inlineStr">
        <is>
          <t>moneyline</t>
        </is>
      </c>
      <c r="I819" s="24" t="inlineStr">
        <is>
          <t>home</t>
        </is>
      </c>
      <c r="J819" s="25" t="n"/>
      <c r="K819" s="24" t="inlineStr">
        <is>
          <t>espn_consensus</t>
        </is>
      </c>
      <c r="L819" s="26" t="n">
        <v>-175</v>
      </c>
      <c r="M819" s="27" t="n">
        <v>1.571429</v>
      </c>
      <c r="N819" s="28" t="n">
        <v>0.636364</v>
      </c>
      <c r="O819" s="28" t="n">
        <v>0.700616</v>
      </c>
      <c r="P819" s="28" t="n">
        <v>0.18</v>
      </c>
      <c r="Q819" s="28" t="n">
        <v>0.064252</v>
      </c>
      <c r="R819" s="26" t="n">
        <v>0</v>
      </c>
      <c r="S819" s="29" t="n">
        <v>1</v>
      </c>
      <c r="T819" s="24" t="inlineStr">
        <is>
          <t>college-football-v1</t>
        </is>
      </c>
      <c r="U819" s="24" t="inlineStr">
        <is>
          <t>settled</t>
        </is>
      </c>
      <c r="V819" s="24" t="inlineStr">
        <is>
          <t>loss</t>
        </is>
      </c>
      <c r="W819" s="26" t="n">
        <v>55</v>
      </c>
      <c r="X819" s="26" t="n">
        <v>19</v>
      </c>
      <c r="Y819" s="25" t="n"/>
      <c r="Z819" s="26" t="n"/>
      <c r="AA819" s="28" t="n"/>
      <c r="AB819" s="28" t="n"/>
      <c r="AC819" s="30" t="n">
        <v>-1</v>
      </c>
      <c r="AD819" s="24" t="inlineStr">
        <is>
          <t>2026-10-04T20:47:48.603557Z</t>
        </is>
      </c>
      <c r="AE819" s="31" t="inlineStr">
        <is>
          <t>CFB Joint Model (negative_binomial): proj score Baylor Bears 21.7 @ Arizona State Sun Devils 31.8 (Margin +10.1). Possessions: 12.4, HFA: +2.8 pts.</t>
        </is>
      </c>
      <c r="AF819" s="31" t="inlineStr">
        <is>
          <t>College football model; multi-market (moneyline, spread, total).</t>
        </is>
      </c>
      <c r="AG819" s="24" t="inlineStr">
        <is>
          <t>review_required</t>
        </is>
      </c>
      <c r="AH819" s="24" t="n"/>
      <c r="AI819" s="31" t="n"/>
      <c r="AJ819" s="31" t="n"/>
      <c r="AK819" s="24" t="inlineStr">
        <is>
          <t>model_qualified</t>
        </is>
      </c>
      <c r="AL819" s="26" t="n">
        <v>4</v>
      </c>
      <c r="AM819" s="24" t="inlineStr">
        <is>
          <t>QUALIFIED_SHADOW_CALL</t>
        </is>
      </c>
      <c r="AN819" s="24" t="inlineStr">
        <is>
          <t>CALL</t>
        </is>
      </c>
      <c r="AO819" s="24" t="inlineStr">
        <is>
          <t>QUALIFIED</t>
        </is>
      </c>
      <c r="AP819" s="24" t="inlineStr">
        <is>
          <t>Baylor Bears</t>
        </is>
      </c>
      <c r="AQ819" s="24" t="inlineStr">
        <is>
          <t>Baylor Bears</t>
        </is>
      </c>
      <c r="AR819" s="24" t="inlineStr">
        <is>
          <t>Baylor Bears</t>
        </is>
      </c>
      <c r="AS819" s="24" t="inlineStr">
        <is>
          <t>Arizona State Sun Devils</t>
        </is>
      </c>
      <c r="AT819" s="24" t="inlineStr">
        <is>
          <t>Arizona State Sun Devils</t>
        </is>
      </c>
      <c r="AU819" s="24" t="inlineStr">
        <is>
          <t>Arizona State Sun Devils</t>
        </is>
      </c>
      <c r="AV819" s="24" t="n"/>
      <c r="AW819" s="24" t="n"/>
      <c r="AX819" s="24" t="inlineStr">
        <is>
          <t>statistical_model</t>
        </is>
      </c>
      <c r="AY819" s="24" t="n"/>
      <c r="AZ819" s="24" t="inlineStr">
        <is>
          <t>shadow_qualified</t>
        </is>
      </c>
      <c r="BA819" s="24" t="inlineStr">
        <is>
          <t>1d168f11d221cd3c</t>
        </is>
      </c>
      <c r="BB819" s="24" t="inlineStr">
        <is>
          <t>cfb_key_number_engine</t>
        </is>
      </c>
      <c r="BC819" s="24" t="inlineStr">
        <is>
          <t>college-football-v1</t>
        </is>
      </c>
      <c r="BD819" s="24" t="inlineStr">
        <is>
          <t>1d168f11d221cd3c</t>
        </is>
      </c>
      <c r="BE819" s="24" t="inlineStr">
        <is>
          <t>cfb-v1</t>
        </is>
      </c>
      <c r="BF819" s="24" t="inlineStr">
        <is>
          <t>1</t>
        </is>
      </c>
      <c r="BG819" s="24" t="inlineStr">
        <is>
          <t>1d168f11d221cd3c</t>
        </is>
      </c>
      <c r="BH819" s="24" t="inlineStr">
        <is>
          <t>2026-10-03T22:32:35.686759+00:00</t>
        </is>
      </c>
      <c r="BI819" s="24" t="inlineStr">
        <is>
          <t>["same_event","same_team_same_day","same_league_same_day"]</t>
        </is>
      </c>
      <c r="BJ819" s="25" t="n"/>
      <c r="BK819" s="26" t="n">
        <v>-175</v>
      </c>
      <c r="BL819" s="27" t="n">
        <v>1.571429</v>
      </c>
      <c r="BM819" s="28" t="n">
        <v>0.636364</v>
      </c>
      <c r="BN819" s="28" t="n"/>
      <c r="BO819" s="28" t="n"/>
      <c r="BP819" s="25" t="n"/>
      <c r="BQ819" s="27" t="n"/>
      <c r="BR819" s="28" t="n"/>
      <c r="BS819" s="28" t="n"/>
      <c r="BT819" s="28" t="n"/>
      <c r="BU819" s="25" t="n"/>
      <c r="BV819" s="29" t="n"/>
      <c r="BW819" s="24" t="n"/>
      <c r="BX819" s="30" t="n"/>
      <c r="BY819" s="27" t="n"/>
      <c r="BZ819" s="24" t="n"/>
      <c r="CA819" s="31" t="n"/>
      <c r="CB819" s="24" t="n"/>
      <c r="CC819" s="24" t="n"/>
      <c r="CD819" s="24" t="n"/>
      <c r="CE819" s="24" t="n"/>
      <c r="CF819" s="24" t="n"/>
      <c r="CG819" s="24" t="n"/>
      <c r="CH819" s="24" t="n"/>
      <c r="CI819" s="24" t="n"/>
      <c r="CJ819" s="24" t="n"/>
      <c r="CK819" s="24" t="n"/>
      <c r="CL819" s="24" t="n"/>
      <c r="CM819" s="24" t="n"/>
      <c r="CN819" s="24" t="n"/>
      <c r="CO819" s="24" t="n"/>
      <c r="CP819" s="24" t="n"/>
      <c r="CQ819" s="24" t="n"/>
      <c r="CR819" s="24" t="n"/>
      <c r="CS819" s="24" t="inlineStr">
        <is>
          <t>True</t>
        </is>
      </c>
      <c r="CT819" s="24" t="n"/>
      <c r="CU819" s="24" t="n"/>
      <c r="CV819" s="24" t="n"/>
      <c r="CW819" s="24" t="n"/>
      <c r="CX819" s="24" t="n"/>
      <c r="CY819" s="24" t="n"/>
      <c r="CZ819" s="24" t="n"/>
      <c r="DA819" s="24" t="n"/>
      <c r="DB819" s="24" t="n"/>
      <c r="DC819" s="24" t="n"/>
      <c r="DD819" s="24" t="n"/>
      <c r="DE819" s="24" t="n"/>
      <c r="DF819" s="24" t="n"/>
      <c r="DG819" s="24" t="n"/>
      <c r="DH819" s="24" t="n"/>
      <c r="DI819" s="24" t="n"/>
      <c r="DJ819" s="24" t="inlineStr">
        <is>
          <t>0.636364</t>
        </is>
      </c>
      <c r="DK819" s="24" t="n"/>
      <c r="DL819" s="24" t="n"/>
      <c r="DM819" s="24" t="n"/>
      <c r="DN819" s="24" t="n"/>
      <c r="DO819" s="24" t="n"/>
      <c r="DP819" s="24" t="n"/>
      <c r="DQ819" s="24" t="inlineStr">
        <is>
          <t>{"artifact_hash": "1d168f11d221cd3c", "event_id": "401856817", "event_start_utc": "2026-10-04T02:30Z", "features": {"altitude_fatigue_penalty": 0.0, "away_team": "Baylor Bears", "efficiency_gap": 0.218, "elo_away": 1341.9, "elo_home": 1525.0, "elo_home_win_prob": 0.8065, "event_id": "401856817", "game_start_utc": "2026-10-04T02:30Z", "home_field_advantage_points": 2.8, "home_team": "Arizona State Sun Devils", "is_dome": false, "is_fbs_vs_fcs": false, "is_neutral_site": false, "projected_away_points": 21.7, "projected_home_points": 31.8, "projected_margin_home": 10.1, "projected_possessions": 12.4, "projected_total": 53.6, "stadium_elevation_ft": 1170, "travel_distance_miles": 872.0, "uncertainty": 0.18, "weather_total_adjustment": 0.0}, "historical_source_observation_times_verified": false, "inference_inputs": {"engine_source_sha256": "449ba2f0e86fa9c445730076a0e0bf100fb4914620be53c75c6f3bfe24298f3f", "mu_away": 21.7, "mu_home": 31.8,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273857634073830222312330844125852436684}, "uinteger": 0}, "spread_home_line": -3.5, "total_line": 48.5}, "market_type": "moneyline", "model_version": "college-football-v1", "observed_at_utc": "2026-10-03T22:32:35.686759+00:00", "probabilities": {"away": 0.299384, "home": 0.700616}, "replay_scope": "Full precision score means, exact engine parameters and original RNG state; upstream feature construction not certified.", "schema": "cfb-joint-replay-v1", "snapshot_hash": "b1db5ea835d385be6b8eb37acce3d9f7eb81a40f029dad04ec2faa1860ebb836", "sport": "NCAAF"}</t>
        </is>
      </c>
    </row>
    <row r="820" ht="36" customHeight="1">
      <c r="A820" s="24" t="inlineStr">
        <is>
          <t>00f7de972e534c9e</t>
        </is>
      </c>
      <c r="B820" s="24" t="inlineStr">
        <is>
          <t>2026-10-03T22:32:35.686759Z</t>
        </is>
      </c>
      <c r="C820" s="24" t="inlineStr">
        <is>
          <t>2026-10-04T02:30Z</t>
        </is>
      </c>
      <c r="D820" s="24" t="inlineStr">
        <is>
          <t>401856817</t>
        </is>
      </c>
      <c r="E820" s="24" t="inlineStr">
        <is>
          <t>NCAAF</t>
        </is>
      </c>
      <c r="F820" s="24" t="inlineStr">
        <is>
          <t>Baylor Bears</t>
        </is>
      </c>
      <c r="G820" s="24" t="inlineStr">
        <is>
          <t>Arizona State Sun Devils</t>
        </is>
      </c>
      <c r="H820" s="24" t="inlineStr">
        <is>
          <t>spread</t>
        </is>
      </c>
      <c r="I820" s="24" t="inlineStr">
        <is>
          <t>home</t>
        </is>
      </c>
      <c r="J820" s="25" t="n">
        <v>-3.5</v>
      </c>
      <c r="K820" s="24" t="inlineStr">
        <is>
          <t>espn_consensus</t>
        </is>
      </c>
      <c r="L820" s="26" t="n">
        <v>-105</v>
      </c>
      <c r="M820" s="27" t="n">
        <v>1.952381</v>
      </c>
      <c r="N820" s="28" t="n">
        <v>0.512195</v>
      </c>
      <c r="O820" s="28" t="n">
        <v>0.632733</v>
      </c>
      <c r="P820" s="28" t="n">
        <v>0.18</v>
      </c>
      <c r="Q820" s="28" t="n">
        <v>0.120538</v>
      </c>
      <c r="R820" s="26" t="n">
        <v>2</v>
      </c>
      <c r="S820" s="29" t="n">
        <v>1</v>
      </c>
      <c r="T820" s="24" t="inlineStr">
        <is>
          <t>cfb-spread-v1</t>
        </is>
      </c>
      <c r="U820" s="24" t="inlineStr">
        <is>
          <t>settled</t>
        </is>
      </c>
      <c r="V820" s="24" t="inlineStr">
        <is>
          <t>loss</t>
        </is>
      </c>
      <c r="W820" s="26" t="n">
        <v>55</v>
      </c>
      <c r="X820" s="26" t="n">
        <v>19</v>
      </c>
      <c r="Y820" s="25" t="n"/>
      <c r="Z820" s="26" t="n"/>
      <c r="AA820" s="28" t="n"/>
      <c r="AB820" s="28" t="n"/>
      <c r="AC820" s="30" t="n">
        <v>-1</v>
      </c>
      <c r="AD820" s="24" t="inlineStr">
        <is>
          <t>2026-10-04T20:47:54.270403Z</t>
        </is>
      </c>
      <c r="AE820" s="31" t="inlineStr">
        <is>
          <t>Projected home margin +10.1 pts. Spread: Home -3.5 / Away +3.5 -&gt; P(Away cover)=0.367, P(Home cover)=0.633, P(Push)=0.000.</t>
        </is>
      </c>
      <c r="AF820" s="31" t="inlineStr">
        <is>
          <t>College football model; multi-market (moneyline, spread, total).</t>
        </is>
      </c>
      <c r="AG820" s="24" t="inlineStr">
        <is>
          <t>review_required</t>
        </is>
      </c>
      <c r="AH820" s="24" t="n"/>
      <c r="AI820" s="31" t="n"/>
      <c r="AJ820" s="31" t="n"/>
      <c r="AK820" s="24" t="inlineStr">
        <is>
          <t>model_qualified</t>
        </is>
      </c>
      <c r="AL820" s="26" t="n">
        <v>4</v>
      </c>
      <c r="AM820" s="24" t="inlineStr">
        <is>
          <t>QUALIFIED_SHADOW_CALL</t>
        </is>
      </c>
      <c r="AN820" s="24" t="inlineStr">
        <is>
          <t>CALL</t>
        </is>
      </c>
      <c r="AO820" s="24" t="inlineStr">
        <is>
          <t>QUALIFIED</t>
        </is>
      </c>
      <c r="AP820" s="24" t="inlineStr">
        <is>
          <t>Baylor Bears</t>
        </is>
      </c>
      <c r="AQ820" s="24" t="inlineStr">
        <is>
          <t>Baylor Bears</t>
        </is>
      </c>
      <c r="AR820" s="24" t="inlineStr">
        <is>
          <t>Baylor Bears</t>
        </is>
      </c>
      <c r="AS820" s="24" t="inlineStr">
        <is>
          <t>Arizona State Sun Devils</t>
        </is>
      </c>
      <c r="AT820" s="24" t="inlineStr">
        <is>
          <t>Arizona State Sun Devils</t>
        </is>
      </c>
      <c r="AU820" s="24" t="inlineStr">
        <is>
          <t>Arizona State Sun Devils</t>
        </is>
      </c>
      <c r="AV820" s="24" t="n"/>
      <c r="AW820" s="24" t="n"/>
      <c r="AX820" s="24" t="inlineStr">
        <is>
          <t>statistical_model</t>
        </is>
      </c>
      <c r="AY820" s="24" t="n"/>
      <c r="AZ820" s="24" t="inlineStr">
        <is>
          <t>shadow_qualified</t>
        </is>
      </c>
      <c r="BA820" s="24" t="inlineStr">
        <is>
          <t>1d168f11d221cd3c</t>
        </is>
      </c>
      <c r="BB820" s="24" t="inlineStr">
        <is>
          <t>cfb_key_number_engine</t>
        </is>
      </c>
      <c r="BC820" s="24" t="inlineStr">
        <is>
          <t>cfb-spread-v1</t>
        </is>
      </c>
      <c r="BD820" s="24" t="inlineStr">
        <is>
          <t>1d168f11d221cd3c</t>
        </is>
      </c>
      <c r="BE820" s="24" t="inlineStr">
        <is>
          <t>cfb-v1</t>
        </is>
      </c>
      <c r="BF820" s="24" t="inlineStr">
        <is>
          <t>1</t>
        </is>
      </c>
      <c r="BG820" s="24" t="inlineStr">
        <is>
          <t>1d168f11d221cd3c</t>
        </is>
      </c>
      <c r="BH820" s="24" t="inlineStr">
        <is>
          <t>2026-10-03T22:32:35.686759+00:00</t>
        </is>
      </c>
      <c r="BI820" s="24" t="inlineStr">
        <is>
          <t>["same_event","same_team_same_day","same_league_same_day"]</t>
        </is>
      </c>
      <c r="BJ820" s="25" t="n">
        <v>-3.5</v>
      </c>
      <c r="BK820" s="26" t="n">
        <v>-105</v>
      </c>
      <c r="BL820" s="27" t="n">
        <v>1.952381</v>
      </c>
      <c r="BM820" s="28" t="n">
        <v>0.512195</v>
      </c>
      <c r="BN820" s="28" t="n"/>
      <c r="BO820" s="28" t="n"/>
      <c r="BP820" s="25" t="n"/>
      <c r="BQ820" s="27" t="n"/>
      <c r="BR820" s="28" t="n"/>
      <c r="BS820" s="28" t="n"/>
      <c r="BT820" s="28" t="n"/>
      <c r="BU820" s="25" t="n"/>
      <c r="BV820" s="29" t="n"/>
      <c r="BW820" s="24" t="n"/>
      <c r="BX820" s="30" t="n"/>
      <c r="BY820" s="27" t="n"/>
      <c r="BZ820" s="24" t="n"/>
      <c r="CA820" s="31" t="n"/>
      <c r="CB820" s="24" t="n"/>
      <c r="CC820" s="24" t="n"/>
      <c r="CD820" s="24" t="n"/>
      <c r="CE820" s="24" t="n"/>
      <c r="CF820" s="24" t="n"/>
      <c r="CG820" s="24" t="n"/>
      <c r="CH820" s="24" t="n"/>
      <c r="CI820" s="24" t="n"/>
      <c r="CJ820" s="24" t="n"/>
      <c r="CK820" s="24" t="n"/>
      <c r="CL820" s="24" t="n"/>
      <c r="CM820" s="24" t="n"/>
      <c r="CN820" s="24" t="n"/>
      <c r="CO820" s="24" t="n"/>
      <c r="CP820" s="24" t="n"/>
      <c r="CQ820" s="24" t="n"/>
      <c r="CR820" s="24" t="n"/>
      <c r="CS820" s="24" t="inlineStr">
        <is>
          <t>True</t>
        </is>
      </c>
      <c r="CT820" s="24" t="n"/>
      <c r="CU820" s="24" t="n"/>
      <c r="CV820" s="24" t="n"/>
      <c r="CW820" s="24" t="n"/>
      <c r="CX820" s="24" t="n"/>
      <c r="CY820" s="24" t="n"/>
      <c r="CZ820" s="24" t="n"/>
      <c r="DA820" s="24" t="n"/>
      <c r="DB820" s="24" t="n"/>
      <c r="DC820" s="24" t="n"/>
      <c r="DD820" s="24" t="n"/>
      <c r="DE820" s="24" t="n"/>
      <c r="DF820" s="24" t="n"/>
      <c r="DG820" s="24" t="n"/>
      <c r="DH820" s="24" t="n"/>
      <c r="DI820" s="24" t="n"/>
      <c r="DJ820" s="24" t="inlineStr">
        <is>
          <t>0.512195</t>
        </is>
      </c>
      <c r="DK820" s="24" t="n"/>
      <c r="DL820" s="24" t="n"/>
      <c r="DM820" s="24" t="n"/>
      <c r="DN820" s="24" t="n"/>
      <c r="DO820" s="24" t="n"/>
      <c r="DP820" s="24" t="n"/>
      <c r="DQ820" s="24" t="inlineStr">
        <is>
          <t>{"artifact_hash": "1d168f11d221cd3c", "event_id": "401856817", "event_start_utc": "2026-10-04T02:30Z", "features": {"altitude_fatigue_penalty": 0.0, "away_team": "Baylor Bears", "efficiency_gap": 0.218, "elo_away": 1341.9, "elo_home": 1525.0, "elo_home_win_prob": 0.8065, "event_id": "401856817", "game_start_utc": "2026-10-04T02:30Z", "home_field_advantage_points": 2.8, "home_team": "Arizona State Sun Devils", "is_dome": false, "is_fbs_vs_fcs": false, "is_neutral_site": false, "projected_away_points": 21.7, "projected_home_points": 31.8, "projected_margin_home": 10.1, "projected_possessions": 12.4, "projected_total": 53.6, "stadium_elevation_ft": 1170, "travel_distance_miles": 872.0, "uncertainty": 0.18, "weather_total_adjustment": 0.0}, "historical_source_observation_times_verified": false, "inference_inputs": {"engine_source_sha256": "449ba2f0e86fa9c445730076a0e0bf100fb4914620be53c75c6f3bfe24298f3f", "mu_away": 21.7, "mu_home": 31.8,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273857634073830222312330844125852436684}, "uinteger": 0}, "spread_home_line": -3.5, "total_line": 48.5}, "market_type": "spread", "model_version": "cfb-spread-v1", "observed_at_utc": "2026-10-03T22:32:35.686759+00:00", "probabilities": {"away": 0.367267, "home": 0.632733, "push": 0.0}, "replay_scope": "Full precision score means, exact engine parameters and original RNG state; upstream feature construction not certified.", "schema": "cfb-joint-replay-v1", "snapshot_hash": "ddf98fa9717d709d8153fe93a2ec491a1a522620c6085dddf69385248c8b2bfc", "sport": "NCAAF"}</t>
        </is>
      </c>
    </row>
    <row r="821" ht="36" customHeight="1">
      <c r="A821" s="24" t="inlineStr">
        <is>
          <t>1700aad02d39459f</t>
        </is>
      </c>
      <c r="B821" s="24" t="inlineStr">
        <is>
          <t>2026-10-03T22:32:35.686759Z</t>
        </is>
      </c>
      <c r="C821" s="24" t="inlineStr">
        <is>
          <t>2026-10-04T02:30Z</t>
        </is>
      </c>
      <c r="D821" s="24" t="inlineStr">
        <is>
          <t>401856817</t>
        </is>
      </c>
      <c r="E821" s="24" t="inlineStr">
        <is>
          <t>NCAAF</t>
        </is>
      </c>
      <c r="F821" s="24" t="inlineStr">
        <is>
          <t>Baylor Bears</t>
        </is>
      </c>
      <c r="G821" s="24" t="inlineStr">
        <is>
          <t>Arizona State Sun Devils</t>
        </is>
      </c>
      <c r="H821" s="24" t="inlineStr">
        <is>
          <t>total</t>
        </is>
      </c>
      <c r="I821" s="24" t="inlineStr">
        <is>
          <t>over</t>
        </is>
      </c>
      <c r="J821" s="25" t="n">
        <v>48.5</v>
      </c>
      <c r="K821" s="24" t="inlineStr">
        <is>
          <t>espn_consensus</t>
        </is>
      </c>
      <c r="L821" s="26" t="n">
        <v>-110</v>
      </c>
      <c r="M821" s="27" t="n">
        <v>1.909091</v>
      </c>
      <c r="N821" s="28" t="n">
        <v>0.52381</v>
      </c>
      <c r="O821" s="28" t="n">
        <v>0.546067</v>
      </c>
      <c r="P821" s="28" t="n">
        <v>0.18</v>
      </c>
      <c r="Q821" s="28" t="n">
        <v>0.022257</v>
      </c>
      <c r="R821" s="26" t="n">
        <v>0</v>
      </c>
      <c r="S821" s="29" t="n">
        <v>1</v>
      </c>
      <c r="T821" s="24" t="inlineStr">
        <is>
          <t>cfb-total-v1</t>
        </is>
      </c>
      <c r="U821" s="24" t="inlineStr">
        <is>
          <t>settled</t>
        </is>
      </c>
      <c r="V821" s="24" t="inlineStr">
        <is>
          <t>win</t>
        </is>
      </c>
      <c r="W821" s="26" t="n">
        <v>55</v>
      </c>
      <c r="X821" s="26" t="n">
        <v>19</v>
      </c>
      <c r="Y821" s="25" t="n"/>
      <c r="Z821" s="26" t="n"/>
      <c r="AA821" s="28" t="n"/>
      <c r="AB821" s="28" t="n"/>
      <c r="AC821" s="30" t="n">
        <v>0.9091</v>
      </c>
      <c r="AD821" s="24" t="inlineStr">
        <is>
          <t>2026-10-04T20:48:00.380753Z</t>
        </is>
      </c>
      <c r="AE821" s="31" t="inlineStr">
        <is>
          <t>Projected total 53.6 pts (Weather adj: +0.0 pts). Total line 48.5 -&gt; P(Over)=0.546, P(Under)=0.454, P(Push)=0.000.</t>
        </is>
      </c>
      <c r="AF821" s="31" t="inlineStr">
        <is>
          <t>College football model; multi-market (moneyline, spread, total).</t>
        </is>
      </c>
      <c r="AG821" s="24" t="inlineStr">
        <is>
          <t>not_applicable</t>
        </is>
      </c>
      <c r="AH821" s="24" t="n"/>
      <c r="AI821" s="31" t="n"/>
      <c r="AJ821" s="31" t="n"/>
      <c r="AK821" s="24" t="inlineStr">
        <is>
          <t>paper_call</t>
        </is>
      </c>
      <c r="AL821" s="26" t="n">
        <v>4</v>
      </c>
      <c r="AM821" s="24" t="inlineStr">
        <is>
          <t>RESEARCH_OBSERVATION</t>
        </is>
      </c>
      <c r="AN821" s="24" t="inlineStr">
        <is>
          <t>CALL</t>
        </is>
      </c>
      <c r="AO821" s="24" t="inlineStr">
        <is>
          <t>PAPER_CALL_LOW_EDGE</t>
        </is>
      </c>
      <c r="AP821" s="24" t="inlineStr">
        <is>
          <t>Baylor Bears</t>
        </is>
      </c>
      <c r="AQ821" s="24" t="inlineStr">
        <is>
          <t>Baylor Bears</t>
        </is>
      </c>
      <c r="AR821" s="24" t="inlineStr">
        <is>
          <t>Baylor Bears</t>
        </is>
      </c>
      <c r="AS821" s="24" t="inlineStr">
        <is>
          <t>Arizona State Sun Devils</t>
        </is>
      </c>
      <c r="AT821" s="24" t="inlineStr">
        <is>
          <t>Arizona State Sun Devils</t>
        </is>
      </c>
      <c r="AU821" s="24" t="inlineStr">
        <is>
          <t>Arizona State Sun Devils</t>
        </is>
      </c>
      <c r="AV821" s="24" t="n"/>
      <c r="AW821" s="24" t="n"/>
      <c r="AX821" s="24" t="inlineStr">
        <is>
          <t>statistical_model</t>
        </is>
      </c>
      <c r="AY821" s="24" t="n"/>
      <c r="AZ821" s="24" t="inlineStr">
        <is>
          <t>shadow_qualified</t>
        </is>
      </c>
      <c r="BA821" s="24" t="inlineStr">
        <is>
          <t>1d168f11d221cd3c</t>
        </is>
      </c>
      <c r="BB821" s="24" t="inlineStr">
        <is>
          <t>cfb_key_number_engine</t>
        </is>
      </c>
      <c r="BC821" s="24" t="inlineStr">
        <is>
          <t>cfb-total-v1</t>
        </is>
      </c>
      <c r="BD821" s="24" t="inlineStr">
        <is>
          <t>1d168f11d221cd3c</t>
        </is>
      </c>
      <c r="BE821" s="24" t="inlineStr">
        <is>
          <t>cfb-v1</t>
        </is>
      </c>
      <c r="BF821" s="24" t="inlineStr">
        <is>
          <t>1</t>
        </is>
      </c>
      <c r="BG821" s="24" t="inlineStr">
        <is>
          <t>1d168f11d221cd3c</t>
        </is>
      </c>
      <c r="BH821" s="24" t="inlineStr">
        <is>
          <t>2026-10-03T22:32:35.686759+00:00</t>
        </is>
      </c>
      <c r="BI821" s="24" t="inlineStr">
        <is>
          <t>["same_event","same_team_same_day","same_league_same_day"]</t>
        </is>
      </c>
      <c r="BJ821" s="25" t="n">
        <v>48.5</v>
      </c>
      <c r="BK821" s="26" t="n">
        <v>-110</v>
      </c>
      <c r="BL821" s="27" t="n">
        <v>1.909091</v>
      </c>
      <c r="BM821" s="28" t="n">
        <v>0.52381</v>
      </c>
      <c r="BN821" s="28" t="n"/>
      <c r="BO821" s="28" t="n"/>
      <c r="BP821" s="25" t="n"/>
      <c r="BQ821" s="27" t="n"/>
      <c r="BR821" s="28" t="n"/>
      <c r="BS821" s="28" t="n"/>
      <c r="BT821" s="28" t="n"/>
      <c r="BU821" s="25" t="n"/>
      <c r="BV821" s="29" t="n"/>
      <c r="BW821" s="24" t="n"/>
      <c r="BX821" s="30" t="n">
        <v>1</v>
      </c>
      <c r="BY821" s="27" t="n">
        <v>0.909091</v>
      </c>
      <c r="BZ821" s="24" t="inlineStr">
        <is>
          <t>2026-10-04T20:48:00.380753Z</t>
        </is>
      </c>
      <c r="CA821" s="31" t="inlineStr">
        <is>
          <t>fixed one-unit hypothetical scoring; no real exposure or execution</t>
        </is>
      </c>
      <c r="CB821" s="24" t="n"/>
      <c r="CC821" s="24" t="n"/>
      <c r="CD821" s="24" t="n"/>
      <c r="CE821" s="24" t="n"/>
      <c r="CF821" s="24" t="n"/>
      <c r="CG821" s="24" t="n"/>
      <c r="CH821" s="24" t="n"/>
      <c r="CI821" s="24" t="n"/>
      <c r="CJ821" s="24" t="n"/>
      <c r="CK821" s="24" t="n"/>
      <c r="CL821" s="24" t="n"/>
      <c r="CM821" s="24" t="n"/>
      <c r="CN821" s="24" t="n"/>
      <c r="CO821" s="24" t="n"/>
      <c r="CP821" s="24" t="n"/>
      <c r="CQ821" s="24" t="n"/>
      <c r="CR821" s="24" t="n"/>
      <c r="CS821" s="24" t="inlineStr">
        <is>
          <t>True</t>
        </is>
      </c>
      <c r="CT821" s="24" t="n"/>
      <c r="CU821" s="24" t="n"/>
      <c r="CV821" s="24" t="n"/>
      <c r="CW821" s="24" t="n"/>
      <c r="CX821" s="24" t="n"/>
      <c r="CY821" s="24" t="n"/>
      <c r="CZ821" s="24" t="n"/>
      <c r="DA821" s="24" t="n"/>
      <c r="DB821" s="24" t="n"/>
      <c r="DC821" s="24" t="n"/>
      <c r="DD821" s="24" t="n"/>
      <c r="DE821" s="24" t="n"/>
      <c r="DF821" s="24" t="n"/>
      <c r="DG821" s="24" t="n"/>
      <c r="DH821" s="24" t="n"/>
      <c r="DI821" s="24" t="n"/>
      <c r="DJ821" s="24" t="inlineStr">
        <is>
          <t>0.52381</t>
        </is>
      </c>
      <c r="DK821" s="24" t="n"/>
      <c r="DL821" s="24" t="n"/>
      <c r="DM821" s="24" t="n"/>
      <c r="DN821" s="24" t="n"/>
      <c r="DO821" s="24" t="n"/>
      <c r="DP821" s="24" t="n"/>
      <c r="DQ821" s="24" t="inlineStr">
        <is>
          <t>{"artifact_hash": "1d168f11d221cd3c", "event_id": "401856817", "event_start_utc": "2026-10-04T02:30Z", "features": {"altitude_fatigue_penalty": 0.0, "away_team": "Baylor Bears", "efficiency_gap": 0.218, "elo_away": 1341.9, "elo_home": 1525.0, "elo_home_win_prob": 0.8065, "event_id": "401856817", "game_start_utc": "2026-10-04T02:30Z", "home_field_advantage_points": 2.8, "home_team": "Arizona State Sun Devils", "is_dome": false, "is_fbs_vs_fcs": false, "is_neutral_site": false, "projected_away_points": 21.7, "projected_home_points": 31.8, "projected_margin_home": 10.1, "projected_possessions": 12.4, "projected_total": 53.6, "stadium_elevation_ft": 1170, "travel_distance_miles": 872.0, "uncertainty": 0.18, "weather_total_adjustment": 0.0}, "historical_source_observation_times_verified": false, "inference_inputs": {"engine_source_sha256": "449ba2f0e86fa9c445730076a0e0bf100fb4914620be53c75c6f3bfe24298f3f", "mu_away": 21.7, "mu_home": 31.8,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273857634073830222312330844125852436684}, "uinteger": 0}, "spread_home_line": -3.5, "total_line": 48.5}, "market_type": "total", "model_version": "cfb-total-v1", "observed_at_utc": "2026-10-03T22:32:35.686759+00:00", "probabilities": {"over": 0.546067, "push": 0.0, "under": 0.453933}, "replay_scope": "Full precision score means, exact engine parameters and original RNG state; upstream feature construction not certified.", "schema": "cfb-joint-replay-v1", "snapshot_hash": "34976656323feec201d14d1c422208111bedaeaffdeba10ec6c09ea62f8a1f00", "sport": "NCAAF"}</t>
        </is>
      </c>
    </row>
    <row r="822" ht="36" customHeight="1">
      <c r="A822" s="24" t="inlineStr">
        <is>
          <t>d03ee52b3000463e</t>
        </is>
      </c>
      <c r="B822" s="24" t="inlineStr">
        <is>
          <t>2026-10-03T22:32:35.686759Z</t>
        </is>
      </c>
      <c r="C822" s="24" t="inlineStr">
        <is>
          <t>2026-10-04T02:30Z</t>
        </is>
      </c>
      <c r="D822" s="24" t="inlineStr">
        <is>
          <t>401860900</t>
        </is>
      </c>
      <c r="E822" s="24" t="inlineStr">
        <is>
          <t>NCAAF</t>
        </is>
      </c>
      <c r="F822" s="24" t="inlineStr">
        <is>
          <t>Texas State Bobcats</t>
        </is>
      </c>
      <c r="G822" s="24" t="inlineStr">
        <is>
          <t>San Diego State Aztecs</t>
        </is>
      </c>
      <c r="H822" s="24" t="inlineStr">
        <is>
          <t>moneyline</t>
        </is>
      </c>
      <c r="I822" s="24" t="inlineStr">
        <is>
          <t>home</t>
        </is>
      </c>
      <c r="J822" s="25" t="n"/>
      <c r="K822" s="24" t="inlineStr">
        <is>
          <t>espn_consensus</t>
        </is>
      </c>
      <c r="L822" s="26" t="n">
        <v>295</v>
      </c>
      <c r="M822" s="27" t="n">
        <v>3.95</v>
      </c>
      <c r="N822" s="28" t="n">
        <v>0.253165</v>
      </c>
      <c r="O822" s="28" t="n">
        <v>0.582237</v>
      </c>
      <c r="P822" s="28" t="n">
        <v>0.18</v>
      </c>
      <c r="Q822" s="28" t="n">
        <v>0.329072</v>
      </c>
      <c r="R822" s="26" t="n">
        <v>100</v>
      </c>
      <c r="S822" s="29" t="n">
        <v>2</v>
      </c>
      <c r="T822" s="24" t="inlineStr">
        <is>
          <t>college-football-v1</t>
        </is>
      </c>
      <c r="U822" s="24" t="inlineStr">
        <is>
          <t>settled</t>
        </is>
      </c>
      <c r="V822" s="24" t="inlineStr">
        <is>
          <t>win</t>
        </is>
      </c>
      <c r="W822" s="26" t="n">
        <v>29</v>
      </c>
      <c r="X822" s="26" t="n">
        <v>31</v>
      </c>
      <c r="Y822" s="25" t="n"/>
      <c r="Z822" s="26" t="n"/>
      <c r="AA822" s="28" t="n"/>
      <c r="AB822" s="28" t="n"/>
      <c r="AC822" s="30" t="n">
        <v>5.9</v>
      </c>
      <c r="AD822" s="24" t="inlineStr">
        <is>
          <t>2026-10-04T20:48:06.196386Z</t>
        </is>
      </c>
      <c r="AE822" s="31" t="inlineStr">
        <is>
          <t>CFB Joint Model (negative_binomial): proj score Texas State Bobcats 24.1 @ San Diego State Aztecs 28.0 (Margin +3.9). Possessions: 12.4, HFA: +2.8 pts.</t>
        </is>
      </c>
      <c r="AF822" s="31" t="inlineStr">
        <is>
          <t>College football model; multi-market (moneyline, spread, total).</t>
        </is>
      </c>
      <c r="AG822" s="24" t="inlineStr">
        <is>
          <t>not_applicable</t>
        </is>
      </c>
      <c r="AH822" s="24" t="n"/>
      <c r="AI822" s="31" t="n"/>
      <c r="AJ822" s="31" t="n"/>
      <c r="AK822" s="24" t="inlineStr">
        <is>
          <t>model_qualified</t>
        </is>
      </c>
      <c r="AL822" s="26" t="n">
        <v>4</v>
      </c>
      <c r="AM822" s="24" t="inlineStr">
        <is>
          <t>QUALIFIED_SHADOW_CALL</t>
        </is>
      </c>
      <c r="AN822" s="24" t="inlineStr">
        <is>
          <t>CALL</t>
        </is>
      </c>
      <c r="AO822" s="24" t="inlineStr">
        <is>
          <t>QUALIFIED</t>
        </is>
      </c>
      <c r="AP822" s="24" t="inlineStr">
        <is>
          <t>Texas State Bobcats</t>
        </is>
      </c>
      <c r="AQ822" s="24" t="inlineStr">
        <is>
          <t>Texas State Bobcats</t>
        </is>
      </c>
      <c r="AR822" s="24" t="inlineStr">
        <is>
          <t>Texas State Bobcats</t>
        </is>
      </c>
      <c r="AS822" s="24" t="inlineStr">
        <is>
          <t>San Diego State Aztecs</t>
        </is>
      </c>
      <c r="AT822" s="24" t="inlineStr">
        <is>
          <t>San Diego State Aztecs</t>
        </is>
      </c>
      <c r="AU822" s="24" t="inlineStr">
        <is>
          <t>San Diego State Aztecs</t>
        </is>
      </c>
      <c r="AV822" s="24" t="n"/>
      <c r="AW822" s="24" t="n"/>
      <c r="AX822" s="24" t="inlineStr">
        <is>
          <t>statistical_model</t>
        </is>
      </c>
      <c r="AY822" s="24" t="n"/>
      <c r="AZ822" s="24" t="inlineStr">
        <is>
          <t>shadow_qualified</t>
        </is>
      </c>
      <c r="BA822" s="24" t="inlineStr">
        <is>
          <t>1d168f11d221cd3c</t>
        </is>
      </c>
      <c r="BB822" s="24" t="inlineStr">
        <is>
          <t>cfb_key_number_engine</t>
        </is>
      </c>
      <c r="BC822" s="24" t="inlineStr">
        <is>
          <t>college-football-v1</t>
        </is>
      </c>
      <c r="BD822" s="24" t="inlineStr">
        <is>
          <t>1d168f11d221cd3c</t>
        </is>
      </c>
      <c r="BE822" s="24" t="inlineStr">
        <is>
          <t>cfb-v1</t>
        </is>
      </c>
      <c r="BF822" s="24" t="inlineStr">
        <is>
          <t>1</t>
        </is>
      </c>
      <c r="BG822" s="24" t="inlineStr">
        <is>
          <t>1d168f11d221cd3c</t>
        </is>
      </c>
      <c r="BH822" s="24" t="inlineStr">
        <is>
          <t>2026-10-03T22:32:35.686759+00:00</t>
        </is>
      </c>
      <c r="BI822" s="24" t="inlineStr">
        <is>
          <t>["same_event","same_team_same_day","same_league_same_day"]</t>
        </is>
      </c>
      <c r="BJ822" s="25" t="n"/>
      <c r="BK822" s="26" t="n">
        <v>295</v>
      </c>
      <c r="BL822" s="27" t="n">
        <v>3.95</v>
      </c>
      <c r="BM822" s="28" t="n">
        <v>0.253165</v>
      </c>
      <c r="BN822" s="28" t="n"/>
      <c r="BO822" s="28" t="n"/>
      <c r="BP822" s="25" t="n"/>
      <c r="BQ822" s="27" t="n"/>
      <c r="BR822" s="28" t="n"/>
      <c r="BS822" s="28" t="n"/>
      <c r="BT822" s="28" t="n"/>
      <c r="BU822" s="25" t="n"/>
      <c r="BV822" s="29" t="n"/>
      <c r="BW822" s="24" t="n"/>
      <c r="BX822" s="30" t="n"/>
      <c r="BY822" s="27" t="n"/>
      <c r="BZ822" s="24" t="n"/>
      <c r="CA822" s="31" t="n"/>
      <c r="CB822" s="24" t="n"/>
      <c r="CC822" s="24" t="n"/>
      <c r="CD822" s="24" t="n"/>
      <c r="CE822" s="24" t="n"/>
      <c r="CF822" s="24" t="n"/>
      <c r="CG822" s="24" t="n"/>
      <c r="CH822" s="24" t="n"/>
      <c r="CI822" s="24" t="n"/>
      <c r="CJ822" s="24" t="n"/>
      <c r="CK822" s="24" t="n"/>
      <c r="CL822" s="24" t="n"/>
      <c r="CM822" s="24" t="n"/>
      <c r="CN822" s="24" t="n"/>
      <c r="CO822" s="24" t="n"/>
      <c r="CP822" s="24" t="n"/>
      <c r="CQ822" s="24" t="n"/>
      <c r="CR822" s="24" t="n"/>
      <c r="CS822" s="24" t="inlineStr">
        <is>
          <t>True</t>
        </is>
      </c>
      <c r="CT822" s="24" t="n"/>
      <c r="CU822" s="24" t="n"/>
      <c r="CV822" s="24" t="n"/>
      <c r="CW822" s="24" t="n"/>
      <c r="CX822" s="24" t="n"/>
      <c r="CY822" s="24" t="n"/>
      <c r="CZ822" s="24" t="n"/>
      <c r="DA822" s="24" t="n"/>
      <c r="DB822" s="24" t="n"/>
      <c r="DC822" s="24" t="n"/>
      <c r="DD822" s="24" t="n"/>
      <c r="DE822" s="24" t="n"/>
      <c r="DF822" s="24" t="n"/>
      <c r="DG822" s="24" t="n"/>
      <c r="DH822" s="24" t="n"/>
      <c r="DI822" s="24" t="n"/>
      <c r="DJ822" s="24" t="inlineStr">
        <is>
          <t>0.253165</t>
        </is>
      </c>
      <c r="DK822" s="24" t="n"/>
      <c r="DL822" s="24" t="n"/>
      <c r="DM822" s="24" t="n"/>
      <c r="DN822" s="24" t="n"/>
      <c r="DO822" s="24" t="n"/>
      <c r="DP822" s="24" t="n"/>
      <c r="DQ822" s="24" t="inlineStr">
        <is>
          <t>{"artifact_hash": "1d168f11d221cd3c", "event_id": "401860900", "event_start_utc": "2026-10-04T02:30Z", "features": {"altitude_fatigue_penalty": 0.0, "away_team": "Texas State Bobcats", "efficiency_gap": 2.427, "elo_away": 1540.5, "elo_home": 1570.9, "elo_home_win_prob": 0.6339, "event_id": "401860900", "game_start_utc": "2026-10-04T02:30Z", "home_field_advantage_points": 2.8, "home_team": "San Diego State Aztecs", "is_dome": false, "is_fbs_vs_fcs": false, "is_neutral_site": false, "projected_away_points": 24.1, "projected_home_points": 28.0, "projected_margin_home": 3.9, "projected_possessions": 12.4, "projected_total": 52.1, "stadium_elevation_ft": 50, "travel_distance_miles": 1149.0, "uncertainty": 0.18, "weather_total_adjustment": 0.0}, "historical_source_observation_times_verified": false, "inference_inputs": {"engine_source_sha256": "449ba2f0e86fa9c445730076a0e0bf100fb4914620be53c75c6f3bfe24298f3f", "mu_away": 24.1, "mu_home": 28.0,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12649902560969321859634002135114290267}, "uinteger": 0}, "spread_home_line": 9.5, "total_line": 57.5}, "market_type": "moneyline", "model_version": "college-football-v1", "observed_at_utc": "2026-10-03T22:32:35.686759+00:00", "probabilities": {"away": 0.417763, "home": 0.582237}, "replay_scope": "Full precision score means, exact engine parameters and original RNG state; upstream feature construction not certified.", "schema": "cfb-joint-replay-v1", "snapshot_hash": "e1d43a1420989ff08871e392b8687d2a9451922c45210c0ca7b9abe20204c49e", "sport": "NCAAF"}</t>
        </is>
      </c>
    </row>
    <row r="823" ht="36" customHeight="1">
      <c r="A823" s="24" t="inlineStr">
        <is>
          <t>8f473d3d3bec451c</t>
        </is>
      </c>
      <c r="B823" s="24" t="inlineStr">
        <is>
          <t>2026-10-03T22:32:35.686759Z</t>
        </is>
      </c>
      <c r="C823" s="24" t="inlineStr">
        <is>
          <t>2026-10-04T02:30Z</t>
        </is>
      </c>
      <c r="D823" s="24" t="inlineStr">
        <is>
          <t>401860900</t>
        </is>
      </c>
      <c r="E823" s="24" t="inlineStr">
        <is>
          <t>NCAAF</t>
        </is>
      </c>
      <c r="F823" s="24" t="inlineStr">
        <is>
          <t>Texas State Bobcats</t>
        </is>
      </c>
      <c r="G823" s="24" t="inlineStr">
        <is>
          <t>San Diego State Aztecs</t>
        </is>
      </c>
      <c r="H823" s="24" t="inlineStr">
        <is>
          <t>spread</t>
        </is>
      </c>
      <c r="I823" s="24" t="inlineStr">
        <is>
          <t>home</t>
        </is>
      </c>
      <c r="J823" s="25" t="n">
        <v>9.5</v>
      </c>
      <c r="K823" s="24" t="inlineStr">
        <is>
          <t>espn_consensus</t>
        </is>
      </c>
      <c r="L823" s="26" t="n">
        <v>-108</v>
      </c>
      <c r="M823" s="27" t="n">
        <v>1.925926</v>
      </c>
      <c r="N823" s="28" t="n">
        <v>0.519231</v>
      </c>
      <c r="O823" s="28" t="n">
        <v>0.754533</v>
      </c>
      <c r="P823" s="28" t="n">
        <v>0.18</v>
      </c>
      <c r="Q823" s="28" t="n">
        <v>0.235302</v>
      </c>
      <c r="R823" s="26" t="n">
        <v>60</v>
      </c>
      <c r="S823" s="29" t="n">
        <v>1.25</v>
      </c>
      <c r="T823" s="24" t="inlineStr">
        <is>
          <t>cfb-spread-v1</t>
        </is>
      </c>
      <c r="U823" s="24" t="inlineStr">
        <is>
          <t>settled</t>
        </is>
      </c>
      <c r="V823" s="24" t="inlineStr">
        <is>
          <t>win</t>
        </is>
      </c>
      <c r="W823" s="26" t="n">
        <v>29</v>
      </c>
      <c r="X823" s="26" t="n">
        <v>31</v>
      </c>
      <c r="Y823" s="25" t="n"/>
      <c r="Z823" s="26" t="n"/>
      <c r="AA823" s="28" t="n"/>
      <c r="AB823" s="28" t="n"/>
      <c r="AC823" s="30" t="n">
        <v>1.1574</v>
      </c>
      <c r="AD823" s="24" t="inlineStr">
        <is>
          <t>2026-10-04T20:48:11.846345Z</t>
        </is>
      </c>
      <c r="AE823" s="31" t="inlineStr">
        <is>
          <t>Projected home margin +3.9 pts. Spread: Home +9.5 / Away -9.5 -&gt; P(Away cover)=0.245, P(Home cover)=0.755, P(Push)=0.000.</t>
        </is>
      </c>
      <c r="AF823" s="31" t="inlineStr">
        <is>
          <t>College football model; multi-market (moneyline, spread, total).</t>
        </is>
      </c>
      <c r="AG823" s="24" t="inlineStr">
        <is>
          <t>not_applicable</t>
        </is>
      </c>
      <c r="AH823" s="24" t="n"/>
      <c r="AI823" s="31" t="n"/>
      <c r="AJ823" s="31" t="n"/>
      <c r="AK823" s="24" t="inlineStr">
        <is>
          <t>model_qualified</t>
        </is>
      </c>
      <c r="AL823" s="26" t="n">
        <v>4</v>
      </c>
      <c r="AM823" s="24" t="inlineStr">
        <is>
          <t>QUALIFIED_SHADOW_CALL</t>
        </is>
      </c>
      <c r="AN823" s="24" t="inlineStr">
        <is>
          <t>CALL</t>
        </is>
      </c>
      <c r="AO823" s="24" t="inlineStr">
        <is>
          <t>QUALIFIED</t>
        </is>
      </c>
      <c r="AP823" s="24" t="inlineStr">
        <is>
          <t>Texas State Bobcats</t>
        </is>
      </c>
      <c r="AQ823" s="24" t="inlineStr">
        <is>
          <t>Texas State Bobcats</t>
        </is>
      </c>
      <c r="AR823" s="24" t="inlineStr">
        <is>
          <t>Texas State Bobcats</t>
        </is>
      </c>
      <c r="AS823" s="24" t="inlineStr">
        <is>
          <t>San Diego State Aztecs</t>
        </is>
      </c>
      <c r="AT823" s="24" t="inlineStr">
        <is>
          <t>San Diego State Aztecs</t>
        </is>
      </c>
      <c r="AU823" s="24" t="inlineStr">
        <is>
          <t>San Diego State Aztecs</t>
        </is>
      </c>
      <c r="AV823" s="24" t="n"/>
      <c r="AW823" s="24" t="n"/>
      <c r="AX823" s="24" t="inlineStr">
        <is>
          <t>statistical_model</t>
        </is>
      </c>
      <c r="AY823" s="24" t="n"/>
      <c r="AZ823" s="24" t="inlineStr">
        <is>
          <t>shadow_qualified</t>
        </is>
      </c>
      <c r="BA823" s="24" t="inlineStr">
        <is>
          <t>1d168f11d221cd3c</t>
        </is>
      </c>
      <c r="BB823" s="24" t="inlineStr">
        <is>
          <t>cfb_key_number_engine</t>
        </is>
      </c>
      <c r="BC823" s="24" t="inlineStr">
        <is>
          <t>cfb-spread-v1</t>
        </is>
      </c>
      <c r="BD823" s="24" t="inlineStr">
        <is>
          <t>1d168f11d221cd3c</t>
        </is>
      </c>
      <c r="BE823" s="24" t="inlineStr">
        <is>
          <t>cfb-v1</t>
        </is>
      </c>
      <c r="BF823" s="24" t="inlineStr">
        <is>
          <t>1</t>
        </is>
      </c>
      <c r="BG823" s="24" t="inlineStr">
        <is>
          <t>1d168f11d221cd3c</t>
        </is>
      </c>
      <c r="BH823" s="24" t="inlineStr">
        <is>
          <t>2026-10-03T22:32:35.686759+00:00</t>
        </is>
      </c>
      <c r="BI823" s="24" t="inlineStr">
        <is>
          <t>["same_event","same_team_same_day","same_league_same_day"]</t>
        </is>
      </c>
      <c r="BJ823" s="25" t="n">
        <v>9.5</v>
      </c>
      <c r="BK823" s="26" t="n">
        <v>-108</v>
      </c>
      <c r="BL823" s="27" t="n">
        <v>1.925926</v>
      </c>
      <c r="BM823" s="28" t="n">
        <v>0.519231</v>
      </c>
      <c r="BN823" s="28" t="n"/>
      <c r="BO823" s="28" t="n"/>
      <c r="BP823" s="25" t="n"/>
      <c r="BQ823" s="27" t="n"/>
      <c r="BR823" s="28" t="n"/>
      <c r="BS823" s="28" t="n"/>
      <c r="BT823" s="28" t="n"/>
      <c r="BU823" s="25" t="n"/>
      <c r="BV823" s="29" t="n"/>
      <c r="BW823" s="24" t="n"/>
      <c r="BX823" s="30" t="n"/>
      <c r="BY823" s="27" t="n"/>
      <c r="BZ823" s="24" t="n"/>
      <c r="CA823" s="31" t="n"/>
      <c r="CB823" s="24" t="n"/>
      <c r="CC823" s="24" t="n"/>
      <c r="CD823" s="24" t="n"/>
      <c r="CE823" s="24" t="n"/>
      <c r="CF823" s="24" t="n"/>
      <c r="CG823" s="24" t="n"/>
      <c r="CH823" s="24" t="n"/>
      <c r="CI823" s="24" t="n"/>
      <c r="CJ823" s="24" t="n"/>
      <c r="CK823" s="24" t="n"/>
      <c r="CL823" s="24" t="n"/>
      <c r="CM823" s="24" t="n"/>
      <c r="CN823" s="24" t="n"/>
      <c r="CO823" s="24" t="n"/>
      <c r="CP823" s="24" t="n"/>
      <c r="CQ823" s="24" t="n"/>
      <c r="CR823" s="24" t="n"/>
      <c r="CS823" s="24" t="inlineStr">
        <is>
          <t>True</t>
        </is>
      </c>
      <c r="CT823" s="24" t="n"/>
      <c r="CU823" s="24" t="n"/>
      <c r="CV823" s="24" t="n"/>
      <c r="CW823" s="24" t="n"/>
      <c r="CX823" s="24" t="n"/>
      <c r="CY823" s="24" t="n"/>
      <c r="CZ823" s="24" t="n"/>
      <c r="DA823" s="24" t="n"/>
      <c r="DB823" s="24" t="n"/>
      <c r="DC823" s="24" t="n"/>
      <c r="DD823" s="24" t="n"/>
      <c r="DE823" s="24" t="n"/>
      <c r="DF823" s="24" t="n"/>
      <c r="DG823" s="24" t="n"/>
      <c r="DH823" s="24" t="n"/>
      <c r="DI823" s="24" t="n"/>
      <c r="DJ823" s="24" t="inlineStr">
        <is>
          <t>0.519231</t>
        </is>
      </c>
      <c r="DK823" s="24" t="n"/>
      <c r="DL823" s="24" t="n"/>
      <c r="DM823" s="24" t="n"/>
      <c r="DN823" s="24" t="n"/>
      <c r="DO823" s="24" t="n"/>
      <c r="DP823" s="24" t="n"/>
      <c r="DQ823" s="24" t="inlineStr">
        <is>
          <t>{"artifact_hash": "1d168f11d221cd3c", "event_id": "401860900", "event_start_utc": "2026-10-04T02:30Z", "features": {"altitude_fatigue_penalty": 0.0, "away_team": "Texas State Bobcats", "efficiency_gap": 2.427, "elo_away": 1540.5, "elo_home": 1570.9, "elo_home_win_prob": 0.6339, "event_id": "401860900", "game_start_utc": "2026-10-04T02:30Z", "home_field_advantage_points": 2.8, "home_team": "San Diego State Aztecs", "is_dome": false, "is_fbs_vs_fcs": false, "is_neutral_site": false, "projected_away_points": 24.1, "projected_home_points": 28.0, "projected_margin_home": 3.9, "projected_possessions": 12.4, "projected_total": 52.1, "stadium_elevation_ft": 50, "travel_distance_miles": 1149.0, "uncertainty": 0.18, "weather_total_adjustment": 0.0}, "historical_source_observation_times_verified": false, "inference_inputs": {"engine_source_sha256": "449ba2f0e86fa9c445730076a0e0bf100fb4914620be53c75c6f3bfe24298f3f", "mu_away": 24.1, "mu_home": 28.0,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12649902560969321859634002135114290267}, "uinteger": 0}, "spread_home_line": 9.5, "total_line": 57.5}, "market_type": "spread", "model_version": "cfb-spread-v1", "observed_at_utc": "2026-10-03T22:32:35.686759+00:00", "probabilities": {"away": 0.245467, "home": 0.754533, "push": 0.0}, "replay_scope": "Full precision score means, exact engine parameters and original RNG state; upstream feature construction not certified.", "schema": "cfb-joint-replay-v1", "snapshot_hash": "28f7dbdea38cb7ef5958548e1b9be87f42483db66943a5ba24d8f7b83be55e5b", "sport": "NCAAF"}</t>
        </is>
      </c>
    </row>
    <row r="824" ht="36" customHeight="1">
      <c r="A824" s="24" t="inlineStr">
        <is>
          <t>ac761e7077b040de</t>
        </is>
      </c>
      <c r="B824" s="24" t="inlineStr">
        <is>
          <t>2026-10-03T22:32:35.686759Z</t>
        </is>
      </c>
      <c r="C824" s="24" t="inlineStr">
        <is>
          <t>2026-10-04T02:30Z</t>
        </is>
      </c>
      <c r="D824" s="24" t="inlineStr">
        <is>
          <t>401860900</t>
        </is>
      </c>
      <c r="E824" s="24" t="inlineStr">
        <is>
          <t>NCAAF</t>
        </is>
      </c>
      <c r="F824" s="24" t="inlineStr">
        <is>
          <t>Texas State Bobcats</t>
        </is>
      </c>
      <c r="G824" s="24" t="inlineStr">
        <is>
          <t>San Diego State Aztecs</t>
        </is>
      </c>
      <c r="H824" s="24" t="inlineStr">
        <is>
          <t>total</t>
        </is>
      </c>
      <c r="I824" s="24" t="inlineStr">
        <is>
          <t>under</t>
        </is>
      </c>
      <c r="J824" s="25" t="n">
        <v>57.5</v>
      </c>
      <c r="K824" s="24" t="inlineStr">
        <is>
          <t>espn_consensus</t>
        </is>
      </c>
      <c r="L824" s="26" t="n">
        <v>-108</v>
      </c>
      <c r="M824" s="27" t="n">
        <v>1.925926</v>
      </c>
      <c r="N824" s="28" t="n">
        <v>0.519231</v>
      </c>
      <c r="O824" s="28" t="n">
        <v>0.615733</v>
      </c>
      <c r="P824" s="28" t="n">
        <v>0.18</v>
      </c>
      <c r="Q824" s="28" t="n">
        <v>0.096502</v>
      </c>
      <c r="R824" s="26" t="n">
        <v>0</v>
      </c>
      <c r="S824" s="29" t="n">
        <v>1</v>
      </c>
      <c r="T824" s="24" t="inlineStr">
        <is>
          <t>cfb-total-v1</t>
        </is>
      </c>
      <c r="U824" s="24" t="inlineStr">
        <is>
          <t>settled</t>
        </is>
      </c>
      <c r="V824" s="24" t="inlineStr">
        <is>
          <t>loss</t>
        </is>
      </c>
      <c r="W824" s="26" t="n">
        <v>29</v>
      </c>
      <c r="X824" s="26" t="n">
        <v>31</v>
      </c>
      <c r="Y824" s="25" t="n"/>
      <c r="Z824" s="26" t="n"/>
      <c r="AA824" s="28" t="n"/>
      <c r="AB824" s="28" t="n"/>
      <c r="AC824" s="30" t="n">
        <v>-1</v>
      </c>
      <c r="AD824" s="24" t="inlineStr">
        <is>
          <t>2026-10-04T20:48:17.756640Z</t>
        </is>
      </c>
      <c r="AE824" s="31" t="inlineStr">
        <is>
          <t>Projected total 52.1 pts (Weather adj: +0.0 pts). Total line 57.5 -&gt; P(Over)=0.384, P(Under)=0.616, P(Push)=0.000.</t>
        </is>
      </c>
      <c r="AF824" s="31" t="inlineStr">
        <is>
          <t>College football model; multi-market (moneyline, spread, total).</t>
        </is>
      </c>
      <c r="AG824" s="24" t="inlineStr">
        <is>
          <t>review_required</t>
        </is>
      </c>
      <c r="AH824" s="24" t="n"/>
      <c r="AI824" s="31" t="n"/>
      <c r="AJ824" s="31" t="n"/>
      <c r="AK824" s="24" t="inlineStr">
        <is>
          <t>model_qualified</t>
        </is>
      </c>
      <c r="AL824" s="26" t="n">
        <v>4</v>
      </c>
      <c r="AM824" s="24" t="inlineStr">
        <is>
          <t>QUALIFIED_SHADOW_CALL</t>
        </is>
      </c>
      <c r="AN824" s="24" t="inlineStr">
        <is>
          <t>CALL</t>
        </is>
      </c>
      <c r="AO824" s="24" t="inlineStr">
        <is>
          <t>QUALIFIED</t>
        </is>
      </c>
      <c r="AP824" s="24" t="inlineStr">
        <is>
          <t>Texas State Bobcats</t>
        </is>
      </c>
      <c r="AQ824" s="24" t="inlineStr">
        <is>
          <t>Texas State Bobcats</t>
        </is>
      </c>
      <c r="AR824" s="24" t="inlineStr">
        <is>
          <t>Texas State Bobcats</t>
        </is>
      </c>
      <c r="AS824" s="24" t="inlineStr">
        <is>
          <t>San Diego State Aztecs</t>
        </is>
      </c>
      <c r="AT824" s="24" t="inlineStr">
        <is>
          <t>San Diego State Aztecs</t>
        </is>
      </c>
      <c r="AU824" s="24" t="inlineStr">
        <is>
          <t>San Diego State Aztecs</t>
        </is>
      </c>
      <c r="AV824" s="24" t="n"/>
      <c r="AW824" s="24" t="n"/>
      <c r="AX824" s="24" t="inlineStr">
        <is>
          <t>statistical_model</t>
        </is>
      </c>
      <c r="AY824" s="24" t="n"/>
      <c r="AZ824" s="24" t="inlineStr">
        <is>
          <t>shadow_qualified</t>
        </is>
      </c>
      <c r="BA824" s="24" t="inlineStr">
        <is>
          <t>1d168f11d221cd3c</t>
        </is>
      </c>
      <c r="BB824" s="24" t="inlineStr">
        <is>
          <t>cfb_key_number_engine</t>
        </is>
      </c>
      <c r="BC824" s="24" t="inlineStr">
        <is>
          <t>cfb-total-v1</t>
        </is>
      </c>
      <c r="BD824" s="24" t="inlineStr">
        <is>
          <t>1d168f11d221cd3c</t>
        </is>
      </c>
      <c r="BE824" s="24" t="inlineStr">
        <is>
          <t>cfb-v1</t>
        </is>
      </c>
      <c r="BF824" s="24" t="inlineStr">
        <is>
          <t>1</t>
        </is>
      </c>
      <c r="BG824" s="24" t="inlineStr">
        <is>
          <t>1d168f11d221cd3c</t>
        </is>
      </c>
      <c r="BH824" s="24" t="inlineStr">
        <is>
          <t>2026-10-03T22:32:35.686759+00:00</t>
        </is>
      </c>
      <c r="BI824" s="24" t="inlineStr">
        <is>
          <t>["same_event","same_team_same_day","same_league_same_day"]</t>
        </is>
      </c>
      <c r="BJ824" s="25" t="n">
        <v>57.5</v>
      </c>
      <c r="BK824" s="26" t="n">
        <v>-108</v>
      </c>
      <c r="BL824" s="27" t="n">
        <v>1.925926</v>
      </c>
      <c r="BM824" s="28" t="n">
        <v>0.519231</v>
      </c>
      <c r="BN824" s="28" t="n"/>
      <c r="BO824" s="28" t="n"/>
      <c r="BP824" s="25" t="n"/>
      <c r="BQ824" s="27" t="n"/>
      <c r="BR824" s="28" t="n"/>
      <c r="BS824" s="28" t="n"/>
      <c r="BT824" s="28" t="n"/>
      <c r="BU824" s="25" t="n"/>
      <c r="BV824" s="29" t="n"/>
      <c r="BW824" s="24" t="n"/>
      <c r="BX824" s="30" t="n"/>
      <c r="BY824" s="27" t="n"/>
      <c r="BZ824" s="24" t="n"/>
      <c r="CA824" s="31" t="n"/>
      <c r="CB824" s="24" t="n"/>
      <c r="CC824" s="24" t="n"/>
      <c r="CD824" s="24" t="n"/>
      <c r="CE824" s="24" t="n"/>
      <c r="CF824" s="24" t="n"/>
      <c r="CG824" s="24" t="n"/>
      <c r="CH824" s="24" t="n"/>
      <c r="CI824" s="24" t="n"/>
      <c r="CJ824" s="24" t="n"/>
      <c r="CK824" s="24" t="n"/>
      <c r="CL824" s="24" t="n"/>
      <c r="CM824" s="24" t="n"/>
      <c r="CN824" s="24" t="n"/>
      <c r="CO824" s="24" t="n"/>
      <c r="CP824" s="24" t="n"/>
      <c r="CQ824" s="24" t="n"/>
      <c r="CR824" s="24" t="n"/>
      <c r="CS824" s="24" t="inlineStr">
        <is>
          <t>True</t>
        </is>
      </c>
      <c r="CT824" s="24" t="n"/>
      <c r="CU824" s="24" t="n"/>
      <c r="CV824" s="24" t="n"/>
      <c r="CW824" s="24" t="n"/>
      <c r="CX824" s="24" t="n"/>
      <c r="CY824" s="24" t="n"/>
      <c r="CZ824" s="24" t="n"/>
      <c r="DA824" s="24" t="n"/>
      <c r="DB824" s="24" t="n"/>
      <c r="DC824" s="24" t="n"/>
      <c r="DD824" s="24" t="n"/>
      <c r="DE824" s="24" t="n"/>
      <c r="DF824" s="24" t="n"/>
      <c r="DG824" s="24" t="n"/>
      <c r="DH824" s="24" t="n"/>
      <c r="DI824" s="24" t="n"/>
      <c r="DJ824" s="24" t="inlineStr">
        <is>
          <t>0.519231</t>
        </is>
      </c>
      <c r="DK824" s="24" t="n"/>
      <c r="DL824" s="24" t="n"/>
      <c r="DM824" s="24" t="n"/>
      <c r="DN824" s="24" t="n"/>
      <c r="DO824" s="24" t="n"/>
      <c r="DP824" s="24" t="n"/>
      <c r="DQ824" s="24" t="inlineStr">
        <is>
          <t>{"artifact_hash": "1d168f11d221cd3c", "event_id": "401860900", "event_start_utc": "2026-10-04T02:30Z", "features": {"altitude_fatigue_penalty": 0.0, "away_team": "Texas State Bobcats", "efficiency_gap": 2.427, "elo_away": 1540.5, "elo_home": 1570.9, "elo_home_win_prob": 0.6339, "event_id": "401860900", "game_start_utc": "2026-10-04T02:30Z", "home_field_advantage_points": 2.8, "home_team": "San Diego State Aztecs", "is_dome": false, "is_fbs_vs_fcs": false, "is_neutral_site": false, "projected_away_points": 24.1, "projected_home_points": 28.0, "projected_margin_home": 3.9, "projected_possessions": 12.4, "projected_total": 52.1, "stadium_elevation_ft": 50, "travel_distance_miles": 1149.0, "uncertainty": 0.18, "weather_total_adjustment": 0.0}, "historical_source_observation_times_verified": false, "inference_inputs": {"engine_source_sha256": "449ba2f0e86fa9c445730076a0e0bf100fb4914620be53c75c6f3bfe24298f3f", "mu_away": 24.1, "mu_home": 28.0,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12649902560969321859634002135114290267}, "uinteger": 0}, "spread_home_line": 9.5, "total_line": 57.5}, "market_type": "total", "model_version": "cfb-total-v1", "observed_at_utc": "2026-10-03T22:32:35.686759+00:00", "probabilities": {"over": 0.384267, "push": 0.0, "under": 0.615733}, "replay_scope": "Full precision score means, exact engine parameters and original RNG state; upstream feature construction not certified.", "schema": "cfb-joint-replay-v1", "snapshot_hash": "e51cead2a486689fa1b3cb3b8bc26c773c88a3e6597b4dd89bdb3fac4e744bcf", "sport": "NCAAF"}</t>
        </is>
      </c>
    </row>
    <row r="825" ht="36" customHeight="1">
      <c r="A825" s="24" t="inlineStr">
        <is>
          <t>24ad7511792842b8</t>
        </is>
      </c>
      <c r="B825" s="24" t="inlineStr">
        <is>
          <t>2026-10-03T22:32:35.686759Z</t>
        </is>
      </c>
      <c r="C825" s="24" t="inlineStr">
        <is>
          <t>2026-10-04T03:00Z</t>
        </is>
      </c>
      <c r="D825" s="24" t="inlineStr">
        <is>
          <t>401856820</t>
        </is>
      </c>
      <c r="E825" s="24" t="inlineStr">
        <is>
          <t>NCAAF</t>
        </is>
      </c>
      <c r="F825" s="24" t="inlineStr">
        <is>
          <t>Cincinnati Bearcats</t>
        </is>
      </c>
      <c r="G825" s="24" t="inlineStr">
        <is>
          <t>Arizona Wildcats</t>
        </is>
      </c>
      <c r="H825" s="24" t="inlineStr">
        <is>
          <t>moneyline</t>
        </is>
      </c>
      <c r="I825" s="24" t="inlineStr">
        <is>
          <t>home</t>
        </is>
      </c>
      <c r="J825" s="25" t="n"/>
      <c r="K825" s="24" t="inlineStr">
        <is>
          <t>espn_consensus</t>
        </is>
      </c>
      <c r="L825" s="26" t="n">
        <v>-250</v>
      </c>
      <c r="M825" s="27" t="n">
        <v>1.4</v>
      </c>
      <c r="N825" s="28" t="n">
        <v>0.714286</v>
      </c>
      <c r="O825" s="28" t="n">
        <v>0.723981</v>
      </c>
      <c r="P825" s="28" t="n">
        <v>0.18</v>
      </c>
      <c r="Q825" s="28" t="n">
        <v>0.009695</v>
      </c>
      <c r="R825" s="26" t="n">
        <v>0</v>
      </c>
      <c r="S825" s="29" t="n">
        <v>1</v>
      </c>
      <c r="T825" s="24" t="inlineStr">
        <is>
          <t>college-football-v1</t>
        </is>
      </c>
      <c r="U825" s="24" t="inlineStr">
        <is>
          <t>settled</t>
        </is>
      </c>
      <c r="V825" s="24" t="inlineStr">
        <is>
          <t>win</t>
        </is>
      </c>
      <c r="W825" s="26" t="n">
        <v>7</v>
      </c>
      <c r="X825" s="26" t="n">
        <v>34</v>
      </c>
      <c r="Y825" s="25" t="n"/>
      <c r="Z825" s="26" t="n"/>
      <c r="AA825" s="28" t="n"/>
      <c r="AB825" s="28" t="n"/>
      <c r="AC825" s="30" t="n">
        <v>0.4</v>
      </c>
      <c r="AD825" s="24" t="inlineStr">
        <is>
          <t>2026-10-04T20:48:23.478419Z</t>
        </is>
      </c>
      <c r="AE825" s="31" t="inlineStr">
        <is>
          <t>CFB Joint Model (negative_binomial): proj score Cincinnati Bearcats 21.7 @ Arizona Wildcats 33.1 (Margin +11.4). Possessions: 12.4, HFA: +2.8 pts.</t>
        </is>
      </c>
      <c r="AF825" s="31" t="inlineStr">
        <is>
          <t>College football model; multi-market (moneyline, spread, total).</t>
        </is>
      </c>
      <c r="AG825" s="24" t="inlineStr">
        <is>
          <t>not_applicable</t>
        </is>
      </c>
      <c r="AH825" s="24" t="n"/>
      <c r="AI825" s="31" t="n"/>
      <c r="AJ825" s="31" t="n"/>
      <c r="AK825" s="24" t="inlineStr">
        <is>
          <t>paper_call</t>
        </is>
      </c>
      <c r="AL825" s="26" t="n">
        <v>4</v>
      </c>
      <c r="AM825" s="24" t="inlineStr">
        <is>
          <t>RESEARCH_OBSERVATION</t>
        </is>
      </c>
      <c r="AN825" s="24" t="inlineStr">
        <is>
          <t>CALL</t>
        </is>
      </c>
      <c r="AO825" s="24" t="inlineStr">
        <is>
          <t>PAPER_CALL_LOW_EDGE</t>
        </is>
      </c>
      <c r="AP825" s="24" t="inlineStr">
        <is>
          <t>Cincinnati Bearcats</t>
        </is>
      </c>
      <c r="AQ825" s="24" t="inlineStr">
        <is>
          <t>Cincinnati Bearcats</t>
        </is>
      </c>
      <c r="AR825" s="24" t="inlineStr">
        <is>
          <t>Cincinnati Bearcats</t>
        </is>
      </c>
      <c r="AS825" s="24" t="inlineStr">
        <is>
          <t>Arizona Wildcats</t>
        </is>
      </c>
      <c r="AT825" s="24" t="inlineStr">
        <is>
          <t>Arizona Wildcats</t>
        </is>
      </c>
      <c r="AU825" s="24" t="inlineStr">
        <is>
          <t>Arizona Wildcats</t>
        </is>
      </c>
      <c r="AV825" s="24" t="n"/>
      <c r="AW825" s="24" t="n"/>
      <c r="AX825" s="24" t="inlineStr">
        <is>
          <t>statistical_model</t>
        </is>
      </c>
      <c r="AY825" s="24" t="n"/>
      <c r="AZ825" s="24" t="inlineStr">
        <is>
          <t>shadow_qualified</t>
        </is>
      </c>
      <c r="BA825" s="24" t="inlineStr">
        <is>
          <t>1d168f11d221cd3c</t>
        </is>
      </c>
      <c r="BB825" s="24" t="inlineStr">
        <is>
          <t>cfb_key_number_engine</t>
        </is>
      </c>
      <c r="BC825" s="24" t="inlineStr">
        <is>
          <t>college-football-v1</t>
        </is>
      </c>
      <c r="BD825" s="24" t="inlineStr">
        <is>
          <t>1d168f11d221cd3c</t>
        </is>
      </c>
      <c r="BE825" s="24" t="inlineStr">
        <is>
          <t>cfb-v1</t>
        </is>
      </c>
      <c r="BF825" s="24" t="inlineStr">
        <is>
          <t>1</t>
        </is>
      </c>
      <c r="BG825" s="24" t="inlineStr">
        <is>
          <t>1d168f11d221cd3c</t>
        </is>
      </c>
      <c r="BH825" s="24" t="inlineStr">
        <is>
          <t>2026-10-03T22:32:35.686759+00:00</t>
        </is>
      </c>
      <c r="BI825" s="24" t="inlineStr">
        <is>
          <t>["same_event","same_team_same_day","same_league_same_day"]</t>
        </is>
      </c>
      <c r="BJ825" s="25" t="n"/>
      <c r="BK825" s="26" t="n">
        <v>-250</v>
      </c>
      <c r="BL825" s="27" t="n">
        <v>1.4</v>
      </c>
      <c r="BM825" s="28" t="n">
        <v>0.714286</v>
      </c>
      <c r="BN825" s="28" t="n"/>
      <c r="BO825" s="28" t="n"/>
      <c r="BP825" s="25" t="n"/>
      <c r="BQ825" s="27" t="n"/>
      <c r="BR825" s="28" t="n"/>
      <c r="BS825" s="28" t="n"/>
      <c r="BT825" s="28" t="n"/>
      <c r="BU825" s="25" t="n"/>
      <c r="BV825" s="29" t="n"/>
      <c r="BW825" s="24" t="n"/>
      <c r="BX825" s="30" t="n">
        <v>1</v>
      </c>
      <c r="BY825" s="27" t="n">
        <v>0.4</v>
      </c>
      <c r="BZ825" s="24" t="inlineStr">
        <is>
          <t>2026-10-04T20:48:23.478419Z</t>
        </is>
      </c>
      <c r="CA825" s="31" t="inlineStr">
        <is>
          <t>fixed one-unit hypothetical scoring; no real exposure or execution</t>
        </is>
      </c>
      <c r="CB825" s="24" t="n"/>
      <c r="CC825" s="24" t="n"/>
      <c r="CD825" s="24" t="n"/>
      <c r="CE825" s="24" t="n"/>
      <c r="CF825" s="24" t="n"/>
      <c r="CG825" s="24" t="n"/>
      <c r="CH825" s="24" t="n"/>
      <c r="CI825" s="24" t="n"/>
      <c r="CJ825" s="24" t="n"/>
      <c r="CK825" s="24" t="n"/>
      <c r="CL825" s="24" t="n"/>
      <c r="CM825" s="24" t="n"/>
      <c r="CN825" s="24" t="n"/>
      <c r="CO825" s="24" t="n"/>
      <c r="CP825" s="24" t="n"/>
      <c r="CQ825" s="24" t="n"/>
      <c r="CR825" s="24" t="n"/>
      <c r="CS825" s="24" t="inlineStr">
        <is>
          <t>True</t>
        </is>
      </c>
      <c r="CT825" s="24" t="n"/>
      <c r="CU825" s="24" t="n"/>
      <c r="CV825" s="24" t="n"/>
      <c r="CW825" s="24" t="n"/>
      <c r="CX825" s="24" t="n"/>
      <c r="CY825" s="24" t="n"/>
      <c r="CZ825" s="24" t="n"/>
      <c r="DA825" s="24" t="n"/>
      <c r="DB825" s="24" t="n"/>
      <c r="DC825" s="24" t="n"/>
      <c r="DD825" s="24" t="n"/>
      <c r="DE825" s="24" t="n"/>
      <c r="DF825" s="24" t="n"/>
      <c r="DG825" s="24" t="n"/>
      <c r="DH825" s="24" t="n"/>
      <c r="DI825" s="24" t="n"/>
      <c r="DJ825" s="24" t="inlineStr">
        <is>
          <t>0.714286</t>
        </is>
      </c>
      <c r="DK825" s="24" t="n"/>
      <c r="DL825" s="24" t="n"/>
      <c r="DM825" s="24" t="n"/>
      <c r="DN825" s="24" t="n"/>
      <c r="DO825" s="24" t="n"/>
      <c r="DP825" s="24" t="n"/>
      <c r="DQ825" s="24" t="inlineStr">
        <is>
          <t>{"artifact_hash": "1d168f11d221cd3c", "event_id": "401856820", "event_start_utc": "2026-10-04T03:00Z", "features": {"altitude_fatigue_penalty": 0.0, "away_team": "Cincinnati Bearcats", "efficiency_gap": -0.75, "elo_away": 1425.3, "elo_home": 1640.2, "elo_home_win_prob": 0.8336, "event_id": "401856820", "game_start_utc": "2026-10-04T03:00Z", "home_field_advantage_points": 2.8, "home_team": "Arizona Wildcats", "is_dome": false, "is_fbs_vs_fcs": false, "is_neutral_site": false, "projected_away_points": 21.7, "projected_home_points": 33.1, "projected_margin_home": 11.4, "projected_possessions": 12.4, "projected_total": 54.8, "stadium_elevation_ft": 2430, "travel_distance_miles": 1552.0, "uncertainty": 0.18, "weather_total_adjustment": 0.0}, "historical_source_observation_times_verified": false, "inference_inputs": {"engine_source_sha256": "449ba2f0e86fa9c445730076a0e0bf100fb4914620be53c75c6f3bfe24298f3f", "mu_away": 21.7, "mu_home": 33.1,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157691775231023546714791733497376421463}, "uinteger": 0}, "spread_home_line": -7.0, "total_line": 55.5}, "market_type": "moneyline", "model_version": "college-football-v1", "observed_at_utc": "2026-10-03T22:32:35.686759+00:00", "probabilities": {"away": 0.276019, "home": 0.723981}, "replay_scope": "Full precision score means, exact engine parameters and original RNG state; upstream feature construction not certified.", "schema": "cfb-joint-replay-v1", "snapshot_hash": "5bb31baa45ab14eea56ae7a3e0596639d60fec9ccefce3ab7ed16aa20d4b96c7", "sport": "NCAAF"}</t>
        </is>
      </c>
    </row>
    <row r="826" ht="36" customHeight="1">
      <c r="A826" s="24" t="inlineStr">
        <is>
          <t>f72e0ad990a946fd</t>
        </is>
      </c>
      <c r="B826" s="24" t="inlineStr">
        <is>
          <t>2026-10-03T22:32:35.686759Z</t>
        </is>
      </c>
      <c r="C826" s="24" t="inlineStr">
        <is>
          <t>2026-10-04T03:00Z</t>
        </is>
      </c>
      <c r="D826" s="24" t="inlineStr">
        <is>
          <t>401856820</t>
        </is>
      </c>
      <c r="E826" s="24" t="inlineStr">
        <is>
          <t>NCAAF</t>
        </is>
      </c>
      <c r="F826" s="24" t="inlineStr">
        <is>
          <t>Cincinnati Bearcats</t>
        </is>
      </c>
      <c r="G826" s="24" t="inlineStr">
        <is>
          <t>Arizona Wildcats</t>
        </is>
      </c>
      <c r="H826" s="24" t="inlineStr">
        <is>
          <t>spread</t>
        </is>
      </c>
      <c r="I826" s="24" t="inlineStr">
        <is>
          <t>home</t>
        </is>
      </c>
      <c r="J826" s="25" t="n">
        <v>-7</v>
      </c>
      <c r="K826" s="24" t="inlineStr">
        <is>
          <t>espn_consensus</t>
        </is>
      </c>
      <c r="L826" s="26" t="n">
        <v>-105</v>
      </c>
      <c r="M826" s="27" t="n">
        <v>1.952381</v>
      </c>
      <c r="N826" s="28" t="n">
        <v>0.512195</v>
      </c>
      <c r="O826" s="28" t="n">
        <v>0.581933</v>
      </c>
      <c r="P826" s="28" t="n">
        <v>0.18</v>
      </c>
      <c r="Q826" s="28" t="n">
        <v>0.06973799999999999</v>
      </c>
      <c r="R826" s="26" t="n">
        <v>0</v>
      </c>
      <c r="S826" s="29" t="n">
        <v>1</v>
      </c>
      <c r="T826" s="24" t="inlineStr">
        <is>
          <t>cfb-spread-v1</t>
        </is>
      </c>
      <c r="U826" s="24" t="inlineStr">
        <is>
          <t>settled</t>
        </is>
      </c>
      <c r="V826" s="24" t="inlineStr">
        <is>
          <t>win</t>
        </is>
      </c>
      <c r="W826" s="26" t="n">
        <v>7</v>
      </c>
      <c r="X826" s="26" t="n">
        <v>34</v>
      </c>
      <c r="Y826" s="25" t="n"/>
      <c r="Z826" s="26" t="n"/>
      <c r="AA826" s="28" t="n"/>
      <c r="AB826" s="28" t="n"/>
      <c r="AC826" s="30" t="n">
        <v>0.9524</v>
      </c>
      <c r="AD826" s="24" t="inlineStr">
        <is>
          <t>2026-10-04T20:48:28.954583Z</t>
        </is>
      </c>
      <c r="AE826" s="31" t="inlineStr">
        <is>
          <t>Projected home margin +11.4 pts. Spread: Home -7.0 / Away +7.0 -&gt; P(Away cover)=0.397, P(Home cover)=0.582, P(Push)=0.021.</t>
        </is>
      </c>
      <c r="AF826" s="31" t="inlineStr">
        <is>
          <t>College football model; multi-market (moneyline, spread, total).</t>
        </is>
      </c>
      <c r="AG826" s="24" t="inlineStr">
        <is>
          <t>not_applicable</t>
        </is>
      </c>
      <c r="AH826" s="24" t="n"/>
      <c r="AI826" s="31" t="n"/>
      <c r="AJ826" s="31" t="n"/>
      <c r="AK826" s="24" t="inlineStr">
        <is>
          <t>model_qualified</t>
        </is>
      </c>
      <c r="AL826" s="26" t="n">
        <v>4</v>
      </c>
      <c r="AM826" s="24" t="inlineStr">
        <is>
          <t>QUALIFIED_SHADOW_CALL</t>
        </is>
      </c>
      <c r="AN826" s="24" t="inlineStr">
        <is>
          <t>CALL</t>
        </is>
      </c>
      <c r="AO826" s="24" t="inlineStr">
        <is>
          <t>QUALIFIED</t>
        </is>
      </c>
      <c r="AP826" s="24" t="inlineStr">
        <is>
          <t>Cincinnati Bearcats</t>
        </is>
      </c>
      <c r="AQ826" s="24" t="inlineStr">
        <is>
          <t>Cincinnati Bearcats</t>
        </is>
      </c>
      <c r="AR826" s="24" t="inlineStr">
        <is>
          <t>Cincinnati Bearcats</t>
        </is>
      </c>
      <c r="AS826" s="24" t="inlineStr">
        <is>
          <t>Arizona Wildcats</t>
        </is>
      </c>
      <c r="AT826" s="24" t="inlineStr">
        <is>
          <t>Arizona Wildcats</t>
        </is>
      </c>
      <c r="AU826" s="24" t="inlineStr">
        <is>
          <t>Arizona Wildcats</t>
        </is>
      </c>
      <c r="AV826" s="24" t="n"/>
      <c r="AW826" s="24" t="n"/>
      <c r="AX826" s="24" t="inlineStr">
        <is>
          <t>statistical_model</t>
        </is>
      </c>
      <c r="AY826" s="24" t="n"/>
      <c r="AZ826" s="24" t="inlineStr">
        <is>
          <t>shadow_qualified</t>
        </is>
      </c>
      <c r="BA826" s="24" t="inlineStr">
        <is>
          <t>1d168f11d221cd3c</t>
        </is>
      </c>
      <c r="BB826" s="24" t="inlineStr">
        <is>
          <t>cfb_key_number_engine</t>
        </is>
      </c>
      <c r="BC826" s="24" t="inlineStr">
        <is>
          <t>cfb-spread-v1</t>
        </is>
      </c>
      <c r="BD826" s="24" t="inlineStr">
        <is>
          <t>1d168f11d221cd3c</t>
        </is>
      </c>
      <c r="BE826" s="24" t="inlineStr">
        <is>
          <t>cfb-v1</t>
        </is>
      </c>
      <c r="BF826" s="24" t="inlineStr">
        <is>
          <t>1</t>
        </is>
      </c>
      <c r="BG826" s="24" t="inlineStr">
        <is>
          <t>1d168f11d221cd3c</t>
        </is>
      </c>
      <c r="BH826" s="24" t="inlineStr">
        <is>
          <t>2026-10-03T22:32:35.686759+00:00</t>
        </is>
      </c>
      <c r="BI826" s="24" t="inlineStr">
        <is>
          <t>["same_event","same_team_same_day","same_league_same_day"]</t>
        </is>
      </c>
      <c r="BJ826" s="25" t="n">
        <v>-7</v>
      </c>
      <c r="BK826" s="26" t="n">
        <v>-105</v>
      </c>
      <c r="BL826" s="27" t="n">
        <v>1.952381</v>
      </c>
      <c r="BM826" s="28" t="n">
        <v>0.512195</v>
      </c>
      <c r="BN826" s="28" t="n"/>
      <c r="BO826" s="28" t="n"/>
      <c r="BP826" s="25" t="n"/>
      <c r="BQ826" s="27" t="n"/>
      <c r="BR826" s="28" t="n"/>
      <c r="BS826" s="28" t="n"/>
      <c r="BT826" s="28" t="n"/>
      <c r="BU826" s="25" t="n"/>
      <c r="BV826" s="29" t="n"/>
      <c r="BW826" s="24" t="n"/>
      <c r="BX826" s="30" t="n"/>
      <c r="BY826" s="27" t="n"/>
      <c r="BZ826" s="24" t="n"/>
      <c r="CA826" s="31" t="n"/>
      <c r="CB826" s="24" t="n"/>
      <c r="CC826" s="24" t="n"/>
      <c r="CD826" s="24" t="n"/>
      <c r="CE826" s="24" t="n"/>
      <c r="CF826" s="24" t="n"/>
      <c r="CG826" s="24" t="n"/>
      <c r="CH826" s="24" t="n"/>
      <c r="CI826" s="24" t="n"/>
      <c r="CJ826" s="24" t="n"/>
      <c r="CK826" s="24" t="n"/>
      <c r="CL826" s="24" t="n"/>
      <c r="CM826" s="24" t="n"/>
      <c r="CN826" s="24" t="n"/>
      <c r="CO826" s="24" t="n"/>
      <c r="CP826" s="24" t="n"/>
      <c r="CQ826" s="24" t="n"/>
      <c r="CR826" s="24" t="n"/>
      <c r="CS826" s="24" t="inlineStr">
        <is>
          <t>True</t>
        </is>
      </c>
      <c r="CT826" s="24" t="n"/>
      <c r="CU826" s="24" t="n"/>
      <c r="CV826" s="24" t="n"/>
      <c r="CW826" s="24" t="n"/>
      <c r="CX826" s="24" t="n"/>
      <c r="CY826" s="24" t="n"/>
      <c r="CZ826" s="24" t="n"/>
      <c r="DA826" s="24" t="n"/>
      <c r="DB826" s="24" t="n"/>
      <c r="DC826" s="24" t="n"/>
      <c r="DD826" s="24" t="n"/>
      <c r="DE826" s="24" t="n"/>
      <c r="DF826" s="24" t="n"/>
      <c r="DG826" s="24" t="n"/>
      <c r="DH826" s="24" t="n"/>
      <c r="DI826" s="24" t="n"/>
      <c r="DJ826" s="24" t="inlineStr">
        <is>
          <t>0.512195</t>
        </is>
      </c>
      <c r="DK826" s="24" t="n"/>
      <c r="DL826" s="24" t="n"/>
      <c r="DM826" s="24" t="n"/>
      <c r="DN826" s="24" t="n"/>
      <c r="DO826" s="24" t="n"/>
      <c r="DP826" s="24" t="n"/>
      <c r="DQ826" s="24" t="inlineStr">
        <is>
          <t>{"artifact_hash": "1d168f11d221cd3c", "event_id": "401856820", "event_start_utc": "2026-10-04T03:00Z", "features": {"altitude_fatigue_penalty": 0.0, "away_team": "Cincinnati Bearcats", "efficiency_gap": -0.75, "elo_away": 1425.3, "elo_home": 1640.2, "elo_home_win_prob": 0.8336, "event_id": "401856820", "game_start_utc": "2026-10-04T03:00Z", "home_field_advantage_points": 2.8, "home_team": "Arizona Wildcats", "is_dome": false, "is_fbs_vs_fcs": false, "is_neutral_site": false, "projected_away_points": 21.7, "projected_home_points": 33.1, "projected_margin_home": 11.4, "projected_possessions": 12.4, "projected_total": 54.8, "stadium_elevation_ft": 2430, "travel_distance_miles": 1552.0, "uncertainty": 0.18, "weather_total_adjustment": 0.0}, "historical_source_observation_times_verified": false, "inference_inputs": {"engine_source_sha256": "449ba2f0e86fa9c445730076a0e0bf100fb4914620be53c75c6f3bfe24298f3f", "mu_away": 21.7, "mu_home": 33.1,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157691775231023546714791733497376421463}, "uinteger": 0}, "spread_home_line": -7.0, "total_line": 55.5}, "market_type": "spread", "model_version": "cfb-spread-v1", "observed_at_utc": "2026-10-03T22:32:35.686759+00:00", "probabilities": {"away": 0.397333, "home": 0.581933, "push": 0.020733}, "replay_scope": "Full precision score means, exact engine parameters and original RNG state; upstream feature construction not certified.", "schema": "cfb-joint-replay-v1", "snapshot_hash": "bd68d7cb4c34cf59b4fc33bfefbef03b4d9ab384acce3459193137e2e52271f7", "sport": "NCAAF"}</t>
        </is>
      </c>
    </row>
    <row r="827" ht="36" customHeight="1">
      <c r="A827" s="24" t="inlineStr">
        <is>
          <t>9258a1984e094725</t>
        </is>
      </c>
      <c r="B827" s="24" t="inlineStr">
        <is>
          <t>2026-10-03T22:32:35.686759Z</t>
        </is>
      </c>
      <c r="C827" s="24" t="inlineStr">
        <is>
          <t>2026-10-04T03:00Z</t>
        </is>
      </c>
      <c r="D827" s="24" t="inlineStr">
        <is>
          <t>401856820</t>
        </is>
      </c>
      <c r="E827" s="24" t="inlineStr">
        <is>
          <t>NCAAF</t>
        </is>
      </c>
      <c r="F827" s="24" t="inlineStr">
        <is>
          <t>Cincinnati Bearcats</t>
        </is>
      </c>
      <c r="G827" s="24" t="inlineStr">
        <is>
          <t>Arizona Wildcats</t>
        </is>
      </c>
      <c r="H827" s="24" t="inlineStr">
        <is>
          <t>total</t>
        </is>
      </c>
      <c r="I827" s="24" t="inlineStr">
        <is>
          <t>under</t>
        </is>
      </c>
      <c r="J827" s="25" t="n">
        <v>55.5</v>
      </c>
      <c r="K827" s="24" t="inlineStr">
        <is>
          <t>espn_consensus</t>
        </is>
      </c>
      <c r="L827" s="26" t="n">
        <v>-108</v>
      </c>
      <c r="M827" s="27" t="n">
        <v>1.925926</v>
      </c>
      <c r="N827" s="28" t="n">
        <v>0.519231</v>
      </c>
      <c r="O827" s="28" t="n">
        <v>0.533267</v>
      </c>
      <c r="P827" s="28" t="n">
        <v>0.18</v>
      </c>
      <c r="Q827" s="28" t="n">
        <v>0.014036</v>
      </c>
      <c r="R827" s="26" t="n">
        <v>0</v>
      </c>
      <c r="S827" s="29" t="n">
        <v>1</v>
      </c>
      <c r="T827" s="24" t="inlineStr">
        <is>
          <t>cfb-total-v1</t>
        </is>
      </c>
      <c r="U827" s="24" t="inlineStr">
        <is>
          <t>settled</t>
        </is>
      </c>
      <c r="V827" s="24" t="inlineStr">
        <is>
          <t>win</t>
        </is>
      </c>
      <c r="W827" s="26" t="n">
        <v>7</v>
      </c>
      <c r="X827" s="26" t="n">
        <v>34</v>
      </c>
      <c r="Y827" s="25" t="n"/>
      <c r="Z827" s="26" t="n"/>
      <c r="AA827" s="28" t="n"/>
      <c r="AB827" s="28" t="n"/>
      <c r="AC827" s="30" t="n">
        <v>0.9258999999999999</v>
      </c>
      <c r="AD827" s="24" t="inlineStr">
        <is>
          <t>2026-10-04T20:48:34.883648Z</t>
        </is>
      </c>
      <c r="AE827" s="31" t="inlineStr">
        <is>
          <t>Projected total 54.8 pts (Weather adj: +0.0 pts). Total line 55.5 -&gt; P(Over)=0.467, P(Under)=0.533, P(Push)=0.000.</t>
        </is>
      </c>
      <c r="AF827" s="31" t="inlineStr">
        <is>
          <t>College football model; multi-market (moneyline, spread, total).</t>
        </is>
      </c>
      <c r="AG827" s="24" t="inlineStr">
        <is>
          <t>not_applicable</t>
        </is>
      </c>
      <c r="AH827" s="24" t="n"/>
      <c r="AI827" s="31" t="n"/>
      <c r="AJ827" s="31" t="n"/>
      <c r="AK827" s="24" t="inlineStr">
        <is>
          <t>paper_call</t>
        </is>
      </c>
      <c r="AL827" s="26" t="n">
        <v>4</v>
      </c>
      <c r="AM827" s="24" t="inlineStr">
        <is>
          <t>RESEARCH_OBSERVATION</t>
        </is>
      </c>
      <c r="AN827" s="24" t="inlineStr">
        <is>
          <t>CALL</t>
        </is>
      </c>
      <c r="AO827" s="24" t="inlineStr">
        <is>
          <t>PAPER_CALL_LOW_EDGE</t>
        </is>
      </c>
      <c r="AP827" s="24" t="inlineStr">
        <is>
          <t>Cincinnati Bearcats</t>
        </is>
      </c>
      <c r="AQ827" s="24" t="inlineStr">
        <is>
          <t>Cincinnati Bearcats</t>
        </is>
      </c>
      <c r="AR827" s="24" t="inlineStr">
        <is>
          <t>Cincinnati Bearcats</t>
        </is>
      </c>
      <c r="AS827" s="24" t="inlineStr">
        <is>
          <t>Arizona Wildcats</t>
        </is>
      </c>
      <c r="AT827" s="24" t="inlineStr">
        <is>
          <t>Arizona Wildcats</t>
        </is>
      </c>
      <c r="AU827" s="24" t="inlineStr">
        <is>
          <t>Arizona Wildcats</t>
        </is>
      </c>
      <c r="AV827" s="24" t="n"/>
      <c r="AW827" s="24" t="n"/>
      <c r="AX827" s="24" t="inlineStr">
        <is>
          <t>statistical_model</t>
        </is>
      </c>
      <c r="AY827" s="24" t="n"/>
      <c r="AZ827" s="24" t="inlineStr">
        <is>
          <t>shadow_qualified</t>
        </is>
      </c>
      <c r="BA827" s="24" t="inlineStr">
        <is>
          <t>1d168f11d221cd3c</t>
        </is>
      </c>
      <c r="BB827" s="24" t="inlineStr">
        <is>
          <t>cfb_key_number_engine</t>
        </is>
      </c>
      <c r="BC827" s="24" t="inlineStr">
        <is>
          <t>cfb-total-v1</t>
        </is>
      </c>
      <c r="BD827" s="24" t="inlineStr">
        <is>
          <t>1d168f11d221cd3c</t>
        </is>
      </c>
      <c r="BE827" s="24" t="inlineStr">
        <is>
          <t>cfb-v1</t>
        </is>
      </c>
      <c r="BF827" s="24" t="inlineStr">
        <is>
          <t>1</t>
        </is>
      </c>
      <c r="BG827" s="24" t="inlineStr">
        <is>
          <t>1d168f11d221cd3c</t>
        </is>
      </c>
      <c r="BH827" s="24" t="inlineStr">
        <is>
          <t>2026-10-03T22:32:35.686759+00:00</t>
        </is>
      </c>
      <c r="BI827" s="24" t="inlineStr">
        <is>
          <t>["same_event","same_team_same_day","same_league_same_day"]</t>
        </is>
      </c>
      <c r="BJ827" s="25" t="n">
        <v>55.5</v>
      </c>
      <c r="BK827" s="26" t="n">
        <v>-108</v>
      </c>
      <c r="BL827" s="27" t="n">
        <v>1.925926</v>
      </c>
      <c r="BM827" s="28" t="n">
        <v>0.519231</v>
      </c>
      <c r="BN827" s="28" t="n"/>
      <c r="BO827" s="28" t="n"/>
      <c r="BP827" s="25" t="n"/>
      <c r="BQ827" s="27" t="n"/>
      <c r="BR827" s="28" t="n"/>
      <c r="BS827" s="28" t="n"/>
      <c r="BT827" s="28" t="n"/>
      <c r="BU827" s="25" t="n"/>
      <c r="BV827" s="29" t="n"/>
      <c r="BW827" s="24" t="n"/>
      <c r="BX827" s="30" t="n">
        <v>1</v>
      </c>
      <c r="BY827" s="27" t="n">
        <v>0.925926</v>
      </c>
      <c r="BZ827" s="24" t="inlineStr">
        <is>
          <t>2026-10-04T20:48:34.883648Z</t>
        </is>
      </c>
      <c r="CA827" s="31" t="inlineStr">
        <is>
          <t>fixed one-unit hypothetical scoring; no real exposure or execution</t>
        </is>
      </c>
      <c r="CB827" s="24" t="n"/>
      <c r="CC827" s="24" t="n"/>
      <c r="CD827" s="24" t="n"/>
      <c r="CE827" s="24" t="n"/>
      <c r="CF827" s="24" t="n"/>
      <c r="CG827" s="24" t="n"/>
      <c r="CH827" s="24" t="n"/>
      <c r="CI827" s="24" t="n"/>
      <c r="CJ827" s="24" t="n"/>
      <c r="CK827" s="24" t="n"/>
      <c r="CL827" s="24" t="n"/>
      <c r="CM827" s="24" t="n"/>
      <c r="CN827" s="24" t="n"/>
      <c r="CO827" s="24" t="n"/>
      <c r="CP827" s="24" t="n"/>
      <c r="CQ827" s="24" t="n"/>
      <c r="CR827" s="24" t="n"/>
      <c r="CS827" s="24" t="inlineStr">
        <is>
          <t>True</t>
        </is>
      </c>
      <c r="CT827" s="24" t="n"/>
      <c r="CU827" s="24" t="n"/>
      <c r="CV827" s="24" t="n"/>
      <c r="CW827" s="24" t="n"/>
      <c r="CX827" s="24" t="n"/>
      <c r="CY827" s="24" t="n"/>
      <c r="CZ827" s="24" t="n"/>
      <c r="DA827" s="24" t="n"/>
      <c r="DB827" s="24" t="n"/>
      <c r="DC827" s="24" t="n"/>
      <c r="DD827" s="24" t="n"/>
      <c r="DE827" s="24" t="n"/>
      <c r="DF827" s="24" t="n"/>
      <c r="DG827" s="24" t="n"/>
      <c r="DH827" s="24" t="n"/>
      <c r="DI827" s="24" t="n"/>
      <c r="DJ827" s="24" t="inlineStr">
        <is>
          <t>0.519231</t>
        </is>
      </c>
      <c r="DK827" s="24" t="n"/>
      <c r="DL827" s="24" t="n"/>
      <c r="DM827" s="24" t="n"/>
      <c r="DN827" s="24" t="n"/>
      <c r="DO827" s="24" t="n"/>
      <c r="DP827" s="24" t="n"/>
      <c r="DQ827" s="24" t="inlineStr">
        <is>
          <t>{"artifact_hash": "1d168f11d221cd3c", "event_id": "401856820", "event_start_utc": "2026-10-04T03:00Z", "features": {"altitude_fatigue_penalty": 0.0, "away_team": "Cincinnati Bearcats", "efficiency_gap": -0.75, "elo_away": 1425.3, "elo_home": 1640.2, "elo_home_win_prob": 0.8336, "event_id": "401856820", "game_start_utc": "2026-10-04T03:00Z", "home_field_advantage_points": 2.8, "home_team": "Arizona Wildcats", "is_dome": false, "is_fbs_vs_fcs": false, "is_neutral_site": false, "projected_away_points": 21.7, "projected_home_points": 33.1, "projected_margin_home": 11.4, "projected_possessions": 12.4, "projected_total": 54.8, "stadium_elevation_ft": 2430, "travel_distance_miles": 1552.0, "uncertainty": 0.18, "weather_total_adjustment": 0.0}, "historical_source_observation_times_verified": false, "inference_inputs": {"engine_source_sha256": "449ba2f0e86fa9c445730076a0e0bf100fb4914620be53c75c6f3bfe24298f3f", "mu_away": 21.7, "mu_home": 33.1,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157691775231023546714791733497376421463}, "uinteger": 0}, "spread_home_line": -7.0, "total_line": 55.5}, "market_type": "total", "model_version": "cfb-total-v1", "observed_at_utc": "2026-10-03T22:32:35.686759+00:00", "probabilities": {"over": 0.466733, "push": 0.0, "under": 0.533267}, "replay_scope": "Full precision score means, exact engine parameters and original RNG state; upstream feature construction not certified.", "schema": "cfb-joint-replay-v1", "snapshot_hash": "6765376493b5ca1f020fdc403fa0c7aa477be4849e185f5e388b98e5d7723fff", "sport": "NCAAF"}</t>
        </is>
      </c>
    </row>
    <row r="828" ht="36" customHeight="1">
      <c r="A828" s="24" t="inlineStr">
        <is>
          <t>5b002869a1c240ba</t>
        </is>
      </c>
      <c r="B828" s="24" t="inlineStr">
        <is>
          <t>2026-10-03T22:32:35.686759Z</t>
        </is>
      </c>
      <c r="C828" s="24" t="inlineStr">
        <is>
          <t>2026-10-04T03:59Z</t>
        </is>
      </c>
      <c r="D828" s="24" t="inlineStr">
        <is>
          <t>401864513</t>
        </is>
      </c>
      <c r="E828" s="24" t="inlineStr">
        <is>
          <t>NCAAF</t>
        </is>
      </c>
      <c r="F828" s="24" t="inlineStr">
        <is>
          <t>San José State Spartans</t>
        </is>
      </c>
      <c r="G828" s="24" t="inlineStr">
        <is>
          <t>Hawai'i Rainbow Warriors</t>
        </is>
      </c>
      <c r="H828" s="24" t="inlineStr">
        <is>
          <t>moneyline</t>
        </is>
      </c>
      <c r="I828" s="24" t="inlineStr">
        <is>
          <t>home</t>
        </is>
      </c>
      <c r="J828" s="25" t="n"/>
      <c r="K828" s="24" t="inlineStr">
        <is>
          <t>espn_consensus</t>
        </is>
      </c>
      <c r="L828" s="26" t="n">
        <v>-148</v>
      </c>
      <c r="M828" s="27" t="n">
        <v>1.675676</v>
      </c>
      <c r="N828" s="28" t="n">
        <v>0.596774</v>
      </c>
      <c r="O828" s="28" t="n">
        <v>0.560733</v>
      </c>
      <c r="P828" s="28" t="n">
        <v>0.18</v>
      </c>
      <c r="Q828" s="28" t="n">
        <v>-0.036041</v>
      </c>
      <c r="R828" s="26" t="n">
        <v>0</v>
      </c>
      <c r="S828" s="29" t="n">
        <v>1</v>
      </c>
      <c r="T828" s="24" t="inlineStr">
        <is>
          <t>college-football-v1</t>
        </is>
      </c>
      <c r="U828" s="24" t="inlineStr">
        <is>
          <t>settled</t>
        </is>
      </c>
      <c r="V828" s="24" t="inlineStr">
        <is>
          <t>loss</t>
        </is>
      </c>
      <c r="W828" s="26" t="n">
        <v>20</v>
      </c>
      <c r="X828" s="26" t="n">
        <v>16</v>
      </c>
      <c r="Y828" s="25" t="n"/>
      <c r="Z828" s="26" t="n"/>
      <c r="AA828" s="28" t="n"/>
      <c r="AB828" s="28" t="n"/>
      <c r="AC828" s="30" t="n">
        <v>-1</v>
      </c>
      <c r="AD828" s="24" t="inlineStr">
        <is>
          <t>2026-10-04T20:48:40.583565Z</t>
        </is>
      </c>
      <c r="AE828" s="31" t="inlineStr">
        <is>
          <t>CFB Joint Model (negative_binomial): proj score San José State Spartans 25.4 @ Hawai'i Rainbow Warriors 28.1 (Margin +2.7). Possessions: 12.4, HFA: +2.8 pts.</t>
        </is>
      </c>
      <c r="AF828" s="31" t="inlineStr">
        <is>
          <t>College football model; multi-market (moneyline, spread, total).</t>
        </is>
      </c>
      <c r="AG828" s="24" t="inlineStr">
        <is>
          <t>review_required</t>
        </is>
      </c>
      <c r="AH828" s="24" t="n"/>
      <c r="AI828" s="31" t="n"/>
      <c r="AJ828" s="31" t="n"/>
      <c r="AK828" s="24" t="inlineStr">
        <is>
          <t>paper_call</t>
        </is>
      </c>
      <c r="AL828" s="26" t="n">
        <v>4</v>
      </c>
      <c r="AM828" s="24" t="inlineStr">
        <is>
          <t>RESEARCH_OBSERVATION</t>
        </is>
      </c>
      <c r="AN828" s="24" t="inlineStr">
        <is>
          <t>CALL</t>
        </is>
      </c>
      <c r="AO828" s="24" t="inlineStr">
        <is>
          <t>PAPER_CALL_LOW_EDGE</t>
        </is>
      </c>
      <c r="AP828" s="24" t="inlineStr">
        <is>
          <t>San José State Spartans</t>
        </is>
      </c>
      <c r="AQ828" s="24" t="inlineStr">
        <is>
          <t>San José State Spartans</t>
        </is>
      </c>
      <c r="AR828" s="24" t="inlineStr">
        <is>
          <t>San José State Spartans</t>
        </is>
      </c>
      <c r="AS828" s="24" t="inlineStr">
        <is>
          <t>Hawai'i Rainbow Warriors</t>
        </is>
      </c>
      <c r="AT828" s="24" t="inlineStr">
        <is>
          <t>Hawai'i Rainbow Warriors</t>
        </is>
      </c>
      <c r="AU828" s="24" t="inlineStr">
        <is>
          <t>Hawai'i Rainbow Warriors</t>
        </is>
      </c>
      <c r="AV828" s="24" t="n"/>
      <c r="AW828" s="24" t="n"/>
      <c r="AX828" s="24" t="inlineStr">
        <is>
          <t>statistical_model</t>
        </is>
      </c>
      <c r="AY828" s="24" t="n"/>
      <c r="AZ828" s="24" t="inlineStr">
        <is>
          <t>shadow_qualified</t>
        </is>
      </c>
      <c r="BA828" s="24" t="inlineStr">
        <is>
          <t>1d168f11d221cd3c</t>
        </is>
      </c>
      <c r="BB828" s="24" t="inlineStr">
        <is>
          <t>cfb_key_number_engine</t>
        </is>
      </c>
      <c r="BC828" s="24" t="inlineStr">
        <is>
          <t>college-football-v1</t>
        </is>
      </c>
      <c r="BD828" s="24" t="inlineStr">
        <is>
          <t>1d168f11d221cd3c</t>
        </is>
      </c>
      <c r="BE828" s="24" t="inlineStr">
        <is>
          <t>cfb-v1</t>
        </is>
      </c>
      <c r="BF828" s="24" t="inlineStr">
        <is>
          <t>1</t>
        </is>
      </c>
      <c r="BG828" s="24" t="inlineStr">
        <is>
          <t>1d168f11d221cd3c</t>
        </is>
      </c>
      <c r="BH828" s="24" t="inlineStr">
        <is>
          <t>2026-10-03T22:32:35.686759+00:00</t>
        </is>
      </c>
      <c r="BI828" s="24" t="inlineStr">
        <is>
          <t>["same_event","same_team_same_day","same_league_same_day"]</t>
        </is>
      </c>
      <c r="BJ828" s="25" t="n"/>
      <c r="BK828" s="26" t="n">
        <v>-148</v>
      </c>
      <c r="BL828" s="27" t="n">
        <v>1.675676</v>
      </c>
      <c r="BM828" s="28" t="n">
        <v>0.596774</v>
      </c>
      <c r="BN828" s="28" t="n"/>
      <c r="BO828" s="28" t="n"/>
      <c r="BP828" s="25" t="n"/>
      <c r="BQ828" s="27" t="n"/>
      <c r="BR828" s="28" t="n"/>
      <c r="BS828" s="28" t="n"/>
      <c r="BT828" s="28" t="n"/>
      <c r="BU828" s="25" t="n"/>
      <c r="BV828" s="29" t="n"/>
      <c r="BW828" s="24" t="n"/>
      <c r="BX828" s="30" t="n">
        <v>1</v>
      </c>
      <c r="BY828" s="27" t="n">
        <v>-1</v>
      </c>
      <c r="BZ828" s="24" t="inlineStr">
        <is>
          <t>2026-10-04T20:48:40.583565Z</t>
        </is>
      </c>
      <c r="CA828" s="31" t="inlineStr">
        <is>
          <t>fixed one-unit hypothetical scoring; no real exposure or execution</t>
        </is>
      </c>
      <c r="CB828" s="24" t="n"/>
      <c r="CC828" s="24" t="n"/>
      <c r="CD828" s="24" t="n"/>
      <c r="CE828" s="24" t="n"/>
      <c r="CF828" s="24" t="n"/>
      <c r="CG828" s="24" t="n"/>
      <c r="CH828" s="24" t="n"/>
      <c r="CI828" s="24" t="n"/>
      <c r="CJ828" s="24" t="n"/>
      <c r="CK828" s="24" t="n"/>
      <c r="CL828" s="24" t="n"/>
      <c r="CM828" s="24" t="n"/>
      <c r="CN828" s="24" t="n"/>
      <c r="CO828" s="24" t="n"/>
      <c r="CP828" s="24" t="n"/>
      <c r="CQ828" s="24" t="n"/>
      <c r="CR828" s="24" t="n"/>
      <c r="CS828" s="24" t="inlineStr">
        <is>
          <t>False</t>
        </is>
      </c>
      <c r="CT828" s="24" t="n"/>
      <c r="CU828" s="24" t="n"/>
      <c r="CV828" s="24" t="n"/>
      <c r="CW828" s="24" t="n"/>
      <c r="CX828" s="24" t="n"/>
      <c r="CY828" s="24" t="n"/>
      <c r="CZ828" s="24" t="n"/>
      <c r="DA828" s="24" t="n"/>
      <c r="DB828" s="24" t="n"/>
      <c r="DC828" s="24" t="n"/>
      <c r="DD828" s="24" t="n"/>
      <c r="DE828" s="24" t="n"/>
      <c r="DF828" s="24" t="n"/>
      <c r="DG828" s="24" t="n"/>
      <c r="DH828" s="24" t="n"/>
      <c r="DI828" s="24" t="n"/>
      <c r="DJ828" s="24" t="inlineStr">
        <is>
          <t>0.596774</t>
        </is>
      </c>
      <c r="DK828" s="24" t="n"/>
      <c r="DL828" s="24" t="n"/>
      <c r="DM828" s="24" t="n"/>
      <c r="DN828" s="24" t="n"/>
      <c r="DO828" s="24" t="n"/>
      <c r="DP828" s="24" t="n"/>
      <c r="DQ828" s="24" t="inlineStr">
        <is>
          <t>{"artifact_hash": "1d168f11d221cd3c", "event_id": "401864513", "event_start_utc": "2026-10-04T03:59Z", "features": {"altitude_fatigue_penalty": 0.0, "away_team": "San Jos\u00e9 State Spartans", "efficiency_gap": 0.0, "elo_away": 1437.5, "elo_home": 1437.5, "elo_home_win_prob": 0.5925, "event_id": "401864513", "game_start_utc": "2026-10-04T03:59Z", "home_field_advantage_points": 2.8, "home_team": "Hawai'i Rainbow Warriors", "is_dome": false, "is_fbs_vs_fcs": false, "is_neutral_site": false, "projected_away_points": 25.4, "projected_home_points": 28.1, "projected_margin_home": 2.7, "projected_possessions": 12.4, "projected_total": 53.5, "stadium_elevation_ft": 40, "travel_distance_miles": 2412.0, "uncertainty": 0.18, "weather_total_adjustment": 0.0}, "historical_source_observation_times_verified": false, "inference_inputs": {"engine_source_sha256": "449ba2f0e86fa9c445730076a0e0bf100fb4914620be53c75c6f3bfe24298f3f", "mu_away": 25.4, "mu_home": 28.1,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5845029021131159929846008675962145347}, "uinteger": 0}, "spread_home_line": -2.5, "total_line": 50.5}, "market_type": "moneyline", "model_version": "college-football-v1", "observed_at_utc": "2026-10-03T22:32:35.686759+00:00", "probabilities": {"away": 0.439267, "home": 0.560733}, "replay_scope": "Full precision score means, exact engine parameters and original RNG state; upstream feature construction not certified.", "schema": "cfb-joint-replay-v1", "snapshot_hash": "699423f1aabdbb283f4d6597aaed16b9dfc3ffa1197d4195aa80d4f37d65ab52", "sport": "NCAAF"}</t>
        </is>
      </c>
    </row>
    <row r="829" ht="36" customHeight="1">
      <c r="A829" s="24" t="inlineStr">
        <is>
          <t>9198b32b39814328</t>
        </is>
      </c>
      <c r="B829" s="24" t="inlineStr">
        <is>
          <t>2026-10-03T22:32:35.686759Z</t>
        </is>
      </c>
      <c r="C829" s="24" t="inlineStr">
        <is>
          <t>2026-10-04T03:59Z</t>
        </is>
      </c>
      <c r="D829" s="24" t="inlineStr">
        <is>
          <t>401864513</t>
        </is>
      </c>
      <c r="E829" s="24" t="inlineStr">
        <is>
          <t>NCAAF</t>
        </is>
      </c>
      <c r="F829" s="24" t="inlineStr">
        <is>
          <t>San José State Spartans</t>
        </is>
      </c>
      <c r="G829" s="24" t="inlineStr">
        <is>
          <t>Hawai'i Rainbow Warriors</t>
        </is>
      </c>
      <c r="H829" s="24" t="inlineStr">
        <is>
          <t>spread</t>
        </is>
      </c>
      <c r="I829" s="24" t="inlineStr">
        <is>
          <t>home</t>
        </is>
      </c>
      <c r="J829" s="25" t="n">
        <v>-2.5</v>
      </c>
      <c r="K829" s="24" t="inlineStr">
        <is>
          <t>espn_consensus</t>
        </is>
      </c>
      <c r="L829" s="26" t="n">
        <v>-120</v>
      </c>
      <c r="M829" s="27" t="n">
        <v>1.833333</v>
      </c>
      <c r="N829" s="28" t="n">
        <v>0.545455</v>
      </c>
      <c r="O829" s="28" t="n">
        <v>0.507267</v>
      </c>
      <c r="P829" s="28" t="n">
        <v>0.18</v>
      </c>
      <c r="Q829" s="28" t="n">
        <v>-0.038188</v>
      </c>
      <c r="R829" s="26" t="n">
        <v>0</v>
      </c>
      <c r="S829" s="29" t="n">
        <v>1</v>
      </c>
      <c r="T829" s="24" t="inlineStr">
        <is>
          <t>cfb-spread-v1</t>
        </is>
      </c>
      <c r="U829" s="24" t="inlineStr">
        <is>
          <t>settled</t>
        </is>
      </c>
      <c r="V829" s="24" t="inlineStr">
        <is>
          <t>loss</t>
        </is>
      </c>
      <c r="W829" s="26" t="n">
        <v>20</v>
      </c>
      <c r="X829" s="26" t="n">
        <v>16</v>
      </c>
      <c r="Y829" s="25" t="n"/>
      <c r="Z829" s="26" t="n"/>
      <c r="AA829" s="28" t="n"/>
      <c r="AB829" s="28" t="n"/>
      <c r="AC829" s="30" t="n">
        <v>-1</v>
      </c>
      <c r="AD829" s="24" t="inlineStr">
        <is>
          <t>2026-10-04T20:48:46.362383Z</t>
        </is>
      </c>
      <c r="AE829" s="31" t="inlineStr">
        <is>
          <t>Projected home margin +2.7 pts. Spread: Home -2.5 / Away +2.5 -&gt; P(Away cover)=0.493, P(Home cover)=0.507, P(Push)=0.000.</t>
        </is>
      </c>
      <c r="AF829" s="31" t="inlineStr">
        <is>
          <t>College football model; multi-market (moneyline, spread, total).</t>
        </is>
      </c>
      <c r="AG829" s="24" t="inlineStr">
        <is>
          <t>review_required</t>
        </is>
      </c>
      <c r="AH829" s="24" t="n"/>
      <c r="AI829" s="31" t="n"/>
      <c r="AJ829" s="31" t="n"/>
      <c r="AK829" s="24" t="inlineStr">
        <is>
          <t>paper_call</t>
        </is>
      </c>
      <c r="AL829" s="26" t="n">
        <v>4</v>
      </c>
      <c r="AM829" s="24" t="inlineStr">
        <is>
          <t>RESEARCH_OBSERVATION</t>
        </is>
      </c>
      <c r="AN829" s="24" t="inlineStr">
        <is>
          <t>CALL</t>
        </is>
      </c>
      <c r="AO829" s="24" t="inlineStr">
        <is>
          <t>PAPER_CALL_LOW_EDGE</t>
        </is>
      </c>
      <c r="AP829" s="24" t="inlineStr">
        <is>
          <t>San José State Spartans</t>
        </is>
      </c>
      <c r="AQ829" s="24" t="inlineStr">
        <is>
          <t>San José State Spartans</t>
        </is>
      </c>
      <c r="AR829" s="24" t="inlineStr">
        <is>
          <t>San José State Spartans</t>
        </is>
      </c>
      <c r="AS829" s="24" t="inlineStr">
        <is>
          <t>Hawai'i Rainbow Warriors</t>
        </is>
      </c>
      <c r="AT829" s="24" t="inlineStr">
        <is>
          <t>Hawai'i Rainbow Warriors</t>
        </is>
      </c>
      <c r="AU829" s="24" t="inlineStr">
        <is>
          <t>Hawai'i Rainbow Warriors</t>
        </is>
      </c>
      <c r="AV829" s="24" t="n"/>
      <c r="AW829" s="24" t="n"/>
      <c r="AX829" s="24" t="inlineStr">
        <is>
          <t>statistical_model</t>
        </is>
      </c>
      <c r="AY829" s="24" t="n"/>
      <c r="AZ829" s="24" t="inlineStr">
        <is>
          <t>shadow_qualified</t>
        </is>
      </c>
      <c r="BA829" s="24" t="inlineStr">
        <is>
          <t>1d168f11d221cd3c</t>
        </is>
      </c>
      <c r="BB829" s="24" t="inlineStr">
        <is>
          <t>cfb_key_number_engine</t>
        </is>
      </c>
      <c r="BC829" s="24" t="inlineStr">
        <is>
          <t>cfb-spread-v1</t>
        </is>
      </c>
      <c r="BD829" s="24" t="inlineStr">
        <is>
          <t>1d168f11d221cd3c</t>
        </is>
      </c>
      <c r="BE829" s="24" t="inlineStr">
        <is>
          <t>cfb-v1</t>
        </is>
      </c>
      <c r="BF829" s="24" t="inlineStr">
        <is>
          <t>1</t>
        </is>
      </c>
      <c r="BG829" s="24" t="inlineStr">
        <is>
          <t>1d168f11d221cd3c</t>
        </is>
      </c>
      <c r="BH829" s="24" t="inlineStr">
        <is>
          <t>2026-10-03T22:32:35.686759+00:00</t>
        </is>
      </c>
      <c r="BI829" s="24" t="inlineStr">
        <is>
          <t>["same_event","same_team_same_day","same_league_same_day"]</t>
        </is>
      </c>
      <c r="BJ829" s="25" t="n">
        <v>-2.5</v>
      </c>
      <c r="BK829" s="26" t="n">
        <v>-120</v>
      </c>
      <c r="BL829" s="27" t="n">
        <v>1.833333</v>
      </c>
      <c r="BM829" s="28" t="n">
        <v>0.545455</v>
      </c>
      <c r="BN829" s="28" t="n"/>
      <c r="BO829" s="28" t="n"/>
      <c r="BP829" s="25" t="n"/>
      <c r="BQ829" s="27" t="n"/>
      <c r="BR829" s="28" t="n"/>
      <c r="BS829" s="28" t="n"/>
      <c r="BT829" s="28" t="n"/>
      <c r="BU829" s="25" t="n"/>
      <c r="BV829" s="29" t="n"/>
      <c r="BW829" s="24" t="n"/>
      <c r="BX829" s="30" t="n">
        <v>1</v>
      </c>
      <c r="BY829" s="27" t="n">
        <v>-1</v>
      </c>
      <c r="BZ829" s="24" t="inlineStr">
        <is>
          <t>2026-10-04T20:48:46.362383Z</t>
        </is>
      </c>
      <c r="CA829" s="31" t="inlineStr">
        <is>
          <t>fixed one-unit hypothetical scoring; no real exposure or execution</t>
        </is>
      </c>
      <c r="CB829" s="24" t="n"/>
      <c r="CC829" s="24" t="n"/>
      <c r="CD829" s="24" t="n"/>
      <c r="CE829" s="24" t="n"/>
      <c r="CF829" s="24" t="n"/>
      <c r="CG829" s="24" t="n"/>
      <c r="CH829" s="24" t="n"/>
      <c r="CI829" s="24" t="n"/>
      <c r="CJ829" s="24" t="n"/>
      <c r="CK829" s="24" t="n"/>
      <c r="CL829" s="24" t="n"/>
      <c r="CM829" s="24" t="n"/>
      <c r="CN829" s="24" t="n"/>
      <c r="CO829" s="24" t="n"/>
      <c r="CP829" s="24" t="n"/>
      <c r="CQ829" s="24" t="n"/>
      <c r="CR829" s="24" t="n"/>
      <c r="CS829" s="24" t="inlineStr">
        <is>
          <t>False</t>
        </is>
      </c>
      <c r="CT829" s="24" t="n"/>
      <c r="CU829" s="24" t="n"/>
      <c r="CV829" s="24" t="n"/>
      <c r="CW829" s="24" t="n"/>
      <c r="CX829" s="24" t="n"/>
      <c r="CY829" s="24" t="n"/>
      <c r="CZ829" s="24" t="n"/>
      <c r="DA829" s="24" t="n"/>
      <c r="DB829" s="24" t="n"/>
      <c r="DC829" s="24" t="n"/>
      <c r="DD829" s="24" t="n"/>
      <c r="DE829" s="24" t="n"/>
      <c r="DF829" s="24" t="n"/>
      <c r="DG829" s="24" t="n"/>
      <c r="DH829" s="24" t="n"/>
      <c r="DI829" s="24" t="n"/>
      <c r="DJ829" s="24" t="inlineStr">
        <is>
          <t>0.545455</t>
        </is>
      </c>
      <c r="DK829" s="24" t="n"/>
      <c r="DL829" s="24" t="n"/>
      <c r="DM829" s="24" t="n"/>
      <c r="DN829" s="24" t="n"/>
      <c r="DO829" s="24" t="n"/>
      <c r="DP829" s="24" t="n"/>
      <c r="DQ829" s="24" t="inlineStr">
        <is>
          <t>{"artifact_hash": "1d168f11d221cd3c", "event_id": "401864513", "event_start_utc": "2026-10-04T03:59Z", "features": {"altitude_fatigue_penalty": 0.0, "away_team": "San Jos\u00e9 State Spartans", "efficiency_gap": 0.0, "elo_away": 1437.5, "elo_home": 1437.5, "elo_home_win_prob": 0.5925, "event_id": "401864513", "game_start_utc": "2026-10-04T03:59Z", "home_field_advantage_points": 2.8, "home_team": "Hawai'i Rainbow Warriors", "is_dome": false, "is_fbs_vs_fcs": false, "is_neutral_site": false, "projected_away_points": 25.4, "projected_home_points": 28.1, "projected_margin_home": 2.7, "projected_possessions": 12.4, "projected_total": 53.5, "stadium_elevation_ft": 40, "travel_distance_miles": 2412.0, "uncertainty": 0.18, "weather_total_adjustment": 0.0}, "historical_source_observation_times_verified": false, "inference_inputs": {"engine_source_sha256": "449ba2f0e86fa9c445730076a0e0bf100fb4914620be53c75c6f3bfe24298f3f", "mu_away": 25.4, "mu_home": 28.1,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5845029021131159929846008675962145347}, "uinteger": 0}, "spread_home_line": -2.5, "total_line": 50.5}, "market_type": "spread", "model_version": "cfb-spread-v1", "observed_at_utc": "2026-10-03T22:32:35.686759+00:00", "probabilities": {"away": 0.492733, "home": 0.507267, "push": 0.0}, "replay_scope": "Full precision score means, exact engine parameters and original RNG state; upstream feature construction not certified.", "schema": "cfb-joint-replay-v1", "snapshot_hash": "8bba5574c8d4aa36a174bdf9523e65d2df55581bf85d1872e3dcc07475b7e615", "sport": "NCAAF"}</t>
        </is>
      </c>
    </row>
    <row r="830" ht="36" customHeight="1">
      <c r="A830" s="24" t="inlineStr">
        <is>
          <t>3735c991f1c44089</t>
        </is>
      </c>
      <c r="B830" s="24" t="inlineStr">
        <is>
          <t>2026-10-03T22:32:35.686759Z</t>
        </is>
      </c>
      <c r="C830" s="24" t="inlineStr">
        <is>
          <t>2026-10-04T03:59Z</t>
        </is>
      </c>
      <c r="D830" s="24" t="inlineStr">
        <is>
          <t>401864513</t>
        </is>
      </c>
      <c r="E830" s="24" t="inlineStr">
        <is>
          <t>NCAAF</t>
        </is>
      </c>
      <c r="F830" s="24" t="inlineStr">
        <is>
          <t>San José State Spartans</t>
        </is>
      </c>
      <c r="G830" s="24" t="inlineStr">
        <is>
          <t>Hawai'i Rainbow Warriors</t>
        </is>
      </c>
      <c r="H830" s="24" t="inlineStr">
        <is>
          <t>total</t>
        </is>
      </c>
      <c r="I830" s="24" t="inlineStr">
        <is>
          <t>over</t>
        </is>
      </c>
      <c r="J830" s="25" t="n">
        <v>50.5</v>
      </c>
      <c r="K830" s="24" t="inlineStr">
        <is>
          <t>espn_consensus</t>
        </is>
      </c>
      <c r="L830" s="26" t="n">
        <v>-112</v>
      </c>
      <c r="M830" s="27" t="n">
        <v>1.892857</v>
      </c>
      <c r="N830" s="28" t="n">
        <v>0.528302</v>
      </c>
      <c r="O830" s="28" t="n">
        <v>0.5111329999999999</v>
      </c>
      <c r="P830" s="28" t="n">
        <v>0.18</v>
      </c>
      <c r="Q830" s="28" t="n">
        <v>-0.017169</v>
      </c>
      <c r="R830" s="26" t="n">
        <v>0</v>
      </c>
      <c r="S830" s="29" t="n">
        <v>1</v>
      </c>
      <c r="T830" s="24" t="inlineStr">
        <is>
          <t>cfb-total-v1</t>
        </is>
      </c>
      <c r="U830" s="24" t="inlineStr">
        <is>
          <t>settled</t>
        </is>
      </c>
      <c r="V830" s="24" t="inlineStr">
        <is>
          <t>loss</t>
        </is>
      </c>
      <c r="W830" s="26" t="n">
        <v>20</v>
      </c>
      <c r="X830" s="26" t="n">
        <v>16</v>
      </c>
      <c r="Y830" s="25" t="n"/>
      <c r="Z830" s="26" t="n"/>
      <c r="AA830" s="28" t="n"/>
      <c r="AB830" s="28" t="n"/>
      <c r="AC830" s="30" t="n">
        <v>-1</v>
      </c>
      <c r="AD830" s="24" t="inlineStr">
        <is>
          <t>2026-10-04T20:48:52.108189Z</t>
        </is>
      </c>
      <c r="AE830" s="31" t="inlineStr">
        <is>
          <t>Projected total 53.5 pts (Weather adj: +0.0 pts). Total line 50.5 -&gt; P(Over)=0.511, P(Under)=0.489, P(Push)=0.000.</t>
        </is>
      </c>
      <c r="AF830" s="31" t="inlineStr">
        <is>
          <t>College football model; multi-market (moneyline, spread, total).</t>
        </is>
      </c>
      <c r="AG830" s="24" t="inlineStr">
        <is>
          <t>review_required</t>
        </is>
      </c>
      <c r="AH830" s="24" t="n"/>
      <c r="AI830" s="31" t="n"/>
      <c r="AJ830" s="31" t="n"/>
      <c r="AK830" s="24" t="inlineStr">
        <is>
          <t>paper_call</t>
        </is>
      </c>
      <c r="AL830" s="26" t="n">
        <v>4</v>
      </c>
      <c r="AM830" s="24" t="inlineStr">
        <is>
          <t>RESEARCH_OBSERVATION</t>
        </is>
      </c>
      <c r="AN830" s="24" t="inlineStr">
        <is>
          <t>CALL</t>
        </is>
      </c>
      <c r="AO830" s="24" t="inlineStr">
        <is>
          <t>PAPER_CALL_LOW_EDGE</t>
        </is>
      </c>
      <c r="AP830" s="24" t="inlineStr">
        <is>
          <t>San José State Spartans</t>
        </is>
      </c>
      <c r="AQ830" s="24" t="inlineStr">
        <is>
          <t>San José State Spartans</t>
        </is>
      </c>
      <c r="AR830" s="24" t="inlineStr">
        <is>
          <t>San José State Spartans</t>
        </is>
      </c>
      <c r="AS830" s="24" t="inlineStr">
        <is>
          <t>Hawai'i Rainbow Warriors</t>
        </is>
      </c>
      <c r="AT830" s="24" t="inlineStr">
        <is>
          <t>Hawai'i Rainbow Warriors</t>
        </is>
      </c>
      <c r="AU830" s="24" t="inlineStr">
        <is>
          <t>Hawai'i Rainbow Warriors</t>
        </is>
      </c>
      <c r="AV830" s="24" t="n"/>
      <c r="AW830" s="24" t="n"/>
      <c r="AX830" s="24" t="inlineStr">
        <is>
          <t>statistical_model</t>
        </is>
      </c>
      <c r="AY830" s="24" t="n"/>
      <c r="AZ830" s="24" t="inlineStr">
        <is>
          <t>shadow_qualified</t>
        </is>
      </c>
      <c r="BA830" s="24" t="inlineStr">
        <is>
          <t>1d168f11d221cd3c</t>
        </is>
      </c>
      <c r="BB830" s="24" t="inlineStr">
        <is>
          <t>cfb_key_number_engine</t>
        </is>
      </c>
      <c r="BC830" s="24" t="inlineStr">
        <is>
          <t>cfb-total-v1</t>
        </is>
      </c>
      <c r="BD830" s="24" t="inlineStr">
        <is>
          <t>1d168f11d221cd3c</t>
        </is>
      </c>
      <c r="BE830" s="24" t="inlineStr">
        <is>
          <t>cfb-v1</t>
        </is>
      </c>
      <c r="BF830" s="24" t="inlineStr">
        <is>
          <t>1</t>
        </is>
      </c>
      <c r="BG830" s="24" t="inlineStr">
        <is>
          <t>1d168f11d221cd3c</t>
        </is>
      </c>
      <c r="BH830" s="24" t="inlineStr">
        <is>
          <t>2026-10-03T22:32:35.686759+00:00</t>
        </is>
      </c>
      <c r="BI830" s="24" t="inlineStr">
        <is>
          <t>["same_event","same_team_same_day","same_league_same_day"]</t>
        </is>
      </c>
      <c r="BJ830" s="25" t="n">
        <v>50.5</v>
      </c>
      <c r="BK830" s="26" t="n">
        <v>-112</v>
      </c>
      <c r="BL830" s="27" t="n">
        <v>1.892857</v>
      </c>
      <c r="BM830" s="28" t="n">
        <v>0.528302</v>
      </c>
      <c r="BN830" s="28" t="n"/>
      <c r="BO830" s="28" t="n"/>
      <c r="BP830" s="25" t="n"/>
      <c r="BQ830" s="27" t="n"/>
      <c r="BR830" s="28" t="n"/>
      <c r="BS830" s="28" t="n"/>
      <c r="BT830" s="28" t="n"/>
      <c r="BU830" s="25" t="n"/>
      <c r="BV830" s="29" t="n"/>
      <c r="BW830" s="24" t="n"/>
      <c r="BX830" s="30" t="n">
        <v>1</v>
      </c>
      <c r="BY830" s="27" t="n">
        <v>-1</v>
      </c>
      <c r="BZ830" s="24" t="inlineStr">
        <is>
          <t>2026-10-04T20:48:52.108189Z</t>
        </is>
      </c>
      <c r="CA830" s="31" t="inlineStr">
        <is>
          <t>fixed one-unit hypothetical scoring; no real exposure or execution</t>
        </is>
      </c>
      <c r="CB830" s="24" t="n"/>
      <c r="CC830" s="24" t="n"/>
      <c r="CD830" s="24" t="n"/>
      <c r="CE830" s="24" t="n"/>
      <c r="CF830" s="24" t="n"/>
      <c r="CG830" s="24" t="n"/>
      <c r="CH830" s="24" t="n"/>
      <c r="CI830" s="24" t="n"/>
      <c r="CJ830" s="24" t="n"/>
      <c r="CK830" s="24" t="n"/>
      <c r="CL830" s="24" t="n"/>
      <c r="CM830" s="24" t="n"/>
      <c r="CN830" s="24" t="n"/>
      <c r="CO830" s="24" t="n"/>
      <c r="CP830" s="24" t="n"/>
      <c r="CQ830" s="24" t="n"/>
      <c r="CR830" s="24" t="n"/>
      <c r="CS830" s="24" t="inlineStr">
        <is>
          <t>False</t>
        </is>
      </c>
      <c r="CT830" s="24" t="n"/>
      <c r="CU830" s="24" t="n"/>
      <c r="CV830" s="24" t="n"/>
      <c r="CW830" s="24" t="n"/>
      <c r="CX830" s="24" t="n"/>
      <c r="CY830" s="24" t="n"/>
      <c r="CZ830" s="24" t="n"/>
      <c r="DA830" s="24" t="n"/>
      <c r="DB830" s="24" t="n"/>
      <c r="DC830" s="24" t="n"/>
      <c r="DD830" s="24" t="n"/>
      <c r="DE830" s="24" t="n"/>
      <c r="DF830" s="24" t="n"/>
      <c r="DG830" s="24" t="n"/>
      <c r="DH830" s="24" t="n"/>
      <c r="DI830" s="24" t="n"/>
      <c r="DJ830" s="24" t="inlineStr">
        <is>
          <t>0.528302</t>
        </is>
      </c>
      <c r="DK830" s="24" t="n"/>
      <c r="DL830" s="24" t="n"/>
      <c r="DM830" s="24" t="n"/>
      <c r="DN830" s="24" t="n"/>
      <c r="DO830" s="24" t="n"/>
      <c r="DP830" s="24" t="n"/>
      <c r="DQ830" s="24" t="inlineStr">
        <is>
          <t>{"artifact_hash": "1d168f11d221cd3c", "event_id": "401864513", "event_start_utc": "2026-10-04T03:59Z", "features": {"altitude_fatigue_penalty": 0.0, "away_team": "San Jos\u00e9 State Spartans", "efficiency_gap": 0.0, "elo_away": 1437.5, "elo_home": 1437.5, "elo_home_win_prob": 0.5925, "event_id": "401864513", "game_start_utc": "2026-10-04T03:59Z", "home_field_advantage_points": 2.8, "home_team": "Hawai'i Rainbow Warriors", "is_dome": false, "is_fbs_vs_fcs": false, "is_neutral_site": false, "projected_away_points": 25.4, "projected_home_points": 28.1, "projected_margin_home": 2.7, "projected_possessions": 12.4, "projected_total": 53.5, "stadium_elevation_ft": 40, "travel_distance_miles": 2412.0, "uncertainty": 0.18, "weather_total_adjustment": 0.0}, "historical_source_observation_times_verified": false, "inference_inputs": {"engine_source_sha256": "449ba2f0e86fa9c445730076a0e0bf100fb4914620be53c75c6f3bfe24298f3f", "mu_away": 25.4, "mu_home": 28.1,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5845029021131159929846008675962145347}, "uinteger": 0}, "spread_home_line": -2.5, "total_line": 50.5}, "market_type": "total", "model_version": "cfb-total-v1", "observed_at_utc": "2026-10-03T22:32:35.686759+00:00", "probabilities": {"over": 0.511133, "push": 0.0, "under": 0.488867}, "replay_scope": "Full precision score means, exact engine parameters and original RNG state; upstream feature construction not certified.", "schema": "cfb-joint-replay-v1", "snapshot_hash": "53065a938a437c12a65df7fe6afa79eb55016909e95e5d3401819feffbad6a1d", "sport": "NCAAF"}</t>
        </is>
      </c>
    </row>
    <row r="831" ht="36" customHeight="1">
      <c r="A831" s="24" t="inlineStr">
        <is>
          <t>761144edcc8f47a2</t>
        </is>
      </c>
      <c r="B831" s="24" t="inlineStr">
        <is>
          <t>2026-10-07T22:26:20.753441Z</t>
        </is>
      </c>
      <c r="C831" s="24" t="inlineStr">
        <is>
          <t>2026-10-07T23:00Z</t>
        </is>
      </c>
      <c r="D831" s="24" t="inlineStr">
        <is>
          <t>401871051</t>
        </is>
      </c>
      <c r="E831" s="24" t="inlineStr">
        <is>
          <t>NCAAF</t>
        </is>
      </c>
      <c r="F831" s="24" t="inlineStr">
        <is>
          <t>Jacksonville State Gamecocks</t>
        </is>
      </c>
      <c r="G831" s="24" t="inlineStr">
        <is>
          <t>Kennesaw State Owls</t>
        </is>
      </c>
      <c r="H831" s="24" t="inlineStr">
        <is>
          <t>moneyline</t>
        </is>
      </c>
      <c r="I831" s="24" t="inlineStr">
        <is>
          <t>away</t>
        </is>
      </c>
      <c r="J831" s="25" t="n"/>
      <c r="K831" s="24" t="inlineStr">
        <is>
          <t>espn_consensus</t>
        </is>
      </c>
      <c r="L831" s="26" t="n">
        <v>-148</v>
      </c>
      <c r="M831" s="27" t="n">
        <v>1.675676</v>
      </c>
      <c r="N831" s="28" t="n">
        <v>0.596774</v>
      </c>
      <c r="O831" s="28" t="n">
        <v>0.657296</v>
      </c>
      <c r="P831" s="28" t="n">
        <v>0.135</v>
      </c>
      <c r="Q831" s="28" t="n">
        <v>0.060522</v>
      </c>
      <c r="R831" s="26" t="n">
        <v>0</v>
      </c>
      <c r="S831" s="29" t="n">
        <v>1</v>
      </c>
      <c r="T831" s="24" t="inlineStr">
        <is>
          <t>cfb-structural-v2</t>
        </is>
      </c>
      <c r="U831" s="24" t="inlineStr">
        <is>
          <t>settled</t>
        </is>
      </c>
      <c r="V831" s="24" t="inlineStr">
        <is>
          <t>win</t>
        </is>
      </c>
      <c r="W831" s="26" t="n">
        <v>27</v>
      </c>
      <c r="X831" s="26" t="n">
        <v>26</v>
      </c>
      <c r="Y831" s="25" t="n"/>
      <c r="Z831" s="26" t="n"/>
      <c r="AA831" s="28" t="n"/>
      <c r="AB831" s="28" t="n"/>
      <c r="AC831" s="30" t="n">
        <v>0.6757</v>
      </c>
      <c r="AD831" s="24" t="inlineStr">
        <is>
          <t>2026-10-08T03:21:19.530353Z</t>
        </is>
      </c>
      <c r="AE831" s="31" t="inlineStr">
        <is>
          <t>CFB Joint Model (negative_binomial): proj score Jacksonville State Gamecocks 29.5 @ Kennesaw State Owls 22.3 (Margin -7.2). Possessions: 12.4, HFA: +2.8 pts.</t>
        </is>
      </c>
      <c r="AF831" s="31" t="inlineStr">
        <is>
          <t>College football model; multi-market (moneyline, spread, total).</t>
        </is>
      </c>
      <c r="AG831" s="24" t="inlineStr">
        <is>
          <t>not_applicable</t>
        </is>
      </c>
      <c r="AH831" s="24" t="n"/>
      <c r="AI831" s="31" t="n"/>
      <c r="AJ831" s="31" t="n"/>
      <c r="AK831" s="24" t="inlineStr">
        <is>
          <t>model_qualified</t>
        </is>
      </c>
      <c r="AL831" s="26" t="n">
        <v>4</v>
      </c>
      <c r="AM831" s="24" t="inlineStr">
        <is>
          <t>QUALIFIED_SHADOW_CALL</t>
        </is>
      </c>
      <c r="AN831" s="24" t="inlineStr">
        <is>
          <t>CALL</t>
        </is>
      </c>
      <c r="AO831" s="24" t="inlineStr">
        <is>
          <t>QUALIFIED</t>
        </is>
      </c>
      <c r="AP831" s="24" t="inlineStr">
        <is>
          <t>Jacksonville State Gamecocks</t>
        </is>
      </c>
      <c r="AQ831" s="24" t="inlineStr">
        <is>
          <t>Jacksonville State Gamecocks</t>
        </is>
      </c>
      <c r="AR831" s="24" t="inlineStr">
        <is>
          <t>Jacksonville State Gamecocks</t>
        </is>
      </c>
      <c r="AS831" s="24" t="inlineStr">
        <is>
          <t>Kennesaw State Owls</t>
        </is>
      </c>
      <c r="AT831" s="24" t="inlineStr">
        <is>
          <t>Kennesaw State Owls</t>
        </is>
      </c>
      <c r="AU831" s="24" t="inlineStr">
        <is>
          <t>Kennesaw State Owls</t>
        </is>
      </c>
      <c r="AV831" s="24" t="n"/>
      <c r="AW831" s="24" t="n"/>
      <c r="AX831" s="24" t="inlineStr">
        <is>
          <t>statistical_model</t>
        </is>
      </c>
      <c r="AY831" s="24" t="n"/>
      <c r="AZ831" s="24" t="inlineStr">
        <is>
          <t>shadow_qualified</t>
        </is>
      </c>
      <c r="BA831" s="24" t="inlineStr">
        <is>
          <t>94ee6b24581446a6</t>
        </is>
      </c>
      <c r="BB831" s="24" t="inlineStr">
        <is>
          <t>cfb_key_number_engine</t>
        </is>
      </c>
      <c r="BC831" s="24" t="inlineStr">
        <is>
          <t>cfb-structural-v2</t>
        </is>
      </c>
      <c r="BD831" s="24" t="inlineStr">
        <is>
          <t>94ee6b24581446a6</t>
        </is>
      </c>
      <c r="BE831" s="24" t="inlineStr">
        <is>
          <t>cfb-v1</t>
        </is>
      </c>
      <c r="BF831" s="24" t="inlineStr">
        <is>
          <t>1</t>
        </is>
      </c>
      <c r="BG831" s="24" t="inlineStr">
        <is>
          <t>94ee6b24581446a6</t>
        </is>
      </c>
      <c r="BH831" s="24" t="inlineStr">
        <is>
          <t>2026-10-07T22:26:20.753441+00:00</t>
        </is>
      </c>
      <c r="BI831" s="24" t="inlineStr">
        <is>
          <t>["same_event","same_team_same_day","same_league_same_day"]</t>
        </is>
      </c>
      <c r="BJ831" s="25" t="n"/>
      <c r="BK831" s="26" t="n">
        <v>-148</v>
      </c>
      <c r="BL831" s="27" t="n">
        <v>1.675676</v>
      </c>
      <c r="BM831" s="28" t="n">
        <v>0.596774</v>
      </c>
      <c r="BN831" s="28" t="n"/>
      <c r="BO831" s="28" t="n"/>
      <c r="BP831" s="25" t="n"/>
      <c r="BQ831" s="27" t="n"/>
      <c r="BR831" s="28" t="n"/>
      <c r="BS831" s="28" t="n"/>
      <c r="BT831" s="28" t="n"/>
      <c r="BU831" s="25" t="n"/>
      <c r="BV831" s="29" t="n"/>
      <c r="BW831" s="24" t="n"/>
      <c r="BX831" s="30" t="n"/>
      <c r="BY831" s="27" t="n"/>
      <c r="BZ831" s="24" t="n"/>
      <c r="CA831" s="31" t="n"/>
      <c r="CB831" s="24" t="n"/>
      <c r="CC831" s="24" t="n"/>
      <c r="CD831" s="24" t="n"/>
      <c r="CE831" s="24" t="n"/>
      <c r="CF831" s="24" t="n"/>
      <c r="CG831" s="24" t="n"/>
      <c r="CH831" s="24" t="n"/>
      <c r="CI831" s="24" t="n"/>
      <c r="CJ831" s="24" t="n"/>
      <c r="CK831" s="24" t="n"/>
      <c r="CL831" s="24" t="n"/>
      <c r="CM831" s="24" t="n"/>
      <c r="CN831" s="24" t="n"/>
      <c r="CO831" s="24" t="n"/>
      <c r="CP831" s="24" t="n"/>
      <c r="CQ831" s="24" t="n"/>
      <c r="CR831" s="24" t="n"/>
      <c r="CS831" s="24" t="inlineStr">
        <is>
          <t>True</t>
        </is>
      </c>
      <c r="CT831" s="24" t="n"/>
      <c r="CU831" s="24" t="n"/>
      <c r="CV831" s="24" t="n"/>
      <c r="CW831" s="24" t="n"/>
      <c r="CX831" s="24" t="n"/>
      <c r="CY831" s="24" t="n"/>
      <c r="CZ831" s="24" t="n"/>
      <c r="DA831" s="24" t="n"/>
      <c r="DB831" s="24" t="n"/>
      <c r="DC831" s="24" t="n"/>
      <c r="DD831" s="24" t="n"/>
      <c r="DE831" s="24" t="n"/>
      <c r="DF831" s="24" t="n"/>
      <c r="DG831" s="24" t="n"/>
      <c r="DH831" s="24" t="n"/>
      <c r="DI831" s="24" t="n"/>
      <c r="DJ831" s="24" t="inlineStr">
        <is>
          <t>0.596774</t>
        </is>
      </c>
      <c r="DK831" s="24" t="n"/>
      <c r="DL831" s="24" t="n"/>
      <c r="DM831" s="24" t="n"/>
      <c r="DN831" s="24" t="n"/>
      <c r="DO831" s="24" t="n"/>
      <c r="DP831" s="24" t="n"/>
      <c r="DQ831" s="24" t="inlineStr">
        <is>
          <t>{"artifact_hash": "94ee6b24581446a6", "event_id": "401871051", "event_start_utc": "2026-10-07T23:00Z", "features": {"altitude_fatigue_penalty": 0.0, "away_team": "Jacksonville State Gamecocks", "efficiency_gap": -0.743, "elo_away": 1583.9, "elo_home": 1323.5, "elo_home_win_prob": 0.2452, "event_id": "401871051", "game_start_utc": "2026-10-07T23:00Z", "home_field_advantage_points": 2.8, "home_team": "Kennesaw State Owls", "is_dome": false, "is_fbs_vs_fcs": false, "is_neutral_site": false, "projected_away_points": 29.5, "projected_home_points": 22.3, "projected_margin_home": -7.2, "projected_possessions": 12.4, "projected_total": 51.9, "stadium_elevation_ft": 990, "travel_distance_miles": 70.0, "uncertainty": 0.135, "weather_total_adjustment": 0.0}, "historical_source_observation_times_verified": false, "inference_inputs": {"engine_source_sha256": "449ba2f0e86fa9c445730076a0e0bf100fb4914620be53c75c6f3bfe24298f3f", "mu_away": 29.5, "mu_home": 22.3, "parameters": {"distribution_type": "negative_binomial", "margin_sd": 18.445,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3.0, "total_line": 48.5}, "market_type": "moneyline", "model_version": "cfb-structural-v2", "observed_at_utc": "2026-10-07T22:26:20.753441+00:00", "probabilities": {"away": 0.657296, "home": 0.342704}, "replay_scope": "Full precision score means, exact engine parameters and original RNG state; upstream feature construction not certified.", "schema": "cfb-joint-replay-v1", "snapshot_hash": "25e8ad918163e942c3ac450a0b4e3c83403efc6c5fe3947648fbd77d9264ab06", "sport": "NCAAF"}</t>
        </is>
      </c>
    </row>
    <row r="832" ht="36" customHeight="1">
      <c r="A832" s="24" t="inlineStr">
        <is>
          <t>4899232cc3944d7d</t>
        </is>
      </c>
      <c r="B832" s="24" t="inlineStr">
        <is>
          <t>2026-10-11T01:05:50.635572Z</t>
        </is>
      </c>
      <c r="C832" s="24" t="inlineStr">
        <is>
          <t>2026-10-11T02:30Z</t>
        </is>
      </c>
      <c r="D832" s="24" t="inlineStr">
        <is>
          <t>401860901</t>
        </is>
      </c>
      <c r="E832" s="24" t="inlineStr">
        <is>
          <t>NCAAF</t>
        </is>
      </c>
      <c r="F832" s="24" t="inlineStr">
        <is>
          <t>Boise State Broncos</t>
        </is>
      </c>
      <c r="G832" s="24" t="inlineStr">
        <is>
          <t>Fresno State Bulldogs</t>
        </is>
      </c>
      <c r="H832" s="24" t="inlineStr">
        <is>
          <t>moneyline</t>
        </is>
      </c>
      <c r="I832" s="24" t="inlineStr">
        <is>
          <t>home</t>
        </is>
      </c>
      <c r="J832" s="25" t="n"/>
      <c r="K832" s="24" t="inlineStr">
        <is>
          <t>espn_consensus</t>
        </is>
      </c>
      <c r="L832" s="26" t="n">
        <v>250</v>
      </c>
      <c r="M832" s="27" t="n">
        <v>3.5</v>
      </c>
      <c r="N832" s="28" t="n">
        <v>0.285714</v>
      </c>
      <c r="O832" s="28" t="n">
        <v>0.555701</v>
      </c>
      <c r="P832" s="28" t="n">
        <v>0.12</v>
      </c>
      <c r="Q832" s="28" t="n">
        <v>0.269987</v>
      </c>
      <c r="R832" s="26" t="n">
        <v>100</v>
      </c>
      <c r="S832" s="29" t="n">
        <v>2</v>
      </c>
      <c r="T832" s="24" t="inlineStr">
        <is>
          <t>cfb-structural-v2</t>
        </is>
      </c>
      <c r="U832" s="24" t="inlineStr">
        <is>
          <t>settled</t>
        </is>
      </c>
      <c r="V832" s="24" t="inlineStr">
        <is>
          <t>loss</t>
        </is>
      </c>
      <c r="W832" s="26" t="n">
        <v>38</v>
      </c>
      <c r="X832" s="26" t="n">
        <v>31</v>
      </c>
      <c r="Y832" s="25" t="n"/>
      <c r="Z832" s="26" t="n"/>
      <c r="AA832" s="28" t="n"/>
      <c r="AB832" s="28" t="n"/>
      <c r="AC832" s="30" t="n">
        <v>-2</v>
      </c>
      <c r="AD832" s="24" t="inlineStr">
        <is>
          <t>2026-10-11T10:00:13.029711Z</t>
        </is>
      </c>
      <c r="AE832" s="31" t="inlineStr">
        <is>
          <t>CFB Joint Model (negative_binomial): proj score Boise State Broncos 25.7 @ Fresno State Bulldogs 28.1 (Margin +2.4). Possessions: 12.4, HFA: +2.8 pts.</t>
        </is>
      </c>
      <c r="AF832" s="31" t="inlineStr">
        <is>
          <t>College football model; multi-market (moneyline, spread, total).</t>
        </is>
      </c>
      <c r="AG832" s="24" t="inlineStr">
        <is>
          <t>review_required</t>
        </is>
      </c>
      <c r="AH832" s="24" t="n"/>
      <c r="AI832" s="31" t="n"/>
      <c r="AJ832" s="31" t="n"/>
      <c r="AK832" s="24" t="inlineStr">
        <is>
          <t>model_qualified</t>
        </is>
      </c>
      <c r="AL832" s="26" t="n">
        <v>4</v>
      </c>
      <c r="AM832" s="24" t="inlineStr">
        <is>
          <t>QUALIFIED_SHADOW_CALL</t>
        </is>
      </c>
      <c r="AN832" s="24" t="inlineStr">
        <is>
          <t>CALL</t>
        </is>
      </c>
      <c r="AO832" s="24" t="inlineStr">
        <is>
          <t>QUALIFIED</t>
        </is>
      </c>
      <c r="AP832" s="24" t="inlineStr">
        <is>
          <t>Boise State Broncos</t>
        </is>
      </c>
      <c r="AQ832" s="24" t="inlineStr">
        <is>
          <t>Boise State Broncos</t>
        </is>
      </c>
      <c r="AR832" s="24" t="inlineStr">
        <is>
          <t>Boise State Broncos</t>
        </is>
      </c>
      <c r="AS832" s="24" t="inlineStr">
        <is>
          <t>Fresno State Bulldogs</t>
        </is>
      </c>
      <c r="AT832" s="24" t="inlineStr">
        <is>
          <t>Fresno State Bulldogs</t>
        </is>
      </c>
      <c r="AU832" s="24" t="inlineStr">
        <is>
          <t>Fresno State Bulldogs</t>
        </is>
      </c>
      <c r="AV832" s="24" t="n"/>
      <c r="AW832" s="24" t="n"/>
      <c r="AX832" s="24" t="inlineStr">
        <is>
          <t>statistical_model</t>
        </is>
      </c>
      <c r="AY832" s="24" t="n"/>
      <c r="AZ832" s="24" t="inlineStr">
        <is>
          <t>shadow_qualified</t>
        </is>
      </c>
      <c r="BA832" s="24" t="inlineStr">
        <is>
          <t>94ee6b24581446a6</t>
        </is>
      </c>
      <c r="BB832" s="24" t="inlineStr">
        <is>
          <t>cfb_key_number_engine</t>
        </is>
      </c>
      <c r="BC832" s="24" t="inlineStr">
        <is>
          <t>cfb-structural-v2</t>
        </is>
      </c>
      <c r="BD832" s="24" t="inlineStr">
        <is>
          <t>94ee6b24581446a6</t>
        </is>
      </c>
      <c r="BE832" s="24" t="inlineStr">
        <is>
          <t>cfb-v1</t>
        </is>
      </c>
      <c r="BF832" s="24" t="inlineStr">
        <is>
          <t>1</t>
        </is>
      </c>
      <c r="BG832" s="24" t="inlineStr">
        <is>
          <t>94ee6b24581446a6</t>
        </is>
      </c>
      <c r="BH832" s="24" t="inlineStr">
        <is>
          <t>2026-10-11T01:05:50.635572+00:00</t>
        </is>
      </c>
      <c r="BI832" s="24" t="inlineStr">
        <is>
          <t>["same_event","same_team_same_day","same_league_same_day"]</t>
        </is>
      </c>
      <c r="BJ832" s="25" t="n"/>
      <c r="BK832" s="26" t="n">
        <v>250</v>
      </c>
      <c r="BL832" s="27" t="n">
        <v>3.5</v>
      </c>
      <c r="BM832" s="28" t="n">
        <v>0.285714</v>
      </c>
      <c r="BN832" s="28" t="n"/>
      <c r="BO832" s="28" t="n"/>
      <c r="BP832" s="25" t="n"/>
      <c r="BQ832" s="27" t="n"/>
      <c r="BR832" s="28" t="n"/>
      <c r="BS832" s="28" t="n"/>
      <c r="BT832" s="28" t="n"/>
      <c r="BU832" s="25" t="n"/>
      <c r="BV832" s="29" t="n"/>
      <c r="BW832" s="24" t="n"/>
      <c r="BX832" s="30" t="n"/>
      <c r="BY832" s="27" t="n"/>
      <c r="BZ832" s="24" t="n"/>
      <c r="CA832" s="31" t="n"/>
      <c r="CB832" s="24" t="n"/>
      <c r="CC832" s="24" t="n"/>
      <c r="CD832" s="24" t="n"/>
      <c r="CE832" s="24" t="n"/>
      <c r="CF832" s="24" t="n"/>
      <c r="CG832" s="24" t="n"/>
      <c r="CH832" s="24" t="n"/>
      <c r="CI832" s="24" t="n"/>
      <c r="CJ832" s="24" t="n"/>
      <c r="CK832" s="24" t="n"/>
      <c r="CL832" s="24" t="n"/>
      <c r="CM832" s="24" t="n"/>
      <c r="CN832" s="24" t="n"/>
      <c r="CO832" s="24" t="n"/>
      <c r="CP832" s="24" t="n"/>
      <c r="CQ832" s="24" t="n"/>
      <c r="CR832" s="24" t="n"/>
      <c r="CS832" s="24" t="inlineStr">
        <is>
          <t>True</t>
        </is>
      </c>
      <c r="CT832" s="24" t="n"/>
      <c r="CU832" s="24" t="n"/>
      <c r="CV832" s="24" t="n"/>
      <c r="CW832" s="24" t="n"/>
      <c r="CX832" s="24" t="n"/>
      <c r="CY832" s="24" t="n"/>
      <c r="CZ832" s="24" t="n"/>
      <c r="DA832" s="24" t="n"/>
      <c r="DB832" s="24" t="n"/>
      <c r="DC832" s="24" t="n"/>
      <c r="DD832" s="24" t="n"/>
      <c r="DE832" s="24" t="n"/>
      <c r="DF832" s="24" t="n"/>
      <c r="DG832" s="24" t="n"/>
      <c r="DH832" s="24" t="n"/>
      <c r="DI832" s="24" t="n"/>
      <c r="DJ832" s="24" t="n"/>
      <c r="DK832" s="24" t="n"/>
      <c r="DL832" s="24" t="n"/>
      <c r="DM832" s="24" t="n"/>
      <c r="DN832" s="24" t="n"/>
      <c r="DO832" s="24" t="n"/>
      <c r="DP832" s="24" t="n"/>
      <c r="DQ832" s="24" t="inlineStr">
        <is>
          <t>{"artifact_hash": "94ee6b24581446a6", "event_id": "401860901", "event_start_utc": "2026-10-11T02:30Z", "features": {"altitude_fatigue_penalty": 0.0, "away_team": "Boise State Broncos", "efficiency_gap": -0.621, "elo_away": 1679.4, "elo_home": 1687.4, "elo_home_win_prob": 0.6035, "event_id": "401860901", "game_start_utc": "2026-10-11T02:30Z", "home_field_advantage_points": 2.8, "home_team": "Fresno State Bulldogs", "is_dome": false, "is_fbs_vs_fcs": false, "is_neutral_site": false, "projected_away_points": 25.7, "projected_home_points": 28.1, "projected_margin_home": 2.4, "projected_possessions": 12.4, "projected_total": 53.8, "stadium_elevation_ft": 340, "travel_distance_miles": 505.0, "uncertainty": 0.12, "weather_total_adjustment": 0.0}, "historical_source_observation_times_verified": false, "inference_inputs": {"engine_source_sha256": "449ba2f0e86fa9c445730076a0e0bf100fb4914620be53c75c6f3bfe24298f3f", "mu_away": 25.7, "mu_home": 28.1,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193547665833715166336644500936427784512}, "uinteger": 0}, "spread_home_line": 8.5, "total_line": 48.5}, "market_type": "moneyline", "model_version": "cfb-structural-v2", "observed_at_utc": "2026-10-11T01:05:50.635572+00:00", "probabilities": {"away": 0.444299, "home": 0.555701}, "replay_scope": "Full precision score means, exact engine parameters and original RNG state; upstream feature construction not certified.", "schema": "cfb-joint-replay-v1", "snapshot_hash": "61952eb1cc9ee6f4d7710e31e61e663d96bdf45df5edbc1d7b950ce0584b6a27", "sport": "NCAAF"}</t>
        </is>
      </c>
    </row>
    <row r="833" ht="36" customHeight="1">
      <c r="A833" s="24" t="inlineStr">
        <is>
          <t>be6e67a8e19a467f</t>
        </is>
      </c>
      <c r="B833" s="24" t="inlineStr">
        <is>
          <t>2026-10-11T01:05:50.635572Z</t>
        </is>
      </c>
      <c r="C833" s="24" t="inlineStr">
        <is>
          <t>2026-10-11T02:30Z</t>
        </is>
      </c>
      <c r="D833" s="24" t="inlineStr">
        <is>
          <t>401860901</t>
        </is>
      </c>
      <c r="E833" s="24" t="inlineStr">
        <is>
          <t>NCAAF</t>
        </is>
      </c>
      <c r="F833" s="24" t="inlineStr">
        <is>
          <t>Boise State Broncos</t>
        </is>
      </c>
      <c r="G833" s="24" t="inlineStr">
        <is>
          <t>Fresno State Bulldogs</t>
        </is>
      </c>
      <c r="H833" s="24" t="inlineStr">
        <is>
          <t>spread</t>
        </is>
      </c>
      <c r="I833" s="24" t="inlineStr">
        <is>
          <t>home</t>
        </is>
      </c>
      <c r="J833" s="25" t="n">
        <v>8.5</v>
      </c>
      <c r="K833" s="24" t="inlineStr">
        <is>
          <t>espn_consensus</t>
        </is>
      </c>
      <c r="L833" s="26" t="n">
        <v>-110</v>
      </c>
      <c r="M833" s="27" t="n">
        <v>1.909091</v>
      </c>
      <c r="N833" s="28" t="n">
        <v>0.52381</v>
      </c>
      <c r="O833" s="28" t="n">
        <v>0.722933</v>
      </c>
      <c r="P833" s="28" t="n">
        <v>0.12</v>
      </c>
      <c r="Q833" s="28" t="n">
        <v>0.199123</v>
      </c>
      <c r="R833" s="26" t="n">
        <v>78</v>
      </c>
      <c r="S833" s="29" t="n">
        <v>1.5</v>
      </c>
      <c r="T833" s="24" t="inlineStr">
        <is>
          <t>cfb-structural-v2</t>
        </is>
      </c>
      <c r="U833" s="24" t="inlineStr">
        <is>
          <t>settled</t>
        </is>
      </c>
      <c r="V833" s="24" t="inlineStr">
        <is>
          <t>win</t>
        </is>
      </c>
      <c r="W833" s="26" t="n">
        <v>38</v>
      </c>
      <c r="X833" s="26" t="n">
        <v>31</v>
      </c>
      <c r="Y833" s="25" t="n"/>
      <c r="Z833" s="26" t="n"/>
      <c r="AA833" s="28" t="n"/>
      <c r="AB833" s="28" t="n"/>
      <c r="AC833" s="30" t="n">
        <v>1.3636</v>
      </c>
      <c r="AD833" s="24" t="inlineStr">
        <is>
          <t>2026-10-11T10:00:17.650273Z</t>
        </is>
      </c>
      <c r="AE833" s="31" t="inlineStr">
        <is>
          <t>Projected home margin +2.4 pts. Spread: Home +8.5 / Away -8.5 -&gt; P(Away cover)=0.277, P(Home cover)=0.723, P(Push)=0.000.</t>
        </is>
      </c>
      <c r="AF833" s="31" t="inlineStr">
        <is>
          <t>College football model; multi-market (moneyline, spread, total).</t>
        </is>
      </c>
      <c r="AG833" s="24" t="inlineStr">
        <is>
          <t>not_applicable</t>
        </is>
      </c>
      <c r="AH833" s="24" t="n"/>
      <c r="AI833" s="31" t="n"/>
      <c r="AJ833" s="31" t="n"/>
      <c r="AK833" s="24" t="inlineStr">
        <is>
          <t>model_qualified</t>
        </is>
      </c>
      <c r="AL833" s="26" t="n">
        <v>4</v>
      </c>
      <c r="AM833" s="24" t="inlineStr">
        <is>
          <t>QUALIFIED_SHADOW_CALL</t>
        </is>
      </c>
      <c r="AN833" s="24" t="inlineStr">
        <is>
          <t>CALL</t>
        </is>
      </c>
      <c r="AO833" s="24" t="inlineStr">
        <is>
          <t>QUALIFIED</t>
        </is>
      </c>
      <c r="AP833" s="24" t="inlineStr">
        <is>
          <t>Boise State Broncos</t>
        </is>
      </c>
      <c r="AQ833" s="24" t="inlineStr">
        <is>
          <t>Boise State Broncos</t>
        </is>
      </c>
      <c r="AR833" s="24" t="inlineStr">
        <is>
          <t>Boise State Broncos</t>
        </is>
      </c>
      <c r="AS833" s="24" t="inlineStr">
        <is>
          <t>Fresno State Bulldogs</t>
        </is>
      </c>
      <c r="AT833" s="24" t="inlineStr">
        <is>
          <t>Fresno State Bulldogs</t>
        </is>
      </c>
      <c r="AU833" s="24" t="inlineStr">
        <is>
          <t>Fresno State Bulldogs</t>
        </is>
      </c>
      <c r="AV833" s="24" t="n"/>
      <c r="AW833" s="24" t="n"/>
      <c r="AX833" s="24" t="inlineStr">
        <is>
          <t>statistical_model</t>
        </is>
      </c>
      <c r="AY833" s="24" t="n"/>
      <c r="AZ833" s="24" t="inlineStr">
        <is>
          <t>shadow_qualified</t>
        </is>
      </c>
      <c r="BA833" s="24" t="inlineStr">
        <is>
          <t>94ee6b24581446a6</t>
        </is>
      </c>
      <c r="BB833" s="24" t="inlineStr">
        <is>
          <t>cfb_key_number_engine</t>
        </is>
      </c>
      <c r="BC833" s="24" t="inlineStr">
        <is>
          <t>cfb-structural-v2</t>
        </is>
      </c>
      <c r="BD833" s="24" t="inlineStr">
        <is>
          <t>94ee6b24581446a6</t>
        </is>
      </c>
      <c r="BE833" s="24" t="inlineStr">
        <is>
          <t>cfb-v1</t>
        </is>
      </c>
      <c r="BF833" s="24" t="inlineStr">
        <is>
          <t>1</t>
        </is>
      </c>
      <c r="BG833" s="24" t="inlineStr">
        <is>
          <t>94ee6b24581446a6</t>
        </is>
      </c>
      <c r="BH833" s="24" t="inlineStr">
        <is>
          <t>2026-10-11T01:05:50.635572+00:00</t>
        </is>
      </c>
      <c r="BI833" s="24" t="inlineStr">
        <is>
          <t>["same_event","same_team_same_day","same_league_same_day"]</t>
        </is>
      </c>
      <c r="BJ833" s="25" t="n">
        <v>8.5</v>
      </c>
      <c r="BK833" s="26" t="n">
        <v>-110</v>
      </c>
      <c r="BL833" s="27" t="n">
        <v>1.909091</v>
      </c>
      <c r="BM833" s="28" t="n">
        <v>0.52381</v>
      </c>
      <c r="BN833" s="28" t="n"/>
      <c r="BO833" s="28" t="n"/>
      <c r="BP833" s="25" t="n"/>
      <c r="BQ833" s="27" t="n"/>
      <c r="BR833" s="28" t="n"/>
      <c r="BS833" s="28" t="n"/>
      <c r="BT833" s="28" t="n"/>
      <c r="BU833" s="25" t="n"/>
      <c r="BV833" s="29" t="n"/>
      <c r="BW833" s="24" t="n"/>
      <c r="BX833" s="30" t="n"/>
      <c r="BY833" s="27" t="n"/>
      <c r="BZ833" s="24" t="n"/>
      <c r="CA833" s="31" t="n"/>
      <c r="CB833" s="24" t="n"/>
      <c r="CC833" s="24" t="n"/>
      <c r="CD833" s="24" t="n"/>
      <c r="CE833" s="24" t="n"/>
      <c r="CF833" s="24" t="n"/>
      <c r="CG833" s="24" t="n"/>
      <c r="CH833" s="24" t="n"/>
      <c r="CI833" s="24" t="n"/>
      <c r="CJ833" s="24" t="n"/>
      <c r="CK833" s="24" t="n"/>
      <c r="CL833" s="24" t="n"/>
      <c r="CM833" s="24" t="n"/>
      <c r="CN833" s="24" t="n"/>
      <c r="CO833" s="24" t="n"/>
      <c r="CP833" s="24" t="n"/>
      <c r="CQ833" s="24" t="n"/>
      <c r="CR833" s="24" t="n"/>
      <c r="CS833" s="24" t="inlineStr">
        <is>
          <t>True</t>
        </is>
      </c>
      <c r="CT833" s="24" t="n"/>
      <c r="CU833" s="24" t="n"/>
      <c r="CV833" s="24" t="n"/>
      <c r="CW833" s="24" t="n"/>
      <c r="CX833" s="24" t="n"/>
      <c r="CY833" s="24" t="n"/>
      <c r="CZ833" s="24" t="n"/>
      <c r="DA833" s="24" t="n"/>
      <c r="DB833" s="24" t="n"/>
      <c r="DC833" s="24" t="n"/>
      <c r="DD833" s="24" t="n"/>
      <c r="DE833" s="24" t="n"/>
      <c r="DF833" s="24" t="n"/>
      <c r="DG833" s="24" t="n"/>
      <c r="DH833" s="24" t="n"/>
      <c r="DI833" s="24" t="n"/>
      <c r="DJ833" s="24" t="n"/>
      <c r="DK833" s="24" t="n"/>
      <c r="DL833" s="24" t="n"/>
      <c r="DM833" s="24" t="n"/>
      <c r="DN833" s="24" t="n"/>
      <c r="DO833" s="24" t="n"/>
      <c r="DP833" s="24" t="n"/>
      <c r="DQ833" s="24" t="inlineStr">
        <is>
          <t>{"artifact_hash": "94ee6b24581446a6", "event_id": "401860901", "event_start_utc": "2026-10-11T02:30Z", "features": {"altitude_fatigue_penalty": 0.0, "away_team": "Boise State Broncos", "efficiency_gap": -0.621, "elo_away": 1679.4, "elo_home": 1687.4, "elo_home_win_prob": 0.6035, "event_id": "401860901", "game_start_utc": "2026-10-11T02:30Z", "home_field_advantage_points": 2.8, "home_team": "Fresno State Bulldogs", "is_dome": false, "is_fbs_vs_fcs": false, "is_neutral_site": false, "projected_away_points": 25.7, "projected_home_points": 28.1, "projected_margin_home": 2.4, "projected_possessions": 12.4, "projected_total": 53.8, "stadium_elevation_ft": 340, "travel_distance_miles": 505.0, "uncertainty": 0.12, "weather_total_adjustment": 0.0}, "historical_source_observation_times_verified": false, "inference_inputs": {"engine_source_sha256": "449ba2f0e86fa9c445730076a0e0bf100fb4914620be53c75c6f3bfe24298f3f", "mu_away": 25.7, "mu_home": 28.1,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193547665833715166336644500936427784512}, "uinteger": 0}, "spread_home_line": 8.5, "total_line": 48.5}, "market_type": "spread", "model_version": "cfb-structural-v2", "observed_at_utc": "2026-10-11T01:05:50.635572+00:00", "probabilities": {"away": 0.277067, "home": 0.722933, "push": 0.0}, "replay_scope": "Full precision score means, exact engine parameters and original RNG state; upstream feature construction not certified.", "schema": "cfb-joint-replay-v1", "snapshot_hash": "d85249aac49f2c87b10ef2519d03a987e18acc6fc8b6fdec368dea4bee63a842", "sport": "NCAAF"}</t>
        </is>
      </c>
    </row>
    <row r="834" ht="36" customHeight="1">
      <c r="A834" s="24" t="inlineStr">
        <is>
          <t>2839601c9a844af8</t>
        </is>
      </c>
      <c r="B834" s="24" t="inlineStr">
        <is>
          <t>2026-10-11T01:05:50.635572Z</t>
        </is>
      </c>
      <c r="C834" s="24" t="inlineStr">
        <is>
          <t>2026-10-11T02:30Z</t>
        </is>
      </c>
      <c r="D834" s="24" t="inlineStr">
        <is>
          <t>401860901</t>
        </is>
      </c>
      <c r="E834" s="24" t="inlineStr">
        <is>
          <t>NCAAF</t>
        </is>
      </c>
      <c r="F834" s="24" t="inlineStr">
        <is>
          <t>Boise State Broncos</t>
        </is>
      </c>
      <c r="G834" s="24" t="inlineStr">
        <is>
          <t>Fresno State Bulldogs</t>
        </is>
      </c>
      <c r="H834" s="24" t="inlineStr">
        <is>
          <t>total</t>
        </is>
      </c>
      <c r="I834" s="24" t="inlineStr">
        <is>
          <t>over</t>
        </is>
      </c>
      <c r="J834" s="25" t="n">
        <v>48.5</v>
      </c>
      <c r="K834" s="24" t="inlineStr">
        <is>
          <t>espn_consensus</t>
        </is>
      </c>
      <c r="L834" s="26" t="n">
        <v>-110</v>
      </c>
      <c r="M834" s="27" t="n">
        <v>1.909091</v>
      </c>
      <c r="N834" s="28" t="n">
        <v>0.52381</v>
      </c>
      <c r="O834" s="28" t="n">
        <v>0.563267</v>
      </c>
      <c r="P834" s="28" t="n">
        <v>0.12</v>
      </c>
      <c r="Q834" s="28" t="n">
        <v>0.039457</v>
      </c>
      <c r="R834" s="26" t="n">
        <v>0</v>
      </c>
      <c r="S834" s="29" t="n">
        <v>1</v>
      </c>
      <c r="T834" s="24" t="inlineStr">
        <is>
          <t>cfb-structural-v2</t>
        </is>
      </c>
      <c r="U834" s="24" t="inlineStr">
        <is>
          <t>settled</t>
        </is>
      </c>
      <c r="V834" s="24" t="inlineStr">
        <is>
          <t>win</t>
        </is>
      </c>
      <c r="W834" s="26" t="n">
        <v>38</v>
      </c>
      <c r="X834" s="26" t="n">
        <v>31</v>
      </c>
      <c r="Y834" s="25" t="n"/>
      <c r="Z834" s="26" t="n"/>
      <c r="AA834" s="28" t="n"/>
      <c r="AB834" s="28" t="n"/>
      <c r="AC834" s="30" t="n">
        <v>0.9091</v>
      </c>
      <c r="AD834" s="24" t="inlineStr">
        <is>
          <t>2026-10-11T10:00:22.246869Z</t>
        </is>
      </c>
      <c r="AE834" s="31" t="inlineStr">
        <is>
          <t>Projected total 53.8 pts (Weather adj: +0.0 pts). Total line 48.5 -&gt; P(Over)=0.563, P(Under)=0.437, P(Push)=0.000.</t>
        </is>
      </c>
      <c r="AF834" s="31" t="inlineStr">
        <is>
          <t>College football model; multi-market (moneyline, spread, total).</t>
        </is>
      </c>
      <c r="AG834" s="24" t="inlineStr">
        <is>
          <t>not_applicable</t>
        </is>
      </c>
      <c r="AH834" s="24" t="n"/>
      <c r="AI834" s="31" t="n"/>
      <c r="AJ834" s="31" t="n"/>
      <c r="AK834" s="24" t="inlineStr">
        <is>
          <t>model_qualified</t>
        </is>
      </c>
      <c r="AL834" s="26" t="n">
        <v>4</v>
      </c>
      <c r="AM834" s="24" t="inlineStr">
        <is>
          <t>QUALIFIED_SHADOW_CALL</t>
        </is>
      </c>
      <c r="AN834" s="24" t="inlineStr">
        <is>
          <t>CALL</t>
        </is>
      </c>
      <c r="AO834" s="24" t="inlineStr">
        <is>
          <t>QUALIFIED</t>
        </is>
      </c>
      <c r="AP834" s="24" t="inlineStr">
        <is>
          <t>Boise State Broncos</t>
        </is>
      </c>
      <c r="AQ834" s="24" t="inlineStr">
        <is>
          <t>Boise State Broncos</t>
        </is>
      </c>
      <c r="AR834" s="24" t="inlineStr">
        <is>
          <t>Boise State Broncos</t>
        </is>
      </c>
      <c r="AS834" s="24" t="inlineStr">
        <is>
          <t>Fresno State Bulldogs</t>
        </is>
      </c>
      <c r="AT834" s="24" t="inlineStr">
        <is>
          <t>Fresno State Bulldogs</t>
        </is>
      </c>
      <c r="AU834" s="24" t="inlineStr">
        <is>
          <t>Fresno State Bulldogs</t>
        </is>
      </c>
      <c r="AV834" s="24" t="n"/>
      <c r="AW834" s="24" t="n"/>
      <c r="AX834" s="24" t="inlineStr">
        <is>
          <t>statistical_model</t>
        </is>
      </c>
      <c r="AY834" s="24" t="n"/>
      <c r="AZ834" s="24" t="inlineStr">
        <is>
          <t>shadow_qualified</t>
        </is>
      </c>
      <c r="BA834" s="24" t="inlineStr">
        <is>
          <t>94ee6b24581446a6</t>
        </is>
      </c>
      <c r="BB834" s="24" t="inlineStr">
        <is>
          <t>cfb_key_number_engine</t>
        </is>
      </c>
      <c r="BC834" s="24" t="inlineStr">
        <is>
          <t>cfb-structural-v2</t>
        </is>
      </c>
      <c r="BD834" s="24" t="inlineStr">
        <is>
          <t>94ee6b24581446a6</t>
        </is>
      </c>
      <c r="BE834" s="24" t="inlineStr">
        <is>
          <t>cfb-v1</t>
        </is>
      </c>
      <c r="BF834" s="24" t="inlineStr">
        <is>
          <t>1</t>
        </is>
      </c>
      <c r="BG834" s="24" t="inlineStr">
        <is>
          <t>94ee6b24581446a6</t>
        </is>
      </c>
      <c r="BH834" s="24" t="inlineStr">
        <is>
          <t>2026-10-11T01:05:50.635572+00:00</t>
        </is>
      </c>
      <c r="BI834" s="24" t="inlineStr">
        <is>
          <t>["same_event","same_team_same_day","same_league_same_day"]</t>
        </is>
      </c>
      <c r="BJ834" s="25" t="n">
        <v>48.5</v>
      </c>
      <c r="BK834" s="26" t="n">
        <v>-110</v>
      </c>
      <c r="BL834" s="27" t="n">
        <v>1.909091</v>
      </c>
      <c r="BM834" s="28" t="n">
        <v>0.52381</v>
      </c>
      <c r="BN834" s="28" t="n"/>
      <c r="BO834" s="28" t="n"/>
      <c r="BP834" s="25" t="n"/>
      <c r="BQ834" s="27" t="n"/>
      <c r="BR834" s="28" t="n"/>
      <c r="BS834" s="28" t="n"/>
      <c r="BT834" s="28" t="n"/>
      <c r="BU834" s="25" t="n"/>
      <c r="BV834" s="29" t="n"/>
      <c r="BW834" s="24" t="n"/>
      <c r="BX834" s="30" t="n"/>
      <c r="BY834" s="27" t="n"/>
      <c r="BZ834" s="24" t="n"/>
      <c r="CA834" s="31" t="n"/>
      <c r="CB834" s="24" t="n"/>
      <c r="CC834" s="24" t="n"/>
      <c r="CD834" s="24" t="n"/>
      <c r="CE834" s="24" t="n"/>
      <c r="CF834" s="24" t="n"/>
      <c r="CG834" s="24" t="n"/>
      <c r="CH834" s="24" t="n"/>
      <c r="CI834" s="24" t="n"/>
      <c r="CJ834" s="24" t="n"/>
      <c r="CK834" s="24" t="n"/>
      <c r="CL834" s="24" t="n"/>
      <c r="CM834" s="24" t="n"/>
      <c r="CN834" s="24" t="n"/>
      <c r="CO834" s="24" t="n"/>
      <c r="CP834" s="24" t="n"/>
      <c r="CQ834" s="24" t="n"/>
      <c r="CR834" s="24" t="n"/>
      <c r="CS834" s="24" t="inlineStr">
        <is>
          <t>True</t>
        </is>
      </c>
      <c r="CT834" s="24" t="n"/>
      <c r="CU834" s="24" t="n"/>
      <c r="CV834" s="24" t="n"/>
      <c r="CW834" s="24" t="n"/>
      <c r="CX834" s="24" t="n"/>
      <c r="CY834" s="24" t="n"/>
      <c r="CZ834" s="24" t="n"/>
      <c r="DA834" s="24" t="n"/>
      <c r="DB834" s="24" t="n"/>
      <c r="DC834" s="24" t="n"/>
      <c r="DD834" s="24" t="n"/>
      <c r="DE834" s="24" t="n"/>
      <c r="DF834" s="24" t="n"/>
      <c r="DG834" s="24" t="n"/>
      <c r="DH834" s="24" t="n"/>
      <c r="DI834" s="24" t="n"/>
      <c r="DJ834" s="24" t="n"/>
      <c r="DK834" s="24" t="n"/>
      <c r="DL834" s="24" t="n"/>
      <c r="DM834" s="24" t="n"/>
      <c r="DN834" s="24" t="n"/>
      <c r="DO834" s="24" t="n"/>
      <c r="DP834" s="24" t="n"/>
      <c r="DQ834" s="24" t="inlineStr">
        <is>
          <t>{"artifact_hash": "94ee6b24581446a6", "event_id": "401860901", "event_start_utc": "2026-10-11T02:30Z", "features": {"altitude_fatigue_penalty": 0.0, "away_team": "Boise State Broncos", "efficiency_gap": -0.621, "elo_away": 1679.4, "elo_home": 1687.4, "elo_home_win_prob": 0.6035, "event_id": "401860901", "game_start_utc": "2026-10-11T02:30Z", "home_field_advantage_points": 2.8, "home_team": "Fresno State Bulldogs", "is_dome": false, "is_fbs_vs_fcs": false, "is_neutral_site": false, "projected_away_points": 25.7, "projected_home_points": 28.1, "projected_margin_home": 2.4, "projected_possessions": 12.4, "projected_total": 53.8, "stadium_elevation_ft": 340, "travel_distance_miles": 505.0, "uncertainty": 0.12, "weather_total_adjustment": 0.0}, "historical_source_observation_times_verified": false, "inference_inputs": {"engine_source_sha256": "449ba2f0e86fa9c445730076a0e0bf100fb4914620be53c75c6f3bfe24298f3f", "mu_away": 25.7, "mu_home": 28.1,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193547665833715166336644500936427784512}, "uinteger": 0}, "spread_home_line": 8.5, "total_line": 48.5}, "market_type": "total", "model_version": "cfb-structural-v2", "observed_at_utc": "2026-10-11T01:05:50.635572+00:00", "probabilities": {"over": 0.563267, "push": 0.0, "under": 0.436733}, "replay_scope": "Full precision score means, exact engine parameters and original RNG state; upstream feature construction not certified.", "schema": "cfb-joint-replay-v1", "snapshot_hash": "5e870b16a638eca95e41afc9e2779a7eccfc0e6af0fc7a472f8741ab791646cd", "sport": "NCAAF"}</t>
        </is>
      </c>
    </row>
    <row r="835" ht="36" customHeight="1">
      <c r="A835" s="24" t="inlineStr">
        <is>
          <t>c373f754f39b464e</t>
        </is>
      </c>
      <c r="B835" s="24" t="inlineStr">
        <is>
          <t>2026-10-11T01:05:50.635572Z</t>
        </is>
      </c>
      <c r="C835" s="24" t="inlineStr">
        <is>
          <t>2026-10-11T02:30Z</t>
        </is>
      </c>
      <c r="D835" s="24" t="inlineStr">
        <is>
          <t>401856808</t>
        </is>
      </c>
      <c r="E835" s="24" t="inlineStr">
        <is>
          <t>NCAAF</t>
        </is>
      </c>
      <c r="F835" s="24" t="inlineStr">
        <is>
          <t>Hawai'i Rainbow Warriors</t>
        </is>
      </c>
      <c r="G835" s="24" t="inlineStr">
        <is>
          <t>Arizona State Sun Devils</t>
        </is>
      </c>
      <c r="H835" s="24" t="inlineStr">
        <is>
          <t>spread</t>
        </is>
      </c>
      <c r="I835" s="24" t="inlineStr">
        <is>
          <t>away</t>
        </is>
      </c>
      <c r="J835" s="25" t="n">
        <v>21</v>
      </c>
      <c r="K835" s="24" t="inlineStr">
        <is>
          <t>espn_consensus</t>
        </is>
      </c>
      <c r="L835" s="26" t="n">
        <v>-115</v>
      </c>
      <c r="M835" s="27" t="n">
        <v>1.869565</v>
      </c>
      <c r="N835" s="28" t="n">
        <v>0.534884</v>
      </c>
      <c r="O835" s="28" t="n">
        <v>0.8326</v>
      </c>
      <c r="P835" s="28" t="n">
        <v>0.18</v>
      </c>
      <c r="Q835" s="28" t="n">
        <v>0.297716</v>
      </c>
      <c r="R835" s="26" t="n">
        <v>91</v>
      </c>
      <c r="S835" s="29" t="n">
        <v>1.75</v>
      </c>
      <c r="T835" s="24" t="inlineStr">
        <is>
          <t>cfb-structural-v2</t>
        </is>
      </c>
      <c r="U835" s="24" t="inlineStr">
        <is>
          <t>settled</t>
        </is>
      </c>
      <c r="V835" s="24" t="inlineStr">
        <is>
          <t>win</t>
        </is>
      </c>
      <c r="W835" s="26" t="n">
        <v>12</v>
      </c>
      <c r="X835" s="26" t="n">
        <v>30</v>
      </c>
      <c r="Y835" s="25" t="n"/>
      <c r="Z835" s="26" t="n"/>
      <c r="AA835" s="28" t="n"/>
      <c r="AB835" s="28" t="n"/>
      <c r="AC835" s="30" t="n">
        <v>1.5217</v>
      </c>
      <c r="AD835" s="24" t="inlineStr">
        <is>
          <t>2026-10-11T10:00:27.325283Z</t>
        </is>
      </c>
      <c r="AE835" s="31" t="inlineStr">
        <is>
          <t>Projected home margin +0.9 pts. Spread: Home -21.0 / Away +21.0 -&gt; P(Away cover)=0.833, P(Home cover)=0.157, P(Push)=0.011.</t>
        </is>
      </c>
      <c r="AF835" s="31" t="inlineStr">
        <is>
          <t>College football model; multi-market (moneyline, spread, total).</t>
        </is>
      </c>
      <c r="AG835" s="24" t="inlineStr">
        <is>
          <t>not_applicable</t>
        </is>
      </c>
      <c r="AH835" s="24" t="n"/>
      <c r="AI835" s="31" t="n"/>
      <c r="AJ835" s="31" t="n"/>
      <c r="AK835" s="24" t="inlineStr">
        <is>
          <t>model_qualified</t>
        </is>
      </c>
      <c r="AL835" s="26" t="n">
        <v>4</v>
      </c>
      <c r="AM835" s="24" t="inlineStr">
        <is>
          <t>QUALIFIED_SHADOW_CALL</t>
        </is>
      </c>
      <c r="AN835" s="24" t="inlineStr">
        <is>
          <t>CALL</t>
        </is>
      </c>
      <c r="AO835" s="24" t="inlineStr">
        <is>
          <t>QUALIFIED</t>
        </is>
      </c>
      <c r="AP835" s="24" t="inlineStr">
        <is>
          <t>Hawai'i Rainbow Warriors</t>
        </is>
      </c>
      <c r="AQ835" s="24" t="inlineStr">
        <is>
          <t>Hawai'i Rainbow Warriors</t>
        </is>
      </c>
      <c r="AR835" s="24" t="inlineStr">
        <is>
          <t>Hawai'i Rainbow Warriors</t>
        </is>
      </c>
      <c r="AS835" s="24" t="inlineStr">
        <is>
          <t>Arizona State Sun Devils</t>
        </is>
      </c>
      <c r="AT835" s="24" t="inlineStr">
        <is>
          <t>Arizona State Sun Devils</t>
        </is>
      </c>
      <c r="AU835" s="24" t="inlineStr">
        <is>
          <t>Arizona State Sun Devils</t>
        </is>
      </c>
      <c r="AV835" s="24" t="n"/>
      <c r="AW835" s="24" t="n"/>
      <c r="AX835" s="24" t="inlineStr">
        <is>
          <t>statistical_model</t>
        </is>
      </c>
      <c r="AY835" s="24" t="n"/>
      <c r="AZ835" s="24" t="inlineStr">
        <is>
          <t>shadow_qualified</t>
        </is>
      </c>
      <c r="BA835" s="24" t="inlineStr">
        <is>
          <t>94ee6b24581446a6</t>
        </is>
      </c>
      <c r="BB835" s="24" t="inlineStr">
        <is>
          <t>cfb_key_number_engine</t>
        </is>
      </c>
      <c r="BC835" s="24" t="inlineStr">
        <is>
          <t>cfb-structural-v2</t>
        </is>
      </c>
      <c r="BD835" s="24" t="inlineStr">
        <is>
          <t>94ee6b24581446a6</t>
        </is>
      </c>
      <c r="BE835" s="24" t="inlineStr">
        <is>
          <t>cfb-v1</t>
        </is>
      </c>
      <c r="BF835" s="24" t="inlineStr">
        <is>
          <t>1</t>
        </is>
      </c>
      <c r="BG835" s="24" t="inlineStr">
        <is>
          <t>94ee6b24581446a6</t>
        </is>
      </c>
      <c r="BH835" s="24" t="inlineStr">
        <is>
          <t>2026-10-11T01:05:50.635572+00:00</t>
        </is>
      </c>
      <c r="BI835" s="24" t="inlineStr">
        <is>
          <t>["same_event","same_team_same_day","same_league_same_day"]</t>
        </is>
      </c>
      <c r="BJ835" s="25" t="n">
        <v>21</v>
      </c>
      <c r="BK835" s="26" t="n">
        <v>-115</v>
      </c>
      <c r="BL835" s="27" t="n">
        <v>1.869565</v>
      </c>
      <c r="BM835" s="28" t="n">
        <v>0.534884</v>
      </c>
      <c r="BN835" s="28" t="n"/>
      <c r="BO835" s="28" t="n"/>
      <c r="BP835" s="25" t="n"/>
      <c r="BQ835" s="27" t="n"/>
      <c r="BR835" s="28" t="n"/>
      <c r="BS835" s="28" t="n"/>
      <c r="BT835" s="28" t="n"/>
      <c r="BU835" s="25" t="n"/>
      <c r="BV835" s="29" t="n"/>
      <c r="BW835" s="24" t="n"/>
      <c r="BX835" s="30" t="n"/>
      <c r="BY835" s="27" t="n"/>
      <c r="BZ835" s="24" t="n"/>
      <c r="CA835" s="31" t="n"/>
      <c r="CB835" s="24" t="n"/>
      <c r="CC835" s="24" t="n"/>
      <c r="CD835" s="24" t="n"/>
      <c r="CE835" s="24" t="n"/>
      <c r="CF835" s="24" t="n"/>
      <c r="CG835" s="24" t="n"/>
      <c r="CH835" s="24" t="n"/>
      <c r="CI835" s="24" t="n"/>
      <c r="CJ835" s="24" t="n"/>
      <c r="CK835" s="24" t="n"/>
      <c r="CL835" s="24" t="n"/>
      <c r="CM835" s="24" t="n"/>
      <c r="CN835" s="24" t="n"/>
      <c r="CO835" s="24" t="n"/>
      <c r="CP835" s="24" t="n"/>
      <c r="CQ835" s="24" t="n"/>
      <c r="CR835" s="24" t="n"/>
      <c r="CS835" s="24" t="inlineStr">
        <is>
          <t>True</t>
        </is>
      </c>
      <c r="CT835" s="24" t="n"/>
      <c r="CU835" s="24" t="n"/>
      <c r="CV835" s="24" t="n"/>
      <c r="CW835" s="24" t="n"/>
      <c r="CX835" s="24" t="n"/>
      <c r="CY835" s="24" t="n"/>
      <c r="CZ835" s="24" t="n"/>
      <c r="DA835" s="24" t="n"/>
      <c r="DB835" s="24" t="n"/>
      <c r="DC835" s="24" t="n"/>
      <c r="DD835" s="24" t="n"/>
      <c r="DE835" s="24" t="n"/>
      <c r="DF835" s="24" t="n"/>
      <c r="DG835" s="24" t="n"/>
      <c r="DH835" s="24" t="n"/>
      <c r="DI835" s="24" t="n"/>
      <c r="DJ835" s="24" t="n"/>
      <c r="DK835" s="24" t="n"/>
      <c r="DL835" s="24" t="n"/>
      <c r="DM835" s="24" t="n"/>
      <c r="DN835" s="24" t="n"/>
      <c r="DO835" s="24" t="n"/>
      <c r="DP835" s="24" t="n"/>
      <c r="DQ835" s="24" t="inlineStr">
        <is>
          <t>{"artifact_hash": "94ee6b24581446a6", "event_id": "401856808", "event_start_utc": "2026-10-11T02:30Z", "features": {"altitude_fatigue_penalty": 0.0, "away_team": "Hawai'i Rainbow Warriors", "efficiency_gap": -0.643, "elo_away": 1437.5, "elo_home": 1394.4, "elo_home_win_prob": 0.5315, "event_id": "401856808", "game_start_utc": "2026-10-11T02:30Z", "home_field_advantage_points": 2.8, "home_team": "Arizona State Sun Devils", "is_dome": false, "is_fbs_vs_fcs": false, "is_neutral_site": false, "projected_away_points": 26.2, "projected_home_points": 27.1, "projected_margin_home": 0.9, "projected_possessions": 12.4, "projected_total": 53.3, "stadium_elevation_ft": 1170, "travel_distance_miles": 2913.0, "uncertainty": 0.18, "weather_total_adjustment": 0.0}, "historical_source_observation_times_verified": false, "inference_inputs": {"engine_source_sha256": "449ba2f0e86fa9c445730076a0e0bf100fb4914620be53c75c6f3bfe24298f3f", "mu_away": 26.2, "mu_home": 27.1,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10508672925364446163584624994813294312}, "uinteger": 0}, "spread_home_line": -21.0, "total_line": 51.5}, "market_type": "spread", "model_version": "cfb-structural-v2", "observed_at_utc": "2026-10-11T01:05:50.635572+00:00", "probabilities": {"away": 0.8326, "home": 0.156667, "push": 0.010733}, "replay_scope": "Full precision score means, exact engine parameters and original RNG state; upstream feature construction not certified.", "schema": "cfb-joint-replay-v1", "snapshot_hash": "da420012cd043ad9c1ffcd920c9fc7a2ad873e5d3642e9479e9a9a8b3c5e95e8", "sport": "NCAAF"}</t>
        </is>
      </c>
    </row>
    <row r="836" ht="36" customHeight="1">
      <c r="A836" s="24" t="inlineStr">
        <is>
          <t>ebc53d77cf2649d0</t>
        </is>
      </c>
      <c r="B836" s="24" t="inlineStr">
        <is>
          <t>2026-10-13T22:27:59.912441Z</t>
        </is>
      </c>
      <c r="C836" s="24" t="inlineStr">
        <is>
          <t>2026-10-13T23:00Z</t>
        </is>
      </c>
      <c r="D836" s="24" t="inlineStr">
        <is>
          <t>401871067</t>
        </is>
      </c>
      <c r="E836" s="24" t="inlineStr">
        <is>
          <t>NCAAF</t>
        </is>
      </c>
      <c r="F836" s="24" t="inlineStr">
        <is>
          <t>Delaware Blue Hens</t>
        </is>
      </c>
      <c r="G836" s="24" t="inlineStr">
        <is>
          <t>Middle Tennessee Blue Raiders</t>
        </is>
      </c>
      <c r="H836" s="24" t="inlineStr">
        <is>
          <t>moneyline</t>
        </is>
      </c>
      <c r="I836" s="24" t="inlineStr">
        <is>
          <t>home</t>
        </is>
      </c>
      <c r="J836" s="25" t="n"/>
      <c r="K836" s="24" t="inlineStr">
        <is>
          <t>espn_consensus</t>
        </is>
      </c>
      <c r="L836" s="26" t="n">
        <v>-102</v>
      </c>
      <c r="M836" s="27" t="n">
        <v>1.980392</v>
      </c>
      <c r="N836" s="28" t="n">
        <v>0.50495</v>
      </c>
      <c r="O836" s="28" t="n">
        <v>0.557416</v>
      </c>
      <c r="P836" s="28" t="n">
        <v>0.12</v>
      </c>
      <c r="Q836" s="28" t="n">
        <v>0.052466</v>
      </c>
      <c r="R836" s="26" t="n">
        <v>4</v>
      </c>
      <c r="S836" s="29" t="n">
        <v>1</v>
      </c>
      <c r="T836" s="24" t="inlineStr">
        <is>
          <t>cfb-structural-v2</t>
        </is>
      </c>
      <c r="U836" s="24" t="inlineStr">
        <is>
          <t>settled</t>
        </is>
      </c>
      <c r="V836" s="24" t="inlineStr">
        <is>
          <t>win</t>
        </is>
      </c>
      <c r="W836" s="26" t="n">
        <v>30</v>
      </c>
      <c r="X836" s="26" t="n">
        <v>33</v>
      </c>
      <c r="Y836" s="25" t="n"/>
      <c r="Z836" s="26" t="n"/>
      <c r="AA836" s="28" t="n"/>
      <c r="AB836" s="28" t="n"/>
      <c r="AC836" s="30" t="n">
        <v>0.9804</v>
      </c>
      <c r="AD836" s="24" t="inlineStr">
        <is>
          <t>2026-10-14T04:31:04.616858Z</t>
        </is>
      </c>
      <c r="AE836" s="31" t="inlineStr">
        <is>
          <t>CFB Joint Model (negative_binomial): proj score Delaware Blue Hens 24.5 @ Middle Tennessee Blue Raiders 27.1 (Margin +2.6). Possessions: 12.4, HFA: +2.8 pts.</t>
        </is>
      </c>
      <c r="AF836" s="31" t="inlineStr">
        <is>
          <t>College football model; multi-market (moneyline, spread, total).</t>
        </is>
      </c>
      <c r="AG836" s="24" t="inlineStr">
        <is>
          <t>not_applicable</t>
        </is>
      </c>
      <c r="AH836" s="24" t="n"/>
      <c r="AI836" s="31" t="n"/>
      <c r="AJ836" s="31" t="n"/>
      <c r="AK836" s="24" t="inlineStr">
        <is>
          <t>model_qualified</t>
        </is>
      </c>
      <c r="AL836" s="26" t="n">
        <v>4</v>
      </c>
      <c r="AM836" s="24" t="inlineStr">
        <is>
          <t>QUALIFIED_SHADOW_CALL</t>
        </is>
      </c>
      <c r="AN836" s="24" t="inlineStr">
        <is>
          <t>CALL</t>
        </is>
      </c>
      <c r="AO836" s="24" t="inlineStr">
        <is>
          <t>QUALIFIED</t>
        </is>
      </c>
      <c r="AP836" s="24" t="inlineStr">
        <is>
          <t>Delaware Blue Hens</t>
        </is>
      </c>
      <c r="AQ836" s="24" t="inlineStr">
        <is>
          <t>Delaware Blue Hens</t>
        </is>
      </c>
      <c r="AR836" s="24" t="inlineStr">
        <is>
          <t>Delaware Blue Hens</t>
        </is>
      </c>
      <c r="AS836" s="24" t="inlineStr">
        <is>
          <t>Middle Tennessee Blue Raiders</t>
        </is>
      </c>
      <c r="AT836" s="24" t="inlineStr">
        <is>
          <t>Middle Tennessee Blue Raiders</t>
        </is>
      </c>
      <c r="AU836" s="24" t="inlineStr">
        <is>
          <t>Middle Tennessee Blue Raiders</t>
        </is>
      </c>
      <c r="AV836" s="24" t="n"/>
      <c r="AW836" s="24" t="n"/>
      <c r="AX836" s="24" t="inlineStr">
        <is>
          <t>statistical_model</t>
        </is>
      </c>
      <c r="AY836" s="24" t="n"/>
      <c r="AZ836" s="24" t="inlineStr">
        <is>
          <t>shadow_qualified</t>
        </is>
      </c>
      <c r="BA836" s="24" t="inlineStr">
        <is>
          <t>94ee6b24581446a6</t>
        </is>
      </c>
      <c r="BB836" s="24" t="inlineStr">
        <is>
          <t>cfb_key_number_engine</t>
        </is>
      </c>
      <c r="BC836" s="24" t="inlineStr">
        <is>
          <t>cfb-structural-v2</t>
        </is>
      </c>
      <c r="BD836" s="24" t="inlineStr">
        <is>
          <t>94ee6b24581446a6</t>
        </is>
      </c>
      <c r="BE836" s="24" t="inlineStr">
        <is>
          <t>cfb-v1</t>
        </is>
      </c>
      <c r="BF836" s="24" t="inlineStr">
        <is>
          <t>1</t>
        </is>
      </c>
      <c r="BG836" s="24" t="inlineStr">
        <is>
          <t>94ee6b24581446a6</t>
        </is>
      </c>
      <c r="BH836" s="24" t="inlineStr">
        <is>
          <t>2026-10-13T22:27:59.912441+00:00</t>
        </is>
      </c>
      <c r="BI836" s="24" t="inlineStr">
        <is>
          <t>["same_event","same_team_same_day","same_league_same_day"]</t>
        </is>
      </c>
      <c r="BJ836" s="25" t="n"/>
      <c r="BK836" s="26" t="n">
        <v>-102</v>
      </c>
      <c r="BL836" s="27" t="n">
        <v>1.980392</v>
      </c>
      <c r="BM836" s="28" t="n">
        <v>0.50495</v>
      </c>
      <c r="BN836" s="28" t="n"/>
      <c r="BO836" s="28" t="n"/>
      <c r="BP836" s="25" t="n"/>
      <c r="BQ836" s="27" t="n"/>
      <c r="BR836" s="28" t="n"/>
      <c r="BS836" s="28" t="n"/>
      <c r="BT836" s="28" t="n"/>
      <c r="BU836" s="25" t="n"/>
      <c r="BV836" s="29" t="n"/>
      <c r="BW836" s="24" t="n"/>
      <c r="BX836" s="30" t="n"/>
      <c r="BY836" s="27" t="n"/>
      <c r="BZ836" s="24" t="n"/>
      <c r="CA836" s="31" t="n"/>
      <c r="CB836" s="24" t="n"/>
      <c r="CC836" s="24" t="n"/>
      <c r="CD836" s="24" t="n"/>
      <c r="CE836" s="24" t="n"/>
      <c r="CF836" s="24" t="n"/>
      <c r="CG836" s="24" t="n"/>
      <c r="CH836" s="24" t="n"/>
      <c r="CI836" s="24" t="n"/>
      <c r="CJ836" s="24" t="n"/>
      <c r="CK836" s="24" t="n"/>
      <c r="CL836" s="24" t="n"/>
      <c r="CM836" s="24" t="n"/>
      <c r="CN836" s="24" t="n"/>
      <c r="CO836" s="24" t="n"/>
      <c r="CP836" s="24" t="n"/>
      <c r="CQ836" s="24" t="n"/>
      <c r="CR836" s="24" t="n"/>
      <c r="CS836" s="24" t="inlineStr">
        <is>
          <t>True</t>
        </is>
      </c>
      <c r="CT836" s="24" t="n"/>
      <c r="CU836" s="24" t="n"/>
      <c r="CV836" s="24" t="n"/>
      <c r="CW836" s="24" t="n"/>
      <c r="CX836" s="24" t="n"/>
      <c r="CY836" s="24" t="n"/>
      <c r="CZ836" s="24" t="n"/>
      <c r="DA836" s="24" t="n"/>
      <c r="DB836" s="24" t="n"/>
      <c r="DC836" s="24" t="n"/>
      <c r="DD836" s="24" t="n"/>
      <c r="DE836" s="24" t="n"/>
      <c r="DF836" s="24" t="n"/>
      <c r="DG836" s="24" t="n"/>
      <c r="DH836" s="24" t="n"/>
      <c r="DI836" s="24" t="n"/>
      <c r="DJ836" s="24" t="n"/>
      <c r="DK836" s="24" t="n"/>
      <c r="DL836" s="24" t="n"/>
      <c r="DM836" s="24" t="n"/>
      <c r="DN836" s="24" t="n"/>
      <c r="DO836" s="24" t="n"/>
      <c r="DP836" s="24" t="n"/>
      <c r="DQ836" s="24" t="inlineStr">
        <is>
          <t>{"artifact_hash": "94ee6b24581446a6", "event_id": "401871067", "event_start_utc": "2026-10-13T23:00Z", "features": {"altitude_fatigue_penalty": 0.0, "away_team": "Delaware Blue Hens", "efficiency_gap": -0.063, "elo_away": 1309.4, "elo_home": 1306.2, "elo_home_win_prob": 0.5881, "event_id": "401871067", "game_start_utc": "2026-10-13T23:00Z", "home_field_advantage_points": 2.8, "home_team": "Middle Tennessee Blue Raiders", "is_dome": false, "is_fbs_vs_fcs": false, "is_neutral_site": false, "projected_away_points": 24.5, "projected_home_points": 27.1, "projected_margin_home": 2.6, "projected_possessions": 12.4, "projected_total": 51.6, "stadium_elevation_ft": 620, "travel_distance_miles": 636.0, "uncertainty": 0.12, "weather_total_adjustment": 0.0}, "historical_source_observation_times_verified": false, "inference_inputs": {"engine_source_sha256": "449ba2f0e86fa9c445730076a0e0bf100fb4914620be53c75c6f3bfe24298f3f", "mu_away": 24.5, "mu_home": 27.1,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1.5, "total_line": 48.5}, "market_type": "moneyline", "model_version": "cfb-structural-v2", "observed_at_utc": "2026-10-13T22:27:59.912441+00:00", "probabilities": {"away": 0.442584, "home": 0.557416}, "replay_scope": "Full precision score means, exact engine parameters and original RNG state; upstream feature construction not certified.", "schema": "cfb-joint-replay-v1", "snapshot_hash": "049baec68183a12f0a79dd64460c6ed306219e10026312674ffb919638601a6a", "sport": "NCAAF"}</t>
        </is>
      </c>
    </row>
    <row r="837" ht="36" customHeight="1">
      <c r="A837" s="24" t="inlineStr">
        <is>
          <t>c34e69f148a5461b</t>
        </is>
      </c>
      <c r="B837" s="24" t="inlineStr">
        <is>
          <t>2026-10-13T22:27:59.912441Z</t>
        </is>
      </c>
      <c r="C837" s="24" t="inlineStr">
        <is>
          <t>2026-10-13T23:00Z</t>
        </is>
      </c>
      <c r="D837" s="24" t="inlineStr">
        <is>
          <t>401871067</t>
        </is>
      </c>
      <c r="E837" s="24" t="inlineStr">
        <is>
          <t>NCAAF</t>
        </is>
      </c>
      <c r="F837" s="24" t="inlineStr">
        <is>
          <t>Delaware Blue Hens</t>
        </is>
      </c>
      <c r="G837" s="24" t="inlineStr">
        <is>
          <t>Middle Tennessee Blue Raiders</t>
        </is>
      </c>
      <c r="H837" s="24" t="inlineStr">
        <is>
          <t>spread</t>
        </is>
      </c>
      <c r="I837" s="24" t="inlineStr">
        <is>
          <t>home</t>
        </is>
      </c>
      <c r="J837" s="25" t="n">
        <v>1.5</v>
      </c>
      <c r="K837" s="24" t="inlineStr">
        <is>
          <t>espn_consensus</t>
        </is>
      </c>
      <c r="L837" s="26" t="n">
        <v>-115</v>
      </c>
      <c r="M837" s="27" t="n">
        <v>1.869565</v>
      </c>
      <c r="N837" s="28" t="n">
        <v>0.534884</v>
      </c>
      <c r="O837" s="28" t="n">
        <v>0.593867</v>
      </c>
      <c r="P837" s="28" t="n">
        <v>0.12</v>
      </c>
      <c r="Q837" s="28" t="n">
        <v>0.058983</v>
      </c>
      <c r="R837" s="26" t="n">
        <v>7</v>
      </c>
      <c r="S837" s="29" t="n">
        <v>1</v>
      </c>
      <c r="T837" s="24" t="inlineStr">
        <is>
          <t>cfb-structural-v2</t>
        </is>
      </c>
      <c r="U837" s="24" t="inlineStr">
        <is>
          <t>settled</t>
        </is>
      </c>
      <c r="V837" s="24" t="inlineStr">
        <is>
          <t>win</t>
        </is>
      </c>
      <c r="W837" s="26" t="n">
        <v>30</v>
      </c>
      <c r="X837" s="26" t="n">
        <v>33</v>
      </c>
      <c r="Y837" s="25" t="n"/>
      <c r="Z837" s="26" t="n"/>
      <c r="AA837" s="28" t="n"/>
      <c r="AB837" s="28" t="n"/>
      <c r="AC837" s="30" t="n">
        <v>0.8696</v>
      </c>
      <c r="AD837" s="24" t="inlineStr">
        <is>
          <t>2026-10-14T04:31:10.676943Z</t>
        </is>
      </c>
      <c r="AE837" s="31" t="inlineStr">
        <is>
          <t>Projected home margin +2.6 pts. Spread: Home +1.5 / Away -1.5 -&gt; P(Away cover)=0.406, P(Home cover)=0.594, P(Push)=0.000.</t>
        </is>
      </c>
      <c r="AF837" s="31" t="inlineStr">
        <is>
          <t>College football model; multi-market (moneyline, spread, total).</t>
        </is>
      </c>
      <c r="AG837" s="24" t="inlineStr">
        <is>
          <t>not_applicable</t>
        </is>
      </c>
      <c r="AH837" s="24" t="n"/>
      <c r="AI837" s="31" t="n"/>
      <c r="AJ837" s="31" t="n"/>
      <c r="AK837" s="24" t="inlineStr">
        <is>
          <t>model_qualified</t>
        </is>
      </c>
      <c r="AL837" s="26" t="n">
        <v>4</v>
      </c>
      <c r="AM837" s="24" t="inlineStr">
        <is>
          <t>QUALIFIED_SHADOW_CALL</t>
        </is>
      </c>
      <c r="AN837" s="24" t="inlineStr">
        <is>
          <t>CALL</t>
        </is>
      </c>
      <c r="AO837" s="24" t="inlineStr">
        <is>
          <t>QUALIFIED</t>
        </is>
      </c>
      <c r="AP837" s="24" t="inlineStr">
        <is>
          <t>Delaware Blue Hens</t>
        </is>
      </c>
      <c r="AQ837" s="24" t="inlineStr">
        <is>
          <t>Delaware Blue Hens</t>
        </is>
      </c>
      <c r="AR837" s="24" t="inlineStr">
        <is>
          <t>Delaware Blue Hens</t>
        </is>
      </c>
      <c r="AS837" s="24" t="inlineStr">
        <is>
          <t>Middle Tennessee Blue Raiders</t>
        </is>
      </c>
      <c r="AT837" s="24" t="inlineStr">
        <is>
          <t>Middle Tennessee Blue Raiders</t>
        </is>
      </c>
      <c r="AU837" s="24" t="inlineStr">
        <is>
          <t>Middle Tennessee Blue Raiders</t>
        </is>
      </c>
      <c r="AV837" s="24" t="n"/>
      <c r="AW837" s="24" t="n"/>
      <c r="AX837" s="24" t="inlineStr">
        <is>
          <t>statistical_model</t>
        </is>
      </c>
      <c r="AY837" s="24" t="n"/>
      <c r="AZ837" s="24" t="inlineStr">
        <is>
          <t>shadow_qualified</t>
        </is>
      </c>
      <c r="BA837" s="24" t="inlineStr">
        <is>
          <t>94ee6b24581446a6</t>
        </is>
      </c>
      <c r="BB837" s="24" t="inlineStr">
        <is>
          <t>cfb_key_number_engine</t>
        </is>
      </c>
      <c r="BC837" s="24" t="inlineStr">
        <is>
          <t>cfb-structural-v2</t>
        </is>
      </c>
      <c r="BD837" s="24" t="inlineStr">
        <is>
          <t>94ee6b24581446a6</t>
        </is>
      </c>
      <c r="BE837" s="24" t="inlineStr">
        <is>
          <t>cfb-v1</t>
        </is>
      </c>
      <c r="BF837" s="24" t="inlineStr">
        <is>
          <t>1</t>
        </is>
      </c>
      <c r="BG837" s="24" t="inlineStr">
        <is>
          <t>94ee6b24581446a6</t>
        </is>
      </c>
      <c r="BH837" s="24" t="inlineStr">
        <is>
          <t>2026-10-13T22:27:59.912441+00:00</t>
        </is>
      </c>
      <c r="BI837" s="24" t="inlineStr">
        <is>
          <t>["same_event","same_team_same_day","same_league_same_day"]</t>
        </is>
      </c>
      <c r="BJ837" s="25" t="n">
        <v>1.5</v>
      </c>
      <c r="BK837" s="26" t="n">
        <v>-115</v>
      </c>
      <c r="BL837" s="27" t="n">
        <v>1.869565</v>
      </c>
      <c r="BM837" s="28" t="n">
        <v>0.534884</v>
      </c>
      <c r="BN837" s="28" t="n"/>
      <c r="BO837" s="28" t="n"/>
      <c r="BP837" s="25" t="n"/>
      <c r="BQ837" s="27" t="n"/>
      <c r="BR837" s="28" t="n"/>
      <c r="BS837" s="28" t="n"/>
      <c r="BT837" s="28" t="n"/>
      <c r="BU837" s="25" t="n"/>
      <c r="BV837" s="29" t="n"/>
      <c r="BW837" s="24" t="n"/>
      <c r="BX837" s="30" t="n"/>
      <c r="BY837" s="27" t="n"/>
      <c r="BZ837" s="24" t="n"/>
      <c r="CA837" s="31" t="n"/>
      <c r="CB837" s="24" t="n"/>
      <c r="CC837" s="24" t="n"/>
      <c r="CD837" s="24" t="n"/>
      <c r="CE837" s="24" t="n"/>
      <c r="CF837" s="24" t="n"/>
      <c r="CG837" s="24" t="n"/>
      <c r="CH837" s="24" t="n"/>
      <c r="CI837" s="24" t="n"/>
      <c r="CJ837" s="24" t="n"/>
      <c r="CK837" s="24" t="n"/>
      <c r="CL837" s="24" t="n"/>
      <c r="CM837" s="24" t="n"/>
      <c r="CN837" s="24" t="n"/>
      <c r="CO837" s="24" t="n"/>
      <c r="CP837" s="24" t="n"/>
      <c r="CQ837" s="24" t="n"/>
      <c r="CR837" s="24" t="n"/>
      <c r="CS837" s="24" t="inlineStr">
        <is>
          <t>True</t>
        </is>
      </c>
      <c r="CT837" s="24" t="n"/>
      <c r="CU837" s="24" t="n"/>
      <c r="CV837" s="24" t="n"/>
      <c r="CW837" s="24" t="n"/>
      <c r="CX837" s="24" t="n"/>
      <c r="CY837" s="24" t="n"/>
      <c r="CZ837" s="24" t="n"/>
      <c r="DA837" s="24" t="n"/>
      <c r="DB837" s="24" t="n"/>
      <c r="DC837" s="24" t="n"/>
      <c r="DD837" s="24" t="n"/>
      <c r="DE837" s="24" t="n"/>
      <c r="DF837" s="24" t="n"/>
      <c r="DG837" s="24" t="n"/>
      <c r="DH837" s="24" t="n"/>
      <c r="DI837" s="24" t="n"/>
      <c r="DJ837" s="24" t="n"/>
      <c r="DK837" s="24" t="n"/>
      <c r="DL837" s="24" t="n"/>
      <c r="DM837" s="24" t="n"/>
      <c r="DN837" s="24" t="n"/>
      <c r="DO837" s="24" t="n"/>
      <c r="DP837" s="24" t="n"/>
      <c r="DQ837" s="24" t="inlineStr">
        <is>
          <t>{"artifact_hash": "94ee6b24581446a6", "event_id": "401871067", "event_start_utc": "2026-10-13T23:00Z", "features": {"altitude_fatigue_penalty": 0.0, "away_team": "Delaware Blue Hens", "efficiency_gap": -0.063, "elo_away": 1309.4, "elo_home": 1306.2, "elo_home_win_prob": 0.5881, "event_id": "401871067", "game_start_utc": "2026-10-13T23:00Z", "home_field_advantage_points": 2.8, "home_team": "Middle Tennessee Blue Raiders", "is_dome": false, "is_fbs_vs_fcs": false, "is_neutral_site": false, "projected_away_points": 24.5, "projected_home_points": 27.1, "projected_margin_home": 2.6, "projected_possessions": 12.4, "projected_total": 51.6, "stadium_elevation_ft": 620, "travel_distance_miles": 636.0, "uncertainty": 0.12, "weather_total_adjustment": 0.0}, "historical_source_observation_times_verified": false, "inference_inputs": {"engine_source_sha256": "449ba2f0e86fa9c445730076a0e0bf100fb4914620be53c75c6f3bfe24298f3f", "mu_away": 24.5, "mu_home": 27.1,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1.5, "total_line": 48.5}, "market_type": "spread", "model_version": "cfb-structural-v2", "observed_at_utc": "2026-10-13T22:27:59.912441+00:00", "probabilities": {"away": 0.406133, "home": 0.593867, "push": 0.0}, "replay_scope": "Full precision score means, exact engine parameters and original RNG state; upstream feature construction not certified.", "schema": "cfb-joint-replay-v1", "snapshot_hash": "1c27cf06ea0ce0c92ef6fcaa23122364ef074394142c4d12bd485aa6a6b7d4ec", "sport": "NCAAF"}</t>
        </is>
      </c>
    </row>
    <row r="838" ht="36" customHeight="1">
      <c r="A838" s="24" t="inlineStr">
        <is>
          <t>001f19f84f8e4974</t>
        </is>
      </c>
      <c r="B838" s="24" t="inlineStr">
        <is>
          <t>2026-10-13T22:27:59.912441Z</t>
        </is>
      </c>
      <c r="C838" s="24" t="inlineStr">
        <is>
          <t>2026-10-14T00:00Z</t>
        </is>
      </c>
      <c r="D838" s="24" t="inlineStr">
        <is>
          <t>401871053</t>
        </is>
      </c>
      <c r="E838" s="24" t="inlineStr">
        <is>
          <t>NCAAF</t>
        </is>
      </c>
      <c r="F838" s="24" t="inlineStr">
        <is>
          <t>Florida International Panthers</t>
        </is>
      </c>
      <c r="G838" s="24" t="inlineStr">
        <is>
          <t>Jacksonville State Gamecocks</t>
        </is>
      </c>
      <c r="H838" s="24" t="inlineStr">
        <is>
          <t>moneyline</t>
        </is>
      </c>
      <c r="I838" s="24" t="inlineStr">
        <is>
          <t>home</t>
        </is>
      </c>
      <c r="J838" s="25" t="n"/>
      <c r="K838" s="24" t="inlineStr">
        <is>
          <t>espn_consensus</t>
        </is>
      </c>
      <c r="L838" s="26" t="n">
        <v>-155</v>
      </c>
      <c r="M838" s="27" t="n">
        <v>1.645161</v>
      </c>
      <c r="N838" s="28" t="n">
        <v>0.607843</v>
      </c>
      <c r="O838" s="28" t="n">
        <v>0.754645</v>
      </c>
      <c r="P838" s="28" t="n">
        <v>0.18</v>
      </c>
      <c r="Q838" s="28" t="n">
        <v>0.146802</v>
      </c>
      <c r="R838" s="26" t="n">
        <v>15</v>
      </c>
      <c r="S838" s="29" t="n">
        <v>1</v>
      </c>
      <c r="T838" s="24" t="inlineStr">
        <is>
          <t>cfb-structural-v2</t>
        </is>
      </c>
      <c r="U838" s="24" t="inlineStr">
        <is>
          <t>settled</t>
        </is>
      </c>
      <c r="V838" s="24" t="inlineStr">
        <is>
          <t>win</t>
        </is>
      </c>
      <c r="W838" s="26" t="n">
        <v>24</v>
      </c>
      <c r="X838" s="26" t="n">
        <v>27</v>
      </c>
      <c r="Y838" s="25" t="n"/>
      <c r="Z838" s="26" t="n"/>
      <c r="AA838" s="28" t="n"/>
      <c r="AB838" s="28" t="n"/>
      <c r="AC838" s="30" t="n">
        <v>0.6452</v>
      </c>
      <c r="AD838" s="24" t="inlineStr">
        <is>
          <t>2026-10-14T04:31:16.963728Z</t>
        </is>
      </c>
      <c r="AE838" s="31" t="inlineStr">
        <is>
          <t>CFB Joint Model (negative_binomial): proj score Florida International Panthers 20.0 @ Jacksonville State Gamecocks 32.7 (Margin +12.7). Possessions: 12.4, HFA: +2.8 pts.</t>
        </is>
      </c>
      <c r="AF838" s="31" t="inlineStr">
        <is>
          <t>College football model; multi-market (moneyline, spread, total).</t>
        </is>
      </c>
      <c r="AG838" s="24" t="inlineStr">
        <is>
          <t>not_applicable</t>
        </is>
      </c>
      <c r="AH838" s="24" t="n"/>
      <c r="AI838" s="31" t="n"/>
      <c r="AJ838" s="31" t="n"/>
      <c r="AK838" s="24" t="inlineStr">
        <is>
          <t>model_qualified</t>
        </is>
      </c>
      <c r="AL838" s="26" t="n">
        <v>4</v>
      </c>
      <c r="AM838" s="24" t="inlineStr">
        <is>
          <t>QUALIFIED_SHADOW_CALL</t>
        </is>
      </c>
      <c r="AN838" s="24" t="inlineStr">
        <is>
          <t>CALL</t>
        </is>
      </c>
      <c r="AO838" s="24" t="inlineStr">
        <is>
          <t>QUALIFIED</t>
        </is>
      </c>
      <c r="AP838" s="24" t="inlineStr">
        <is>
          <t>Florida International Panthers</t>
        </is>
      </c>
      <c r="AQ838" s="24" t="inlineStr">
        <is>
          <t>Florida International Panthers</t>
        </is>
      </c>
      <c r="AR838" s="24" t="inlineStr">
        <is>
          <t>Florida International Panthers</t>
        </is>
      </c>
      <c r="AS838" s="24" t="inlineStr">
        <is>
          <t>Jacksonville State Gamecocks</t>
        </is>
      </c>
      <c r="AT838" s="24" t="inlineStr">
        <is>
          <t>Jacksonville State Gamecocks</t>
        </is>
      </c>
      <c r="AU838" s="24" t="inlineStr">
        <is>
          <t>Jacksonville State Gamecocks</t>
        </is>
      </c>
      <c r="AV838" s="24" t="n"/>
      <c r="AW838" s="24" t="n"/>
      <c r="AX838" s="24" t="inlineStr">
        <is>
          <t>statistical_model</t>
        </is>
      </c>
      <c r="AY838" s="24" t="n"/>
      <c r="AZ838" s="24" t="inlineStr">
        <is>
          <t>shadow_qualified</t>
        </is>
      </c>
      <c r="BA838" s="24" t="inlineStr">
        <is>
          <t>94ee6b24581446a6</t>
        </is>
      </c>
      <c r="BB838" s="24" t="inlineStr">
        <is>
          <t>cfb_key_number_engine</t>
        </is>
      </c>
      <c r="BC838" s="24" t="inlineStr">
        <is>
          <t>cfb-structural-v2</t>
        </is>
      </c>
      <c r="BD838" s="24" t="inlineStr">
        <is>
          <t>94ee6b24581446a6</t>
        </is>
      </c>
      <c r="BE838" s="24" t="inlineStr">
        <is>
          <t>cfb-v1</t>
        </is>
      </c>
      <c r="BF838" s="24" t="inlineStr">
        <is>
          <t>1</t>
        </is>
      </c>
      <c r="BG838" s="24" t="inlineStr">
        <is>
          <t>94ee6b24581446a6</t>
        </is>
      </c>
      <c r="BH838" s="24" t="inlineStr">
        <is>
          <t>2026-10-13T22:27:59.912441+00:00</t>
        </is>
      </c>
      <c r="BI838" s="24" t="inlineStr">
        <is>
          <t>["same_event","same_team_same_day","same_league_same_day"]</t>
        </is>
      </c>
      <c r="BJ838" s="25" t="n"/>
      <c r="BK838" s="26" t="n">
        <v>-155</v>
      </c>
      <c r="BL838" s="27" t="n">
        <v>1.645161</v>
      </c>
      <c r="BM838" s="28" t="n">
        <v>0.607843</v>
      </c>
      <c r="BN838" s="28" t="n"/>
      <c r="BO838" s="28" t="n"/>
      <c r="BP838" s="25" t="n"/>
      <c r="BQ838" s="27" t="n"/>
      <c r="BR838" s="28" t="n"/>
      <c r="BS838" s="28" t="n"/>
      <c r="BT838" s="28" t="n"/>
      <c r="BU838" s="25" t="n"/>
      <c r="BV838" s="29" t="n"/>
      <c r="BW838" s="24" t="n"/>
      <c r="BX838" s="30" t="n"/>
      <c r="BY838" s="27" t="n"/>
      <c r="BZ838" s="24" t="n"/>
      <c r="CA838" s="31" t="n"/>
      <c r="CB838" s="24" t="n"/>
      <c r="CC838" s="24" t="n"/>
      <c r="CD838" s="24" t="n"/>
      <c r="CE838" s="24" t="n"/>
      <c r="CF838" s="24" t="n"/>
      <c r="CG838" s="24" t="n"/>
      <c r="CH838" s="24" t="n"/>
      <c r="CI838" s="24" t="n"/>
      <c r="CJ838" s="24" t="n"/>
      <c r="CK838" s="24" t="n"/>
      <c r="CL838" s="24" t="n"/>
      <c r="CM838" s="24" t="n"/>
      <c r="CN838" s="24" t="n"/>
      <c r="CO838" s="24" t="n"/>
      <c r="CP838" s="24" t="n"/>
      <c r="CQ838" s="24" t="n"/>
      <c r="CR838" s="24" t="n"/>
      <c r="CS838" s="24" t="inlineStr">
        <is>
          <t>True</t>
        </is>
      </c>
      <c r="CT838" s="24" t="n"/>
      <c r="CU838" s="24" t="n"/>
      <c r="CV838" s="24" t="n"/>
      <c r="CW838" s="24" t="n"/>
      <c r="CX838" s="24" t="n"/>
      <c r="CY838" s="24" t="n"/>
      <c r="CZ838" s="24" t="n"/>
      <c r="DA838" s="24" t="n"/>
      <c r="DB838" s="24" t="n"/>
      <c r="DC838" s="24" t="n"/>
      <c r="DD838" s="24" t="n"/>
      <c r="DE838" s="24" t="n"/>
      <c r="DF838" s="24" t="n"/>
      <c r="DG838" s="24" t="n"/>
      <c r="DH838" s="24" t="n"/>
      <c r="DI838" s="24" t="n"/>
      <c r="DJ838" s="24" t="n"/>
      <c r="DK838" s="24" t="n"/>
      <c r="DL838" s="24" t="n"/>
      <c r="DM838" s="24" t="n"/>
      <c r="DN838" s="24" t="n"/>
      <c r="DO838" s="24" t="n"/>
      <c r="DP838" s="24" t="n"/>
      <c r="DQ838" s="24" t="inlineStr">
        <is>
          <t>{"artifact_hash": "94ee6b24581446a6", "event_id": "401871053", "event_start_utc": "2026-10-14T00:00Z", "features": {"altitude_fatigue_penalty": 0.0, "away_team": "Florida International Panthers", "efficiency_gap": 0.171, "elo_away": 1337.5, "elo_home": 1583.9, "elo_home_win_prob": 0.8572, "event_id": "401871053", "game_start_utc": "2026-10-14T00:00Z", "home_field_advantage_points": 2.8, "home_team": "Jacksonville State Gamecocks", "is_dome": false, "is_fbs_vs_fcs": false, "is_neutral_site": false, "projected_away_points": 20.0, "projected_home_points": 32.7, "projected_margin_home": 12.7,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284035300439941766670206482826598012600}, "uinteger": 0}, "spread_home_line": -3.0, "total_line": 43.5}, "market_type": "moneyline", "model_version": "cfb-structural-v2", "observed_at_utc": "2026-10-13T22:27:59.912441+00:00", "probabilities": {"away": 0.245355, "home": 0.754645}, "replay_scope": "Full precision score means, exact engine parameters and original RNG state; upstream feature construction not certified.", "schema": "cfb-joint-replay-v1", "snapshot_hash": "13193cda8b5355cdfa3f2c303a3da2e763eb8b77a1ce8c330695e3f07803c38f", "sport": "NCAAF"}</t>
        </is>
      </c>
    </row>
    <row r="839" ht="36" customHeight="1">
      <c r="A839" s="24" t="inlineStr">
        <is>
          <t>03e6573fbdf942cc</t>
        </is>
      </c>
      <c r="B839" s="24" t="inlineStr">
        <is>
          <t>2026-10-13T22:27:59.912441Z</t>
        </is>
      </c>
      <c r="C839" s="24" t="inlineStr">
        <is>
          <t>2026-10-14T00:00Z</t>
        </is>
      </c>
      <c r="D839" s="24" t="inlineStr">
        <is>
          <t>401871053</t>
        </is>
      </c>
      <c r="E839" s="24" t="inlineStr">
        <is>
          <t>NCAAF</t>
        </is>
      </c>
      <c r="F839" s="24" t="inlineStr">
        <is>
          <t>Florida International Panthers</t>
        </is>
      </c>
      <c r="G839" s="24" t="inlineStr">
        <is>
          <t>Jacksonville State Gamecocks</t>
        </is>
      </c>
      <c r="H839" s="24" t="inlineStr">
        <is>
          <t>spread</t>
        </is>
      </c>
      <c r="I839" s="24" t="inlineStr">
        <is>
          <t>home</t>
        </is>
      </c>
      <c r="J839" s="25" t="n">
        <v>-3</v>
      </c>
      <c r="K839" s="24" t="inlineStr">
        <is>
          <t>espn_consensus</t>
        </is>
      </c>
      <c r="L839" s="26" t="n">
        <v>-112</v>
      </c>
      <c r="M839" s="27" t="n">
        <v>1.892857</v>
      </c>
      <c r="N839" s="28" t="n">
        <v>0.528302</v>
      </c>
      <c r="O839" s="28" t="n">
        <v>0.6919999999999999</v>
      </c>
      <c r="P839" s="28" t="n">
        <v>0.18</v>
      </c>
      <c r="Q839" s="28" t="n">
        <v>0.163698</v>
      </c>
      <c r="R839" s="26" t="n">
        <v>24</v>
      </c>
      <c r="S839" s="29" t="n">
        <v>1</v>
      </c>
      <c r="T839" s="24" t="inlineStr">
        <is>
          <t>cfb-structural-v2</t>
        </is>
      </c>
      <c r="U839" s="24" t="inlineStr">
        <is>
          <t>settled</t>
        </is>
      </c>
      <c r="V839" s="24" t="inlineStr">
        <is>
          <t>push</t>
        </is>
      </c>
      <c r="W839" s="26" t="n">
        <v>24</v>
      </c>
      <c r="X839" s="26" t="n">
        <v>27</v>
      </c>
      <c r="Y839" s="25" t="n"/>
      <c r="Z839" s="26" t="n"/>
      <c r="AA839" s="28" t="n"/>
      <c r="AB839" s="28" t="n"/>
      <c r="AC839" s="30" t="n">
        <v>0</v>
      </c>
      <c r="AD839" s="24" t="inlineStr">
        <is>
          <t>2026-10-14T04:31:23.514323Z</t>
        </is>
      </c>
      <c r="AE839" s="31" t="inlineStr">
        <is>
          <t>Projected home margin +12.7 pts. Spread: Home -3.0 / Away +3.0 -&gt; P(Away cover)=0.290, P(Home cover)=0.692, P(Push)=0.018.</t>
        </is>
      </c>
      <c r="AF839" s="31" t="inlineStr">
        <is>
          <t>College football model; multi-market (moneyline, spread, total).</t>
        </is>
      </c>
      <c r="AG839" s="24" t="inlineStr">
        <is>
          <t>not_applicable</t>
        </is>
      </c>
      <c r="AH839" s="24" t="n"/>
      <c r="AI839" s="31" t="n"/>
      <c r="AJ839" s="31" t="n"/>
      <c r="AK839" s="24" t="inlineStr">
        <is>
          <t>model_qualified</t>
        </is>
      </c>
      <c r="AL839" s="26" t="n">
        <v>4</v>
      </c>
      <c r="AM839" s="24" t="inlineStr">
        <is>
          <t>QUALIFIED_SHADOW_CALL</t>
        </is>
      </c>
      <c r="AN839" s="24" t="inlineStr">
        <is>
          <t>CALL</t>
        </is>
      </c>
      <c r="AO839" s="24" t="inlineStr">
        <is>
          <t>QUALIFIED</t>
        </is>
      </c>
      <c r="AP839" s="24" t="inlineStr">
        <is>
          <t>Florida International Panthers</t>
        </is>
      </c>
      <c r="AQ839" s="24" t="inlineStr">
        <is>
          <t>Florida International Panthers</t>
        </is>
      </c>
      <c r="AR839" s="24" t="inlineStr">
        <is>
          <t>Florida International Panthers</t>
        </is>
      </c>
      <c r="AS839" s="24" t="inlineStr">
        <is>
          <t>Jacksonville State Gamecocks</t>
        </is>
      </c>
      <c r="AT839" s="24" t="inlineStr">
        <is>
          <t>Jacksonville State Gamecocks</t>
        </is>
      </c>
      <c r="AU839" s="24" t="inlineStr">
        <is>
          <t>Jacksonville State Gamecocks</t>
        </is>
      </c>
      <c r="AV839" s="24" t="n"/>
      <c r="AW839" s="24" t="n"/>
      <c r="AX839" s="24" t="inlineStr">
        <is>
          <t>statistical_model</t>
        </is>
      </c>
      <c r="AY839" s="24" t="n"/>
      <c r="AZ839" s="24" t="inlineStr">
        <is>
          <t>shadow_qualified</t>
        </is>
      </c>
      <c r="BA839" s="24" t="inlineStr">
        <is>
          <t>94ee6b24581446a6</t>
        </is>
      </c>
      <c r="BB839" s="24" t="inlineStr">
        <is>
          <t>cfb_key_number_engine</t>
        </is>
      </c>
      <c r="BC839" s="24" t="inlineStr">
        <is>
          <t>cfb-structural-v2</t>
        </is>
      </c>
      <c r="BD839" s="24" t="inlineStr">
        <is>
          <t>94ee6b24581446a6</t>
        </is>
      </c>
      <c r="BE839" s="24" t="inlineStr">
        <is>
          <t>cfb-v1</t>
        </is>
      </c>
      <c r="BF839" s="24" t="inlineStr">
        <is>
          <t>1</t>
        </is>
      </c>
      <c r="BG839" s="24" t="inlineStr">
        <is>
          <t>94ee6b24581446a6</t>
        </is>
      </c>
      <c r="BH839" s="24" t="inlineStr">
        <is>
          <t>2026-10-13T22:27:59.912441+00:00</t>
        </is>
      </c>
      <c r="BI839" s="24" t="inlineStr">
        <is>
          <t>["same_event","same_team_same_day","same_league_same_day"]</t>
        </is>
      </c>
      <c r="BJ839" s="25" t="n">
        <v>-3</v>
      </c>
      <c r="BK839" s="26" t="n">
        <v>-112</v>
      </c>
      <c r="BL839" s="27" t="n">
        <v>1.892857</v>
      </c>
      <c r="BM839" s="28" t="n">
        <v>0.528302</v>
      </c>
      <c r="BN839" s="28" t="n"/>
      <c r="BO839" s="28" t="n"/>
      <c r="BP839" s="25" t="n"/>
      <c r="BQ839" s="27" t="n"/>
      <c r="BR839" s="28" t="n"/>
      <c r="BS839" s="28" t="n"/>
      <c r="BT839" s="28" t="n"/>
      <c r="BU839" s="25" t="n"/>
      <c r="BV839" s="29" t="n"/>
      <c r="BW839" s="24" t="n"/>
      <c r="BX839" s="30" t="n"/>
      <c r="BY839" s="27" t="n"/>
      <c r="BZ839" s="24" t="n"/>
      <c r="CA839" s="31" t="n"/>
      <c r="CB839" s="24" t="n"/>
      <c r="CC839" s="24" t="n"/>
      <c r="CD839" s="24" t="n"/>
      <c r="CE839" s="24" t="n"/>
      <c r="CF839" s="24" t="n"/>
      <c r="CG839" s="24" t="n"/>
      <c r="CH839" s="24" t="n"/>
      <c r="CI839" s="24" t="n"/>
      <c r="CJ839" s="24" t="n"/>
      <c r="CK839" s="24" t="n"/>
      <c r="CL839" s="24" t="n"/>
      <c r="CM839" s="24" t="n"/>
      <c r="CN839" s="24" t="n"/>
      <c r="CO839" s="24" t="n"/>
      <c r="CP839" s="24" t="n"/>
      <c r="CQ839" s="24" t="n"/>
      <c r="CR839" s="24" t="n"/>
      <c r="CS839" s="24" t="inlineStr">
        <is>
          <t>True</t>
        </is>
      </c>
      <c r="CT839" s="24" t="n"/>
      <c r="CU839" s="24" t="n"/>
      <c r="CV839" s="24" t="n"/>
      <c r="CW839" s="24" t="n"/>
      <c r="CX839" s="24" t="n"/>
      <c r="CY839" s="24" t="n"/>
      <c r="CZ839" s="24" t="n"/>
      <c r="DA839" s="24" t="n"/>
      <c r="DB839" s="24" t="n"/>
      <c r="DC839" s="24" t="n"/>
      <c r="DD839" s="24" t="n"/>
      <c r="DE839" s="24" t="n"/>
      <c r="DF839" s="24" t="n"/>
      <c r="DG839" s="24" t="n"/>
      <c r="DH839" s="24" t="n"/>
      <c r="DI839" s="24" t="n"/>
      <c r="DJ839" s="24" t="n"/>
      <c r="DK839" s="24" t="n"/>
      <c r="DL839" s="24" t="n"/>
      <c r="DM839" s="24" t="n"/>
      <c r="DN839" s="24" t="n"/>
      <c r="DO839" s="24" t="n"/>
      <c r="DP839" s="24" t="n"/>
      <c r="DQ839" s="24" t="inlineStr">
        <is>
          <t>{"artifact_hash": "94ee6b24581446a6", "event_id": "401871053", "event_start_utc": "2026-10-14T00:00Z", "features": {"altitude_fatigue_penalty": 0.0, "away_team": "Florida International Panthers", "efficiency_gap": 0.171, "elo_away": 1337.5, "elo_home": 1583.9, "elo_home_win_prob": 0.8572, "event_id": "401871053", "game_start_utc": "2026-10-14T00:00Z", "home_field_advantage_points": 2.8, "home_team": "Jacksonville State Gamecocks", "is_dome": false, "is_fbs_vs_fcs": false, "is_neutral_site": false, "projected_away_points": 20.0, "projected_home_points": 32.7, "projected_margin_home": 12.7,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284035300439941766670206482826598012600}, "uinteger": 0}, "spread_home_line": -3.0, "total_line": 43.5}, "market_type": "spread", "model_version": "cfb-structural-v2", "observed_at_utc": "2026-10-13T22:27:59.912441+00:00", "probabilities": {"away": 0.2896, "home": 0.692, "push": 0.0184}, "replay_scope": "Full precision score means, exact engine parameters and original RNG state; upstream feature construction not certified.", "schema": "cfb-joint-replay-v1", "snapshot_hash": "958b84c74ce19ca143c59607e103825b2d6cf72c65d034f4333e1e13ae68419a", "sport": "NCAAF"}</t>
        </is>
      </c>
    </row>
    <row r="840" ht="36" customHeight="1">
      <c r="A840" s="24" t="inlineStr">
        <is>
          <t>0fa4d027efe841fa</t>
        </is>
      </c>
      <c r="B840" s="24" t="inlineStr">
        <is>
          <t>2026-10-13T22:27:59.912441Z</t>
        </is>
      </c>
      <c r="C840" s="24" t="inlineStr">
        <is>
          <t>2026-10-14T00:00Z</t>
        </is>
      </c>
      <c r="D840" s="24" t="inlineStr">
        <is>
          <t>401871053</t>
        </is>
      </c>
      <c r="E840" s="24" t="inlineStr">
        <is>
          <t>NCAAF</t>
        </is>
      </c>
      <c r="F840" s="24" t="inlineStr">
        <is>
          <t>Florida International Panthers</t>
        </is>
      </c>
      <c r="G840" s="24" t="inlineStr">
        <is>
          <t>Jacksonville State Gamecocks</t>
        </is>
      </c>
      <c r="H840" s="24" t="inlineStr">
        <is>
          <t>total</t>
        </is>
      </c>
      <c r="I840" s="24" t="inlineStr">
        <is>
          <t>over</t>
        </is>
      </c>
      <c r="J840" s="25" t="n">
        <v>43.5</v>
      </c>
      <c r="K840" s="24" t="inlineStr">
        <is>
          <t>espn_consensus</t>
        </is>
      </c>
      <c r="L840" s="26" t="n">
        <v>-112</v>
      </c>
      <c r="M840" s="27" t="n">
        <v>1.892857</v>
      </c>
      <c r="N840" s="28" t="n">
        <v>0.528302</v>
      </c>
      <c r="O840" s="28" t="n">
        <v>0.6176</v>
      </c>
      <c r="P840" s="28" t="n">
        <v>0.18</v>
      </c>
      <c r="Q840" s="28" t="n">
        <v>0.089298</v>
      </c>
      <c r="R840" s="26" t="n">
        <v>0</v>
      </c>
      <c r="S840" s="29" t="n">
        <v>1</v>
      </c>
      <c r="T840" s="24" t="inlineStr">
        <is>
          <t>cfb-structural-v2</t>
        </is>
      </c>
      <c r="U840" s="24" t="inlineStr">
        <is>
          <t>settled</t>
        </is>
      </c>
      <c r="V840" s="24" t="inlineStr">
        <is>
          <t>win</t>
        </is>
      </c>
      <c r="W840" s="26" t="n">
        <v>24</v>
      </c>
      <c r="X840" s="26" t="n">
        <v>27</v>
      </c>
      <c r="Y840" s="25" t="n"/>
      <c r="Z840" s="26" t="n"/>
      <c r="AA840" s="28" t="n"/>
      <c r="AB840" s="28" t="n"/>
      <c r="AC840" s="30" t="n">
        <v>0.8929</v>
      </c>
      <c r="AD840" s="24" t="inlineStr">
        <is>
          <t>2026-10-14T04:31:39.547915Z</t>
        </is>
      </c>
      <c r="AE840" s="31" t="inlineStr">
        <is>
          <t>Projected total 52.7 pts (Weather adj: +0.0 pts). Total line 43.5 -&gt; P(Over)=0.618, P(Under)=0.382, P(Push)=0.000.</t>
        </is>
      </c>
      <c r="AF840" s="31" t="inlineStr">
        <is>
          <t>College football model; multi-market (moneyline, spread, total).</t>
        </is>
      </c>
      <c r="AG840" s="24" t="inlineStr">
        <is>
          <t>not_applicable</t>
        </is>
      </c>
      <c r="AH840" s="24" t="n"/>
      <c r="AI840" s="31" t="n"/>
      <c r="AJ840" s="31" t="n"/>
      <c r="AK840" s="24" t="inlineStr">
        <is>
          <t>model_qualified</t>
        </is>
      </c>
      <c r="AL840" s="26" t="n">
        <v>4</v>
      </c>
      <c r="AM840" s="24" t="inlineStr">
        <is>
          <t>QUALIFIED_SHADOW_CALL</t>
        </is>
      </c>
      <c r="AN840" s="24" t="inlineStr">
        <is>
          <t>CALL</t>
        </is>
      </c>
      <c r="AO840" s="24" t="inlineStr">
        <is>
          <t>QUALIFIED</t>
        </is>
      </c>
      <c r="AP840" s="24" t="inlineStr">
        <is>
          <t>Florida International Panthers</t>
        </is>
      </c>
      <c r="AQ840" s="24" t="inlineStr">
        <is>
          <t>Florida International Panthers</t>
        </is>
      </c>
      <c r="AR840" s="24" t="inlineStr">
        <is>
          <t>Florida International Panthers</t>
        </is>
      </c>
      <c r="AS840" s="24" t="inlineStr">
        <is>
          <t>Jacksonville State Gamecocks</t>
        </is>
      </c>
      <c r="AT840" s="24" t="inlineStr">
        <is>
          <t>Jacksonville State Gamecocks</t>
        </is>
      </c>
      <c r="AU840" s="24" t="inlineStr">
        <is>
          <t>Jacksonville State Gamecocks</t>
        </is>
      </c>
      <c r="AV840" s="24" t="n"/>
      <c r="AW840" s="24" t="n"/>
      <c r="AX840" s="24" t="inlineStr">
        <is>
          <t>statistical_model</t>
        </is>
      </c>
      <c r="AY840" s="24" t="n"/>
      <c r="AZ840" s="24" t="inlineStr">
        <is>
          <t>shadow_qualified</t>
        </is>
      </c>
      <c r="BA840" s="24" t="inlineStr">
        <is>
          <t>94ee6b24581446a6</t>
        </is>
      </c>
      <c r="BB840" s="24" t="inlineStr">
        <is>
          <t>cfb_key_number_engine</t>
        </is>
      </c>
      <c r="BC840" s="24" t="inlineStr">
        <is>
          <t>cfb-structural-v2</t>
        </is>
      </c>
      <c r="BD840" s="24" t="inlineStr">
        <is>
          <t>94ee6b24581446a6</t>
        </is>
      </c>
      <c r="BE840" s="24" t="inlineStr">
        <is>
          <t>cfb-v1</t>
        </is>
      </c>
      <c r="BF840" s="24" t="inlineStr">
        <is>
          <t>1</t>
        </is>
      </c>
      <c r="BG840" s="24" t="inlineStr">
        <is>
          <t>94ee6b24581446a6</t>
        </is>
      </c>
      <c r="BH840" s="24" t="inlineStr">
        <is>
          <t>2026-10-13T22:27:59.912441+00:00</t>
        </is>
      </c>
      <c r="BI840" s="24" t="inlineStr">
        <is>
          <t>["same_event","same_team_same_day","same_league_same_day"]</t>
        </is>
      </c>
      <c r="BJ840" s="25" t="n">
        <v>43.5</v>
      </c>
      <c r="BK840" s="26" t="n">
        <v>-112</v>
      </c>
      <c r="BL840" s="27" t="n">
        <v>1.892857</v>
      </c>
      <c r="BM840" s="28" t="n">
        <v>0.528302</v>
      </c>
      <c r="BN840" s="28" t="n"/>
      <c r="BO840" s="28" t="n"/>
      <c r="BP840" s="25" t="n"/>
      <c r="BQ840" s="27" t="n"/>
      <c r="BR840" s="28" t="n"/>
      <c r="BS840" s="28" t="n"/>
      <c r="BT840" s="28" t="n"/>
      <c r="BU840" s="25" t="n"/>
      <c r="BV840" s="29" t="n"/>
      <c r="BW840" s="24" t="n"/>
      <c r="BX840" s="30" t="n"/>
      <c r="BY840" s="27" t="n"/>
      <c r="BZ840" s="24" t="n"/>
      <c r="CA840" s="31" t="n"/>
      <c r="CB840" s="24" t="n"/>
      <c r="CC840" s="24" t="n"/>
      <c r="CD840" s="24" t="n"/>
      <c r="CE840" s="24" t="n"/>
      <c r="CF840" s="24" t="n"/>
      <c r="CG840" s="24" t="n"/>
      <c r="CH840" s="24" t="n"/>
      <c r="CI840" s="24" t="n"/>
      <c r="CJ840" s="24" t="n"/>
      <c r="CK840" s="24" t="n"/>
      <c r="CL840" s="24" t="n"/>
      <c r="CM840" s="24" t="n"/>
      <c r="CN840" s="24" t="n"/>
      <c r="CO840" s="24" t="n"/>
      <c r="CP840" s="24" t="n"/>
      <c r="CQ840" s="24" t="n"/>
      <c r="CR840" s="24" t="n"/>
      <c r="CS840" s="24" t="inlineStr">
        <is>
          <t>True</t>
        </is>
      </c>
      <c r="CT840" s="24" t="n"/>
      <c r="CU840" s="24" t="n"/>
      <c r="CV840" s="24" t="n"/>
      <c r="CW840" s="24" t="n"/>
      <c r="CX840" s="24" t="n"/>
      <c r="CY840" s="24" t="n"/>
      <c r="CZ840" s="24" t="n"/>
      <c r="DA840" s="24" t="n"/>
      <c r="DB840" s="24" t="n"/>
      <c r="DC840" s="24" t="n"/>
      <c r="DD840" s="24" t="n"/>
      <c r="DE840" s="24" t="n"/>
      <c r="DF840" s="24" t="n"/>
      <c r="DG840" s="24" t="n"/>
      <c r="DH840" s="24" t="n"/>
      <c r="DI840" s="24" t="n"/>
      <c r="DJ840" s="24" t="n"/>
      <c r="DK840" s="24" t="n"/>
      <c r="DL840" s="24" t="n"/>
      <c r="DM840" s="24" t="n"/>
      <c r="DN840" s="24" t="n"/>
      <c r="DO840" s="24" t="n"/>
      <c r="DP840" s="24" t="n"/>
      <c r="DQ840" s="24" t="inlineStr">
        <is>
          <t>{"artifact_hash": "94ee6b24581446a6", "event_id": "401871053", "event_start_utc": "2026-10-14T00:00Z", "features": {"altitude_fatigue_penalty": 0.0, "away_team": "Florida International Panthers", "efficiency_gap": 0.171, "elo_away": 1337.5, "elo_home": 1583.9, "elo_home_win_prob": 0.8572, "event_id": "401871053", "game_start_utc": "2026-10-14T00:00Z", "home_field_advantage_points": 2.8, "home_team": "Jacksonville State Gamecocks", "is_dome": false, "is_fbs_vs_fcs": false, "is_neutral_site": false, "projected_away_points": 20.0, "projected_home_points": 32.7, "projected_margin_home": 12.7,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284035300439941766670206482826598012600}, "uinteger": 0}, "spread_home_line": -3.0, "total_line": 43.5}, "market_type": "total", "model_version": "cfb-structural-v2", "observed_at_utc": "2026-10-13T22:27:59.912441+00:00", "probabilities": {"over": 0.6176, "push": 0.0, "under": 0.3824}, "replay_scope": "Full precision score means, exact engine parameters and original RNG state; upstream feature construction not certified.", "schema": "cfb-joint-replay-v1", "snapshot_hash": "ef8620dd766f3bb2e0ed925b4325e84c6f5993651982d17c5daf8cb8b062bc47", "sport": "NCAAF"}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2026-10-14T04:31:40Z</dcterms:created>
  <dcterms:modified xmlns:dcterms="http://purl.org/dc/terms/" xmlns:xsi="http://www.w3.org/2001/XMLSchema-instance" xsi:type="dcterms:W3CDTF">2026-10-14T04:31:41Z</dcterms:modified>
</cp:coreProperties>
</file>