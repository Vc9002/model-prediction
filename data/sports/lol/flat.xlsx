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icks" sheetId="2" state="visible" r:id="rId2"/>
  </sheets>
  <definedNames>
    <definedName name="_xlnm.Print_Area" localSheetId="0">'Summary'!$A$1:$L$19</definedName>
    <definedName name="_xlnm._FilterDatabase" localSheetId="1" hidden="1">'Picks'!$A$1:$DQ$1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###"/>
    <numFmt numFmtId="165" formatCode="0.000000"/>
    <numFmt numFmtId="166" formatCode="0.0000"/>
    <numFmt numFmtId="167" formatCode="0.0%"/>
  </numFmts>
  <fonts count="9">
    <font>
      <name val="Calibri"/>
      <family val="2"/>
      <color theme="1"/>
      <sz val="11"/>
      <scheme val="minor"/>
    </font>
    <font>
      <name val="Aptos"/>
      <color rgb="001F2937"/>
      <sz val="10"/>
    </font>
    <font>
      <name val="Aptos"/>
      <b val="1"/>
      <color rgb="00FFFFFF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0" pivotButton="0" quotePrefix="0" xfId="0"/>
    <xf numFmtId="1" fontId="4" fillId="0" borderId="0" pivotButton="0" quotePrefix="0" xfId="0"/>
    <xf numFmtId="0" fontId="4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7" fontId="6" fillId="5" borderId="0" applyAlignment="1" pivotButton="0" quotePrefix="0" xfId="0">
      <alignment vertical="center"/>
    </xf>
    <xf numFmtId="166" fontId="6" fillId="5" borderId="0" applyAlignment="1" pivotButton="0" quotePrefix="0" xfId="0">
      <alignment vertical="center"/>
    </xf>
    <xf numFmtId="10" fontId="6" fillId="5" borderId="0" applyAlignment="1" pivotButton="0" quotePrefix="0" xfId="0">
      <alignment vertical="center"/>
    </xf>
    <xf numFmtId="0" fontId="7" fillId="3" borderId="0" pivotButton="0" quotePrefix="0" xfId="0"/>
    <xf numFmtId="0" fontId="4" fillId="4" borderId="0" applyAlignment="1" pivotButton="0" quotePrefix="0" xfId="0">
      <alignment horizontal="center"/>
    </xf>
    <xf numFmtId="0" fontId="1" fillId="6" borderId="0" applyAlignment="1" pivotButton="0" quotePrefix="0" xfId="0">
      <alignment horizontal="left"/>
    </xf>
    <xf numFmtId="0" fontId="1" fillId="6" borderId="0" applyAlignment="1" pivotButton="0" quotePrefix="0" xfId="0">
      <alignment horizontal="right"/>
    </xf>
    <xf numFmtId="167" fontId="1" fillId="6" borderId="0" applyAlignment="1" pivotButton="0" quotePrefix="0" xfId="0">
      <alignment horizontal="right"/>
    </xf>
    <xf numFmtId="166" fontId="1" fillId="6" borderId="0" applyAlignment="1" pivotButton="0" quotePrefix="0" xfId="0">
      <alignment horizontal="right"/>
    </xf>
    <xf numFmtId="10" fontId="1" fillId="6" borderId="0" applyAlignment="1" pivotButton="0" quotePrefix="0" xfId="0">
      <alignment horizontal="right"/>
    </xf>
    <xf numFmtId="0" fontId="1" fillId="7" borderId="0" applyAlignment="1" pivotButton="0" quotePrefix="0" xfId="0">
      <alignment horizontal="left"/>
    </xf>
    <xf numFmtId="0" fontId="1" fillId="7" borderId="0" applyAlignment="1" pivotButton="0" quotePrefix="0" xfId="0">
      <alignment horizontal="right"/>
    </xf>
    <xf numFmtId="167" fontId="1" fillId="7" borderId="0" applyAlignment="1" pivotButton="0" quotePrefix="0" xfId="0">
      <alignment horizontal="right"/>
    </xf>
    <xf numFmtId="166" fontId="1" fillId="7" borderId="0" applyAlignment="1" pivotButton="0" quotePrefix="0" xfId="0">
      <alignment horizontal="right"/>
    </xf>
    <xf numFmtId="10" fontId="1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COUNTA('Picks'!$A$2:$A$2)</f>
        <v/>
      </c>
      <c r="C4" s="6">
        <f>COUNTIF('Picks'!$U$2:$U$2,"open")</f>
        <v/>
      </c>
      <c r="E4" s="6">
        <f>COUNTIF('Picks'!$U$2:$U$2,"settled")</f>
        <v/>
      </c>
      <c r="G4" s="6">
        <f>IF(COUNTIFS('Picks'!$U$2:$U$2,"settled",'Picks'!$V$2:$V$2,"win")+COUNTIFS('Picks'!$U$2:$U$2,"settled",'Picks'!$V$2:$V$2,"loss")&gt;=$L$2,"Ready","Insufficient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COUNTIF('Picks'!$BX$2:$BX$2,"&gt;0")</f>
        <v/>
      </c>
      <c r="C7" s="6">
        <f>COUNTIFS('Picks'!$BX$2:$BX$2,"&gt;0",'Picks'!$V$2:$V$2,"win")&amp;"-"&amp;COUNTIFS('Picks'!$BX$2:$BX$2,"&gt;0",'Picks'!$V$2:$V$2,"loss")</f>
        <v/>
      </c>
      <c r="E7" s="7">
        <f>IFERROR(COUNTIFS('Picks'!$BX$2:$BX$2,"&gt;0",'Picks'!$V$2:$V$2,"win")/(COUNTIFS('Picks'!$BX$2:$BX$2,"&gt;0",'Picks'!$V$2:$V$2,"win")+COUNTIFS('Picks'!$BX$2:$BX$2,"&gt;0",'Picks'!$V$2:$V$2,"loss")),0)</f>
        <v/>
      </c>
      <c r="G7" s="7">
        <f>IFERROR(SUM('Picks'!$BY$2:$BY$2)/SUM('Picks'!$BX$2:$BX$2),0)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SUM('Picks'!$BY$2:$BY$2)</f>
        <v/>
      </c>
      <c r="C10" s="9">
        <f>IFERROR(AVERAGEIF('Picks'!$AB$2:$AB$2,"&lt;&gt;",'Picks'!$AB$2:$AB$2),0)</f>
        <v/>
      </c>
      <c r="E10" s="6">
        <f>COUNTIFS('Picks'!$AM$2:$AM$2,"QUALIFIED_SHADOW_CALL",'Picks'!$U$2:$U$2,"settled")</f>
        <v/>
      </c>
      <c r="G10" s="8">
        <f>SUMIFS('Picks'!$AC$2:$AC$2,'Picks'!$AM$2:$AM$2,"QUALIFIED_SHADOW_CALL")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COUNTIFS('Picks'!$H$2:$H$2,$A14,'Picks'!$U$2:$U$2,"settled")</f>
        <v/>
      </c>
      <c r="C14" s="13">
        <f>COUNTIFS('Picks'!$H$2:$H$2,$A14,'Picks'!$U$2:$U$2,"settled",'Picks'!$V$2:$V$2,"win")</f>
        <v/>
      </c>
      <c r="D14" s="13">
        <f>COUNTIFS('Picks'!$H$2:$H$2,$A14,'Picks'!$U$2:$U$2,"settled",'Picks'!$V$2:$V$2,"loss")</f>
        <v/>
      </c>
      <c r="E14" s="14">
        <f>IFERROR(C14/(C14+D14),0)</f>
        <v/>
      </c>
      <c r="F14" s="15">
        <f>SUMIFS('Picks'!$BY$2:$BY$2,'Picks'!$H$2:$H$2,$A14)</f>
        <v/>
      </c>
      <c r="G14" s="16">
        <f>IFERROR(AVERAGEIFS('Picks'!$AB$2:$AB$2,'Picks'!$H$2:$H$2,$A14,'Picks'!$U$2:$U$2,"settled"),0)</f>
        <v/>
      </c>
    </row>
    <row r="15">
      <c r="A15" s="17" t="inlineStr">
        <is>
          <t>spread</t>
        </is>
      </c>
      <c r="B15" s="18">
        <f>COUNTIFS('Picks'!$H$2:$H$2,$A15,'Picks'!$U$2:$U$2,"settled")</f>
        <v/>
      </c>
      <c r="C15" s="18">
        <f>COUNTIFS('Picks'!$H$2:$H$2,$A15,'Picks'!$U$2:$U$2,"settled",'Picks'!$V$2:$V$2,"win")</f>
        <v/>
      </c>
      <c r="D15" s="18">
        <f>COUNTIFS('Picks'!$H$2:$H$2,$A15,'Picks'!$U$2:$U$2,"settled",'Picks'!$V$2:$V$2,"loss")</f>
        <v/>
      </c>
      <c r="E15" s="19">
        <f>IFERROR(C15/(C15+D15),0)</f>
        <v/>
      </c>
      <c r="F15" s="20">
        <f>SUMIFS('Picks'!$BY$2:$BY$2,'Picks'!$H$2:$H$2,$A15)</f>
        <v/>
      </c>
      <c r="G15" s="21">
        <f>IFERROR(AVERAGEIFS('Picks'!$AB$2:$AB$2,'Picks'!$H$2:$H$2,$A15,'Picks'!$U$2:$U$2,"settled"),0)</f>
        <v/>
      </c>
    </row>
    <row r="16">
      <c r="A16" s="12" t="inlineStr">
        <is>
          <t>total</t>
        </is>
      </c>
      <c r="B16" s="13">
        <f>COUNTIFS('Picks'!$H$2:$H$2,$A16,'Picks'!$U$2:$U$2,"settled")</f>
        <v/>
      </c>
      <c r="C16" s="13">
        <f>COUNTIFS('Picks'!$H$2:$H$2,$A16,'Picks'!$U$2:$U$2,"settled",'Picks'!$V$2:$V$2,"win")</f>
        <v/>
      </c>
      <c r="D16" s="13">
        <f>COUNTIFS('Picks'!$H$2:$H$2,$A16,'Picks'!$U$2:$U$2,"settled",'Picks'!$V$2:$V$2,"loss")</f>
        <v/>
      </c>
      <c r="E16" s="14">
        <f>IFERROR(C16/(C16+D16),0)</f>
        <v/>
      </c>
      <c r="F16" s="15">
        <f>SUMIFS('Picks'!$BY$2:$BY$2,'Picks'!$H$2:$H$2,$A16)</f>
        <v/>
      </c>
      <c r="G16" s="16">
        <f>IFERROR(AVERAGEIFS('Picks'!$AB$2:$AB$2,'Picks'!$H$2:$H$2,$A16,'Picks'!$U$2:$U$2,"settled"),0)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Q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22" customWidth="1" min="90" max="90"/>
    <col width="17" customWidth="1" min="91" max="91"/>
    <col width="16" customWidth="1" min="92" max="92"/>
    <col width="18" customWidth="1" min="93" max="93"/>
    <col width="18" customWidth="1" min="94" max="94"/>
    <col width="22" customWidth="1" min="95" max="95"/>
    <col width="22" customWidth="1" min="96" max="96"/>
    <col width="17" customWidth="1" min="97" max="97"/>
    <col width="20" customWidth="1" min="98" max="98"/>
    <col width="20" customWidth="1" min="99" max="99"/>
    <col width="13" customWidth="1" min="100" max="100"/>
    <col width="22" customWidth="1" min="101" max="101"/>
    <col width="21" customWidth="1" min="102" max="102"/>
    <col width="22" customWidth="1" min="103" max="103"/>
    <col width="22" customWidth="1" min="104" max="104"/>
    <col width="21" customWidth="1" min="105" max="105"/>
    <col width="22" customWidth="1" min="106" max="106"/>
    <col width="22" customWidth="1" min="107" max="107"/>
    <col width="20" customWidth="1" min="108" max="108"/>
    <col width="22" customWidth="1" min="109" max="109"/>
    <col width="18" customWidth="1" min="110" max="110"/>
    <col width="15" customWidth="1" min="111" max="111"/>
    <col width="13" customWidth="1" min="112" max="112"/>
    <col width="22" customWidth="1" min="113" max="113"/>
    <col width="22" customWidth="1" min="114" max="114"/>
    <col width="21" customWidth="1" min="115" max="115"/>
    <col width="14" customWidth="1" min="116" max="116"/>
    <col width="20" customWidth="1" min="117" max="117"/>
    <col width="20" customWidth="1" min="118" max="118"/>
    <col width="20" customWidth="1" min="119" max="119"/>
    <col width="22" customWidth="1" min="120" max="120"/>
    <col width="22" customWidth="1" min="121" max="121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bullpen_weakness_gap</t>
        </is>
      </c>
      <c r="CM1" s="23" t="inlineStr">
        <is>
          <t>starter_era_gap</t>
        </is>
      </c>
      <c r="CN1" s="23" t="inlineStr">
        <is>
          <t>rest_disparity</t>
        </is>
      </c>
      <c r="CO1" s="23" t="inlineStr">
        <is>
          <t>back_to_back_gap</t>
        </is>
      </c>
      <c r="CP1" s="23" t="inlineStr">
        <is>
          <t>games_last_7_gap</t>
        </is>
      </c>
      <c r="CQ1" s="23" t="inlineStr">
        <is>
          <t>schedule_missingness</t>
        </is>
      </c>
      <c r="CR1" s="23" t="inlineStr">
        <is>
          <t>market_residual_probability</t>
        </is>
      </c>
      <c r="CS1" s="23" t="inlineStr">
        <is>
          <t>trade_candidate</t>
        </is>
      </c>
      <c r="CT1" s="23" t="inlineStr">
        <is>
          <t>config_hash</t>
        </is>
      </c>
      <c r="CU1" s="23" t="inlineStr">
        <is>
          <t>config_byte_sha256</t>
        </is>
      </c>
      <c r="CV1" s="23" t="inlineStr">
        <is>
          <t>config_path</t>
        </is>
      </c>
      <c r="CW1" s="23" t="inlineStr">
        <is>
          <t>model_artifact_byte_sha256</t>
        </is>
      </c>
      <c r="CX1" s="23" t="inlineStr">
        <is>
          <t>model_artifact_path</t>
        </is>
      </c>
      <c r="CY1" s="23" t="inlineStr">
        <is>
          <t>market_quote_observed_at_utc</t>
        </is>
      </c>
      <c r="CZ1" s="23" t="inlineStr">
        <is>
          <t>market_quote_timestamp_valid</t>
        </is>
      </c>
      <c r="DA1" s="23" t="inlineStr">
        <is>
          <t>market_quote_source</t>
        </is>
      </c>
      <c r="DB1" s="23" t="inlineStr">
        <is>
          <t>market_quote_provenance</t>
        </is>
      </c>
      <c r="DC1" s="23" t="inlineStr">
        <is>
          <t>market_quote_reconstructed</t>
        </is>
      </c>
      <c r="DD1" s="23" t="inlineStr">
        <is>
          <t>market_snapshot_hash</t>
        </is>
      </c>
      <c r="DE1" s="23" t="inlineStr">
        <is>
          <t>market_snapshot_archive_path</t>
        </is>
      </c>
      <c r="DF1" s="23" t="inlineStr">
        <is>
          <t>market_snapshot_record_id</t>
        </is>
      </c>
      <c r="DG1" s="23" t="inlineStr">
        <is>
          <t>record_source</t>
        </is>
      </c>
      <c r="DH1" s="23" t="inlineStr">
        <is>
          <t>is_backfill</t>
        </is>
      </c>
      <c r="DI1" s="23" t="inlineStr">
        <is>
          <t>model_probability_raw</t>
        </is>
      </c>
      <c r="DJ1" s="23" t="inlineStr">
        <is>
          <t>market_probability_at_decision</t>
        </is>
      </c>
      <c r="DK1" s="23" t="inlineStr">
        <is>
          <t>serving_probability</t>
        </is>
      </c>
      <c r="DL1" s="23" t="inlineStr">
        <is>
          <t>blend_weight</t>
        </is>
      </c>
      <c r="DM1" s="23" t="inlineStr">
        <is>
          <t>blend_policy_artifact_hash</t>
        </is>
      </c>
      <c r="DN1" s="23" t="inlineStr">
        <is>
          <t>blend_experiment_spec_hash</t>
        </is>
      </c>
      <c r="DO1" s="23" t="inlineStr">
        <is>
          <t>blend_config_hash</t>
        </is>
      </c>
      <c r="DP1" s="23" t="inlineStr">
        <is>
          <t>serving_policy_block_reason</t>
        </is>
      </c>
      <c r="DQ1" s="23" t="inlineStr">
        <is>
          <t>model_input_snapshot_json</t>
        </is>
      </c>
    </row>
  </sheetData>
  <autoFilter ref="A1:DQ1"/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Model Prediction</dc:creator>
  <dc:title xmlns:dc="http://purl.org/dc/elements/1.1/">Model Prediction Picks Ledger</dc:title>
  <dc:subject xmlns:dc="http://purl.org/dc/elements/1.1/">Shadow-only sports forecasting research ledger</dc:subject>
  <dcterms:created xmlns:dcterms="http://purl.org/dc/terms/" xmlns:xsi="http://www.w3.org/2001/XMLSchema-instance" xsi:type="dcterms:W3CDTF">2026-10-06T06:41:12Z</dcterms:created>
  <dcterms:modified xmlns:dcterms="http://purl.org/dc/terms/" xmlns:xsi="http://www.w3.org/2001/XMLSchema-instance" xsi:type="dcterms:W3CDTF">2026-10-06T06:41:12Z</dcterms:modified>
</cp:coreProperties>
</file>