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318" headerRowCount="1">
  <autoFilter ref="A1:DQ31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COUNTA('Picks'!$A$2:$A$318)</f>
        <v/>
      </c>
      <c r="C4" s="6">
        <f>COUNTIF('Picks'!$U$2:$U$318,"open")</f>
        <v/>
      </c>
      <c r="E4" s="6">
        <f>COUNTIF('Picks'!$U$2:$U$318,"settled")</f>
        <v/>
      </c>
      <c r="G4" s="6">
        <f>IF(COUNTIFS('Picks'!$U$2:$U$318,"settled",'Picks'!$V$2:$V$318,"win")+COUNTIFS('Picks'!$U$2:$U$318,"settled",'Picks'!$V$2:$V$318,"loss")&gt;=$L$2,"Ready","Insufficient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COUNTIF('Picks'!$BX$2:$BX$318,"&gt;0")</f>
        <v/>
      </c>
      <c r="C7" s="6">
        <f>COUNTIFS('Picks'!$BX$2:$BX$318,"&gt;0",'Picks'!$V$2:$V$318,"win")&amp;"-"&amp;COUNTIFS('Picks'!$BX$2:$BX$318,"&gt;0",'Picks'!$V$2:$V$318,"loss")</f>
        <v/>
      </c>
      <c r="E7" s="7">
        <f>IFERROR(COUNTIFS('Picks'!$BX$2:$BX$318,"&gt;0",'Picks'!$V$2:$V$318,"win")/(COUNTIFS('Picks'!$BX$2:$BX$318,"&gt;0",'Picks'!$V$2:$V$318,"win")+COUNTIFS('Picks'!$BX$2:$BX$318,"&gt;0",'Picks'!$V$2:$V$318,"loss")),0)</f>
        <v/>
      </c>
      <c r="G7" s="7">
        <f>IFERROR(SUM('Picks'!$BY$2:$BY$318)/SUM('Picks'!$BX$2:$BX$318),0)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SUM('Picks'!$BY$2:$BY$318)</f>
        <v/>
      </c>
      <c r="C10" s="9">
        <f>IFERROR(AVERAGEIF('Picks'!$AB$2:$AB$318,"&lt;&gt;",'Picks'!$AB$2:$AB$318),0)</f>
        <v/>
      </c>
      <c r="E10" s="6">
        <f>COUNTIFS('Picks'!$AM$2:$AM$318,"QUALIFIED_SHADOW_CALL",'Picks'!$U$2:$U$318,"settled")</f>
        <v/>
      </c>
      <c r="G10" s="8">
        <f>SUMIFS('Picks'!$AC$2:$AC$318,'Picks'!$AM$2:$AM$318,"QUALIFIED_SHADOW_CALL")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COUNTIFS('Picks'!$H$2:$H$318,$A14,'Picks'!$U$2:$U$318,"settled")</f>
        <v/>
      </c>
      <c r="C14" s="13">
        <f>COUNTIFS('Picks'!$H$2:$H$318,$A14,'Picks'!$U$2:$U$318,"settled",'Picks'!$V$2:$V$318,"win")</f>
        <v/>
      </c>
      <c r="D14" s="13">
        <f>COUNTIFS('Picks'!$H$2:$H$318,$A14,'Picks'!$U$2:$U$318,"settled",'Picks'!$V$2:$V$318,"loss")</f>
        <v/>
      </c>
      <c r="E14" s="14">
        <f>IFERROR(C14/(C14+D14),0)</f>
        <v/>
      </c>
      <c r="F14" s="15">
        <f>SUMIFS('Picks'!$BY$2:$BY$318,'Picks'!$H$2:$H$318,$A14)</f>
        <v/>
      </c>
      <c r="G14" s="16">
        <f>IFERROR(AVERAGEIFS('Picks'!$AB$2:$AB$318,'Picks'!$H$2:$H$318,$A14,'Picks'!$U$2:$U$318,"settled"),0)</f>
        <v/>
      </c>
    </row>
    <row r="15">
      <c r="A15" s="17" t="inlineStr">
        <is>
          <t>spread</t>
        </is>
      </c>
      <c r="B15" s="18">
        <f>COUNTIFS('Picks'!$H$2:$H$318,$A15,'Picks'!$U$2:$U$318,"settled")</f>
        <v/>
      </c>
      <c r="C15" s="18">
        <f>COUNTIFS('Picks'!$H$2:$H$318,$A15,'Picks'!$U$2:$U$318,"settled",'Picks'!$V$2:$V$318,"win")</f>
        <v/>
      </c>
      <c r="D15" s="18">
        <f>COUNTIFS('Picks'!$H$2:$H$318,$A15,'Picks'!$U$2:$U$318,"settled",'Picks'!$V$2:$V$318,"loss")</f>
        <v/>
      </c>
      <c r="E15" s="19">
        <f>IFERROR(C15/(C15+D15),0)</f>
        <v/>
      </c>
      <c r="F15" s="20">
        <f>SUMIFS('Picks'!$BY$2:$BY$318,'Picks'!$H$2:$H$318,$A15)</f>
        <v/>
      </c>
      <c r="G15" s="21">
        <f>IFERROR(AVERAGEIFS('Picks'!$AB$2:$AB$318,'Picks'!$H$2:$H$318,$A15,'Picks'!$U$2:$U$318,"settled"),0)</f>
        <v/>
      </c>
    </row>
    <row r="16">
      <c r="A16" s="12" t="inlineStr">
        <is>
          <t>total</t>
        </is>
      </c>
      <c r="B16" s="13">
        <f>COUNTIFS('Picks'!$H$2:$H$318,$A16,'Picks'!$U$2:$U$318,"settled")</f>
        <v/>
      </c>
      <c r="C16" s="13">
        <f>COUNTIFS('Picks'!$H$2:$H$318,$A16,'Picks'!$U$2:$U$318,"settled",'Picks'!$V$2:$V$318,"win")</f>
        <v/>
      </c>
      <c r="D16" s="13">
        <f>COUNTIFS('Picks'!$H$2:$H$318,$A16,'Picks'!$U$2:$U$318,"settled",'Picks'!$V$2:$V$318,"loss")</f>
        <v/>
      </c>
      <c r="E16" s="14">
        <f>IFERROR(C16/(C16+D16),0)</f>
        <v/>
      </c>
      <c r="F16" s="15">
        <f>SUMIFS('Picks'!$BY$2:$BY$318,'Picks'!$H$2:$H$318,$A16)</f>
        <v/>
      </c>
      <c r="G16" s="16">
        <f>IFERROR(AVERAGEIFS('Picks'!$AB$2:$AB$318,'Picks'!$H$2:$H$318,$A16,'Picks'!$U$2:$U$318,"settled"),0)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3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16e38b0f2055496b</t>
        </is>
      </c>
      <c r="B2" s="24" t="inlineStr">
        <is>
          <t>2026-08-04T16:54:52.896251Z</t>
        </is>
      </c>
      <c r="C2" s="24" t="inlineStr">
        <is>
          <t>2026-08-04T17:00:00Z</t>
        </is>
      </c>
      <c r="D2" s="24" t="inlineStr">
        <is>
          <t>70567</t>
        </is>
      </c>
      <c r="E2" s="24" t="inlineStr">
        <is>
          <t>LOL</t>
        </is>
      </c>
      <c r="F2" s="24" t="inlineStr">
        <is>
          <t>Anonymo Esports</t>
        </is>
      </c>
      <c r="G2" s="24" t="inlineStr">
        <is>
          <t>DOCISK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163</v>
      </c>
      <c r="M2" s="27" t="n">
        <v>2.63</v>
      </c>
      <c r="N2" s="28" t="n">
        <v>0.380228</v>
      </c>
      <c r="O2" s="28" t="n">
        <v>0.522312</v>
      </c>
      <c r="P2" s="28" t="n"/>
      <c r="Q2" s="28" t="n">
        <v>0.142084</v>
      </c>
      <c r="R2" s="26" t="n">
        <v>91</v>
      </c>
      <c r="S2" s="29" t="n">
        <v>1</v>
      </c>
      <c r="T2" s="24" t="inlineStr">
        <is>
          <t>lol-tiered-elo-v6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163</v>
      </c>
      <c r="AA2" s="28" t="n">
        <v>0.38</v>
      </c>
      <c r="AB2" s="28" t="n">
        <v>-0.000228</v>
      </c>
      <c r="AC2" s="30" t="n">
        <v>-1</v>
      </c>
      <c r="AD2" s="24" t="inlineStr">
        <is>
          <t>2026-08-04T21:59:44.576139Z</t>
        </is>
      </c>
      <c r="AE2" s="31" t="inlineStr">
        <is>
          <t>Neutral Elo baseline; executable ask 0.3800 (market_slug=aec-lol-doc-ae-2026-08-04).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Anonymo Esports</t>
        </is>
      </c>
      <c r="AQ2" s="24" t="inlineStr">
        <is>
          <t>Anonymo Esports</t>
        </is>
      </c>
      <c r="AR2" s="24" t="inlineStr">
        <is>
          <t>Anonymo Esports</t>
        </is>
      </c>
      <c r="AS2" s="24" t="inlineStr">
        <is>
          <t>DOCISK</t>
        </is>
      </c>
      <c r="AT2" s="24" t="inlineStr">
        <is>
          <t>DOCISK</t>
        </is>
      </c>
      <c r="AU2" s="24" t="inlineStr">
        <is>
          <t>DOCISK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5bcf4e232e6e233164ffd78633a5487d986e0433e7ea70b93f7ff1c53933694d</t>
        </is>
      </c>
      <c r="BB2" s="24" t="inlineStr">
        <is>
          <t>neutral_elo</t>
        </is>
      </c>
      <c r="BC2" s="24" t="inlineStr">
        <is>
          <t>lol-tiered-elo-v6</t>
        </is>
      </c>
      <c r="BD2" s="24" t="inlineStr">
        <is>
          <t>5bcf4e232e6e233164ffd78633a5487d986e0433e7ea70b93f7ff1c53933694d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lol-tiered-elo-v6</t>
        </is>
      </c>
      <c r="BH2" s="24" t="inlineStr">
        <is>
          <t>2026-08-04T16:54:15.758258Z</t>
        </is>
      </c>
      <c r="BI2" s="24" t="inlineStr">
        <is>
          <t>["same_event","same_team_same_day","same_league_same_day"]</t>
        </is>
      </c>
      <c r="BJ2" s="25" t="n"/>
      <c r="BK2" s="26" t="n">
        <v>163</v>
      </c>
      <c r="BL2" s="27" t="n">
        <v>2.63</v>
      </c>
      <c r="BM2" s="28" t="n">
        <v>0.380228</v>
      </c>
      <c r="BN2" s="28" t="n"/>
      <c r="BO2" s="28" t="n"/>
      <c r="BP2" s="25" t="n"/>
      <c r="BQ2" s="27" t="n">
        <v>2.63</v>
      </c>
      <c r="BR2" s="28" t="n">
        <v>0.38</v>
      </c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0.380228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a7eb426f0acf438c</t>
        </is>
      </c>
      <c r="B3" s="24" t="inlineStr">
        <is>
          <t>2026-08-04T16:54:52.896251Z</t>
        </is>
      </c>
      <c r="C3" s="24" t="inlineStr">
        <is>
          <t>2026-08-04T18:00:00Z</t>
        </is>
      </c>
      <c r="D3" s="24" t="inlineStr">
        <is>
          <t>68690</t>
        </is>
      </c>
      <c r="E3" s="24" t="inlineStr">
        <is>
          <t>LOL</t>
        </is>
      </c>
      <c r="F3" s="24" t="inlineStr">
        <is>
          <t>Lupus Esports</t>
        </is>
      </c>
      <c r="G3" s="24" t="inlineStr">
        <is>
          <t xml:space="preserve">Croatian Flair x RLX 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-117</v>
      </c>
      <c r="M3" s="27" t="n">
        <v>1.854701</v>
      </c>
      <c r="N3" s="28" t="n">
        <v>0.539171</v>
      </c>
      <c r="O3" s="28" t="n">
        <v>0.5257230000000001</v>
      </c>
      <c r="P3" s="28" t="n"/>
      <c r="Q3" s="28" t="n">
        <v>-0.013448</v>
      </c>
      <c r="R3" s="26" t="n">
        <v>13</v>
      </c>
      <c r="S3" s="29" t="n">
        <v>1</v>
      </c>
      <c r="T3" s="24" t="inlineStr">
        <is>
          <t>lol-tiered-elo-v6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-117</v>
      </c>
      <c r="AA3" s="28" t="n">
        <v>0.54</v>
      </c>
      <c r="AB3" s="28" t="n">
        <v>0.000829</v>
      </c>
      <c r="AC3" s="30" t="n">
        <v>0.8547</v>
      </c>
      <c r="AD3" s="24" t="inlineStr">
        <is>
          <t>2026-08-04T21:59:46.124530Z</t>
        </is>
      </c>
      <c r="AE3" s="31" t="inlineStr">
        <is>
          <t>Neutral Elo baseline; executable ask 0.5400 (market_slug=aec-lol-cfxr-lps-2026-08-04).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Lupus Esports</t>
        </is>
      </c>
      <c r="AQ3" s="24" t="inlineStr">
        <is>
          <t>Lupus Esports</t>
        </is>
      </c>
      <c r="AR3" s="24" t="inlineStr">
        <is>
          <t>Lupus Esports</t>
        </is>
      </c>
      <c r="AS3" s="24" t="inlineStr">
        <is>
          <t xml:space="preserve">Croatian Flair x RLX </t>
        </is>
      </c>
      <c r="AT3" s="24" t="inlineStr">
        <is>
          <t xml:space="preserve">Croatian Flair x RLX </t>
        </is>
      </c>
      <c r="AU3" s="24" t="inlineStr">
        <is>
          <t xml:space="preserve">Croatian Flair x RLX 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5bcf4e232e6e233164ffd78633a5487d986e0433e7ea70b93f7ff1c53933694d</t>
        </is>
      </c>
      <c r="BB3" s="24" t="inlineStr">
        <is>
          <t>neutral_elo</t>
        </is>
      </c>
      <c r="BC3" s="24" t="inlineStr">
        <is>
          <t>lol-tiered-elo-v6</t>
        </is>
      </c>
      <c r="BD3" s="24" t="inlineStr">
        <is>
          <t>5bcf4e232e6e233164ffd78633a5487d986e0433e7ea70b93f7ff1c53933694d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lol-tiered-elo-v6</t>
        </is>
      </c>
      <c r="BH3" s="24" t="inlineStr">
        <is>
          <t>2026-08-04T16:54:17.856775Z</t>
        </is>
      </c>
      <c r="BI3" s="24" t="inlineStr">
        <is>
          <t>["same_event","same_team_same_day","same_league_same_day"]</t>
        </is>
      </c>
      <c r="BJ3" s="25" t="n"/>
      <c r="BK3" s="26" t="n">
        <v>-117</v>
      </c>
      <c r="BL3" s="27" t="n">
        <v>1.854701</v>
      </c>
      <c r="BM3" s="28" t="n">
        <v>0.539171</v>
      </c>
      <c r="BN3" s="28" t="n"/>
      <c r="BO3" s="28" t="n"/>
      <c r="BP3" s="25" t="n"/>
      <c r="BQ3" s="27" t="n">
        <v>1.854701</v>
      </c>
      <c r="BR3" s="28" t="n">
        <v>0.54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0.539171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4c2f3fc7bb604d61</t>
        </is>
      </c>
      <c r="B4" s="24" t="inlineStr">
        <is>
          <t>2026-08-04T16:54:52.896251Z</t>
        </is>
      </c>
      <c r="C4" s="24" t="inlineStr">
        <is>
          <t>2026-08-04T18:00:00Z</t>
        </is>
      </c>
      <c r="D4" s="24" t="inlineStr">
        <is>
          <t>68691</t>
        </is>
      </c>
      <c r="E4" s="24" t="inlineStr">
        <is>
          <t>LOL</t>
        </is>
      </c>
      <c r="F4" s="24" t="inlineStr">
        <is>
          <t>ZennIT</t>
        </is>
      </c>
      <c r="G4" s="24" t="inlineStr">
        <is>
          <t>Once Upon A Team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-223</v>
      </c>
      <c r="M4" s="27" t="n">
        <v>1.44843</v>
      </c>
      <c r="N4" s="28" t="n">
        <v>0.690402</v>
      </c>
      <c r="O4" s="28" t="n">
        <v>0.531852</v>
      </c>
      <c r="P4" s="28" t="n"/>
      <c r="Q4" s="28" t="n">
        <v>-0.15855</v>
      </c>
      <c r="R4" s="26" t="n">
        <v>0</v>
      </c>
      <c r="S4" s="29" t="n">
        <v>1</v>
      </c>
      <c r="T4" s="24" t="inlineStr">
        <is>
          <t>lol-tiered-elo-v6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-223</v>
      </c>
      <c r="AA4" s="28" t="n">
        <v>0.6899999999999999</v>
      </c>
      <c r="AB4" s="28" t="n">
        <v>-0.000402</v>
      </c>
      <c r="AC4" s="30" t="n">
        <v>0.4484</v>
      </c>
      <c r="AD4" s="24" t="inlineStr">
        <is>
          <t>2026-08-04T21:59:47.648454Z</t>
        </is>
      </c>
      <c r="AE4" s="31" t="inlineStr">
        <is>
          <t>Neutral Elo baseline; executable ask 0.6900 (market_slug=aec-lol-ouat-znt-2026-08-04).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ZennIT</t>
        </is>
      </c>
      <c r="AQ4" s="24" t="inlineStr">
        <is>
          <t>ZennIT</t>
        </is>
      </c>
      <c r="AR4" s="24" t="inlineStr">
        <is>
          <t>ZennIT</t>
        </is>
      </c>
      <c r="AS4" s="24" t="inlineStr">
        <is>
          <t>Once Upon A Team</t>
        </is>
      </c>
      <c r="AT4" s="24" t="inlineStr">
        <is>
          <t>Once Upon A Team</t>
        </is>
      </c>
      <c r="AU4" s="24" t="inlineStr">
        <is>
          <t>Once Upon A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5bcf4e232e6e233164ffd78633a5487d986e0433e7ea70b93f7ff1c53933694d</t>
        </is>
      </c>
      <c r="BB4" s="24" t="inlineStr">
        <is>
          <t>neutral_elo</t>
        </is>
      </c>
      <c r="BC4" s="24" t="inlineStr">
        <is>
          <t>lol-tiered-elo-v6</t>
        </is>
      </c>
      <c r="BD4" s="24" t="inlineStr">
        <is>
          <t>5bcf4e232e6e233164ffd78633a5487d986e0433e7ea70b93f7ff1c53933694d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lol-tiered-elo-v6</t>
        </is>
      </c>
      <c r="BH4" s="24" t="inlineStr">
        <is>
          <t>2026-08-04T16:54:18.441971Z</t>
        </is>
      </c>
      <c r="BI4" s="24" t="inlineStr">
        <is>
          <t>["same_event","same_team_same_day","same_league_same_day"]</t>
        </is>
      </c>
      <c r="BJ4" s="25" t="n"/>
      <c r="BK4" s="26" t="n">
        <v>-223</v>
      </c>
      <c r="BL4" s="27" t="n">
        <v>1.44843</v>
      </c>
      <c r="BM4" s="28" t="n">
        <v>0.690402</v>
      </c>
      <c r="BN4" s="28" t="n"/>
      <c r="BO4" s="28" t="n"/>
      <c r="BP4" s="25" t="n"/>
      <c r="BQ4" s="27" t="n">
        <v>1.44843</v>
      </c>
      <c r="BR4" s="28" t="n">
        <v>0.6899999999999999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0.690402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312fecbe196f42f3</t>
        </is>
      </c>
      <c r="B5" s="24" t="inlineStr">
        <is>
          <t>2026-08-04T16:54:52.896251Z</t>
        </is>
      </c>
      <c r="C5" s="24" t="inlineStr">
        <is>
          <t>2026-08-04T18:00:00Z</t>
        </is>
      </c>
      <c r="D5" s="24" t="inlineStr">
        <is>
          <t>68689</t>
        </is>
      </c>
      <c r="E5" s="24" t="inlineStr">
        <is>
          <t>LOL</t>
        </is>
      </c>
      <c r="F5" s="24" t="inlineStr">
        <is>
          <t>Way Gaming Esports</t>
        </is>
      </c>
      <c r="G5" s="24" t="inlineStr">
        <is>
          <t>Capybara Esports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0.550211</v>
      </c>
      <c r="P5" s="28" t="n"/>
      <c r="Q5" s="28" t="n">
        <v>-0.109653</v>
      </c>
      <c r="R5" s="26" t="n">
        <v>0</v>
      </c>
      <c r="S5" s="29" t="n">
        <v>1</v>
      </c>
      <c r="T5" s="24" t="inlineStr">
        <is>
          <t>lol-tiered-elo-v6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-194</v>
      </c>
      <c r="AA5" s="28" t="n">
        <v>0.66</v>
      </c>
      <c r="AB5" s="28" t="n">
        <v>0.000136</v>
      </c>
      <c r="AC5" s="30" t="n">
        <v>0.5155</v>
      </c>
      <c r="AD5" s="24" t="inlineStr">
        <is>
          <t>2026-08-04T21:59:49.170570Z</t>
        </is>
      </c>
      <c r="AE5" s="31" t="inlineStr">
        <is>
          <t>Neutral Elo baseline; executable ask 0.6600 (market_slug=aec-lol-capy-wge-2026-08-04).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Way Gaming Esports</t>
        </is>
      </c>
      <c r="AQ5" s="24" t="inlineStr">
        <is>
          <t>Way Gaming Esports</t>
        </is>
      </c>
      <c r="AR5" s="24" t="inlineStr">
        <is>
          <t>Way Gaming Esports</t>
        </is>
      </c>
      <c r="AS5" s="24" t="inlineStr">
        <is>
          <t>Capybara Esports</t>
        </is>
      </c>
      <c r="AT5" s="24" t="inlineStr">
        <is>
          <t>Capybara Esports</t>
        </is>
      </c>
      <c r="AU5" s="24" t="inlineStr">
        <is>
          <t>Capybara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5bcf4e232e6e233164ffd78633a5487d986e0433e7ea70b93f7ff1c53933694d</t>
        </is>
      </c>
      <c r="BB5" s="24" t="inlineStr">
        <is>
          <t>neutral_elo</t>
        </is>
      </c>
      <c r="BC5" s="24" t="inlineStr">
        <is>
          <t>lol-tiered-elo-v6</t>
        </is>
      </c>
      <c r="BD5" s="24" t="inlineStr">
        <is>
          <t>5bcf4e232e6e233164ffd78633a5487d986e0433e7ea70b93f7ff1c53933694d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lol-tiered-elo-v6</t>
        </is>
      </c>
      <c r="BH5" s="24" t="inlineStr">
        <is>
          <t>2026-08-04T16:54:19.015867Z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/>
      <c r="BO5" s="28" t="n"/>
      <c r="BP5" s="25" t="n"/>
      <c r="BQ5" s="27" t="n">
        <v>1.515464</v>
      </c>
      <c r="BR5" s="28" t="n">
        <v>0.66</v>
      </c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0.659864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b6b9be5e88d64498</t>
        </is>
      </c>
      <c r="B6" s="24" t="inlineStr">
        <is>
          <t>2026-08-04T16:54:52.896251Z</t>
        </is>
      </c>
      <c r="C6" s="24" t="inlineStr">
        <is>
          <t>2026-08-04T18:00:00Z</t>
        </is>
      </c>
      <c r="D6" s="24" t="inlineStr">
        <is>
          <t>68688</t>
        </is>
      </c>
      <c r="E6" s="24" t="inlineStr">
        <is>
          <t>LOL</t>
        </is>
      </c>
      <c r="F6" s="24" t="inlineStr">
        <is>
          <t>Joblife</t>
        </is>
      </c>
      <c r="G6" s="24" t="inlineStr">
        <is>
          <t>ZYB Esport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0.530674</v>
      </c>
      <c r="P6" s="28" t="n"/>
      <c r="Q6" s="28" t="n">
        <v>0.02087</v>
      </c>
      <c r="R6" s="26" t="n">
        <v>30</v>
      </c>
      <c r="S6" s="29" t="n">
        <v>1</v>
      </c>
      <c r="T6" s="24" t="inlineStr">
        <is>
          <t>lol-tiered-elo-v6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-104</v>
      </c>
      <c r="AA6" s="28" t="n">
        <v>0.51</v>
      </c>
      <c r="AB6" s="28" t="n">
        <v>0.000196</v>
      </c>
      <c r="AC6" s="30" t="n">
        <v>0.9615</v>
      </c>
      <c r="AD6" s="24" t="inlineStr">
        <is>
          <t>2026-08-04T21:59:50.731143Z</t>
        </is>
      </c>
      <c r="AE6" s="31" t="inlineStr">
        <is>
          <t>Neutral Elo baseline; executable ask 0.5100 (market_slug=aec-lol-zyb-jl-2026-08-04).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Joblife</t>
        </is>
      </c>
      <c r="AQ6" s="24" t="inlineStr">
        <is>
          <t>Joblife</t>
        </is>
      </c>
      <c r="AR6" s="24" t="inlineStr">
        <is>
          <t>Joblife</t>
        </is>
      </c>
      <c r="AS6" s="24" t="inlineStr">
        <is>
          <t>ZYB Esport</t>
        </is>
      </c>
      <c r="AT6" s="24" t="inlineStr">
        <is>
          <t>ZYB Esport</t>
        </is>
      </c>
      <c r="AU6" s="24" t="inlineStr">
        <is>
          <t>ZYB Esport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5bcf4e232e6e233164ffd78633a5487d986e0433e7ea70b93f7ff1c53933694d</t>
        </is>
      </c>
      <c r="BB6" s="24" t="inlineStr">
        <is>
          <t>neutral_elo</t>
        </is>
      </c>
      <c r="BC6" s="24" t="inlineStr">
        <is>
          <t>lol-tiered-elo-v6</t>
        </is>
      </c>
      <c r="BD6" s="24" t="inlineStr">
        <is>
          <t>5bcf4e232e6e233164ffd78633a5487d986e0433e7ea70b93f7ff1c53933694d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lol-tiered-elo-v6</t>
        </is>
      </c>
      <c r="BH6" s="24" t="inlineStr">
        <is>
          <t>2026-08-04T16:54:19.630031Z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/>
      <c r="BO6" s="28" t="n"/>
      <c r="BP6" s="25" t="n"/>
      <c r="BQ6" s="27" t="n">
        <v>1.961538</v>
      </c>
      <c r="BR6" s="28" t="n">
        <v>0.51</v>
      </c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0.509804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3985a2309660461e</t>
        </is>
      </c>
      <c r="B7" s="24" t="inlineStr">
        <is>
          <t>2026-08-04T18:08:50.279200Z</t>
        </is>
      </c>
      <c r="C7" s="24" t="inlineStr">
        <is>
          <t>2026-08-04T20:00:00Z</t>
        </is>
      </c>
      <c r="D7" s="24" t="inlineStr">
        <is>
          <t>69143</t>
        </is>
      </c>
      <c r="E7" s="24" t="inlineStr">
        <is>
          <t>LOL</t>
        </is>
      </c>
      <c r="F7" s="24" t="inlineStr">
        <is>
          <t>Malvinas Gaming</t>
        </is>
      </c>
      <c r="G7" s="24" t="inlineStr">
        <is>
          <t>Maze Gaming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-213</v>
      </c>
      <c r="M7" s="27" t="n">
        <v>1.469484</v>
      </c>
      <c r="N7" s="28" t="n">
        <v>0.680511</v>
      </c>
      <c r="O7" s="28" t="n">
        <v>0.6271600000000001</v>
      </c>
      <c r="P7" s="28" t="n"/>
      <c r="Q7" s="28" t="n">
        <v>-0.053351</v>
      </c>
      <c r="R7" s="26" t="n">
        <v>0</v>
      </c>
      <c r="S7" s="29" t="n">
        <v>1.5</v>
      </c>
      <c r="T7" s="24" t="inlineStr">
        <is>
          <t>lol-tiered-elo-v6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-213</v>
      </c>
      <c r="AA7" s="28" t="n">
        <v>0.68</v>
      </c>
      <c r="AB7" s="28" t="n">
        <v>-0.000511</v>
      </c>
      <c r="AC7" s="30" t="n">
        <v>0.7042</v>
      </c>
      <c r="AD7" s="24" t="inlineStr">
        <is>
          <t>2026-08-05T01:06:23.548766Z</t>
        </is>
      </c>
      <c r="AE7" s="31" t="inlineStr">
        <is>
          <t>Neutral Elo baseline; executable ask 0.6800 (market_slug=aec-lol-maz-mg-2026-08-04).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Malvinas Gaming</t>
        </is>
      </c>
      <c r="AQ7" s="24" t="inlineStr">
        <is>
          <t>Malvinas Gaming</t>
        </is>
      </c>
      <c r="AR7" s="24" t="inlineStr">
        <is>
          <t>Malvinas Gaming</t>
        </is>
      </c>
      <c r="AS7" s="24" t="inlineStr">
        <is>
          <t>Maze Gaming</t>
        </is>
      </c>
      <c r="AT7" s="24" t="inlineStr">
        <is>
          <t>Maze Gaming</t>
        </is>
      </c>
      <c r="AU7" s="24" t="inlineStr">
        <is>
          <t>Maze Gaming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581bb511aff842f9af01d132a2c739b65878388c9d1d8f1182f28b3c271e9a2c</t>
        </is>
      </c>
      <c r="BB7" s="24" t="inlineStr">
        <is>
          <t>neutral_elo</t>
        </is>
      </c>
      <c r="BC7" s="24" t="inlineStr">
        <is>
          <t>lol-tiered-elo-v6</t>
        </is>
      </c>
      <c r="BD7" s="24" t="inlineStr">
        <is>
          <t>581bb511aff842f9af01d132a2c739b65878388c9d1d8f1182f28b3c271e9a2c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lol-tiered-elo-v6</t>
        </is>
      </c>
      <c r="BH7" s="24" t="inlineStr">
        <is>
          <t>2026-08-04T18:08:13.789004Z</t>
        </is>
      </c>
      <c r="BI7" s="24" t="inlineStr">
        <is>
          <t>["same_event","same_team_same_day","same_league_same_day"]</t>
        </is>
      </c>
      <c r="BJ7" s="25" t="n"/>
      <c r="BK7" s="26" t="n">
        <v>-213</v>
      </c>
      <c r="BL7" s="27" t="n">
        <v>1.469484</v>
      </c>
      <c r="BM7" s="28" t="n">
        <v>0.680511</v>
      </c>
      <c r="BN7" s="28" t="n"/>
      <c r="BO7" s="28" t="n"/>
      <c r="BP7" s="25" t="n"/>
      <c r="BQ7" s="27" t="n">
        <v>1.469484</v>
      </c>
      <c r="BR7" s="28" t="n">
        <v>0.68</v>
      </c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0.680511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bd39184336f843dd</t>
        </is>
      </c>
      <c r="B8" s="24" t="inlineStr">
        <is>
          <t>2026-08-04T18:08:50.279200Z</t>
        </is>
      </c>
      <c r="C8" s="24" t="inlineStr">
        <is>
          <t>2026-08-04T20:00:00Z</t>
        </is>
      </c>
      <c r="D8" s="24" t="inlineStr">
        <is>
          <t>69144</t>
        </is>
      </c>
      <c r="E8" s="24" t="inlineStr">
        <is>
          <t>LOL</t>
        </is>
      </c>
      <c r="F8" s="24" t="inlineStr">
        <is>
          <t>INTZ e-Sports</t>
        </is>
      </c>
      <c r="G8" s="24" t="inlineStr">
        <is>
          <t>Vivo Keyd Stars Academy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0.56541</v>
      </c>
      <c r="P8" s="28" t="n"/>
      <c r="Q8" s="28" t="n">
        <v>0.11496</v>
      </c>
      <c r="R8" s="26" t="n">
        <v>77</v>
      </c>
      <c r="S8" s="29" t="n">
        <v>1</v>
      </c>
      <c r="T8" s="24" t="inlineStr">
        <is>
          <t>lol-tiered-elo-v6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122</v>
      </c>
      <c r="AA8" s="28" t="n">
        <v>0.45</v>
      </c>
      <c r="AB8" s="28" t="n">
        <v>-0.00045</v>
      </c>
      <c r="AC8" s="30" t="n">
        <v>-1</v>
      </c>
      <c r="AD8" s="24" t="inlineStr">
        <is>
          <t>2026-08-04T21:59:53.354486Z</t>
        </is>
      </c>
      <c r="AE8" s="31" t="inlineStr">
        <is>
          <t>Neutral Elo baseline; executable ask 0.4500 (market_slug=aec-lol-vksa-itz-2026-08-04).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INTZ e-Sports</t>
        </is>
      </c>
      <c r="AQ8" s="24" t="inlineStr">
        <is>
          <t>INTZ e-Sports</t>
        </is>
      </c>
      <c r="AR8" s="24" t="inlineStr">
        <is>
          <t>INTZ e-Sports</t>
        </is>
      </c>
      <c r="AS8" s="24" t="inlineStr">
        <is>
          <t>Vivo Keyd Stars Academy</t>
        </is>
      </c>
      <c r="AT8" s="24" t="inlineStr">
        <is>
          <t>Vivo Keyd Stars Academy</t>
        </is>
      </c>
      <c r="AU8" s="24" t="inlineStr">
        <is>
          <t>Vivo Keyd Stars Academy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581bb511aff842f9af01d132a2c739b65878388c9d1d8f1182f28b3c271e9a2c</t>
        </is>
      </c>
      <c r="BB8" s="24" t="inlineStr">
        <is>
          <t>neutral_elo</t>
        </is>
      </c>
      <c r="BC8" s="24" t="inlineStr">
        <is>
          <t>lol-tiered-elo-v6</t>
        </is>
      </c>
      <c r="BD8" s="24" t="inlineStr">
        <is>
          <t>581bb511aff842f9af01d132a2c739b65878388c9d1d8f1182f28b3c271e9a2c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lol-tiered-elo-v6</t>
        </is>
      </c>
      <c r="BH8" s="24" t="inlineStr">
        <is>
          <t>2026-08-04T18:08:14.538966Z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>
        <v>2.22</v>
      </c>
      <c r="BR8" s="28" t="n">
        <v>0.45</v>
      </c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0.45045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64fa4023946d4aeb</t>
        </is>
      </c>
      <c r="B9" s="24" t="inlineStr">
        <is>
          <t>2026-08-04T18:08:50.279200Z</t>
        </is>
      </c>
      <c r="C9" s="24" t="inlineStr">
        <is>
          <t>2026-08-04T20:00:00Z</t>
        </is>
      </c>
      <c r="D9" s="24" t="inlineStr">
        <is>
          <t>69141</t>
        </is>
      </c>
      <c r="E9" s="24" t="inlineStr">
        <is>
          <t>LOL</t>
        </is>
      </c>
      <c r="F9" s="24" t="inlineStr">
        <is>
          <t>Vitality.Bee</t>
        </is>
      </c>
      <c r="G9" s="24" t="inlineStr">
        <is>
          <t>Karmine Corp Blue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0.663313</v>
      </c>
      <c r="P9" s="28" t="n"/>
      <c r="Q9" s="28" t="n">
        <v>0.003449</v>
      </c>
      <c r="R9" s="26" t="n">
        <v>22</v>
      </c>
      <c r="S9" s="29" t="n">
        <v>1.75</v>
      </c>
      <c r="T9" s="24" t="inlineStr">
        <is>
          <t>lol-tiered-elo-v6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-194</v>
      </c>
      <c r="AA9" s="28" t="n">
        <v>0.66</v>
      </c>
      <c r="AB9" s="28" t="n">
        <v>0.000136</v>
      </c>
      <c r="AC9" s="30" t="n">
        <v>0.9021</v>
      </c>
      <c r="AD9" s="24" t="inlineStr">
        <is>
          <t>2026-08-04T21:59:54.893203Z</t>
        </is>
      </c>
      <c r="AE9" s="31" t="inlineStr">
        <is>
          <t>Neutral Elo baseline; executable ask 0.6600 (market_slug=aec-lol-kcb-vitb-2026-08-04).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Vitality.Bee</t>
        </is>
      </c>
      <c r="AQ9" s="24" t="inlineStr">
        <is>
          <t>Vitality.Bee</t>
        </is>
      </c>
      <c r="AR9" s="24" t="inlineStr">
        <is>
          <t>Vitality.Bee</t>
        </is>
      </c>
      <c r="AS9" s="24" t="inlineStr">
        <is>
          <t>Karmine Corp Blue</t>
        </is>
      </c>
      <c r="AT9" s="24" t="inlineStr">
        <is>
          <t>Karmine Corp Blue</t>
        </is>
      </c>
      <c r="AU9" s="24" t="inlineStr">
        <is>
          <t>Karmine Corp Blue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581bb511aff842f9af01d132a2c739b65878388c9d1d8f1182f28b3c271e9a2c</t>
        </is>
      </c>
      <c r="BB9" s="24" t="inlineStr">
        <is>
          <t>neutral_elo</t>
        </is>
      </c>
      <c r="BC9" s="24" t="inlineStr">
        <is>
          <t>lol-tiered-elo-v6</t>
        </is>
      </c>
      <c r="BD9" s="24" t="inlineStr">
        <is>
          <t>581bb511aff842f9af01d132a2c739b65878388c9d1d8f1182f28b3c271e9a2c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lol-tiered-elo-v6</t>
        </is>
      </c>
      <c r="BH9" s="24" t="inlineStr">
        <is>
          <t>2026-08-04T18:08:15.286337Z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/>
      <c r="BO9" s="28" t="n"/>
      <c r="BP9" s="25" t="n"/>
      <c r="BQ9" s="27" t="n">
        <v>1.515464</v>
      </c>
      <c r="BR9" s="28" t="n">
        <v>0.66</v>
      </c>
      <c r="BS9" s="28" t="n"/>
      <c r="BT9" s="28" t="n"/>
      <c r="BU9" s="25" t="n"/>
      <c r="BV9" s="29" t="n"/>
      <c r="BW9" s="24" t="n"/>
      <c r="BX9" s="30" t="n">
        <v>1</v>
      </c>
      <c r="BY9" s="27" t="n">
        <v>0.91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0.659864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a4b03c6c306f403b</t>
        </is>
      </c>
      <c r="B10" s="24" t="inlineStr">
        <is>
          <t>2026-08-04T18:08:50.279200Z</t>
        </is>
      </c>
      <c r="C10" s="24" t="inlineStr">
        <is>
          <t>2026-08-04T21:00:00Z</t>
        </is>
      </c>
      <c r="D10" s="24" t="inlineStr">
        <is>
          <t>69234</t>
        </is>
      </c>
      <c r="E10" s="24" t="inlineStr">
        <is>
          <t>LOL</t>
        </is>
      </c>
      <c r="F10" s="24" t="inlineStr">
        <is>
          <t>Bubliki</t>
        </is>
      </c>
      <c r="G10" s="24" t="inlineStr">
        <is>
          <t>Francesinhas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0.518543</v>
      </c>
      <c r="P10" s="28" t="n"/>
      <c r="Q10" s="28" t="n">
        <v>0.078014</v>
      </c>
      <c r="R10" s="26" t="n">
        <v>59</v>
      </c>
      <c r="S10" s="29" t="n">
        <v>1</v>
      </c>
      <c r="T10" s="24" t="inlineStr">
        <is>
          <t>lol-tiered-elo-v6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127</v>
      </c>
      <c r="AA10" s="28" t="n">
        <v>0.44</v>
      </c>
      <c r="AB10" s="28" t="n">
        <v>-0.000529</v>
      </c>
      <c r="AC10" s="30" t="n">
        <v>-1</v>
      </c>
      <c r="AD10" s="24" t="inlineStr">
        <is>
          <t>2026-08-04T21:59:56.428752Z</t>
        </is>
      </c>
      <c r="AE10" s="31" t="inlineStr">
        <is>
          <t>Neutral Elo baseline; executable ask 0.4400 (market_slug=aec-lol-fcn-bub-2026-08-04).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Bubliki</t>
        </is>
      </c>
      <c r="AQ10" s="24" t="inlineStr">
        <is>
          <t>Bubliki</t>
        </is>
      </c>
      <c r="AR10" s="24" t="inlineStr">
        <is>
          <t>Bubliki</t>
        </is>
      </c>
      <c r="AS10" s="24" t="inlineStr">
        <is>
          <t>Francesinhas</t>
        </is>
      </c>
      <c r="AT10" s="24" t="inlineStr">
        <is>
          <t>Francesinhas</t>
        </is>
      </c>
      <c r="AU10" s="24" t="inlineStr">
        <is>
          <t>Francesinhas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581bb511aff842f9af01d132a2c739b65878388c9d1d8f1182f28b3c271e9a2c</t>
        </is>
      </c>
      <c r="BB10" s="24" t="inlineStr">
        <is>
          <t>neutral_elo</t>
        </is>
      </c>
      <c r="BC10" s="24" t="inlineStr">
        <is>
          <t>lol-tiered-elo-v6</t>
        </is>
      </c>
      <c r="BD10" s="24" t="inlineStr">
        <is>
          <t>581bb511aff842f9af01d132a2c739b65878388c9d1d8f1182f28b3c271e9a2c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lol-tiered-elo-v6</t>
        </is>
      </c>
      <c r="BH10" s="24" t="inlineStr">
        <is>
          <t>2026-08-04T18:08:16.046088Z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>
        <v>2.27</v>
      </c>
      <c r="BR10" s="28" t="n">
        <v>0.44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-1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0.440529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7c589802e1654dae</t>
        </is>
      </c>
      <c r="B11" s="24" t="inlineStr">
        <is>
          <t>2026-08-04T18:08:50.279200Z</t>
        </is>
      </c>
      <c r="C11" s="24" t="inlineStr">
        <is>
          <t>2026-08-04T21:00:00Z</t>
        </is>
      </c>
      <c r="D11" s="24" t="inlineStr">
        <is>
          <t>69233</t>
        </is>
      </c>
      <c r="E11" s="24" t="inlineStr">
        <is>
          <t>LOL</t>
        </is>
      </c>
      <c r="F11" s="24" t="inlineStr">
        <is>
          <t>Team Solid</t>
        </is>
      </c>
      <c r="G11" s="24" t="inlineStr">
        <is>
          <t>RED Academy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203</v>
      </c>
      <c r="M11" s="27" t="n">
        <v>3.03</v>
      </c>
      <c r="N11" s="28" t="n">
        <v>0.330033</v>
      </c>
      <c r="O11" s="28" t="n">
        <v>0.552115</v>
      </c>
      <c r="P11" s="28" t="n"/>
      <c r="Q11" s="28" t="n">
        <v>0.222082</v>
      </c>
      <c r="R11" s="26" t="n">
        <v>100</v>
      </c>
      <c r="S11" s="29" t="n">
        <v>1</v>
      </c>
      <c r="T11" s="24" t="inlineStr">
        <is>
          <t>lol-tiered-elo-v6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203</v>
      </c>
      <c r="AA11" s="28" t="n">
        <v>0.33</v>
      </c>
      <c r="AB11" s="28" t="n">
        <v>-3.3e-05</v>
      </c>
      <c r="AC11" s="30" t="n">
        <v>-1</v>
      </c>
      <c r="AD11" s="24" t="inlineStr">
        <is>
          <t>2026-08-05T01:06:26.072414Z</t>
        </is>
      </c>
      <c r="AE11" s="31" t="inlineStr">
        <is>
          <t>Neutral Elo baseline; executable ask 0.3300 (market_slug=aec-lol-reda-tse-2026-08-04).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Team Solid</t>
        </is>
      </c>
      <c r="AQ11" s="24" t="inlineStr">
        <is>
          <t>Team Solid</t>
        </is>
      </c>
      <c r="AR11" s="24" t="inlineStr">
        <is>
          <t>Team Solid</t>
        </is>
      </c>
      <c r="AS11" s="24" t="inlineStr">
        <is>
          <t>RED Academy</t>
        </is>
      </c>
      <c r="AT11" s="24" t="inlineStr">
        <is>
          <t>RED Academy</t>
        </is>
      </c>
      <c r="AU11" s="24" t="inlineStr">
        <is>
          <t>RED Academy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581bb511aff842f9af01d132a2c739b65878388c9d1d8f1182f28b3c271e9a2c</t>
        </is>
      </c>
      <c r="BB11" s="24" t="inlineStr">
        <is>
          <t>neutral_elo</t>
        </is>
      </c>
      <c r="BC11" s="24" t="inlineStr">
        <is>
          <t>lol-tiered-elo-v6</t>
        </is>
      </c>
      <c r="BD11" s="24" t="inlineStr">
        <is>
          <t>581bb511aff842f9af01d132a2c739b65878388c9d1d8f1182f28b3c271e9a2c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lol-tiered-elo-v6</t>
        </is>
      </c>
      <c r="BH11" s="24" t="inlineStr">
        <is>
          <t>2026-08-04T18:08:16.814975Z</t>
        </is>
      </c>
      <c r="BI11" s="24" t="inlineStr">
        <is>
          <t>["same_event","same_team_same_day","same_league_same_day"]</t>
        </is>
      </c>
      <c r="BJ11" s="25" t="n"/>
      <c r="BK11" s="26" t="n">
        <v>203</v>
      </c>
      <c r="BL11" s="27" t="n">
        <v>3.03</v>
      </c>
      <c r="BM11" s="28" t="n">
        <v>0.330033</v>
      </c>
      <c r="BN11" s="28" t="n"/>
      <c r="BO11" s="28" t="n"/>
      <c r="BP11" s="25" t="n"/>
      <c r="BQ11" s="27" t="n">
        <v>3.03</v>
      </c>
      <c r="BR11" s="28" t="n">
        <v>0.33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0.330033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b93c869bd9034b6b</t>
        </is>
      </c>
      <c r="B12" s="24" t="inlineStr">
        <is>
          <t>2026-08-04T18:08:50.279200Z</t>
        </is>
      </c>
      <c r="C12" s="24" t="inlineStr">
        <is>
          <t>2026-08-04T22:00:00Z</t>
        </is>
      </c>
      <c r="D12" s="24" t="inlineStr">
        <is>
          <t>69273</t>
        </is>
      </c>
      <c r="E12" s="24" t="inlineStr">
        <is>
          <t>LOL</t>
        </is>
      </c>
      <c r="F12" s="24" t="inlineStr">
        <is>
          <t>RMD Gaming</t>
        </is>
      </c>
      <c r="G12" s="24" t="inlineStr">
        <is>
          <t>7REX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0.610688</v>
      </c>
      <c r="P12" s="28" t="n"/>
      <c r="Q12" s="28" t="n">
        <v>0.08017199999999999</v>
      </c>
      <c r="R12" s="26" t="n">
        <v>60</v>
      </c>
      <c r="S12" s="29" t="n">
        <v>1.5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1.3274</v>
      </c>
      <c r="AD12" s="24" t="inlineStr">
        <is>
          <t>2026-08-05T01:06:28.260008Z</t>
        </is>
      </c>
      <c r="AE12" s="31" t="inlineStr">
        <is>
          <t>Neutral Elo baseline; executable ask 0.5300 (market_slug=aec-lol-7rex-rmd-2026-08-04).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RMD Gaming</t>
        </is>
      </c>
      <c r="AQ12" s="24" t="inlineStr">
        <is>
          <t>RMD Gaming</t>
        </is>
      </c>
      <c r="AR12" s="24" t="inlineStr">
        <is>
          <t>RMD Gaming</t>
        </is>
      </c>
      <c r="AS12" s="24" t="inlineStr">
        <is>
          <t>7REX</t>
        </is>
      </c>
      <c r="AT12" s="24" t="inlineStr">
        <is>
          <t>7REX</t>
        </is>
      </c>
      <c r="AU12" s="24" t="inlineStr">
        <is>
          <t>7REX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581bb511aff842f9af01d132a2c739b65878388c9d1d8f1182f28b3c271e9a2c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581bb511aff842f9af01d132a2c739b65878388c9d1d8f1182f28b3c271e9a2c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2026-08-04T18:08:17.591273Z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0.530516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c139e1599b324f74</t>
        </is>
      </c>
      <c r="B13" s="24" t="inlineStr">
        <is>
          <t>2026-08-04T22:03:07.434111Z</t>
        </is>
      </c>
      <c r="C13" s="24" t="inlineStr">
        <is>
          <t>2026-08-04T23:00:00Z</t>
        </is>
      </c>
      <c r="D13" s="24" t="inlineStr">
        <is>
          <t>69304</t>
        </is>
      </c>
      <c r="E13" s="24" t="inlineStr">
        <is>
          <t>LOL</t>
        </is>
      </c>
      <c r="F13" s="24" t="inlineStr">
        <is>
          <t>paiN Gaming Academy</t>
        </is>
      </c>
      <c r="G13" s="24" t="inlineStr">
        <is>
          <t>KaBuM! Ilha das Lendas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-117</v>
      </c>
      <c r="M13" s="27" t="n">
        <v>1.854701</v>
      </c>
      <c r="N13" s="28" t="n">
        <v>0.539171</v>
      </c>
      <c r="O13" s="28" t="n">
        <v>0.542093</v>
      </c>
      <c r="P13" s="28" t="n"/>
      <c r="Q13" s="28" t="n">
        <v>0.002922</v>
      </c>
      <c r="R13" s="26" t="n">
        <v>21</v>
      </c>
      <c r="S13" s="29" t="n">
        <v>1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-117</v>
      </c>
      <c r="AA13" s="28" t="n">
        <v>0.54</v>
      </c>
      <c r="AB13" s="28" t="n">
        <v>0.000829</v>
      </c>
      <c r="AC13" s="30" t="n">
        <v>-1</v>
      </c>
      <c r="AD13" s="24" t="inlineStr">
        <is>
          <t>2026-08-05T01:06:31.023142Z</t>
        </is>
      </c>
      <c r="AE13" s="31" t="inlineStr">
        <is>
          <t>Neutral Elo baseline; executable ask 0.5400 (market_slug=aec-lol-kbm-pnga-2026-08-04).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paiN Gaming Academy</t>
        </is>
      </c>
      <c r="AQ13" s="24" t="inlineStr">
        <is>
          <t>paiN Gaming Academy</t>
        </is>
      </c>
      <c r="AR13" s="24" t="inlineStr">
        <is>
          <t>paiN Gaming Academy</t>
        </is>
      </c>
      <c r="AS13" s="24" t="inlineStr">
        <is>
          <t>KaBuM! Ilha das Lendas</t>
        </is>
      </c>
      <c r="AT13" s="24" t="inlineStr">
        <is>
          <t>KaBuM! Ilha das Lendas</t>
        </is>
      </c>
      <c r="AU13" s="24" t="inlineStr">
        <is>
          <t>KaBuM! Ilha das Lendas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97b6e7d388d98e9492a794fb2cdef05114fd516a988a71f95285158326a46434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97b6e7d388d98e9492a794fb2cdef05114fd516a988a71f95285158326a46434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2026-08-04T22:02:38.695907Z</t>
        </is>
      </c>
      <c r="BI13" s="24" t="inlineStr">
        <is>
          <t>["same_event","same_team_same_day","same_league_same_day"]</t>
        </is>
      </c>
      <c r="BJ13" s="25" t="n"/>
      <c r="BK13" s="26" t="n">
        <v>-117</v>
      </c>
      <c r="BL13" s="27" t="n">
        <v>1.854701</v>
      </c>
      <c r="BM13" s="28" t="n">
        <v>0.539171</v>
      </c>
      <c r="BN13" s="28" t="n"/>
      <c r="BO13" s="28" t="n"/>
      <c r="BP13" s="25" t="n"/>
      <c r="BQ13" s="27" t="n">
        <v>1.854701</v>
      </c>
      <c r="BR13" s="28" t="n">
        <v>0.54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0.539171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b2a95723c8aa4852</t>
        </is>
      </c>
      <c r="B14" s="24" t="inlineStr">
        <is>
          <t>2026-08-05T04:39:12.089327Z</t>
        </is>
      </c>
      <c r="C14" s="24" t="inlineStr">
        <is>
          <t>2026-08-05T05:00:00Z</t>
        </is>
      </c>
      <c r="D14" s="24" t="inlineStr">
        <is>
          <t>69506</t>
        </is>
      </c>
      <c r="E14" s="24" t="inlineStr">
        <is>
          <t>LOL</t>
        </is>
      </c>
      <c r="F14" s="24" t="inlineStr">
        <is>
          <t>Kiwoom DRX Challengers</t>
        </is>
      </c>
      <c r="G14" s="24" t="inlineStr">
        <is>
          <t>BNK FearX Youth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138</v>
      </c>
      <c r="M14" s="27" t="n">
        <v>2.38</v>
      </c>
      <c r="N14" s="28" t="n">
        <v>0.420168</v>
      </c>
      <c r="O14" s="28" t="n">
        <v>0.5592200000000001</v>
      </c>
      <c r="P14" s="28" t="n"/>
      <c r="Q14" s="28" t="n">
        <v>0.139052</v>
      </c>
      <c r="R14" s="26" t="n">
        <v>90</v>
      </c>
      <c r="S14" s="29" t="n">
        <v>1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-0.010168</v>
      </c>
      <c r="AC14" s="30" t="n">
        <v>-1</v>
      </c>
      <c r="AD14" s="24" t="inlineStr">
        <is>
          <t>2026-08-05T10:17:46.347305Z</t>
        </is>
      </c>
      <c r="AE14" s="31" t="inlineStr">
        <is>
          <t>Neutral Elo baseline; executable ask 0.4200 (market_slug=aec-lol-foxy-krxc-2026-08-05).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Kiwoom DRX Challengers</t>
        </is>
      </c>
      <c r="AQ14" s="24" t="inlineStr">
        <is>
          <t>Kiwoom DRX Challengers</t>
        </is>
      </c>
      <c r="AR14" s="24" t="inlineStr">
        <is>
          <t>Kiwoom DRX Challengers</t>
        </is>
      </c>
      <c r="AS14" s="24" t="inlineStr">
        <is>
          <t>BNK FearX Youth</t>
        </is>
      </c>
      <c r="AT14" s="24" t="inlineStr">
        <is>
          <t>BNK FearX Youth</t>
        </is>
      </c>
      <c r="AU14" s="24" t="inlineStr">
        <is>
          <t>BNK FearX Youth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9a8d5ad7f045de5eb1cb17aea82bbcf9812b40ca30a6256eba6436fea9a94482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9a8d5ad7f045de5eb1cb17aea82bbcf9812b40ca30a6256eba6436fea9a94482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2026-08-05T04:38:09.799050Z</t>
        </is>
      </c>
      <c r="BI14" s="24" t="inlineStr">
        <is>
          <t>["same_event","same_team_same_day","same_league_same_day"]</t>
        </is>
      </c>
      <c r="BJ14" s="25" t="n"/>
      <c r="BK14" s="26" t="n">
        <v>138</v>
      </c>
      <c r="BL14" s="27" t="n">
        <v>2.38</v>
      </c>
      <c r="BM14" s="28" t="n">
        <v>0.420168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0.420168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a8af35d46d754d4b</t>
        </is>
      </c>
      <c r="B15" s="24" t="inlineStr">
        <is>
          <t>2026-08-05T04:39:12.089327Z</t>
        </is>
      </c>
      <c r="C15" s="24" t="inlineStr">
        <is>
          <t>2026-08-05T05:00:00Z</t>
        </is>
      </c>
      <c r="D15" s="24" t="inlineStr">
        <is>
          <t>69507</t>
        </is>
      </c>
      <c r="E15" s="24" t="inlineStr">
        <is>
          <t>LOL</t>
        </is>
      </c>
      <c r="F15" s="24" t="inlineStr">
        <is>
          <t>Nongshim Esports Academy</t>
        </is>
      </c>
      <c r="G15" s="24" t="inlineStr">
        <is>
          <t>Dplus KIA Challengers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0.675544</v>
      </c>
      <c r="P15" s="28" t="n"/>
      <c r="Q15" s="28" t="n">
        <v>0.16574</v>
      </c>
      <c r="R15" s="26" t="n">
        <v>100</v>
      </c>
      <c r="S15" s="29" t="n">
        <v>1.75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-104</v>
      </c>
      <c r="AA15" s="28" t="n">
        <v>0.51</v>
      </c>
      <c r="AB15" s="28" t="n">
        <v>0.000196</v>
      </c>
      <c r="AC15" s="30" t="n">
        <v>1.6827</v>
      </c>
      <c r="AD15" s="24" t="inlineStr">
        <is>
          <t>2026-08-05T10:17:48.746724Z</t>
        </is>
      </c>
      <c r="AE15" s="31" t="inlineStr">
        <is>
          <t>Neutral Elo baseline; executable ask 0.5100 (market_slug=aec-lol-dkc-nsea-2026-08-05).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Nongshim Esports Academy</t>
        </is>
      </c>
      <c r="AQ15" s="24" t="inlineStr">
        <is>
          <t>Nongshim Esports Academy</t>
        </is>
      </c>
      <c r="AR15" s="24" t="inlineStr">
        <is>
          <t>Nongshim Esports Academy</t>
        </is>
      </c>
      <c r="AS15" s="24" t="inlineStr">
        <is>
          <t>Dplus KIA Challengers</t>
        </is>
      </c>
      <c r="AT15" s="24" t="inlineStr">
        <is>
          <t>Dplus KIA Challengers</t>
        </is>
      </c>
      <c r="AU15" s="24" t="inlineStr">
        <is>
          <t>Dplus KIA Challengers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9a8d5ad7f045de5eb1cb17aea82bbcf9812b40ca30a6256eba6436fea9a94482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9a8d5ad7f045de5eb1cb17aea82bbcf9812b40ca30a6256eba6436fea9a94482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2026-08-05T04:38:10.815485Z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/>
      <c r="BO15" s="28" t="n"/>
      <c r="BP15" s="25" t="n"/>
      <c r="BQ15" s="27" t="n">
        <v>1.961538</v>
      </c>
      <c r="BR15" s="28" t="n">
        <v>0.51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0.509804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60355cfdd4f64949</t>
        </is>
      </c>
      <c r="B16" s="24" t="inlineStr">
        <is>
          <t>2026-08-05T04:39:12.089327Z</t>
        </is>
      </c>
      <c r="C16" s="24" t="inlineStr">
        <is>
          <t>2026-08-05T08:00:00Z</t>
        </is>
      </c>
      <c r="D16" s="24" t="inlineStr">
        <is>
          <t>69511</t>
        </is>
      </c>
      <c r="E16" s="24" t="inlineStr">
        <is>
          <t>LOL</t>
        </is>
      </c>
      <c r="F16" s="24" t="inlineStr">
        <is>
          <t>New Meta</t>
        </is>
      </c>
      <c r="G16" s="24" t="inlineStr">
        <is>
          <t>FENNEL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-223</v>
      </c>
      <c r="M16" s="27" t="n">
        <v>1.44843</v>
      </c>
      <c r="N16" s="28" t="n">
        <v>0.690402</v>
      </c>
      <c r="O16" s="28" t="n">
        <v>0.692195</v>
      </c>
      <c r="P16" s="28" t="n"/>
      <c r="Q16" s="28" t="n">
        <v>0.001793</v>
      </c>
      <c r="R16" s="26" t="n">
        <v>21</v>
      </c>
      <c r="S16" s="29" t="n">
        <v>2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-223</v>
      </c>
      <c r="AA16" s="28" t="n">
        <v>0.6899999999999999</v>
      </c>
      <c r="AB16" s="28" t="n">
        <v>-0.000402</v>
      </c>
      <c r="AC16" s="30" t="n">
        <v>0.8969</v>
      </c>
      <c r="AD16" s="24" t="inlineStr">
        <is>
          <t>2026-08-05T10:41:19.592577Z</t>
        </is>
      </c>
      <c r="AE16" s="31" t="inlineStr">
        <is>
          <t>Neutral Elo baseline; executable ask 0.6900 (market_slug=aec-lol-fnl-nme-2026-08-05).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New Meta</t>
        </is>
      </c>
      <c r="AQ16" s="24" t="inlineStr">
        <is>
          <t>New Meta</t>
        </is>
      </c>
      <c r="AR16" s="24" t="inlineStr">
        <is>
          <t>New Meta</t>
        </is>
      </c>
      <c r="AS16" s="24" t="inlineStr">
        <is>
          <t>FENNEL</t>
        </is>
      </c>
      <c r="AT16" s="24" t="inlineStr">
        <is>
          <t>FENNEL</t>
        </is>
      </c>
      <c r="AU16" s="24" t="inlineStr">
        <is>
          <t>FENNEL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9a8d5ad7f045de5eb1cb17aea82bbcf9812b40ca30a6256eba6436fea9a94482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9a8d5ad7f045de5eb1cb17aea82bbcf9812b40ca30a6256eba6436fea9a94482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2026-08-05T04:38:12.003217Z</t>
        </is>
      </c>
      <c r="BI16" s="24" t="inlineStr">
        <is>
          <t>["same_event","same_team_same_day","same_league_same_day"]</t>
        </is>
      </c>
      <c r="BJ16" s="25" t="n"/>
      <c r="BK16" s="26" t="n">
        <v>-223</v>
      </c>
      <c r="BL16" s="27" t="n">
        <v>1.44843</v>
      </c>
      <c r="BM16" s="28" t="n">
        <v>0.690402</v>
      </c>
      <c r="BN16" s="28" t="n"/>
      <c r="BO16" s="28" t="n"/>
      <c r="BP16" s="25" t="n"/>
      <c r="BQ16" s="27" t="n">
        <v>1.44843</v>
      </c>
      <c r="BR16" s="28" t="n">
        <v>0.6899999999999999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0.690402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ad28733883f34051</t>
        </is>
      </c>
      <c r="B17" s="24" t="inlineStr">
        <is>
          <t>2026-08-05T04:39:12.089327Z</t>
        </is>
      </c>
      <c r="C17" s="24" t="inlineStr">
        <is>
          <t>2026-08-05T08:00:00Z</t>
        </is>
      </c>
      <c r="D17" s="24" t="inlineStr">
        <is>
          <t>69512</t>
        </is>
      </c>
      <c r="E17" s="24" t="inlineStr">
        <is>
          <t>LOL</t>
        </is>
      </c>
      <c r="F17" s="24" t="inlineStr">
        <is>
          <t>Nongshim Red Force</t>
        </is>
      </c>
      <c r="G17" s="24" t="inlineStr">
        <is>
          <t>HANJIN BRION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-233</v>
      </c>
      <c r="M17" s="27" t="n">
        <v>1.429185</v>
      </c>
      <c r="N17" s="28" t="n">
        <v>0.6997</v>
      </c>
      <c r="O17" s="28" t="n">
        <v>0.7818929999999999</v>
      </c>
      <c r="P17" s="28" t="n"/>
      <c r="Q17" s="28" t="n">
        <v>0.082193</v>
      </c>
      <c r="R17" s="26" t="n">
        <v>61</v>
      </c>
      <c r="S17" s="29" t="n">
        <v>2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-233</v>
      </c>
      <c r="AA17" s="28" t="n">
        <v>0.7</v>
      </c>
      <c r="AB17" s="28" t="n">
        <v>0.0003</v>
      </c>
      <c r="AC17" s="30" t="n">
        <v>-2</v>
      </c>
      <c r="AD17" s="24" t="inlineStr">
        <is>
          <t>2026-08-05T10:41:21.920279Z</t>
        </is>
      </c>
      <c r="AE17" s="31" t="inlineStr">
        <is>
          <t>Neutral Elo baseline; executable ask 0.7000 (market_slug=aec-lol-bro-ns-2026-08-05).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Nongshim Red Force</t>
        </is>
      </c>
      <c r="AQ17" s="24" t="inlineStr">
        <is>
          <t>Nongshim Red Force</t>
        </is>
      </c>
      <c r="AR17" s="24" t="inlineStr">
        <is>
          <t>Nongshim Red Force</t>
        </is>
      </c>
      <c r="AS17" s="24" t="inlineStr">
        <is>
          <t>HANJIN BRION</t>
        </is>
      </c>
      <c r="AT17" s="24" t="inlineStr">
        <is>
          <t>HANJIN BRION</t>
        </is>
      </c>
      <c r="AU17" s="24" t="inlineStr">
        <is>
          <t>HANJIN BRION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9a8d5ad7f045de5eb1cb17aea82bbcf9812b40ca30a6256eba6436fea9a94482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9a8d5ad7f045de5eb1cb17aea82bbcf9812b40ca30a6256eba6436fea9a94482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2026-08-05T04:38:12.947438Z</t>
        </is>
      </c>
      <c r="BI17" s="24" t="inlineStr">
        <is>
          <t>["same_event","same_team_same_day","same_league_same_day"]</t>
        </is>
      </c>
      <c r="BJ17" s="25" t="n"/>
      <c r="BK17" s="26" t="n">
        <v>-233</v>
      </c>
      <c r="BL17" s="27" t="n">
        <v>1.429185</v>
      </c>
      <c r="BM17" s="28" t="n">
        <v>0.6997</v>
      </c>
      <c r="BN17" s="28" t="n"/>
      <c r="BO17" s="28" t="n"/>
      <c r="BP17" s="25" t="n"/>
      <c r="BQ17" s="27" t="n">
        <v>1.429185</v>
      </c>
      <c r="BR17" s="28" t="n">
        <v>0.7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0.6997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1b6389cb8a3749e3</t>
        </is>
      </c>
      <c r="B18" s="24" t="inlineStr">
        <is>
          <t>2026-08-05T04:39:12.089327Z</t>
        </is>
      </c>
      <c r="C18" s="24" t="inlineStr">
        <is>
          <t>2026-08-05T10:00:00Z</t>
        </is>
      </c>
      <c r="D18" s="24" t="inlineStr">
        <is>
          <t>69539</t>
        </is>
      </c>
      <c r="E18" s="24" t="inlineStr">
        <is>
          <t>LOL</t>
        </is>
      </c>
      <c r="F18" s="24" t="inlineStr">
        <is>
          <t>Gen.G</t>
        </is>
      </c>
      <c r="G18" s="24" t="inlineStr">
        <is>
          <t>Hanwha Life Esports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-108</v>
      </c>
      <c r="M18" s="27" t="n">
        <v>1.925926</v>
      </c>
      <c r="N18" s="28" t="n">
        <v>0.519231</v>
      </c>
      <c r="O18" s="28" t="n">
        <v>0.6212029999999999</v>
      </c>
      <c r="P18" s="28" t="n"/>
      <c r="Q18" s="28" t="n">
        <v>0.101972</v>
      </c>
      <c r="R18" s="26" t="n">
        <v>71</v>
      </c>
      <c r="S18" s="29" t="n">
        <v>1.5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-108</v>
      </c>
      <c r="AA18" s="28" t="n">
        <v>0.52</v>
      </c>
      <c r="AB18" s="28" t="n">
        <v>0.000769</v>
      </c>
      <c r="AC18" s="30" t="n">
        <v>-1.5</v>
      </c>
      <c r="AD18" s="24" t="inlineStr">
        <is>
          <t>2026-08-05T17:00:47.637235Z</t>
        </is>
      </c>
      <c r="AE18" s="31" t="inlineStr">
        <is>
          <t>Neutral Elo baseline; executable ask 0.5200 (market_slug=aec-lol-hle-gen-2026-08-05).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Gen.G</t>
        </is>
      </c>
      <c r="AQ18" s="24" t="inlineStr">
        <is>
          <t>Gen.G</t>
        </is>
      </c>
      <c r="AR18" s="24" t="inlineStr">
        <is>
          <t>Gen.G</t>
        </is>
      </c>
      <c r="AS18" s="24" t="inlineStr">
        <is>
          <t>Hanwha Life Esports</t>
        </is>
      </c>
      <c r="AT18" s="24" t="inlineStr">
        <is>
          <t>Hanwha Life Esports</t>
        </is>
      </c>
      <c r="AU18" s="24" t="inlineStr">
        <is>
          <t>Hanwha Life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9a8d5ad7f045de5eb1cb17aea82bbcf9812b40ca30a6256eba6436fea9a94482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9a8d5ad7f045de5eb1cb17aea82bbcf9812b40ca30a6256eba6436fea9a94482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2026-08-05T04:38:15.141988Z</t>
        </is>
      </c>
      <c r="BI18" s="24" t="inlineStr">
        <is>
          <t>["same_event","same_team_same_day","same_league_same_day"]</t>
        </is>
      </c>
      <c r="BJ18" s="25" t="n"/>
      <c r="BK18" s="26" t="n">
        <v>-108</v>
      </c>
      <c r="BL18" s="27" t="n">
        <v>1.925926</v>
      </c>
      <c r="BM18" s="28" t="n">
        <v>0.519231</v>
      </c>
      <c r="BN18" s="28" t="n"/>
      <c r="BO18" s="28" t="n"/>
      <c r="BP18" s="25" t="n"/>
      <c r="BQ18" s="27" t="n">
        <v>1.925926</v>
      </c>
      <c r="BR18" s="28" t="n">
        <v>0.52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0.519231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244e97086bfd444f</t>
        </is>
      </c>
      <c r="B19" s="24" t="inlineStr">
        <is>
          <t>2026-08-05T13:56:43.896254Z</t>
        </is>
      </c>
      <c r="C19" s="24" t="inlineStr">
        <is>
          <t>2026-08-05T16:00:00Z</t>
        </is>
      </c>
      <c r="D19" s="24" t="inlineStr">
        <is>
          <t>69818</t>
        </is>
      </c>
      <c r="E19" s="24" t="inlineStr">
        <is>
          <t>LOL</t>
        </is>
      </c>
      <c r="F19" s="24" t="inlineStr">
        <is>
          <t>Pyramid IV Esports</t>
        </is>
      </c>
      <c r="G19" s="24" t="inlineStr">
        <is>
          <t>JSK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138</v>
      </c>
      <c r="M19" s="27" t="n">
        <v>2.38</v>
      </c>
      <c r="N19" s="28" t="n">
        <v>0.420168</v>
      </c>
      <c r="O19" s="28" t="n">
        <v>0.513767</v>
      </c>
      <c r="P19" s="28" t="n"/>
      <c r="Q19" s="28" t="n">
        <v>0.093599</v>
      </c>
      <c r="R19" s="26" t="n">
        <v>67</v>
      </c>
      <c r="S19" s="29" t="n">
        <v>1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138</v>
      </c>
      <c r="AA19" s="28" t="n">
        <v>0.42</v>
      </c>
      <c r="AB19" s="28" t="n">
        <v>-0.000168</v>
      </c>
      <c r="AC19" s="30" t="n">
        <v>-1</v>
      </c>
      <c r="AD19" s="24" t="inlineStr">
        <is>
          <t>2026-08-05T20:59:36.529356Z</t>
        </is>
      </c>
      <c r="AE19" s="31" t="inlineStr">
        <is>
          <t>Neutral Elo baseline; executable ask 0.4200 (market_slug=aec-lol-jsk-piv-2026-08-05).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Pyramid IV Esports</t>
        </is>
      </c>
      <c r="AQ19" s="24" t="inlineStr">
        <is>
          <t>Pyramid IV Esports</t>
        </is>
      </c>
      <c r="AR19" s="24" t="inlineStr">
        <is>
          <t>Pyramid IV Esports</t>
        </is>
      </c>
      <c r="AS19" s="24" t="inlineStr">
        <is>
          <t>JSK Esports</t>
        </is>
      </c>
      <c r="AT19" s="24" t="inlineStr">
        <is>
          <t>JSK Esports</t>
        </is>
      </c>
      <c r="AU19" s="24" t="inlineStr">
        <is>
          <t>JSK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3b2b7fa569f62411a6dc2753c695e98717a67f225e8074aac963d117b250c28b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3b2b7fa569f62411a6dc2753c695e98717a67f225e8074aac963d117b250c28b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2026-08-05T13:56:11.509518Z</t>
        </is>
      </c>
      <c r="BI19" s="24" t="inlineStr">
        <is>
          <t>["same_event","same_team_same_day","same_league_same_day"]</t>
        </is>
      </c>
      <c r="BJ19" s="25" t="n"/>
      <c r="BK19" s="26" t="n">
        <v>138</v>
      </c>
      <c r="BL19" s="27" t="n">
        <v>2.38</v>
      </c>
      <c r="BM19" s="28" t="n">
        <v>0.420168</v>
      </c>
      <c r="BN19" s="28" t="n"/>
      <c r="BO19" s="28" t="n"/>
      <c r="BP19" s="25" t="n"/>
      <c r="BQ19" s="27" t="n">
        <v>2.38</v>
      </c>
      <c r="BR19" s="28" t="n">
        <v>0.42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0.420168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00dd5007324144cb</t>
        </is>
      </c>
      <c r="B20" s="24" t="inlineStr">
        <is>
          <t>2026-08-05T13:56:43.896254Z</t>
        </is>
      </c>
      <c r="C20" s="24" t="inlineStr">
        <is>
          <t>2026-08-05T16:00:00Z</t>
        </is>
      </c>
      <c r="D20" s="24" t="inlineStr">
        <is>
          <t>69819</t>
        </is>
      </c>
      <c r="E20" s="24" t="inlineStr">
        <is>
          <t>LOL</t>
        </is>
      </c>
      <c r="F20" s="24" t="inlineStr">
        <is>
          <t>Epic Avalanche</t>
        </is>
      </c>
      <c r="G20" s="24" t="inlineStr">
        <is>
          <t>Brod n Friends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0.530813</v>
      </c>
      <c r="P20" s="28" t="n"/>
      <c r="Q20" s="28" t="n">
        <v>-0.109475</v>
      </c>
      <c r="R20" s="26" t="n">
        <v>0</v>
      </c>
      <c r="S20" s="29" t="n">
        <v>1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-178</v>
      </c>
      <c r="AA20" s="28" t="n">
        <v>0.64</v>
      </c>
      <c r="AB20" s="28" t="n">
        <v>-0.000288</v>
      </c>
      <c r="AC20" s="30" t="n">
        <v>0.5618</v>
      </c>
      <c r="AD20" s="24" t="inlineStr">
        <is>
          <t>2026-08-05T20:59:38.302579Z</t>
        </is>
      </c>
      <c r="AE20" s="31" t="inlineStr">
        <is>
          <t>Neutral Elo baseline; executable ask 0.6400 (market_slug=aec-lol-bnf-ea-2026-08-05).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Epic Avalanche</t>
        </is>
      </c>
      <c r="AQ20" s="24" t="inlineStr">
        <is>
          <t>Epic Avalanche</t>
        </is>
      </c>
      <c r="AR20" s="24" t="inlineStr">
        <is>
          <t>Epic Avalanche</t>
        </is>
      </c>
      <c r="AS20" s="24" t="inlineStr">
        <is>
          <t>Brod n Friends</t>
        </is>
      </c>
      <c r="AT20" s="24" t="inlineStr">
        <is>
          <t>Brod n Friends</t>
        </is>
      </c>
      <c r="AU20" s="24" t="inlineStr">
        <is>
          <t>Brod n Friends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3b2b7fa569f62411a6dc2753c695e98717a67f225e8074aac963d117b250c28b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3b2b7fa569f62411a6dc2753c695e98717a67f225e8074aac963d117b250c28b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2026-08-05T13:56:12.050160Z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>
        <v>1.561798</v>
      </c>
      <c r="BR20" s="28" t="n">
        <v>0.64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0.640288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e600d12fed3b4a7c</t>
        </is>
      </c>
      <c r="B21" s="24" t="inlineStr">
        <is>
          <t>2026-08-05T13:56:43.896254Z</t>
        </is>
      </c>
      <c r="C21" s="24" t="inlineStr">
        <is>
          <t>2026-08-05T17:00:00Z</t>
        </is>
      </c>
      <c r="D21" s="24" t="inlineStr">
        <is>
          <t>69871</t>
        </is>
      </c>
      <c r="E21" s="24" t="inlineStr">
        <is>
          <t>LOL</t>
        </is>
      </c>
      <c r="F21" s="24" t="inlineStr">
        <is>
          <t>Kaufland Hangry Knights</t>
        </is>
      </c>
      <c r="G21" s="24" t="inlineStr">
        <is>
          <t>TeamOrangeGaming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0.54899</v>
      </c>
      <c r="P21" s="28" t="n"/>
      <c r="Q21" s="28" t="n">
        <v>0.058794</v>
      </c>
      <c r="R21" s="26" t="n">
        <v>49</v>
      </c>
      <c r="S21" s="29" t="n">
        <v>1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104</v>
      </c>
      <c r="AA21" s="28" t="n">
        <v>0.49</v>
      </c>
      <c r="AB21" s="28" t="n">
        <v>-0.000196</v>
      </c>
      <c r="AC21" s="30" t="n">
        <v>1.04</v>
      </c>
      <c r="AD21" s="24" t="inlineStr">
        <is>
          <t>2026-08-05T20:59:40.019407Z</t>
        </is>
      </c>
      <c r="AE21" s="31" t="inlineStr">
        <is>
          <t>Neutral Elo baseline; executable ask 0.4900 (market_slug=aec-lol-tog-khk-2026-08-05).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Kaufland Hangry Knights</t>
        </is>
      </c>
      <c r="AQ21" s="24" t="inlineStr">
        <is>
          <t>Kaufland Hangry Knights</t>
        </is>
      </c>
      <c r="AR21" s="24" t="inlineStr">
        <is>
          <t>Kaufland Hangry Knights</t>
        </is>
      </c>
      <c r="AS21" s="24" t="inlineStr">
        <is>
          <t>TeamOrangeGaming</t>
        </is>
      </c>
      <c r="AT21" s="24" t="inlineStr">
        <is>
          <t>TeamOrangeGaming</t>
        </is>
      </c>
      <c r="AU21" s="24" t="inlineStr">
        <is>
          <t>TeamOrangeGaming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3b2b7fa569f62411a6dc2753c695e98717a67f225e8074aac963d117b250c28b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3b2b7fa569f62411a6dc2753c695e98717a67f225e8074aac963d117b250c28b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2026-08-05T13:56:13.554249Z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>
        <v>2.04</v>
      </c>
      <c r="BR21" s="28" t="n">
        <v>0.49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0.490196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d64b7da574c04576</t>
        </is>
      </c>
      <c r="B22" s="24" t="inlineStr">
        <is>
          <t>2026-08-05T13:56:43.896254Z</t>
        </is>
      </c>
      <c r="C22" s="24" t="inlineStr">
        <is>
          <t>2026-08-05T17:00:00Z</t>
        </is>
      </c>
      <c r="D22" s="24" t="inlineStr">
        <is>
          <t>70569</t>
        </is>
      </c>
      <c r="E22" s="24" t="inlineStr">
        <is>
          <t>LOL</t>
        </is>
      </c>
      <c r="F22" s="24" t="inlineStr">
        <is>
          <t>devils.one inStreamly</t>
        </is>
      </c>
      <c r="G22" s="24" t="inlineStr">
        <is>
          <t>BOMBA Team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0.761043</v>
      </c>
      <c r="P22" s="28" t="n"/>
      <c r="Q22" s="28" t="n">
        <v>0.230527</v>
      </c>
      <c r="R22" s="26" t="n">
        <v>100</v>
      </c>
      <c r="S22" s="29" t="n">
        <v>2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-2</v>
      </c>
      <c r="AD22" s="24" t="inlineStr">
        <is>
          <t>2026-08-05T20:59:41.741741Z</t>
        </is>
      </c>
      <c r="AE22" s="31" t="inlineStr">
        <is>
          <t>Neutral Elo baseline; executable ask 0.5300 (market_slug=aec-lol-boom-dv1-2026-08-05).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devils.one inStreamly</t>
        </is>
      </c>
      <c r="AQ22" s="24" t="inlineStr">
        <is>
          <t>devils.one inStreamly</t>
        </is>
      </c>
      <c r="AR22" s="24" t="inlineStr">
        <is>
          <t>devils.one inStreamly</t>
        </is>
      </c>
      <c r="AS22" s="24" t="inlineStr">
        <is>
          <t>BOMBA Team</t>
        </is>
      </c>
      <c r="AT22" s="24" t="inlineStr">
        <is>
          <t>BOMBA Team</t>
        </is>
      </c>
      <c r="AU22" s="24" t="inlineStr">
        <is>
          <t>BOMBA Team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3b2b7fa569f62411a6dc2753c695e98717a67f225e8074aac963d117b250c28b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3b2b7fa569f62411a6dc2753c695e98717a67f225e8074aac963d117b250c28b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2026-08-05T13:56:15.101150Z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0.530516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3ec88eeb906b4de5</t>
        </is>
      </c>
      <c r="B23" s="24" t="inlineStr">
        <is>
          <t>2026-08-05T17:05:09.750488Z</t>
        </is>
      </c>
      <c r="C23" s="24" t="inlineStr">
        <is>
          <t>2026-08-05T17:30:00Z</t>
        </is>
      </c>
      <c r="D23" s="24" t="inlineStr">
        <is>
          <t>69931</t>
        </is>
      </c>
      <c r="E23" s="24" t="inlineStr">
        <is>
          <t>LOL</t>
        </is>
      </c>
      <c r="F23" s="24" t="inlineStr">
        <is>
          <t>⁠Movistar KOI Fénix</t>
        </is>
      </c>
      <c r="G23" s="24" t="inlineStr">
        <is>
          <t>UCAM Esports Club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104</v>
      </c>
      <c r="M23" s="27" t="n">
        <v>2.04</v>
      </c>
      <c r="N23" s="28" t="n">
        <v>0.490196</v>
      </c>
      <c r="O23" s="28" t="n">
        <v>0.597761</v>
      </c>
      <c r="P23" s="28" t="n"/>
      <c r="Q23" s="28" t="n">
        <v>0.107565</v>
      </c>
      <c r="R23" s="26" t="n">
        <v>74</v>
      </c>
      <c r="S23" s="29" t="n">
        <v>1.25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104</v>
      </c>
      <c r="AA23" s="28" t="n">
        <v>0.49</v>
      </c>
      <c r="AB23" s="28" t="n">
        <v>-0.000196</v>
      </c>
      <c r="AC23" s="30" t="n">
        <v>-1.25</v>
      </c>
      <c r="AD23" s="24" t="inlineStr">
        <is>
          <t>2026-08-06T00:22:25.721709Z</t>
        </is>
      </c>
      <c r="AE23" s="31" t="inlineStr">
        <is>
          <t>Neutral Elo baseline; executable ask 0.4900 (market_slug=aec-lol-ucam-mkf-2026-08-05).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⁠Movistar KOI Fénix</t>
        </is>
      </c>
      <c r="AQ23" s="24" t="inlineStr">
        <is>
          <t>⁠Movistar KOI Fénix</t>
        </is>
      </c>
      <c r="AR23" s="24" t="inlineStr">
        <is>
          <t>⁠Movistar KOI Fénix</t>
        </is>
      </c>
      <c r="AS23" s="24" t="inlineStr">
        <is>
          <t>UCAM Esports Club</t>
        </is>
      </c>
      <c r="AT23" s="24" t="inlineStr">
        <is>
          <t>UCAM Esports Club</t>
        </is>
      </c>
      <c r="AU23" s="24" t="inlineStr">
        <is>
          <t>UCAM Esports Club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4863ace20696b49ac8d86afb992436652bb1bb2b13aa3380a50818cc662a18c0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4863ace20696b49ac8d86afb992436652bb1bb2b13aa3380a50818cc662a18c0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2026-08-05T17:04:41.345485Z</t>
        </is>
      </c>
      <c r="BI23" s="24" t="inlineStr">
        <is>
          <t>["same_event","same_team_same_day","same_league_same_day"]</t>
        </is>
      </c>
      <c r="BJ23" s="25" t="n"/>
      <c r="BK23" s="26" t="n">
        <v>104</v>
      </c>
      <c r="BL23" s="27" t="n">
        <v>2.04</v>
      </c>
      <c r="BM23" s="28" t="n">
        <v>0.490196</v>
      </c>
      <c r="BN23" s="28" t="n"/>
      <c r="BO23" s="28" t="n"/>
      <c r="BP23" s="25" t="n"/>
      <c r="BQ23" s="27" t="n">
        <v>2.04</v>
      </c>
      <c r="BR23" s="28" t="n">
        <v>0.49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0.490196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d200cf1b86d042c8</t>
        </is>
      </c>
      <c r="B24" s="24" t="inlineStr">
        <is>
          <t>2026-08-05T17:05:09.750488Z</t>
        </is>
      </c>
      <c r="C24" s="24" t="inlineStr">
        <is>
          <t>2026-08-05T18:00:00Z</t>
        </is>
      </c>
      <c r="D24" s="24" t="inlineStr">
        <is>
          <t>69950</t>
        </is>
      </c>
      <c r="E24" s="24" t="inlineStr">
        <is>
          <t>LOL</t>
        </is>
      </c>
      <c r="F24" s="24" t="inlineStr">
        <is>
          <t>Lupus Esports</t>
        </is>
      </c>
      <c r="G24" s="24" t="inlineStr">
        <is>
          <t>SPIKE Syndicate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-133</v>
      </c>
      <c r="M24" s="27" t="n">
        <v>1.75188</v>
      </c>
      <c r="N24" s="28" t="n">
        <v>0.570815</v>
      </c>
      <c r="O24" s="28" t="n">
        <v>0.554044</v>
      </c>
      <c r="P24" s="28" t="n"/>
      <c r="Q24" s="28" t="n">
        <v>-0.016771</v>
      </c>
      <c r="R24" s="26" t="n">
        <v>12</v>
      </c>
      <c r="S24" s="29" t="n">
        <v>1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-133</v>
      </c>
      <c r="AA24" s="28" t="n">
        <v>0.57</v>
      </c>
      <c r="AB24" s="28" t="n">
        <v>-0.000815</v>
      </c>
      <c r="AC24" s="30" t="n">
        <v>0.7519</v>
      </c>
      <c r="AD24" s="24" t="inlineStr">
        <is>
          <t>2026-08-13T19:19:18.582651Z</t>
        </is>
      </c>
      <c r="AE24" s="31" t="inlineStr">
        <is>
          <t>Neutral Elo baseline; executable ask 0.5700 (market_slug=aec-lol-spk-lps-2026-08-05).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PAPER_CALL_WINNER_OVERVALUED</t>
        </is>
      </c>
      <c r="AP24" s="24" t="inlineStr">
        <is>
          <t>Lupus Esports</t>
        </is>
      </c>
      <c r="AQ24" s="24" t="inlineStr">
        <is>
          <t>Lupus Esports</t>
        </is>
      </c>
      <c r="AR24" s="24" t="inlineStr">
        <is>
          <t>Lupus Esports</t>
        </is>
      </c>
      <c r="AS24" s="24" t="inlineStr">
        <is>
          <t>SPIKE Syndicate</t>
        </is>
      </c>
      <c r="AT24" s="24" t="inlineStr">
        <is>
          <t>SPIKE Syndicate</t>
        </is>
      </c>
      <c r="AU24" s="24" t="inlineStr">
        <is>
          <t>SPIKE Syndicate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4863ace20696b49ac8d86afb992436652bb1bb2b13aa3380a50818cc662a18c0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4863ace20696b49ac8d86afb992436652bb1bb2b13aa3380a50818cc662a18c0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2026-08-05T17:04:42.614421Z</t>
        </is>
      </c>
      <c r="BI24" s="24" t="inlineStr">
        <is>
          <t>["same_event","same_team_same_day","same_league_same_day"]</t>
        </is>
      </c>
      <c r="BJ24" s="25" t="n"/>
      <c r="BK24" s="26" t="n">
        <v>-133</v>
      </c>
      <c r="BL24" s="27" t="n">
        <v>1.75188</v>
      </c>
      <c r="BM24" s="28" t="n">
        <v>0.570815</v>
      </c>
      <c r="BN24" s="28" t="n"/>
      <c r="BO24" s="28" t="n"/>
      <c r="BP24" s="25" t="n"/>
      <c r="BQ24" s="27" t="n">
        <v>1.75188</v>
      </c>
      <c r="BR24" s="28" t="n">
        <v>0.57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0.570815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b04744a2dc5c4d96</t>
        </is>
      </c>
      <c r="B25" s="24" t="inlineStr">
        <is>
          <t>2026-08-05T17:05:09.750488Z</t>
        </is>
      </c>
      <c r="C25" s="24" t="inlineStr">
        <is>
          <t>2026-08-05T18:00:00Z</t>
        </is>
      </c>
      <c r="D25" s="24" t="inlineStr">
        <is>
          <t>69951</t>
        </is>
      </c>
      <c r="E25" s="24" t="inlineStr">
        <is>
          <t>LOL</t>
        </is>
      </c>
      <c r="F25" s="24" t="inlineStr">
        <is>
          <t>Rich Gang</t>
        </is>
      </c>
      <c r="G25" s="24" t="inlineStr">
        <is>
          <t>2 Massive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0.511567</v>
      </c>
      <c r="P25" s="28" t="n"/>
      <c r="Q25" s="28" t="n">
        <v>-0.047904</v>
      </c>
      <c r="R25" s="26" t="n">
        <v>0</v>
      </c>
      <c r="S25" s="29" t="n">
        <v>1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-127</v>
      </c>
      <c r="AA25" s="28" t="n">
        <v>0.5600000000000001</v>
      </c>
      <c r="AB25" s="28" t="n">
        <v>0.000529</v>
      </c>
      <c r="AC25" s="30" t="n">
        <v>0.7874</v>
      </c>
      <c r="AD25" s="24" t="inlineStr">
        <is>
          <t>2026-08-06T03:27:43.503872Z</t>
        </is>
      </c>
      <c r="AE25" s="31" t="inlineStr">
        <is>
          <t>Neutral Elo baseline; executable ask 0.5600 (market_slug=aec-lol-mas-rgi-2026-08-05).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PAPER_CALL_WINNER_OVERVALUED</t>
        </is>
      </c>
      <c r="AP25" s="24" t="inlineStr">
        <is>
          <t>Rich Gang</t>
        </is>
      </c>
      <c r="AQ25" s="24" t="inlineStr">
        <is>
          <t>Rich Gang</t>
        </is>
      </c>
      <c r="AR25" s="24" t="inlineStr">
        <is>
          <t>Rich Gang</t>
        </is>
      </c>
      <c r="AS25" s="24" t="inlineStr">
        <is>
          <t>2 Massive</t>
        </is>
      </c>
      <c r="AT25" s="24" t="inlineStr">
        <is>
          <t>2 Massive</t>
        </is>
      </c>
      <c r="AU25" s="24" t="inlineStr">
        <is>
          <t>2 Massive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4863ace20696b49ac8d86afb992436652bb1bb2b13aa3380a50818cc662a18c0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4863ace20696b49ac8d86afb992436652bb1bb2b13aa3380a50818cc662a18c0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2026-08-05T17:04:43.228206Z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/>
      <c r="BO25" s="28" t="n"/>
      <c r="BP25" s="25" t="n"/>
      <c r="BQ25" s="27" t="n">
        <v>1.787402</v>
      </c>
      <c r="BR25" s="28" t="n">
        <v>0.5600000000000001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0.559471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efeb2c2e3d1c4619</t>
        </is>
      </c>
      <c r="B26" s="24" t="inlineStr">
        <is>
          <t>2026-08-05T17:05:09.750488Z</t>
        </is>
      </c>
      <c r="C26" s="24" t="inlineStr">
        <is>
          <t>2026-08-05T18:00:00Z</t>
        </is>
      </c>
      <c r="D26" s="24" t="inlineStr">
        <is>
          <t>69948</t>
        </is>
      </c>
      <c r="E26" s="24" t="inlineStr">
        <is>
          <t>LOL</t>
        </is>
      </c>
      <c r="F26" s="24" t="inlineStr">
        <is>
          <t>Solary</t>
        </is>
      </c>
      <c r="G26" s="24" t="inlineStr">
        <is>
          <t>Karmine Corp Blue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203</v>
      </c>
      <c r="M26" s="27" t="n">
        <v>3.03</v>
      </c>
      <c r="N26" s="28" t="n">
        <v>0.330033</v>
      </c>
      <c r="O26" s="28" t="n">
        <v>0.506088</v>
      </c>
      <c r="P26" s="28" t="n"/>
      <c r="Q26" s="28" t="n">
        <v>0.176055</v>
      </c>
      <c r="R26" s="26" t="n">
        <v>100</v>
      </c>
      <c r="S26" s="29" t="n">
        <v>1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203</v>
      </c>
      <c r="AA26" s="28" t="n">
        <v>0.33</v>
      </c>
      <c r="AB26" s="28" t="n">
        <v>-3.3e-05</v>
      </c>
      <c r="AC26" s="30" t="n">
        <v>-1</v>
      </c>
      <c r="AD26" s="24" t="inlineStr">
        <is>
          <t>2026-08-05T20:59:46.654572Z</t>
        </is>
      </c>
      <c r="AE26" s="31" t="inlineStr">
        <is>
          <t>Neutral Elo baseline; executable ask 0.3300 (market_slug=aec-lol-kcb-sly-2026-08-05).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Solary</t>
        </is>
      </c>
      <c r="AQ26" s="24" t="inlineStr">
        <is>
          <t>Solary</t>
        </is>
      </c>
      <c r="AR26" s="24" t="inlineStr">
        <is>
          <t>Solary</t>
        </is>
      </c>
      <c r="AS26" s="24" t="inlineStr">
        <is>
          <t>Karmine Corp Blue</t>
        </is>
      </c>
      <c r="AT26" s="24" t="inlineStr">
        <is>
          <t>Karmine Corp Blue</t>
        </is>
      </c>
      <c r="AU26" s="24" t="inlineStr">
        <is>
          <t>Karmine Corp Blue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4863ace20696b49ac8d86afb992436652bb1bb2b13aa3380a50818cc662a18c0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4863ace20696b49ac8d86afb992436652bb1bb2b13aa3380a50818cc662a18c0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2026-08-05T17:04:44.255380Z</t>
        </is>
      </c>
      <c r="BI26" s="24" t="inlineStr">
        <is>
          <t>["same_event","same_team_same_day","same_league_same_day"]</t>
        </is>
      </c>
      <c r="BJ26" s="25" t="n"/>
      <c r="BK26" s="26" t="n">
        <v>203</v>
      </c>
      <c r="BL26" s="27" t="n">
        <v>3.03</v>
      </c>
      <c r="BM26" s="28" t="n">
        <v>0.330033</v>
      </c>
      <c r="BN26" s="28" t="n"/>
      <c r="BO26" s="28" t="n"/>
      <c r="BP26" s="25" t="n"/>
      <c r="BQ26" s="27" t="n">
        <v>3.03</v>
      </c>
      <c r="BR26" s="28" t="n">
        <v>0.33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0.330033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fe439b06cd374812</t>
        </is>
      </c>
      <c r="B27" s="24" t="inlineStr">
        <is>
          <t>2026-08-05T17:05:09.750488Z</t>
        </is>
      </c>
      <c r="C27" s="24" t="inlineStr">
        <is>
          <t>2026-08-05T18:00:00Z</t>
        </is>
      </c>
      <c r="D27" s="24" t="inlineStr">
        <is>
          <t>69949</t>
        </is>
      </c>
      <c r="E27" s="24" t="inlineStr">
        <is>
          <t>LOL</t>
        </is>
      </c>
      <c r="F27" s="24" t="inlineStr">
        <is>
          <t>Hyperion</t>
        </is>
      </c>
      <c r="G27" s="24" t="inlineStr">
        <is>
          <t>Dominion Goblins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104</v>
      </c>
      <c r="M27" s="27" t="n">
        <v>2.04</v>
      </c>
      <c r="N27" s="28" t="n">
        <v>0.490196</v>
      </c>
      <c r="O27" s="28" t="n">
        <v>0.519011</v>
      </c>
      <c r="P27" s="28" t="n"/>
      <c r="Q27" s="28" t="n">
        <v>0.028815</v>
      </c>
      <c r="R27" s="26" t="n">
        <v>34</v>
      </c>
      <c r="S27" s="29" t="n">
        <v>1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>
        <v>104</v>
      </c>
      <c r="AA27" s="28" t="n">
        <v>0.49</v>
      </c>
      <c r="AB27" s="28" t="n">
        <v>-0.000196</v>
      </c>
      <c r="AC27" s="30" t="n">
        <v>-1</v>
      </c>
      <c r="AD27" s="24" t="inlineStr">
        <is>
          <t>2026-08-05T20:59:48.344345Z</t>
        </is>
      </c>
      <c r="AE27" s="31" t="inlineStr">
        <is>
          <t>Neutral Elo baseline; executable ask 0.4900 (market_slug=aec-lol-domi-hype-2026-08-05).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PAPER_CALL_WINNER_OVERVALUED</t>
        </is>
      </c>
      <c r="AP27" s="24" t="inlineStr">
        <is>
          <t>Hyperion</t>
        </is>
      </c>
      <c r="AQ27" s="24" t="inlineStr">
        <is>
          <t>Hyperion</t>
        </is>
      </c>
      <c r="AR27" s="24" t="inlineStr">
        <is>
          <t>Hyperion</t>
        </is>
      </c>
      <c r="AS27" s="24" t="inlineStr">
        <is>
          <t>Dominion Goblins</t>
        </is>
      </c>
      <c r="AT27" s="24" t="inlineStr">
        <is>
          <t>Dominion Goblins</t>
        </is>
      </c>
      <c r="AU27" s="24" t="inlineStr">
        <is>
          <t>Dominion Goblins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4863ace20696b49ac8d86afb992436652bb1bb2b13aa3380a50818cc662a18c0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4863ace20696b49ac8d86afb992436652bb1bb2b13aa3380a50818cc662a18c0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2026-08-05T17:04:44.809528Z</t>
        </is>
      </c>
      <c r="BI27" s="24" t="inlineStr">
        <is>
          <t>["same_event","same_team_same_day","same_league_same_day"]</t>
        </is>
      </c>
      <c r="BJ27" s="25" t="n"/>
      <c r="BK27" s="26" t="n">
        <v>104</v>
      </c>
      <c r="BL27" s="27" t="n">
        <v>2.04</v>
      </c>
      <c r="BM27" s="28" t="n">
        <v>0.490196</v>
      </c>
      <c r="BN27" s="28" t="n"/>
      <c r="BO27" s="28" t="n"/>
      <c r="BP27" s="25" t="n"/>
      <c r="BQ27" s="27" t="n">
        <v>2.04</v>
      </c>
      <c r="BR27" s="28" t="n">
        <v>0.49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0.490196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e786b8cb2ee24dd6</t>
        </is>
      </c>
      <c r="B28" s="24" t="inlineStr">
        <is>
          <t>2026-08-05T17:05:09.750488Z</t>
        </is>
      </c>
      <c r="C28" s="24" t="inlineStr">
        <is>
          <t>2026-08-05T19:00:00Z</t>
        </is>
      </c>
      <c r="D28" s="24" t="inlineStr">
        <is>
          <t>70045</t>
        </is>
      </c>
      <c r="E28" s="24" t="inlineStr">
        <is>
          <t>LOL</t>
        </is>
      </c>
      <c r="F28" s="24" t="inlineStr">
        <is>
          <t>Ici Japon Corp. Esport</t>
        </is>
      </c>
      <c r="G28" s="24" t="inlineStr">
        <is>
          <t>ZYB Esport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104</v>
      </c>
      <c r="M28" s="27" t="n">
        <v>2.04</v>
      </c>
      <c r="N28" s="28" t="n">
        <v>0.490196</v>
      </c>
      <c r="O28" s="28" t="n">
        <v>0.598437</v>
      </c>
      <c r="P28" s="28" t="n"/>
      <c r="Q28" s="28" t="n">
        <v>0.108241</v>
      </c>
      <c r="R28" s="26" t="n">
        <v>74</v>
      </c>
      <c r="S28" s="29" t="n">
        <v>1.25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104</v>
      </c>
      <c r="AA28" s="28" t="n">
        <v>0.49</v>
      </c>
      <c r="AB28" s="28" t="n">
        <v>-0.000196</v>
      </c>
      <c r="AC28" s="30" t="n">
        <v>1.3</v>
      </c>
      <c r="AD28" s="24" t="inlineStr">
        <is>
          <t>2026-08-05T20:59:50.087765Z</t>
        </is>
      </c>
      <c r="AE28" s="31" t="inlineStr">
        <is>
          <t>Neutral Elo baseline; executable ask 0.4900 (market_slug=aec-lol-zyb-ijc-2026-08-05).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Ici Japon Corp. Esport</t>
        </is>
      </c>
      <c r="AQ28" s="24" t="inlineStr">
        <is>
          <t>Ici Japon Corp. Esport</t>
        </is>
      </c>
      <c r="AR28" s="24" t="inlineStr">
        <is>
          <t>Ici Japon Corp. Esport</t>
        </is>
      </c>
      <c r="AS28" s="24" t="inlineStr">
        <is>
          <t>ZYB Esport</t>
        </is>
      </c>
      <c r="AT28" s="24" t="inlineStr">
        <is>
          <t>ZYB Esport</t>
        </is>
      </c>
      <c r="AU28" s="24" t="inlineStr">
        <is>
          <t>ZYB Esport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4863ace20696b49ac8d86afb992436652bb1bb2b13aa3380a50818cc662a18c0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4863ace20696b49ac8d86afb992436652bb1bb2b13aa3380a50818cc662a18c0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2026-08-05T17:04:46.146013Z</t>
        </is>
      </c>
      <c r="BI28" s="24" t="inlineStr">
        <is>
          <t>["same_event","same_team_same_day","same_league_same_day"]</t>
        </is>
      </c>
      <c r="BJ28" s="25" t="n"/>
      <c r="BK28" s="26" t="n">
        <v>104</v>
      </c>
      <c r="BL28" s="27" t="n">
        <v>2.04</v>
      </c>
      <c r="BM28" s="28" t="n">
        <v>0.490196</v>
      </c>
      <c r="BN28" s="28" t="n"/>
      <c r="BO28" s="28" t="n"/>
      <c r="BP28" s="25" t="n"/>
      <c r="BQ28" s="27" t="n">
        <v>2.04</v>
      </c>
      <c r="BR28" s="28" t="n">
        <v>0.49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0.490196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333daeff6c914fb6</t>
        </is>
      </c>
      <c r="B29" s="24" t="inlineStr">
        <is>
          <t>2026-08-05T17:05:09.750488Z</t>
        </is>
      </c>
      <c r="C29" s="24" t="inlineStr">
        <is>
          <t>2026-08-05T20:00:00Z</t>
        </is>
      </c>
      <c r="D29" s="24" t="inlineStr">
        <is>
          <t>70301</t>
        </is>
      </c>
      <c r="E29" s="24" t="inlineStr">
        <is>
          <t>LOL</t>
        </is>
      </c>
      <c r="F29" s="24" t="inlineStr">
        <is>
          <t>Skillcamp Esport</t>
        </is>
      </c>
      <c r="G29" s="24" t="inlineStr">
        <is>
          <t>Vitality.Bee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0.583883</v>
      </c>
      <c r="P29" s="28" t="n"/>
      <c r="Q29" s="28" t="n">
        <v>0.07407900000000001</v>
      </c>
      <c r="R29" s="26" t="n">
        <v>57</v>
      </c>
      <c r="S29" s="29" t="n">
        <v>1.25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1.2019</v>
      </c>
      <c r="AD29" s="24" t="inlineStr">
        <is>
          <t>2026-08-05T20:59:51.857648Z</t>
        </is>
      </c>
      <c r="AE29" s="31" t="inlineStr">
        <is>
          <t>Neutral Elo baseline; executable ask 0.5100 (market_slug=aec-lol-vitb-sc-2026-08-05).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PAPER_CALL_WINNER_OVERVALUED</t>
        </is>
      </c>
      <c r="AP29" s="24" t="inlineStr">
        <is>
          <t>Skillcamp Esport</t>
        </is>
      </c>
      <c r="AQ29" s="24" t="inlineStr">
        <is>
          <t>Skillcamp Esport</t>
        </is>
      </c>
      <c r="AR29" s="24" t="inlineStr">
        <is>
          <t>Skillcamp Esport</t>
        </is>
      </c>
      <c r="AS29" s="24" t="inlineStr">
        <is>
          <t>Vitality.Bee</t>
        </is>
      </c>
      <c r="AT29" s="24" t="inlineStr">
        <is>
          <t>Vitality.Bee</t>
        </is>
      </c>
      <c r="AU29" s="24" t="inlineStr">
        <is>
          <t>Vitality.Bee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4863ace20696b49ac8d86afb992436652bb1bb2b13aa3380a50818cc662a18c0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4863ace20696b49ac8d86afb992436652bb1bb2b13aa3380a50818cc662a18c0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2026-08-05T17:04:46.800572Z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0.509804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037f56454bb54060</t>
        </is>
      </c>
      <c r="B30" s="24" t="inlineStr">
        <is>
          <t>2026-08-05T17:05:09.750488Z</t>
        </is>
      </c>
      <c r="C30" s="24" t="inlineStr">
        <is>
          <t>2026-08-05T20:00:00Z</t>
        </is>
      </c>
      <c r="D30" s="24" t="inlineStr">
        <is>
          <t>70302</t>
        </is>
      </c>
      <c r="E30" s="24" t="inlineStr">
        <is>
          <t>LOL</t>
        </is>
      </c>
      <c r="F30" s="24" t="inlineStr">
        <is>
          <t>7REX</t>
        </is>
      </c>
      <c r="G30" s="24" t="inlineStr">
        <is>
          <t>Team Solid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113</v>
      </c>
      <c r="M30" s="27" t="n">
        <v>2.13</v>
      </c>
      <c r="N30" s="28" t="n">
        <v>0.469484</v>
      </c>
      <c r="O30" s="28" t="n">
        <v>0.523361</v>
      </c>
      <c r="P30" s="28" t="n"/>
      <c r="Q30" s="28" t="n">
        <v>0.053877</v>
      </c>
      <c r="R30" s="26" t="n">
        <v>47</v>
      </c>
      <c r="S30" s="29" t="n">
        <v>1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113</v>
      </c>
      <c r="AA30" s="28" t="n">
        <v>0.47</v>
      </c>
      <c r="AB30" s="28" t="n">
        <v>0.000516</v>
      </c>
      <c r="AC30" s="30" t="n">
        <v>1.13</v>
      </c>
      <c r="AD30" s="24" t="inlineStr">
        <is>
          <t>2026-08-05T20:59:53.631061Z</t>
        </is>
      </c>
      <c r="AE30" s="31" t="inlineStr">
        <is>
          <t>Neutral Elo baseline; executable ask 0.4700 (market_slug=aec-lol-tse-7rex-2026-08-05).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PAPER_CALL_WINNER_OVERVALUED</t>
        </is>
      </c>
      <c r="AP30" s="24" t="inlineStr">
        <is>
          <t>7REX</t>
        </is>
      </c>
      <c r="AQ30" s="24" t="inlineStr">
        <is>
          <t>7REX</t>
        </is>
      </c>
      <c r="AR30" s="24" t="inlineStr">
        <is>
          <t>7REX</t>
        </is>
      </c>
      <c r="AS30" s="24" t="inlineStr">
        <is>
          <t>Team Solid</t>
        </is>
      </c>
      <c r="AT30" s="24" t="inlineStr">
        <is>
          <t>Team Solid</t>
        </is>
      </c>
      <c r="AU30" s="24" t="inlineStr">
        <is>
          <t>Team Solid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4863ace20696b49ac8d86afb992436652bb1bb2b13aa3380a50818cc662a18c0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4863ace20696b49ac8d86afb992436652bb1bb2b13aa3380a50818cc662a18c0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2026-08-05T17:04:47.406557Z</t>
        </is>
      </c>
      <c r="BI30" s="24" t="inlineStr">
        <is>
          <t>["same_event","same_team_same_day","same_league_same_day"]</t>
        </is>
      </c>
      <c r="BJ30" s="25" t="n"/>
      <c r="BK30" s="26" t="n">
        <v>113</v>
      </c>
      <c r="BL30" s="27" t="n">
        <v>2.13</v>
      </c>
      <c r="BM30" s="28" t="n">
        <v>0.469484</v>
      </c>
      <c r="BN30" s="28" t="n"/>
      <c r="BO30" s="28" t="n"/>
      <c r="BP30" s="25" t="n"/>
      <c r="BQ30" s="27" t="n">
        <v>2.13</v>
      </c>
      <c r="BR30" s="28" t="n">
        <v>0.47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0.469484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6abda70e71e849ad</t>
        </is>
      </c>
      <c r="B31" s="24" t="inlineStr">
        <is>
          <t>2026-08-05T17:05:09.750488Z</t>
        </is>
      </c>
      <c r="C31" s="24" t="inlineStr">
        <is>
          <t>2026-08-05T21:00:00Z</t>
        </is>
      </c>
      <c r="D31" s="24" t="inlineStr">
        <is>
          <t>70348</t>
        </is>
      </c>
      <c r="E31" s="24" t="inlineStr">
        <is>
          <t>LOL</t>
        </is>
      </c>
      <c r="F31" s="24" t="inlineStr">
        <is>
          <t>White Dragons</t>
        </is>
      </c>
      <c r="G31" s="24" t="inlineStr">
        <is>
          <t>NORTHERNGRADE ESPORTS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-122</v>
      </c>
      <c r="M31" s="27" t="n">
        <v>1.819672</v>
      </c>
      <c r="N31" s="28" t="n">
        <v>0.54955</v>
      </c>
      <c r="O31" s="28" t="n">
        <v>0.503857</v>
      </c>
      <c r="P31" s="28" t="n"/>
      <c r="Q31" s="28" t="n">
        <v>-0.045693</v>
      </c>
      <c r="R31" s="26" t="n">
        <v>0</v>
      </c>
      <c r="S31" s="29" t="n">
        <v>1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-122</v>
      </c>
      <c r="AA31" s="28" t="n">
        <v>0.55</v>
      </c>
      <c r="AB31" s="28" t="n">
        <v>0.00045</v>
      </c>
      <c r="AC31" s="30" t="n">
        <v>0.8197</v>
      </c>
      <c r="AD31" s="24" t="inlineStr">
        <is>
          <t>2026-08-06T00:22:29.619395Z</t>
        </is>
      </c>
      <c r="AE31" s="31" t="inlineStr">
        <is>
          <t>Neutral Elo baseline; executable ask 0.5500 (market_slug=aec-lol-nort-wd-2026-08-05).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PAPER_CALL_WINNER_OVERVALUED</t>
        </is>
      </c>
      <c r="AP31" s="24" t="inlineStr">
        <is>
          <t>White Dragons</t>
        </is>
      </c>
      <c r="AQ31" s="24" t="inlineStr">
        <is>
          <t>White Dragons</t>
        </is>
      </c>
      <c r="AR31" s="24" t="inlineStr">
        <is>
          <t>White Dragons</t>
        </is>
      </c>
      <c r="AS31" s="24" t="inlineStr">
        <is>
          <t>NORTHERNGRADE ESPORTS</t>
        </is>
      </c>
      <c r="AT31" s="24" t="inlineStr">
        <is>
          <t>NORTHERNGRADE ESPORTS</t>
        </is>
      </c>
      <c r="AU31" s="24" t="inlineStr">
        <is>
          <t>NORTHERNGRADE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4863ace20696b49ac8d86afb992436652bb1bb2b13aa3380a50818cc662a18c0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4863ace20696b49ac8d86afb992436652bb1bb2b13aa3380a50818cc662a18c0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2026-08-05T17:04:48.487044Z</t>
        </is>
      </c>
      <c r="BI31" s="24" t="inlineStr">
        <is>
          <t>["same_event","same_team_same_day","same_league_same_day"]</t>
        </is>
      </c>
      <c r="BJ31" s="25" t="n"/>
      <c r="BK31" s="26" t="n">
        <v>-122</v>
      </c>
      <c r="BL31" s="27" t="n">
        <v>1.819672</v>
      </c>
      <c r="BM31" s="28" t="n">
        <v>0.54955</v>
      </c>
      <c r="BN31" s="28" t="n"/>
      <c r="BO31" s="28" t="n"/>
      <c r="BP31" s="25" t="n"/>
      <c r="BQ31" s="27" t="n">
        <v>1.819672</v>
      </c>
      <c r="BR31" s="28" t="n">
        <v>0.55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0.54955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594d0859e09c4e3a</t>
        </is>
      </c>
      <c r="B32" s="24" t="inlineStr">
        <is>
          <t>2026-08-05T17:05:09.750488Z</t>
        </is>
      </c>
      <c r="C32" s="24" t="inlineStr">
        <is>
          <t>2026-08-05T21:00:00Z</t>
        </is>
      </c>
      <c r="D32" s="24" t="inlineStr">
        <is>
          <t>70349</t>
        </is>
      </c>
      <c r="E32" s="24" t="inlineStr">
        <is>
          <t>LOL</t>
        </is>
      </c>
      <c r="F32" s="24" t="inlineStr">
        <is>
          <t>Winthrop University</t>
        </is>
      </c>
      <c r="G32" s="24" t="inlineStr">
        <is>
          <t>Blue Otter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0.67052</v>
      </c>
      <c r="P32" s="28" t="n"/>
      <c r="Q32" s="28" t="n">
        <v>0.090688</v>
      </c>
      <c r="R32" s="26" t="n">
        <v>65</v>
      </c>
      <c r="S32" s="29" t="n">
        <v>1.75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1.2681</v>
      </c>
      <c r="AD32" s="24" t="inlineStr">
        <is>
          <t>2026-08-06T00:22:31.341650Z</t>
        </is>
      </c>
      <c r="AE32" s="31" t="inlineStr">
        <is>
          <t>Neutral Elo baseline; executable ask 0.5800 (market_slug=aec-lol-blue-wu-2026-08-05).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Winthrop University</t>
        </is>
      </c>
      <c r="AQ32" s="24" t="inlineStr">
        <is>
          <t>Winthrop University</t>
        </is>
      </c>
      <c r="AR32" s="24" t="inlineStr">
        <is>
          <t>Winthrop University</t>
        </is>
      </c>
      <c r="AS32" s="24" t="inlineStr">
        <is>
          <t>Blue Otter</t>
        </is>
      </c>
      <c r="AT32" s="24" t="inlineStr">
        <is>
          <t>Blue Otter</t>
        </is>
      </c>
      <c r="AU32" s="24" t="inlineStr">
        <is>
          <t>Blue Otter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4863ace20696b49ac8d86afb992436652bb1bb2b13aa3380a50818cc662a18c0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4863ace20696b49ac8d86afb992436652bb1bb2b13aa3380a50818cc662a18c0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2026-08-05T17:04:49.037567Z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0.579832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99b00467e14e459b</t>
        </is>
      </c>
      <c r="B33" s="24" t="inlineStr">
        <is>
          <t>2026-08-05T21:03:09.174525Z</t>
        </is>
      </c>
      <c r="C33" s="24" t="inlineStr">
        <is>
          <t>2026-08-05T22:00:00Z</t>
        </is>
      </c>
      <c r="D33" s="24" t="inlineStr">
        <is>
          <t>70379</t>
        </is>
      </c>
      <c r="E33" s="24" t="inlineStr">
        <is>
          <t>LOL</t>
        </is>
      </c>
      <c r="F33" s="24" t="inlineStr">
        <is>
          <t>KaBuM! Ilha das Lendas</t>
        </is>
      </c>
      <c r="G33" s="24" t="inlineStr">
        <is>
          <t>Ei Nerd Esports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-117</v>
      </c>
      <c r="M33" s="27" t="n">
        <v>1.854701</v>
      </c>
      <c r="N33" s="28" t="n">
        <v>0.539171</v>
      </c>
      <c r="O33" s="28" t="n">
        <v>0.617962</v>
      </c>
      <c r="P33" s="28" t="n"/>
      <c r="Q33" s="28" t="n">
        <v>0.078791</v>
      </c>
      <c r="R33" s="26" t="n">
        <v>59</v>
      </c>
      <c r="S33" s="29" t="n">
        <v>1.5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-117</v>
      </c>
      <c r="AA33" s="28" t="n">
        <v>0.54</v>
      </c>
      <c r="AB33" s="28" t="n">
        <v>0.000829</v>
      </c>
      <c r="AC33" s="30" t="n">
        <v>1.2821</v>
      </c>
      <c r="AD33" s="24" t="inlineStr">
        <is>
          <t>2026-08-06T00:22:33.072909Z</t>
        </is>
      </c>
      <c r="AE33" s="31" t="inlineStr">
        <is>
          <t>Neutral Elo baseline; executable ask 0.5400 (market_slug=aec-lol-nerd-kbm-2026-08-05).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PAPER_CALL_WINNER_OVERVALUED</t>
        </is>
      </c>
      <c r="AP33" s="24" t="inlineStr">
        <is>
          <t>KaBuM! Ilha das Lendas</t>
        </is>
      </c>
      <c r="AQ33" s="24" t="inlineStr">
        <is>
          <t>KaBuM! Ilha das Lendas</t>
        </is>
      </c>
      <c r="AR33" s="24" t="inlineStr">
        <is>
          <t>KaBuM! Ilha das Lendas</t>
        </is>
      </c>
      <c r="AS33" s="24" t="inlineStr">
        <is>
          <t>Ei Nerd Esports</t>
        </is>
      </c>
      <c r="AT33" s="24" t="inlineStr">
        <is>
          <t>Ei Nerd Esports</t>
        </is>
      </c>
      <c r="AU33" s="24" t="inlineStr">
        <is>
          <t>Ei Nerd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15c411e044ffe51b6ddc3409c537ef2b1f842259403eab8a9ab62a4cd0e52b5d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15c411e044ffe51b6ddc3409c537ef2b1f842259403eab8a9ab62a4cd0e52b5d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2026-08-05T21:02:48.352662Z</t>
        </is>
      </c>
      <c r="BI33" s="24" t="inlineStr">
        <is>
          <t>["same_event","same_team_same_day","same_league_same_day"]</t>
        </is>
      </c>
      <c r="BJ33" s="25" t="n"/>
      <c r="BK33" s="26" t="n">
        <v>-117</v>
      </c>
      <c r="BL33" s="27" t="n">
        <v>1.854701</v>
      </c>
      <c r="BM33" s="28" t="n">
        <v>0.539171</v>
      </c>
      <c r="BN33" s="28" t="n"/>
      <c r="BO33" s="28" t="n"/>
      <c r="BP33" s="25" t="n"/>
      <c r="BQ33" s="27" t="n">
        <v>1.854701</v>
      </c>
      <c r="BR33" s="28" t="n">
        <v>0.54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0.91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0.539171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62d231e699b148cb</t>
        </is>
      </c>
      <c r="B34" s="24" t="inlineStr">
        <is>
          <t>2026-08-05T21:03:09.174525Z</t>
        </is>
      </c>
      <c r="C34" s="24" t="inlineStr">
        <is>
          <t>2026-08-06T00:00:00Z</t>
        </is>
      </c>
      <c r="D34" s="24" t="inlineStr">
        <is>
          <t>70453</t>
        </is>
      </c>
      <c r="E34" s="24" t="inlineStr">
        <is>
          <t>LOL</t>
        </is>
      </c>
      <c r="F34" s="24" t="inlineStr">
        <is>
          <t>paiN Gaming Academy</t>
        </is>
      </c>
      <c r="G34" s="24" t="inlineStr">
        <is>
          <t>INTZ e-Sports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122</v>
      </c>
      <c r="M34" s="27" t="n">
        <v>2.22</v>
      </c>
      <c r="N34" s="28" t="n">
        <v>0.45045</v>
      </c>
      <c r="O34" s="28" t="n">
        <v>0.50062</v>
      </c>
      <c r="P34" s="28" t="n"/>
      <c r="Q34" s="28" t="n">
        <v>0.05017</v>
      </c>
      <c r="R34" s="26" t="n">
        <v>45</v>
      </c>
      <c r="S34" s="29" t="n">
        <v>1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122</v>
      </c>
      <c r="AA34" s="28" t="n">
        <v>0.45</v>
      </c>
      <c r="AB34" s="28" t="n">
        <v>-0.00045</v>
      </c>
      <c r="AC34" s="30" t="n">
        <v>-1</v>
      </c>
      <c r="AD34" s="24" t="inlineStr">
        <is>
          <t>2026-08-06T00:22:34.831438Z</t>
        </is>
      </c>
      <c r="AE34" s="31" t="inlineStr">
        <is>
          <t>Neutral Elo baseline; executable ask 0.4500 (market_slug=aec-lol-itz-pnga-2026-08-06).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PAPER_CALL_WINNER_OVERVALUED</t>
        </is>
      </c>
      <c r="AP34" s="24" t="inlineStr">
        <is>
          <t>paiN Gaming Academy</t>
        </is>
      </c>
      <c r="AQ34" s="24" t="inlineStr">
        <is>
          <t>paiN Gaming Academy</t>
        </is>
      </c>
      <c r="AR34" s="24" t="inlineStr">
        <is>
          <t>paiN Gaming Academy</t>
        </is>
      </c>
      <c r="AS34" s="24" t="inlineStr">
        <is>
          <t>INTZ e-Sports</t>
        </is>
      </c>
      <c r="AT34" s="24" t="inlineStr">
        <is>
          <t>INTZ e-Sports</t>
        </is>
      </c>
      <c r="AU34" s="24" t="inlineStr">
        <is>
          <t>INTZ e-Sports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15c411e044ffe51b6ddc3409c537ef2b1f842259403eab8a9ab62a4cd0e52b5d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15c411e044ffe51b6ddc3409c537ef2b1f842259403eab8a9ab62a4cd0e52b5d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2026-08-05T21:02:49.588927Z</t>
        </is>
      </c>
      <c r="BI34" s="24" t="inlineStr">
        <is>
          <t>["same_event","same_team_same_day","same_league_same_day"]</t>
        </is>
      </c>
      <c r="BJ34" s="25" t="n"/>
      <c r="BK34" s="26" t="n">
        <v>122</v>
      </c>
      <c r="BL34" s="27" t="n">
        <v>2.22</v>
      </c>
      <c r="BM34" s="28" t="n">
        <v>0.45045</v>
      </c>
      <c r="BN34" s="28" t="n"/>
      <c r="BO34" s="28" t="n"/>
      <c r="BP34" s="25" t="n"/>
      <c r="BQ34" s="27" t="n">
        <v>2.22</v>
      </c>
      <c r="BR34" s="28" t="n">
        <v>0.45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-1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0.45045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4201f8e266524181</t>
        </is>
      </c>
      <c r="B35" s="24" t="inlineStr">
        <is>
          <t>2026-08-05T21:03:09.174525Z</t>
        </is>
      </c>
      <c r="C35" s="24" t="inlineStr">
        <is>
          <t>2026-08-06T00:00:00Z</t>
        </is>
      </c>
      <c r="D35" s="24" t="inlineStr">
        <is>
          <t>70454</t>
        </is>
      </c>
      <c r="E35" s="24" t="inlineStr">
        <is>
          <t>LOL</t>
        </is>
      </c>
      <c r="F35" s="24" t="inlineStr">
        <is>
          <t>Cupid Esports</t>
        </is>
      </c>
      <c r="G35" s="24" t="inlineStr">
        <is>
          <t>NRG Esports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108</v>
      </c>
      <c r="M35" s="27" t="n">
        <v>2.08</v>
      </c>
      <c r="N35" s="28" t="n">
        <v>0.480769</v>
      </c>
      <c r="O35" s="28" t="n">
        <v>0.516709</v>
      </c>
      <c r="P35" s="28" t="n"/>
      <c r="Q35" s="28" t="n">
        <v>0.03594</v>
      </c>
      <c r="R35" s="26" t="n">
        <v>38</v>
      </c>
      <c r="S35" s="29" t="n">
        <v>1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108</v>
      </c>
      <c r="AA35" s="28" t="n">
        <v>0.48</v>
      </c>
      <c r="AB35" s="28" t="n">
        <v>-0.000769</v>
      </c>
      <c r="AC35" s="30" t="n">
        <v>1.08</v>
      </c>
      <c r="AD35" s="24" t="inlineStr">
        <is>
          <t>2026-08-06T03:27:45.918518Z</t>
        </is>
      </c>
      <c r="AE35" s="31" t="inlineStr">
        <is>
          <t>Neutral Elo baseline; executable ask 0.4800 (market_slug=aec-lol-nrg-cpd-2026-08-06).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PAPER_CALL_WINNER_OVERVALUED</t>
        </is>
      </c>
      <c r="AP35" s="24" t="inlineStr">
        <is>
          <t>Cupid Esports</t>
        </is>
      </c>
      <c r="AQ35" s="24" t="inlineStr">
        <is>
          <t>Cupid Esports</t>
        </is>
      </c>
      <c r="AR35" s="24" t="inlineStr">
        <is>
          <t>Cupid Esports</t>
        </is>
      </c>
      <c r="AS35" s="24" t="inlineStr">
        <is>
          <t>NRG Esports</t>
        </is>
      </c>
      <c r="AT35" s="24" t="inlineStr">
        <is>
          <t>NRG Esports</t>
        </is>
      </c>
      <c r="AU35" s="24" t="inlineStr">
        <is>
          <t>NRG Esports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15c411e044ffe51b6ddc3409c537ef2b1f842259403eab8a9ab62a4cd0e52b5d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15c411e044ffe51b6ddc3409c537ef2b1f842259403eab8a9ab62a4cd0e52b5d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2026-08-05T21:02:50.357730Z</t>
        </is>
      </c>
      <c r="BI35" s="24" t="inlineStr">
        <is>
          <t>["same_event","same_team_same_day","same_league_same_day"]</t>
        </is>
      </c>
      <c r="BJ35" s="25" t="n"/>
      <c r="BK35" s="26" t="n">
        <v>108</v>
      </c>
      <c r="BL35" s="27" t="n">
        <v>2.08</v>
      </c>
      <c r="BM35" s="28" t="n">
        <v>0.480769</v>
      </c>
      <c r="BN35" s="28" t="n"/>
      <c r="BO35" s="28" t="n"/>
      <c r="BP35" s="25" t="n"/>
      <c r="BQ35" s="27" t="n">
        <v>2.08</v>
      </c>
      <c r="BR35" s="28" t="n">
        <v>0.48</v>
      </c>
      <c r="BS35" s="28" t="n"/>
      <c r="BT35" s="28" t="n"/>
      <c r="BU35" s="25" t="n"/>
      <c r="BV35" s="29" t="n"/>
      <c r="BW35" s="24" t="n"/>
      <c r="BX35" s="30" t="n">
        <v>1</v>
      </c>
      <c r="BY35" s="27" t="n">
        <v>0.91</v>
      </c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0.480769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9ea5b2ad20ab430d</t>
        </is>
      </c>
      <c r="B36" s="24" t="inlineStr">
        <is>
          <t>2026-08-06T00:24:51.570056Z</t>
        </is>
      </c>
      <c r="C36" s="24" t="inlineStr">
        <is>
          <t>2026-08-06T05:00:00Z</t>
        </is>
      </c>
      <c r="D36" s="24" t="inlineStr">
        <is>
          <t>70551</t>
        </is>
      </c>
      <c r="E36" s="24" t="inlineStr">
        <is>
          <t>LOL</t>
        </is>
      </c>
      <c r="F36" s="24" t="inlineStr">
        <is>
          <t>Gen.G Global Academy</t>
        </is>
      </c>
      <c r="G36" s="24" t="inlineStr">
        <is>
          <t>HANJIN BRION Challengers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-223</v>
      </c>
      <c r="M36" s="27" t="n">
        <v>1.44843</v>
      </c>
      <c r="N36" s="28" t="n">
        <v>0.690402</v>
      </c>
      <c r="O36" s="28" t="n">
        <v>0.639365</v>
      </c>
      <c r="P36" s="28" t="n"/>
      <c r="Q36" s="28" t="n">
        <v>-0.051037</v>
      </c>
      <c r="R36" s="26" t="n">
        <v>0</v>
      </c>
      <c r="S36" s="29" t="n">
        <v>1.5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0.6726</v>
      </c>
      <c r="AD36" s="24" t="inlineStr">
        <is>
          <t>2026-08-06T18:56:07.504901Z</t>
        </is>
      </c>
      <c r="AE36" s="31" t="inlineStr">
        <is>
          <t>Neutral Elo baseline; executable ask 0.6900 (market_slug=aec-lol-hbc-genga-2026-08-06).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PAPER_CALL_WINNER_OVERVALUED</t>
        </is>
      </c>
      <c r="AP36" s="24" t="inlineStr">
        <is>
          <t>Gen.G Global Academy</t>
        </is>
      </c>
      <c r="AQ36" s="24" t="inlineStr">
        <is>
          <t>Gen.G Global Academy</t>
        </is>
      </c>
      <c r="AR36" s="24" t="inlineStr">
        <is>
          <t>Gen.G Global Academy</t>
        </is>
      </c>
      <c r="AS36" s="24" t="inlineStr">
        <is>
          <t>HANJIN BRION Challengers</t>
        </is>
      </c>
      <c r="AT36" s="24" t="inlineStr">
        <is>
          <t>HANJIN BRION Challengers</t>
        </is>
      </c>
      <c r="AU36" s="24" t="inlineStr">
        <is>
          <t>HANJIN BRION Challengers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4304963c152f1e881f634fa0b66ab59152f3edd6692257c1d27d76a5cb0a3df3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4304963c152f1e881f634fa0b66ab59152f3edd6692257c1d27d76a5cb0a3df3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2026-08-06T00:24:35.775008Z</t>
        </is>
      </c>
      <c r="BI36" s="24" t="inlineStr">
        <is>
          <t>["same_event","same_team_same_day","same_league_same_day"]</t>
        </is>
      </c>
      <c r="BJ36" s="25" t="n"/>
      <c r="BK36" s="26" t="n">
        <v>-223</v>
      </c>
      <c r="BL36" s="27" t="n">
        <v>1.44843</v>
      </c>
      <c r="BM36" s="28" t="n">
        <v>0.690402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0.91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0.690402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c01319a4e2914ad4</t>
        </is>
      </c>
      <c r="B37" s="24" t="inlineStr">
        <is>
          <t>2026-08-06T00:24:51.570056Z</t>
        </is>
      </c>
      <c r="C37" s="24" t="inlineStr">
        <is>
          <t>2026-08-06T07:00:00Z</t>
        </is>
      </c>
      <c r="D37" s="24" t="inlineStr">
        <is>
          <t>70560</t>
        </is>
      </c>
      <c r="E37" s="24" t="inlineStr">
        <is>
          <t>LOL</t>
        </is>
      </c>
      <c r="F37" s="24" t="inlineStr">
        <is>
          <t>ThunderTalk Gaming</t>
        </is>
      </c>
      <c r="G37" s="24" t="inlineStr">
        <is>
          <t>LGD Gaming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-108</v>
      </c>
      <c r="M37" s="27" t="n">
        <v>1.925926</v>
      </c>
      <c r="N37" s="28" t="n">
        <v>0.519231</v>
      </c>
      <c r="O37" s="28" t="n">
        <v>0.601292</v>
      </c>
      <c r="P37" s="28" t="n"/>
      <c r="Q37" s="28" t="n">
        <v>0.082061</v>
      </c>
      <c r="R37" s="26" t="n">
        <v>61</v>
      </c>
      <c r="S37" s="29" t="n">
        <v>1.25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-1.25</v>
      </c>
      <c r="AD37" s="24" t="inlineStr">
        <is>
          <t>2026-08-06T18:56:10.139579Z</t>
        </is>
      </c>
      <c r="AE37" s="31" t="inlineStr">
        <is>
          <t>Neutral Elo baseline; executable ask 0.5200 (market_slug=aec-lol-lgd-tt-2026-08-06).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ThunderTalk Gaming</t>
        </is>
      </c>
      <c r="AQ37" s="24" t="inlineStr">
        <is>
          <t>ThunderTalk Gaming</t>
        </is>
      </c>
      <c r="AR37" s="24" t="inlineStr">
        <is>
          <t>ThunderTalk Gaming</t>
        </is>
      </c>
      <c r="AS37" s="24" t="inlineStr">
        <is>
          <t>LGD Gaming</t>
        </is>
      </c>
      <c r="AT37" s="24" t="inlineStr">
        <is>
          <t>LGD Gaming</t>
        </is>
      </c>
      <c r="AU37" s="24" t="inlineStr">
        <is>
          <t>LGD Gaming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4304963c152f1e881f634fa0b66ab59152f3edd6692257c1d27d76a5cb0a3df3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4304963c152f1e881f634fa0b66ab59152f3edd6692257c1d27d76a5cb0a3df3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2026-08-06T00:24:36.724531Z</t>
        </is>
      </c>
      <c r="BI37" s="24" t="inlineStr">
        <is>
          <t>["same_event","same_team_same_day","same_league_same_day"]</t>
        </is>
      </c>
      <c r="BJ37" s="25" t="n"/>
      <c r="BK37" s="26" t="n">
        <v>-108</v>
      </c>
      <c r="BL37" s="27" t="n">
        <v>1.925926</v>
      </c>
      <c r="BM37" s="28" t="n">
        <v>0.519231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0.519231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623d84c7e45b4789</t>
        </is>
      </c>
      <c r="B38" s="24" t="inlineStr">
        <is>
          <t>2026-08-06T00:24:51.570056Z</t>
        </is>
      </c>
      <c r="C38" s="24" t="inlineStr">
        <is>
          <t>2026-08-06T08:00:00Z</t>
        </is>
      </c>
      <c r="D38" s="24" t="inlineStr">
        <is>
          <t>70563</t>
        </is>
      </c>
      <c r="E38" s="24" t="inlineStr">
        <is>
          <t>LOL</t>
        </is>
      </c>
      <c r="F38" s="24" t="inlineStr">
        <is>
          <t>DN SOOPers</t>
        </is>
      </c>
      <c r="G38" s="24" t="inlineStr">
        <is>
          <t>Kiwoom DRX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-223</v>
      </c>
      <c r="M38" s="27" t="n">
        <v>1.44843</v>
      </c>
      <c r="N38" s="28" t="n">
        <v>0.690402</v>
      </c>
      <c r="O38" s="28" t="n">
        <v>0.629338</v>
      </c>
      <c r="P38" s="28" t="n"/>
      <c r="Q38" s="28" t="n">
        <v>-0.061064</v>
      </c>
      <c r="R38" s="26" t="n">
        <v>0</v>
      </c>
      <c r="S38" s="29" t="n">
        <v>1.5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0.6726</v>
      </c>
      <c r="AD38" s="24" t="inlineStr">
        <is>
          <t>2026-08-06T18:56:12.623902Z</t>
        </is>
      </c>
      <c r="AE38" s="31" t="inlineStr">
        <is>
          <t>Neutral Elo baseline; executable ask 0.6900 (market_slug=aec-lol-krx-dns-2026-08-06).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PAPER_CALL_WINNER_OVERVALUED</t>
        </is>
      </c>
      <c r="AP38" s="24" t="inlineStr">
        <is>
          <t>DN SOOPers</t>
        </is>
      </c>
      <c r="AQ38" s="24" t="inlineStr">
        <is>
          <t>DN SOOPers</t>
        </is>
      </c>
      <c r="AR38" s="24" t="inlineStr">
        <is>
          <t>DN SOOPers</t>
        </is>
      </c>
      <c r="AS38" s="24" t="inlineStr">
        <is>
          <t>Kiwoom DRX</t>
        </is>
      </c>
      <c r="AT38" s="24" t="inlineStr">
        <is>
          <t>Kiwoom DRX</t>
        </is>
      </c>
      <c r="AU38" s="24" t="inlineStr">
        <is>
          <t>Kiwoom DRX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4304963c152f1e881f634fa0b66ab59152f3edd6692257c1d27d76a5cb0a3df3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4304963c152f1e881f634fa0b66ab59152f3edd6692257c1d27d76a5cb0a3df3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2026-08-06T00:24:37.231594Z</t>
        </is>
      </c>
      <c r="BI38" s="24" t="inlineStr">
        <is>
          <t>["same_event","same_team_same_day","same_league_same_day"]</t>
        </is>
      </c>
      <c r="BJ38" s="25" t="n"/>
      <c r="BK38" s="26" t="n">
        <v>-223</v>
      </c>
      <c r="BL38" s="27" t="n">
        <v>1.44843</v>
      </c>
      <c r="BM38" s="28" t="n">
        <v>0.690402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0.91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0.690402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e7a4bcc796a440b8</t>
        </is>
      </c>
      <c r="B39" s="24" t="inlineStr">
        <is>
          <t>2026-08-06T00:24:51.570056Z</t>
        </is>
      </c>
      <c r="C39" s="24" t="inlineStr">
        <is>
          <t>2026-08-06T09:00:00Z</t>
        </is>
      </c>
      <c r="D39" s="24" t="inlineStr">
        <is>
          <t>70573</t>
        </is>
      </c>
      <c r="E39" s="24" t="inlineStr">
        <is>
          <t>LOL</t>
        </is>
      </c>
      <c r="F39" s="24" t="inlineStr">
        <is>
          <t>Ground Zero Gaming</t>
        </is>
      </c>
      <c r="G39" s="24" t="inlineStr">
        <is>
          <t>Fukuoka SoftBank Hawks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117</v>
      </c>
      <c r="M39" s="27" t="n">
        <v>2.17</v>
      </c>
      <c r="N39" s="28" t="n">
        <v>0.460829</v>
      </c>
      <c r="O39" s="28" t="n">
        <v>0.677029</v>
      </c>
      <c r="P39" s="28" t="n"/>
      <c r="Q39" s="28" t="n">
        <v>0.2162</v>
      </c>
      <c r="R39" s="26" t="n">
        <v>100</v>
      </c>
      <c r="S39" s="29" t="n">
        <v>1.75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2026-08-06T18:56:15.151967Z</t>
        </is>
      </c>
      <c r="AE39" s="31" t="inlineStr">
        <is>
          <t>Neutral Elo baseline; executable ask 0.4600 (market_slug=aec-lol-shg-gz-2026-08-06).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Ground Zero Gaming</t>
        </is>
      </c>
      <c r="AQ39" s="24" t="inlineStr">
        <is>
          <t>Ground Zero Gaming</t>
        </is>
      </c>
      <c r="AR39" s="24" t="inlineStr">
        <is>
          <t>Ground Zero Gaming</t>
        </is>
      </c>
      <c r="AS39" s="24" t="inlineStr">
        <is>
          <t>Fukuoka SoftBank Hawks Gaming</t>
        </is>
      </c>
      <c r="AT39" s="24" t="inlineStr">
        <is>
          <t>Fukuoka SoftBank Hawks Gaming</t>
        </is>
      </c>
      <c r="AU39" s="24" t="inlineStr">
        <is>
          <t>Fukuoka SoftBank Hawks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4304963c152f1e881f634fa0b66ab59152f3edd6692257c1d27d76a5cb0a3df3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4304963c152f1e881f634fa0b66ab59152f3edd6692257c1d27d76a5cb0a3df3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2026-08-06T00:24:37.742493Z</t>
        </is>
      </c>
      <c r="BI39" s="24" t="inlineStr">
        <is>
          <t>["same_event","same_team_same_day","same_league_same_day"]</t>
        </is>
      </c>
      <c r="BJ39" s="25" t="n"/>
      <c r="BK39" s="26" t="n">
        <v>117</v>
      </c>
      <c r="BL39" s="27" t="n">
        <v>2.17</v>
      </c>
      <c r="BM39" s="28" t="n">
        <v>0.460829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0.460829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9b2eb8d2819940b8</t>
        </is>
      </c>
      <c r="B40" s="24" t="inlineStr">
        <is>
          <t>2026-08-06T00:24:51.570056Z</t>
        </is>
      </c>
      <c r="C40" s="24" t="inlineStr">
        <is>
          <t>2026-08-06T09:00:00Z</t>
        </is>
      </c>
      <c r="D40" s="24" t="inlineStr">
        <is>
          <t>70574</t>
        </is>
      </c>
      <c r="E40" s="24" t="inlineStr">
        <is>
          <t>LOL</t>
        </is>
      </c>
      <c r="F40" s="24" t="inlineStr">
        <is>
          <t>Ninjas in Pyjamas</t>
        </is>
      </c>
      <c r="G40" s="24" t="inlineStr">
        <is>
          <t>Invictus Gaming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156</v>
      </c>
      <c r="M40" s="27" t="n">
        <v>2.56</v>
      </c>
      <c r="N40" s="28" t="n">
        <v>0.390625</v>
      </c>
      <c r="O40" s="28" t="n">
        <v>0.5103259999999999</v>
      </c>
      <c r="P40" s="28" t="n"/>
      <c r="Q40" s="28" t="n">
        <v>0.119701</v>
      </c>
      <c r="R40" s="26" t="n">
        <v>80</v>
      </c>
      <c r="S40" s="29" t="n">
        <v>1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1.56</v>
      </c>
      <c r="AD40" s="24" t="inlineStr">
        <is>
          <t>2026-08-06T18:56:17.667744Z</t>
        </is>
      </c>
      <c r="AE40" s="31" t="inlineStr">
        <is>
          <t>Neutral Elo baseline; executable ask 0.3900 (market_slug=aec-lol-ig-nip-2026-08-06).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Ninjas in Pyjamas</t>
        </is>
      </c>
      <c r="AQ40" s="24" t="inlineStr">
        <is>
          <t>Ninjas in Pyjamas</t>
        </is>
      </c>
      <c r="AR40" s="24" t="inlineStr">
        <is>
          <t>Ninjas in Pyjamas</t>
        </is>
      </c>
      <c r="AS40" s="24" t="inlineStr">
        <is>
          <t>Invictus Gaming</t>
        </is>
      </c>
      <c r="AT40" s="24" t="inlineStr">
        <is>
          <t>Invictus Gaming</t>
        </is>
      </c>
      <c r="AU40" s="24" t="inlineStr">
        <is>
          <t>Invictus Gaming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4304963c152f1e881f634fa0b66ab59152f3edd6692257c1d27d76a5cb0a3df3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4304963c152f1e881f634fa0b66ab59152f3edd6692257c1d27d76a5cb0a3df3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2026-08-06T00:24:38.252962Z</t>
        </is>
      </c>
      <c r="BI40" s="24" t="inlineStr">
        <is>
          <t>["same_event","same_team_same_day","same_league_same_day"]</t>
        </is>
      </c>
      <c r="BJ40" s="25" t="n"/>
      <c r="BK40" s="26" t="n">
        <v>156</v>
      </c>
      <c r="BL40" s="27" t="n">
        <v>2.56</v>
      </c>
      <c r="BM40" s="28" t="n">
        <v>0.390625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0.91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0.390625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252d9198e9914f85</t>
        </is>
      </c>
      <c r="B41" s="24" t="inlineStr">
        <is>
          <t>2026-08-06T00:24:51.570056Z</t>
        </is>
      </c>
      <c r="C41" s="24" t="inlineStr">
        <is>
          <t>2026-08-06T10:00:00Z</t>
        </is>
      </c>
      <c r="D41" s="24" t="inlineStr">
        <is>
          <t>70594</t>
        </is>
      </c>
      <c r="E41" s="24" t="inlineStr">
        <is>
          <t>LOL</t>
        </is>
      </c>
      <c r="F41" s="24" t="inlineStr">
        <is>
          <t>T1</t>
        </is>
      </c>
      <c r="G41" s="24" t="inlineStr">
        <is>
          <t>Dplus KIA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0.554077</v>
      </c>
      <c r="P41" s="28" t="n"/>
      <c r="Q41" s="28" t="n">
        <v>0.023561</v>
      </c>
      <c r="R41" s="26" t="n">
        <v>32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0.885</v>
      </c>
      <c r="AD41" s="24" t="inlineStr">
        <is>
          <t>2026-08-06T18:56:20.215158Z</t>
        </is>
      </c>
      <c r="AE41" s="31" t="inlineStr">
        <is>
          <t>Neutral Elo baseline; executable ask 0.5300 (market_slug=aec-lol-dk-t1-2026-08-06).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PAPER_CALL_WINNER_OVERVALUED</t>
        </is>
      </c>
      <c r="AP41" s="24" t="inlineStr">
        <is>
          <t>T1</t>
        </is>
      </c>
      <c r="AQ41" s="24" t="inlineStr">
        <is>
          <t>T1</t>
        </is>
      </c>
      <c r="AR41" s="24" t="inlineStr">
        <is>
          <t>T1</t>
        </is>
      </c>
      <c r="AS41" s="24" t="inlineStr">
        <is>
          <t>Dplus KIA</t>
        </is>
      </c>
      <c r="AT41" s="24" t="inlineStr">
        <is>
          <t>Dplus KIA</t>
        </is>
      </c>
      <c r="AU41" s="24" t="inlineStr">
        <is>
          <t>Dplus KIA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4304963c152f1e881f634fa0b66ab59152f3edd6692257c1d27d76a5cb0a3df3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4304963c152f1e881f634fa0b66ab59152f3edd6692257c1d27d76a5cb0a3df3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2026-08-06T00:24:38.757841Z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0.91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0.530516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aa7ff76cf71f478f</t>
        </is>
      </c>
      <c r="B42" s="24" t="inlineStr">
        <is>
          <t>2026-08-06T00:24:51.570056Z</t>
        </is>
      </c>
      <c r="C42" s="24" t="inlineStr">
        <is>
          <t>2026-08-06T16:00:00Z</t>
        </is>
      </c>
      <c r="D42" s="24" t="inlineStr">
        <is>
          <t>70789</t>
        </is>
      </c>
      <c r="E42" s="24" t="inlineStr">
        <is>
          <t>LOL</t>
        </is>
      </c>
      <c r="F42" s="24" t="inlineStr">
        <is>
          <t>Lupus Esports</t>
        </is>
      </c>
      <c r="G42" s="24" t="inlineStr">
        <is>
          <t>The Secret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-194</v>
      </c>
      <c r="M42" s="27" t="n">
        <v>1.515464</v>
      </c>
      <c r="N42" s="28" t="n">
        <v>0.659864</v>
      </c>
      <c r="O42" s="28" t="n">
        <v>0.659932</v>
      </c>
      <c r="P42" s="28" t="n"/>
      <c r="Q42" s="28" t="n">
        <v>6.8e-05</v>
      </c>
      <c r="R42" s="26" t="n">
        <v>20</v>
      </c>
      <c r="S42" s="29" t="n">
        <v>1.75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0.9021</v>
      </c>
      <c r="AD42" s="24" t="inlineStr">
        <is>
          <t>2026-08-06T18:56:22.705506Z</t>
        </is>
      </c>
      <c r="AE42" s="31" t="inlineStr">
        <is>
          <t>Neutral Elo baseline; executable ask 0.6600 (market_slug=aec-lol-tsc-lps-2026-08-06).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PAPER_CALL_WINNER_OVERVALUED</t>
        </is>
      </c>
      <c r="AP42" s="24" t="inlineStr">
        <is>
          <t>Lupus Esports</t>
        </is>
      </c>
      <c r="AQ42" s="24" t="inlineStr">
        <is>
          <t>Lupus Esports</t>
        </is>
      </c>
      <c r="AR42" s="24" t="inlineStr">
        <is>
          <t>Lupus Esports</t>
        </is>
      </c>
      <c r="AS42" s="24" t="inlineStr">
        <is>
          <t>The Secret Club</t>
        </is>
      </c>
      <c r="AT42" s="24" t="inlineStr">
        <is>
          <t>The Secret Club</t>
        </is>
      </c>
      <c r="AU42" s="24" t="inlineStr">
        <is>
          <t>The Secret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4304963c152f1e881f634fa0b66ab59152f3edd6692257c1d27d76a5cb0a3df3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4304963c152f1e881f634fa0b66ab59152f3edd6692257c1d27d76a5cb0a3df3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2026-08-06T00:24:41.808312Z</t>
        </is>
      </c>
      <c r="BI42" s="24" t="inlineStr">
        <is>
          <t>["same_event","same_team_same_day","same_league_same_day"]</t>
        </is>
      </c>
      <c r="BJ42" s="25" t="n"/>
      <c r="BK42" s="26" t="n">
        <v>-194</v>
      </c>
      <c r="BL42" s="27" t="n">
        <v>1.515464</v>
      </c>
      <c r="BM42" s="28" t="n">
        <v>0.659864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0.91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0.659864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aac66cb881df4bc9</t>
        </is>
      </c>
      <c r="B43" s="24" t="inlineStr">
        <is>
          <t>2026-08-06T00:24:51.570056Z</t>
        </is>
      </c>
      <c r="C43" s="24" t="inlineStr">
        <is>
          <t>2026-08-06T16:00:00Z</t>
        </is>
      </c>
      <c r="D43" s="24" t="inlineStr">
        <is>
          <t>70790</t>
        </is>
      </c>
      <c r="E43" s="24" t="inlineStr">
        <is>
          <t>LOL</t>
        </is>
      </c>
      <c r="F43" s="24" t="inlineStr">
        <is>
          <t>Baam Esports</t>
        </is>
      </c>
      <c r="G43" s="24" t="inlineStr">
        <is>
          <t>One More Esports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0.764249</v>
      </c>
      <c r="P43" s="28" t="n"/>
      <c r="Q43" s="28" t="n">
        <v>0.174085</v>
      </c>
      <c r="R43" s="26" t="n">
        <v>100</v>
      </c>
      <c r="S43" s="29" t="n">
        <v>2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1.3889</v>
      </c>
      <c r="AD43" s="24" t="inlineStr">
        <is>
          <t>2026-08-06T18:56:25.172905Z</t>
        </is>
      </c>
      <c r="AE43" s="31" t="inlineStr">
        <is>
          <t>Neutral Elo baseline; executable ask 0.5900 (market_slug=aec-lol-one-bam-2026-08-06).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Baam Esports</t>
        </is>
      </c>
      <c r="AQ43" s="24" t="inlineStr">
        <is>
          <t>Baam Esports</t>
        </is>
      </c>
      <c r="AR43" s="24" t="inlineStr">
        <is>
          <t>Baam Esports</t>
        </is>
      </c>
      <c r="AS43" s="24" t="inlineStr">
        <is>
          <t>One More Esports</t>
        </is>
      </c>
      <c r="AT43" s="24" t="inlineStr">
        <is>
          <t>One More Esports</t>
        </is>
      </c>
      <c r="AU43" s="24" t="inlineStr">
        <is>
          <t>One More Esports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4304963c152f1e881f634fa0b66ab59152f3edd6692257c1d27d76a5cb0a3df3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4304963c152f1e881f634fa0b66ab59152f3edd6692257c1d27d76a5cb0a3df3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2026-08-06T00:24:42.381233Z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0.590164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ebabad64b5bd47f4</t>
        </is>
      </c>
      <c r="B44" s="24" t="inlineStr">
        <is>
          <t>2026-08-06T00:24:51.570056Z</t>
        </is>
      </c>
      <c r="C44" s="24" t="inlineStr">
        <is>
          <t>2026-08-06T17:00:00Z</t>
        </is>
      </c>
      <c r="D44" s="24" t="inlineStr">
        <is>
          <t>70860</t>
        </is>
      </c>
      <c r="E44" s="24" t="inlineStr">
        <is>
          <t>LOL</t>
        </is>
      </c>
      <c r="F44" s="24" t="inlineStr">
        <is>
          <t>Skillcamp Esport</t>
        </is>
      </c>
      <c r="G44" s="24" t="inlineStr">
        <is>
          <t>Karmine Corp Blue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-150</v>
      </c>
      <c r="M44" s="27" t="n">
        <v>1.666667</v>
      </c>
      <c r="N44" s="28" t="n">
        <v>0.6</v>
      </c>
      <c r="O44" s="28" t="n">
        <v>0.742815</v>
      </c>
      <c r="P44" s="28" t="n"/>
      <c r="Q44" s="28" t="n">
        <v>0.142815</v>
      </c>
      <c r="R44" s="26" t="n">
        <v>91</v>
      </c>
      <c r="S44" s="29" t="n">
        <v>2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-2</v>
      </c>
      <c r="AD44" s="24" t="inlineStr">
        <is>
          <t>2026-08-06T18:56:27.727773Z</t>
        </is>
      </c>
      <c r="AE44" s="31" t="inlineStr">
        <is>
          <t>Neutral Elo baseline; executable ask 0.6000 (market_slug=aec-lol-kcb-sc-2026-08-06).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Skillcamp Esport</t>
        </is>
      </c>
      <c r="AQ44" s="24" t="inlineStr">
        <is>
          <t>Skillcamp Esport</t>
        </is>
      </c>
      <c r="AR44" s="24" t="inlineStr">
        <is>
          <t>Skillcamp Esport</t>
        </is>
      </c>
      <c r="AS44" s="24" t="inlineStr">
        <is>
          <t>Karmine Corp Blue</t>
        </is>
      </c>
      <c r="AT44" s="24" t="inlineStr">
        <is>
          <t>Karmine Corp Blue</t>
        </is>
      </c>
      <c r="AU44" s="24" t="inlineStr">
        <is>
          <t>Karmine Corp Blue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4304963c152f1e881f634fa0b66ab59152f3edd6692257c1d27d76a5cb0a3df3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4304963c152f1e881f634fa0b66ab59152f3edd6692257c1d27d76a5cb0a3df3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2026-08-06T00:24:43.466107Z</t>
        </is>
      </c>
      <c r="BI44" s="24" t="inlineStr">
        <is>
          <t>["same_event","same_team_same_day","same_league_same_day"]</t>
        </is>
      </c>
      <c r="BJ44" s="25" t="n"/>
      <c r="BK44" s="26" t="n">
        <v>-150</v>
      </c>
      <c r="BL44" s="27" t="n">
        <v>1.666667</v>
      </c>
      <c r="BM44" s="28" t="n">
        <v>0.6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-1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88de860f81a54ba6</t>
        </is>
      </c>
      <c r="B45" s="24" t="inlineStr">
        <is>
          <t>2026-08-06T00:24:51.570056Z</t>
        </is>
      </c>
      <c r="C45" s="24" t="inlineStr">
        <is>
          <t>2026-08-06T17:00:00Z</t>
        </is>
      </c>
      <c r="D45" s="24" t="inlineStr">
        <is>
          <t>70862</t>
        </is>
      </c>
      <c r="E45" s="24" t="inlineStr">
        <is>
          <t>LOL</t>
        </is>
      </c>
      <c r="F45" s="24" t="inlineStr">
        <is>
          <t>EKO Esports</t>
        </is>
      </c>
      <c r="G45" s="24" t="inlineStr">
        <is>
          <t>Colossal Gaming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-194</v>
      </c>
      <c r="M45" s="27" t="n">
        <v>1.515464</v>
      </c>
      <c r="N45" s="28" t="n">
        <v>0.659864</v>
      </c>
      <c r="O45" s="28" t="n">
        <v>0.696928</v>
      </c>
      <c r="P45" s="28" t="n"/>
      <c r="Q45" s="28" t="n">
        <v>0.037064</v>
      </c>
      <c r="R45" s="26" t="n">
        <v>39</v>
      </c>
      <c r="S45" s="29" t="n">
        <v>2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-2</v>
      </c>
      <c r="AD45" s="24" t="inlineStr">
        <is>
          <t>2026-08-06T18:56:30.210457Z</t>
        </is>
      </c>
      <c r="AE45" s="31" t="inlineStr">
        <is>
          <t>Neutral Elo baseline; executable ask 0.6600 (market_slug=aec-lol-cg-eko-2026-08-06).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PAPER_CALL_WINNER_OVERVALUED</t>
        </is>
      </c>
      <c r="AP45" s="24" t="inlineStr">
        <is>
          <t>EKO Esports</t>
        </is>
      </c>
      <c r="AQ45" s="24" t="inlineStr">
        <is>
          <t>EKO Esports</t>
        </is>
      </c>
      <c r="AR45" s="24" t="inlineStr">
        <is>
          <t>EKO Esports</t>
        </is>
      </c>
      <c r="AS45" s="24" t="inlineStr">
        <is>
          <t>Colossal Gaming</t>
        </is>
      </c>
      <c r="AT45" s="24" t="inlineStr">
        <is>
          <t>Colossal Gaming</t>
        </is>
      </c>
      <c r="AU45" s="24" t="inlineStr">
        <is>
          <t>Colossal Gaming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4304963c152f1e881f634fa0b66ab59152f3edd6692257c1d27d76a5cb0a3df3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4304963c152f1e881f634fa0b66ab59152f3edd6692257c1d27d76a5cb0a3df3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2026-08-06T00:24:44.031854Z</t>
        </is>
      </c>
      <c r="BI45" s="24" t="inlineStr">
        <is>
          <t>["same_event","same_team_same_day","same_league_same_day"]</t>
        </is>
      </c>
      <c r="BJ45" s="25" t="n"/>
      <c r="BK45" s="26" t="n">
        <v>-194</v>
      </c>
      <c r="BL45" s="27" t="n">
        <v>1.515464</v>
      </c>
      <c r="BM45" s="28" t="n">
        <v>0.659864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0.659864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8b2688c8a93d4dcc</t>
        </is>
      </c>
      <c r="B46" s="24" t="inlineStr">
        <is>
          <t>2026-08-06T00:24:51.570056Z</t>
        </is>
      </c>
      <c r="C46" s="24" t="inlineStr">
        <is>
          <t>2026-08-06T17:00:00Z</t>
        </is>
      </c>
      <c r="D46" s="24" t="inlineStr">
        <is>
          <t>70863</t>
        </is>
      </c>
      <c r="E46" s="24" t="inlineStr">
        <is>
          <t>LOL</t>
        </is>
      </c>
      <c r="F46" s="24" t="inlineStr">
        <is>
          <t>Senshi Esports</t>
        </is>
      </c>
      <c r="G46" s="24" t="inlineStr">
        <is>
          <t>Myth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0.515418</v>
      </c>
      <c r="P46" s="28" t="n"/>
      <c r="Q46" s="28" t="n">
        <v>-0.003813</v>
      </c>
      <c r="R46" s="26" t="n">
        <v>18</v>
      </c>
      <c r="S46" s="29" t="n">
        <v>1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0.9258999999999999</v>
      </c>
      <c r="AD46" s="24" t="inlineStr">
        <is>
          <t>2026-08-06T18:56:32.689409Z</t>
        </is>
      </c>
      <c r="AE46" s="31" t="inlineStr">
        <is>
          <t>Neutral Elo baseline; executable ask 0.5200 (market_slug=aec-lol-myth-sec-2026-08-06).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PAPER_CALL_WINNER_OVERVALUED</t>
        </is>
      </c>
      <c r="AP46" s="24" t="inlineStr">
        <is>
          <t>Senshi Esports</t>
        </is>
      </c>
      <c r="AQ46" s="24" t="inlineStr">
        <is>
          <t>Senshi Esports</t>
        </is>
      </c>
      <c r="AR46" s="24" t="inlineStr">
        <is>
          <t>Senshi Esports</t>
        </is>
      </c>
      <c r="AS46" s="24" t="inlineStr">
        <is>
          <t>Myth Esports</t>
        </is>
      </c>
      <c r="AT46" s="24" t="inlineStr">
        <is>
          <t>Myth Esports</t>
        </is>
      </c>
      <c r="AU46" s="24" t="inlineStr">
        <is>
          <t>Myth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4304963c152f1e881f634fa0b66ab59152f3edd6692257c1d27d76a5cb0a3df3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4304963c152f1e881f634fa0b66ab59152f3edd6692257c1d27d76a5cb0a3df3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2026-08-06T00:24:44.630123Z</t>
        </is>
      </c>
      <c r="BI46" s="24" t="inlineStr">
        <is>
          <t>["same_event","same_team_same_day","same_league_same_day"]</t>
        </is>
      </c>
      <c r="BJ46" s="25" t="n"/>
      <c r="BK46" s="26" t="n">
        <v>-108</v>
      </c>
      <c r="BL46" s="27" t="n">
        <v>1.925926</v>
      </c>
      <c r="BM46" s="28" t="n">
        <v>0.519231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0.519231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dcfff4acdd9f4be4</t>
        </is>
      </c>
      <c r="B47" s="24" t="inlineStr">
        <is>
          <t>2026-08-06T00:24:51.570056Z</t>
        </is>
      </c>
      <c r="C47" s="24" t="inlineStr">
        <is>
          <t>2026-08-06T18:00:00Z</t>
        </is>
      </c>
      <c r="D47" s="24" t="inlineStr">
        <is>
          <t>70899</t>
        </is>
      </c>
      <c r="E47" s="24" t="inlineStr">
        <is>
          <t>LOL</t>
        </is>
      </c>
      <c r="F47" s="24" t="inlineStr">
        <is>
          <t>Joblife</t>
        </is>
      </c>
      <c r="G47" s="24" t="inlineStr">
        <is>
          <t>TLN Pirates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0.620982</v>
      </c>
      <c r="P47" s="28" t="n"/>
      <c r="Q47" s="28" t="n">
        <v>0.050167</v>
      </c>
      <c r="R47" s="26" t="n">
        <v>45</v>
      </c>
      <c r="S47" s="29" t="n">
        <v>1.5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1.1278</v>
      </c>
      <c r="AD47" s="24" t="inlineStr">
        <is>
          <t>2026-08-06T18:56:35.224039Z</t>
        </is>
      </c>
      <c r="AE47" s="31" t="inlineStr">
        <is>
          <t>Neutral Elo baseline; executable ask 0.5700 (market_slug=aec-lol-tlnp-jl-2026-08-06).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PAPER_CALL_WINNER_OVERVALUED</t>
        </is>
      </c>
      <c r="AP47" s="24" t="inlineStr">
        <is>
          <t>Joblife</t>
        </is>
      </c>
      <c r="AQ47" s="24" t="inlineStr">
        <is>
          <t>Joblife</t>
        </is>
      </c>
      <c r="AR47" s="24" t="inlineStr">
        <is>
          <t>Joblife</t>
        </is>
      </c>
      <c r="AS47" s="24" t="inlineStr">
        <is>
          <t>TLN Pirates</t>
        </is>
      </c>
      <c r="AT47" s="24" t="inlineStr">
        <is>
          <t>TLN Pirates</t>
        </is>
      </c>
      <c r="AU47" s="24" t="inlineStr">
        <is>
          <t>TLN Pirates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4304963c152f1e881f634fa0b66ab59152f3edd6692257c1d27d76a5cb0a3df3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4304963c152f1e881f634fa0b66ab59152f3edd6692257c1d27d76a5cb0a3df3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2026-08-06T00:24:46.117972Z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>
        <v>1</v>
      </c>
      <c r="BY47" s="27" t="n">
        <v>0.91</v>
      </c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0.570815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c19c823351654694</t>
        </is>
      </c>
      <c r="B48" s="24" t="inlineStr">
        <is>
          <t>2026-08-06T00:24:51.570056Z</t>
        </is>
      </c>
      <c r="C48" s="24" t="inlineStr">
        <is>
          <t>2026-08-06T18:00:00Z</t>
        </is>
      </c>
      <c r="D48" s="24" t="inlineStr">
        <is>
          <t>70900</t>
        </is>
      </c>
      <c r="E48" s="24" t="inlineStr">
        <is>
          <t>LOL</t>
        </is>
      </c>
      <c r="F48" s="24" t="inlineStr">
        <is>
          <t>EXSAD Gaming</t>
        </is>
      </c>
      <c r="G48" s="24" t="inlineStr">
        <is>
          <t>ZeroZone Gaming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-127</v>
      </c>
      <c r="M48" s="27" t="n">
        <v>1.787402</v>
      </c>
      <c r="N48" s="28" t="n">
        <v>0.5594710000000001</v>
      </c>
      <c r="O48" s="28" t="n">
        <v>0.584918</v>
      </c>
      <c r="P48" s="28" t="n"/>
      <c r="Q48" s="28" t="n">
        <v>0.025447</v>
      </c>
      <c r="R48" s="26" t="n">
        <v>33</v>
      </c>
      <c r="S48" s="29" t="n">
        <v>1.25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-1.25</v>
      </c>
      <c r="AD48" s="24" t="inlineStr">
        <is>
          <t>2026-08-07T06:01:32.072120Z</t>
        </is>
      </c>
      <c r="AE48" s="31" t="inlineStr">
        <is>
          <t>Neutral Elo baseline; executable ask 0.5600 (market_slug=aec-lol-zzg-exg-2026-08-06).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PAPER_CALL_WINNER_OVERVALUED</t>
        </is>
      </c>
      <c r="AP48" s="24" t="inlineStr">
        <is>
          <t>EXSAD Gaming</t>
        </is>
      </c>
      <c r="AQ48" s="24" t="inlineStr">
        <is>
          <t>EXSAD Gaming</t>
        </is>
      </c>
      <c r="AR48" s="24" t="inlineStr">
        <is>
          <t>EXSAD Gaming</t>
        </is>
      </c>
      <c r="AS48" s="24" t="inlineStr">
        <is>
          <t>ZeroZone Gaming</t>
        </is>
      </c>
      <c r="AT48" s="24" t="inlineStr">
        <is>
          <t>ZeroZone Gaming</t>
        </is>
      </c>
      <c r="AU48" s="24" t="inlineStr">
        <is>
          <t>ZeroZone Gaming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4304963c152f1e881f634fa0b66ab59152f3edd6692257c1d27d76a5cb0a3df3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4304963c152f1e881f634fa0b66ab59152f3edd6692257c1d27d76a5cb0a3df3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2026-08-06T00:24:46.574518Z</t>
        </is>
      </c>
      <c r="BI48" s="24" t="inlineStr">
        <is>
          <t>["same_event","same_team_same_day","same_league_same_day"]</t>
        </is>
      </c>
      <c r="BJ48" s="25" t="n"/>
      <c r="BK48" s="26" t="n">
        <v>-127</v>
      </c>
      <c r="BL48" s="27" t="n">
        <v>1.787402</v>
      </c>
      <c r="BM48" s="28" t="n">
        <v>0.5594710000000001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0.559471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7762cfab6f664222</t>
        </is>
      </c>
      <c r="B49" s="24" t="inlineStr">
        <is>
          <t>2026-08-06T00:24:51.570056Z</t>
        </is>
      </c>
      <c r="C49" s="24" t="inlineStr">
        <is>
          <t>2026-08-06T18:00:00Z</t>
        </is>
      </c>
      <c r="D49" s="24" t="inlineStr">
        <is>
          <t>70902</t>
        </is>
      </c>
      <c r="E49" s="24" t="inlineStr">
        <is>
          <t>LOL</t>
        </is>
      </c>
      <c r="F49" s="24" t="inlineStr">
        <is>
          <t xml:space="preserve">Croatian Flair x RLX </t>
        </is>
      </c>
      <c r="G49" s="24" t="inlineStr">
        <is>
          <t>SPIKE Syndicate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0.526701</v>
      </c>
      <c r="P49" s="28" t="n"/>
      <c r="Q49" s="28" t="n">
        <v>-0.01247</v>
      </c>
      <c r="R49" s="26" t="n">
        <v>14</v>
      </c>
      <c r="S49" s="29" t="n">
        <v>1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2026-08-07T06:01:34.117276Z</t>
        </is>
      </c>
      <c r="AE49" s="31" t="inlineStr">
        <is>
          <t>Neutral Elo baseline; executable ask 0.5400 (market_slug=aec-lol-spk-cfxr-2026-08-06).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PAPER_CALL_WINNER_OVERVALUED</t>
        </is>
      </c>
      <c r="AP49" s="24" t="inlineStr">
        <is>
          <t xml:space="preserve">Croatian Flair x RLX </t>
        </is>
      </c>
      <c r="AQ49" s="24" t="inlineStr">
        <is>
          <t xml:space="preserve">Croatian Flair x RLX </t>
        </is>
      </c>
      <c r="AR49" s="24" t="inlineStr">
        <is>
          <t xml:space="preserve">Croatian Flair x RLX </t>
        </is>
      </c>
      <c r="AS49" s="24" t="inlineStr">
        <is>
          <t>SPIKE Syndicate</t>
        </is>
      </c>
      <c r="AT49" s="24" t="inlineStr">
        <is>
          <t>SPIKE Syndicate</t>
        </is>
      </c>
      <c r="AU49" s="24" t="inlineStr">
        <is>
          <t>SPIKE Syndicate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4304963c152f1e881f634fa0b66ab59152f3edd6692257c1d27d76a5cb0a3df3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4304963c152f1e881f634fa0b66ab59152f3edd6692257c1d27d76a5cb0a3df3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2026-08-06T00:24:47.035129Z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13eb8c51dc9647ac</t>
        </is>
      </c>
      <c r="B50" s="24" t="inlineStr">
        <is>
          <t>2026-08-06T00:24:51.570056Z</t>
        </is>
      </c>
      <c r="C50" s="24" t="inlineStr">
        <is>
          <t>2026-08-06T18:00:00Z</t>
        </is>
      </c>
      <c r="D50" s="24" t="inlineStr">
        <is>
          <t>70903</t>
        </is>
      </c>
      <c r="E50" s="24" t="inlineStr">
        <is>
          <t>LOL</t>
        </is>
      </c>
      <c r="F50" s="24" t="inlineStr">
        <is>
          <t>Zena Esports</t>
        </is>
      </c>
      <c r="G50" s="24" t="inlineStr">
        <is>
          <t>GMBLERS ESPORTS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113</v>
      </c>
      <c r="M50" s="27" t="n">
        <v>2.13</v>
      </c>
      <c r="N50" s="28" t="n">
        <v>0.469484</v>
      </c>
      <c r="O50" s="28" t="n">
        <v>0.630956</v>
      </c>
      <c r="P50" s="28" t="n"/>
      <c r="Q50" s="28" t="n">
        <v>0.161472</v>
      </c>
      <c r="R50" s="26" t="n">
        <v>100</v>
      </c>
      <c r="S50" s="29" t="n">
        <v>1.5</v>
      </c>
      <c r="T50" s="24" t="inlineStr">
        <is>
          <t>lol-tiered-elo-v6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1.695</v>
      </c>
      <c r="AD50" s="24" t="inlineStr">
        <is>
          <t>2026-08-06T18:56:40.419369Z</t>
        </is>
      </c>
      <c r="AE50" s="31" t="inlineStr">
        <is>
          <t>Neutral Elo baseline; executable ask 0.4700 (market_slug=aec-lol-gmb-zena-2026-08-06).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Zena Esports</t>
        </is>
      </c>
      <c r="AQ50" s="24" t="inlineStr">
        <is>
          <t>Zena Esports</t>
        </is>
      </c>
      <c r="AR50" s="24" t="inlineStr">
        <is>
          <t>Zena Esports</t>
        </is>
      </c>
      <c r="AS50" s="24" t="inlineStr">
        <is>
          <t>GMBLERS ESPORTS</t>
        </is>
      </c>
      <c r="AT50" s="24" t="inlineStr">
        <is>
          <t>GMBLERS ESPORTS</t>
        </is>
      </c>
      <c r="AU50" s="24" t="inlineStr">
        <is>
          <t>GMBLERS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4304963c152f1e881f634fa0b66ab59152f3edd6692257c1d27d76a5cb0a3df3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4304963c152f1e881f634fa0b66ab59152f3edd6692257c1d27d76a5cb0a3df3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2026-08-06T00:24:47.491847Z</t>
        </is>
      </c>
      <c r="BI50" s="24" t="inlineStr">
        <is>
          <t>["same_event","same_team_same_day","same_league_same_day"]</t>
        </is>
      </c>
      <c r="BJ50" s="25" t="n"/>
      <c r="BK50" s="26" t="n">
        <v>113</v>
      </c>
      <c r="BL50" s="27" t="n">
        <v>2.13</v>
      </c>
      <c r="BM50" s="28" t="n">
        <v>0.469484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0.91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0.469484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45958a0ec00d4c43</t>
        </is>
      </c>
      <c r="B51" s="24" t="inlineStr">
        <is>
          <t>2026-08-06T00:24:51.570056Z</t>
        </is>
      </c>
      <c r="C51" s="24" t="inlineStr">
        <is>
          <t>2026-08-06T18:30:00Z</t>
        </is>
      </c>
      <c r="D51" s="24" t="inlineStr">
        <is>
          <t>70944</t>
        </is>
      </c>
      <c r="E51" s="24" t="inlineStr">
        <is>
          <t>LOL</t>
        </is>
      </c>
      <c r="F51" s="24" t="inlineStr">
        <is>
          <t>GnG Amazigh</t>
        </is>
      </c>
      <c r="G51" s="24" t="inlineStr">
        <is>
          <t>3BL Esports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-104</v>
      </c>
      <c r="M51" s="27" t="n">
        <v>1.961538</v>
      </c>
      <c r="N51" s="28" t="n">
        <v>0.509804</v>
      </c>
      <c r="O51" s="28" t="n">
        <v>0.503252</v>
      </c>
      <c r="P51" s="28" t="n"/>
      <c r="Q51" s="28" t="n">
        <v>-0.006552</v>
      </c>
      <c r="R51" s="26" t="n">
        <v>17</v>
      </c>
      <c r="S51" s="29" t="n">
        <v>1</v>
      </c>
      <c r="T51" s="24" t="inlineStr">
        <is>
          <t>lol-tiered-elo-v6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2026-08-07T06:01:36.066905Z</t>
        </is>
      </c>
      <c r="AE51" s="31" t="inlineStr">
        <is>
          <t>Neutral Elo baseline; executable ask 0.5100 (market_slug=aec-lol-3bl-gng-2026-08-06).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PAPER_CALL_WINNER_OVERVALUED</t>
        </is>
      </c>
      <c r="AP51" s="24" t="inlineStr">
        <is>
          <t>GnG Amazigh</t>
        </is>
      </c>
      <c r="AQ51" s="24" t="inlineStr">
        <is>
          <t>GnG Amazigh</t>
        </is>
      </c>
      <c r="AR51" s="24" t="inlineStr">
        <is>
          <t>GnG Amazigh</t>
        </is>
      </c>
      <c r="AS51" s="24" t="inlineStr">
        <is>
          <t>3BL Esports</t>
        </is>
      </c>
      <c r="AT51" s="24" t="inlineStr">
        <is>
          <t>3BL Esports</t>
        </is>
      </c>
      <c r="AU51" s="24" t="inlineStr">
        <is>
          <t>3BL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4304963c152f1e881f634fa0b66ab59152f3edd6692257c1d27d76a5cb0a3df3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4304963c152f1e881f634fa0b66ab59152f3edd6692257c1d27d76a5cb0a3df3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2026-08-06T00:24:48.482758Z</t>
        </is>
      </c>
      <c r="BI51" s="24" t="inlineStr">
        <is>
          <t>["same_event","same_team_same_day","same_league_same_day"]</t>
        </is>
      </c>
      <c r="BJ51" s="25" t="n"/>
      <c r="BK51" s="26" t="n">
        <v>-104</v>
      </c>
      <c r="BL51" s="27" t="n">
        <v>1.961538</v>
      </c>
      <c r="BM51" s="28" t="n">
        <v>0.509804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0.509804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a61f5714f228441f</t>
        </is>
      </c>
      <c r="B52" s="24" t="inlineStr">
        <is>
          <t>2026-08-06T19:00:25.399605Z</t>
        </is>
      </c>
      <c r="C52" s="24" t="inlineStr">
        <is>
          <t>2026-08-06T20:00:00Z</t>
        </is>
      </c>
      <c r="D52" s="24" t="inlineStr">
        <is>
          <t>71214</t>
        </is>
      </c>
      <c r="E52" s="24" t="inlineStr">
        <is>
          <t>LOL</t>
        </is>
      </c>
      <c r="F52" s="24" t="inlineStr">
        <is>
          <t>Vitality.Bee</t>
        </is>
      </c>
      <c r="G52" s="24" t="inlineStr">
        <is>
          <t>ZYB Esport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-163</v>
      </c>
      <c r="M52" s="27" t="n">
        <v>1.613497</v>
      </c>
      <c r="N52" s="28" t="n">
        <v>0.619772</v>
      </c>
      <c r="O52" s="28" t="n">
        <v>0.679525</v>
      </c>
      <c r="P52" s="28" t="n"/>
      <c r="Q52" s="28" t="n">
        <v>0.059753</v>
      </c>
      <c r="R52" s="26" t="n">
        <v>50</v>
      </c>
      <c r="S52" s="29" t="n">
        <v>1.75</v>
      </c>
      <c r="T52" s="24" t="inlineStr">
        <is>
          <t>lol-tiered-elo-v6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-163</v>
      </c>
      <c r="AA52" s="28" t="n">
        <v>0.62</v>
      </c>
      <c r="AB52" s="28" t="n">
        <v>0.000228</v>
      </c>
      <c r="AC52" s="30" t="n">
        <v>1.0736</v>
      </c>
      <c r="AD52" s="24" t="inlineStr">
        <is>
          <t>2026-08-07T06:01:38.017573Z</t>
        </is>
      </c>
      <c r="AE52" s="31" t="inlineStr">
        <is>
          <t>Neutral Elo baseline; executable ask 0.6200 (market_slug=aec-lol-zyb-vitb-2026-08-06).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PAPER_CALL_WINNER_OVERVALUED</t>
        </is>
      </c>
      <c r="AP52" s="24" t="inlineStr">
        <is>
          <t>Vitality.Bee</t>
        </is>
      </c>
      <c r="AQ52" s="24" t="inlineStr">
        <is>
          <t>Vitality.Bee</t>
        </is>
      </c>
      <c r="AR52" s="24" t="inlineStr">
        <is>
          <t>Vitality.Bee</t>
        </is>
      </c>
      <c r="AS52" s="24" t="inlineStr">
        <is>
          <t>ZYB Esport</t>
        </is>
      </c>
      <c r="AT52" s="24" t="inlineStr">
        <is>
          <t>ZYB Esport</t>
        </is>
      </c>
      <c r="AU52" s="24" t="inlineStr">
        <is>
          <t>ZYB Esport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5e9799a515295e9b079eacaa53a2e35352183239a18c1b173f4a540a52770140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5e9799a515295e9b079eacaa53a2e35352183239a18c1b173f4a540a52770140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2026-08-06T19:00:13.353895Z</t>
        </is>
      </c>
      <c r="BI52" s="24" t="inlineStr">
        <is>
          <t>["same_event","same_team_same_day","same_league_same_day"]</t>
        </is>
      </c>
      <c r="BJ52" s="25" t="n"/>
      <c r="BK52" s="26" t="n">
        <v>-163</v>
      </c>
      <c r="BL52" s="27" t="n">
        <v>1.613497</v>
      </c>
      <c r="BM52" s="28" t="n">
        <v>0.619772</v>
      </c>
      <c r="BN52" s="28" t="n"/>
      <c r="BO52" s="28" t="n"/>
      <c r="BP52" s="25" t="n"/>
      <c r="BQ52" s="27" t="n">
        <v>1.613497</v>
      </c>
      <c r="BR52" s="28" t="n">
        <v>0.62</v>
      </c>
      <c r="BS52" s="28" t="n"/>
      <c r="BT52" s="28" t="n"/>
      <c r="BU52" s="25" t="n"/>
      <c r="BV52" s="29" t="n"/>
      <c r="BW52" s="24" t="n"/>
      <c r="BX52" s="30" t="n">
        <v>1</v>
      </c>
      <c r="BY52" s="27" t="n">
        <v>0.91</v>
      </c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0.619772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0ccd89fcee2349fe</t>
        </is>
      </c>
      <c r="B53" s="24" t="inlineStr">
        <is>
          <t>2026-08-06T19:00:25.399605Z</t>
        </is>
      </c>
      <c r="C53" s="24" t="inlineStr">
        <is>
          <t>2026-08-06T21:00:00Z</t>
        </is>
      </c>
      <c r="D53" s="24" t="inlineStr">
        <is>
          <t>71313</t>
        </is>
      </c>
      <c r="E53" s="24" t="inlineStr">
        <is>
          <t>LOL</t>
        </is>
      </c>
      <c r="F53" s="24" t="inlineStr">
        <is>
          <t>Panelão LHC</t>
        </is>
      </c>
      <c r="G53" s="24" t="inlineStr">
        <is>
          <t>Tung Tung Bogi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-133</v>
      </c>
      <c r="M53" s="27" t="n">
        <v>1.75188</v>
      </c>
      <c r="N53" s="28" t="n">
        <v>0.570815</v>
      </c>
      <c r="O53" s="28" t="n">
        <v>0.502926</v>
      </c>
      <c r="P53" s="28" t="n"/>
      <c r="Q53" s="28" t="n">
        <v>-0.067889</v>
      </c>
      <c r="R53" s="26" t="n">
        <v>0</v>
      </c>
      <c r="S53" s="29" t="n">
        <v>1</v>
      </c>
      <c r="T53" s="24" t="inlineStr">
        <is>
          <t>lol-tiered-elo-v6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-133</v>
      </c>
      <c r="AA53" s="28" t="n">
        <v>0.57</v>
      </c>
      <c r="AB53" s="28" t="n">
        <v>-0.000815</v>
      </c>
      <c r="AC53" s="30" t="n">
        <v>0.7519</v>
      </c>
      <c r="AD53" s="24" t="inlineStr">
        <is>
          <t>2026-08-07T06:01:39.953165Z</t>
        </is>
      </c>
      <c r="AE53" s="31" t="inlineStr">
        <is>
          <t>Neutral Elo baseline; executable ask 0.5700 (market_slug=aec-lol-tung-pane-2026-08-06).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PAPER_CALL_WINNER_OVERVALUED</t>
        </is>
      </c>
      <c r="AP53" s="24" t="inlineStr">
        <is>
          <t>Panelão LHC</t>
        </is>
      </c>
      <c r="AQ53" s="24" t="inlineStr">
        <is>
          <t>Panelão LHC</t>
        </is>
      </c>
      <c r="AR53" s="24" t="inlineStr">
        <is>
          <t>Panelão LHC</t>
        </is>
      </c>
      <c r="AS53" s="24" t="inlineStr">
        <is>
          <t>Tung Tung Bogi</t>
        </is>
      </c>
      <c r="AT53" s="24" t="inlineStr">
        <is>
          <t>Tung Tung Bogi</t>
        </is>
      </c>
      <c r="AU53" s="24" t="inlineStr">
        <is>
          <t>Tung Tung Bogi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5e9799a515295e9b079eacaa53a2e35352183239a18c1b173f4a540a52770140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5e9799a515295e9b079eacaa53a2e35352183239a18c1b173f4a540a52770140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2026-08-06T19:00:13.983504Z</t>
        </is>
      </c>
      <c r="BI53" s="24" t="inlineStr">
        <is>
          <t>["same_event","same_team_same_day","same_league_same_day"]</t>
        </is>
      </c>
      <c r="BJ53" s="25" t="n"/>
      <c r="BK53" s="26" t="n">
        <v>-133</v>
      </c>
      <c r="BL53" s="27" t="n">
        <v>1.75188</v>
      </c>
      <c r="BM53" s="28" t="n">
        <v>0.570815</v>
      </c>
      <c r="BN53" s="28" t="n"/>
      <c r="BO53" s="28" t="n"/>
      <c r="BP53" s="25" t="n"/>
      <c r="BQ53" s="27" t="n">
        <v>1.75188</v>
      </c>
      <c r="BR53" s="28" t="n">
        <v>0.57</v>
      </c>
      <c r="BS53" s="28" t="n"/>
      <c r="BT53" s="28" t="n"/>
      <c r="BU53" s="25" t="n"/>
      <c r="BV53" s="29" t="n"/>
      <c r="BW53" s="24" t="n"/>
      <c r="BX53" s="30" t="n">
        <v>1</v>
      </c>
      <c r="BY53" s="27" t="n">
        <v>0.91</v>
      </c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0.570815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0231b19970844149</t>
        </is>
      </c>
      <c r="B54" s="24" t="inlineStr">
        <is>
          <t>2026-08-06T19:00:25.399605Z</t>
        </is>
      </c>
      <c r="C54" s="24" t="inlineStr">
        <is>
          <t>2026-08-06T21:00:00Z</t>
        </is>
      </c>
      <c r="D54" s="24" t="inlineStr">
        <is>
          <t>71314</t>
        </is>
      </c>
      <c r="E54" s="24" t="inlineStr">
        <is>
          <t>LOL</t>
        </is>
      </c>
      <c r="F54" s="24" t="inlineStr">
        <is>
          <t>CCG Esports</t>
        </is>
      </c>
      <c r="G54" s="24" t="inlineStr">
        <is>
          <t>Maryville University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-144</v>
      </c>
      <c r="M54" s="27" t="n">
        <v>1.694444</v>
      </c>
      <c r="N54" s="28" t="n">
        <v>0.590164</v>
      </c>
      <c r="O54" s="28" t="n">
        <v>0.557526</v>
      </c>
      <c r="P54" s="28" t="n"/>
      <c r="Q54" s="28" t="n">
        <v>-0.032638</v>
      </c>
      <c r="R54" s="26" t="n">
        <v>4</v>
      </c>
      <c r="S54" s="29" t="n">
        <v>1</v>
      </c>
      <c r="T54" s="24" t="inlineStr">
        <is>
          <t>lol-tiered-elo-v6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-144</v>
      </c>
      <c r="AA54" s="28" t="n">
        <v>0.59</v>
      </c>
      <c r="AB54" s="28" t="n">
        <v>-0.000164</v>
      </c>
      <c r="AC54" s="30" t="n">
        <v>0.6944</v>
      </c>
      <c r="AD54" s="24" t="inlineStr">
        <is>
          <t>2026-08-07T06:01:42.011440Z</t>
        </is>
      </c>
      <c r="AE54" s="31" t="inlineStr">
        <is>
          <t>Neutral Elo baseline; executable ask 0.5900 (market_slug=aec-lol-mvu-ccg-2026-08-06).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PAPER_CALL_WINNER_OVERVALUED</t>
        </is>
      </c>
      <c r="AP54" s="24" t="inlineStr">
        <is>
          <t>CCG Esports</t>
        </is>
      </c>
      <c r="AQ54" s="24" t="inlineStr">
        <is>
          <t>CCG Esports</t>
        </is>
      </c>
      <c r="AR54" s="24" t="inlineStr">
        <is>
          <t>CCG Esports</t>
        </is>
      </c>
      <c r="AS54" s="24" t="inlineStr">
        <is>
          <t>Maryville University</t>
        </is>
      </c>
      <c r="AT54" s="24" t="inlineStr">
        <is>
          <t>Maryville University</t>
        </is>
      </c>
      <c r="AU54" s="24" t="inlineStr">
        <is>
          <t>Maryville University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5e9799a515295e9b079eacaa53a2e35352183239a18c1b173f4a540a52770140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5e9799a515295e9b079eacaa53a2e35352183239a18c1b173f4a540a52770140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2026-08-06T19:00:14.541758Z</t>
        </is>
      </c>
      <c r="BI54" s="24" t="inlineStr">
        <is>
          <t>["same_event","same_team_same_day","same_league_same_day"]</t>
        </is>
      </c>
      <c r="BJ54" s="25" t="n"/>
      <c r="BK54" s="26" t="n">
        <v>-144</v>
      </c>
      <c r="BL54" s="27" t="n">
        <v>1.694444</v>
      </c>
      <c r="BM54" s="28" t="n">
        <v>0.590164</v>
      </c>
      <c r="BN54" s="28" t="n"/>
      <c r="BO54" s="28" t="n"/>
      <c r="BP54" s="25" t="n"/>
      <c r="BQ54" s="27" t="n">
        <v>1.694444</v>
      </c>
      <c r="BR54" s="28" t="n">
        <v>0.59</v>
      </c>
      <c r="BS54" s="28" t="n"/>
      <c r="BT54" s="28" t="n"/>
      <c r="BU54" s="25" t="n"/>
      <c r="BV54" s="29" t="n"/>
      <c r="BW54" s="24" t="n"/>
      <c r="BX54" s="30" t="n">
        <v>1</v>
      </c>
      <c r="BY54" s="27" t="n">
        <v>0.91</v>
      </c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0.590164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8364391a5d6747ed</t>
        </is>
      </c>
      <c r="B55" s="24" t="inlineStr">
        <is>
          <t>2026-08-06T19:00:25.399605Z</t>
        </is>
      </c>
      <c r="C55" s="24" t="inlineStr">
        <is>
          <t>2026-08-07T00:00:00Z</t>
        </is>
      </c>
      <c r="D55" s="24" t="inlineStr">
        <is>
          <t>71538</t>
        </is>
      </c>
      <c r="E55" s="24" t="inlineStr">
        <is>
          <t>LOL</t>
        </is>
      </c>
      <c r="F55" s="24" t="inlineStr">
        <is>
          <t>Contingent Esports</t>
        </is>
      </c>
      <c r="G55" s="24" t="inlineStr">
        <is>
          <t>Conviction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0.513518</v>
      </c>
      <c r="P55" s="28" t="n"/>
      <c r="Q55" s="28" t="n">
        <v>-0.186182</v>
      </c>
      <c r="R55" s="26" t="n">
        <v>0</v>
      </c>
      <c r="S55" s="29" t="n">
        <v>1</v>
      </c>
      <c r="T55" s="24" t="inlineStr">
        <is>
          <t>lol-tiered-elo-v6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0.4292</v>
      </c>
      <c r="AD55" s="24" t="inlineStr">
        <is>
          <t>2026-08-07T06:01:43.858141Z</t>
        </is>
      </c>
      <c r="AE55" s="31" t="inlineStr">
        <is>
          <t>Neutral Elo baseline; executable ask 0.7000 (market_slug=aec-lol-cnv-cont-2026-08-07).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PAPER_CALL_WINNER_OVERVALUED</t>
        </is>
      </c>
      <c r="AP55" s="24" t="inlineStr">
        <is>
          <t>Contingent Esports</t>
        </is>
      </c>
      <c r="AQ55" s="24" t="inlineStr">
        <is>
          <t>Contingent Esports</t>
        </is>
      </c>
      <c r="AR55" s="24" t="inlineStr">
        <is>
          <t>Contingent Esports</t>
        </is>
      </c>
      <c r="AS55" s="24" t="inlineStr">
        <is>
          <t>Conviction</t>
        </is>
      </c>
      <c r="AT55" s="24" t="inlineStr">
        <is>
          <t>Conviction</t>
        </is>
      </c>
      <c r="AU55" s="24" t="inlineStr">
        <is>
          <t>Conviction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5e9799a515295e9b079eacaa53a2e35352183239a18c1b173f4a540a52770140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5e9799a515295e9b079eacaa53a2e35352183239a18c1b173f4a540a52770140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2026-08-06T19:00:15.092901Z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>
        <v>1</v>
      </c>
      <c r="BY55" s="27" t="n">
        <v>0.91</v>
      </c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c946a1750ee443c4</t>
        </is>
      </c>
      <c r="B56" s="24" t="inlineStr">
        <is>
          <t>2026-08-06T19:00:25.399605Z</t>
        </is>
      </c>
      <c r="C56" s="24" t="inlineStr">
        <is>
          <t>2026-08-07T05:00:00Z</t>
        </is>
      </c>
      <c r="D56" s="24" t="inlineStr">
        <is>
          <t>71661</t>
        </is>
      </c>
      <c r="E56" s="24" t="inlineStr">
        <is>
          <t>LOL</t>
        </is>
      </c>
      <c r="F56" s="24" t="inlineStr">
        <is>
          <t>KT Rolster Challengers</t>
        </is>
      </c>
      <c r="G56" s="24" t="inlineStr">
        <is>
          <t>Nongshim Esports Academy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117</v>
      </c>
      <c r="M56" s="27" t="n">
        <v>2.17</v>
      </c>
      <c r="N56" s="28" t="n">
        <v>0.460829</v>
      </c>
      <c r="O56" s="28" t="n">
        <v>0.502757</v>
      </c>
      <c r="P56" s="28" t="n"/>
      <c r="Q56" s="28" t="n">
        <v>0.041928</v>
      </c>
      <c r="R56" s="26" t="n">
        <v>41</v>
      </c>
      <c r="S56" s="29" t="n">
        <v>1</v>
      </c>
      <c r="T56" s="24" t="inlineStr">
        <is>
          <t>lol-tiered-elo-v6</t>
        </is>
      </c>
      <c r="U56" s="24" t="inlineStr">
        <is>
          <t>settled</t>
        </is>
      </c>
      <c r="V56" s="24" t="inlineStr">
        <is>
          <t>loss</t>
        </is>
      </c>
      <c r="W56" s="26" t="n">
        <v>0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2026-08-07T09:07:51.795962Z</t>
        </is>
      </c>
      <c r="AE56" s="31" t="inlineStr">
        <is>
          <t>Neutral Elo baseline; executable ask 0.4600 (market_slug=aec-lol-nsea-ktc-2026-08-07).</t>
        </is>
      </c>
      <c r="AF56" s="31" t="inlineStr">
        <is>
          <t>Config-promoted esports baseline; gates enforced at log time.</t>
        </is>
      </c>
      <c r="AG56" s="24" t="inlineStr">
        <is>
          <t>review_required</t>
        </is>
      </c>
      <c r="AH56" s="24" t="n"/>
      <c r="AI56" s="31" t="n"/>
      <c r="AJ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PAPER_CALL_WINNER_OVERVALUED</t>
        </is>
      </c>
      <c r="AP56" s="24" t="inlineStr">
        <is>
          <t>KT Rolster Challengers</t>
        </is>
      </c>
      <c r="AQ56" s="24" t="inlineStr">
        <is>
          <t>KT Rolster Challengers</t>
        </is>
      </c>
      <c r="AR56" s="24" t="inlineStr">
        <is>
          <t>KT Rolster Challengers</t>
        </is>
      </c>
      <c r="AS56" s="24" t="inlineStr">
        <is>
          <t>Nongshim Esports Academy</t>
        </is>
      </c>
      <c r="AT56" s="24" t="inlineStr">
        <is>
          <t>Nongshim Esports Academy</t>
        </is>
      </c>
      <c r="AU56" s="24" t="inlineStr">
        <is>
          <t>Nongshim Esports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5e9799a515295e9b079eacaa53a2e35352183239a18c1b173f4a540a52770140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5e9799a515295e9b079eacaa53a2e35352183239a18c1b173f4a540a52770140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2026-08-06T19:00:16.295547Z</t>
        </is>
      </c>
      <c r="BI56" s="24" t="inlineStr">
        <is>
          <t>["same_event","same_team_same_day","same_league_same_day"]</t>
        </is>
      </c>
      <c r="BJ56" s="25" t="n"/>
      <c r="BK56" s="26" t="n">
        <v>117</v>
      </c>
      <c r="BL56" s="27" t="n">
        <v>2.17</v>
      </c>
      <c r="BM56" s="28" t="n">
        <v>0.460829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-1</v>
      </c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0.460829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a9bfe0a588404ce7</t>
        </is>
      </c>
      <c r="B57" s="24" t="inlineStr">
        <is>
          <t>2026-08-06T19:00:25.399605Z</t>
        </is>
      </c>
      <c r="C57" s="24" t="inlineStr">
        <is>
          <t>2026-08-08T00:00:00Z</t>
        </is>
      </c>
      <c r="D57" s="24" t="inlineStr">
        <is>
          <t>72608</t>
        </is>
      </c>
      <c r="E57" s="24" t="inlineStr">
        <is>
          <t>LOL</t>
        </is>
      </c>
      <c r="F57" s="24" t="inlineStr">
        <is>
          <t>Contingent Esports</t>
        </is>
      </c>
      <c r="G57" s="24" t="inlineStr">
        <is>
          <t>Maryville University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-156</v>
      </c>
      <c r="M57" s="27" t="n">
        <v>1.641026</v>
      </c>
      <c r="N57" s="28" t="n">
        <v>0.609375</v>
      </c>
      <c r="O57" s="28" t="n">
        <v>0.500736</v>
      </c>
      <c r="P57" s="28" t="n"/>
      <c r="Q57" s="28" t="n">
        <v>-0.108639</v>
      </c>
      <c r="R57" s="26" t="n">
        <v>0</v>
      </c>
      <c r="S57" s="29" t="n">
        <v>1</v>
      </c>
      <c r="T57" s="24" t="inlineStr">
        <is>
          <t>lol-tiered-elo-v6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-257</v>
      </c>
      <c r="AA57" s="28" t="n">
        <v>0.72</v>
      </c>
      <c r="AB57" s="28" t="n">
        <v>0.110625</v>
      </c>
      <c r="AC57" s="30" t="n">
        <v>0.641</v>
      </c>
      <c r="AD57" s="24" t="inlineStr">
        <is>
          <t>2026-08-08T01:00:15.844608Z</t>
        </is>
      </c>
      <c r="AE57" s="31" t="inlineStr">
        <is>
          <t>Neutral Elo baseline; executable ask 0.6100 (market_slug=aec-lol-mvu-cont-2026-08-08).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PAPER_CALL_WINNER_OVERVALUED</t>
        </is>
      </c>
      <c r="AP57" s="24" t="inlineStr">
        <is>
          <t>Contingent Esports</t>
        </is>
      </c>
      <c r="AQ57" s="24" t="inlineStr">
        <is>
          <t>Contingent Esports</t>
        </is>
      </c>
      <c r="AR57" s="24" t="inlineStr">
        <is>
          <t>Contingent Esports</t>
        </is>
      </c>
      <c r="AS57" s="24" t="inlineStr">
        <is>
          <t>Maryville University</t>
        </is>
      </c>
      <c r="AT57" s="24" t="inlineStr">
        <is>
          <t>Maryville University</t>
        </is>
      </c>
      <c r="AU57" s="24" t="inlineStr">
        <is>
          <t>Maryville University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5e9799a515295e9b079eacaa53a2e35352183239a18c1b173f4a540a52770140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5e9799a515295e9b079eacaa53a2e35352183239a18c1b173f4a540a52770140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2026-08-06T19:00:25.397889Z</t>
        </is>
      </c>
      <c r="BI57" s="24" t="inlineStr">
        <is>
          <t>["same_event","same_team_same_day","same_league_same_day"]</t>
        </is>
      </c>
      <c r="BJ57" s="25" t="n"/>
      <c r="BK57" s="26" t="n">
        <v>-156</v>
      </c>
      <c r="BL57" s="27" t="n">
        <v>1.641026</v>
      </c>
      <c r="BM57" s="28" t="n">
        <v>0.609375</v>
      </c>
      <c r="BN57" s="28" t="n"/>
      <c r="BO57" s="28" t="n"/>
      <c r="BP57" s="25" t="n"/>
      <c r="BQ57" s="27" t="n">
        <v>1.389105</v>
      </c>
      <c r="BR57" s="28" t="n">
        <v>0.72</v>
      </c>
      <c r="BS57" s="28" t="n"/>
      <c r="BT57" s="28" t="n"/>
      <c r="BU57" s="25" t="n"/>
      <c r="BV57" s="29" t="n"/>
      <c r="BW57" s="24" t="n"/>
      <c r="BX57" s="30" t="n">
        <v>1</v>
      </c>
      <c r="BY57" s="27" t="n">
        <v>0.91</v>
      </c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0.609375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44228dd6d26149ca</t>
        </is>
      </c>
      <c r="B58" s="24" t="inlineStr">
        <is>
          <t>2026-08-07T06:05:25.960229Z</t>
        </is>
      </c>
      <c r="C58" s="24" t="inlineStr">
        <is>
          <t>2026-08-07T08:00:00Z</t>
        </is>
      </c>
      <c r="D58" s="24" t="inlineStr">
        <is>
          <t>71674</t>
        </is>
      </c>
      <c r="E58" s="24" t="inlineStr">
        <is>
          <t>LOL</t>
        </is>
      </c>
      <c r="F58" s="24" t="inlineStr">
        <is>
          <t>Gen.G</t>
        </is>
      </c>
      <c r="G58" s="24" t="inlineStr">
        <is>
          <t>KT Rolster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-213</v>
      </c>
      <c r="M58" s="27" t="n">
        <v>1.469484</v>
      </c>
      <c r="N58" s="28" t="n">
        <v>0.680511</v>
      </c>
      <c r="O58" s="28" t="n">
        <v>0.59845</v>
      </c>
      <c r="P58" s="28" t="n"/>
      <c r="Q58" s="28" t="n">
        <v>-0.082061</v>
      </c>
      <c r="R58" s="26" t="n">
        <v>0</v>
      </c>
      <c r="S58" s="29" t="n">
        <v>1.25</v>
      </c>
      <c r="T58" s="24" t="inlineStr">
        <is>
          <t>lol-tiered-elo-v6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-213</v>
      </c>
      <c r="AA58" s="28" t="n">
        <v>0.68</v>
      </c>
      <c r="AB58" s="28" t="n">
        <v>-0.000511</v>
      </c>
      <c r="AC58" s="30" t="n">
        <v>0.5869</v>
      </c>
      <c r="AD58" s="24" t="inlineStr">
        <is>
          <t>2026-08-07T12:13:50.727295Z</t>
        </is>
      </c>
      <c r="AE58" s="31" t="inlineStr">
        <is>
          <t>Neutral Elo baseline; executable ask 0.6800 (market_slug=aec-lol-kt-gen-2026-08-07).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PAPER_CALL_WINNER_OVERVALUED</t>
        </is>
      </c>
      <c r="AP58" s="24" t="inlineStr">
        <is>
          <t>Gen.G</t>
        </is>
      </c>
      <c r="AQ58" s="24" t="inlineStr">
        <is>
          <t>Gen.G</t>
        </is>
      </c>
      <c r="AR58" s="24" t="inlineStr">
        <is>
          <t>Gen.G</t>
        </is>
      </c>
      <c r="AS58" s="24" t="inlineStr">
        <is>
          <t>KT Rolster</t>
        </is>
      </c>
      <c r="AT58" s="24" t="inlineStr">
        <is>
          <t>KT Rolster</t>
        </is>
      </c>
      <c r="AU58" s="24" t="inlineStr">
        <is>
          <t>KT Rolster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a435118c0d96357d246620424b583b0e8bb85e7581f7dfaff6a1a2190d73a589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a435118c0d96357d246620424b583b0e8bb85e7581f7dfaff6a1a2190d73a589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2026-08-07T06:05:01.264270Z</t>
        </is>
      </c>
      <c r="BI58" s="24" t="inlineStr">
        <is>
          <t>["same_event","same_team_same_day","same_league_same_day"]</t>
        </is>
      </c>
      <c r="BJ58" s="25" t="n"/>
      <c r="BK58" s="26" t="n">
        <v>-213</v>
      </c>
      <c r="BL58" s="27" t="n">
        <v>1.469484</v>
      </c>
      <c r="BM58" s="28" t="n">
        <v>0.680511</v>
      </c>
      <c r="BN58" s="28" t="n"/>
      <c r="BO58" s="28" t="n"/>
      <c r="BP58" s="25" t="n"/>
      <c r="BQ58" s="27" t="n">
        <v>1.469484</v>
      </c>
      <c r="BR58" s="28" t="n">
        <v>0.68</v>
      </c>
      <c r="BS58" s="28" t="n"/>
      <c r="BT58" s="28" t="n"/>
      <c r="BU58" s="25" t="n"/>
      <c r="BV58" s="29" t="n"/>
      <c r="BW58" s="24" t="n"/>
      <c r="BX58" s="30" t="n">
        <v>1</v>
      </c>
      <c r="BY58" s="27" t="n">
        <v>0.91</v>
      </c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0.680511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d1011fd7d94f4cb0</t>
        </is>
      </c>
      <c r="B59" s="24" t="inlineStr">
        <is>
          <t>2026-08-07T09:11:37.538758Z</t>
        </is>
      </c>
      <c r="C59" s="24" t="inlineStr">
        <is>
          <t>2026-08-07T10:00:00Z</t>
        </is>
      </c>
      <c r="D59" s="24" t="inlineStr">
        <is>
          <t>71714</t>
        </is>
      </c>
      <c r="E59" s="24" t="inlineStr">
        <is>
          <t>LOL</t>
        </is>
      </c>
      <c r="F59" s="24" t="inlineStr">
        <is>
          <t>HANJIN BRION</t>
        </is>
      </c>
      <c r="G59" s="24" t="inlineStr">
        <is>
          <t>BNK FEARX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-163</v>
      </c>
      <c r="M59" s="27" t="n">
        <v>1.613497</v>
      </c>
      <c r="N59" s="28" t="n">
        <v>0.619772</v>
      </c>
      <c r="O59" s="28" t="n">
        <v>0.652133</v>
      </c>
      <c r="P59" s="28" t="n"/>
      <c r="Q59" s="28" t="n">
        <v>0.032361</v>
      </c>
      <c r="R59" s="26" t="n">
        <v>36</v>
      </c>
      <c r="S59" s="29" t="n">
        <v>1.75</v>
      </c>
      <c r="T59" s="24" t="inlineStr">
        <is>
          <t>lol-tiered-elo-v6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-163</v>
      </c>
      <c r="AA59" s="28" t="n">
        <v>0.62</v>
      </c>
      <c r="AB59" s="28" t="n">
        <v>0.000228</v>
      </c>
      <c r="AC59" s="30" t="n">
        <v>-1.75</v>
      </c>
      <c r="AD59" s="24" t="inlineStr">
        <is>
          <t>2026-08-07T12:13:52.710746Z</t>
        </is>
      </c>
      <c r="AE59" s="31" t="inlineStr">
        <is>
          <t>Neutral Elo baseline; executable ask 0.6200 (market_slug=aec-lol-bfx-bro-2026-08-07).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PAPER_CALL_WINNER_OVERVALUED</t>
        </is>
      </c>
      <c r="AP59" s="24" t="inlineStr">
        <is>
          <t>HANJIN BRION</t>
        </is>
      </c>
      <c r="AQ59" s="24" t="inlineStr">
        <is>
          <t>HANJIN BRION</t>
        </is>
      </c>
      <c r="AR59" s="24" t="inlineStr">
        <is>
          <t>HANJIN BRION</t>
        </is>
      </c>
      <c r="AS59" s="24" t="inlineStr">
        <is>
          <t>BNK FEARX</t>
        </is>
      </c>
      <c r="AT59" s="24" t="inlineStr">
        <is>
          <t>BNK FEARX</t>
        </is>
      </c>
      <c r="AU59" s="24" t="inlineStr">
        <is>
          <t>BNK FEARX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20c3e63bf190142bb6f2572c6657565aa9ec5e7d6e42d68fb9f7442c3368e41c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20c3e63bf190142bb6f2572c6657565aa9ec5e7d6e42d68fb9f7442c3368e41c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2026-08-07T09:11:20.433612Z</t>
        </is>
      </c>
      <c r="BI59" s="24" t="inlineStr">
        <is>
          <t>["same_event","same_team_same_day","same_league_same_day"]</t>
        </is>
      </c>
      <c r="BJ59" s="25" t="n"/>
      <c r="BK59" s="26" t="n">
        <v>-163</v>
      </c>
      <c r="BL59" s="27" t="n">
        <v>1.613497</v>
      </c>
      <c r="BM59" s="28" t="n">
        <v>0.619772</v>
      </c>
      <c r="BN59" s="28" t="n"/>
      <c r="BO59" s="28" t="n"/>
      <c r="BP59" s="25" t="n"/>
      <c r="BQ59" s="27" t="n">
        <v>1.613497</v>
      </c>
      <c r="BR59" s="28" t="n">
        <v>0.62</v>
      </c>
      <c r="BS59" s="28" t="n"/>
      <c r="BT59" s="28" t="n"/>
      <c r="BU59" s="25" t="n"/>
      <c r="BV59" s="29" t="n"/>
      <c r="BW59" s="24" t="n"/>
      <c r="BX59" s="30" t="n">
        <v>1</v>
      </c>
      <c r="BY59" s="27" t="n">
        <v>-1</v>
      </c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0.619772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e1321571684f4e1d</t>
        </is>
      </c>
      <c r="B60" s="24" t="inlineStr">
        <is>
          <t>2026-08-07T12:17:25.524231Z</t>
        </is>
      </c>
      <c r="C60" s="24" t="inlineStr">
        <is>
          <t>2026-08-07T15:00:00Z</t>
        </is>
      </c>
      <c r="D60" s="24" t="inlineStr">
        <is>
          <t>71904</t>
        </is>
      </c>
      <c r="E60" s="24" t="inlineStr">
        <is>
          <t>LOL</t>
        </is>
      </c>
      <c r="F60" s="24" t="inlineStr">
        <is>
          <t>GIANTX</t>
        </is>
      </c>
      <c r="G60" s="24" t="inlineStr">
        <is>
          <t>Shifters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-170</v>
      </c>
      <c r="M60" s="27" t="n">
        <v>1.588235</v>
      </c>
      <c r="N60" s="28" t="n">
        <v>0.62963</v>
      </c>
      <c r="O60" s="28" t="n">
        <v>0.676935</v>
      </c>
      <c r="P60" s="28" t="n"/>
      <c r="Q60" s="28" t="n">
        <v>0.047305</v>
      </c>
      <c r="R60" s="26" t="n">
        <v>44</v>
      </c>
      <c r="S60" s="29" t="n">
        <v>1.75</v>
      </c>
      <c r="T60" s="24" t="inlineStr">
        <is>
          <t>lol-tiered-elo-v6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-170</v>
      </c>
      <c r="AA60" s="28" t="n">
        <v>0.63</v>
      </c>
      <c r="AB60" s="28" t="n">
        <v>0.00037</v>
      </c>
      <c r="AC60" s="30" t="n">
        <v>1.0294</v>
      </c>
      <c r="AD60" s="24" t="inlineStr">
        <is>
          <t>2026-08-07T18:27:13.780824Z</t>
        </is>
      </c>
      <c r="AE60" s="31" t="inlineStr">
        <is>
          <t>Neutral Elo baseline; executable ask 0.6300 (market_slug=aec-lol-shft-gx-2026-08-07).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PAPER_CALL_WINNER_OVERVALUED</t>
        </is>
      </c>
      <c r="AP60" s="24" t="inlineStr">
        <is>
          <t>GIANTX</t>
        </is>
      </c>
      <c r="AQ60" s="24" t="inlineStr">
        <is>
          <t>GIANTX</t>
        </is>
      </c>
      <c r="AR60" s="24" t="inlineStr">
        <is>
          <t>GIANTX</t>
        </is>
      </c>
      <c r="AS60" s="24" t="inlineStr">
        <is>
          <t>Shifters</t>
        </is>
      </c>
      <c r="AT60" s="24" t="inlineStr">
        <is>
          <t>Shifters</t>
        </is>
      </c>
      <c r="AU60" s="24" t="inlineStr">
        <is>
          <t>Shifters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0ce178a4c74d95939d4859ae617369533b2f8010eb3d4b4914c35d385598199f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0ce178a4c74d95939d4859ae617369533b2f8010eb3d4b4914c35d385598199f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2026-08-07T12:17:10.022972Z</t>
        </is>
      </c>
      <c r="BI60" s="24" t="inlineStr">
        <is>
          <t>["same_event","same_team_same_day","same_league_same_day"]</t>
        </is>
      </c>
      <c r="BJ60" s="25" t="n"/>
      <c r="BK60" s="26" t="n">
        <v>-170</v>
      </c>
      <c r="BL60" s="27" t="n">
        <v>1.588235</v>
      </c>
      <c r="BM60" s="28" t="n">
        <v>0.62963</v>
      </c>
      <c r="BN60" s="28" t="n"/>
      <c r="BO60" s="28" t="n"/>
      <c r="BP60" s="25" t="n"/>
      <c r="BQ60" s="27" t="n">
        <v>1.588235</v>
      </c>
      <c r="BR60" s="28" t="n">
        <v>0.63</v>
      </c>
      <c r="BS60" s="28" t="n"/>
      <c r="BT60" s="28" t="n"/>
      <c r="BU60" s="25" t="n"/>
      <c r="BV60" s="29" t="n"/>
      <c r="BW60" s="24" t="n"/>
      <c r="BX60" s="30" t="n">
        <v>1</v>
      </c>
      <c r="BY60" s="27" t="n">
        <v>0.91</v>
      </c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0.62963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7ce3d4b911bc41f4</t>
        </is>
      </c>
      <c r="B61" s="24" t="inlineStr">
        <is>
          <t>2026-08-07T15:24:10.407714Z</t>
        </is>
      </c>
      <c r="C61" s="24" t="inlineStr">
        <is>
          <t>2026-08-07T16:00:00Z</t>
        </is>
      </c>
      <c r="D61" s="24" t="inlineStr">
        <is>
          <t>71980</t>
        </is>
      </c>
      <c r="E61" s="24" t="inlineStr">
        <is>
          <t>LOL</t>
        </is>
      </c>
      <c r="F61" s="24" t="inlineStr">
        <is>
          <t>TITANS</t>
        </is>
      </c>
      <c r="G61" s="24" t="inlineStr">
        <is>
          <t>Aeterna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-117</v>
      </c>
      <c r="M61" s="27" t="n">
        <v>1.854701</v>
      </c>
      <c r="N61" s="28" t="n">
        <v>0.539171</v>
      </c>
      <c r="O61" s="28" t="n">
        <v>0.637212</v>
      </c>
      <c r="P61" s="28" t="n"/>
      <c r="Q61" s="28" t="n">
        <v>0.098041</v>
      </c>
      <c r="R61" s="26" t="n">
        <v>69</v>
      </c>
      <c r="S61" s="29" t="n">
        <v>1.5</v>
      </c>
      <c r="T61" s="24" t="inlineStr">
        <is>
          <t>lol-tiered-elo-v6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-117</v>
      </c>
      <c r="AA61" s="28" t="n">
        <v>0.54</v>
      </c>
      <c r="AB61" s="28" t="n">
        <v>0.000829</v>
      </c>
      <c r="AC61" s="30" t="n">
        <v>1.2821</v>
      </c>
      <c r="AD61" s="24" t="inlineStr">
        <is>
          <t>2026-08-07T18:27:16.469279Z</t>
        </is>
      </c>
      <c r="AE61" s="31" t="inlineStr">
        <is>
          <t>Neutral Elo baseline; executable ask 0.5400 (market_slug=aec-lol-aee-tts-2026-08-07).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TITANS</t>
        </is>
      </c>
      <c r="AQ61" s="24" t="inlineStr">
        <is>
          <t>TITANS</t>
        </is>
      </c>
      <c r="AR61" s="24" t="inlineStr">
        <is>
          <t>TITANS</t>
        </is>
      </c>
      <c r="AS61" s="24" t="inlineStr">
        <is>
          <t>Aeterna Esports</t>
        </is>
      </c>
      <c r="AT61" s="24" t="inlineStr">
        <is>
          <t>Aeterna Esports</t>
        </is>
      </c>
      <c r="AU61" s="24" t="inlineStr">
        <is>
          <t>Aeterna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326a42c58f2a208dee1dc4f634e9901156f475883f7f16a3237a5e1b513fa5f9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326a42c58f2a208dee1dc4f634e9901156f475883f7f16a3237a5e1b513fa5f9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2026-08-07T15:23:54.049058Z</t>
        </is>
      </c>
      <c r="BI61" s="24" t="inlineStr">
        <is>
          <t>["same_event","same_team_same_day","same_league_same_day"]</t>
        </is>
      </c>
      <c r="BJ61" s="25" t="n"/>
      <c r="BK61" s="26" t="n">
        <v>-117</v>
      </c>
      <c r="BL61" s="27" t="n">
        <v>1.854701</v>
      </c>
      <c r="BM61" s="28" t="n">
        <v>0.539171</v>
      </c>
      <c r="BN61" s="28" t="n"/>
      <c r="BO61" s="28" t="n"/>
      <c r="BP61" s="25" t="n"/>
      <c r="BQ61" s="27" t="n">
        <v>1.854701</v>
      </c>
      <c r="BR61" s="28" t="n">
        <v>0.54</v>
      </c>
      <c r="BS61" s="28" t="n"/>
      <c r="BT61" s="28" t="n"/>
      <c r="BU61" s="25" t="n"/>
      <c r="BV61" s="29" t="n"/>
      <c r="BW61" s="24" t="n"/>
      <c r="BX61" s="30" t="n">
        <v>1</v>
      </c>
      <c r="BY61" s="27" t="n">
        <v>0.91</v>
      </c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0.539171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861721ef7a3c4975</t>
        </is>
      </c>
      <c r="B62" s="24" t="inlineStr">
        <is>
          <t>2026-08-07T18:31:20.691239Z</t>
        </is>
      </c>
      <c r="C62" s="24" t="inlineStr">
        <is>
          <t>2026-08-07T19:00:00Z</t>
        </is>
      </c>
      <c r="D62" s="24" t="inlineStr">
        <is>
          <t>72342</t>
        </is>
      </c>
      <c r="E62" s="24" t="inlineStr">
        <is>
          <t>LOL</t>
        </is>
      </c>
      <c r="F62" s="24" t="inlineStr">
        <is>
          <t>Colossal Gaming</t>
        </is>
      </c>
      <c r="G62" s="24" t="inlineStr">
        <is>
          <t>GMBLERS ESPORTS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117</v>
      </c>
      <c r="M62" s="27" t="n">
        <v>2.17</v>
      </c>
      <c r="N62" s="28" t="n">
        <v>0.460829</v>
      </c>
      <c r="O62" s="28" t="n">
        <v>0.576862</v>
      </c>
      <c r="P62" s="28" t="n"/>
      <c r="Q62" s="28" t="n">
        <v>0.116033</v>
      </c>
      <c r="R62" s="26" t="n">
        <v>78</v>
      </c>
      <c r="S62" s="29" t="n">
        <v>1.25</v>
      </c>
      <c r="T62" s="24" t="inlineStr">
        <is>
          <t>lol-tiered-elo-v6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117</v>
      </c>
      <c r="AA62" s="28" t="n">
        <v>0.46</v>
      </c>
      <c r="AB62" s="28" t="n">
        <v>-0.000829</v>
      </c>
      <c r="AC62" s="30" t="n">
        <v>-1.25</v>
      </c>
      <c r="AD62" s="24" t="inlineStr">
        <is>
          <t>2026-08-07T21:55:28.261554Z</t>
        </is>
      </c>
      <c r="AE62" s="31" t="inlineStr">
        <is>
          <t>Neutral Elo baseline; executable ask 0.4600 (market_slug=aec-lol-gmb-cg-2026-08-07).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Colossal Gaming</t>
        </is>
      </c>
      <c r="AQ62" s="24" t="inlineStr">
        <is>
          <t>Colossal Gaming</t>
        </is>
      </c>
      <c r="AR62" s="24" t="inlineStr">
        <is>
          <t>Colossal Gaming</t>
        </is>
      </c>
      <c r="AS62" s="24" t="inlineStr">
        <is>
          <t>GMBLERS ESPORTS</t>
        </is>
      </c>
      <c r="AT62" s="24" t="inlineStr">
        <is>
          <t>GMBLERS ESPORTS</t>
        </is>
      </c>
      <c r="AU62" s="24" t="inlineStr">
        <is>
          <t>GMBLERS ESPORTS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d3791916ff32605dd2265e280637577dccc694ea8768ae90edb98370e9029821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d3791916ff32605dd2265e280637577dccc694ea8768ae90edb98370e9029821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2026-08-07T18:31:07.695348Z</t>
        </is>
      </c>
      <c r="BI62" s="24" t="inlineStr">
        <is>
          <t>["same_event","same_team_same_day","same_league_same_day"]</t>
        </is>
      </c>
      <c r="BJ62" s="25" t="n"/>
      <c r="BK62" s="26" t="n">
        <v>117</v>
      </c>
      <c r="BL62" s="27" t="n">
        <v>2.17</v>
      </c>
      <c r="BM62" s="28" t="n">
        <v>0.460829</v>
      </c>
      <c r="BN62" s="28" t="n"/>
      <c r="BO62" s="28" t="n"/>
      <c r="BP62" s="25" t="n"/>
      <c r="BQ62" s="27" t="n">
        <v>2.17</v>
      </c>
      <c r="BR62" s="28" t="n">
        <v>0.46</v>
      </c>
      <c r="BS62" s="28" t="n"/>
      <c r="BT62" s="28" t="n"/>
      <c r="BU62" s="25" t="n"/>
      <c r="BV62" s="29" t="n"/>
      <c r="BW62" s="24" t="n"/>
      <c r="BX62" s="30" t="n">
        <v>1</v>
      </c>
      <c r="BY62" s="27" t="n">
        <v>-1</v>
      </c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0.460829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caf03d09757343f2</t>
        </is>
      </c>
      <c r="B63" s="24" t="inlineStr">
        <is>
          <t>2026-08-07T18:31:20.691239Z</t>
        </is>
      </c>
      <c r="C63" s="24" t="inlineStr">
        <is>
          <t>2026-08-07T21:00:00Z</t>
        </is>
      </c>
      <c r="D63" s="24" t="inlineStr">
        <is>
          <t>72428</t>
        </is>
      </c>
      <c r="E63" s="24" t="inlineStr">
        <is>
          <t>LOL</t>
        </is>
      </c>
      <c r="F63" s="24" t="inlineStr">
        <is>
          <t>Fluxo W7M</t>
        </is>
      </c>
      <c r="G63" s="24" t="inlineStr">
        <is>
          <t>Vivo Keyd Stars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108</v>
      </c>
      <c r="M63" s="27" t="n">
        <v>2.08</v>
      </c>
      <c r="N63" s="28" t="n">
        <v>0.480769</v>
      </c>
      <c r="O63" s="28" t="n">
        <v>0.695648</v>
      </c>
      <c r="P63" s="28" t="n"/>
      <c r="Q63" s="28" t="n">
        <v>0.214879</v>
      </c>
      <c r="R63" s="26" t="n">
        <v>100</v>
      </c>
      <c r="S63" s="29" t="n">
        <v>2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108</v>
      </c>
      <c r="AA63" s="28" t="n">
        <v>0.48</v>
      </c>
      <c r="AB63" s="28" t="n">
        <v>-0.000769</v>
      </c>
      <c r="AC63" s="30" t="n">
        <v>2.16</v>
      </c>
      <c r="AD63" s="24" t="inlineStr">
        <is>
          <t>2026-08-08T01:00:17.751991Z</t>
        </is>
      </c>
      <c r="AE63" s="31" t="inlineStr">
        <is>
          <t>Neutral Elo baseline; executable ask 0.4800 (market_slug=aec-lol-vks-fxw7-2026-08-07).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Fluxo W7M</t>
        </is>
      </c>
      <c r="AQ63" s="24" t="inlineStr">
        <is>
          <t>Fluxo W7M</t>
        </is>
      </c>
      <c r="AR63" s="24" t="inlineStr">
        <is>
          <t>Fluxo W7M</t>
        </is>
      </c>
      <c r="AS63" s="24" t="inlineStr">
        <is>
          <t>Vivo Keyd Stars</t>
        </is>
      </c>
      <c r="AT63" s="24" t="inlineStr">
        <is>
          <t>Vivo Keyd Stars</t>
        </is>
      </c>
      <c r="AU63" s="24" t="inlineStr">
        <is>
          <t>Vivo Keyd Stars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d3791916ff32605dd2265e280637577dccc694ea8768ae90edb98370e9029821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d3791916ff32605dd2265e280637577dccc694ea8768ae90edb98370e9029821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2026-08-07T18:31:08.212012Z</t>
        </is>
      </c>
      <c r="BI63" s="24" t="inlineStr">
        <is>
          <t>["same_event","same_team_same_day","same_league_same_day"]</t>
        </is>
      </c>
      <c r="BJ63" s="25" t="n"/>
      <c r="BK63" s="26" t="n">
        <v>108</v>
      </c>
      <c r="BL63" s="27" t="n">
        <v>2.08</v>
      </c>
      <c r="BM63" s="28" t="n">
        <v>0.480769</v>
      </c>
      <c r="BN63" s="28" t="n"/>
      <c r="BO63" s="28" t="n"/>
      <c r="BP63" s="25" t="n"/>
      <c r="BQ63" s="27" t="n">
        <v>2.08</v>
      </c>
      <c r="BR63" s="28" t="n">
        <v>0.48</v>
      </c>
      <c r="BS63" s="28" t="n"/>
      <c r="BT63" s="28" t="n"/>
      <c r="BU63" s="25" t="n"/>
      <c r="BV63" s="29" t="n"/>
      <c r="BW63" s="24" t="n"/>
      <c r="BX63" s="30" t="n">
        <v>1</v>
      </c>
      <c r="BY63" s="27" t="n">
        <v>0.91</v>
      </c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0.480769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a594ede30371457f</t>
        </is>
      </c>
      <c r="B64" s="24" t="inlineStr">
        <is>
          <t>2026-08-07T18:31:20.691239Z</t>
        </is>
      </c>
      <c r="C64" s="24" t="inlineStr">
        <is>
          <t>2026-08-07T21:00:00Z</t>
        </is>
      </c>
      <c r="D64" s="24" t="inlineStr">
        <is>
          <t>72438</t>
        </is>
      </c>
      <c r="E64" s="24" t="inlineStr">
        <is>
          <t>LOL</t>
        </is>
      </c>
      <c r="F64" s="24" t="inlineStr">
        <is>
          <t>Dorado Gaming</t>
        </is>
      </c>
      <c r="G64" s="24" t="inlineStr">
        <is>
          <t>Blue Otter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108</v>
      </c>
      <c r="M64" s="27" t="n">
        <v>2.08</v>
      </c>
      <c r="N64" s="28" t="n">
        <v>0.480769</v>
      </c>
      <c r="O64" s="28" t="n">
        <v>0.627171</v>
      </c>
      <c r="P64" s="28" t="n"/>
      <c r="Q64" s="28" t="n">
        <v>0.146402</v>
      </c>
      <c r="R64" s="26" t="n">
        <v>93</v>
      </c>
      <c r="S64" s="29" t="n">
        <v>1.5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108</v>
      </c>
      <c r="AA64" s="28" t="n">
        <v>0.48</v>
      </c>
      <c r="AB64" s="28" t="n">
        <v>-0.000769</v>
      </c>
      <c r="AC64" s="30" t="n">
        <v>1.62</v>
      </c>
      <c r="AD64" s="24" t="inlineStr">
        <is>
          <t>2026-08-08T01:00:19.734185Z</t>
        </is>
      </c>
      <c r="AE64" s="31" t="inlineStr">
        <is>
          <t>Neutral Elo baseline; executable ask 0.4800 (market_slug=aec-lol-blue-dog-2026-08-07).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Dorado Gaming</t>
        </is>
      </c>
      <c r="AQ64" s="24" t="inlineStr">
        <is>
          <t>Dorado Gaming</t>
        </is>
      </c>
      <c r="AR64" s="24" t="inlineStr">
        <is>
          <t>Dorado Gaming</t>
        </is>
      </c>
      <c r="AS64" s="24" t="inlineStr">
        <is>
          <t>Blue Otter</t>
        </is>
      </c>
      <c r="AT64" s="24" t="inlineStr">
        <is>
          <t>Blue Otter</t>
        </is>
      </c>
      <c r="AU64" s="24" t="inlineStr">
        <is>
          <t>Blue Otter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d3791916ff32605dd2265e280637577dccc694ea8768ae90edb98370e9029821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d3791916ff32605dd2265e280637577dccc694ea8768ae90edb98370e9029821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2026-08-07T18:31:08.974236Z</t>
        </is>
      </c>
      <c r="BI64" s="24" t="inlineStr">
        <is>
          <t>["same_event","same_team_same_day","same_league_same_day"]</t>
        </is>
      </c>
      <c r="BJ64" s="25" t="n"/>
      <c r="BK64" s="26" t="n">
        <v>108</v>
      </c>
      <c r="BL64" s="27" t="n">
        <v>2.08</v>
      </c>
      <c r="BM64" s="28" t="n">
        <v>0.480769</v>
      </c>
      <c r="BN64" s="28" t="n"/>
      <c r="BO64" s="28" t="n"/>
      <c r="BP64" s="25" t="n"/>
      <c r="BQ64" s="27" t="n">
        <v>2.08</v>
      </c>
      <c r="BR64" s="28" t="n">
        <v>0.48</v>
      </c>
      <c r="BS64" s="28" t="n"/>
      <c r="BT64" s="28" t="n"/>
      <c r="BU64" s="25" t="n"/>
      <c r="BV64" s="29" t="n"/>
      <c r="BW64" s="24" t="n"/>
      <c r="BX64" s="30" t="n">
        <v>1</v>
      </c>
      <c r="BY64" s="27" t="n">
        <v>0.91</v>
      </c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0.480769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b1028e3e19d74cc5</t>
        </is>
      </c>
      <c r="B65" s="24" t="inlineStr">
        <is>
          <t>2026-08-07T21:58:17.628261Z</t>
        </is>
      </c>
      <c r="C65" s="24" t="inlineStr">
        <is>
          <t>2026-08-07T23:00:00Z</t>
        </is>
      </c>
      <c r="D65" s="24" t="inlineStr">
        <is>
          <t>72584</t>
        </is>
      </c>
      <c r="E65" s="24" t="inlineStr">
        <is>
          <t>LOL</t>
        </is>
      </c>
      <c r="F65" s="24" t="inlineStr">
        <is>
          <t>LOUD</t>
        </is>
      </c>
      <c r="G65" s="24" t="inlineStr">
        <is>
          <t>FURIA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-138</v>
      </c>
      <c r="M65" s="27" t="n">
        <v>1.724638</v>
      </c>
      <c r="N65" s="28" t="n">
        <v>0.579832</v>
      </c>
      <c r="O65" s="28" t="n">
        <v>0.587748</v>
      </c>
      <c r="P65" s="28" t="n"/>
      <c r="Q65" s="28" t="n">
        <v>0.007915999999999999</v>
      </c>
      <c r="R65" s="26" t="n">
        <v>24</v>
      </c>
      <c r="S65" s="29" t="n">
        <v>1.25</v>
      </c>
      <c r="T65" s="24" t="inlineStr">
        <is>
          <t>lol-tiered-elo-v6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-138</v>
      </c>
      <c r="AA65" s="28" t="n">
        <v>0.58</v>
      </c>
      <c r="AB65" s="28" t="n">
        <v>0.000168</v>
      </c>
      <c r="AC65" s="30" t="n">
        <v>0.9058</v>
      </c>
      <c r="AD65" s="24" t="inlineStr">
        <is>
          <t>2026-08-08T04:04:48.117690Z</t>
        </is>
      </c>
      <c r="AE65" s="31" t="inlineStr">
        <is>
          <t>Neutral Elo baseline; executable ask 0.5800 (market_slug=aec-lol-fur-lll-2026-08-07).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PAPER_CALL_WINNER_OVERVALUED</t>
        </is>
      </c>
      <c r="AP65" s="24" t="inlineStr">
        <is>
          <t>LOUD</t>
        </is>
      </c>
      <c r="AQ65" s="24" t="inlineStr">
        <is>
          <t>LOUD</t>
        </is>
      </c>
      <c r="AR65" s="24" t="inlineStr">
        <is>
          <t>LOUD</t>
        </is>
      </c>
      <c r="AS65" s="24" t="inlineStr">
        <is>
          <t>FURIA Esports</t>
        </is>
      </c>
      <c r="AT65" s="24" t="inlineStr">
        <is>
          <t>FURIA Esports</t>
        </is>
      </c>
      <c r="AU65" s="24" t="inlineStr">
        <is>
          <t>FURIA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f3d24e09a0d0d802dee424cae9684a5d804786070b34d13fa878c70f19ddb870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f3d24e09a0d0d802dee424cae9684a5d804786070b34d13fa878c70f19ddb870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2026-08-07T21:58:06.067509Z</t>
        </is>
      </c>
      <c r="BI65" s="24" t="inlineStr">
        <is>
          <t>["same_event","same_team_same_day","same_league_same_day"]</t>
        </is>
      </c>
      <c r="BJ65" s="25" t="n"/>
      <c r="BK65" s="26" t="n">
        <v>-138</v>
      </c>
      <c r="BL65" s="27" t="n">
        <v>1.724638</v>
      </c>
      <c r="BM65" s="28" t="n">
        <v>0.579832</v>
      </c>
      <c r="BN65" s="28" t="n"/>
      <c r="BO65" s="28" t="n"/>
      <c r="BP65" s="25" t="n"/>
      <c r="BQ65" s="27" t="n">
        <v>1.724638</v>
      </c>
      <c r="BR65" s="28" t="n">
        <v>0.58</v>
      </c>
      <c r="BS65" s="28" t="n"/>
      <c r="BT65" s="28" t="n"/>
      <c r="BU65" s="25" t="n"/>
      <c r="BV65" s="29" t="n"/>
      <c r="BW65" s="24" t="n"/>
      <c r="BX65" s="30" t="n">
        <v>1</v>
      </c>
      <c r="BY65" s="27" t="n">
        <v>0.91</v>
      </c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0.579832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60e18e055fd245fd</t>
        </is>
      </c>
      <c r="B66" s="24" t="inlineStr">
        <is>
          <t>2026-08-08T04:08:13.997006Z</t>
        </is>
      </c>
      <c r="C66" s="24" t="inlineStr">
        <is>
          <t>2026-08-08T07:00:00Z</t>
        </is>
      </c>
      <c r="D66" s="24" t="inlineStr">
        <is>
          <t>72713</t>
        </is>
      </c>
      <c r="E66" s="24" t="inlineStr">
        <is>
          <t>LOL</t>
        </is>
      </c>
      <c r="F66" s="24" t="inlineStr">
        <is>
          <t>LNG Esports</t>
        </is>
      </c>
      <c r="G66" s="24" t="inlineStr">
        <is>
          <t>Weibo Gaming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-233</v>
      </c>
      <c r="M66" s="27" t="n">
        <v>1.429185</v>
      </c>
      <c r="N66" s="28" t="n">
        <v>0.6997</v>
      </c>
      <c r="O66" s="28" t="n">
        <v>0.649014</v>
      </c>
      <c r="P66" s="28" t="n"/>
      <c r="Q66" s="28" t="n">
        <v>-0.050686</v>
      </c>
      <c r="R66" s="26" t="n">
        <v>0</v>
      </c>
      <c r="S66" s="29" t="n">
        <v>1.75</v>
      </c>
      <c r="T66" s="24" t="inlineStr">
        <is>
          <t>lol-tiered-elo-v6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>
        <v>-233</v>
      </c>
      <c r="AA66" s="28" t="n">
        <v>0.7</v>
      </c>
      <c r="AB66" s="28" t="n">
        <v>0.0003</v>
      </c>
      <c r="AC66" s="30" t="n">
        <v>0.7511</v>
      </c>
      <c r="AD66" s="24" t="inlineStr">
        <is>
          <t>2026-08-08T18:34:51.945919Z</t>
        </is>
      </c>
      <c r="AE66" s="31" t="inlineStr">
        <is>
          <t>Neutral Elo baseline; executable ask 0.7000 (market_slug=aec-lol-wb-lng-2026-08-08).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PAPER_CALL_WINNER_OVERVALUED</t>
        </is>
      </c>
      <c r="AP66" s="24" t="inlineStr">
        <is>
          <t>LNG Esports</t>
        </is>
      </c>
      <c r="AQ66" s="24" t="inlineStr">
        <is>
          <t>LNG Esports</t>
        </is>
      </c>
      <c r="AR66" s="24" t="inlineStr">
        <is>
          <t>LNG Esports</t>
        </is>
      </c>
      <c r="AS66" s="24" t="inlineStr">
        <is>
          <t>Weibo Gaming</t>
        </is>
      </c>
      <c r="AT66" s="24" t="inlineStr">
        <is>
          <t>Weibo Gaming</t>
        </is>
      </c>
      <c r="AU66" s="24" t="inlineStr">
        <is>
          <t>Weibo Gaming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bf9cdce4c802d1882a68b32132fa41472ff922cbbe74a73c6db7662d3c059566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bf9cdce4c802d1882a68b32132fa41472ff922cbbe74a73c6db7662d3c059566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2026-08-08T04:07:51.504685Z</t>
        </is>
      </c>
      <c r="BI66" s="24" t="inlineStr">
        <is>
          <t>["same_event","same_team_same_day","same_league_same_day"]</t>
        </is>
      </c>
      <c r="BJ66" s="25" t="n"/>
      <c r="BK66" s="26" t="n">
        <v>-233</v>
      </c>
      <c r="BL66" s="27" t="n">
        <v>1.429185</v>
      </c>
      <c r="BM66" s="28" t="n">
        <v>0.6997</v>
      </c>
      <c r="BN66" s="28" t="n"/>
      <c r="BO66" s="28" t="n"/>
      <c r="BP66" s="25" t="n"/>
      <c r="BQ66" s="27" t="n">
        <v>1.429185</v>
      </c>
      <c r="BR66" s="28" t="n">
        <v>0.7</v>
      </c>
      <c r="BS66" s="28" t="n"/>
      <c r="BT66" s="28" t="n"/>
      <c r="BU66" s="25" t="n"/>
      <c r="BV66" s="29" t="n"/>
      <c r="BW66" s="24" t="n"/>
      <c r="BX66" s="30" t="n">
        <v>1</v>
      </c>
      <c r="BY66" s="27" t="n">
        <v>0.91</v>
      </c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0.6997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3f0fb17510b14d8c</t>
        </is>
      </c>
      <c r="B67" s="24" t="inlineStr">
        <is>
          <t>2026-08-08T04:08:13.997006Z</t>
        </is>
      </c>
      <c r="C67" s="24" t="inlineStr">
        <is>
          <t>2026-08-08T08:00:00Z</t>
        </is>
      </c>
      <c r="D67" s="24" t="inlineStr">
        <is>
          <t>72722</t>
        </is>
      </c>
      <c r="E67" s="24" t="inlineStr">
        <is>
          <t>LOL</t>
        </is>
      </c>
      <c r="F67" s="24" t="inlineStr">
        <is>
          <t>Hanwha Life Esports</t>
        </is>
      </c>
      <c r="G67" s="24" t="inlineStr">
        <is>
          <t>T1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-108</v>
      </c>
      <c r="M67" s="27" t="n">
        <v>1.925926</v>
      </c>
      <c r="N67" s="28" t="n">
        <v>0.519231</v>
      </c>
      <c r="O67" s="28" t="n">
        <v>0.6042650000000001</v>
      </c>
      <c r="P67" s="28" t="n"/>
      <c r="Q67" s="28" t="n">
        <v>0.085034</v>
      </c>
      <c r="R67" s="26" t="n">
        <v>63</v>
      </c>
      <c r="S67" s="29" t="n">
        <v>1.25</v>
      </c>
      <c r="T67" s="24" t="inlineStr">
        <is>
          <t>lol-tiered-elo-v6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-108</v>
      </c>
      <c r="AA67" s="28" t="n">
        <v>0.52</v>
      </c>
      <c r="AB67" s="28" t="n">
        <v>0.000769</v>
      </c>
      <c r="AC67" s="30" t="n">
        <v>-1.25</v>
      </c>
      <c r="AD67" s="24" t="inlineStr">
        <is>
          <t>2026-08-08T18:34:54.144249Z</t>
        </is>
      </c>
      <c r="AE67" s="31" t="inlineStr">
        <is>
          <t>Neutral Elo baseline; executable ask 0.5200 (market_slug=aec-lol-t1-hle-2026-08-08).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Hanwha Life Esports</t>
        </is>
      </c>
      <c r="AQ67" s="24" t="inlineStr">
        <is>
          <t>Hanwha Life Esports</t>
        </is>
      </c>
      <c r="AR67" s="24" t="inlineStr">
        <is>
          <t>Hanwha Life Esports</t>
        </is>
      </c>
      <c r="AS67" s="24" t="inlineStr">
        <is>
          <t>T1</t>
        </is>
      </c>
      <c r="AT67" s="24" t="inlineStr">
        <is>
          <t>T1</t>
        </is>
      </c>
      <c r="AU67" s="24" t="inlineStr">
        <is>
          <t>T1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bf9cdce4c802d1882a68b32132fa41472ff922cbbe74a73c6db7662d3c059566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bf9cdce4c802d1882a68b32132fa41472ff922cbbe74a73c6db7662d3c059566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2026-08-08T04:07:52.255455Z</t>
        </is>
      </c>
      <c r="BI67" s="24" t="inlineStr">
        <is>
          <t>["same_event","same_team_same_day","same_league_same_day"]</t>
        </is>
      </c>
      <c r="BJ67" s="25" t="n"/>
      <c r="BK67" s="26" t="n">
        <v>-108</v>
      </c>
      <c r="BL67" s="27" t="n">
        <v>1.925926</v>
      </c>
      <c r="BM67" s="28" t="n">
        <v>0.519231</v>
      </c>
      <c r="BN67" s="28" t="n"/>
      <c r="BO67" s="28" t="n"/>
      <c r="BP67" s="25" t="n"/>
      <c r="BQ67" s="27" t="n">
        <v>1.925926</v>
      </c>
      <c r="BR67" s="28" t="n">
        <v>0.52</v>
      </c>
      <c r="BS67" s="28" t="n"/>
      <c r="BT67" s="28" t="n"/>
      <c r="BU67" s="25" t="n"/>
      <c r="BV67" s="29" t="n"/>
      <c r="BW67" s="24" t="n"/>
      <c r="BX67" s="30" t="n">
        <v>1</v>
      </c>
      <c r="BY67" s="27" t="n">
        <v>-1</v>
      </c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0.519231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48e52c6a8011432a</t>
        </is>
      </c>
      <c r="B68" s="24" t="inlineStr">
        <is>
          <t>2026-08-08T04:08:13.997006Z</t>
        </is>
      </c>
      <c r="C68" s="24" t="inlineStr">
        <is>
          <t>2026-08-08T09:00:00Z</t>
        </is>
      </c>
      <c r="D68" s="24" t="inlineStr">
        <is>
          <t>72727</t>
        </is>
      </c>
      <c r="E68" s="24" t="inlineStr">
        <is>
          <t>LOL</t>
        </is>
      </c>
      <c r="F68" s="24" t="inlineStr">
        <is>
          <t>MVK Esports</t>
        </is>
      </c>
      <c r="G68" s="24" t="inlineStr">
        <is>
          <t>Deep Cross Gaming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-144</v>
      </c>
      <c r="M68" s="27" t="n">
        <v>1.694444</v>
      </c>
      <c r="N68" s="28" t="n">
        <v>0.590164</v>
      </c>
      <c r="O68" s="28" t="n">
        <v>0.539952</v>
      </c>
      <c r="P68" s="28" t="n"/>
      <c r="Q68" s="28" t="n">
        <v>-0.050212</v>
      </c>
      <c r="R68" s="26" t="n">
        <v>0</v>
      </c>
      <c r="S68" s="29" t="n">
        <v>1</v>
      </c>
      <c r="T68" s="24" t="inlineStr">
        <is>
          <t>lol-tiered-elo-v6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-144</v>
      </c>
      <c r="AA68" s="28" t="n">
        <v>0.59</v>
      </c>
      <c r="AB68" s="28" t="n">
        <v>-0.000164</v>
      </c>
      <c r="AC68" s="30" t="n">
        <v>-1</v>
      </c>
      <c r="AD68" s="24" t="inlineStr">
        <is>
          <t>2026-08-08T18:34:56.158207Z</t>
        </is>
      </c>
      <c r="AE68" s="31" t="inlineStr">
        <is>
          <t>Neutral Elo baseline; executable ask 0.5900 (market_slug=aec-lol-dcg-mvk-2026-08-08).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PAPER_CALL_WINNER_OVERVALUED</t>
        </is>
      </c>
      <c r="AP68" s="24" t="inlineStr">
        <is>
          <t>MVK Esports</t>
        </is>
      </c>
      <c r="AQ68" s="24" t="inlineStr">
        <is>
          <t>MVK Esports</t>
        </is>
      </c>
      <c r="AR68" s="24" t="inlineStr">
        <is>
          <t>MVK Esports</t>
        </is>
      </c>
      <c r="AS68" s="24" t="inlineStr">
        <is>
          <t>Deep Cross Gaming</t>
        </is>
      </c>
      <c r="AT68" s="24" t="inlineStr">
        <is>
          <t>Deep Cross Gaming</t>
        </is>
      </c>
      <c r="AU68" s="24" t="inlineStr">
        <is>
          <t>Deep Cross Gaming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bf9cdce4c802d1882a68b32132fa41472ff922cbbe74a73c6db7662d3c059566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bf9cdce4c802d1882a68b32132fa41472ff922cbbe74a73c6db7662d3c059566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2026-08-08T04:07:52.773249Z</t>
        </is>
      </c>
      <c r="BI68" s="24" t="inlineStr">
        <is>
          <t>["same_event","same_team_same_day","same_league_same_day"]</t>
        </is>
      </c>
      <c r="BJ68" s="25" t="n"/>
      <c r="BK68" s="26" t="n">
        <v>-144</v>
      </c>
      <c r="BL68" s="27" t="n">
        <v>1.694444</v>
      </c>
      <c r="BM68" s="28" t="n">
        <v>0.590164</v>
      </c>
      <c r="BN68" s="28" t="n"/>
      <c r="BO68" s="28" t="n"/>
      <c r="BP68" s="25" t="n"/>
      <c r="BQ68" s="27" t="n">
        <v>1.694444</v>
      </c>
      <c r="BR68" s="28" t="n">
        <v>0.59</v>
      </c>
      <c r="BS68" s="28" t="n"/>
      <c r="BT68" s="28" t="n"/>
      <c r="BU68" s="25" t="n"/>
      <c r="BV68" s="29" t="n"/>
      <c r="BW68" s="24" t="n"/>
      <c r="BX68" s="30" t="n">
        <v>1</v>
      </c>
      <c r="BY68" s="27" t="n">
        <v>-1</v>
      </c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0.590164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491e1a7e60a24cbd</t>
        </is>
      </c>
      <c r="B69" s="24" t="inlineStr">
        <is>
          <t>2026-08-08T04:08:13.997006Z</t>
        </is>
      </c>
      <c r="C69" s="24" t="inlineStr">
        <is>
          <t>2026-08-08T12:00:00Z</t>
        </is>
      </c>
      <c r="D69" s="24" t="inlineStr">
        <is>
          <t>72774</t>
        </is>
      </c>
      <c r="E69" s="24" t="inlineStr">
        <is>
          <t>LOL</t>
        </is>
      </c>
      <c r="F69" s="24" t="inlineStr">
        <is>
          <t>Project Conquerors</t>
        </is>
      </c>
      <c r="G69" s="24" t="inlineStr">
        <is>
          <t>Karmine Corp Blue Stars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-144</v>
      </c>
      <c r="M69" s="27" t="n">
        <v>1.694444</v>
      </c>
      <c r="N69" s="28" t="n">
        <v>0.590164</v>
      </c>
      <c r="O69" s="28" t="n">
        <v>0.517265</v>
      </c>
      <c r="P69" s="28" t="n"/>
      <c r="Q69" s="28" t="n">
        <v>-0.07289900000000001</v>
      </c>
      <c r="R69" s="26" t="n">
        <v>0</v>
      </c>
      <c r="S69" s="29" t="n">
        <v>1</v>
      </c>
      <c r="T69" s="24" t="inlineStr">
        <is>
          <t>lol-tiered-elo-v6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-138</v>
      </c>
      <c r="AA69" s="28" t="n">
        <v>0.58</v>
      </c>
      <c r="AB69" s="28" t="n">
        <v>-0.010164</v>
      </c>
      <c r="AC69" s="30" t="n">
        <v>0.6944</v>
      </c>
      <c r="AD69" s="24" t="inlineStr">
        <is>
          <t>2026-08-08T18:34:58.748045Z</t>
        </is>
      </c>
      <c r="AE69" s="31" t="inlineStr">
        <is>
          <t>Neutral Elo baseline; executable ask 0.5900 (market_slug=aec-lol-kcbs-pcs-2026-08-08).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PAPER_CALL_WINNER_OVERVALUED</t>
        </is>
      </c>
      <c r="AP69" s="24" t="inlineStr">
        <is>
          <t>Project Conquerors</t>
        </is>
      </c>
      <c r="AQ69" s="24" t="inlineStr">
        <is>
          <t>Project Conquerors</t>
        </is>
      </c>
      <c r="AR69" s="24" t="inlineStr">
        <is>
          <t>Project Conquerors</t>
        </is>
      </c>
      <c r="AS69" s="24" t="inlineStr">
        <is>
          <t>Karmine Corp Blue Stars</t>
        </is>
      </c>
      <c r="AT69" s="24" t="inlineStr">
        <is>
          <t>Karmine Corp Blue Stars</t>
        </is>
      </c>
      <c r="AU69" s="24" t="inlineStr">
        <is>
          <t>Karmine Corp Blue 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bf9cdce4c802d1882a68b32132fa41472ff922cbbe74a73c6db7662d3c059566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bf9cdce4c802d1882a68b32132fa41472ff922cbbe74a73c6db7662d3c059566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2026-08-08T04:07:56.923039Z</t>
        </is>
      </c>
      <c r="BI69" s="24" t="inlineStr">
        <is>
          <t>["same_event","same_team_same_day","same_league_same_day"]</t>
        </is>
      </c>
      <c r="BJ69" s="25" t="n"/>
      <c r="BK69" s="26" t="n">
        <v>-144</v>
      </c>
      <c r="BL69" s="27" t="n">
        <v>1.694444</v>
      </c>
      <c r="BM69" s="28" t="n">
        <v>0.590164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>
        <v>1</v>
      </c>
      <c r="BY69" s="27" t="n">
        <v>0.91</v>
      </c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0.590164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3eac35b3f1184b4d</t>
        </is>
      </c>
      <c r="B70" s="24" t="inlineStr">
        <is>
          <t>2026-08-09T05:18:45.420775Z</t>
        </is>
      </c>
      <c r="C70" s="24" t="inlineStr">
        <is>
          <t>2026-08-09T08:00:00Z</t>
        </is>
      </c>
      <c r="D70" s="24" t="inlineStr">
        <is>
          <t>73651</t>
        </is>
      </c>
      <c r="E70" s="24" t="inlineStr">
        <is>
          <t>LOL</t>
        </is>
      </c>
      <c r="F70" s="24" t="inlineStr">
        <is>
          <t>KT Rolster</t>
        </is>
      </c>
      <c r="G70" s="24" t="inlineStr">
        <is>
          <t>Dplus KIA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-163</v>
      </c>
      <c r="M70" s="27" t="n">
        <v>1.613497</v>
      </c>
      <c r="N70" s="28" t="n">
        <v>0.619772</v>
      </c>
      <c r="O70" s="28" t="n">
        <v>0.6219170000000001</v>
      </c>
      <c r="P70" s="28" t="n"/>
      <c r="Q70" s="28" t="n">
        <v>0.002145</v>
      </c>
      <c r="R70" s="26" t="n">
        <v>21</v>
      </c>
      <c r="S70" s="29" t="n">
        <v>1.5</v>
      </c>
      <c r="T70" s="24" t="inlineStr">
        <is>
          <t>lol-tiered-elo-v6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-163</v>
      </c>
      <c r="AA70" s="28" t="n">
        <v>0.62</v>
      </c>
      <c r="AB70" s="28" t="n">
        <v>0.000228</v>
      </c>
      <c r="AC70" s="30" t="n">
        <v>0.9202</v>
      </c>
      <c r="AD70" s="24" t="inlineStr">
        <is>
          <t>2026-08-09T13:56:46.277008Z</t>
        </is>
      </c>
      <c r="AE70" s="31" t="inlineStr">
        <is>
          <t>Neutral Elo baseline; executable ask 0.6200 (market_slug=aec-lol-dk-kt-2026-08-09).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PAPER_CALL_WINNER_OVERVALUED</t>
        </is>
      </c>
      <c r="AP70" s="24" t="inlineStr">
        <is>
          <t>KT Rolster</t>
        </is>
      </c>
      <c r="AQ70" s="24" t="inlineStr">
        <is>
          <t>KT Rolster</t>
        </is>
      </c>
      <c r="AR70" s="24" t="inlineStr">
        <is>
          <t>KT Rolster</t>
        </is>
      </c>
      <c r="AS70" s="24" t="inlineStr">
        <is>
          <t>Dplus KIA</t>
        </is>
      </c>
      <c r="AT70" s="24" t="inlineStr">
        <is>
          <t>Dplus KIA</t>
        </is>
      </c>
      <c r="AU70" s="24" t="inlineStr">
        <is>
          <t>Dplus KIA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d1af9b18c2d3ace9d47f74a1570e11714c592a6d92bd30ded3db42a502b40cf2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d1af9b18c2d3ace9d47f74a1570e11714c592a6d92bd30ded3db42a502b40cf2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2026-08-09T05:18:28.259112Z</t>
        </is>
      </c>
      <c r="BI70" s="24" t="inlineStr">
        <is>
          <t>["same_event","same_team_same_day","same_league_same_day"]</t>
        </is>
      </c>
      <c r="BJ70" s="25" t="n"/>
      <c r="BK70" s="26" t="n">
        <v>-163</v>
      </c>
      <c r="BL70" s="27" t="n">
        <v>1.613497</v>
      </c>
      <c r="BM70" s="28" t="n">
        <v>0.619772</v>
      </c>
      <c r="BN70" s="28" t="n"/>
      <c r="BO70" s="28" t="n"/>
      <c r="BP70" s="25" t="n"/>
      <c r="BQ70" s="27" t="n">
        <v>1.613497</v>
      </c>
      <c r="BR70" s="28" t="n">
        <v>0.62</v>
      </c>
      <c r="BS70" s="28" t="n"/>
      <c r="BT70" s="28" t="n"/>
      <c r="BU70" s="25" t="n"/>
      <c r="BV70" s="29" t="n"/>
      <c r="BW70" s="24" t="n"/>
      <c r="BX70" s="30" t="n">
        <v>1</v>
      </c>
      <c r="BY70" s="27" t="n">
        <v>0.91</v>
      </c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0.619772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435b32d6a4504d40</t>
        </is>
      </c>
      <c r="B71" s="24" t="inlineStr">
        <is>
          <t>2026-08-09T05:18:45.420775Z</t>
        </is>
      </c>
      <c r="C71" s="24" t="inlineStr">
        <is>
          <t>2026-08-09T09:00:00Z</t>
        </is>
      </c>
      <c r="D71" s="24" t="inlineStr">
        <is>
          <t>74251</t>
        </is>
      </c>
      <c r="E71" s="24" t="inlineStr">
        <is>
          <t>LOL</t>
        </is>
      </c>
      <c r="F71" s="24" t="inlineStr">
        <is>
          <t>Ground Zero Gaming</t>
        </is>
      </c>
      <c r="G71" s="24" t="inlineStr">
        <is>
          <t>CTBC Flying Oyster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0.729245</v>
      </c>
      <c r="P71" s="28" t="n"/>
      <c r="Q71" s="28" t="n">
        <v>0.099615</v>
      </c>
      <c r="R71" s="26" t="n">
        <v>70</v>
      </c>
      <c r="S71" s="29" t="n">
        <v>2</v>
      </c>
      <c r="T71" s="24" t="inlineStr">
        <is>
          <t>lol-tiered-elo-v6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-170</v>
      </c>
      <c r="AA71" s="28" t="n">
        <v>0.63</v>
      </c>
      <c r="AB71" s="28" t="n">
        <v>0.00037</v>
      </c>
      <c r="AC71" s="30" t="n">
        <v>1.1765</v>
      </c>
      <c r="AD71" s="24" t="inlineStr">
        <is>
          <t>2026-08-09T13:56:49.159793Z</t>
        </is>
      </c>
      <c r="AE71" s="31" t="inlineStr">
        <is>
          <t>Neutral Elo baseline; executable ask 0.6300 (market_slug=aec-lol-cfo-gz-2026-08-09).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Ground Zero Gaming</t>
        </is>
      </c>
      <c r="AQ71" s="24" t="inlineStr">
        <is>
          <t>Ground Zero Gaming</t>
        </is>
      </c>
      <c r="AR71" s="24" t="inlineStr">
        <is>
          <t>Ground Zero Gaming</t>
        </is>
      </c>
      <c r="AS71" s="24" t="inlineStr">
        <is>
          <t>CTBC Flying Oyster</t>
        </is>
      </c>
      <c r="AT71" s="24" t="inlineStr">
        <is>
          <t>CTBC Flying Oyster</t>
        </is>
      </c>
      <c r="AU71" s="24" t="inlineStr">
        <is>
          <t>CTBC Flying Oyster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d1af9b18c2d3ace9d47f74a1570e11714c592a6d92bd30ded3db42a502b40cf2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d1af9b18c2d3ace9d47f74a1570e11714c592a6d92bd30ded3db42a502b40cf2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2026-08-09T05:18:28.821389Z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>
        <v>1.588235</v>
      </c>
      <c r="BR71" s="28" t="n">
        <v>0.63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0.91</v>
      </c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0.62963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5a46a11094384c13</t>
        </is>
      </c>
      <c r="B72" s="24" t="inlineStr">
        <is>
          <t>2026-08-09T05:18:45.420775Z</t>
        </is>
      </c>
      <c r="C72" s="24" t="inlineStr">
        <is>
          <t>2026-08-09T10:00:00Z</t>
        </is>
      </c>
      <c r="D72" s="24" t="inlineStr">
        <is>
          <t>73673</t>
        </is>
      </c>
      <c r="E72" s="24" t="inlineStr">
        <is>
          <t>LOL</t>
        </is>
      </c>
      <c r="F72" s="24" t="inlineStr">
        <is>
          <t>Kiwoom DRX</t>
        </is>
      </c>
      <c r="G72" s="24" t="inlineStr">
        <is>
          <t>BNK FEARX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104</v>
      </c>
      <c r="M72" s="27" t="n">
        <v>2.04</v>
      </c>
      <c r="N72" s="28" t="n">
        <v>0.490196</v>
      </c>
      <c r="O72" s="28" t="n">
        <v>0.519855</v>
      </c>
      <c r="P72" s="28" t="n"/>
      <c r="Q72" s="28" t="n">
        <v>0.029659</v>
      </c>
      <c r="R72" s="26" t="n">
        <v>35</v>
      </c>
      <c r="S72" s="29" t="n">
        <v>1</v>
      </c>
      <c r="T72" s="24" t="inlineStr">
        <is>
          <t>lol-tiered-elo-v6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1</v>
      </c>
      <c r="Y72" s="25" t="n"/>
      <c r="Z72" s="26" t="n">
        <v>104</v>
      </c>
      <c r="AA72" s="28" t="n">
        <v>0.49</v>
      </c>
      <c r="AB72" s="28" t="n">
        <v>-0.000196</v>
      </c>
      <c r="AC72" s="30" t="n">
        <v>-1</v>
      </c>
      <c r="AD72" s="24" t="inlineStr">
        <is>
          <t>2026-08-09T13:56:52.490951Z</t>
        </is>
      </c>
      <c r="AE72" s="31" t="inlineStr">
        <is>
          <t>Neutral Elo baseline; executable ask 0.4900 (market_slug=aec-lol-bfx-krx-2026-08-09).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PAPER_CALL_WINNER_OVERVALUED</t>
        </is>
      </c>
      <c r="AP72" s="24" t="inlineStr">
        <is>
          <t>Kiwoom DRX</t>
        </is>
      </c>
      <c r="AQ72" s="24" t="inlineStr">
        <is>
          <t>Kiwoom DRX</t>
        </is>
      </c>
      <c r="AR72" s="24" t="inlineStr">
        <is>
          <t>Kiwoom DRX</t>
        </is>
      </c>
      <c r="AS72" s="24" t="inlineStr">
        <is>
          <t>BNK FEARX</t>
        </is>
      </c>
      <c r="AT72" s="24" t="inlineStr">
        <is>
          <t>BNK FEARX</t>
        </is>
      </c>
      <c r="AU72" s="24" t="inlineStr">
        <is>
          <t>BNK FEARX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d1af9b18c2d3ace9d47f74a1570e11714c592a6d92bd30ded3db42a502b40cf2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d1af9b18c2d3ace9d47f74a1570e11714c592a6d92bd30ded3db42a502b40cf2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2026-08-09T05:18:30.011624Z</t>
        </is>
      </c>
      <c r="BI72" s="24" t="inlineStr">
        <is>
          <t>["same_event","same_team_same_day","same_league_same_day"]</t>
        </is>
      </c>
      <c r="BJ72" s="25" t="n"/>
      <c r="BK72" s="26" t="n">
        <v>104</v>
      </c>
      <c r="BL72" s="27" t="n">
        <v>2.04</v>
      </c>
      <c r="BM72" s="28" t="n">
        <v>0.490196</v>
      </c>
      <c r="BN72" s="28" t="n"/>
      <c r="BO72" s="28" t="n"/>
      <c r="BP72" s="25" t="n"/>
      <c r="BQ72" s="27" t="n">
        <v>2.04</v>
      </c>
      <c r="BR72" s="28" t="n">
        <v>0.49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-1</v>
      </c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0.490196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52bbdd31d045431f</t>
        </is>
      </c>
      <c r="B73" s="24" t="inlineStr">
        <is>
          <t>2026-08-09T05:18:45.420775Z</t>
        </is>
      </c>
      <c r="C73" s="24" t="inlineStr">
        <is>
          <t>2026-08-09T10:00:00Z</t>
        </is>
      </c>
      <c r="D73" s="24" t="inlineStr">
        <is>
          <t>73672</t>
        </is>
      </c>
      <c r="E73" s="24" t="inlineStr">
        <is>
          <t>LOL</t>
        </is>
      </c>
      <c r="F73" s="24" t="inlineStr">
        <is>
          <t>Lille Esport</t>
        </is>
      </c>
      <c r="G73" s="24" t="inlineStr">
        <is>
          <t>Crystal Rose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122</v>
      </c>
      <c r="M73" s="27" t="n">
        <v>2.22</v>
      </c>
      <c r="N73" s="28" t="n">
        <v>0.45045</v>
      </c>
      <c r="O73" s="28" t="n">
        <v>0.582694</v>
      </c>
      <c r="P73" s="28" t="n"/>
      <c r="Q73" s="28" t="n">
        <v>0.132244</v>
      </c>
      <c r="R73" s="26" t="n">
        <v>86</v>
      </c>
      <c r="S73" s="29" t="n">
        <v>1.25</v>
      </c>
      <c r="T73" s="24" t="inlineStr">
        <is>
          <t>lol-tiered-elo-v6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122</v>
      </c>
      <c r="AA73" s="28" t="n">
        <v>0.45</v>
      </c>
      <c r="AB73" s="28" t="n">
        <v>-0.00045</v>
      </c>
      <c r="AC73" s="30" t="n">
        <v>-1.25</v>
      </c>
      <c r="AD73" s="24" t="inlineStr">
        <is>
          <t>2026-08-09T13:56:55.269855Z</t>
        </is>
      </c>
      <c r="AE73" s="31" t="inlineStr">
        <is>
          <t>Neutral Elo baseline; executable ask 0.4500 (market_slug=aec-lol-cr-lil-2026-08-09).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Lille Esport</t>
        </is>
      </c>
      <c r="AQ73" s="24" t="inlineStr">
        <is>
          <t>Lille Esport</t>
        </is>
      </c>
      <c r="AR73" s="24" t="inlineStr">
        <is>
          <t>Lille Esport</t>
        </is>
      </c>
      <c r="AS73" s="24" t="inlineStr">
        <is>
          <t>Crystal Rose</t>
        </is>
      </c>
      <c r="AT73" s="24" t="inlineStr">
        <is>
          <t>Crystal Rose</t>
        </is>
      </c>
      <c r="AU73" s="24" t="inlineStr">
        <is>
          <t>Crystal Rose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d1af9b18c2d3ace9d47f74a1570e11714c592a6d92bd30ded3db42a502b40cf2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d1af9b18c2d3ace9d47f74a1570e11714c592a6d92bd30ded3db42a502b40cf2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2026-08-09T05:18:30.559189Z</t>
        </is>
      </c>
      <c r="BI73" s="24" t="inlineStr">
        <is>
          <t>["same_event","same_team_same_day","same_league_same_day"]</t>
        </is>
      </c>
      <c r="BJ73" s="25" t="n"/>
      <c r="BK73" s="26" t="n">
        <v>122</v>
      </c>
      <c r="BL73" s="27" t="n">
        <v>2.22</v>
      </c>
      <c r="BM73" s="28" t="n">
        <v>0.45045</v>
      </c>
      <c r="BN73" s="28" t="n"/>
      <c r="BO73" s="28" t="n"/>
      <c r="BP73" s="25" t="n"/>
      <c r="BQ73" s="27" t="n">
        <v>2.22</v>
      </c>
      <c r="BR73" s="28" t="n">
        <v>0.45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-1</v>
      </c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0.45045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521561a90aed4f66</t>
        </is>
      </c>
      <c r="B74" s="24" t="inlineStr">
        <is>
          <t>2026-08-09T05:18:45.420775Z</t>
        </is>
      </c>
      <c r="C74" s="24" t="inlineStr">
        <is>
          <t>2026-08-09T11:00:00Z</t>
        </is>
      </c>
      <c r="D74" s="24" t="inlineStr">
        <is>
          <t>73686</t>
        </is>
      </c>
      <c r="E74" s="24" t="inlineStr">
        <is>
          <t>LOL</t>
        </is>
      </c>
      <c r="F74" s="24" t="inlineStr">
        <is>
          <t>Team WE</t>
        </is>
      </c>
      <c r="G74" s="24" t="inlineStr">
        <is>
          <t>JD Gaming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-156</v>
      </c>
      <c r="M74" s="27" t="n">
        <v>1.641026</v>
      </c>
      <c r="N74" s="28" t="n">
        <v>0.609375</v>
      </c>
      <c r="O74" s="28" t="n">
        <v>0.631371</v>
      </c>
      <c r="P74" s="28" t="n"/>
      <c r="Q74" s="28" t="n">
        <v>0.021996</v>
      </c>
      <c r="R74" s="26" t="n">
        <v>31</v>
      </c>
      <c r="S74" s="29" t="n">
        <v>1.5</v>
      </c>
      <c r="T74" s="24" t="inlineStr">
        <is>
          <t>lol-tiered-elo-v6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-156</v>
      </c>
      <c r="AA74" s="28" t="n">
        <v>0.61</v>
      </c>
      <c r="AB74" s="28" t="n">
        <v>0.000625</v>
      </c>
      <c r="AC74" s="30" t="n">
        <v>0.9615</v>
      </c>
      <c r="AD74" s="24" t="inlineStr">
        <is>
          <t>2026-08-09T13:56:58.072568Z</t>
        </is>
      </c>
      <c r="AE74" s="31" t="inlineStr">
        <is>
          <t>Neutral Elo baseline; executable ask 0.6100 (market_slug=aec-lol-jdg-we-2026-08-09).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PAPER_CALL_WINNER_OVERVALUED</t>
        </is>
      </c>
      <c r="AP74" s="24" t="inlineStr">
        <is>
          <t>Team WE</t>
        </is>
      </c>
      <c r="AQ74" s="24" t="inlineStr">
        <is>
          <t>Team WE</t>
        </is>
      </c>
      <c r="AR74" s="24" t="inlineStr">
        <is>
          <t>Team WE</t>
        </is>
      </c>
      <c r="AS74" s="24" t="inlineStr">
        <is>
          <t>JD Gaming</t>
        </is>
      </c>
      <c r="AT74" s="24" t="inlineStr">
        <is>
          <t>JD Gaming</t>
        </is>
      </c>
      <c r="AU74" s="24" t="inlineStr">
        <is>
          <t>JD Gaming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d1af9b18c2d3ace9d47f74a1570e11714c592a6d92bd30ded3db42a502b40cf2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d1af9b18c2d3ace9d47f74a1570e11714c592a6d92bd30ded3db42a502b40cf2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2026-08-09T05:18:31.577866Z</t>
        </is>
      </c>
      <c r="BI74" s="24" t="inlineStr">
        <is>
          <t>["same_event","same_team_same_day","same_league_same_day"]</t>
        </is>
      </c>
      <c r="BJ74" s="25" t="n"/>
      <c r="BK74" s="26" t="n">
        <v>-156</v>
      </c>
      <c r="BL74" s="27" t="n">
        <v>1.641026</v>
      </c>
      <c r="BM74" s="28" t="n">
        <v>0.609375</v>
      </c>
      <c r="BN74" s="28" t="n"/>
      <c r="BO74" s="28" t="n"/>
      <c r="BP74" s="25" t="n"/>
      <c r="BQ74" s="27" t="n">
        <v>1.641026</v>
      </c>
      <c r="BR74" s="28" t="n">
        <v>0.61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0.91</v>
      </c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0.609375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e6219558bc7c4d36</t>
        </is>
      </c>
      <c r="B75" s="24" t="inlineStr">
        <is>
          <t>2026-08-09T05:18:45.420775Z</t>
        </is>
      </c>
      <c r="C75" s="24" t="inlineStr">
        <is>
          <t>2026-08-09T11:00:00Z</t>
        </is>
      </c>
      <c r="D75" s="24" t="inlineStr">
        <is>
          <t>73685</t>
        </is>
      </c>
      <c r="E75" s="24" t="inlineStr">
        <is>
          <t>LOL</t>
        </is>
      </c>
      <c r="F75" s="24" t="inlineStr">
        <is>
          <t>Caldya Esport</t>
        </is>
      </c>
      <c r="G75" s="24" t="inlineStr">
        <is>
          <t>Team High Ground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194</v>
      </c>
      <c r="M75" s="27" t="n">
        <v>2.94</v>
      </c>
      <c r="N75" s="28" t="n">
        <v>0.340136</v>
      </c>
      <c r="O75" s="28" t="n">
        <v>0.596541</v>
      </c>
      <c r="P75" s="28" t="n"/>
      <c r="Q75" s="28" t="n">
        <v>0.256405</v>
      </c>
      <c r="R75" s="26" t="n">
        <v>100</v>
      </c>
      <c r="S75" s="29" t="n">
        <v>1.25</v>
      </c>
      <c r="T75" s="24" t="inlineStr">
        <is>
          <t>lol-tiered-elo-v6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194</v>
      </c>
      <c r="AA75" s="28" t="n">
        <v>0.34</v>
      </c>
      <c r="AB75" s="28" t="n">
        <v>-0.000136</v>
      </c>
      <c r="AC75" s="30" t="n">
        <v>2.425</v>
      </c>
      <c r="AD75" s="24" t="inlineStr">
        <is>
          <t>2026-08-09T13:57:00.962766Z</t>
        </is>
      </c>
      <c r="AE75" s="31" t="inlineStr">
        <is>
          <t>Neutral Elo baseline; executable ask 0.3400 (market_slug=aec-lol-thg-cla-2026-08-09).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Caldya Esport</t>
        </is>
      </c>
      <c r="AQ75" s="24" t="inlineStr">
        <is>
          <t>Caldya Esport</t>
        </is>
      </c>
      <c r="AR75" s="24" t="inlineStr">
        <is>
          <t>Caldya Esport</t>
        </is>
      </c>
      <c r="AS75" s="24" t="inlineStr">
        <is>
          <t>Team High Ground</t>
        </is>
      </c>
      <c r="AT75" s="24" t="inlineStr">
        <is>
          <t>Team High Ground</t>
        </is>
      </c>
      <c r="AU75" s="24" t="inlineStr">
        <is>
          <t>Team High Ground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d1af9b18c2d3ace9d47f74a1570e11714c592a6d92bd30ded3db42a502b40cf2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d1af9b18c2d3ace9d47f74a1570e11714c592a6d92bd30ded3db42a502b40cf2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2026-08-09T05:18:32.128818Z</t>
        </is>
      </c>
      <c r="BI75" s="24" t="inlineStr">
        <is>
          <t>["same_event","same_team_same_day","same_league_same_day"]</t>
        </is>
      </c>
      <c r="BJ75" s="25" t="n"/>
      <c r="BK75" s="26" t="n">
        <v>194</v>
      </c>
      <c r="BL75" s="27" t="n">
        <v>2.94</v>
      </c>
      <c r="BM75" s="28" t="n">
        <v>0.340136</v>
      </c>
      <c r="BN75" s="28" t="n"/>
      <c r="BO75" s="28" t="n"/>
      <c r="BP75" s="25" t="n"/>
      <c r="BQ75" s="27" t="n">
        <v>2.94</v>
      </c>
      <c r="BR75" s="28" t="n">
        <v>0.34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0.91</v>
      </c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0.340136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7f5b9205a8854667</t>
        </is>
      </c>
      <c r="B76" s="24" t="inlineStr">
        <is>
          <t>2026-08-09T05:18:45.420775Z</t>
        </is>
      </c>
      <c r="C76" s="24" t="inlineStr">
        <is>
          <t>2026-08-09T12:00:00Z</t>
        </is>
      </c>
      <c r="D76" s="24" t="inlineStr">
        <is>
          <t>73703</t>
        </is>
      </c>
      <c r="E76" s="24" t="inlineStr">
        <is>
          <t>LOL</t>
        </is>
      </c>
      <c r="F76" s="24" t="inlineStr">
        <is>
          <t>Karmine Corp Blue Stars</t>
        </is>
      </c>
      <c r="G76" s="24" t="inlineStr">
        <is>
          <t>Ancient Ones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0.530903</v>
      </c>
      <c r="P76" s="28" t="n"/>
      <c r="Q76" s="28" t="n">
        <v>0.101718</v>
      </c>
      <c r="R76" s="26" t="n">
        <v>71</v>
      </c>
      <c r="S76" s="29" t="n">
        <v>1</v>
      </c>
      <c r="T76" s="24" t="inlineStr">
        <is>
          <t>lol-tiered-elo-v6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>
        <v>133</v>
      </c>
      <c r="AA76" s="28" t="n">
        <v>0.43</v>
      </c>
      <c r="AB76" s="28" t="n">
        <v>0.000815</v>
      </c>
      <c r="AC76" s="30" t="n">
        <v>-1</v>
      </c>
      <c r="AD76" s="24" t="inlineStr">
        <is>
          <t>2026-08-09T13:57:03.685139Z</t>
        </is>
      </c>
      <c r="AE76" s="31" t="inlineStr">
        <is>
          <t>Neutral Elo baseline; executable ask 0.4300 (market_slug=aec-lol-ao-kcbs-2026-08-09).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Karmine Corp Blue Stars</t>
        </is>
      </c>
      <c r="AQ76" s="24" t="inlineStr">
        <is>
          <t>Karmine Corp Blue Stars</t>
        </is>
      </c>
      <c r="AR76" s="24" t="inlineStr">
        <is>
          <t>Karmine Corp Blue Stars</t>
        </is>
      </c>
      <c r="AS76" s="24" t="inlineStr">
        <is>
          <t>Ancient Ones</t>
        </is>
      </c>
      <c r="AT76" s="24" t="inlineStr">
        <is>
          <t>Ancient Ones</t>
        </is>
      </c>
      <c r="AU76" s="24" t="inlineStr">
        <is>
          <t>Ancient Ones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d1af9b18c2d3ace9d47f74a1570e11714c592a6d92bd30ded3db42a502b40cf2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d1af9b18c2d3ace9d47f74a1570e11714c592a6d92bd30ded3db42a502b40cf2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2026-08-09T05:18:32.672561Z</t>
        </is>
      </c>
      <c r="BI76" s="24" t="inlineStr">
        <is>
          <t>["same_event","same_team_same_day","same_league_same_day"]</t>
        </is>
      </c>
      <c r="BJ76" s="25" t="n"/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>
        <v>2.33</v>
      </c>
      <c r="BR76" s="28" t="n">
        <v>0.43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-1</v>
      </c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0.429185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c311b53394664422</t>
        </is>
      </c>
      <c r="B77" s="24" t="inlineStr">
        <is>
          <t>2026-08-09T05:18:45.420775Z</t>
        </is>
      </c>
      <c r="C77" s="24" t="inlineStr">
        <is>
          <t>2026-08-09T13:00:00Z</t>
        </is>
      </c>
      <c r="D77" s="24" t="inlineStr">
        <is>
          <t>73734</t>
        </is>
      </c>
      <c r="E77" s="24" t="inlineStr">
        <is>
          <t>LOL</t>
        </is>
      </c>
      <c r="F77" s="24" t="inlineStr">
        <is>
          <t>Project Conquerors</t>
        </is>
      </c>
      <c r="G77" s="24" t="inlineStr">
        <is>
          <t>Galions Sharks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-150</v>
      </c>
      <c r="M77" s="27" t="n">
        <v>1.666667</v>
      </c>
      <c r="N77" s="28" t="n">
        <v>0.6</v>
      </c>
      <c r="O77" s="28" t="n">
        <v>0.575922</v>
      </c>
      <c r="P77" s="28" t="n"/>
      <c r="Q77" s="28" t="n">
        <v>-0.024078</v>
      </c>
      <c r="R77" s="26" t="n">
        <v>8</v>
      </c>
      <c r="S77" s="29" t="n">
        <v>1.25</v>
      </c>
      <c r="T77" s="24" t="inlineStr">
        <is>
          <t>lol-tiered-elo-v6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>
        <v>-150</v>
      </c>
      <c r="AA77" s="28" t="n">
        <v>0.6</v>
      </c>
      <c r="AB77" s="28" t="n">
        <v>0</v>
      </c>
      <c r="AC77" s="30" t="n">
        <v>0.8333</v>
      </c>
      <c r="AD77" s="24" t="inlineStr">
        <is>
          <t>2026-08-09T13:57:06.531630Z</t>
        </is>
      </c>
      <c r="AE77" s="31" t="inlineStr">
        <is>
          <t>Neutral Elo baseline; executable ask 0.6000 (market_slug=aec-lol-gls-pcs-2026-08-09).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PAPER_CALL_WINNER_OVERVALUED</t>
        </is>
      </c>
      <c r="AP77" s="24" t="inlineStr">
        <is>
          <t>Project Conquerors</t>
        </is>
      </c>
      <c r="AQ77" s="24" t="inlineStr">
        <is>
          <t>Project Conquerors</t>
        </is>
      </c>
      <c r="AR77" s="24" t="inlineStr">
        <is>
          <t>Project Conquerors</t>
        </is>
      </c>
      <c r="AS77" s="24" t="inlineStr">
        <is>
          <t>Galions Sharks</t>
        </is>
      </c>
      <c r="AT77" s="24" t="inlineStr">
        <is>
          <t>Galions Sharks</t>
        </is>
      </c>
      <c r="AU77" s="24" t="inlineStr">
        <is>
          <t>Galions Sharks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d1af9b18c2d3ace9d47f74a1570e11714c592a6d92bd30ded3db42a502b40cf2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d1af9b18c2d3ace9d47f74a1570e11714c592a6d92bd30ded3db42a502b40cf2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2026-08-09T05:18:33.175663Z</t>
        </is>
      </c>
      <c r="BI77" s="24" t="inlineStr">
        <is>
          <t>["same_event","same_team_same_day","same_league_same_day"]</t>
        </is>
      </c>
      <c r="BJ77" s="25" t="n"/>
      <c r="BK77" s="26" t="n">
        <v>-150</v>
      </c>
      <c r="BL77" s="27" t="n">
        <v>1.666667</v>
      </c>
      <c r="BM77" s="28" t="n">
        <v>0.6</v>
      </c>
      <c r="BN77" s="28" t="n"/>
      <c r="BO77" s="28" t="n"/>
      <c r="BP77" s="25" t="n"/>
      <c r="BQ77" s="27" t="n">
        <v>1.666667</v>
      </c>
      <c r="BR77" s="28" t="n">
        <v>0.6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0.91</v>
      </c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c0f3bd93fcb54290</t>
        </is>
      </c>
      <c r="B78" s="24" t="inlineStr">
        <is>
          <t>2026-08-09T14:01:53.524228Z</t>
        </is>
      </c>
      <c r="C78" s="24" t="inlineStr">
        <is>
          <t>2026-08-09T16:00:00Z</t>
        </is>
      </c>
      <c r="D78" s="24" t="inlineStr">
        <is>
          <t>73792</t>
        </is>
      </c>
      <c r="E78" s="24" t="inlineStr">
        <is>
          <t>LOL</t>
        </is>
      </c>
      <c r="F78" s="24" t="inlineStr">
        <is>
          <t>Vivo Keyd Stars</t>
        </is>
      </c>
      <c r="G78" s="24" t="inlineStr">
        <is>
          <t>LOUD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133</v>
      </c>
      <c r="M78" s="27" t="n">
        <v>2.33</v>
      </c>
      <c r="N78" s="28" t="n">
        <v>0.429185</v>
      </c>
      <c r="O78" s="28" t="n">
        <v>0.565457</v>
      </c>
      <c r="P78" s="28" t="n"/>
      <c r="Q78" s="28" t="n">
        <v>0.136272</v>
      </c>
      <c r="R78" s="26" t="n">
        <v>88</v>
      </c>
      <c r="S78" s="29" t="n">
        <v>1</v>
      </c>
      <c r="T78" s="24" t="inlineStr">
        <is>
          <t>lol-tiered-elo-v6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133</v>
      </c>
      <c r="AA78" s="28" t="n">
        <v>0.43</v>
      </c>
      <c r="AB78" s="28" t="n">
        <v>0.000815</v>
      </c>
      <c r="AC78" s="30" t="n">
        <v>-1</v>
      </c>
      <c r="AD78" s="24" t="inlineStr">
        <is>
          <t>2026-08-09T20:26:11.227771Z</t>
        </is>
      </c>
      <c r="AE78" s="31" t="inlineStr">
        <is>
          <t>Neutral Elo baseline; executable ask 0.4300 (market_slug=aec-lol-lll-vks-2026-08-09).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Vivo Keyd Stars</t>
        </is>
      </c>
      <c r="AQ78" s="24" t="inlineStr">
        <is>
          <t>Vivo Keyd Stars</t>
        </is>
      </c>
      <c r="AR78" s="24" t="inlineStr">
        <is>
          <t>Vivo Keyd Stars</t>
        </is>
      </c>
      <c r="AS78" s="24" t="inlineStr">
        <is>
          <t>LOUD</t>
        </is>
      </c>
      <c r="AT78" s="24" t="inlineStr">
        <is>
          <t>LOUD</t>
        </is>
      </c>
      <c r="AU78" s="24" t="inlineStr">
        <is>
          <t>LOUD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b58ac9e03c1a5d9a8ba8b54127b580955d4aa64f9a40d7b31d028c52dfb61e0d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b58ac9e03c1a5d9a8ba8b54127b580955d4aa64f9a40d7b31d028c52dfb61e0d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2026-08-09T14:01:44.268334Z</t>
        </is>
      </c>
      <c r="BI78" s="24" t="inlineStr">
        <is>
          <t>["same_event","same_team_same_day","same_league_same_day"]</t>
        </is>
      </c>
      <c r="BJ78" s="25" t="n"/>
      <c r="BK78" s="26" t="n">
        <v>133</v>
      </c>
      <c r="BL78" s="27" t="n">
        <v>2.33</v>
      </c>
      <c r="BM78" s="28" t="n">
        <v>0.429185</v>
      </c>
      <c r="BN78" s="28" t="n"/>
      <c r="BO78" s="28" t="n"/>
      <c r="BP78" s="25" t="n"/>
      <c r="BQ78" s="27" t="n">
        <v>2.33</v>
      </c>
      <c r="BR78" s="28" t="n">
        <v>0.43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0.429185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079726909683485d</t>
        </is>
      </c>
      <c r="B79" s="24" t="inlineStr">
        <is>
          <t>2026-08-10T05:41:28.453324Z</t>
        </is>
      </c>
      <c r="C79" s="24" t="inlineStr">
        <is>
          <t>2026-08-10T06:00:00Z</t>
        </is>
      </c>
      <c r="D79" s="24" t="inlineStr">
        <is>
          <t>74303</t>
        </is>
      </c>
      <c r="E79" s="24" t="inlineStr">
        <is>
          <t>LOL</t>
        </is>
      </c>
      <c r="F79" s="24" t="inlineStr">
        <is>
          <t>Gen.G</t>
        </is>
      </c>
      <c r="G79" s="24" t="inlineStr">
        <is>
          <t>Hanwha Life Esports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144</v>
      </c>
      <c r="M79" s="27" t="n">
        <v>2.44</v>
      </c>
      <c r="N79" s="28" t="n">
        <v>0.409836</v>
      </c>
      <c r="O79" s="28" t="n">
        <v>0.555268</v>
      </c>
      <c r="P79" s="28" t="n"/>
      <c r="Q79" s="28" t="n">
        <v>0.145432</v>
      </c>
      <c r="R79" s="26" t="n">
        <v>93</v>
      </c>
      <c r="S79" s="29" t="n">
        <v>1</v>
      </c>
      <c r="T79" s="24" t="inlineStr">
        <is>
          <t>lol-tiered-elo-v6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0</v>
      </c>
      <c r="X79" s="26" t="n">
        <v>1</v>
      </c>
      <c r="Y79" s="25" t="n"/>
      <c r="Z79" s="26" t="n">
        <v>144</v>
      </c>
      <c r="AA79" s="28" t="n">
        <v>0.41</v>
      </c>
      <c r="AB79" s="28" t="n">
        <v>0.000164</v>
      </c>
      <c r="AC79" s="30" t="n">
        <v>1.44</v>
      </c>
      <c r="AD79" s="24" t="inlineStr">
        <is>
          <t>2026-08-10T16:33:21.215019Z</t>
        </is>
      </c>
      <c r="AE79" s="31" t="inlineStr">
        <is>
          <t>Neutral Elo baseline; executable ask 0.4100 (market_slug=aec-lol-hle-gen-2026-08-10).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Gen.G</t>
        </is>
      </c>
      <c r="AQ79" s="24" t="inlineStr">
        <is>
          <t>Gen.G</t>
        </is>
      </c>
      <c r="AR79" s="24" t="inlineStr">
        <is>
          <t>Gen.G</t>
        </is>
      </c>
      <c r="AS79" s="24" t="inlineStr">
        <is>
          <t>Hanwha Life Esports</t>
        </is>
      </c>
      <c r="AT79" s="24" t="inlineStr">
        <is>
          <t>Hanwha Life Esports</t>
        </is>
      </c>
      <c r="AU79" s="24" t="inlineStr">
        <is>
          <t>Hanwha Life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1315e3fd57f39b5e423c7478ae4d488c4fac6a7f2c4f64188933b2184d22eecf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1315e3fd57f39b5e423c7478ae4d488c4fac6a7f2c4f64188933b2184d22eecf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2026-08-10T05:41:12.074053Z</t>
        </is>
      </c>
      <c r="BI79" s="24" t="inlineStr">
        <is>
          <t>["same_event","same_team_same_day","same_league_same_day"]</t>
        </is>
      </c>
      <c r="BJ79" s="25" t="n"/>
      <c r="BK79" s="26" t="n">
        <v>144</v>
      </c>
      <c r="BL79" s="27" t="n">
        <v>2.44</v>
      </c>
      <c r="BM79" s="28" t="n">
        <v>0.409836</v>
      </c>
      <c r="BN79" s="28" t="n"/>
      <c r="BO79" s="28" t="n"/>
      <c r="BP79" s="25" t="n"/>
      <c r="BQ79" s="27" t="n">
        <v>2.44</v>
      </c>
      <c r="BR79" s="28" t="n">
        <v>0.41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0.91</v>
      </c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0.409836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efb7e39a62af4d45</t>
        </is>
      </c>
      <c r="B80" s="24" t="inlineStr">
        <is>
          <t>2026-08-10T05:41:28.453324Z</t>
        </is>
      </c>
      <c r="C80" s="24" t="inlineStr">
        <is>
          <t>2026-08-10T08:00:00Z</t>
        </is>
      </c>
      <c r="D80" s="24" t="inlineStr">
        <is>
          <t>74319</t>
        </is>
      </c>
      <c r="E80" s="24" t="inlineStr">
        <is>
          <t>LOL</t>
        </is>
      </c>
      <c r="F80" s="24" t="inlineStr">
        <is>
          <t>KT Rolster Challengers</t>
        </is>
      </c>
      <c r="G80" s="24" t="inlineStr">
        <is>
          <t>DN SOOPers Challengers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-108</v>
      </c>
      <c r="M80" s="27" t="n">
        <v>1.925926</v>
      </c>
      <c r="N80" s="28" t="n">
        <v>0.519231</v>
      </c>
      <c r="O80" s="28" t="n">
        <v>0.515258</v>
      </c>
      <c r="P80" s="28" t="n"/>
      <c r="Q80" s="28" t="n">
        <v>-0.003973</v>
      </c>
      <c r="R80" s="26" t="n">
        <v>18</v>
      </c>
      <c r="S80" s="29" t="n">
        <v>1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-108</v>
      </c>
      <c r="AA80" s="28" t="n">
        <v>0.52</v>
      </c>
      <c r="AB80" s="28" t="n">
        <v>0.000769</v>
      </c>
      <c r="AC80" s="30" t="n">
        <v>0.9258999999999999</v>
      </c>
      <c r="AD80" s="24" t="inlineStr">
        <is>
          <t>2026-08-10T16:33:23.607795Z</t>
        </is>
      </c>
      <c r="AE80" s="31" t="inlineStr">
        <is>
          <t>Neutral Elo baseline; executable ask 0.5200 (market_slug=aec-lol-dnsc-ktc-2026-08-10).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KT Rolster Challengers</t>
        </is>
      </c>
      <c r="AQ80" s="24" t="inlineStr">
        <is>
          <t>KT Rolster Challengers</t>
        </is>
      </c>
      <c r="AR80" s="24" t="inlineStr">
        <is>
          <t>KT Rolster Challengers</t>
        </is>
      </c>
      <c r="AS80" s="24" t="inlineStr">
        <is>
          <t>DN SOOPers Challengers</t>
        </is>
      </c>
      <c r="AT80" s="24" t="inlineStr">
        <is>
          <t>DN SOOPers Challengers</t>
        </is>
      </c>
      <c r="AU80" s="24" t="inlineStr">
        <is>
          <t>DN SOOPers Challengers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1315e3fd57f39b5e423c7478ae4d488c4fac6a7f2c4f64188933b2184d22eecf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1315e3fd57f39b5e423c7478ae4d488c4fac6a7f2c4f64188933b2184d22eecf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2026-08-10T05:41:12.611497Z</t>
        </is>
      </c>
      <c r="BI80" s="24" t="inlineStr">
        <is>
          <t>["same_event","same_team_same_day","same_league_same_day"]</t>
        </is>
      </c>
      <c r="BJ80" s="25" t="n"/>
      <c r="BK80" s="26" t="n">
        <v>-108</v>
      </c>
      <c r="BL80" s="27" t="n">
        <v>1.925926</v>
      </c>
      <c r="BM80" s="28" t="n">
        <v>0.519231</v>
      </c>
      <c r="BN80" s="28" t="n"/>
      <c r="BO80" s="28" t="n"/>
      <c r="BP80" s="25" t="n"/>
      <c r="BQ80" s="27" t="n">
        <v>1.925926</v>
      </c>
      <c r="BR80" s="28" t="n">
        <v>0.52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0.91</v>
      </c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0.519231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b921cde2167e4c0b</t>
        </is>
      </c>
      <c r="B81" s="24" t="inlineStr">
        <is>
          <t>2026-08-10T05:41:28.453324Z</t>
        </is>
      </c>
      <c r="C81" s="24" t="inlineStr">
        <is>
          <t>2026-08-10T08:15:00Z</t>
        </is>
      </c>
      <c r="D81" s="24" t="inlineStr">
        <is>
          <t>74321</t>
        </is>
      </c>
      <c r="E81" s="24" t="inlineStr">
        <is>
          <t>LOL</t>
        </is>
      </c>
      <c r="F81" s="24" t="inlineStr">
        <is>
          <t>Kiwoom DRX</t>
        </is>
      </c>
      <c r="G81" s="24" t="inlineStr">
        <is>
          <t>DN SOOPers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-203</v>
      </c>
      <c r="M81" s="27" t="n">
        <v>1.492611</v>
      </c>
      <c r="N81" s="28" t="n">
        <v>0.669967</v>
      </c>
      <c r="O81" s="28" t="n">
        <v>0.52847</v>
      </c>
      <c r="P81" s="28" t="n"/>
      <c r="Q81" s="28" t="n">
        <v>-0.141497</v>
      </c>
      <c r="R81" s="26" t="n">
        <v>0</v>
      </c>
      <c r="S81" s="29" t="n">
        <v>1</v>
      </c>
      <c r="T81" s="24" t="inlineStr">
        <is>
          <t>lol-tiered-elo-v6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-203</v>
      </c>
      <c r="AA81" s="28" t="n">
        <v>0.67</v>
      </c>
      <c r="AB81" s="28" t="n">
        <v>3.3e-05</v>
      </c>
      <c r="AC81" s="30" t="n">
        <v>-1</v>
      </c>
      <c r="AD81" s="24" t="inlineStr">
        <is>
          <t>2026-08-10T16:33:25.999409Z</t>
        </is>
      </c>
      <c r="AE81" s="31" t="inlineStr">
        <is>
          <t>Neutral Elo baseline; executable ask 0.6700 (market_slug=aec-lol-dns-krx-2026-08-10).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Kiwoom DRX</t>
        </is>
      </c>
      <c r="AQ81" s="24" t="inlineStr">
        <is>
          <t>Kiwoom DRX</t>
        </is>
      </c>
      <c r="AR81" s="24" t="inlineStr">
        <is>
          <t>Kiwoom DRX</t>
        </is>
      </c>
      <c r="AS81" s="24" t="inlineStr">
        <is>
          <t>DN SOOPers</t>
        </is>
      </c>
      <c r="AT81" s="24" t="inlineStr">
        <is>
          <t>DN SOOPers</t>
        </is>
      </c>
      <c r="AU81" s="24" t="inlineStr">
        <is>
          <t>DN SOOPers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1315e3fd57f39b5e423c7478ae4d488c4fac6a7f2c4f64188933b2184d22eecf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1315e3fd57f39b5e423c7478ae4d488c4fac6a7f2c4f64188933b2184d22eecf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2026-08-10T05:41:13.128194Z</t>
        </is>
      </c>
      <c r="BI81" s="24" t="inlineStr">
        <is>
          <t>["same_event","same_team_same_day","same_league_same_day"]</t>
        </is>
      </c>
      <c r="BJ81" s="25" t="n"/>
      <c r="BK81" s="26" t="n">
        <v>-203</v>
      </c>
      <c r="BL81" s="27" t="n">
        <v>1.492611</v>
      </c>
      <c r="BM81" s="28" t="n">
        <v>0.669967</v>
      </c>
      <c r="BN81" s="28" t="n"/>
      <c r="BO81" s="28" t="n"/>
      <c r="BP81" s="25" t="n"/>
      <c r="BQ81" s="27" t="n">
        <v>1.492611</v>
      </c>
      <c r="BR81" s="28" t="n">
        <v>0.67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-1</v>
      </c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0.669967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8b9f0d713f8b441e</t>
        </is>
      </c>
      <c r="B82" s="24" t="inlineStr">
        <is>
          <t>2026-08-10T05:41:28.453324Z</t>
        </is>
      </c>
      <c r="C82" s="24" t="inlineStr">
        <is>
          <t>2026-08-10T15:00:00Z</t>
        </is>
      </c>
      <c r="D82" s="24" t="inlineStr">
        <is>
          <t>74409</t>
        </is>
      </c>
      <c r="E82" s="24" t="inlineStr">
        <is>
          <t>LOL</t>
        </is>
      </c>
      <c r="F82" s="24" t="inlineStr">
        <is>
          <t>Team Vitality</t>
        </is>
      </c>
      <c r="G82" s="24" t="inlineStr">
        <is>
          <t>SK Gaming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-194</v>
      </c>
      <c r="M82" s="27" t="n">
        <v>1.515464</v>
      </c>
      <c r="N82" s="28" t="n">
        <v>0.659864</v>
      </c>
      <c r="O82" s="28" t="n">
        <v>0.702856</v>
      </c>
      <c r="P82" s="28" t="n"/>
      <c r="Q82" s="28" t="n">
        <v>0.042992</v>
      </c>
      <c r="R82" s="26" t="n">
        <v>41</v>
      </c>
      <c r="S82" s="29" t="n">
        <v>2</v>
      </c>
      <c r="T82" s="24" t="inlineStr">
        <is>
          <t>lol-tiered-elo-v6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>
        <v>-194</v>
      </c>
      <c r="AA82" s="28" t="n">
        <v>0.66</v>
      </c>
      <c r="AB82" s="28" t="n">
        <v>0.000136</v>
      </c>
      <c r="AC82" s="30" t="n">
        <v>1.0309</v>
      </c>
      <c r="AD82" s="24" t="inlineStr">
        <is>
          <t>2026-08-10T16:33:28.208464Z</t>
        </is>
      </c>
      <c r="AE82" s="31" t="inlineStr">
        <is>
          <t>Neutral Elo baseline; executable ask 0.6600 (market_slug=aec-lol-sk-vit-2026-08-10).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Team Vitality</t>
        </is>
      </c>
      <c r="AQ82" s="24" t="inlineStr">
        <is>
          <t>Team Vitality</t>
        </is>
      </c>
      <c r="AR82" s="24" t="inlineStr">
        <is>
          <t>Team Vitality</t>
        </is>
      </c>
      <c r="AS82" s="24" t="inlineStr">
        <is>
          <t>SK Gaming</t>
        </is>
      </c>
      <c r="AT82" s="24" t="inlineStr">
        <is>
          <t>SK Gaming</t>
        </is>
      </c>
      <c r="AU82" s="24" t="inlineStr">
        <is>
          <t>SK Gaming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1315e3fd57f39b5e423c7478ae4d488c4fac6a7f2c4f64188933b2184d22eecf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1315e3fd57f39b5e423c7478ae4d488c4fac6a7f2c4f64188933b2184d22eecf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2026-08-10T05:41:14.500661Z</t>
        </is>
      </c>
      <c r="BI82" s="24" t="inlineStr">
        <is>
          <t>["same_event","same_team_same_day","same_league_same_day"]</t>
        </is>
      </c>
      <c r="BJ82" s="25" t="n"/>
      <c r="BK82" s="26" t="n">
        <v>-194</v>
      </c>
      <c r="BL82" s="27" t="n">
        <v>1.515464</v>
      </c>
      <c r="BM82" s="28" t="n">
        <v>0.659864</v>
      </c>
      <c r="BN82" s="28" t="n"/>
      <c r="BO82" s="28" t="n"/>
      <c r="BP82" s="25" t="n"/>
      <c r="BQ82" s="27" t="n">
        <v>1.515464</v>
      </c>
      <c r="BR82" s="28" t="n">
        <v>0.66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0.91</v>
      </c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0.659864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fc630d1748e749d7</t>
        </is>
      </c>
      <c r="B83" s="24" t="inlineStr">
        <is>
          <t>2026-08-10T16:36:52.218705Z</t>
        </is>
      </c>
      <c r="C83" s="24" t="inlineStr">
        <is>
          <t>2026-08-11T08:00:00Z</t>
        </is>
      </c>
      <c r="D83" s="24" t="inlineStr">
        <is>
          <t>75082</t>
        </is>
      </c>
      <c r="E83" s="24" t="inlineStr">
        <is>
          <t>LOL</t>
        </is>
      </c>
      <c r="F83" s="24" t="inlineStr">
        <is>
          <t>BNK FearX Youth</t>
        </is>
      </c>
      <c r="G83" s="24" t="inlineStr">
        <is>
          <t>Kiwoom DRX Challengers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150</v>
      </c>
      <c r="M83" s="27" t="n">
        <v>2.5</v>
      </c>
      <c r="N83" s="28" t="n">
        <v>0.4</v>
      </c>
      <c r="O83" s="28" t="n">
        <v>0.516839</v>
      </c>
      <c r="P83" s="28" t="n"/>
      <c r="Q83" s="28" t="n">
        <v>0.116839</v>
      </c>
      <c r="R83" s="26" t="n">
        <v>78</v>
      </c>
      <c r="S83" s="29" t="n">
        <v>1</v>
      </c>
      <c r="T83" s="24" t="inlineStr">
        <is>
          <t>lol-tiered-elo-v6</t>
        </is>
      </c>
      <c r="U83" s="24" t="inlineStr">
        <is>
          <t>settled</t>
        </is>
      </c>
      <c r="V83" s="24" t="inlineStr">
        <is>
          <t>loss</t>
        </is>
      </c>
      <c r="W83" s="26" t="n">
        <v>0</v>
      </c>
      <c r="X83" s="26" t="n">
        <v>1</v>
      </c>
      <c r="Y83" s="25" t="n"/>
      <c r="Z83" s="26" t="n"/>
      <c r="AA83" s="28" t="n"/>
      <c r="AB83" s="28" t="n"/>
      <c r="AC83" s="30" t="n">
        <v>-1</v>
      </c>
      <c r="AD83" s="24" t="inlineStr">
        <is>
          <t>2026-08-11T16:30:20.375212Z</t>
        </is>
      </c>
      <c r="AE83" s="31" t="inlineStr">
        <is>
          <t>Neutral Elo baseline; executable ask 0.4000 (market_slug=aec-lol-krxc-foxy-2026-08-11).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BNK FearX Youth</t>
        </is>
      </c>
      <c r="AQ83" s="24" t="inlineStr">
        <is>
          <t>BNK FearX Youth</t>
        </is>
      </c>
      <c r="AR83" s="24" t="inlineStr">
        <is>
          <t>BNK FearX Youth</t>
        </is>
      </c>
      <c r="AS83" s="24" t="inlineStr">
        <is>
          <t>Kiwoom DRX Challengers</t>
        </is>
      </c>
      <c r="AT83" s="24" t="inlineStr">
        <is>
          <t>Kiwoom DRX Challengers</t>
        </is>
      </c>
      <c r="AU83" s="24" t="inlineStr">
        <is>
          <t>Kiwoom DRX Challengers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b17a7ad5927b03dc324401003ec664ab1757d0145d4b926e56b78e2895a058ba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b17a7ad5927b03dc324401003ec664ab1757d0145d4b926e56b78e2895a058ba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2026-08-10T16:36:35.300904Z</t>
        </is>
      </c>
      <c r="BI83" s="24" t="inlineStr">
        <is>
          <t>["same_event","same_team_same_day","same_league_same_day"]</t>
        </is>
      </c>
      <c r="BJ83" s="25" t="n"/>
      <c r="BK83" s="26" t="n">
        <v>150</v>
      </c>
      <c r="BL83" s="27" t="n">
        <v>2.5</v>
      </c>
      <c r="BM83" s="28" t="n">
        <v>0.4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>
        <v>1</v>
      </c>
      <c r="BY83" s="27" t="n">
        <v>-1</v>
      </c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0.4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ec6f9205bc0e408c</t>
        </is>
      </c>
      <c r="B84" s="24" t="inlineStr">
        <is>
          <t>2026-08-10T16:36:52.218705Z</t>
        </is>
      </c>
      <c r="C84" s="24" t="inlineStr">
        <is>
          <t>2026-08-11T10:00:00Z</t>
        </is>
      </c>
      <c r="D84" s="24" t="inlineStr">
        <is>
          <t>75102</t>
        </is>
      </c>
      <c r="E84" s="24" t="inlineStr">
        <is>
          <t>LOL</t>
        </is>
      </c>
      <c r="F84" s="24" t="inlineStr">
        <is>
          <t>Dplus KIA Challengers</t>
        </is>
      </c>
      <c r="G84" s="24" t="inlineStr">
        <is>
          <t>Nongshim Esports Academy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104</v>
      </c>
      <c r="M84" s="27" t="n">
        <v>2.04</v>
      </c>
      <c r="N84" s="28" t="n">
        <v>0.490196</v>
      </c>
      <c r="O84" s="28" t="n">
        <v>0.600293</v>
      </c>
      <c r="P84" s="28" t="n"/>
      <c r="Q84" s="28" t="n">
        <v>0.110097</v>
      </c>
      <c r="R84" s="26" t="n">
        <v>75</v>
      </c>
      <c r="S84" s="29" t="n">
        <v>1.25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1.3</v>
      </c>
      <c r="AD84" s="24" t="inlineStr">
        <is>
          <t>2026-08-11T16:30:23.302709Z</t>
        </is>
      </c>
      <c r="AE84" s="31" t="inlineStr">
        <is>
          <t>Neutral Elo baseline; executable ask 0.4900 (market_slug=aec-lol-nsea-dkc-2026-08-11).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Dplus KIA Challengers</t>
        </is>
      </c>
      <c r="AQ84" s="24" t="inlineStr">
        <is>
          <t>Dplus KIA Challengers</t>
        </is>
      </c>
      <c r="AR84" s="24" t="inlineStr">
        <is>
          <t>Dplus KIA Challengers</t>
        </is>
      </c>
      <c r="AS84" s="24" t="inlineStr">
        <is>
          <t>Nongshim Esports Academy</t>
        </is>
      </c>
      <c r="AT84" s="24" t="inlineStr">
        <is>
          <t>Nongshim Esports Academy</t>
        </is>
      </c>
      <c r="AU84" s="24" t="inlineStr">
        <is>
          <t>Nongshim Esports Academy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b17a7ad5927b03dc324401003ec664ab1757d0145d4b926e56b78e2895a058ba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b17a7ad5927b03dc324401003ec664ab1757d0145d4b926e56b78e2895a058ba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2026-08-10T16:36:37.130668Z</t>
        </is>
      </c>
      <c r="BI84" s="24" t="inlineStr">
        <is>
          <t>["same_event","same_team_same_day","same_league_same_day"]</t>
        </is>
      </c>
      <c r="BJ84" s="25" t="n"/>
      <c r="BK84" s="26" t="n">
        <v>104</v>
      </c>
      <c r="BL84" s="27" t="n">
        <v>2.04</v>
      </c>
      <c r="BM84" s="28" t="n">
        <v>0.490196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>
        <v>1</v>
      </c>
      <c r="BY84" s="27" t="n">
        <v>0.91</v>
      </c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0.490196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2ab157bd2af5429a</t>
        </is>
      </c>
      <c r="B85" s="24" t="inlineStr">
        <is>
          <t>2026-08-11T16:56:35.179095Z</t>
        </is>
      </c>
      <c r="C85" s="24" t="inlineStr">
        <is>
          <t>2026-08-11T17:00:00Z</t>
        </is>
      </c>
      <c r="D85" s="24" t="inlineStr">
        <is>
          <t>75397</t>
        </is>
      </c>
      <c r="E85" s="24" t="inlineStr">
        <is>
          <t>LOL</t>
        </is>
      </c>
      <c r="F85" s="24" t="inlineStr">
        <is>
          <t>Forsaken</t>
        </is>
      </c>
      <c r="G85" s="24" t="inlineStr">
        <is>
          <t>Lodis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156</v>
      </c>
      <c r="M85" s="27" t="n">
        <v>2.56</v>
      </c>
      <c r="N85" s="28" t="n">
        <v>0.390625</v>
      </c>
      <c r="O85" s="28" t="n">
        <v>0.758714</v>
      </c>
      <c r="P85" s="28" t="n"/>
      <c r="Q85" s="28" t="n">
        <v>0.368089</v>
      </c>
      <c r="R85" s="26" t="n">
        <v>100</v>
      </c>
      <c r="S85" s="29" t="n">
        <v>2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>
        <v>156</v>
      </c>
      <c r="AA85" s="28" t="n">
        <v>0.39</v>
      </c>
      <c r="AB85" s="28" t="n">
        <v>-0.000625</v>
      </c>
      <c r="AC85" s="30" t="n">
        <v>3.12</v>
      </c>
      <c r="AD85" s="24" t="inlineStr">
        <is>
          <t>2026-08-11T23:00:45.081070Z</t>
        </is>
      </c>
      <c r="AE85" s="31" t="inlineStr">
        <is>
          <t>Neutral Elo baseline; executable ask 0.3900 (market_slug=aec-lol-lds-fsk-2026-08-11).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Forsaken</t>
        </is>
      </c>
      <c r="AQ85" s="24" t="inlineStr">
        <is>
          <t>Forsaken</t>
        </is>
      </c>
      <c r="AR85" s="24" t="inlineStr">
        <is>
          <t>Forsaken</t>
        </is>
      </c>
      <c r="AS85" s="24" t="inlineStr">
        <is>
          <t>Lodis</t>
        </is>
      </c>
      <c r="AT85" s="24" t="inlineStr">
        <is>
          <t>Lodis</t>
        </is>
      </c>
      <c r="AU85" s="24" t="inlineStr">
        <is>
          <t>Lodis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ed7267b514f407c2093b515500eb4a8b26567d3f07ecbd95b89717fa166d10fd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ed7267b514f407c2093b515500eb4a8b26567d3f07ecbd95b89717fa166d10fd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2026-08-11T16:56:16.156478Z</t>
        </is>
      </c>
      <c r="BI85" s="24" t="inlineStr">
        <is>
          <t>["same_event","same_team_same_day","same_league_same_day"]</t>
        </is>
      </c>
      <c r="BJ85" s="25" t="n"/>
      <c r="BK85" s="26" t="n">
        <v>156</v>
      </c>
      <c r="BL85" s="27" t="n">
        <v>2.56</v>
      </c>
      <c r="BM85" s="28" t="n">
        <v>0.390625</v>
      </c>
      <c r="BN85" s="28" t="n"/>
      <c r="BO85" s="28" t="n"/>
      <c r="BP85" s="25" t="n"/>
      <c r="BQ85" s="27" t="n">
        <v>2.56</v>
      </c>
      <c r="BR85" s="28" t="n">
        <v>0.39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0.91</v>
      </c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0.390625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d78fd10d91ef4cc7</t>
        </is>
      </c>
      <c r="B86" s="24" t="inlineStr">
        <is>
          <t>2026-08-11T17:26:54.301677Z</t>
        </is>
      </c>
      <c r="C86" s="24" t="inlineStr">
        <is>
          <t>2026-08-11T18:30:00Z</t>
        </is>
      </c>
      <c r="D86" s="24" t="inlineStr">
        <is>
          <t>75553</t>
        </is>
      </c>
      <c r="E86" s="24" t="inlineStr">
        <is>
          <t>LOL</t>
        </is>
      </c>
      <c r="F86" s="24" t="inlineStr">
        <is>
          <t>GnG Amazigh</t>
        </is>
      </c>
      <c r="G86" s="24" t="inlineStr">
        <is>
          <t>Baam Esports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-233</v>
      </c>
      <c r="M86" s="27" t="n">
        <v>1.429185</v>
      </c>
      <c r="N86" s="28" t="n">
        <v>0.6997</v>
      </c>
      <c r="O86" s="28" t="n">
        <v>0.6584950000000001</v>
      </c>
      <c r="P86" s="28" t="n"/>
      <c r="Q86" s="28" t="n">
        <v>-0.041205</v>
      </c>
      <c r="R86" s="26" t="n">
        <v>0</v>
      </c>
      <c r="S86" s="29" t="n">
        <v>1.75</v>
      </c>
      <c r="T86" s="24" t="inlineStr">
        <is>
          <t>lol-tiered-elo-v6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-233</v>
      </c>
      <c r="AA86" s="28" t="n">
        <v>0.7</v>
      </c>
      <c r="AB86" s="28" t="n">
        <v>0.0003</v>
      </c>
      <c r="AC86" s="30" t="n">
        <v>0.7511</v>
      </c>
      <c r="AD86" s="24" t="inlineStr">
        <is>
          <t>2026-08-11T19:54:57.674788Z</t>
        </is>
      </c>
      <c r="AE86" s="31" t="inlineStr">
        <is>
          <t>Neutral Elo baseline; executable ask 0.7000 (market_slug=aec-lol-bam-gng-2026-08-11).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GnG Amazigh</t>
        </is>
      </c>
      <c r="AQ86" s="24" t="inlineStr">
        <is>
          <t>GnG Amazigh</t>
        </is>
      </c>
      <c r="AR86" s="24" t="inlineStr">
        <is>
          <t>GnG Amazigh</t>
        </is>
      </c>
      <c r="AS86" s="24" t="inlineStr">
        <is>
          <t>Baam Esports</t>
        </is>
      </c>
      <c r="AT86" s="24" t="inlineStr">
        <is>
          <t>Baam Esports</t>
        </is>
      </c>
      <c r="AU86" s="24" t="inlineStr">
        <is>
          <t>Baam Esports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094bc0be45302e065418a9dc318acb2e7cfcfdb58b3b123f7b6c91000437d69b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094bc0be45302e065418a9dc318acb2e7cfcfdb58b3b123f7b6c91000437d69b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2026-08-11T17:26:35.974432Z</t>
        </is>
      </c>
      <c r="BI86" s="24" t="inlineStr">
        <is>
          <t>["same_event","same_team_same_day","same_league_same_day"]</t>
        </is>
      </c>
      <c r="BJ86" s="25" t="n"/>
      <c r="BK86" s="26" t="n">
        <v>-233</v>
      </c>
      <c r="BL86" s="27" t="n">
        <v>1.429185</v>
      </c>
      <c r="BM86" s="28" t="n">
        <v>0.6997</v>
      </c>
      <c r="BN86" s="28" t="n"/>
      <c r="BO86" s="28" t="n"/>
      <c r="BP86" s="25" t="n"/>
      <c r="BQ86" s="27" t="n">
        <v>1.429185</v>
      </c>
      <c r="BR86" s="28" t="n">
        <v>0.7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0.91</v>
      </c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0.6997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1cb0b425b3824c78</t>
        </is>
      </c>
      <c r="B87" s="24" t="inlineStr">
        <is>
          <t>2026-08-11T19:58:42.464012Z</t>
        </is>
      </c>
      <c r="C87" s="24" t="inlineStr">
        <is>
          <t>2026-08-11T20:00:00Z</t>
        </is>
      </c>
      <c r="D87" s="24" t="inlineStr">
        <is>
          <t>75895</t>
        </is>
      </c>
      <c r="E87" s="24" t="inlineStr">
        <is>
          <t>LOL</t>
        </is>
      </c>
      <c r="F87" s="24" t="inlineStr">
        <is>
          <t>7REX</t>
        </is>
      </c>
      <c r="G87" s="24" t="inlineStr">
        <is>
          <t>Team Solid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-104</v>
      </c>
      <c r="M87" s="27" t="n">
        <v>1.961538</v>
      </c>
      <c r="N87" s="28" t="n">
        <v>0.509804</v>
      </c>
      <c r="O87" s="28" t="n">
        <v>0.571583</v>
      </c>
      <c r="P87" s="28" t="n"/>
      <c r="Q87" s="28" t="n">
        <v>0.061779</v>
      </c>
      <c r="R87" s="26" t="n">
        <v>51</v>
      </c>
      <c r="S87" s="29" t="n">
        <v>1.25</v>
      </c>
      <c r="T87" s="24" t="inlineStr">
        <is>
          <t>lol-tiered-elo-v6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1</v>
      </c>
      <c r="X87" s="26" t="n">
        <v>0</v>
      </c>
      <c r="Y87" s="25" t="n"/>
      <c r="Z87" s="26" t="n">
        <v>-104</v>
      </c>
      <c r="AA87" s="28" t="n">
        <v>0.51</v>
      </c>
      <c r="AB87" s="28" t="n">
        <v>0.000196</v>
      </c>
      <c r="AC87" s="30" t="n">
        <v>1.2019</v>
      </c>
      <c r="AD87" s="24" t="inlineStr">
        <is>
          <t>2026-08-11T23:00:47.056895Z</t>
        </is>
      </c>
      <c r="AE87" s="31" t="inlineStr">
        <is>
          <t>Neutral Elo baseline; executable ask 0.5100 (market_slug=aec-lol-tse-7rex-2026-08-11).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7REX</t>
        </is>
      </c>
      <c r="AQ87" s="24" t="inlineStr">
        <is>
          <t>7REX</t>
        </is>
      </c>
      <c r="AR87" s="24" t="inlineStr">
        <is>
          <t>7REX</t>
        </is>
      </c>
      <c r="AS87" s="24" t="inlineStr">
        <is>
          <t>Team Solid</t>
        </is>
      </c>
      <c r="AT87" s="24" t="inlineStr">
        <is>
          <t>Team Solid</t>
        </is>
      </c>
      <c r="AU87" s="24" t="inlineStr">
        <is>
          <t>Team Solid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42520e1cbdeac477d4933d02c42aaf237b6f0d38e18175043ec37cabaabcb7e4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42520e1cbdeac477d4933d02c42aaf237b6f0d38e18175043ec37cabaabcb7e4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2026-08-11T19:58:26.471210Z</t>
        </is>
      </c>
      <c r="BI87" s="24" t="inlineStr">
        <is>
          <t>["same_event","same_team_same_day","same_league_same_day"]</t>
        </is>
      </c>
      <c r="BJ87" s="25" t="n"/>
      <c r="BK87" s="26" t="n">
        <v>-104</v>
      </c>
      <c r="BL87" s="27" t="n">
        <v>1.961538</v>
      </c>
      <c r="BM87" s="28" t="n">
        <v>0.509804</v>
      </c>
      <c r="BN87" s="28" t="n"/>
      <c r="BO87" s="28" t="n"/>
      <c r="BP87" s="25" t="n"/>
      <c r="BQ87" s="27" t="n">
        <v>1.961538</v>
      </c>
      <c r="BR87" s="28" t="n">
        <v>0.51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0.91</v>
      </c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0.509804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42f2b816d75c4ca3</t>
        </is>
      </c>
      <c r="B88" s="24" t="inlineStr">
        <is>
          <t>2026-08-11T19:58:42.464012Z</t>
        </is>
      </c>
      <c r="C88" s="24" t="inlineStr">
        <is>
          <t>2026-08-11T23:00:00Z</t>
        </is>
      </c>
      <c r="D88" s="24" t="inlineStr">
        <is>
          <t>76011</t>
        </is>
      </c>
      <c r="E88" s="24" t="inlineStr">
        <is>
          <t>LOL</t>
        </is>
      </c>
      <c r="F88" s="24" t="inlineStr">
        <is>
          <t>SDM Tigres</t>
        </is>
      </c>
      <c r="G88" s="24" t="inlineStr">
        <is>
          <t>Kits Esports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-104</v>
      </c>
      <c r="M88" s="27" t="n">
        <v>1.961538</v>
      </c>
      <c r="N88" s="28" t="n">
        <v>0.509804</v>
      </c>
      <c r="O88" s="28" t="n">
        <v>0.546502</v>
      </c>
      <c r="P88" s="28" t="n"/>
      <c r="Q88" s="28" t="n">
        <v>0.036698</v>
      </c>
      <c r="R88" s="26" t="n">
        <v>38</v>
      </c>
      <c r="S88" s="29" t="n">
        <v>1</v>
      </c>
      <c r="T88" s="24" t="inlineStr">
        <is>
          <t>lol-tiered-elo-v6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-104</v>
      </c>
      <c r="AA88" s="28" t="n">
        <v>0.51</v>
      </c>
      <c r="AB88" s="28" t="n">
        <v>0.000196</v>
      </c>
      <c r="AC88" s="30" t="n">
        <v>0.9615</v>
      </c>
      <c r="AD88" s="24" t="inlineStr">
        <is>
          <t>2026-08-12T05:13:00.854968Z</t>
        </is>
      </c>
      <c r="AE88" s="31" t="inlineStr">
        <is>
          <t>Neutral Elo baseline; executable ask 0.5100 (market_slug=aec-lol-kits-sdm-2026-08-11).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SDM Tigres</t>
        </is>
      </c>
      <c r="AQ88" s="24" t="inlineStr">
        <is>
          <t>SDM Tigres</t>
        </is>
      </c>
      <c r="AR88" s="24" t="inlineStr">
        <is>
          <t>SDM Tigres</t>
        </is>
      </c>
      <c r="AS88" s="24" t="inlineStr">
        <is>
          <t>Kits Esports</t>
        </is>
      </c>
      <c r="AT88" s="24" t="inlineStr">
        <is>
          <t>Kits Esports</t>
        </is>
      </c>
      <c r="AU88" s="24" t="inlineStr">
        <is>
          <t>Kits Esports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42520e1cbdeac477d4933d02c42aaf237b6f0d38e18175043ec37cabaabcb7e4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42520e1cbdeac477d4933d02c42aaf237b6f0d38e18175043ec37cabaabcb7e4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2026-08-11T19:58:26.927703Z</t>
        </is>
      </c>
      <c r="BI88" s="24" t="inlineStr">
        <is>
          <t>["same_event","same_team_same_day","same_league_same_day"]</t>
        </is>
      </c>
      <c r="BJ88" s="25" t="n"/>
      <c r="BK88" s="26" t="n">
        <v>-104</v>
      </c>
      <c r="BL88" s="27" t="n">
        <v>1.961538</v>
      </c>
      <c r="BM88" s="28" t="n">
        <v>0.509804</v>
      </c>
      <c r="BN88" s="28" t="n"/>
      <c r="BO88" s="28" t="n"/>
      <c r="BP88" s="25" t="n"/>
      <c r="BQ88" s="27" t="n">
        <v>1.961538</v>
      </c>
      <c r="BR88" s="28" t="n">
        <v>0.51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0.91</v>
      </c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0.509804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a8c207638a884964</t>
        </is>
      </c>
      <c r="B89" s="24" t="inlineStr">
        <is>
          <t>2026-08-12T02:10:17.108644Z</t>
        </is>
      </c>
      <c r="C89" s="24" t="inlineStr">
        <is>
          <t>2026-08-12T05:00:00Z</t>
        </is>
      </c>
      <c r="D89" s="24" t="inlineStr">
        <is>
          <t>76162</t>
        </is>
      </c>
      <c r="E89" s="24" t="inlineStr">
        <is>
          <t>LOL</t>
        </is>
      </c>
      <c r="F89" s="24" t="inlineStr">
        <is>
          <t>Hanwha Life Esports Challengers</t>
        </is>
      </c>
      <c r="G89" s="24" t="inlineStr">
        <is>
          <t>HANJIN BRION Challengers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-144</v>
      </c>
      <c r="M89" s="27" t="n">
        <v>1.694444</v>
      </c>
      <c r="N89" s="28" t="n">
        <v>0.590164</v>
      </c>
      <c r="O89" s="28" t="n">
        <v>0.516164</v>
      </c>
      <c r="P89" s="28" t="n"/>
      <c r="Q89" s="28" t="n">
        <v>-0.074</v>
      </c>
      <c r="R89" s="26" t="n">
        <v>0</v>
      </c>
      <c r="S89" s="29" t="n">
        <v>1</v>
      </c>
      <c r="T89" s="24" t="inlineStr">
        <is>
          <t>lol-tiered-elo-v6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0</v>
      </c>
      <c r="Y89" s="25" t="n"/>
      <c r="Z89" s="26" t="n"/>
      <c r="AA89" s="28" t="n"/>
      <c r="AB89" s="28" t="n"/>
      <c r="AC89" s="30" t="n">
        <v>0.6944</v>
      </c>
      <c r="AD89" s="24" t="inlineStr">
        <is>
          <t>2026-08-12T08:18:59.232322Z</t>
        </is>
      </c>
      <c r="AE89" s="31" t="inlineStr">
        <is>
          <t>Neutral Elo baseline; executable ask 0.5900 (market_slug=aec-lol-hbc-hlec-2026-08-12).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Hanwha Life Esports Challengers</t>
        </is>
      </c>
      <c r="AQ89" s="24" t="inlineStr">
        <is>
          <t>Hanwha Life Esports Challengers</t>
        </is>
      </c>
      <c r="AR89" s="24" t="inlineStr">
        <is>
          <t>Hanwha Life Esports Challengers</t>
        </is>
      </c>
      <c r="AS89" s="24" t="inlineStr">
        <is>
          <t>HANJIN BRION Challengers</t>
        </is>
      </c>
      <c r="AT89" s="24" t="inlineStr">
        <is>
          <t>HANJIN BRION Challengers</t>
        </is>
      </c>
      <c r="AU89" s="24" t="inlineStr">
        <is>
          <t>HANJIN BRION Challengers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0a1a9937c8ea35a479639d97ca2bcfaf8b896b5a7cbafe007cf994dc4325c086</t>
        </is>
      </c>
      <c r="BB89" s="24" t="inlineStr">
        <is>
          <t>neutral_elo</t>
        </is>
      </c>
      <c r="BC89" s="24" t="inlineStr">
        <is>
          <t>lol-tiered-elo-v6</t>
        </is>
      </c>
      <c r="BD89" s="24" t="inlineStr">
        <is>
          <t>0a1a9937c8ea35a479639d97ca2bcfaf8b896b5a7cbafe007cf994dc4325c086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lol-tiered-elo-v6</t>
        </is>
      </c>
      <c r="BH89" s="24" t="inlineStr">
        <is>
          <t>2026-08-12T02:10:02.364800Z</t>
        </is>
      </c>
      <c r="BI89" s="24" t="inlineStr">
        <is>
          <t>["same_event","same_team_same_day","same_league_same_day"]</t>
        </is>
      </c>
      <c r="BJ89" s="25" t="n"/>
      <c r="BK89" s="26" t="n">
        <v>-144</v>
      </c>
      <c r="BL89" s="27" t="n">
        <v>1.694444</v>
      </c>
      <c r="BM89" s="28" t="n">
        <v>0.590164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0.590164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67bc282d96e64d99</t>
        </is>
      </c>
      <c r="B90" s="24" t="inlineStr">
        <is>
          <t>2026-08-12T05:16:40.582345Z</t>
        </is>
      </c>
      <c r="C90" s="24" t="inlineStr">
        <is>
          <t>2026-08-12T08:00:00Z</t>
        </is>
      </c>
      <c r="D90" s="24" t="inlineStr">
        <is>
          <t>76176</t>
        </is>
      </c>
      <c r="E90" s="24" t="inlineStr">
        <is>
          <t>LOL</t>
        </is>
      </c>
      <c r="F90" s="24" t="inlineStr">
        <is>
          <t>Nongshim Red Force</t>
        </is>
      </c>
      <c r="G90" s="24" t="inlineStr">
        <is>
          <t>DN SOOPers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150</v>
      </c>
      <c r="M90" s="27" t="n">
        <v>2.5</v>
      </c>
      <c r="N90" s="28" t="n">
        <v>0.4</v>
      </c>
      <c r="O90" s="28" t="n">
        <v>0.538872</v>
      </c>
      <c r="P90" s="28" t="n"/>
      <c r="Q90" s="28" t="n">
        <v>0.138872</v>
      </c>
      <c r="R90" s="26" t="n">
        <v>89</v>
      </c>
      <c r="S90" s="29" t="n">
        <v>1</v>
      </c>
      <c r="T90" s="24" t="inlineStr">
        <is>
          <t>lol-tiered-elo-v6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150</v>
      </c>
      <c r="AA90" s="28" t="n">
        <v>0.4</v>
      </c>
      <c r="AB90" s="28" t="n">
        <v>0</v>
      </c>
      <c r="AC90" s="30" t="n">
        <v>1.5</v>
      </c>
      <c r="AD90" s="24" t="inlineStr">
        <is>
          <t>2026-08-12T11:25:36.023326Z</t>
        </is>
      </c>
      <c r="AE90" s="31" t="inlineStr">
        <is>
          <t>Neutral Elo baseline; executable ask 0.4000 (market_slug=aec-lol-dns-ns-2026-08-12).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Nongshim Red Force</t>
        </is>
      </c>
      <c r="AQ90" s="24" t="inlineStr">
        <is>
          <t>Nongshim Red Force</t>
        </is>
      </c>
      <c r="AR90" s="24" t="inlineStr">
        <is>
          <t>Nongshim Red Force</t>
        </is>
      </c>
      <c r="AS90" s="24" t="inlineStr">
        <is>
          <t>DN SOOPers</t>
        </is>
      </c>
      <c r="AT90" s="24" t="inlineStr">
        <is>
          <t>DN SOOPers</t>
        </is>
      </c>
      <c r="AU90" s="24" t="inlineStr">
        <is>
          <t>DN SOOPers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5fa3e5dd2ed25c20af7f0b7693e2291536f17559c47f3686346f2079d8e5866e</t>
        </is>
      </c>
      <c r="BB90" s="24" t="inlineStr">
        <is>
          <t>neutral_elo</t>
        </is>
      </c>
      <c r="BC90" s="24" t="inlineStr">
        <is>
          <t>lol-tiered-elo-v6</t>
        </is>
      </c>
      <c r="BD90" s="24" t="inlineStr">
        <is>
          <t>5fa3e5dd2ed25c20af7f0b7693e2291536f17559c47f3686346f2079d8e5866e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lol-tiered-elo-v6</t>
        </is>
      </c>
      <c r="BH90" s="24" t="inlineStr">
        <is>
          <t>2026-08-12T05:16:07.484937Z</t>
        </is>
      </c>
      <c r="BI90" s="24" t="inlineStr">
        <is>
          <t>["same_event","same_team_same_day","same_league_same_day"]</t>
        </is>
      </c>
      <c r="BJ90" s="25" t="n"/>
      <c r="BK90" s="26" t="n">
        <v>150</v>
      </c>
      <c r="BL90" s="27" t="n">
        <v>2.5</v>
      </c>
      <c r="BM90" s="28" t="n">
        <v>0.4</v>
      </c>
      <c r="BN90" s="28" t="n"/>
      <c r="BO90" s="28" t="n"/>
      <c r="BP90" s="25" t="n"/>
      <c r="BQ90" s="27" t="n">
        <v>2.5</v>
      </c>
      <c r="BR90" s="28" t="n">
        <v>0.4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de724dfddb7e41cc</t>
        </is>
      </c>
      <c r="B91" s="24" t="inlineStr">
        <is>
          <t>2026-08-12T08:22:55.302458Z</t>
        </is>
      </c>
      <c r="C91" s="24" t="inlineStr">
        <is>
          <t>2026-08-12T10:00:00Z</t>
        </is>
      </c>
      <c r="D91" s="24" t="inlineStr">
        <is>
          <t>76202</t>
        </is>
      </c>
      <c r="E91" s="24" t="inlineStr">
        <is>
          <t>LOL</t>
        </is>
      </c>
      <c r="F91" s="24" t="inlineStr">
        <is>
          <t>Dplus KIA</t>
        </is>
      </c>
      <c r="G91" s="24" t="inlineStr">
        <is>
          <t>KT Rolster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-178</v>
      </c>
      <c r="M91" s="27" t="n">
        <v>1.561798</v>
      </c>
      <c r="N91" s="28" t="n">
        <v>0.640288</v>
      </c>
      <c r="O91" s="28" t="n">
        <v>0.61241</v>
      </c>
      <c r="P91" s="28" t="n"/>
      <c r="Q91" s="28" t="n">
        <v>-0.027878</v>
      </c>
      <c r="R91" s="26" t="n">
        <v>6</v>
      </c>
      <c r="S91" s="29" t="n">
        <v>1.5</v>
      </c>
      <c r="T91" s="24" t="inlineStr">
        <is>
          <t>lol-tiered-elo-v6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-178</v>
      </c>
      <c r="AA91" s="28" t="n">
        <v>0.64</v>
      </c>
      <c r="AB91" s="28" t="n">
        <v>-0.000288</v>
      </c>
      <c r="AC91" s="30" t="n">
        <v>0.8427</v>
      </c>
      <c r="AD91" s="24" t="inlineStr">
        <is>
          <t>2026-08-12T14:33:10.108070Z</t>
        </is>
      </c>
      <c r="AE91" s="31" t="inlineStr">
        <is>
          <t>Neutral Elo baseline; executable ask 0.6400 (market_slug=aec-lol-kt-dk-2026-08-12).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Dplus KIA</t>
        </is>
      </c>
      <c r="AQ91" s="24" t="inlineStr">
        <is>
          <t>Dplus KIA</t>
        </is>
      </c>
      <c r="AR91" s="24" t="inlineStr">
        <is>
          <t>Dplus KIA</t>
        </is>
      </c>
      <c r="AS91" s="24" t="inlineStr">
        <is>
          <t>KT Rolster</t>
        </is>
      </c>
      <c r="AT91" s="24" t="inlineStr">
        <is>
          <t>KT Rolster</t>
        </is>
      </c>
      <c r="AU91" s="24" t="inlineStr">
        <is>
          <t>KT Rolster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0fdc4ef6e480db7cffb6651a7b02dca90ed7f8f9ea71a40df3acbef431bd8491</t>
        </is>
      </c>
      <c r="BB91" s="24" t="inlineStr">
        <is>
          <t>neutral_elo</t>
        </is>
      </c>
      <c r="BC91" s="24" t="inlineStr">
        <is>
          <t>lol-tiered-elo-v6</t>
        </is>
      </c>
      <c r="BD91" s="24" t="inlineStr">
        <is>
          <t>0fdc4ef6e480db7cffb6651a7b02dca90ed7f8f9ea71a40df3acbef431bd8491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lol-tiered-elo-v6</t>
        </is>
      </c>
      <c r="BH91" s="24" t="inlineStr">
        <is>
          <t>2026-08-12T08:22:24.424668Z</t>
        </is>
      </c>
      <c r="BI91" s="24" t="inlineStr">
        <is>
          <t>["same_event","same_team_same_day","same_league_same_day"]</t>
        </is>
      </c>
      <c r="BJ91" s="25" t="n"/>
      <c r="BK91" s="26" t="n">
        <v>-178</v>
      </c>
      <c r="BL91" s="27" t="n">
        <v>1.561798</v>
      </c>
      <c r="BM91" s="28" t="n">
        <v>0.640288</v>
      </c>
      <c r="BN91" s="28" t="n"/>
      <c r="BO91" s="28" t="n"/>
      <c r="BP91" s="25" t="n"/>
      <c r="BQ91" s="27" t="n">
        <v>1.561798</v>
      </c>
      <c r="BR91" s="28" t="n">
        <v>0.64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0.640288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158692428e214e90</t>
        </is>
      </c>
      <c r="B92" s="24" t="inlineStr">
        <is>
          <t>2026-08-12T11:30:32.213742Z</t>
        </is>
      </c>
      <c r="C92" s="24" t="inlineStr">
        <is>
          <t>2026-08-12T14:00:00Z</t>
        </is>
      </c>
      <c r="D92" s="24" t="inlineStr">
        <is>
          <t>78193</t>
        </is>
      </c>
      <c r="E92" s="24" t="inlineStr">
        <is>
          <t>LOL</t>
        </is>
      </c>
      <c r="F92" s="24" t="inlineStr">
        <is>
          <t>eSuba</t>
        </is>
      </c>
      <c r="G92" s="24" t="inlineStr">
        <is>
          <t>Onion Team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-150</v>
      </c>
      <c r="M92" s="27" t="n">
        <v>1.666667</v>
      </c>
      <c r="N92" s="28" t="n">
        <v>0.6</v>
      </c>
      <c r="O92" s="28" t="n">
        <v>0.689456</v>
      </c>
      <c r="P92" s="28" t="n"/>
      <c r="Q92" s="28" t="n">
        <v>0.08945599999999999</v>
      </c>
      <c r="R92" s="26" t="n">
        <v>65</v>
      </c>
      <c r="S92" s="29" t="n">
        <v>2</v>
      </c>
      <c r="T92" s="24" t="inlineStr">
        <is>
          <t>lol-tiered-elo-v6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0</v>
      </c>
      <c r="Y92" s="25" t="n"/>
      <c r="Z92" s="26" t="n">
        <v>-150</v>
      </c>
      <c r="AA92" s="28" t="n">
        <v>0.6</v>
      </c>
      <c r="AB92" s="28" t="n">
        <v>0</v>
      </c>
      <c r="AC92" s="30" t="n">
        <v>1.3333</v>
      </c>
      <c r="AD92" s="24" t="inlineStr">
        <is>
          <t>2026-08-12T16:40:46.263894Z</t>
        </is>
      </c>
      <c r="AE92" s="31" t="inlineStr">
        <is>
          <t>Neutral Elo baseline; executable ask 0.6000 (market_slug=aec-lol-ot-esb-2026-08-12).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eSuba</t>
        </is>
      </c>
      <c r="AQ92" s="24" t="inlineStr">
        <is>
          <t>eSuba</t>
        </is>
      </c>
      <c r="AR92" s="24" t="inlineStr">
        <is>
          <t>eSuba</t>
        </is>
      </c>
      <c r="AS92" s="24" t="inlineStr">
        <is>
          <t>Onion Team</t>
        </is>
      </c>
      <c r="AT92" s="24" t="inlineStr">
        <is>
          <t>Onion Team</t>
        </is>
      </c>
      <c r="AU92" s="24" t="inlineStr">
        <is>
          <t>Onion Team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4004f0e3360462f746285bc9ac60db48513fe8f4f57bf664e3db630f4bf8de66</t>
        </is>
      </c>
      <c r="BB92" s="24" t="inlineStr">
        <is>
          <t>neutral_elo</t>
        </is>
      </c>
      <c r="BC92" s="24" t="inlineStr">
        <is>
          <t>lol-tiered-elo-v6</t>
        </is>
      </c>
      <c r="BD92" s="24" t="inlineStr">
        <is>
          <t>4004f0e3360462f746285bc9ac60db48513fe8f4f57bf664e3db630f4bf8de66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lol-tiered-elo-v6</t>
        </is>
      </c>
      <c r="BH92" s="24" t="inlineStr">
        <is>
          <t>2026-08-12T11:30:03.514727Z</t>
        </is>
      </c>
      <c r="BI92" s="24" t="inlineStr">
        <is>
          <t>["same_event","same_team_same_day","same_league_same_day"]</t>
        </is>
      </c>
      <c r="BJ92" s="25" t="n"/>
      <c r="BK92" s="26" t="n">
        <v>-150</v>
      </c>
      <c r="BL92" s="27" t="n">
        <v>1.666667</v>
      </c>
      <c r="BM92" s="28" t="n">
        <v>0.6</v>
      </c>
      <c r="BN92" s="28" t="n"/>
      <c r="BO92" s="28" t="n"/>
      <c r="BP92" s="25" t="n"/>
      <c r="BQ92" s="27" t="n">
        <v>1.666667</v>
      </c>
      <c r="BR92" s="28" t="n">
        <v>0.6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785f06bf1929474a</t>
        </is>
      </c>
      <c r="B93" s="24" t="inlineStr">
        <is>
          <t>2026-08-12T14:37:37.206527Z</t>
        </is>
      </c>
      <c r="C93" s="24" t="inlineStr">
        <is>
          <t>2026-08-12T16:00:00Z</t>
        </is>
      </c>
      <c r="D93" s="24" t="inlineStr">
        <is>
          <t>77168</t>
        </is>
      </c>
      <c r="E93" s="24" t="inlineStr">
        <is>
          <t>LOL</t>
        </is>
      </c>
      <c r="F93" s="24" t="inlineStr">
        <is>
          <t>TLN Pirates</t>
        </is>
      </c>
      <c r="G93" s="24" t="inlineStr">
        <is>
          <t>Ici Japon Corp. Esport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-138</v>
      </c>
      <c r="M93" s="27" t="n">
        <v>1.724638</v>
      </c>
      <c r="N93" s="28" t="n">
        <v>0.579832</v>
      </c>
      <c r="O93" s="28" t="n">
        <v>0.5449889999999999</v>
      </c>
      <c r="P93" s="28" t="n"/>
      <c r="Q93" s="28" t="n">
        <v>-0.034843</v>
      </c>
      <c r="R93" s="26" t="n">
        <v>3</v>
      </c>
      <c r="S93" s="29" t="n">
        <v>1</v>
      </c>
      <c r="T93" s="24" t="inlineStr">
        <is>
          <t>lol-tiered-elo-v6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0</v>
      </c>
      <c r="Y93" s="25" t="n"/>
      <c r="Z93" s="26" t="n">
        <v>-138</v>
      </c>
      <c r="AA93" s="28" t="n">
        <v>0.58</v>
      </c>
      <c r="AB93" s="28" t="n">
        <v>0.000168</v>
      </c>
      <c r="AC93" s="30" t="n">
        <v>0.7246</v>
      </c>
      <c r="AD93" s="24" t="inlineStr">
        <is>
          <t>2026-08-12T21:15:33.691084Z</t>
        </is>
      </c>
      <c r="AE93" s="31" t="inlineStr">
        <is>
          <t>Neutral Elo baseline; executable ask 0.5800 (market_slug=aec-lol-ijc-tlnp-2026-08-12).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TLN Pirates</t>
        </is>
      </c>
      <c r="AQ93" s="24" t="inlineStr">
        <is>
          <t>TLN Pirates</t>
        </is>
      </c>
      <c r="AR93" s="24" t="inlineStr">
        <is>
          <t>TLN Pirates</t>
        </is>
      </c>
      <c r="AS93" s="24" t="inlineStr">
        <is>
          <t>Ici Japon Corp. Esport</t>
        </is>
      </c>
      <c r="AT93" s="24" t="inlineStr">
        <is>
          <t>Ici Japon Corp. Esport</t>
        </is>
      </c>
      <c r="AU93" s="24" t="inlineStr">
        <is>
          <t>Ici Japon Corp. Esport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5d984128685f3b64d7a3d96ad1f15678400010a71505611bcd09049cf2b58fdd</t>
        </is>
      </c>
      <c r="BB93" s="24" t="inlineStr">
        <is>
          <t>neutral_elo</t>
        </is>
      </c>
      <c r="BC93" s="24" t="inlineStr">
        <is>
          <t>lol-tiered-elo-v6</t>
        </is>
      </c>
      <c r="BD93" s="24" t="inlineStr">
        <is>
          <t>5d984128685f3b64d7a3d96ad1f15678400010a71505611bcd09049cf2b58fdd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lol-tiered-elo-v6</t>
        </is>
      </c>
      <c r="BH93" s="24" t="inlineStr">
        <is>
          <t>2026-08-12T14:37:12.027945Z</t>
        </is>
      </c>
      <c r="BI93" s="24" t="inlineStr">
        <is>
          <t>["same_event","same_team_same_day","same_league_same_day"]</t>
        </is>
      </c>
      <c r="BJ93" s="25" t="n"/>
      <c r="BK93" s="26" t="n">
        <v>-138</v>
      </c>
      <c r="BL93" s="27" t="n">
        <v>1.724638</v>
      </c>
      <c r="BM93" s="28" t="n">
        <v>0.579832</v>
      </c>
      <c r="BN93" s="28" t="n"/>
      <c r="BO93" s="28" t="n"/>
      <c r="BP93" s="25" t="n"/>
      <c r="BQ93" s="27" t="n">
        <v>1.724638</v>
      </c>
      <c r="BR93" s="28" t="n">
        <v>0.58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0.579832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533f03244b664e0f</t>
        </is>
      </c>
      <c r="B94" s="24" t="inlineStr">
        <is>
          <t>2026-08-12T14:37:37.206527Z</t>
        </is>
      </c>
      <c r="C94" s="24" t="inlineStr">
        <is>
          <t>2026-08-12T16:00:00Z</t>
        </is>
      </c>
      <c r="D94" s="24" t="inlineStr">
        <is>
          <t>76408</t>
        </is>
      </c>
      <c r="E94" s="24" t="inlineStr">
        <is>
          <t>LOL</t>
        </is>
      </c>
      <c r="F94" s="24" t="inlineStr">
        <is>
          <t>JSK Esports</t>
        </is>
      </c>
      <c r="G94" s="24" t="inlineStr">
        <is>
          <t>Disruptors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194</v>
      </c>
      <c r="M94" s="27" t="n">
        <v>2.94</v>
      </c>
      <c r="N94" s="28" t="n">
        <v>0.340136</v>
      </c>
      <c r="O94" s="28" t="n">
        <v>0.540932</v>
      </c>
      <c r="P94" s="28" t="n"/>
      <c r="Q94" s="28" t="n">
        <v>0.200796</v>
      </c>
      <c r="R94" s="26" t="n">
        <v>100</v>
      </c>
      <c r="S94" s="29" t="n">
        <v>1</v>
      </c>
      <c r="T94" s="24" t="inlineStr">
        <is>
          <t>lol-tiered-elo-v6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194</v>
      </c>
      <c r="AA94" s="28" t="n">
        <v>0.34</v>
      </c>
      <c r="AB94" s="28" t="n">
        <v>-0.000136</v>
      </c>
      <c r="AC94" s="30" t="n">
        <v>-1</v>
      </c>
      <c r="AD94" s="24" t="inlineStr">
        <is>
          <t>2026-08-12T21:15:35.413513Z</t>
        </is>
      </c>
      <c r="AE94" s="31" t="inlineStr">
        <is>
          <t>Neutral Elo baseline; executable ask 0.3400 (market_slug=aec-lol-ds-jsk-2026-08-12).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JSK Esports</t>
        </is>
      </c>
      <c r="AQ94" s="24" t="inlineStr">
        <is>
          <t>JSK Esports</t>
        </is>
      </c>
      <c r="AR94" s="24" t="inlineStr">
        <is>
          <t>JSK Esports</t>
        </is>
      </c>
      <c r="AS94" s="24" t="inlineStr">
        <is>
          <t>Disruptors</t>
        </is>
      </c>
      <c r="AT94" s="24" t="inlineStr">
        <is>
          <t>Disruptors</t>
        </is>
      </c>
      <c r="AU94" s="24" t="inlineStr">
        <is>
          <t>Disruptors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5d984128685f3b64d7a3d96ad1f15678400010a71505611bcd09049cf2b58fdd</t>
        </is>
      </c>
      <c r="BB94" s="24" t="inlineStr">
        <is>
          <t>neutral_elo</t>
        </is>
      </c>
      <c r="BC94" s="24" t="inlineStr">
        <is>
          <t>lol-tiered-elo-v6</t>
        </is>
      </c>
      <c r="BD94" s="24" t="inlineStr">
        <is>
          <t>5d984128685f3b64d7a3d96ad1f15678400010a71505611bcd09049cf2b58fdd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lol-tiered-elo-v6</t>
        </is>
      </c>
      <c r="BH94" s="24" t="inlineStr">
        <is>
          <t>2026-08-12T14:37:12.998440Z</t>
        </is>
      </c>
      <c r="BI94" s="24" t="inlineStr">
        <is>
          <t>["same_event","same_team_same_day","same_league_same_day"]</t>
        </is>
      </c>
      <c r="BJ94" s="25" t="n"/>
      <c r="BK94" s="26" t="n">
        <v>194</v>
      </c>
      <c r="BL94" s="27" t="n">
        <v>2.94</v>
      </c>
      <c r="BM94" s="28" t="n">
        <v>0.340136</v>
      </c>
      <c r="BN94" s="28" t="n"/>
      <c r="BO94" s="28" t="n"/>
      <c r="BP94" s="25" t="n"/>
      <c r="BQ94" s="27" t="n">
        <v>2.94</v>
      </c>
      <c r="BR94" s="28" t="n">
        <v>0.34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0.340136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a4fad993689a40e8</t>
        </is>
      </c>
      <c r="B95" s="24" t="inlineStr">
        <is>
          <t>2026-08-12T14:37:37.206527Z</t>
        </is>
      </c>
      <c r="C95" s="24" t="inlineStr">
        <is>
          <t>2026-08-12T16:00:00Z</t>
        </is>
      </c>
      <c r="D95" s="24" t="inlineStr">
        <is>
          <t>76409</t>
        </is>
      </c>
      <c r="E95" s="24" t="inlineStr">
        <is>
          <t>LOL</t>
        </is>
      </c>
      <c r="F95" s="24" t="inlineStr">
        <is>
          <t>Rich Gang</t>
        </is>
      </c>
      <c r="G95" s="24" t="inlineStr">
        <is>
          <t>Volda E-Sport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-194</v>
      </c>
      <c r="M95" s="27" t="n">
        <v>1.515464</v>
      </c>
      <c r="N95" s="28" t="n">
        <v>0.659864</v>
      </c>
      <c r="O95" s="28" t="n">
        <v>0.502349</v>
      </c>
      <c r="P95" s="28" t="n"/>
      <c r="Q95" s="28" t="n">
        <v>-0.157515</v>
      </c>
      <c r="R95" s="26" t="n">
        <v>0</v>
      </c>
      <c r="S95" s="29" t="n">
        <v>1</v>
      </c>
      <c r="T95" s="24" t="inlineStr">
        <is>
          <t>lol-tiered-elo-v6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-194</v>
      </c>
      <c r="AA95" s="28" t="n">
        <v>0.66</v>
      </c>
      <c r="AB95" s="28" t="n">
        <v>0.000136</v>
      </c>
      <c r="AC95" s="30" t="n">
        <v>0.5155</v>
      </c>
      <c r="AD95" s="24" t="inlineStr">
        <is>
          <t>2026-08-12T17:40:27.660360Z</t>
        </is>
      </c>
      <c r="AE95" s="31" t="inlineStr">
        <is>
          <t>Neutral Elo baseline; executable ask 0.6600 (market_slug=aec-lol-ves-rgi-2026-08-12).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Rich Gang</t>
        </is>
      </c>
      <c r="AQ95" s="24" t="inlineStr">
        <is>
          <t>Rich Gang</t>
        </is>
      </c>
      <c r="AR95" s="24" t="inlineStr">
        <is>
          <t>Rich Gang</t>
        </is>
      </c>
      <c r="AS95" s="24" t="inlineStr">
        <is>
          <t>Volda E-Sport</t>
        </is>
      </c>
      <c r="AT95" s="24" t="inlineStr">
        <is>
          <t>Volda E-Sport</t>
        </is>
      </c>
      <c r="AU95" s="24" t="inlineStr">
        <is>
          <t>Volda E-Sport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5d984128685f3b64d7a3d96ad1f15678400010a71505611bcd09049cf2b58fdd</t>
        </is>
      </c>
      <c r="BB95" s="24" t="inlineStr">
        <is>
          <t>neutral_elo</t>
        </is>
      </c>
      <c r="BC95" s="24" t="inlineStr">
        <is>
          <t>lol-tiered-elo-v6</t>
        </is>
      </c>
      <c r="BD95" s="24" t="inlineStr">
        <is>
          <t>5d984128685f3b64d7a3d96ad1f15678400010a71505611bcd09049cf2b58fdd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lol-tiered-elo-v6</t>
        </is>
      </c>
      <c r="BH95" s="24" t="inlineStr">
        <is>
          <t>2026-08-12T14:37:13.498163Z</t>
        </is>
      </c>
      <c r="BI95" s="24" t="inlineStr">
        <is>
          <t>["same_event","same_team_same_day","same_league_same_day"]</t>
        </is>
      </c>
      <c r="BJ95" s="25" t="n"/>
      <c r="BK95" s="26" t="n">
        <v>-194</v>
      </c>
      <c r="BL95" s="27" t="n">
        <v>1.515464</v>
      </c>
      <c r="BM95" s="28" t="n">
        <v>0.659864</v>
      </c>
      <c r="BN95" s="28" t="n"/>
      <c r="BO95" s="28" t="n"/>
      <c r="BP95" s="25" t="n"/>
      <c r="BQ95" s="27" t="n">
        <v>1.515464</v>
      </c>
      <c r="BR95" s="28" t="n">
        <v>0.66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0.659864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d06dd804b8744a79</t>
        </is>
      </c>
      <c r="B96" s="24" t="inlineStr">
        <is>
          <t>2026-08-12T17:44:54.191555Z</t>
        </is>
      </c>
      <c r="C96" s="24" t="inlineStr">
        <is>
          <t>2026-08-12T18:00:00Z</t>
        </is>
      </c>
      <c r="D96" s="24" t="inlineStr">
        <is>
          <t>76532</t>
        </is>
      </c>
      <c r="E96" s="24" t="inlineStr">
        <is>
          <t>LOL</t>
        </is>
      </c>
      <c r="F96" s="24" t="inlineStr">
        <is>
          <t>Capybara Esports</t>
        </is>
      </c>
      <c r="G96" s="24" t="inlineStr">
        <is>
          <t>Dream Esports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0.517262</v>
      </c>
      <c r="P96" s="28" t="n"/>
      <c r="Q96" s="28" t="n">
        <v>-0.053553</v>
      </c>
      <c r="R96" s="26" t="n">
        <v>0</v>
      </c>
      <c r="S96" s="29" t="n">
        <v>1</v>
      </c>
      <c r="T96" s="24" t="inlineStr">
        <is>
          <t>lol-tiered-elo-v6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0.7519</v>
      </c>
      <c r="AD96" s="24" t="inlineStr">
        <is>
          <t>2026-08-12T21:15:37.035242Z</t>
        </is>
      </c>
      <c r="AE96" s="31" t="inlineStr">
        <is>
          <t>Neutral Elo baseline; executable ask 0.5700 (market_slug=aec-lol-drm-capy-2026-08-12).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Capybara Esports</t>
        </is>
      </c>
      <c r="AQ96" s="24" t="inlineStr">
        <is>
          <t>Capybara Esports</t>
        </is>
      </c>
      <c r="AR96" s="24" t="inlineStr">
        <is>
          <t>Capybara Esports</t>
        </is>
      </c>
      <c r="AS96" s="24" t="inlineStr">
        <is>
          <t>Dream Esports</t>
        </is>
      </c>
      <c r="AT96" s="24" t="inlineStr">
        <is>
          <t>Dream Esports</t>
        </is>
      </c>
      <c r="AU96" s="24" t="inlineStr">
        <is>
          <t>Dream Esports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698fbd14da7d032b3a980c8214767b8eb223167868cd2cea373258eb5e4ac7b4</t>
        </is>
      </c>
      <c r="BB96" s="24" t="inlineStr">
        <is>
          <t>neutral_elo</t>
        </is>
      </c>
      <c r="BC96" s="24" t="inlineStr">
        <is>
          <t>lol-tiered-elo-v6</t>
        </is>
      </c>
      <c r="BD96" s="24" t="inlineStr">
        <is>
          <t>698fbd14da7d032b3a980c8214767b8eb223167868cd2cea373258eb5e4ac7b4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lol-tiered-elo-v6</t>
        </is>
      </c>
      <c r="BH96" s="24" t="inlineStr">
        <is>
          <t>2026-08-12T17:44:27.667035Z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db790799101d4783</t>
        </is>
      </c>
      <c r="B97" s="24" t="inlineStr">
        <is>
          <t>2026-08-12T17:44:54.191555Z</t>
        </is>
      </c>
      <c r="C97" s="24" t="inlineStr">
        <is>
          <t>2026-08-12T18:00:00Z</t>
        </is>
      </c>
      <c r="D97" s="24" t="inlineStr">
        <is>
          <t>76534</t>
        </is>
      </c>
      <c r="E97" s="24" t="inlineStr">
        <is>
          <t>LOL</t>
        </is>
      </c>
      <c r="F97" s="24" t="inlineStr">
        <is>
          <t>Absolved</t>
        </is>
      </c>
      <c r="G97" s="24" t="inlineStr">
        <is>
          <t>DMG Esports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-213</v>
      </c>
      <c r="M97" s="27" t="n">
        <v>1.469484</v>
      </c>
      <c r="N97" s="28" t="n">
        <v>0.680511</v>
      </c>
      <c r="O97" s="28" t="n">
        <v>0.524795</v>
      </c>
      <c r="P97" s="28" t="n"/>
      <c r="Q97" s="28" t="n">
        <v>-0.155716</v>
      </c>
      <c r="R97" s="26" t="n">
        <v>0</v>
      </c>
      <c r="S97" s="29" t="n">
        <v>1</v>
      </c>
      <c r="T97" s="24" t="inlineStr">
        <is>
          <t>lol-tiered-elo-v6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-213</v>
      </c>
      <c r="AA97" s="28" t="n">
        <v>0.68</v>
      </c>
      <c r="AB97" s="28" t="n">
        <v>-0.000511</v>
      </c>
      <c r="AC97" s="30" t="n">
        <v>0.4695</v>
      </c>
      <c r="AD97" s="24" t="inlineStr">
        <is>
          <t>2026-08-12T21:15:38.761337Z</t>
        </is>
      </c>
      <c r="AE97" s="31" t="inlineStr">
        <is>
          <t>Neutral Elo baseline; executable ask 0.6800 (market_slug=aec-lol-dmg-abs-2026-08-12).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Absolved</t>
        </is>
      </c>
      <c r="AQ97" s="24" t="inlineStr">
        <is>
          <t>Absolved</t>
        </is>
      </c>
      <c r="AR97" s="24" t="inlineStr">
        <is>
          <t>Absolved</t>
        </is>
      </c>
      <c r="AS97" s="24" t="inlineStr">
        <is>
          <t>DMG Esports</t>
        </is>
      </c>
      <c r="AT97" s="24" t="inlineStr">
        <is>
          <t>DMG Esports</t>
        </is>
      </c>
      <c r="AU97" s="24" t="inlineStr">
        <is>
          <t>DMG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698fbd14da7d032b3a980c8214767b8eb223167868cd2cea373258eb5e4ac7b4</t>
        </is>
      </c>
      <c r="BB97" s="24" t="inlineStr">
        <is>
          <t>neutral_elo</t>
        </is>
      </c>
      <c r="BC97" s="24" t="inlineStr">
        <is>
          <t>lol-tiered-elo-v6</t>
        </is>
      </c>
      <c r="BD97" s="24" t="inlineStr">
        <is>
          <t>698fbd14da7d032b3a980c8214767b8eb223167868cd2cea373258eb5e4ac7b4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lol-tiered-elo-v6</t>
        </is>
      </c>
      <c r="BH97" s="24" t="inlineStr">
        <is>
          <t>2026-08-12T17:44:29.444227Z</t>
        </is>
      </c>
      <c r="BI97" s="24" t="inlineStr">
        <is>
          <t>["same_event","same_team_same_day","same_league_same_day"]</t>
        </is>
      </c>
      <c r="BJ97" s="25" t="n"/>
      <c r="BK97" s="26" t="n">
        <v>-213</v>
      </c>
      <c r="BL97" s="27" t="n">
        <v>1.469484</v>
      </c>
      <c r="BM97" s="28" t="n">
        <v>0.680511</v>
      </c>
      <c r="BN97" s="28" t="n"/>
      <c r="BO97" s="28" t="n"/>
      <c r="BP97" s="25" t="n"/>
      <c r="BQ97" s="27" t="n">
        <v>1.469484</v>
      </c>
      <c r="BR97" s="28" t="n">
        <v>0.68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0.680511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f63097df7b874a62</t>
        </is>
      </c>
      <c r="B98" s="24" t="inlineStr">
        <is>
          <t>2026-08-12T17:44:54.191555Z</t>
        </is>
      </c>
      <c r="C98" s="24" t="inlineStr">
        <is>
          <t>2026-08-12T20:00:00Z</t>
        </is>
      </c>
      <c r="D98" s="24" t="inlineStr">
        <is>
          <t>79456</t>
        </is>
      </c>
      <c r="E98" s="24" t="inlineStr">
        <is>
          <t>LOL</t>
        </is>
      </c>
      <c r="F98" s="24" t="inlineStr">
        <is>
          <t>RMD Gaming</t>
        </is>
      </c>
      <c r="G98" s="24" t="inlineStr">
        <is>
          <t>Team Solid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-163</v>
      </c>
      <c r="M98" s="27" t="n">
        <v>1.613497</v>
      </c>
      <c r="N98" s="28" t="n">
        <v>0.619772</v>
      </c>
      <c r="O98" s="28" t="n">
        <v>0.529083</v>
      </c>
      <c r="P98" s="28" t="n"/>
      <c r="Q98" s="28" t="n">
        <v>-0.09068900000000001</v>
      </c>
      <c r="R98" s="26" t="n">
        <v>0</v>
      </c>
      <c r="S98" s="29" t="n">
        <v>1</v>
      </c>
      <c r="T98" s="24" t="inlineStr">
        <is>
          <t>lol-tiered-elo-v6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-163</v>
      </c>
      <c r="AA98" s="28" t="n">
        <v>0.62</v>
      </c>
      <c r="AB98" s="28" t="n">
        <v>0.000228</v>
      </c>
      <c r="AC98" s="30" t="n">
        <v>-1</v>
      </c>
      <c r="AD98" s="24" t="inlineStr">
        <is>
          <t>2026-08-13T05:34:42.876813Z</t>
        </is>
      </c>
      <c r="AE98" s="31" t="inlineStr">
        <is>
          <t>Neutral Elo baseline; executable ask 0.6200 (market_slug=aec-lol-tse-rmd-2026-08-12).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RMD Gaming</t>
        </is>
      </c>
      <c r="AQ98" s="24" t="inlineStr">
        <is>
          <t>RMD Gaming</t>
        </is>
      </c>
      <c r="AR98" s="24" t="inlineStr">
        <is>
          <t>RMD Gaming</t>
        </is>
      </c>
      <c r="AS98" s="24" t="inlineStr">
        <is>
          <t>Team Solid</t>
        </is>
      </c>
      <c r="AT98" s="24" t="inlineStr">
        <is>
          <t>Team Solid</t>
        </is>
      </c>
      <c r="AU98" s="24" t="inlineStr">
        <is>
          <t>Team Solid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698fbd14da7d032b3a980c8214767b8eb223167868cd2cea373258eb5e4ac7b4</t>
        </is>
      </c>
      <c r="BB98" s="24" t="inlineStr">
        <is>
          <t>neutral_elo</t>
        </is>
      </c>
      <c r="BC98" s="24" t="inlineStr">
        <is>
          <t>lol-tiered-elo-v6</t>
        </is>
      </c>
      <c r="BD98" s="24" t="inlineStr">
        <is>
          <t>698fbd14da7d032b3a980c8214767b8eb223167868cd2cea373258eb5e4ac7b4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lol-tiered-elo-v6</t>
        </is>
      </c>
      <c r="BH98" s="24" t="inlineStr">
        <is>
          <t>2026-08-12T17:44:32.506392Z</t>
        </is>
      </c>
      <c r="BI98" s="24" t="inlineStr">
        <is>
          <t>["same_event","same_team_same_day","same_league_same_day"]</t>
        </is>
      </c>
      <c r="BJ98" s="25" t="n"/>
      <c r="BK98" s="26" t="n">
        <v>-163</v>
      </c>
      <c r="BL98" s="27" t="n">
        <v>1.613497</v>
      </c>
      <c r="BM98" s="28" t="n">
        <v>0.619772</v>
      </c>
      <c r="BN98" s="28" t="n"/>
      <c r="BO98" s="28" t="n"/>
      <c r="BP98" s="25" t="n"/>
      <c r="BQ98" s="27" t="n">
        <v>1.613497</v>
      </c>
      <c r="BR98" s="28" t="n">
        <v>0.62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0.619772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3f69cf4190b24f47</t>
        </is>
      </c>
      <c r="B99" s="24" t="inlineStr">
        <is>
          <t>2026-08-12T17:44:54.191555Z</t>
        </is>
      </c>
      <c r="C99" s="24" t="inlineStr">
        <is>
          <t>2026-08-12T21:00:00Z</t>
        </is>
      </c>
      <c r="D99" s="24" t="inlineStr">
        <is>
          <t>76941</t>
        </is>
      </c>
      <c r="E99" s="24" t="inlineStr">
        <is>
          <t>LOL</t>
        </is>
      </c>
      <c r="F99" s="24" t="inlineStr">
        <is>
          <t>Dominion Goblins</t>
        </is>
      </c>
      <c r="G99" s="24" t="inlineStr">
        <is>
          <t>Bubliki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-104</v>
      </c>
      <c r="M99" s="27" t="n">
        <v>1.961538</v>
      </c>
      <c r="N99" s="28" t="n">
        <v>0.509804</v>
      </c>
      <c r="O99" s="28" t="n">
        <v>0.52057</v>
      </c>
      <c r="P99" s="28" t="n"/>
      <c r="Q99" s="28" t="n">
        <v>0.010766</v>
      </c>
      <c r="R99" s="26" t="n">
        <v>25</v>
      </c>
      <c r="S99" s="29" t="n">
        <v>1</v>
      </c>
      <c r="T99" s="24" t="inlineStr">
        <is>
          <t>lol-tiered-elo-v6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-104</v>
      </c>
      <c r="AA99" s="28" t="n">
        <v>0.51</v>
      </c>
      <c r="AB99" s="28" t="n">
        <v>0.000196</v>
      </c>
      <c r="AC99" s="30" t="n">
        <v>-1</v>
      </c>
      <c r="AD99" s="24" t="inlineStr">
        <is>
          <t>2026-08-13T05:34:45.314104Z</t>
        </is>
      </c>
      <c r="AE99" s="31" t="inlineStr">
        <is>
          <t>Neutral Elo baseline; executable ask 0.5100 (market_slug=aec-lol-bub-domi-2026-08-12).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Dominion Goblins</t>
        </is>
      </c>
      <c r="AQ99" s="24" t="inlineStr">
        <is>
          <t>Dominion Goblins</t>
        </is>
      </c>
      <c r="AR99" s="24" t="inlineStr">
        <is>
          <t>Dominion Goblins</t>
        </is>
      </c>
      <c r="AS99" s="24" t="inlineStr">
        <is>
          <t>Bubliki</t>
        </is>
      </c>
      <c r="AT99" s="24" t="inlineStr">
        <is>
          <t>Bubliki</t>
        </is>
      </c>
      <c r="AU99" s="24" t="inlineStr">
        <is>
          <t>Bubliki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698fbd14da7d032b3a980c8214767b8eb223167868cd2cea373258eb5e4ac7b4</t>
        </is>
      </c>
      <c r="BB99" s="24" t="inlineStr">
        <is>
          <t>neutral_elo</t>
        </is>
      </c>
      <c r="BC99" s="24" t="inlineStr">
        <is>
          <t>lol-tiered-elo-v6</t>
        </is>
      </c>
      <c r="BD99" s="24" t="inlineStr">
        <is>
          <t>698fbd14da7d032b3a980c8214767b8eb223167868cd2cea373258eb5e4ac7b4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lol-tiered-elo-v6</t>
        </is>
      </c>
      <c r="BH99" s="24" t="inlineStr">
        <is>
          <t>2026-08-12T17:44:33.295086Z</t>
        </is>
      </c>
      <c r="BI99" s="24" t="inlineStr">
        <is>
          <t>["same_event","same_team_same_day","same_league_same_day"]</t>
        </is>
      </c>
      <c r="BJ99" s="25" t="n"/>
      <c r="BK99" s="26" t="n">
        <v>-104</v>
      </c>
      <c r="BL99" s="27" t="n">
        <v>1.961538</v>
      </c>
      <c r="BM99" s="28" t="n">
        <v>0.509804</v>
      </c>
      <c r="BN99" s="28" t="n"/>
      <c r="BO99" s="28" t="n"/>
      <c r="BP99" s="25" t="n"/>
      <c r="BQ99" s="27" t="n">
        <v>1.961538</v>
      </c>
      <c r="BR99" s="28" t="n">
        <v>0.51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0.509804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ccad665caa264287</t>
        </is>
      </c>
      <c r="B100" s="24" t="inlineStr">
        <is>
          <t>2026-08-12T21:33:50.682408Z</t>
        </is>
      </c>
      <c r="C100" s="24" t="inlineStr">
        <is>
          <t>2026-08-13T00:00:00Z</t>
        </is>
      </c>
      <c r="D100" s="24" t="inlineStr">
        <is>
          <t>77049</t>
        </is>
      </c>
      <c r="E100" s="24" t="inlineStr">
        <is>
          <t>LOL</t>
        </is>
      </c>
      <c r="F100" s="24" t="inlineStr">
        <is>
          <t>CCG Esports</t>
        </is>
      </c>
      <c r="G100" s="24" t="inlineStr">
        <is>
          <t>Conviction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-233</v>
      </c>
      <c r="M100" s="27" t="n">
        <v>1.429185</v>
      </c>
      <c r="N100" s="28" t="n">
        <v>0.6997</v>
      </c>
      <c r="O100" s="28" t="n">
        <v>0.6314340000000001</v>
      </c>
      <c r="P100" s="28" t="n"/>
      <c r="Q100" s="28" t="n">
        <v>-0.06826599999999999</v>
      </c>
      <c r="R100" s="26" t="n">
        <v>0</v>
      </c>
      <c r="S100" s="29" t="n">
        <v>1.5</v>
      </c>
      <c r="T100" s="24" t="inlineStr">
        <is>
          <t>lol-tiered-elo-v6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-233</v>
      </c>
      <c r="AA100" s="28" t="n">
        <v>0.7</v>
      </c>
      <c r="AB100" s="28" t="n">
        <v>0.0003</v>
      </c>
      <c r="AC100" s="30" t="n">
        <v>-1.5</v>
      </c>
      <c r="AD100" s="24" t="inlineStr">
        <is>
          <t>2026-08-13T05:34:48.043661Z</t>
        </is>
      </c>
      <c r="AE100" s="31" t="inlineStr">
        <is>
          <t>Neutral Elo baseline; executable ask 0.7000 (market_slug=aec-lol-cnv-ccg-2026-08-13).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3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CCG Esports</t>
        </is>
      </c>
      <c r="AQ100" s="24" t="inlineStr">
        <is>
          <t>CCG Esports</t>
        </is>
      </c>
      <c r="AR100" s="24" t="inlineStr">
        <is>
          <t>CCG Esports</t>
        </is>
      </c>
      <c r="AS100" s="24" t="inlineStr">
        <is>
          <t>Conviction</t>
        </is>
      </c>
      <c r="AT100" s="24" t="inlineStr">
        <is>
          <t>Conviction</t>
        </is>
      </c>
      <c r="AU100" s="24" t="inlineStr">
        <is>
          <t>Conviction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2d532d5f60c2a7bfd12e6f32f876f72fdd16c8e21504e1273ad472f37a538927</t>
        </is>
      </c>
      <c r="BB100" s="24" t="inlineStr">
        <is>
          <t>neutral_elo</t>
        </is>
      </c>
      <c r="BC100" s="24" t="inlineStr">
        <is>
          <t>lol-tiered-elo-v6</t>
        </is>
      </c>
      <c r="BD100" s="24" t="inlineStr">
        <is>
          <t>2d532d5f60c2a7bfd12e6f32f876f72fdd16c8e21504e1273ad472f37a538927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lol-tiered-elo-v6</t>
        </is>
      </c>
      <c r="BH100" s="24" t="inlineStr">
        <is>
          <t>2026-08-12T21:33:38.359527Z</t>
        </is>
      </c>
      <c r="BI100" s="24" t="inlineStr">
        <is>
          <t>["same_event","same_team_same_day","same_league_same_day"]</t>
        </is>
      </c>
      <c r="BJ100" s="25" t="n"/>
      <c r="BK100" s="26" t="n">
        <v>-233</v>
      </c>
      <c r="BL100" s="27" t="n">
        <v>1.429185</v>
      </c>
      <c r="BM100" s="28" t="n">
        <v>0.6997</v>
      </c>
      <c r="BN100" s="28" t="n"/>
      <c r="BO100" s="28" t="n"/>
      <c r="BP100" s="25" t="n"/>
      <c r="BQ100" s="27" t="n">
        <v>1.429185</v>
      </c>
      <c r="BR100" s="28" t="n">
        <v>0.7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0.6997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e22d728f51874e1c</t>
        </is>
      </c>
      <c r="B101" s="24" t="inlineStr">
        <is>
          <t>2026-08-12T21:33:50.682408Z</t>
        </is>
      </c>
      <c r="C101" s="24" t="inlineStr">
        <is>
          <t>2026-08-13T05:00:00Z</t>
        </is>
      </c>
      <c r="D101" s="24" t="inlineStr">
        <is>
          <t>77155</t>
        </is>
      </c>
      <c r="E101" s="24" t="inlineStr">
        <is>
          <t>LOL</t>
        </is>
      </c>
      <c r="F101" s="24" t="inlineStr">
        <is>
          <t>Nongshim Esports Academy</t>
        </is>
      </c>
      <c r="G101" s="24" t="inlineStr">
        <is>
          <t>KT Rolster Challengers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127</v>
      </c>
      <c r="M101" s="27" t="n">
        <v>2.27</v>
      </c>
      <c r="N101" s="28" t="n">
        <v>0.440529</v>
      </c>
      <c r="O101" s="28" t="n">
        <v>0.54421</v>
      </c>
      <c r="P101" s="28" t="n"/>
      <c r="Q101" s="28" t="n">
        <v>0.103681</v>
      </c>
      <c r="R101" s="26" t="n">
        <v>72</v>
      </c>
      <c r="S101" s="29" t="n">
        <v>1</v>
      </c>
      <c r="T101" s="24" t="inlineStr">
        <is>
          <t>lol-tiered-elo-v6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/>
      <c r="AA101" s="28" t="n"/>
      <c r="AB101" s="28" t="n"/>
      <c r="AC101" s="30" t="n">
        <v>1.27</v>
      </c>
      <c r="AD101" s="24" t="inlineStr">
        <is>
          <t>2026-08-13T07:29:16.495433Z</t>
        </is>
      </c>
      <c r="AE101" s="31" t="inlineStr">
        <is>
          <t>Neutral Elo baseline; executable ask 0.4400 (market_slug=aec-lol-ktc-nsea-2026-08-13).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Nongshim Esports Academy</t>
        </is>
      </c>
      <c r="AQ101" s="24" t="inlineStr">
        <is>
          <t>Nongshim Esports Academy</t>
        </is>
      </c>
      <c r="AR101" s="24" t="inlineStr">
        <is>
          <t>Nongshim Esports Academy</t>
        </is>
      </c>
      <c r="AS101" s="24" t="inlineStr">
        <is>
          <t>KT Rolster Challengers</t>
        </is>
      </c>
      <c r="AT101" s="24" t="inlineStr">
        <is>
          <t>KT Rolster Challengers</t>
        </is>
      </c>
      <c r="AU101" s="24" t="inlineStr">
        <is>
          <t>KT Rolster Challengers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2d532d5f60c2a7bfd12e6f32f876f72fdd16c8e21504e1273ad472f37a538927</t>
        </is>
      </c>
      <c r="BB101" s="24" t="inlineStr">
        <is>
          <t>neutral_elo</t>
        </is>
      </c>
      <c r="BC101" s="24" t="inlineStr">
        <is>
          <t>lol-tiered-elo-v6</t>
        </is>
      </c>
      <c r="BD101" s="24" t="inlineStr">
        <is>
          <t>2d532d5f60c2a7bfd12e6f32f876f72fdd16c8e21504e1273ad472f37a538927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lol-tiered-elo-v6</t>
        </is>
      </c>
      <c r="BH101" s="24" t="inlineStr">
        <is>
          <t>2026-08-12T21:33:38.916292Z</t>
        </is>
      </c>
      <c r="BI101" s="24" t="inlineStr">
        <is>
          <t>["same_event","same_team_same_day","same_league_same_day"]</t>
        </is>
      </c>
      <c r="BJ101" s="25" t="n"/>
      <c r="BK101" s="26" t="n">
        <v>127</v>
      </c>
      <c r="BL101" s="27" t="n">
        <v>2.27</v>
      </c>
      <c r="BM101" s="28" t="n">
        <v>0.440529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0.440529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5a4f901a458c48b0</t>
        </is>
      </c>
      <c r="B102" s="24" t="inlineStr">
        <is>
          <t>2026-08-12T21:33:50.682408Z</t>
        </is>
      </c>
      <c r="C102" s="24" t="inlineStr">
        <is>
          <t>2026-08-14T00:00:00Z</t>
        </is>
      </c>
      <c r="D102" s="24" t="inlineStr">
        <is>
          <t>78062</t>
        </is>
      </c>
      <c r="E102" s="24" t="inlineStr">
        <is>
          <t>LOL</t>
        </is>
      </c>
      <c r="F102" s="24" t="inlineStr">
        <is>
          <t>Dorado Gaming</t>
        </is>
      </c>
      <c r="G102" s="24" t="inlineStr">
        <is>
          <t>University of Mississippi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150</v>
      </c>
      <c r="M102" s="27" t="n">
        <v>2.5</v>
      </c>
      <c r="N102" s="28" t="n">
        <v>0.4</v>
      </c>
      <c r="O102" s="28" t="n">
        <v>0.570554</v>
      </c>
      <c r="P102" s="28" t="n"/>
      <c r="Q102" s="28" t="n">
        <v>0.170554</v>
      </c>
      <c r="R102" s="26" t="n">
        <v>100</v>
      </c>
      <c r="S102" s="29" t="n">
        <v>1.25</v>
      </c>
      <c r="T102" s="24" t="inlineStr">
        <is>
          <t>lol-tiered-elo-v6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156</v>
      </c>
      <c r="AA102" s="28" t="n">
        <v>0.39</v>
      </c>
      <c r="AB102" s="28" t="n">
        <v>-0.01</v>
      </c>
      <c r="AC102" s="30" t="n">
        <v>-1.25</v>
      </c>
      <c r="AD102" s="24" t="inlineStr">
        <is>
          <t>2026-08-14T02:22:42.143593Z</t>
        </is>
      </c>
      <c r="AE102" s="31" t="inlineStr">
        <is>
          <t>Neutral Elo baseline; executable ask 0.4000 (market_slug=aec-lol-miss-dog-2026-08-14).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Dorado Gaming</t>
        </is>
      </c>
      <c r="AQ102" s="24" t="inlineStr">
        <is>
          <t>Dorado Gaming</t>
        </is>
      </c>
      <c r="AR102" s="24" t="inlineStr">
        <is>
          <t>Dorado Gaming</t>
        </is>
      </c>
      <c r="AS102" s="24" t="inlineStr">
        <is>
          <t>University of Mississippi</t>
        </is>
      </c>
      <c r="AT102" s="24" t="inlineStr">
        <is>
          <t>University of Mississippi</t>
        </is>
      </c>
      <c r="AU102" s="24" t="inlineStr">
        <is>
          <t>University of Mississippi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2d532d5f60c2a7bfd12e6f32f876f72fdd16c8e21504e1273ad472f37a538927</t>
        </is>
      </c>
      <c r="BB102" s="24" t="inlineStr">
        <is>
          <t>neutral_elo</t>
        </is>
      </c>
      <c r="BC102" s="24" t="inlineStr">
        <is>
          <t>lol-tiered-elo-v6</t>
        </is>
      </c>
      <c r="BD102" s="24" t="inlineStr">
        <is>
          <t>2d532d5f60c2a7bfd12e6f32f876f72fdd16c8e21504e1273ad472f37a538927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lol-tiered-elo-v6</t>
        </is>
      </c>
      <c r="BH102" s="24" t="inlineStr">
        <is>
          <t>2026-08-12T21:33:49.612741Z</t>
        </is>
      </c>
      <c r="BI102" s="24" t="inlineStr">
        <is>
          <t>["same_event","same_team_same_day","same_league_same_day"]</t>
        </is>
      </c>
      <c r="BJ102" s="25" t="n"/>
      <c r="BK102" s="26" t="n">
        <v>150</v>
      </c>
      <c r="BL102" s="27" t="n">
        <v>2.5</v>
      </c>
      <c r="BM102" s="28" t="n">
        <v>0.4</v>
      </c>
      <c r="BN102" s="28" t="n"/>
      <c r="BO102" s="28" t="n"/>
      <c r="BP102" s="25" t="n"/>
      <c r="BQ102" s="27" t="n">
        <v>2.56</v>
      </c>
      <c r="BR102" s="28" t="n">
        <v>0.39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0.4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babca675d532464a</t>
        </is>
      </c>
      <c r="B103" s="24" t="inlineStr">
        <is>
          <t>2026-08-12T21:33:50.682408Z</t>
        </is>
      </c>
      <c r="C103" s="24" t="inlineStr">
        <is>
          <t>2026-08-14T03:00:00Z</t>
        </is>
      </c>
      <c r="D103" s="24" t="inlineStr">
        <is>
          <t>78153</t>
        </is>
      </c>
      <c r="E103" s="24" t="inlineStr">
        <is>
          <t>LOL</t>
        </is>
      </c>
      <c r="F103" s="24" t="inlineStr">
        <is>
          <t>Dplus KIA Challengers</t>
        </is>
      </c>
      <c r="G103" s="24" t="inlineStr">
        <is>
          <t>T1 Academy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-178</v>
      </c>
      <c r="M103" s="27" t="n">
        <v>1.561798</v>
      </c>
      <c r="N103" s="28" t="n">
        <v>0.640288</v>
      </c>
      <c r="O103" s="28" t="n">
        <v>0.505961</v>
      </c>
      <c r="P103" s="28" t="n"/>
      <c r="Q103" s="28" t="n">
        <v>-0.134327</v>
      </c>
      <c r="R103" s="26" t="n">
        <v>0</v>
      </c>
      <c r="S103" s="29" t="n">
        <v>1</v>
      </c>
      <c r="T103" s="24" t="inlineStr">
        <is>
          <t>lol-tiered-elo-v6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-203</v>
      </c>
      <c r="AA103" s="28" t="n">
        <v>0.67</v>
      </c>
      <c r="AB103" s="28" t="n">
        <v>0.029712</v>
      </c>
      <c r="AC103" s="30" t="n">
        <v>-1</v>
      </c>
      <c r="AD103" s="24" t="inlineStr">
        <is>
          <t>2026-08-14T05:27:22.156936Z</t>
        </is>
      </c>
      <c r="AE103" s="31" t="inlineStr">
        <is>
          <t>Neutral Elo baseline; executable ask 0.6400 (market_slug=aec-lol-t1a-dkc-2026-08-14).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Dplus KIA Challengers</t>
        </is>
      </c>
      <c r="AQ103" s="24" t="inlineStr">
        <is>
          <t>Dplus KIA Challengers</t>
        </is>
      </c>
      <c r="AR103" s="24" t="inlineStr">
        <is>
          <t>Dplus KIA Challengers</t>
        </is>
      </c>
      <c r="AS103" s="24" t="inlineStr">
        <is>
          <t>T1 Academy</t>
        </is>
      </c>
      <c r="AT103" s="24" t="inlineStr">
        <is>
          <t>T1 Academy</t>
        </is>
      </c>
      <c r="AU103" s="24" t="inlineStr">
        <is>
          <t>T1 Academy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2d532d5f60c2a7bfd12e6f32f876f72fdd16c8e21504e1273ad472f37a538927</t>
        </is>
      </c>
      <c r="BB103" s="24" t="inlineStr">
        <is>
          <t>neutral_elo</t>
        </is>
      </c>
      <c r="BC103" s="24" t="inlineStr">
        <is>
          <t>lol-tiered-elo-v6</t>
        </is>
      </c>
      <c r="BD103" s="24" t="inlineStr">
        <is>
          <t>2d532d5f60c2a7bfd12e6f32f876f72fdd16c8e21504e1273ad472f37a538927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lol-tiered-elo-v6</t>
        </is>
      </c>
      <c r="BH103" s="24" t="inlineStr">
        <is>
          <t>2026-08-12T21:33:50.681493Z</t>
        </is>
      </c>
      <c r="BI103" s="24" t="inlineStr">
        <is>
          <t>["same_event","same_team_same_day","same_league_same_day"]</t>
        </is>
      </c>
      <c r="BJ103" s="25" t="n"/>
      <c r="BK103" s="26" t="n">
        <v>-178</v>
      </c>
      <c r="BL103" s="27" t="n">
        <v>1.561798</v>
      </c>
      <c r="BM103" s="28" t="n">
        <v>0.640288</v>
      </c>
      <c r="BN103" s="28" t="n"/>
      <c r="BO103" s="28" t="n"/>
      <c r="BP103" s="25" t="n"/>
      <c r="BQ103" s="27" t="n">
        <v>1.492611</v>
      </c>
      <c r="BR103" s="28" t="n">
        <v>0.67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0.640288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27ed3e00de024eb5</t>
        </is>
      </c>
      <c r="B104" s="24" t="inlineStr">
        <is>
          <t>2026-08-13T05:38:55.909616Z</t>
        </is>
      </c>
      <c r="C104" s="24" t="inlineStr">
        <is>
          <t>2026-08-13T07:00:00Z</t>
        </is>
      </c>
      <c r="D104" s="24" t="inlineStr">
        <is>
          <t>77160</t>
        </is>
      </c>
      <c r="E104" s="24" t="inlineStr">
        <is>
          <t>LOL</t>
        </is>
      </c>
      <c r="F104" s="24" t="inlineStr">
        <is>
          <t>Ninjas in Pyjamas</t>
        </is>
      </c>
      <c r="G104" s="24" t="inlineStr">
        <is>
          <t>Weibo Gaming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-122</v>
      </c>
      <c r="M104" s="27" t="n">
        <v>1.819672</v>
      </c>
      <c r="N104" s="28" t="n">
        <v>0.54955</v>
      </c>
      <c r="O104" s="28" t="n">
        <v>0.518703</v>
      </c>
      <c r="P104" s="28" t="n"/>
      <c r="Q104" s="28" t="n">
        <v>-0.030847</v>
      </c>
      <c r="R104" s="26" t="n">
        <v>5</v>
      </c>
      <c r="S104" s="29" t="n">
        <v>1</v>
      </c>
      <c r="T104" s="24" t="inlineStr">
        <is>
          <t>lol-tiered-elo-v6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0</v>
      </c>
      <c r="Y104" s="25" t="n"/>
      <c r="Z104" s="26" t="n">
        <v>-122</v>
      </c>
      <c r="AA104" s="28" t="n">
        <v>0.55</v>
      </c>
      <c r="AB104" s="28" t="n">
        <v>0.00045</v>
      </c>
      <c r="AC104" s="30" t="n">
        <v>0.8197</v>
      </c>
      <c r="AD104" s="24" t="inlineStr">
        <is>
          <t>2026-08-13T10:06:31.150848Z</t>
        </is>
      </c>
      <c r="AE104" s="31" t="inlineStr">
        <is>
          <t>Neutral Elo baseline; executable ask 0.5500 (market_slug=aec-lol-wb-nip-2026-08-13).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Ninjas in Pyjamas</t>
        </is>
      </c>
      <c r="AQ104" s="24" t="inlineStr">
        <is>
          <t>Ninjas in Pyjamas</t>
        </is>
      </c>
      <c r="AR104" s="24" t="inlineStr">
        <is>
          <t>Ninjas in Pyjamas</t>
        </is>
      </c>
      <c r="AS104" s="24" t="inlineStr">
        <is>
          <t>Weibo Gaming</t>
        </is>
      </c>
      <c r="AT104" s="24" t="inlineStr">
        <is>
          <t>Weibo Gaming</t>
        </is>
      </c>
      <c r="AU104" s="24" t="inlineStr">
        <is>
          <t>Weibo Gaming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e8240a873dde6d9de5c5ff053b7178f0055ae85b2e18a460574ddb8f6955d4c3</t>
        </is>
      </c>
      <c r="BB104" s="24" t="inlineStr">
        <is>
          <t>neutral_elo</t>
        </is>
      </c>
      <c r="BC104" s="24" t="inlineStr">
        <is>
          <t>lol-tiered-elo-v6</t>
        </is>
      </c>
      <c r="BD104" s="24" t="inlineStr">
        <is>
          <t>e8240a873dde6d9de5c5ff053b7178f0055ae85b2e18a460574ddb8f6955d4c3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lol-tiered-elo-v6</t>
        </is>
      </c>
      <c r="BH104" s="24" t="inlineStr">
        <is>
          <t>2026-08-13T05:38:33.500058Z</t>
        </is>
      </c>
      <c r="BI104" s="24" t="inlineStr">
        <is>
          <t>["same_event","same_team_same_day","same_league_same_day"]</t>
        </is>
      </c>
      <c r="BJ104" s="25" t="n"/>
      <c r="BK104" s="26" t="n">
        <v>-122</v>
      </c>
      <c r="BL104" s="27" t="n">
        <v>1.819672</v>
      </c>
      <c r="BM104" s="28" t="n">
        <v>0.54955</v>
      </c>
      <c r="BN104" s="28" t="n"/>
      <c r="BO104" s="28" t="n"/>
      <c r="BP104" s="25" t="n"/>
      <c r="BQ104" s="27" t="n">
        <v>1.819672</v>
      </c>
      <c r="BR104" s="28" t="n">
        <v>0.55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0.54955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5ef4262f058f452d</t>
        </is>
      </c>
      <c r="B105" s="24" t="inlineStr">
        <is>
          <t>2026-08-13T07:33:45.748059Z</t>
        </is>
      </c>
      <c r="C105" s="24" t="inlineStr">
        <is>
          <t>2026-08-13T08:00:00Z</t>
        </is>
      </c>
      <c r="D105" s="24" t="inlineStr">
        <is>
          <t>77170</t>
        </is>
      </c>
      <c r="E105" s="24" t="inlineStr">
        <is>
          <t>LOL</t>
        </is>
      </c>
      <c r="F105" s="24" t="inlineStr">
        <is>
          <t>BNK FEARX</t>
        </is>
      </c>
      <c r="G105" s="24" t="inlineStr">
        <is>
          <t>Kiwoom DRX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-150</v>
      </c>
      <c r="M105" s="27" t="n">
        <v>1.666667</v>
      </c>
      <c r="N105" s="28" t="n">
        <v>0.6</v>
      </c>
      <c r="O105" s="28" t="n">
        <v>0.527961</v>
      </c>
      <c r="P105" s="28" t="n"/>
      <c r="Q105" s="28" t="n">
        <v>-0.07203900000000001</v>
      </c>
      <c r="R105" s="26" t="n">
        <v>0</v>
      </c>
      <c r="S105" s="29" t="n">
        <v>1</v>
      </c>
      <c r="T105" s="24" t="inlineStr">
        <is>
          <t>lol-tiered-elo-v6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-150</v>
      </c>
      <c r="AA105" s="28" t="n">
        <v>0.6</v>
      </c>
      <c r="AB105" s="28" t="n">
        <v>0</v>
      </c>
      <c r="AC105" s="30" t="n">
        <v>0.6667</v>
      </c>
      <c r="AD105" s="24" t="inlineStr">
        <is>
          <t>2026-08-13T10:36:09.121710Z</t>
        </is>
      </c>
      <c r="AE105" s="31" t="inlineStr">
        <is>
          <t>Neutral Elo baseline; executable ask 0.6000 (market_slug=aec-lol-krx-bfx-2026-08-13).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BNK FEARX</t>
        </is>
      </c>
      <c r="AQ105" s="24" t="inlineStr">
        <is>
          <t>BNK FEARX</t>
        </is>
      </c>
      <c r="AR105" s="24" t="inlineStr">
        <is>
          <t>BNK FEARX</t>
        </is>
      </c>
      <c r="AS105" s="24" t="inlineStr">
        <is>
          <t>Kiwoom DRX</t>
        </is>
      </c>
      <c r="AT105" s="24" t="inlineStr">
        <is>
          <t>Kiwoom DRX</t>
        </is>
      </c>
      <c r="AU105" s="24" t="inlineStr">
        <is>
          <t>Kiwoom DRX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ec253e009ebc51b870bf7dddd39f66de3de28259fdb77d4c257587dd29af8c61</t>
        </is>
      </c>
      <c r="BB105" s="24" t="inlineStr">
        <is>
          <t>neutral_elo</t>
        </is>
      </c>
      <c r="BC105" s="24" t="inlineStr">
        <is>
          <t>lol-tiered-elo-v6</t>
        </is>
      </c>
      <c r="BD105" s="24" t="inlineStr">
        <is>
          <t>ec253e009ebc51b870bf7dddd39f66de3de28259fdb77d4c257587dd29af8c61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lol-tiered-elo-v6</t>
        </is>
      </c>
      <c r="BH105" s="24" t="inlineStr">
        <is>
          <t>2026-08-13T07:33:28.353653Z</t>
        </is>
      </c>
      <c r="BI105" s="24" t="inlineStr">
        <is>
          <t>["same_event","same_team_same_day","same_league_same_day"]</t>
        </is>
      </c>
      <c r="BJ105" s="25" t="n"/>
      <c r="BK105" s="26" t="n">
        <v>-150</v>
      </c>
      <c r="BL105" s="27" t="n">
        <v>1.666667</v>
      </c>
      <c r="BM105" s="28" t="n">
        <v>0.6</v>
      </c>
      <c r="BN105" s="28" t="n"/>
      <c r="BO105" s="28" t="n"/>
      <c r="BP105" s="25" t="n"/>
      <c r="BQ105" s="27" t="n">
        <v>1.666667</v>
      </c>
      <c r="BR105" s="28" t="n">
        <v>0.6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0e564dda504444ce</t>
        </is>
      </c>
      <c r="B106" s="24" t="inlineStr">
        <is>
          <t>2026-08-13T07:33:45.748059Z</t>
        </is>
      </c>
      <c r="C106" s="24" t="inlineStr">
        <is>
          <t>2026-08-13T09:00:00Z</t>
        </is>
      </c>
      <c r="D106" s="24" t="inlineStr">
        <is>
          <t>77184</t>
        </is>
      </c>
      <c r="E106" s="24" t="inlineStr">
        <is>
          <t>LOL</t>
        </is>
      </c>
      <c r="F106" s="24" t="inlineStr">
        <is>
          <t>GAM Esports</t>
        </is>
      </c>
      <c r="G106" s="24" t="inlineStr">
        <is>
          <t>Deep Cross Gaming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-138</v>
      </c>
      <c r="M106" s="27" t="n">
        <v>1.724638</v>
      </c>
      <c r="N106" s="28" t="n">
        <v>0.579832</v>
      </c>
      <c r="O106" s="28" t="n">
        <v>0.505854</v>
      </c>
      <c r="P106" s="28" t="n"/>
      <c r="Q106" s="28" t="n">
        <v>-0.073978</v>
      </c>
      <c r="R106" s="26" t="n">
        <v>0</v>
      </c>
      <c r="S106" s="29" t="n">
        <v>1</v>
      </c>
      <c r="T106" s="24" t="inlineStr">
        <is>
          <t>lol-tiered-elo-v6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-138</v>
      </c>
      <c r="AA106" s="28" t="n">
        <v>0.58</v>
      </c>
      <c r="AB106" s="28" t="n">
        <v>0.000168</v>
      </c>
      <c r="AC106" s="30" t="n">
        <v>0.7246</v>
      </c>
      <c r="AD106" s="24" t="inlineStr">
        <is>
          <t>2026-08-13T13:43:09.781430Z</t>
        </is>
      </c>
      <c r="AE106" s="31" t="inlineStr">
        <is>
          <t>Neutral Elo baseline; executable ask 0.5800 (market_slug=aec-lol-dcg-gam-2026-08-13).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GAM Esports</t>
        </is>
      </c>
      <c r="AQ106" s="24" t="inlineStr">
        <is>
          <t>GAM Esports</t>
        </is>
      </c>
      <c r="AR106" s="24" t="inlineStr">
        <is>
          <t>GAM Esports</t>
        </is>
      </c>
      <c r="AS106" s="24" t="inlineStr">
        <is>
          <t>Deep Cross Gaming</t>
        </is>
      </c>
      <c r="AT106" s="24" t="inlineStr">
        <is>
          <t>Deep Cross Gaming</t>
        </is>
      </c>
      <c r="AU106" s="24" t="inlineStr">
        <is>
          <t>Deep Cross Gaming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ec253e009ebc51b870bf7dddd39f66de3de28259fdb77d4c257587dd29af8c61</t>
        </is>
      </c>
      <c r="BB106" s="24" t="inlineStr">
        <is>
          <t>neutral_elo</t>
        </is>
      </c>
      <c r="BC106" s="24" t="inlineStr">
        <is>
          <t>lol-tiered-elo-v6</t>
        </is>
      </c>
      <c r="BD106" s="24" t="inlineStr">
        <is>
          <t>ec253e009ebc51b870bf7dddd39f66de3de28259fdb77d4c257587dd29af8c61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lol-tiered-elo-v6</t>
        </is>
      </c>
      <c r="BH106" s="24" t="inlineStr">
        <is>
          <t>2026-08-13T07:33:29.453323Z</t>
        </is>
      </c>
      <c r="BI106" s="24" t="inlineStr">
        <is>
          <t>["same_event","same_team_same_day","same_league_same_day"]</t>
        </is>
      </c>
      <c r="BJ106" s="25" t="n"/>
      <c r="BK106" s="26" t="n">
        <v>-138</v>
      </c>
      <c r="BL106" s="27" t="n">
        <v>1.724638</v>
      </c>
      <c r="BM106" s="28" t="n">
        <v>0.579832</v>
      </c>
      <c r="BN106" s="28" t="n"/>
      <c r="BO106" s="28" t="n"/>
      <c r="BP106" s="25" t="n"/>
      <c r="BQ106" s="27" t="n">
        <v>1.724638</v>
      </c>
      <c r="BR106" s="28" t="n">
        <v>0.58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0.579832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314ce18ff63249f5</t>
        </is>
      </c>
      <c r="B107" s="24" t="inlineStr">
        <is>
          <t>2026-08-13T07:33:45.748059Z</t>
        </is>
      </c>
      <c r="C107" s="24" t="inlineStr">
        <is>
          <t>2026-08-13T10:00:00Z</t>
        </is>
      </c>
      <c r="D107" s="24" t="inlineStr">
        <is>
          <t>77199</t>
        </is>
      </c>
      <c r="E107" s="24" t="inlineStr">
        <is>
          <t>LOL</t>
        </is>
      </c>
      <c r="F107" s="24" t="inlineStr">
        <is>
          <t>Hanwha Life Esports</t>
        </is>
      </c>
      <c r="G107" s="24" t="inlineStr">
        <is>
          <t>Gen.G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133</v>
      </c>
      <c r="M107" s="27" t="n">
        <v>2.33</v>
      </c>
      <c r="N107" s="28" t="n">
        <v>0.429185</v>
      </c>
      <c r="O107" s="28" t="n">
        <v>0.549515</v>
      </c>
      <c r="P107" s="28" t="n"/>
      <c r="Q107" s="28" t="n">
        <v>0.12033</v>
      </c>
      <c r="R107" s="26" t="n">
        <v>80</v>
      </c>
      <c r="S107" s="29" t="n">
        <v>1</v>
      </c>
      <c r="T107" s="24" t="inlineStr">
        <is>
          <t>lol-tiered-elo-v6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133</v>
      </c>
      <c r="AA107" s="28" t="n">
        <v>0.43</v>
      </c>
      <c r="AB107" s="28" t="n">
        <v>0.000815</v>
      </c>
      <c r="AC107" s="30" t="n">
        <v>-1</v>
      </c>
      <c r="AD107" s="24" t="inlineStr">
        <is>
          <t>2026-08-13T13:43:11.533636Z</t>
        </is>
      </c>
      <c r="AE107" s="31" t="inlineStr">
        <is>
          <t>Neutral Elo baseline; executable ask 0.4300 (market_slug=aec-lol-gen-hle-2026-08-13).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Hanwha Life Esports</t>
        </is>
      </c>
      <c r="AQ107" s="24" t="inlineStr">
        <is>
          <t>Hanwha Life Esports</t>
        </is>
      </c>
      <c r="AR107" s="24" t="inlineStr">
        <is>
          <t>Hanwha Life Esports</t>
        </is>
      </c>
      <c r="AS107" s="24" t="inlineStr">
        <is>
          <t>Gen.G</t>
        </is>
      </c>
      <c r="AT107" s="24" t="inlineStr">
        <is>
          <t>Gen.G</t>
        </is>
      </c>
      <c r="AU107" s="24" t="inlineStr">
        <is>
          <t>Gen.G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ec253e009ebc51b870bf7dddd39f66de3de28259fdb77d4c257587dd29af8c61</t>
        </is>
      </c>
      <c r="BB107" s="24" t="inlineStr">
        <is>
          <t>neutral_elo</t>
        </is>
      </c>
      <c r="BC107" s="24" t="inlineStr">
        <is>
          <t>lol-tiered-elo-v6</t>
        </is>
      </c>
      <c r="BD107" s="24" t="inlineStr">
        <is>
          <t>ec253e009ebc51b870bf7dddd39f66de3de28259fdb77d4c257587dd29af8c61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lol-tiered-elo-v6</t>
        </is>
      </c>
      <c r="BH107" s="24" t="inlineStr">
        <is>
          <t>2026-08-13T07:33:30.003386Z</t>
        </is>
      </c>
      <c r="BI107" s="24" t="inlineStr">
        <is>
          <t>["same_event","same_team_same_day","same_league_same_day"]</t>
        </is>
      </c>
      <c r="BJ107" s="25" t="n"/>
      <c r="BK107" s="26" t="n">
        <v>133</v>
      </c>
      <c r="BL107" s="27" t="n">
        <v>2.33</v>
      </c>
      <c r="BM107" s="28" t="n">
        <v>0.429185</v>
      </c>
      <c r="BN107" s="28" t="n"/>
      <c r="BO107" s="28" t="n"/>
      <c r="BP107" s="25" t="n"/>
      <c r="BQ107" s="27" t="n">
        <v>2.33</v>
      </c>
      <c r="BR107" s="28" t="n">
        <v>0.43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0.429185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a314f00bf45340dd</t>
        </is>
      </c>
      <c r="B108" s="24" t="inlineStr">
        <is>
          <t>2026-08-13T13:47:27.260608Z</t>
        </is>
      </c>
      <c r="C108" s="24" t="inlineStr">
        <is>
          <t>2026-08-13T14:30:00Z</t>
        </is>
      </c>
      <c r="D108" s="24" t="inlineStr">
        <is>
          <t>80404</t>
        </is>
      </c>
      <c r="E108" s="24" t="inlineStr">
        <is>
          <t>LOL</t>
        </is>
      </c>
      <c r="F108" s="24" t="inlineStr">
        <is>
          <t>Team Phoenix</t>
        </is>
      </c>
      <c r="G108" s="24" t="inlineStr">
        <is>
          <t>Shark Attack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203</v>
      </c>
      <c r="M108" s="27" t="n">
        <v>3.03</v>
      </c>
      <c r="N108" s="28" t="n">
        <v>0.330033</v>
      </c>
      <c r="O108" s="28" t="n">
        <v>0.597109</v>
      </c>
      <c r="P108" s="28" t="n"/>
      <c r="Q108" s="28" t="n">
        <v>0.267076</v>
      </c>
      <c r="R108" s="26" t="n">
        <v>100</v>
      </c>
      <c r="S108" s="29" t="n">
        <v>1.25</v>
      </c>
      <c r="T108" s="24" t="inlineStr">
        <is>
          <t>lol-tiered-elo-v6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>
        <v>203</v>
      </c>
      <c r="AA108" s="28" t="n">
        <v>0.33</v>
      </c>
      <c r="AB108" s="28" t="n">
        <v>-3.3e-05</v>
      </c>
      <c r="AC108" s="30" t="n">
        <v>-1.25</v>
      </c>
      <c r="AD108" s="24" t="inlineStr">
        <is>
          <t>2026-08-13T16:49:44.358406Z</t>
        </is>
      </c>
      <c r="AE108" s="31" t="inlineStr">
        <is>
          <t>Neutral Elo baseline; executable ask 0.3300 (market_slug=aec-lol-sha-phx-2026-08-13).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Team Phoenix</t>
        </is>
      </c>
      <c r="AQ108" s="24" t="inlineStr">
        <is>
          <t>Team Phoenix</t>
        </is>
      </c>
      <c r="AR108" s="24" t="inlineStr">
        <is>
          <t>Team Phoenix</t>
        </is>
      </c>
      <c r="AS108" s="24" t="inlineStr">
        <is>
          <t>Shark Attack</t>
        </is>
      </c>
      <c r="AT108" s="24" t="inlineStr">
        <is>
          <t>Shark Attack</t>
        </is>
      </c>
      <c r="AU108" s="24" t="inlineStr">
        <is>
          <t>Shark Attack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6023d4021b40a650776f8cf8855b72ed9aa87236a16daed15de976c649ced69c</t>
        </is>
      </c>
      <c r="BB108" s="24" t="inlineStr">
        <is>
          <t>neutral_elo</t>
        </is>
      </c>
      <c r="BC108" s="24" t="inlineStr">
        <is>
          <t>lol-tiered-elo-v6</t>
        </is>
      </c>
      <c r="BD108" s="24" t="inlineStr">
        <is>
          <t>6023d4021b40a650776f8cf8855b72ed9aa87236a16daed15de976c649ced69c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lol-tiered-elo-v6</t>
        </is>
      </c>
      <c r="BH108" s="24" t="inlineStr">
        <is>
          <t>2026-08-13T13:47:13.491111Z</t>
        </is>
      </c>
      <c r="BI108" s="24" t="inlineStr">
        <is>
          <t>["same_event","same_team_same_day","same_league_same_day"]</t>
        </is>
      </c>
      <c r="BJ108" s="25" t="n"/>
      <c r="BK108" s="26" t="n">
        <v>203</v>
      </c>
      <c r="BL108" s="27" t="n">
        <v>3.03</v>
      </c>
      <c r="BM108" s="28" t="n">
        <v>0.330033</v>
      </c>
      <c r="BN108" s="28" t="n"/>
      <c r="BO108" s="28" t="n"/>
      <c r="BP108" s="25" t="n"/>
      <c r="BQ108" s="27" t="n">
        <v>3.03</v>
      </c>
      <c r="BR108" s="28" t="n">
        <v>0.33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0.330033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85ae925c04ca4af5</t>
        </is>
      </c>
      <c r="B109" s="24" t="inlineStr">
        <is>
          <t>2026-08-13T13:47:27.260608Z</t>
        </is>
      </c>
      <c r="C109" s="24" t="inlineStr">
        <is>
          <t>2026-08-13T15:00:00Z</t>
        </is>
      </c>
      <c r="D109" s="24" t="inlineStr">
        <is>
          <t>80391</t>
        </is>
      </c>
      <c r="E109" s="24" t="inlineStr">
        <is>
          <t>LOL</t>
        </is>
      </c>
      <c r="F109" s="24" t="inlineStr">
        <is>
          <t>ROSSMANN Centaurs</t>
        </is>
      </c>
      <c r="G109" s="24" t="inlineStr">
        <is>
          <t>E WIE EINFACH E-SPORTS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-186</v>
      </c>
      <c r="M109" s="27" t="n">
        <v>1.537634</v>
      </c>
      <c r="N109" s="28" t="n">
        <v>0.65035</v>
      </c>
      <c r="O109" s="28" t="n">
        <v>0.714326</v>
      </c>
      <c r="P109" s="28" t="n"/>
      <c r="Q109" s="28" t="n">
        <v>0.06397600000000001</v>
      </c>
      <c r="R109" s="26" t="n">
        <v>52</v>
      </c>
      <c r="S109" s="29" t="n">
        <v>2</v>
      </c>
      <c r="T109" s="24" t="inlineStr">
        <is>
          <t>lol-tiered-elo-v6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1</v>
      </c>
      <c r="X109" s="26" t="n">
        <v>0</v>
      </c>
      <c r="Y109" s="25" t="n"/>
      <c r="Z109" s="26" t="n">
        <v>-186</v>
      </c>
      <c r="AA109" s="28" t="n">
        <v>0.65</v>
      </c>
      <c r="AB109" s="28" t="n">
        <v>-0.00035</v>
      </c>
      <c r="AC109" s="30" t="n">
        <v>-2</v>
      </c>
      <c r="AD109" s="24" t="inlineStr">
        <is>
          <t>2026-08-13T19:19:20.114123Z</t>
        </is>
      </c>
      <c r="AE109" s="31" t="inlineStr">
        <is>
          <t>Neutral Elo baseline; executable ask 0.6500 (market_slug=aec-lol-ewi-ross-2026-08-13).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ROSSMANN Centaurs</t>
        </is>
      </c>
      <c r="AQ109" s="24" t="inlineStr">
        <is>
          <t>ROSSMANN Centaurs</t>
        </is>
      </c>
      <c r="AR109" s="24" t="inlineStr">
        <is>
          <t>ROSSMANN Centaurs</t>
        </is>
      </c>
      <c r="AS109" s="24" t="inlineStr">
        <is>
          <t>E WIE EINFACH E-SPORTS</t>
        </is>
      </c>
      <c r="AT109" s="24" t="inlineStr">
        <is>
          <t>E WIE EINFACH E-SPORTS</t>
        </is>
      </c>
      <c r="AU109" s="24" t="inlineStr">
        <is>
          <t>E WIE EINFACH E-SPORTS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6023d4021b40a650776f8cf8855b72ed9aa87236a16daed15de976c649ced69c</t>
        </is>
      </c>
      <c r="BB109" s="24" t="inlineStr">
        <is>
          <t>neutral_elo</t>
        </is>
      </c>
      <c r="BC109" s="24" t="inlineStr">
        <is>
          <t>lol-tiered-elo-v6</t>
        </is>
      </c>
      <c r="BD109" s="24" t="inlineStr">
        <is>
          <t>6023d4021b40a650776f8cf8855b72ed9aa87236a16daed15de976c649ced69c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lol-tiered-elo-v6</t>
        </is>
      </c>
      <c r="BH109" s="24" t="inlineStr">
        <is>
          <t>2026-08-13T13:47:14.010731Z</t>
        </is>
      </c>
      <c r="BI109" s="24" t="inlineStr">
        <is>
          <t>["same_event","same_team_same_day","same_league_same_day"]</t>
        </is>
      </c>
      <c r="BJ109" s="25" t="n"/>
      <c r="BK109" s="26" t="n">
        <v>-186</v>
      </c>
      <c r="BL109" s="27" t="n">
        <v>1.537634</v>
      </c>
      <c r="BM109" s="28" t="n">
        <v>0.65035</v>
      </c>
      <c r="BN109" s="28" t="n"/>
      <c r="BO109" s="28" t="n"/>
      <c r="BP109" s="25" t="n"/>
      <c r="BQ109" s="27" t="n">
        <v>1.537634</v>
      </c>
      <c r="BR109" s="28" t="n">
        <v>0.65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0.65035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8dc8a0c6a3094cb7</t>
        </is>
      </c>
      <c r="B110" s="24" t="inlineStr">
        <is>
          <t>2026-08-13T17:16:31.277645Z</t>
        </is>
      </c>
      <c r="C110" s="24" t="inlineStr">
        <is>
          <t>2026-08-13T17:30:00Z</t>
        </is>
      </c>
      <c r="D110" s="24" t="inlineStr">
        <is>
          <t>77534</t>
        </is>
      </c>
      <c r="E110" s="24" t="inlineStr">
        <is>
          <t>LOL</t>
        </is>
      </c>
      <c r="F110" s="24" t="inlineStr">
        <is>
          <t>⁠Movistar KOI Fénix</t>
        </is>
      </c>
      <c r="G110" s="24" t="inlineStr">
        <is>
          <t>Team Heretics Academy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-163</v>
      </c>
      <c r="M110" s="27" t="n">
        <v>1.613497</v>
      </c>
      <c r="N110" s="28" t="n">
        <v>0.619772</v>
      </c>
      <c r="O110" s="28" t="n">
        <v>0.617549</v>
      </c>
      <c r="P110" s="28" t="n"/>
      <c r="Q110" s="28" t="n">
        <v>-0.002223</v>
      </c>
      <c r="R110" s="26" t="n">
        <v>19</v>
      </c>
      <c r="S110" s="29" t="n">
        <v>1.5</v>
      </c>
      <c r="T110" s="24" t="inlineStr">
        <is>
          <t>lol-tiered-elo-v6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>
        <v>-163</v>
      </c>
      <c r="AA110" s="28" t="n">
        <v>0.62</v>
      </c>
      <c r="AB110" s="28" t="n">
        <v>0.000228</v>
      </c>
      <c r="AC110" s="30" t="n">
        <v>-1.5</v>
      </c>
      <c r="AD110" s="24" t="inlineStr">
        <is>
          <t>2026-08-13T20:11:38.024162Z</t>
        </is>
      </c>
      <c r="AE110" s="31" t="inlineStr">
        <is>
          <t>Neutral Elo baseline; executable ask 0.6200 (market_slug=aec-lol-hrts-mkf-2026-08-13).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3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⁠Movistar KOI Fénix</t>
        </is>
      </c>
      <c r="AQ110" s="24" t="inlineStr">
        <is>
          <t>⁠Movistar KOI Fénix</t>
        </is>
      </c>
      <c r="AR110" s="24" t="inlineStr">
        <is>
          <t>⁠Movistar KOI Fénix</t>
        </is>
      </c>
      <c r="AS110" s="24" t="inlineStr">
        <is>
          <t>Team Heretics Academy</t>
        </is>
      </c>
      <c r="AT110" s="24" t="inlineStr">
        <is>
          <t>Team Heretics Academy</t>
        </is>
      </c>
      <c r="AU110" s="24" t="inlineStr">
        <is>
          <t>Team Heretics Academy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4da8cf8556dcb2f8db0165b0df47f474a10ecbe34301ea2884cb4d2ea0ed7ec7</t>
        </is>
      </c>
      <c r="BB110" s="24" t="inlineStr">
        <is>
          <t>neutral_elo</t>
        </is>
      </c>
      <c r="BC110" s="24" t="inlineStr">
        <is>
          <t>lol-tiered-elo-v6</t>
        </is>
      </c>
      <c r="BD110" s="24" t="inlineStr">
        <is>
          <t>4da8cf8556dcb2f8db0165b0df47f474a10ecbe34301ea2884cb4d2ea0ed7ec7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lol-tiered-elo-v6</t>
        </is>
      </c>
      <c r="BH110" s="24" t="inlineStr">
        <is>
          <t>2026-08-13T17:16:20.915742Z</t>
        </is>
      </c>
      <c r="BI110" s="24" t="inlineStr">
        <is>
          <t>["same_event","same_team_same_day","same_league_same_day"]</t>
        </is>
      </c>
      <c r="BJ110" s="25" t="n"/>
      <c r="BK110" s="26" t="n">
        <v>-163</v>
      </c>
      <c r="BL110" s="27" t="n">
        <v>1.613497</v>
      </c>
      <c r="BM110" s="28" t="n">
        <v>0.619772</v>
      </c>
      <c r="BN110" s="28" t="n"/>
      <c r="BO110" s="28" t="n"/>
      <c r="BP110" s="25" t="n"/>
      <c r="BQ110" s="27" t="n">
        <v>1.613497</v>
      </c>
      <c r="BR110" s="28" t="n">
        <v>0.62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0.619772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a54aaca76b2a497b</t>
        </is>
      </c>
      <c r="B111" s="24" t="inlineStr">
        <is>
          <t>2026-08-13T17:16:31.277645Z</t>
        </is>
      </c>
      <c r="C111" s="24" t="inlineStr">
        <is>
          <t>2026-08-13T18:00:00Z</t>
        </is>
      </c>
      <c r="D111" s="24" t="inlineStr">
        <is>
          <t>77543</t>
        </is>
      </c>
      <c r="E111" s="24" t="inlineStr">
        <is>
          <t>LOL</t>
        </is>
      </c>
      <c r="F111" s="24" t="inlineStr">
        <is>
          <t>NORTHERNGRADE ESPORTS</t>
        </is>
      </c>
      <c r="G111" s="24" t="inlineStr">
        <is>
          <t>The Otter Side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-144</v>
      </c>
      <c r="M111" s="27" t="n">
        <v>1.694444</v>
      </c>
      <c r="N111" s="28" t="n">
        <v>0.590164</v>
      </c>
      <c r="O111" s="28" t="n">
        <v>0.587537</v>
      </c>
      <c r="P111" s="28" t="n"/>
      <c r="Q111" s="28" t="n">
        <v>-0.002627</v>
      </c>
      <c r="R111" s="26" t="n">
        <v>19</v>
      </c>
      <c r="S111" s="29" t="n">
        <v>1.25</v>
      </c>
      <c r="T111" s="24" t="inlineStr">
        <is>
          <t>lol-tiered-elo-v6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-144</v>
      </c>
      <c r="AA111" s="28" t="n">
        <v>0.59</v>
      </c>
      <c r="AB111" s="28" t="n">
        <v>-0.000164</v>
      </c>
      <c r="AC111" s="30" t="n">
        <v>0.8681</v>
      </c>
      <c r="AD111" s="24" t="inlineStr">
        <is>
          <t>2026-08-13T23:17:33.937066Z</t>
        </is>
      </c>
      <c r="AE111" s="31" t="inlineStr">
        <is>
          <t>Neutral Elo baseline; executable ask 0.5900 (market_slug=aec-lol-tos-nort-2026-08-13).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NORTHERNGRADE ESPORTS</t>
        </is>
      </c>
      <c r="AQ111" s="24" t="inlineStr">
        <is>
          <t>NORTHERNGRADE ESPORTS</t>
        </is>
      </c>
      <c r="AR111" s="24" t="inlineStr">
        <is>
          <t>NORTHERNGRADE ESPORTS</t>
        </is>
      </c>
      <c r="AS111" s="24" t="inlineStr">
        <is>
          <t>The Otter Side</t>
        </is>
      </c>
      <c r="AT111" s="24" t="inlineStr">
        <is>
          <t>The Otter Side</t>
        </is>
      </c>
      <c r="AU111" s="24" t="inlineStr">
        <is>
          <t>The Otter Side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4da8cf8556dcb2f8db0165b0df47f474a10ecbe34301ea2884cb4d2ea0ed7ec7</t>
        </is>
      </c>
      <c r="BB111" s="24" t="inlineStr">
        <is>
          <t>neutral_elo</t>
        </is>
      </c>
      <c r="BC111" s="24" t="inlineStr">
        <is>
          <t>lol-tiered-elo-v6</t>
        </is>
      </c>
      <c r="BD111" s="24" t="inlineStr">
        <is>
          <t>4da8cf8556dcb2f8db0165b0df47f474a10ecbe34301ea2884cb4d2ea0ed7ec7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lol-tiered-elo-v6</t>
        </is>
      </c>
      <c r="BH111" s="24" t="inlineStr">
        <is>
          <t>2026-08-13T17:16:21.484237Z</t>
        </is>
      </c>
      <c r="BI111" s="24" t="inlineStr">
        <is>
          <t>["same_event","same_team_same_day","same_league_same_day"]</t>
        </is>
      </c>
      <c r="BJ111" s="25" t="n"/>
      <c r="BK111" s="26" t="n">
        <v>-144</v>
      </c>
      <c r="BL111" s="27" t="n">
        <v>1.694444</v>
      </c>
      <c r="BM111" s="28" t="n">
        <v>0.590164</v>
      </c>
      <c r="BN111" s="28" t="n"/>
      <c r="BO111" s="28" t="n"/>
      <c r="BP111" s="25" t="n"/>
      <c r="BQ111" s="27" t="n">
        <v>1.694444</v>
      </c>
      <c r="BR111" s="28" t="n">
        <v>0.59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0.590164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11eea7fd78cd4965</t>
        </is>
      </c>
      <c r="B112" s="24" t="inlineStr">
        <is>
          <t>2026-08-13T17:16:31.277645Z</t>
        </is>
      </c>
      <c r="C112" s="24" t="inlineStr">
        <is>
          <t>2026-08-13T18:00:00Z</t>
        </is>
      </c>
      <c r="D112" s="24" t="inlineStr">
        <is>
          <t>77545</t>
        </is>
      </c>
      <c r="E112" s="24" t="inlineStr">
        <is>
          <t>LOL</t>
        </is>
      </c>
      <c r="F112" s="24" t="inlineStr">
        <is>
          <t>ZennIT</t>
        </is>
      </c>
      <c r="G112" s="24" t="inlineStr">
        <is>
          <t>Myth Esports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100</v>
      </c>
      <c r="M112" s="27" t="n">
        <v>2</v>
      </c>
      <c r="N112" s="28" t="n">
        <v>0.5</v>
      </c>
      <c r="O112" s="28" t="n">
        <v>0.570819</v>
      </c>
      <c r="P112" s="28" t="n"/>
      <c r="Q112" s="28" t="n">
        <v>0.07081899999999999</v>
      </c>
      <c r="R112" s="26" t="n">
        <v>55</v>
      </c>
      <c r="S112" s="29" t="n">
        <v>1.25</v>
      </c>
      <c r="T112" s="24" t="inlineStr">
        <is>
          <t>lol-tiered-elo-v6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1</v>
      </c>
      <c r="Y112" s="25" t="n"/>
      <c r="Z112" s="26" t="n">
        <v>100</v>
      </c>
      <c r="AA112" s="28" t="n">
        <v>0.5</v>
      </c>
      <c r="AB112" s="28" t="n">
        <v>0</v>
      </c>
      <c r="AC112" s="30" t="n">
        <v>-1.25</v>
      </c>
      <c r="AD112" s="24" t="inlineStr">
        <is>
          <t>2026-08-13T23:17:37.048136Z</t>
        </is>
      </c>
      <c r="AE112" s="31" t="inlineStr">
        <is>
          <t>Neutral Elo baseline; executable ask 0.5000 (market_slug=aec-lol-myth-znt-2026-08-13).</t>
        </is>
      </c>
      <c r="AF112" s="31" t="inlineStr">
        <is>
          <t>Config-promoted esports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ZennIT</t>
        </is>
      </c>
      <c r="AQ112" s="24" t="inlineStr">
        <is>
          <t>ZennIT</t>
        </is>
      </c>
      <c r="AR112" s="24" t="inlineStr">
        <is>
          <t>ZennIT</t>
        </is>
      </c>
      <c r="AS112" s="24" t="inlineStr">
        <is>
          <t>Myth Esports</t>
        </is>
      </c>
      <c r="AT112" s="24" t="inlineStr">
        <is>
          <t>Myth Esports</t>
        </is>
      </c>
      <c r="AU112" s="24" t="inlineStr">
        <is>
          <t>Myth Esports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4da8cf8556dcb2f8db0165b0df47f474a10ecbe34301ea2884cb4d2ea0ed7ec7</t>
        </is>
      </c>
      <c r="BB112" s="24" t="inlineStr">
        <is>
          <t>neutral_elo</t>
        </is>
      </c>
      <c r="BC112" s="24" t="inlineStr">
        <is>
          <t>lol-tiered-elo-v6</t>
        </is>
      </c>
      <c r="BD112" s="24" t="inlineStr">
        <is>
          <t>4da8cf8556dcb2f8db0165b0df47f474a10ecbe34301ea2884cb4d2ea0ed7ec7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lol-tiered-elo-v6</t>
        </is>
      </c>
      <c r="BH112" s="24" t="inlineStr">
        <is>
          <t>2026-08-13T17:16:22.513568Z</t>
        </is>
      </c>
      <c r="BI112" s="24" t="inlineStr">
        <is>
          <t>["same_event","same_team_same_day","same_league_same_day"]</t>
        </is>
      </c>
      <c r="BJ112" s="25" t="n"/>
      <c r="BK112" s="26" t="n">
        <v>100</v>
      </c>
      <c r="BL112" s="27" t="n">
        <v>2</v>
      </c>
      <c r="BM112" s="28" t="n">
        <v>0.5</v>
      </c>
      <c r="BN112" s="28" t="n"/>
      <c r="BO112" s="28" t="n"/>
      <c r="BP112" s="25" t="n"/>
      <c r="BQ112" s="27" t="n">
        <v>2</v>
      </c>
      <c r="BR112" s="28" t="n">
        <v>0.5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681ccffe01a94d7d</t>
        </is>
      </c>
      <c r="B113" s="24" t="inlineStr">
        <is>
          <t>2026-08-13T20:15:26.127935Z</t>
        </is>
      </c>
      <c r="C113" s="24" t="inlineStr">
        <is>
          <t>2026-08-13T21:00:00Z</t>
        </is>
      </c>
      <c r="D113" s="24" t="inlineStr">
        <is>
          <t>77941</t>
        </is>
      </c>
      <c r="E113" s="24" t="inlineStr">
        <is>
          <t>LOL</t>
        </is>
      </c>
      <c r="F113" s="24" t="inlineStr">
        <is>
          <t>Role Swappers</t>
        </is>
      </c>
      <c r="G113" s="24" t="inlineStr">
        <is>
          <t>ZeroZone Gaming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186</v>
      </c>
      <c r="M113" s="27" t="n">
        <v>2.86</v>
      </c>
      <c r="N113" s="28" t="n">
        <v>0.34965</v>
      </c>
      <c r="O113" s="28" t="n">
        <v>0.588255</v>
      </c>
      <c r="P113" s="28" t="n"/>
      <c r="Q113" s="28" t="n">
        <v>0.238605</v>
      </c>
      <c r="R113" s="26" t="n">
        <v>100</v>
      </c>
      <c r="S113" s="29" t="n">
        <v>1.25</v>
      </c>
      <c r="T113" s="24" t="inlineStr">
        <is>
          <t>lol-tiered-elo-v6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1</v>
      </c>
      <c r="Y113" s="25" t="n"/>
      <c r="Z113" s="26" t="n">
        <v>186</v>
      </c>
      <c r="AA113" s="28" t="n">
        <v>0.35</v>
      </c>
      <c r="AB113" s="28" t="n">
        <v>0.00035</v>
      </c>
      <c r="AC113" s="30" t="n">
        <v>-1.25</v>
      </c>
      <c r="AD113" s="24" t="inlineStr">
        <is>
          <t>2026-08-14T02:22:46.422424Z</t>
        </is>
      </c>
      <c r="AE113" s="31" t="inlineStr">
        <is>
          <t>Neutral Elo baseline; executable ask 0.3500 (market_slug=aec-lol-zzg-role-2026-08-13).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Role Swappers</t>
        </is>
      </c>
      <c r="AQ113" s="24" t="inlineStr">
        <is>
          <t>Role Swappers</t>
        </is>
      </c>
      <c r="AR113" s="24" t="inlineStr">
        <is>
          <t>Role Swappers</t>
        </is>
      </c>
      <c r="AS113" s="24" t="inlineStr">
        <is>
          <t>ZeroZone Gaming</t>
        </is>
      </c>
      <c r="AT113" s="24" t="inlineStr">
        <is>
          <t>ZeroZone Gaming</t>
        </is>
      </c>
      <c r="AU113" s="24" t="inlineStr">
        <is>
          <t>ZeroZone Gaming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a88bb99ad0171b651acfa2a93a80103c0b1ba1a2574e16f8845b1f2683e3361c</t>
        </is>
      </c>
      <c r="BB113" s="24" t="inlineStr">
        <is>
          <t>neutral_elo</t>
        </is>
      </c>
      <c r="BC113" s="24" t="inlineStr">
        <is>
          <t>lol-tiered-elo-v6</t>
        </is>
      </c>
      <c r="BD113" s="24" t="inlineStr">
        <is>
          <t>a88bb99ad0171b651acfa2a93a80103c0b1ba1a2574e16f8845b1f2683e3361c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lol-tiered-elo-v6</t>
        </is>
      </c>
      <c r="BH113" s="24" t="inlineStr">
        <is>
          <t>2026-08-13T20:15:18.909756Z</t>
        </is>
      </c>
      <c r="BI113" s="24" t="inlineStr">
        <is>
          <t>["same_event","same_team_same_day","same_league_same_day"]</t>
        </is>
      </c>
      <c r="BJ113" s="25" t="n"/>
      <c r="BK113" s="26" t="n">
        <v>186</v>
      </c>
      <c r="BL113" s="27" t="n">
        <v>2.86</v>
      </c>
      <c r="BM113" s="28" t="n">
        <v>0.34965</v>
      </c>
      <c r="BN113" s="28" t="n"/>
      <c r="BO113" s="28" t="n"/>
      <c r="BP113" s="25" t="n"/>
      <c r="BQ113" s="27" t="n">
        <v>2.86</v>
      </c>
      <c r="BR113" s="28" t="n">
        <v>0.35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0.34965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550a79b446ae4801</t>
        </is>
      </c>
      <c r="B114" s="24" t="inlineStr">
        <is>
          <t>2026-08-13T20:15:26.127935Z</t>
        </is>
      </c>
      <c r="C114" s="24" t="inlineStr">
        <is>
          <t>2026-08-13T21:00:00Z</t>
        </is>
      </c>
      <c r="D114" s="24" t="inlineStr">
        <is>
          <t>77945</t>
        </is>
      </c>
      <c r="E114" s="24" t="inlineStr">
        <is>
          <t>LOL</t>
        </is>
      </c>
      <c r="F114" s="24" t="inlineStr">
        <is>
          <t>Winthrop University</t>
        </is>
      </c>
      <c r="G114" s="24" t="inlineStr">
        <is>
          <t>Maryville University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-186</v>
      </c>
      <c r="M114" s="27" t="n">
        <v>1.537634</v>
      </c>
      <c r="N114" s="28" t="n">
        <v>0.65035</v>
      </c>
      <c r="O114" s="28" t="n">
        <v>0.587138</v>
      </c>
      <c r="P114" s="28" t="n"/>
      <c r="Q114" s="28" t="n">
        <v>-0.063212</v>
      </c>
      <c r="R114" s="26" t="n">
        <v>0</v>
      </c>
      <c r="S114" s="29" t="n">
        <v>1.25</v>
      </c>
      <c r="T114" s="24" t="inlineStr">
        <is>
          <t>lol-tiered-elo-v6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>
        <v>-186</v>
      </c>
      <c r="AA114" s="28" t="n">
        <v>0.65</v>
      </c>
      <c r="AB114" s="28" t="n">
        <v>-0.00035</v>
      </c>
      <c r="AC114" s="30" t="n">
        <v>-1.25</v>
      </c>
      <c r="AD114" s="24" t="inlineStr">
        <is>
          <t>2026-08-14T02:22:51.449082Z</t>
        </is>
      </c>
      <c r="AE114" s="31" t="inlineStr">
        <is>
          <t>Neutral Elo baseline; executable ask 0.6500 (market_slug=aec-lol-mvu-wu-2026-08-13).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Winthrop University</t>
        </is>
      </c>
      <c r="AQ114" s="24" t="inlineStr">
        <is>
          <t>Winthrop University</t>
        </is>
      </c>
      <c r="AR114" s="24" t="inlineStr">
        <is>
          <t>Winthrop University</t>
        </is>
      </c>
      <c r="AS114" s="24" t="inlineStr">
        <is>
          <t>Maryville University</t>
        </is>
      </c>
      <c r="AT114" s="24" t="inlineStr">
        <is>
          <t>Maryville University</t>
        </is>
      </c>
      <c r="AU114" s="24" t="inlineStr">
        <is>
          <t>Maryville University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a88bb99ad0171b651acfa2a93a80103c0b1ba1a2574e16f8845b1f2683e3361c</t>
        </is>
      </c>
      <c r="BB114" s="24" t="inlineStr">
        <is>
          <t>neutral_elo</t>
        </is>
      </c>
      <c r="BC114" s="24" t="inlineStr">
        <is>
          <t>lol-tiered-elo-v6</t>
        </is>
      </c>
      <c r="BD114" s="24" t="inlineStr">
        <is>
          <t>a88bb99ad0171b651acfa2a93a80103c0b1ba1a2574e16f8845b1f2683e3361c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lol-tiered-elo-v6</t>
        </is>
      </c>
      <c r="BH114" s="24" t="inlineStr">
        <is>
          <t>2026-08-13T20:15:19.378069Z</t>
        </is>
      </c>
      <c r="BI114" s="24" t="inlineStr">
        <is>
          <t>["same_event","same_team_same_day","same_league_same_day"]</t>
        </is>
      </c>
      <c r="BJ114" s="25" t="n"/>
      <c r="BK114" s="26" t="n">
        <v>-186</v>
      </c>
      <c r="BL114" s="27" t="n">
        <v>1.537634</v>
      </c>
      <c r="BM114" s="28" t="n">
        <v>0.65035</v>
      </c>
      <c r="BN114" s="28" t="n"/>
      <c r="BO114" s="28" t="n"/>
      <c r="BP114" s="25" t="n"/>
      <c r="BQ114" s="27" t="n">
        <v>1.537634</v>
      </c>
      <c r="BR114" s="28" t="n">
        <v>0.65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0.65035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6188f249b24d4919</t>
        </is>
      </c>
      <c r="B115" s="24" t="inlineStr">
        <is>
          <t>2026-08-14T04:12:55.353715Z</t>
        </is>
      </c>
      <c r="C115" s="24" t="inlineStr">
        <is>
          <t>2026-08-14T05:00:00Z</t>
        </is>
      </c>
      <c r="D115" s="24" t="inlineStr">
        <is>
          <t>78185</t>
        </is>
      </c>
      <c r="E115" s="24" t="inlineStr">
        <is>
          <t>LOL</t>
        </is>
      </c>
      <c r="F115" s="24" t="inlineStr">
        <is>
          <t>HANJIN BRION Challengers</t>
        </is>
      </c>
      <c r="G115" s="24" t="inlineStr">
        <is>
          <t>BNK FearX Youth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-186</v>
      </c>
      <c r="M115" s="27" t="n">
        <v>1.537634</v>
      </c>
      <c r="N115" s="28" t="n">
        <v>0.65035</v>
      </c>
      <c r="O115" s="28" t="n">
        <v>0.682884</v>
      </c>
      <c r="P115" s="28" t="n"/>
      <c r="Q115" s="28" t="n">
        <v>0.032534</v>
      </c>
      <c r="R115" s="26" t="n">
        <v>36</v>
      </c>
      <c r="S115" s="29" t="n">
        <v>2</v>
      </c>
      <c r="T115" s="24" t="inlineStr">
        <is>
          <t>lol-tiered-elo-v6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-186</v>
      </c>
      <c r="AA115" s="28" t="n">
        <v>0.65</v>
      </c>
      <c r="AB115" s="28" t="n">
        <v>-0.00035</v>
      </c>
      <c r="AC115" s="30" t="n">
        <v>-2</v>
      </c>
      <c r="AD115" s="24" t="inlineStr">
        <is>
          <t>2026-08-14T07:33:11.902571Z</t>
        </is>
      </c>
      <c r="AE115" s="31" t="inlineStr">
        <is>
          <t>Neutral Elo baseline; executable ask 0.6500 (market_slug=aec-lol-foxy-hbc-2026-08-14).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HANJIN BRION Challengers</t>
        </is>
      </c>
      <c r="AQ115" s="24" t="inlineStr">
        <is>
          <t>HANJIN BRION Challengers</t>
        </is>
      </c>
      <c r="AR115" s="24" t="inlineStr">
        <is>
          <t>HANJIN BRION Challengers</t>
        </is>
      </c>
      <c r="AS115" s="24" t="inlineStr">
        <is>
          <t>BNK FearX Youth</t>
        </is>
      </c>
      <c r="AT115" s="24" t="inlineStr">
        <is>
          <t>BNK FearX Youth</t>
        </is>
      </c>
      <c r="AU115" s="24" t="inlineStr">
        <is>
          <t>BNK FearX Youth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48c5a0094c3909124c25b2dd68486bbc3778104a9e1ddeb4740f9d6b70885d21</t>
        </is>
      </c>
      <c r="BB115" s="24" t="inlineStr">
        <is>
          <t>neutral_elo</t>
        </is>
      </c>
      <c r="BC115" s="24" t="inlineStr">
        <is>
          <t>lol-tiered-elo-v6</t>
        </is>
      </c>
      <c r="BD115" s="24" t="inlineStr">
        <is>
          <t>48c5a0094c3909124c25b2dd68486bbc3778104a9e1ddeb4740f9d6b70885d21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lol-tiered-elo-v6</t>
        </is>
      </c>
      <c r="BH115" s="24" t="inlineStr">
        <is>
          <t>2026-08-14T04:12:38.715639Z</t>
        </is>
      </c>
      <c r="BI115" s="24" t="inlineStr">
        <is>
          <t>["same_event","same_team_same_day","same_league_same_day"]</t>
        </is>
      </c>
      <c r="BJ115" s="25" t="n"/>
      <c r="BK115" s="26" t="n">
        <v>-186</v>
      </c>
      <c r="BL115" s="27" t="n">
        <v>1.537634</v>
      </c>
      <c r="BM115" s="28" t="n">
        <v>0.65035</v>
      </c>
      <c r="BN115" s="28" t="n"/>
      <c r="BO115" s="28" t="n"/>
      <c r="BP115" s="25" t="n"/>
      <c r="BQ115" s="27" t="n">
        <v>1.537634</v>
      </c>
      <c r="BR115" s="28" t="n">
        <v>0.65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0.65035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d4a1da2e773e4c38</t>
        </is>
      </c>
      <c r="B116" s="24" t="inlineStr">
        <is>
          <t>2026-08-14T05:31:43.935755Z</t>
        </is>
      </c>
      <c r="C116" s="24" t="inlineStr">
        <is>
          <t>2026-08-14T07:00:00Z</t>
        </is>
      </c>
      <c r="D116" s="24" t="inlineStr">
        <is>
          <t>78190</t>
        </is>
      </c>
      <c r="E116" s="24" t="inlineStr">
        <is>
          <t>LOL</t>
        </is>
      </c>
      <c r="F116" s="24" t="inlineStr">
        <is>
          <t>LGD Gaming</t>
        </is>
      </c>
      <c r="G116" s="24" t="inlineStr">
        <is>
          <t>EDward Gaming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-170</v>
      </c>
      <c r="M116" s="27" t="n">
        <v>1.588235</v>
      </c>
      <c r="N116" s="28" t="n">
        <v>0.62963</v>
      </c>
      <c r="O116" s="28" t="n">
        <v>0.5459039999999999</v>
      </c>
      <c r="P116" s="28" t="n"/>
      <c r="Q116" s="28" t="n">
        <v>-0.08372599999999999</v>
      </c>
      <c r="R116" s="26" t="n">
        <v>0</v>
      </c>
      <c r="S116" s="29" t="n">
        <v>1</v>
      </c>
      <c r="T116" s="24" t="inlineStr">
        <is>
          <t>lol-tiered-elo-v6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1</v>
      </c>
      <c r="X116" s="26" t="n">
        <v>0</v>
      </c>
      <c r="Y116" s="25" t="n"/>
      <c r="Z116" s="26" t="n">
        <v>-170</v>
      </c>
      <c r="AA116" s="28" t="n">
        <v>0.63</v>
      </c>
      <c r="AB116" s="28" t="n">
        <v>0.00037</v>
      </c>
      <c r="AC116" s="30" t="n">
        <v>0.5881999999999999</v>
      </c>
      <c r="AD116" s="24" t="inlineStr">
        <is>
          <t>2026-08-14T10:45:09.700740Z</t>
        </is>
      </c>
      <c r="AE116" s="31" t="inlineStr">
        <is>
          <t>Neutral Elo baseline; executable ask 0.6300 (market_slug=aec-lol-edg-lgd-2026-08-14).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LGD Gaming</t>
        </is>
      </c>
      <c r="AQ116" s="24" t="inlineStr">
        <is>
          <t>LGD Gaming</t>
        </is>
      </c>
      <c r="AR116" s="24" t="inlineStr">
        <is>
          <t>LGD Gaming</t>
        </is>
      </c>
      <c r="AS116" s="24" t="inlineStr">
        <is>
          <t>EDward Gaming</t>
        </is>
      </c>
      <c r="AT116" s="24" t="inlineStr">
        <is>
          <t>EDward Gaming</t>
        </is>
      </c>
      <c r="AU116" s="24" t="inlineStr">
        <is>
          <t>EDward Gaming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b1aaeee42a298342b198e139fea090da31bc2d26347665aa96076af3eb66684e</t>
        </is>
      </c>
      <c r="BB116" s="24" t="inlineStr">
        <is>
          <t>neutral_elo</t>
        </is>
      </c>
      <c r="BC116" s="24" t="inlineStr">
        <is>
          <t>lol-tiered-elo-v6</t>
        </is>
      </c>
      <c r="BD116" s="24" t="inlineStr">
        <is>
          <t>b1aaeee42a298342b198e139fea090da31bc2d26347665aa96076af3eb66684e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lol-tiered-elo-v6</t>
        </is>
      </c>
      <c r="BH116" s="24" t="inlineStr">
        <is>
          <t>2026-08-14T05:31:27.094281Z</t>
        </is>
      </c>
      <c r="BI116" s="24" t="inlineStr">
        <is>
          <t>["same_event","same_team_same_day","same_league_same_day"]</t>
        </is>
      </c>
      <c r="BJ116" s="25" t="n"/>
      <c r="BK116" s="26" t="n">
        <v>-170</v>
      </c>
      <c r="BL116" s="27" t="n">
        <v>1.588235</v>
      </c>
      <c r="BM116" s="28" t="n">
        <v>0.62963</v>
      </c>
      <c r="BN116" s="28" t="n"/>
      <c r="BO116" s="28" t="n"/>
      <c r="BP116" s="25" t="n"/>
      <c r="BQ116" s="27" t="n">
        <v>1.588235</v>
      </c>
      <c r="BR116" s="28" t="n">
        <v>0.63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0.62963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a901f5baa12748b3</t>
        </is>
      </c>
      <c r="B117" s="24" t="inlineStr">
        <is>
          <t>2026-08-14T07:42:05.123975Z</t>
        </is>
      </c>
      <c r="C117" s="24" t="inlineStr">
        <is>
          <t>2026-08-14T08:00:00Z</t>
        </is>
      </c>
      <c r="D117" s="24" t="inlineStr">
        <is>
          <t>78197</t>
        </is>
      </c>
      <c r="E117" s="24" t="inlineStr">
        <is>
          <t>LOL</t>
        </is>
      </c>
      <c r="F117" s="24" t="inlineStr">
        <is>
          <t>Dplus KIA</t>
        </is>
      </c>
      <c r="G117" s="24" t="inlineStr">
        <is>
          <t>T1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-144</v>
      </c>
      <c r="M117" s="27" t="n">
        <v>1.694444</v>
      </c>
      <c r="N117" s="28" t="n">
        <v>0.590164</v>
      </c>
      <c r="O117" s="28" t="n">
        <v>0.557728</v>
      </c>
      <c r="P117" s="28" t="n"/>
      <c r="Q117" s="28" t="n">
        <v>-0.032436</v>
      </c>
      <c r="R117" s="26" t="n">
        <v>4</v>
      </c>
      <c r="S117" s="29" t="n">
        <v>1</v>
      </c>
      <c r="T117" s="24" t="inlineStr">
        <is>
          <t>lol-tiered-elo-v6</t>
        </is>
      </c>
      <c r="U117" s="24" t="inlineStr">
        <is>
          <t>settled</t>
        </is>
      </c>
      <c r="V117" s="24" t="inlineStr">
        <is>
          <t>loss</t>
        </is>
      </c>
      <c r="W117" s="26" t="n">
        <v>1</v>
      </c>
      <c r="X117" s="26" t="n">
        <v>0</v>
      </c>
      <c r="Y117" s="25" t="n"/>
      <c r="Z117" s="26" t="n">
        <v>-144</v>
      </c>
      <c r="AA117" s="28" t="n">
        <v>0.59</v>
      </c>
      <c r="AB117" s="28" t="n">
        <v>-0.000164</v>
      </c>
      <c r="AC117" s="30" t="n">
        <v>-1</v>
      </c>
      <c r="AD117" s="24" t="inlineStr">
        <is>
          <t>2026-08-14T10:45:11.324330Z</t>
        </is>
      </c>
      <c r="AE117" s="31" t="inlineStr">
        <is>
          <t>Neutral Elo baseline; executable ask 0.5900 (market_slug=aec-lol-t1-dk-2026-08-14).</t>
        </is>
      </c>
      <c r="AF117" s="31" t="inlineStr">
        <is>
          <t>Config-promoted esports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Dplus KIA</t>
        </is>
      </c>
      <c r="AQ117" s="24" t="inlineStr">
        <is>
          <t>Dplus KIA</t>
        </is>
      </c>
      <c r="AR117" s="24" t="inlineStr">
        <is>
          <t>Dplus KIA</t>
        </is>
      </c>
      <c r="AS117" s="24" t="inlineStr">
        <is>
          <t>T1</t>
        </is>
      </c>
      <c r="AT117" s="24" t="inlineStr">
        <is>
          <t>T1</t>
        </is>
      </c>
      <c r="AU117" s="24" t="inlineStr">
        <is>
          <t>T1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fccf44aae9848acebf5028ffc9ed85733073e710199bcfd621983cee4e68ac59</t>
        </is>
      </c>
      <c r="BB117" s="24" t="inlineStr">
        <is>
          <t>neutral_elo</t>
        </is>
      </c>
      <c r="BC117" s="24" t="inlineStr">
        <is>
          <t>lol-tiered-elo-v6</t>
        </is>
      </c>
      <c r="BD117" s="24" t="inlineStr">
        <is>
          <t>fccf44aae9848acebf5028ffc9ed85733073e710199bcfd621983cee4e68ac59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lol-tiered-elo-v6</t>
        </is>
      </c>
      <c r="BH117" s="24" t="inlineStr">
        <is>
          <t>2026-08-14T07:41:48.146410Z</t>
        </is>
      </c>
      <c r="BI117" s="24" t="inlineStr">
        <is>
          <t>["same_event","same_team_same_day","same_league_same_day"]</t>
        </is>
      </c>
      <c r="BJ117" s="25" t="n"/>
      <c r="BK117" s="26" t="n">
        <v>-144</v>
      </c>
      <c r="BL117" s="27" t="n">
        <v>1.694444</v>
      </c>
      <c r="BM117" s="28" t="n">
        <v>0.590164</v>
      </c>
      <c r="BN117" s="28" t="n"/>
      <c r="BO117" s="28" t="n"/>
      <c r="BP117" s="25" t="n"/>
      <c r="BQ117" s="27" t="n">
        <v>1.694444</v>
      </c>
      <c r="BR117" s="28" t="n">
        <v>0.59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0.590164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a35960204558422e</t>
        </is>
      </c>
      <c r="B118" s="24" t="inlineStr">
        <is>
          <t>2026-08-14T07:42:05.123975Z</t>
        </is>
      </c>
      <c r="C118" s="24" t="inlineStr">
        <is>
          <t>2026-08-14T09:00:00Z</t>
        </is>
      </c>
      <c r="D118" s="24" t="inlineStr">
        <is>
          <t>78211</t>
        </is>
      </c>
      <c r="E118" s="24" t="inlineStr">
        <is>
          <t>LOL</t>
        </is>
      </c>
      <c r="F118" s="24" t="inlineStr">
        <is>
          <t>CTBC Flying Oyster</t>
        </is>
      </c>
      <c r="G118" s="24" t="inlineStr">
        <is>
          <t>MVK Esports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-117</v>
      </c>
      <c r="M118" s="27" t="n">
        <v>1.854701</v>
      </c>
      <c r="N118" s="28" t="n">
        <v>0.539171</v>
      </c>
      <c r="O118" s="28" t="n">
        <v>0.5603630000000001</v>
      </c>
      <c r="P118" s="28" t="n"/>
      <c r="Q118" s="28" t="n">
        <v>0.021192</v>
      </c>
      <c r="R118" s="26" t="n">
        <v>31</v>
      </c>
      <c r="S118" s="29" t="n">
        <v>1</v>
      </c>
      <c r="T118" s="24" t="inlineStr">
        <is>
          <t>lol-tiered-elo-v6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-117</v>
      </c>
      <c r="AA118" s="28" t="n">
        <v>0.54</v>
      </c>
      <c r="AB118" s="28" t="n">
        <v>0.000829</v>
      </c>
      <c r="AC118" s="30" t="n">
        <v>-1</v>
      </c>
      <c r="AD118" s="24" t="inlineStr">
        <is>
          <t>2026-08-14T13:53:05.409378Z</t>
        </is>
      </c>
      <c r="AE118" s="31" t="inlineStr">
        <is>
          <t>Neutral Elo baseline; executable ask 0.5400 (market_slug=aec-lol-mvk-cfo-2026-08-14).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CTBC Flying Oyster</t>
        </is>
      </c>
      <c r="AQ118" s="24" t="inlineStr">
        <is>
          <t>CTBC Flying Oyster</t>
        </is>
      </c>
      <c r="AR118" s="24" t="inlineStr">
        <is>
          <t>CTBC Flying Oyster</t>
        </is>
      </c>
      <c r="AS118" s="24" t="inlineStr">
        <is>
          <t>MVK Esports</t>
        </is>
      </c>
      <c r="AT118" s="24" t="inlineStr">
        <is>
          <t>MVK Esports</t>
        </is>
      </c>
      <c r="AU118" s="24" t="inlineStr">
        <is>
          <t>MVK Esports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fccf44aae9848acebf5028ffc9ed85733073e710199bcfd621983cee4e68ac59</t>
        </is>
      </c>
      <c r="BB118" s="24" t="inlineStr">
        <is>
          <t>neutral_elo</t>
        </is>
      </c>
      <c r="BC118" s="24" t="inlineStr">
        <is>
          <t>lol-tiered-elo-v6</t>
        </is>
      </c>
      <c r="BD118" s="24" t="inlineStr">
        <is>
          <t>fccf44aae9848acebf5028ffc9ed85733073e710199bcfd621983cee4e68ac59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lol-tiered-elo-v6</t>
        </is>
      </c>
      <c r="BH118" s="24" t="inlineStr">
        <is>
          <t>2026-08-14T07:41:48.845402Z</t>
        </is>
      </c>
      <c r="BI118" s="24" t="inlineStr">
        <is>
          <t>["same_event","same_team_same_day","same_league_same_day"]</t>
        </is>
      </c>
      <c r="BJ118" s="25" t="n"/>
      <c r="BK118" s="26" t="n">
        <v>-117</v>
      </c>
      <c r="BL118" s="27" t="n">
        <v>1.854701</v>
      </c>
      <c r="BM118" s="28" t="n">
        <v>0.539171</v>
      </c>
      <c r="BN118" s="28" t="n"/>
      <c r="BO118" s="28" t="n"/>
      <c r="BP118" s="25" t="n"/>
      <c r="BQ118" s="27" t="n">
        <v>1.854701</v>
      </c>
      <c r="BR118" s="28" t="n">
        <v>0.54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0.539171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658a795facfc4d4e</t>
        </is>
      </c>
      <c r="B119" s="24" t="inlineStr">
        <is>
          <t>2026-08-14T07:42:05.123975Z</t>
        </is>
      </c>
      <c r="C119" s="24" t="inlineStr">
        <is>
          <t>2026-08-14T09:00:00Z</t>
        </is>
      </c>
      <c r="D119" s="24" t="inlineStr">
        <is>
          <t>78212</t>
        </is>
      </c>
      <c r="E119" s="24" t="inlineStr">
        <is>
          <t>LOL</t>
        </is>
      </c>
      <c r="F119" s="24" t="inlineStr">
        <is>
          <t>Top Esports</t>
        </is>
      </c>
      <c r="G119" s="24" t="inlineStr">
        <is>
          <t>Team WE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-233</v>
      </c>
      <c r="M119" s="27" t="n">
        <v>1.429185</v>
      </c>
      <c r="N119" s="28" t="n">
        <v>0.6997</v>
      </c>
      <c r="O119" s="28" t="n">
        <v>0.662889</v>
      </c>
      <c r="P119" s="28" t="n"/>
      <c r="Q119" s="28" t="n">
        <v>-0.036811</v>
      </c>
      <c r="R119" s="26" t="n">
        <v>2</v>
      </c>
      <c r="S119" s="29" t="n">
        <v>1.75</v>
      </c>
      <c r="T119" s="24" t="inlineStr">
        <is>
          <t>lol-tiered-elo-v6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0</v>
      </c>
      <c r="X119" s="26" t="n">
        <v>1</v>
      </c>
      <c r="Y119" s="25" t="n"/>
      <c r="Z119" s="26" t="n">
        <v>-233</v>
      </c>
      <c r="AA119" s="28" t="n">
        <v>0.7</v>
      </c>
      <c r="AB119" s="28" t="n">
        <v>0.0003</v>
      </c>
      <c r="AC119" s="30" t="n">
        <v>-1.75</v>
      </c>
      <c r="AD119" s="24" t="inlineStr">
        <is>
          <t>2026-08-14T10:45:14.142983Z</t>
        </is>
      </c>
      <c r="AE119" s="31" t="inlineStr">
        <is>
          <t>Neutral Elo baseline; executable ask 0.7000 (market_slug=aec-lol-we-tes-2026-08-14).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Top Esports</t>
        </is>
      </c>
      <c r="AQ119" s="24" t="inlineStr">
        <is>
          <t>Top Esports</t>
        </is>
      </c>
      <c r="AR119" s="24" t="inlineStr">
        <is>
          <t>Top Esports</t>
        </is>
      </c>
      <c r="AS119" s="24" t="inlineStr">
        <is>
          <t>Team WE</t>
        </is>
      </c>
      <c r="AT119" s="24" t="inlineStr">
        <is>
          <t>Team WE</t>
        </is>
      </c>
      <c r="AU119" s="24" t="inlineStr">
        <is>
          <t>Team WE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fccf44aae9848acebf5028ffc9ed85733073e710199bcfd621983cee4e68ac59</t>
        </is>
      </c>
      <c r="BB119" s="24" t="inlineStr">
        <is>
          <t>neutral_elo</t>
        </is>
      </c>
      <c r="BC119" s="24" t="inlineStr">
        <is>
          <t>lol-tiered-elo-v6</t>
        </is>
      </c>
      <c r="BD119" s="24" t="inlineStr">
        <is>
          <t>fccf44aae9848acebf5028ffc9ed85733073e710199bcfd621983cee4e68ac59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lol-tiered-elo-v6</t>
        </is>
      </c>
      <c r="BH119" s="24" t="inlineStr">
        <is>
          <t>2026-08-14T07:41:49.324723Z</t>
        </is>
      </c>
      <c r="BI119" s="24" t="inlineStr">
        <is>
          <t>["same_event","same_team_same_day","same_league_same_day"]</t>
        </is>
      </c>
      <c r="BJ119" s="25" t="n"/>
      <c r="BK119" s="26" t="n">
        <v>-233</v>
      </c>
      <c r="BL119" s="27" t="n">
        <v>1.429185</v>
      </c>
      <c r="BM119" s="28" t="n">
        <v>0.6997</v>
      </c>
      <c r="BN119" s="28" t="n"/>
      <c r="BO119" s="28" t="n"/>
      <c r="BP119" s="25" t="n"/>
      <c r="BQ119" s="27" t="n">
        <v>1.429185</v>
      </c>
      <c r="BR119" s="28" t="n">
        <v>0.7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0.6997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ea4f9fcdf93d456a</t>
        </is>
      </c>
      <c r="B120" s="24" t="inlineStr">
        <is>
          <t>2026-08-14T07:42:05.123975Z</t>
        </is>
      </c>
      <c r="C120" s="24" t="inlineStr">
        <is>
          <t>2026-08-14T10:00:00Z</t>
        </is>
      </c>
      <c r="D120" s="24" t="inlineStr">
        <is>
          <t>78233</t>
        </is>
      </c>
      <c r="E120" s="24" t="inlineStr">
        <is>
          <t>LOL</t>
        </is>
      </c>
      <c r="F120" s="24" t="inlineStr">
        <is>
          <t>HANJIN BRION</t>
        </is>
      </c>
      <c r="G120" s="24" t="inlineStr">
        <is>
          <t>Nongshim Red Force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-104</v>
      </c>
      <c r="M120" s="27" t="n">
        <v>1.961538</v>
      </c>
      <c r="N120" s="28" t="n">
        <v>0.509804</v>
      </c>
      <c r="O120" s="28" t="n">
        <v>0.6184770000000001</v>
      </c>
      <c r="P120" s="28" t="n"/>
      <c r="Q120" s="28" t="n">
        <v>0.108673</v>
      </c>
      <c r="R120" s="26" t="n">
        <v>74</v>
      </c>
      <c r="S120" s="29" t="n">
        <v>1.5</v>
      </c>
      <c r="T120" s="24" t="inlineStr">
        <is>
          <t>lol-tiered-elo-v6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-104</v>
      </c>
      <c r="AA120" s="28" t="n">
        <v>0.51</v>
      </c>
      <c r="AB120" s="28" t="n">
        <v>0.000196</v>
      </c>
      <c r="AC120" s="30" t="n">
        <v>1.4423</v>
      </c>
      <c r="AD120" s="24" t="inlineStr">
        <is>
          <t>2026-08-14T13:53:10.640072Z</t>
        </is>
      </c>
      <c r="AE120" s="31" t="inlineStr">
        <is>
          <t>Neutral Elo baseline; executable ask 0.5100 (market_slug=aec-lol-ns-bro-2026-08-14).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HANJIN BRION</t>
        </is>
      </c>
      <c r="AQ120" s="24" t="inlineStr">
        <is>
          <t>HANJIN BRION</t>
        </is>
      </c>
      <c r="AR120" s="24" t="inlineStr">
        <is>
          <t>HANJIN BRION</t>
        </is>
      </c>
      <c r="AS120" s="24" t="inlineStr">
        <is>
          <t>Nongshim Red Force</t>
        </is>
      </c>
      <c r="AT120" s="24" t="inlineStr">
        <is>
          <t>Nongshim Red Force</t>
        </is>
      </c>
      <c r="AU120" s="24" t="inlineStr">
        <is>
          <t>Nongshim Red Force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fccf44aae9848acebf5028ffc9ed85733073e710199bcfd621983cee4e68ac59</t>
        </is>
      </c>
      <c r="BB120" s="24" t="inlineStr">
        <is>
          <t>neutral_elo</t>
        </is>
      </c>
      <c r="BC120" s="24" t="inlineStr">
        <is>
          <t>lol-tiered-elo-v6</t>
        </is>
      </c>
      <c r="BD120" s="24" t="inlineStr">
        <is>
          <t>fccf44aae9848acebf5028ffc9ed85733073e710199bcfd621983cee4e68ac59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lol-tiered-elo-v6</t>
        </is>
      </c>
      <c r="BH120" s="24" t="inlineStr">
        <is>
          <t>2026-08-14T07:41:50.112695Z</t>
        </is>
      </c>
      <c r="BI120" s="24" t="inlineStr">
        <is>
          <t>["same_event","same_team_same_day","same_league_same_day"]</t>
        </is>
      </c>
      <c r="BJ120" s="25" t="n"/>
      <c r="BK120" s="26" t="n">
        <v>-104</v>
      </c>
      <c r="BL120" s="27" t="n">
        <v>1.961538</v>
      </c>
      <c r="BM120" s="28" t="n">
        <v>0.509804</v>
      </c>
      <c r="BN120" s="28" t="n"/>
      <c r="BO120" s="28" t="n"/>
      <c r="BP120" s="25" t="n"/>
      <c r="BQ120" s="27" t="n">
        <v>1.961538</v>
      </c>
      <c r="BR120" s="28" t="n">
        <v>0.51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0.509804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9736ab58b7d947c9</t>
        </is>
      </c>
      <c r="B121" s="24" t="inlineStr">
        <is>
          <t>2026-08-14T10:49:45.341093Z</t>
        </is>
      </c>
      <c r="C121" s="24" t="inlineStr">
        <is>
          <t>2026-08-14T11:00:00Z</t>
        </is>
      </c>
      <c r="D121" s="24" t="inlineStr">
        <is>
          <t>78279</t>
        </is>
      </c>
      <c r="E121" s="24" t="inlineStr">
        <is>
          <t>LOL</t>
        </is>
      </c>
      <c r="F121" s="24" t="inlineStr">
        <is>
          <t>JD Gaming</t>
        </is>
      </c>
      <c r="G121" s="24" t="inlineStr">
        <is>
          <t>Anyone's Legend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-127</v>
      </c>
      <c r="M121" s="27" t="n">
        <v>1.787402</v>
      </c>
      <c r="N121" s="28" t="n">
        <v>0.5594710000000001</v>
      </c>
      <c r="O121" s="28" t="n">
        <v>0.574318</v>
      </c>
      <c r="P121" s="28" t="n"/>
      <c r="Q121" s="28" t="n">
        <v>0.014847</v>
      </c>
      <c r="R121" s="26" t="n">
        <v>27</v>
      </c>
      <c r="S121" s="29" t="n">
        <v>1.25</v>
      </c>
      <c r="T121" s="24" t="inlineStr">
        <is>
          <t>lol-tiered-elo-v6</t>
        </is>
      </c>
      <c r="U121" s="24" t="inlineStr">
        <is>
          <t>settled</t>
        </is>
      </c>
      <c r="V121" s="24" t="inlineStr">
        <is>
          <t>win</t>
        </is>
      </c>
      <c r="W121" s="26" t="n">
        <v>0</v>
      </c>
      <c r="X121" s="26" t="n">
        <v>1</v>
      </c>
      <c r="Y121" s="25" t="n"/>
      <c r="Z121" s="26" t="n">
        <v>-127</v>
      </c>
      <c r="AA121" s="28" t="n">
        <v>0.5600000000000001</v>
      </c>
      <c r="AB121" s="28" t="n">
        <v>0.000529</v>
      </c>
      <c r="AC121" s="30" t="n">
        <v>0.9843</v>
      </c>
      <c r="AD121" s="24" t="inlineStr">
        <is>
          <t>2026-08-14T17:00:39.748560Z</t>
        </is>
      </c>
      <c r="AE121" s="31" t="inlineStr">
        <is>
          <t>Neutral Elo baseline; executable ask 0.5600 (market_slug=aec-lol-al-jdg-2026-08-14).</t>
        </is>
      </c>
      <c r="AF121" s="31" t="inlineStr">
        <is>
          <t>Config-promoted esports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JD Gaming</t>
        </is>
      </c>
      <c r="AQ121" s="24" t="inlineStr">
        <is>
          <t>JD Gaming</t>
        </is>
      </c>
      <c r="AR121" s="24" t="inlineStr">
        <is>
          <t>JD Gaming</t>
        </is>
      </c>
      <c r="AS121" s="24" t="inlineStr">
        <is>
          <t>Anyone's Legend</t>
        </is>
      </c>
      <c r="AT121" s="24" t="inlineStr">
        <is>
          <t>Anyone's Legend</t>
        </is>
      </c>
      <c r="AU121" s="24" t="inlineStr">
        <is>
          <t>Anyone's Legend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667c9d7385a5ad7d2439c2eef5ba4e6bc0b427e53bd7fdc5c4bc1b1ee56ca91c</t>
        </is>
      </c>
      <c r="BB121" s="24" t="inlineStr">
        <is>
          <t>neutral_elo</t>
        </is>
      </c>
      <c r="BC121" s="24" t="inlineStr">
        <is>
          <t>lol-tiered-elo-v6</t>
        </is>
      </c>
      <c r="BD121" s="24" t="inlineStr">
        <is>
          <t>667c9d7385a5ad7d2439c2eef5ba4e6bc0b427e53bd7fdc5c4bc1b1ee56ca91c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lol-tiered-elo-v6</t>
        </is>
      </c>
      <c r="BH121" s="24" t="inlineStr">
        <is>
          <t>2026-08-14T10:49:32.735473Z</t>
        </is>
      </c>
      <c r="BI121" s="24" t="inlineStr">
        <is>
          <t>["same_event","same_team_same_day","same_league_same_day"]</t>
        </is>
      </c>
      <c r="BJ121" s="25" t="n"/>
      <c r="BK121" s="26" t="n">
        <v>-127</v>
      </c>
      <c r="BL121" s="27" t="n">
        <v>1.787402</v>
      </c>
      <c r="BM121" s="28" t="n">
        <v>0.5594710000000001</v>
      </c>
      <c r="BN121" s="28" t="n"/>
      <c r="BO121" s="28" t="n"/>
      <c r="BP121" s="25" t="n"/>
      <c r="BQ121" s="27" t="n">
        <v>1.787402</v>
      </c>
      <c r="BR121" s="28" t="n">
        <v>0.5600000000000001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0.559471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a73ddb8115884baa</t>
        </is>
      </c>
      <c r="B122" s="24" t="inlineStr">
        <is>
          <t>2026-08-14T13:58:30.382802Z</t>
        </is>
      </c>
      <c r="C122" s="24" t="inlineStr">
        <is>
          <t>2026-08-14T15:00:00Z</t>
        </is>
      </c>
      <c r="D122" s="24" t="inlineStr">
        <is>
          <t>78280</t>
        </is>
      </c>
      <c r="E122" s="24" t="inlineStr">
        <is>
          <t>LOL</t>
        </is>
      </c>
      <c r="F122" s="24" t="inlineStr">
        <is>
          <t>SK Gaming</t>
        </is>
      </c>
      <c r="G122" s="24" t="inlineStr">
        <is>
          <t>Shifters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-122</v>
      </c>
      <c r="M122" s="27" t="n">
        <v>1.819672</v>
      </c>
      <c r="N122" s="28" t="n">
        <v>0.54955</v>
      </c>
      <c r="O122" s="28" t="n">
        <v>0.517714</v>
      </c>
      <c r="P122" s="28" t="n"/>
      <c r="Q122" s="28" t="n">
        <v>-0.031836</v>
      </c>
      <c r="R122" s="26" t="n">
        <v>4</v>
      </c>
      <c r="S122" s="29" t="n">
        <v>1</v>
      </c>
      <c r="T122" s="24" t="inlineStr">
        <is>
          <t>lol-tiered-elo-v6</t>
        </is>
      </c>
      <c r="U122" s="24" t="inlineStr">
        <is>
          <t>settled</t>
        </is>
      </c>
      <c r="V122" s="24" t="inlineStr">
        <is>
          <t>win</t>
        </is>
      </c>
      <c r="W122" s="26" t="n">
        <v>1</v>
      </c>
      <c r="X122" s="26" t="n">
        <v>0</v>
      </c>
      <c r="Y122" s="25" t="n"/>
      <c r="Z122" s="26" t="n">
        <v>-122</v>
      </c>
      <c r="AA122" s="28" t="n">
        <v>0.55</v>
      </c>
      <c r="AB122" s="28" t="n">
        <v>0.00045</v>
      </c>
      <c r="AC122" s="30" t="n">
        <v>0.8197</v>
      </c>
      <c r="AD122" s="24" t="inlineStr">
        <is>
          <t>2026-08-14T17:00:41.515905Z</t>
        </is>
      </c>
      <c r="AE122" s="31" t="inlineStr">
        <is>
          <t>Neutral Elo baseline; executable ask 0.5500 (market_slug=aec-lol-shft-sk-2026-08-14).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3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SK Gaming</t>
        </is>
      </c>
      <c r="AQ122" s="24" t="inlineStr">
        <is>
          <t>SK Gaming</t>
        </is>
      </c>
      <c r="AR122" s="24" t="inlineStr">
        <is>
          <t>SK Gaming</t>
        </is>
      </c>
      <c r="AS122" s="24" t="inlineStr">
        <is>
          <t>Shifters</t>
        </is>
      </c>
      <c r="AT122" s="24" t="inlineStr">
        <is>
          <t>Shifters</t>
        </is>
      </c>
      <c r="AU122" s="24" t="inlineStr">
        <is>
          <t>Shifters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ed6865191c01bfe815004b0fa9704c8e8f4f0c6facb0c04f0523088593a3009b</t>
        </is>
      </c>
      <c r="BB122" s="24" t="inlineStr">
        <is>
          <t>neutral_elo</t>
        </is>
      </c>
      <c r="BC122" s="24" t="inlineStr">
        <is>
          <t>lol-tiered-elo-v6</t>
        </is>
      </c>
      <c r="BD122" s="24" t="inlineStr">
        <is>
          <t>ed6865191c01bfe815004b0fa9704c8e8f4f0c6facb0c04f0523088593a3009b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lol-tiered-elo-v6</t>
        </is>
      </c>
      <c r="BH122" s="24" t="inlineStr">
        <is>
          <t>2026-08-14T13:58:18.333733Z</t>
        </is>
      </c>
      <c r="BI122" s="24" t="inlineStr">
        <is>
          <t>["same_event","same_team_same_day","same_league_same_day"]</t>
        </is>
      </c>
      <c r="BJ122" s="25" t="n"/>
      <c r="BK122" s="26" t="n">
        <v>-122</v>
      </c>
      <c r="BL122" s="27" t="n">
        <v>1.819672</v>
      </c>
      <c r="BM122" s="28" t="n">
        <v>0.54955</v>
      </c>
      <c r="BN122" s="28" t="n"/>
      <c r="BO122" s="28" t="n"/>
      <c r="BP122" s="25" t="n"/>
      <c r="BQ122" s="27" t="n">
        <v>1.819672</v>
      </c>
      <c r="BR122" s="28" t="n">
        <v>0.55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0.54955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bef9c72dda0144d7</t>
        </is>
      </c>
      <c r="B123" s="24" t="inlineStr">
        <is>
          <t>2026-08-14T17:06:08.162186Z</t>
        </is>
      </c>
      <c r="C123" s="24" t="inlineStr">
        <is>
          <t>2026-08-14T17:15:00Z</t>
        </is>
      </c>
      <c r="D123" s="24" t="inlineStr">
        <is>
          <t>78750</t>
        </is>
      </c>
      <c r="E123" s="24" t="inlineStr">
        <is>
          <t>LOL</t>
        </is>
      </c>
      <c r="F123" s="24" t="inlineStr">
        <is>
          <t>Team Vitality</t>
        </is>
      </c>
      <c r="G123" s="24" t="inlineStr">
        <is>
          <t>GIANTX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-156</v>
      </c>
      <c r="M123" s="27" t="n">
        <v>1.641026</v>
      </c>
      <c r="N123" s="28" t="n">
        <v>0.609375</v>
      </c>
      <c r="O123" s="28" t="n">
        <v>0.520434</v>
      </c>
      <c r="P123" s="28" t="n"/>
      <c r="Q123" s="28" t="n">
        <v>-0.08894100000000001</v>
      </c>
      <c r="R123" s="26" t="n">
        <v>0</v>
      </c>
      <c r="S123" s="29" t="n">
        <v>1</v>
      </c>
      <c r="T123" s="24" t="inlineStr">
        <is>
          <t>lol-tiered-elo-v6</t>
        </is>
      </c>
      <c r="U123" s="24" t="inlineStr">
        <is>
          <t>settled</t>
        </is>
      </c>
      <c r="V123" s="24" t="inlineStr">
        <is>
          <t>win</t>
        </is>
      </c>
      <c r="W123" s="26" t="n">
        <v>1</v>
      </c>
      <c r="X123" s="26" t="n">
        <v>0</v>
      </c>
      <c r="Y123" s="25" t="n"/>
      <c r="Z123" s="26" t="n">
        <v>-156</v>
      </c>
      <c r="AA123" s="28" t="n">
        <v>0.61</v>
      </c>
      <c r="AB123" s="28" t="n">
        <v>0.000625</v>
      </c>
      <c r="AC123" s="30" t="n">
        <v>0.641</v>
      </c>
      <c r="AD123" s="24" t="inlineStr">
        <is>
          <t>2026-08-14T20:41:53.704284Z</t>
        </is>
      </c>
      <c r="AE123" s="31" t="inlineStr">
        <is>
          <t>Neutral Elo baseline; executable ask 0.6100 (market_slug=aec-lol-gx-vit-2026-08-14).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3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Team Vitality</t>
        </is>
      </c>
      <c r="AQ123" s="24" t="inlineStr">
        <is>
          <t>Team Vitality</t>
        </is>
      </c>
      <c r="AR123" s="24" t="inlineStr">
        <is>
          <t>Team Vitality</t>
        </is>
      </c>
      <c r="AS123" s="24" t="inlineStr">
        <is>
          <t>GIANTX</t>
        </is>
      </c>
      <c r="AT123" s="24" t="inlineStr">
        <is>
          <t>GIANTX</t>
        </is>
      </c>
      <c r="AU123" s="24" t="inlineStr">
        <is>
          <t>GIANTX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5d237b294ecfda47f74371c6668efccd5ab309085419e561906cc7f296997a55</t>
        </is>
      </c>
      <c r="BB123" s="24" t="inlineStr">
        <is>
          <t>neutral_elo</t>
        </is>
      </c>
      <c r="BC123" s="24" t="inlineStr">
        <is>
          <t>lol-tiered-elo-v6</t>
        </is>
      </c>
      <c r="BD123" s="24" t="inlineStr">
        <is>
          <t>5d237b294ecfda47f74371c6668efccd5ab309085419e561906cc7f296997a55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lol-tiered-elo-v6</t>
        </is>
      </c>
      <c r="BH123" s="24" t="inlineStr">
        <is>
          <t>2026-08-14T17:05:54.419757Z</t>
        </is>
      </c>
      <c r="BI123" s="24" t="inlineStr">
        <is>
          <t>["same_event","same_team_same_day","same_league_same_day"]</t>
        </is>
      </c>
      <c r="BJ123" s="25" t="n"/>
      <c r="BK123" s="26" t="n">
        <v>-156</v>
      </c>
      <c r="BL123" s="27" t="n">
        <v>1.641026</v>
      </c>
      <c r="BM123" s="28" t="n">
        <v>0.609375</v>
      </c>
      <c r="BN123" s="28" t="n"/>
      <c r="BO123" s="28" t="n"/>
      <c r="BP123" s="25" t="n"/>
      <c r="BQ123" s="27" t="n">
        <v>1.641026</v>
      </c>
      <c r="BR123" s="28" t="n">
        <v>0.61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0.609375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20c0a2d449b74328</t>
        </is>
      </c>
      <c r="B124" s="24" t="inlineStr">
        <is>
          <t>2026-08-15T08:28:14.381845Z</t>
        </is>
      </c>
      <c r="C124" s="24" t="inlineStr">
        <is>
          <t>2026-08-15T10:00:00Z</t>
        </is>
      </c>
      <c r="D124" s="24" t="inlineStr">
        <is>
          <t>79615</t>
        </is>
      </c>
      <c r="E124" s="24" t="inlineStr">
        <is>
          <t>LOL</t>
        </is>
      </c>
      <c r="F124" s="24" t="inlineStr">
        <is>
          <t>DN SOOPers</t>
        </is>
      </c>
      <c r="G124" s="24" t="inlineStr">
        <is>
          <t>BNK FEARX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144</v>
      </c>
      <c r="M124" s="27" t="n">
        <v>2.44</v>
      </c>
      <c r="N124" s="28" t="n">
        <v>0.409836</v>
      </c>
      <c r="O124" s="28" t="n">
        <v>0.530977</v>
      </c>
      <c r="P124" s="28" t="n"/>
      <c r="Q124" s="28" t="n">
        <v>0.121141</v>
      </c>
      <c r="R124" s="26" t="n">
        <v>81</v>
      </c>
      <c r="S124" s="29" t="n">
        <v>1</v>
      </c>
      <c r="T124" s="24" t="inlineStr">
        <is>
          <t>lol-tiered-elo-v6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0</v>
      </c>
      <c r="Y124" s="25" t="n"/>
      <c r="Z124" s="26" t="n">
        <v>144</v>
      </c>
      <c r="AA124" s="28" t="n">
        <v>0.41</v>
      </c>
      <c r="AB124" s="28" t="n">
        <v>0.000164</v>
      </c>
      <c r="AC124" s="30" t="n">
        <v>1.44</v>
      </c>
      <c r="AD124" s="24" t="inlineStr">
        <is>
          <t>2026-08-15T14:39:41.686086Z</t>
        </is>
      </c>
      <c r="AE124" s="31" t="inlineStr">
        <is>
          <t>Neutral Elo baseline; executable ask 0.4100 (market_slug=aec-lol-bfx-dns-2026-08-15).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DN SOOPers</t>
        </is>
      </c>
      <c r="AQ124" s="24" t="inlineStr">
        <is>
          <t>DN SOOPers</t>
        </is>
      </c>
      <c r="AR124" s="24" t="inlineStr">
        <is>
          <t>DN SOOPers</t>
        </is>
      </c>
      <c r="AS124" s="24" t="inlineStr">
        <is>
          <t>BNK FEARX</t>
        </is>
      </c>
      <c r="AT124" s="24" t="inlineStr">
        <is>
          <t>BNK FEARX</t>
        </is>
      </c>
      <c r="AU124" s="24" t="inlineStr">
        <is>
          <t>BNK FEARX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6368a3036b617d62b5c19bf7d481d5d54a275de8afab63dd459fddd28398ed5e</t>
        </is>
      </c>
      <c r="BB124" s="24" t="inlineStr">
        <is>
          <t>neutral_elo</t>
        </is>
      </c>
      <c r="BC124" s="24" t="inlineStr">
        <is>
          <t>lol-tiered-elo-v6</t>
        </is>
      </c>
      <c r="BD124" s="24" t="inlineStr">
        <is>
          <t>6368a3036b617d62b5c19bf7d481d5d54a275de8afab63dd459fddd28398ed5e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lol-tiered-elo-v6</t>
        </is>
      </c>
      <c r="BH124" s="24" t="inlineStr">
        <is>
          <t>2026-08-15T08:27:58.021718Z</t>
        </is>
      </c>
      <c r="BI124" s="24" t="inlineStr">
        <is>
          <t>["same_event","same_team_same_day","same_league_same_day"]</t>
        </is>
      </c>
      <c r="BJ124" s="25" t="n"/>
      <c r="BK124" s="26" t="n">
        <v>144</v>
      </c>
      <c r="BL124" s="27" t="n">
        <v>2.44</v>
      </c>
      <c r="BM124" s="28" t="n">
        <v>0.409836</v>
      </c>
      <c r="BN124" s="28" t="n"/>
      <c r="BO124" s="28" t="n"/>
      <c r="BP124" s="25" t="n"/>
      <c r="BQ124" s="27" t="n">
        <v>2.44</v>
      </c>
      <c r="BR124" s="28" t="n">
        <v>0.41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0.409836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ced4ed085a204bb1</t>
        </is>
      </c>
      <c r="B125" s="24" t="inlineStr">
        <is>
          <t>2026-08-15T08:28:14.381845Z</t>
        </is>
      </c>
      <c r="C125" s="24" t="inlineStr">
        <is>
          <t>2026-08-15T11:00:00Z</t>
        </is>
      </c>
      <c r="D125" s="24" t="inlineStr">
        <is>
          <t>79628</t>
        </is>
      </c>
      <c r="E125" s="24" t="inlineStr">
        <is>
          <t>LOL</t>
        </is>
      </c>
      <c r="F125" s="24" t="inlineStr">
        <is>
          <t>Ancient Ones</t>
        </is>
      </c>
      <c r="G125" s="24" t="inlineStr">
        <is>
          <t>Project Conquerors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-144</v>
      </c>
      <c r="M125" s="27" t="n">
        <v>1.694444</v>
      </c>
      <c r="N125" s="28" t="n">
        <v>0.590164</v>
      </c>
      <c r="O125" s="28" t="n">
        <v>0.525474</v>
      </c>
      <c r="P125" s="28" t="n"/>
      <c r="Q125" s="28" t="n">
        <v>-0.06469</v>
      </c>
      <c r="R125" s="26" t="n">
        <v>0</v>
      </c>
      <c r="S125" s="29" t="n">
        <v>1</v>
      </c>
      <c r="T125" s="24" t="inlineStr">
        <is>
          <t>lol-tiered-elo-v6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-144</v>
      </c>
      <c r="AA125" s="28" t="n">
        <v>0.59</v>
      </c>
      <c r="AB125" s="28" t="n">
        <v>-0.000164</v>
      </c>
      <c r="AC125" s="30" t="n">
        <v>0.6944</v>
      </c>
      <c r="AD125" s="24" t="inlineStr">
        <is>
          <t>2026-08-15T14:39:43.417085Z</t>
        </is>
      </c>
      <c r="AE125" s="31" t="inlineStr">
        <is>
          <t>Neutral Elo baseline; executable ask 0.5900 (market_slug=aec-lol-pcs-ao-2026-08-15).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3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Ancient Ones</t>
        </is>
      </c>
      <c r="AQ125" s="24" t="inlineStr">
        <is>
          <t>Ancient Ones</t>
        </is>
      </c>
      <c r="AR125" s="24" t="inlineStr">
        <is>
          <t>Ancient Ones</t>
        </is>
      </c>
      <c r="AS125" s="24" t="inlineStr">
        <is>
          <t>Project Conquerors</t>
        </is>
      </c>
      <c r="AT125" s="24" t="inlineStr">
        <is>
          <t>Project Conquerors</t>
        </is>
      </c>
      <c r="AU125" s="24" t="inlineStr">
        <is>
          <t>Project Conquerors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6368a3036b617d62b5c19bf7d481d5d54a275de8afab63dd459fddd28398ed5e</t>
        </is>
      </c>
      <c r="BB125" s="24" t="inlineStr">
        <is>
          <t>neutral_elo</t>
        </is>
      </c>
      <c r="BC125" s="24" t="inlineStr">
        <is>
          <t>lol-tiered-elo-v6</t>
        </is>
      </c>
      <c r="BD125" s="24" t="inlineStr">
        <is>
          <t>6368a3036b617d62b5c19bf7d481d5d54a275de8afab63dd459fddd28398ed5e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lol-tiered-elo-v6</t>
        </is>
      </c>
      <c r="BH125" s="24" t="inlineStr">
        <is>
          <t>2026-08-15T08:27:58.821967Z</t>
        </is>
      </c>
      <c r="BI125" s="24" t="inlineStr">
        <is>
          <t>["same_event","same_team_same_day","same_league_same_day"]</t>
        </is>
      </c>
      <c r="BJ125" s="25" t="n"/>
      <c r="BK125" s="26" t="n">
        <v>-144</v>
      </c>
      <c r="BL125" s="27" t="n">
        <v>1.694444</v>
      </c>
      <c r="BM125" s="28" t="n">
        <v>0.590164</v>
      </c>
      <c r="BN125" s="28" t="n"/>
      <c r="BO125" s="28" t="n"/>
      <c r="BP125" s="25" t="n"/>
      <c r="BQ125" s="27" t="n">
        <v>1.694444</v>
      </c>
      <c r="BR125" s="28" t="n">
        <v>0.59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0.590164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9aff87ab46634276</t>
        </is>
      </c>
      <c r="B126" s="24" t="inlineStr">
        <is>
          <t>2026-08-15T11:36:29.301718Z</t>
        </is>
      </c>
      <c r="C126" s="24" t="inlineStr">
        <is>
          <t>2026-08-15T12:00:00Z</t>
        </is>
      </c>
      <c r="D126" s="24" t="inlineStr">
        <is>
          <t>79638</t>
        </is>
      </c>
      <c r="E126" s="24" t="inlineStr">
        <is>
          <t>LOL</t>
        </is>
      </c>
      <c r="F126" s="24" t="inlineStr">
        <is>
          <t>Team High Ground</t>
        </is>
      </c>
      <c r="G126" s="24" t="inlineStr">
        <is>
          <t>Lille Esport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122</v>
      </c>
      <c r="M126" s="27" t="n">
        <v>2.22</v>
      </c>
      <c r="N126" s="28" t="n">
        <v>0.45045</v>
      </c>
      <c r="O126" s="28" t="n">
        <v>0.527604</v>
      </c>
      <c r="P126" s="28" t="n"/>
      <c r="Q126" s="28" t="n">
        <v>0.077154</v>
      </c>
      <c r="R126" s="26" t="n">
        <v>59</v>
      </c>
      <c r="S126" s="29" t="n">
        <v>1</v>
      </c>
      <c r="T126" s="24" t="inlineStr">
        <is>
          <t>lol-tiered-elo-v6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0</v>
      </c>
      <c r="Y126" s="25" t="n"/>
      <c r="Z126" s="26" t="n">
        <v>122</v>
      </c>
      <c r="AA126" s="28" t="n">
        <v>0.45</v>
      </c>
      <c r="AB126" s="28" t="n">
        <v>-0.00045</v>
      </c>
      <c r="AC126" s="30" t="n">
        <v>1.22</v>
      </c>
      <c r="AD126" s="24" t="inlineStr">
        <is>
          <t>2026-08-15T14:39:45.107564Z</t>
        </is>
      </c>
      <c r="AE126" s="31" t="inlineStr">
        <is>
          <t>Neutral Elo baseline; executable ask 0.4500 (market_slug=aec-lol-lil-thg-2026-08-15).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3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Team High Ground</t>
        </is>
      </c>
      <c r="AQ126" s="24" t="inlineStr">
        <is>
          <t>Team High Ground</t>
        </is>
      </c>
      <c r="AR126" s="24" t="inlineStr">
        <is>
          <t>Team High Ground</t>
        </is>
      </c>
      <c r="AS126" s="24" t="inlineStr">
        <is>
          <t>Lille Esport</t>
        </is>
      </c>
      <c r="AT126" s="24" t="inlineStr">
        <is>
          <t>Lille Esport</t>
        </is>
      </c>
      <c r="AU126" s="24" t="inlineStr">
        <is>
          <t>Lille Esport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657566029484c5b06e92dbc5e4b4abf95d7f001e8c31fc81908712cab512ea16</t>
        </is>
      </c>
      <c r="BB126" s="24" t="inlineStr">
        <is>
          <t>neutral_elo</t>
        </is>
      </c>
      <c r="BC126" s="24" t="inlineStr">
        <is>
          <t>lol-tiered-elo-v6</t>
        </is>
      </c>
      <c r="BD126" s="24" t="inlineStr">
        <is>
          <t>657566029484c5b06e92dbc5e4b4abf95d7f001e8c31fc81908712cab512ea16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lol-tiered-elo-v6</t>
        </is>
      </c>
      <c r="BH126" s="24" t="inlineStr">
        <is>
          <t>2026-08-15T11:36:16.342305Z</t>
        </is>
      </c>
      <c r="BI126" s="24" t="inlineStr">
        <is>
          <t>["same_event","same_team_same_day","same_league_same_day"]</t>
        </is>
      </c>
      <c r="BJ126" s="25" t="n"/>
      <c r="BK126" s="26" t="n">
        <v>122</v>
      </c>
      <c r="BL126" s="27" t="n">
        <v>2.22</v>
      </c>
      <c r="BM126" s="28" t="n">
        <v>0.45045</v>
      </c>
      <c r="BN126" s="28" t="n"/>
      <c r="BO126" s="28" t="n"/>
      <c r="BP126" s="25" t="n"/>
      <c r="BQ126" s="27" t="n">
        <v>2.22</v>
      </c>
      <c r="BR126" s="28" t="n">
        <v>0.45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0.45045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de85c51a25ae472b</t>
        </is>
      </c>
      <c r="B127" s="24" t="inlineStr">
        <is>
          <t>2026-08-15T11:36:29.301718Z</t>
        </is>
      </c>
      <c r="C127" s="24" t="inlineStr">
        <is>
          <t>2026-08-15T14:00:00Z</t>
        </is>
      </c>
      <c r="D127" s="24" t="inlineStr">
        <is>
          <t>79676</t>
        </is>
      </c>
      <c r="E127" s="24" t="inlineStr">
        <is>
          <t>LOL</t>
        </is>
      </c>
      <c r="F127" s="24" t="inlineStr">
        <is>
          <t>Crystal Rose</t>
        </is>
      </c>
      <c r="G127" s="24" t="inlineStr">
        <is>
          <t>Lausanne-Sport Esports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100</v>
      </c>
      <c r="M127" s="27" t="n">
        <v>2</v>
      </c>
      <c r="N127" s="28" t="n">
        <v>0.5</v>
      </c>
      <c r="O127" s="28" t="n">
        <v>0.532513</v>
      </c>
      <c r="P127" s="28" t="n"/>
      <c r="Q127" s="28" t="n">
        <v>0.032513</v>
      </c>
      <c r="R127" s="26" t="n">
        <v>36</v>
      </c>
      <c r="S127" s="29" t="n">
        <v>1</v>
      </c>
      <c r="T127" s="24" t="inlineStr">
        <is>
          <t>lol-tiered-elo-v6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0</v>
      </c>
      <c r="X127" s="26" t="n">
        <v>1</v>
      </c>
      <c r="Y127" s="25" t="n"/>
      <c r="Z127" s="26" t="n">
        <v>100</v>
      </c>
      <c r="AA127" s="28" t="n">
        <v>0.5</v>
      </c>
      <c r="AB127" s="28" t="n">
        <v>0</v>
      </c>
      <c r="AC127" s="30" t="n">
        <v>-1</v>
      </c>
      <c r="AD127" s="24" t="inlineStr">
        <is>
          <t>2026-08-15T14:39:46.848006Z</t>
        </is>
      </c>
      <c r="AE127" s="31" t="inlineStr">
        <is>
          <t>Neutral Elo baseline; executable ask 0.5000 (market_slug=aec-lol-els-cr-2026-08-15).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Crystal Rose</t>
        </is>
      </c>
      <c r="AQ127" s="24" t="inlineStr">
        <is>
          <t>Crystal Rose</t>
        </is>
      </c>
      <c r="AR127" s="24" t="inlineStr">
        <is>
          <t>Crystal Rose</t>
        </is>
      </c>
      <c r="AS127" s="24" t="inlineStr">
        <is>
          <t>Lausanne-Sport Esports</t>
        </is>
      </c>
      <c r="AT127" s="24" t="inlineStr">
        <is>
          <t>Lausanne-Sport Esports</t>
        </is>
      </c>
      <c r="AU127" s="24" t="inlineStr">
        <is>
          <t>Lausanne-Sport Esports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657566029484c5b06e92dbc5e4b4abf95d7f001e8c31fc81908712cab512ea16</t>
        </is>
      </c>
      <c r="BB127" s="24" t="inlineStr">
        <is>
          <t>neutral_elo</t>
        </is>
      </c>
      <c r="BC127" s="24" t="inlineStr">
        <is>
          <t>lol-tiered-elo-v6</t>
        </is>
      </c>
      <c r="BD127" s="24" t="inlineStr">
        <is>
          <t>657566029484c5b06e92dbc5e4b4abf95d7f001e8c31fc81908712cab512ea16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lol-tiered-elo-v6</t>
        </is>
      </c>
      <c r="BH127" s="24" t="inlineStr">
        <is>
          <t>2026-08-15T11:36:17.342203Z</t>
        </is>
      </c>
      <c r="BI127" s="24" t="inlineStr">
        <is>
          <t>["same_event","same_team_same_day","same_league_same_day"]</t>
        </is>
      </c>
      <c r="BJ127" s="25" t="n"/>
      <c r="BK127" s="26" t="n">
        <v>100</v>
      </c>
      <c r="BL127" s="27" t="n">
        <v>2</v>
      </c>
      <c r="BM127" s="28" t="n">
        <v>0.5</v>
      </c>
      <c r="BN127" s="28" t="n"/>
      <c r="BO127" s="28" t="n"/>
      <c r="BP127" s="25" t="n"/>
      <c r="BQ127" s="27" t="n">
        <v>2</v>
      </c>
      <c r="BR127" s="28" t="n">
        <v>0.5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822450e2badd4b81</t>
        </is>
      </c>
      <c r="B128" s="24" t="inlineStr">
        <is>
          <t>2026-08-15T14:44:39.377879Z</t>
        </is>
      </c>
      <c r="C128" s="24" t="inlineStr">
        <is>
          <t>2026-08-15T15:00:00Z</t>
        </is>
      </c>
      <c r="D128" s="24" t="inlineStr">
        <is>
          <t>79715</t>
        </is>
      </c>
      <c r="E128" s="24" t="inlineStr">
        <is>
          <t>LOL</t>
        </is>
      </c>
      <c r="F128" s="24" t="inlineStr">
        <is>
          <t>Fnatic</t>
        </is>
      </c>
      <c r="G128" s="24" t="inlineStr">
        <is>
          <t>SK Gaming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100</v>
      </c>
      <c r="M128" s="27" t="n">
        <v>2</v>
      </c>
      <c r="N128" s="28" t="n">
        <v>0.5</v>
      </c>
      <c r="O128" s="28" t="n">
        <v>0.542266</v>
      </c>
      <c r="P128" s="28" t="n"/>
      <c r="Q128" s="28" t="n">
        <v>0.042266</v>
      </c>
      <c r="R128" s="26" t="n">
        <v>41</v>
      </c>
      <c r="S128" s="29" t="n">
        <v>1</v>
      </c>
      <c r="T128" s="24" t="inlineStr">
        <is>
          <t>lol-tiered-elo-v6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100</v>
      </c>
      <c r="AA128" s="28" t="n">
        <v>0.5</v>
      </c>
      <c r="AB128" s="28" t="n">
        <v>0</v>
      </c>
      <c r="AC128" s="30" t="n">
        <v>-1</v>
      </c>
      <c r="AD128" s="24" t="inlineStr">
        <is>
          <t>2026-08-15T17:47:10.024526Z</t>
        </is>
      </c>
      <c r="AE128" s="31" t="inlineStr">
        <is>
          <t>Neutral Elo baseline; executable ask 0.5000 (market_slug=aec-lol-sk-fnc-2026-08-15).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Fnatic</t>
        </is>
      </c>
      <c r="AQ128" s="24" t="inlineStr">
        <is>
          <t>Fnatic</t>
        </is>
      </c>
      <c r="AR128" s="24" t="inlineStr">
        <is>
          <t>Fnatic</t>
        </is>
      </c>
      <c r="AS128" s="24" t="inlineStr">
        <is>
          <t>SK Gaming</t>
        </is>
      </c>
      <c r="AT128" s="24" t="inlineStr">
        <is>
          <t>SK Gaming</t>
        </is>
      </c>
      <c r="AU128" s="24" t="inlineStr">
        <is>
          <t>SK Gaming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710d4a7ed7855325f042957458008ca36f1d11347b48678645d5612dbdc551e6</t>
        </is>
      </c>
      <c r="BB128" s="24" t="inlineStr">
        <is>
          <t>neutral_elo</t>
        </is>
      </c>
      <c r="BC128" s="24" t="inlineStr">
        <is>
          <t>lol-tiered-elo-v6</t>
        </is>
      </c>
      <c r="BD128" s="24" t="inlineStr">
        <is>
          <t>710d4a7ed7855325f042957458008ca36f1d11347b48678645d5612dbdc551e6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lol-tiered-elo-v6</t>
        </is>
      </c>
      <c r="BH128" s="24" t="inlineStr">
        <is>
          <t>2026-08-15T14:44:29.251793Z</t>
        </is>
      </c>
      <c r="BI128" s="24" t="inlineStr">
        <is>
          <t>["same_event","same_team_same_day","same_league_same_day"]</t>
        </is>
      </c>
      <c r="BJ128" s="25" t="n"/>
      <c r="BK128" s="26" t="n">
        <v>100</v>
      </c>
      <c r="BL128" s="27" t="n">
        <v>2</v>
      </c>
      <c r="BM128" s="28" t="n">
        <v>0.5</v>
      </c>
      <c r="BN128" s="28" t="n"/>
      <c r="BO128" s="28" t="n"/>
      <c r="BP128" s="25" t="n"/>
      <c r="BQ128" s="27" t="n">
        <v>2</v>
      </c>
      <c r="BR128" s="28" t="n">
        <v>0.5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83594b37aced4ace</t>
        </is>
      </c>
      <c r="B129" s="24" t="inlineStr">
        <is>
          <t>2026-08-15T14:44:39.377879Z</t>
        </is>
      </c>
      <c r="C129" s="24" t="inlineStr">
        <is>
          <t>2026-08-15T16:00:00Z</t>
        </is>
      </c>
      <c r="D129" s="24" t="inlineStr">
        <is>
          <t>79758</t>
        </is>
      </c>
      <c r="E129" s="24" t="inlineStr">
        <is>
          <t>LOL</t>
        </is>
      </c>
      <c r="F129" s="24" t="inlineStr">
        <is>
          <t>AZ Rising Eterna</t>
        </is>
      </c>
      <c r="G129" s="24" t="inlineStr">
        <is>
          <t>G2 HEL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-186</v>
      </c>
      <c r="M129" s="27" t="n">
        <v>1.537634</v>
      </c>
      <c r="N129" s="28" t="n">
        <v>0.65035</v>
      </c>
      <c r="O129" s="28" t="n">
        <v>0.550128</v>
      </c>
      <c r="P129" s="28" t="n"/>
      <c r="Q129" s="28" t="n">
        <v>-0.100222</v>
      </c>
      <c r="R129" s="26" t="n">
        <v>0</v>
      </c>
      <c r="S129" s="29" t="n">
        <v>1</v>
      </c>
      <c r="T129" s="24" t="inlineStr">
        <is>
          <t>lol-tiered-elo-v6</t>
        </is>
      </c>
      <c r="U129" s="24" t="inlineStr">
        <is>
          <t>settled</t>
        </is>
      </c>
      <c r="V129" s="24" t="inlineStr">
        <is>
          <t>push</t>
        </is>
      </c>
      <c r="W129" s="26" t="n"/>
      <c r="X129" s="26" t="n"/>
      <c r="Y129" s="25" t="n"/>
      <c r="Z129" s="26" t="n"/>
      <c r="AA129" s="28" t="n"/>
      <c r="AB129" s="28" t="n"/>
      <c r="AC129" s="30" t="n">
        <v>0</v>
      </c>
      <c r="AD129" s="24" t="inlineStr">
        <is>
          <t>2026-08-16T00:09:59.636864Z</t>
        </is>
      </c>
      <c r="AE129" s="31" t="inlineStr">
        <is>
          <t>Neutral Elo baseline; executable ask 0.6500 (market_slug=aec-lol-g2h-azre-2026-08-15).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AZ Rising Eterna</t>
        </is>
      </c>
      <c r="AQ129" s="24" t="inlineStr">
        <is>
          <t>AZ Rising Eterna</t>
        </is>
      </c>
      <c r="AR129" s="24" t="inlineStr">
        <is>
          <t>AZ Rising Eterna</t>
        </is>
      </c>
      <c r="AS129" s="24" t="inlineStr">
        <is>
          <t>G2 HEL</t>
        </is>
      </c>
      <c r="AT129" s="24" t="inlineStr">
        <is>
          <t>G2 HEL</t>
        </is>
      </c>
      <c r="AU129" s="24" t="inlineStr">
        <is>
          <t>G2 HEL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710d4a7ed7855325f042957458008ca36f1d11347b48678645d5612dbdc551e6</t>
        </is>
      </c>
      <c r="BB129" s="24" t="inlineStr">
        <is>
          <t>neutral_elo</t>
        </is>
      </c>
      <c r="BC129" s="24" t="inlineStr">
        <is>
          <t>lol-tiered-elo-v6</t>
        </is>
      </c>
      <c r="BD129" s="24" t="inlineStr">
        <is>
          <t>710d4a7ed7855325f042957458008ca36f1d11347b48678645d5612dbdc551e6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lol-tiered-elo-v6</t>
        </is>
      </c>
      <c r="BH129" s="24" t="inlineStr">
        <is>
          <t>2026-08-15T14:44:30.188245Z</t>
        </is>
      </c>
      <c r="BI129" s="24" t="inlineStr">
        <is>
          <t>["same_event","same_team_same_day","same_league_same_day"]</t>
        </is>
      </c>
      <c r="BJ129" s="25" t="n"/>
      <c r="BK129" s="26" t="n">
        <v>-186</v>
      </c>
      <c r="BL129" s="27" t="n">
        <v>1.537634</v>
      </c>
      <c r="BM129" s="28" t="n">
        <v>0.65035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inlineStr">
        <is>
          <t>esports market settled to a non-binary price (forfeit/postponement per market rules)</t>
        </is>
      </c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0.65035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567ac01b4ce049cf</t>
        </is>
      </c>
      <c r="B130" s="24" t="inlineStr">
        <is>
          <t>2026-08-15T14:44:39.377879Z</t>
        </is>
      </c>
      <c r="C130" s="24" t="inlineStr">
        <is>
          <t>2026-08-15T16:00:00Z</t>
        </is>
      </c>
      <c r="D130" s="24" t="inlineStr">
        <is>
          <t>79759</t>
        </is>
      </c>
      <c r="E130" s="24" t="inlineStr">
        <is>
          <t>LOL</t>
        </is>
      </c>
      <c r="F130" s="24" t="inlineStr">
        <is>
          <t>Mental Rush</t>
        </is>
      </c>
      <c r="G130" s="24" t="inlineStr">
        <is>
          <t>Vitality Rising Bees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-138</v>
      </c>
      <c r="M130" s="27" t="n">
        <v>1.724638</v>
      </c>
      <c r="N130" s="28" t="n">
        <v>0.579832</v>
      </c>
      <c r="O130" s="28" t="n">
        <v>0.515676</v>
      </c>
      <c r="P130" s="28" t="n"/>
      <c r="Q130" s="28" t="n">
        <v>-0.064156</v>
      </c>
      <c r="R130" s="26" t="n">
        <v>0</v>
      </c>
      <c r="S130" s="29" t="n">
        <v>1</v>
      </c>
      <c r="T130" s="24" t="inlineStr">
        <is>
          <t>lol-tiered-elo-v6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1</v>
      </c>
      <c r="X130" s="26" t="n">
        <v>0</v>
      </c>
      <c r="Y130" s="25" t="n"/>
      <c r="Z130" s="26" t="n">
        <v>-138</v>
      </c>
      <c r="AA130" s="28" t="n">
        <v>0.58</v>
      </c>
      <c r="AB130" s="28" t="n">
        <v>0.000168</v>
      </c>
      <c r="AC130" s="30" t="n">
        <v>-1</v>
      </c>
      <c r="AD130" s="24" t="inlineStr">
        <is>
          <t>2026-08-15T21:04:16.661325Z</t>
        </is>
      </c>
      <c r="AE130" s="31" t="inlineStr">
        <is>
          <t>Neutral Elo baseline; executable ask 0.5800 (market_slug=aec-lol-rb-mr-2026-08-15).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Mental Rush</t>
        </is>
      </c>
      <c r="AQ130" s="24" t="inlineStr">
        <is>
          <t>Mental Rush</t>
        </is>
      </c>
      <c r="AR130" s="24" t="inlineStr">
        <is>
          <t>Mental Rush</t>
        </is>
      </c>
      <c r="AS130" s="24" t="inlineStr">
        <is>
          <t>Vitality Rising Bees</t>
        </is>
      </c>
      <c r="AT130" s="24" t="inlineStr">
        <is>
          <t>Vitality Rising Bees</t>
        </is>
      </c>
      <c r="AU130" s="24" t="inlineStr">
        <is>
          <t>Vitality Rising Bees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710d4a7ed7855325f042957458008ca36f1d11347b48678645d5612dbdc551e6</t>
        </is>
      </c>
      <c r="BB130" s="24" t="inlineStr">
        <is>
          <t>neutral_elo</t>
        </is>
      </c>
      <c r="BC130" s="24" t="inlineStr">
        <is>
          <t>lol-tiered-elo-v6</t>
        </is>
      </c>
      <c r="BD130" s="24" t="inlineStr">
        <is>
          <t>710d4a7ed7855325f042957458008ca36f1d11347b48678645d5612dbdc551e6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lol-tiered-elo-v6</t>
        </is>
      </c>
      <c r="BH130" s="24" t="inlineStr">
        <is>
          <t>2026-08-15T14:44:30.663587Z</t>
        </is>
      </c>
      <c r="BI130" s="24" t="inlineStr">
        <is>
          <t>["same_event","same_team_same_day","same_league_same_day"]</t>
        </is>
      </c>
      <c r="BJ130" s="25" t="n"/>
      <c r="BK130" s="26" t="n">
        <v>-138</v>
      </c>
      <c r="BL130" s="27" t="n">
        <v>1.724638</v>
      </c>
      <c r="BM130" s="28" t="n">
        <v>0.579832</v>
      </c>
      <c r="BN130" s="28" t="n"/>
      <c r="BO130" s="28" t="n"/>
      <c r="BP130" s="25" t="n"/>
      <c r="BQ130" s="27" t="n">
        <v>1.724638</v>
      </c>
      <c r="BR130" s="28" t="n">
        <v>0.58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0.579832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889f63ca7d094958</t>
        </is>
      </c>
      <c r="B131" s="24" t="inlineStr">
        <is>
          <t>2026-08-15T21:07:39.902148Z</t>
        </is>
      </c>
      <c r="C131" s="24" t="inlineStr">
        <is>
          <t>2026-08-15T23:00:00Z</t>
        </is>
      </c>
      <c r="D131" s="24" t="inlineStr">
        <is>
          <t>80295</t>
        </is>
      </c>
      <c r="E131" s="24" t="inlineStr">
        <is>
          <t>LOL</t>
        </is>
      </c>
      <c r="F131" s="24" t="inlineStr">
        <is>
          <t>Dignitas</t>
        </is>
      </c>
      <c r="G131" s="24" t="inlineStr">
        <is>
          <t>Shopify Rebellion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-233</v>
      </c>
      <c r="M131" s="27" t="n">
        <v>1.429185</v>
      </c>
      <c r="N131" s="28" t="n">
        <v>0.6997</v>
      </c>
      <c r="O131" s="28" t="n">
        <v>0.742138</v>
      </c>
      <c r="P131" s="28" t="n"/>
      <c r="Q131" s="28" t="n">
        <v>0.042438</v>
      </c>
      <c r="R131" s="26" t="n">
        <v>41</v>
      </c>
      <c r="S131" s="29" t="n">
        <v>2</v>
      </c>
      <c r="T131" s="24" t="inlineStr">
        <is>
          <t>lol-tiered-elo-v6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>
        <v>-233</v>
      </c>
      <c r="AA131" s="28" t="n">
        <v>0.7</v>
      </c>
      <c r="AB131" s="28" t="n">
        <v>0.0003</v>
      </c>
      <c r="AC131" s="30" t="n">
        <v>0.8584000000000001</v>
      </c>
      <c r="AD131" s="24" t="inlineStr">
        <is>
          <t>2026-08-16T00:10:01.099084Z</t>
        </is>
      </c>
      <c r="AE131" s="31" t="inlineStr">
        <is>
          <t>Neutral Elo baseline; executable ask 0.7000 (market_slug=aec-lol-sr-dig-2026-08-15).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Dignitas</t>
        </is>
      </c>
      <c r="AQ131" s="24" t="inlineStr">
        <is>
          <t>Dignitas</t>
        </is>
      </c>
      <c r="AR131" s="24" t="inlineStr">
        <is>
          <t>Dignitas</t>
        </is>
      </c>
      <c r="AS131" s="24" t="inlineStr">
        <is>
          <t>Shopify Rebellion</t>
        </is>
      </c>
      <c r="AT131" s="24" t="inlineStr">
        <is>
          <t>Shopify Rebellion</t>
        </is>
      </c>
      <c r="AU131" s="24" t="inlineStr">
        <is>
          <t>Shopify Rebellion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6de1021cd4fb34c7e78273a7a6d8626b173a2b179a7944bf1ed67c652288a30b</t>
        </is>
      </c>
      <c r="BB131" s="24" t="inlineStr">
        <is>
          <t>neutral_elo</t>
        </is>
      </c>
      <c r="BC131" s="24" t="inlineStr">
        <is>
          <t>lol-tiered-elo-v6</t>
        </is>
      </c>
      <c r="BD131" s="24" t="inlineStr">
        <is>
          <t>6de1021cd4fb34c7e78273a7a6d8626b173a2b179a7944bf1ed67c652288a30b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lol-tiered-elo-v6</t>
        </is>
      </c>
      <c r="BH131" s="24" t="inlineStr">
        <is>
          <t>2026-08-15T21:07:31.612801Z</t>
        </is>
      </c>
      <c r="BI131" s="24" t="inlineStr">
        <is>
          <t>["same_event","same_team_same_day","same_league_same_day"]</t>
        </is>
      </c>
      <c r="BJ131" s="25" t="n"/>
      <c r="BK131" s="26" t="n">
        <v>-233</v>
      </c>
      <c r="BL131" s="27" t="n">
        <v>1.429185</v>
      </c>
      <c r="BM131" s="28" t="n">
        <v>0.6997</v>
      </c>
      <c r="BN131" s="28" t="n"/>
      <c r="BO131" s="28" t="n"/>
      <c r="BP131" s="25" t="n"/>
      <c r="BQ131" s="27" t="n">
        <v>1.429185</v>
      </c>
      <c r="BR131" s="28" t="n">
        <v>0.7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0.6997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259dc26f295f4ae2</t>
        </is>
      </c>
      <c r="B132" s="24" t="inlineStr">
        <is>
          <t>2026-08-16T00:12:46.443932Z</t>
        </is>
      </c>
      <c r="C132" s="24" t="inlineStr">
        <is>
          <t>2026-08-16T03:00:00Z</t>
        </is>
      </c>
      <c r="D132" s="24" t="inlineStr">
        <is>
          <t>80406</t>
        </is>
      </c>
      <c r="E132" s="24" t="inlineStr">
        <is>
          <t>LOL</t>
        </is>
      </c>
      <c r="F132" s="24" t="inlineStr">
        <is>
          <t>DN SOOPers Challengers</t>
        </is>
      </c>
      <c r="G132" s="24" t="inlineStr">
        <is>
          <t>T1 Academy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-178</v>
      </c>
      <c r="M132" s="27" t="n">
        <v>1.561798</v>
      </c>
      <c r="N132" s="28" t="n">
        <v>0.640288</v>
      </c>
      <c r="O132" s="28" t="n">
        <v>0.739229</v>
      </c>
      <c r="P132" s="28" t="n"/>
      <c r="Q132" s="28" t="n">
        <v>0.098941</v>
      </c>
      <c r="R132" s="26" t="n">
        <v>69</v>
      </c>
      <c r="S132" s="29" t="n">
        <v>2</v>
      </c>
      <c r="T132" s="24" t="inlineStr">
        <is>
          <t>lol-tiered-elo-v6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-178</v>
      </c>
      <c r="AA132" s="28" t="n">
        <v>0.64</v>
      </c>
      <c r="AB132" s="28" t="n">
        <v>-0.000288</v>
      </c>
      <c r="AC132" s="30" t="n">
        <v>1.1236</v>
      </c>
      <c r="AD132" s="24" t="inlineStr">
        <is>
          <t>2026-08-16T06:21:41.878942Z</t>
        </is>
      </c>
      <c r="AE132" s="31" t="inlineStr">
        <is>
          <t>Neutral Elo baseline; executable ask 0.6400 (market_slug=aec-lol-t1a-dnsc-2026-08-16).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DN SOOPers Challengers</t>
        </is>
      </c>
      <c r="AQ132" s="24" t="inlineStr">
        <is>
          <t>DN SOOPers Challengers</t>
        </is>
      </c>
      <c r="AR132" s="24" t="inlineStr">
        <is>
          <t>DN SOOPers Challengers</t>
        </is>
      </c>
      <c r="AS132" s="24" t="inlineStr">
        <is>
          <t>T1 Academy</t>
        </is>
      </c>
      <c r="AT132" s="24" t="inlineStr">
        <is>
          <t>T1 Academy</t>
        </is>
      </c>
      <c r="AU132" s="24" t="inlineStr">
        <is>
          <t>T1 Academy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8a8ae659a6eeb1f125492885637513391e9644c21a9759c70190d6a7a80577b4</t>
        </is>
      </c>
      <c r="BB132" s="24" t="inlineStr">
        <is>
          <t>neutral_elo</t>
        </is>
      </c>
      <c r="BC132" s="24" t="inlineStr">
        <is>
          <t>lol-tiered-elo-v6</t>
        </is>
      </c>
      <c r="BD132" s="24" t="inlineStr">
        <is>
          <t>8a8ae659a6eeb1f125492885637513391e9644c21a9759c70190d6a7a80577b4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lol-tiered-elo-v6</t>
        </is>
      </c>
      <c r="BH132" s="24" t="inlineStr">
        <is>
          <t>2026-08-16T00:12:39.359085Z</t>
        </is>
      </c>
      <c r="BI132" s="24" t="inlineStr">
        <is>
          <t>["same_event","same_team_same_day","same_league_same_day"]</t>
        </is>
      </c>
      <c r="BJ132" s="25" t="n"/>
      <c r="BK132" s="26" t="n">
        <v>-178</v>
      </c>
      <c r="BL132" s="27" t="n">
        <v>1.561798</v>
      </c>
      <c r="BM132" s="28" t="n">
        <v>0.640288</v>
      </c>
      <c r="BN132" s="28" t="n"/>
      <c r="BO132" s="28" t="n"/>
      <c r="BP132" s="25" t="n"/>
      <c r="BQ132" s="27" t="n">
        <v>1.561798</v>
      </c>
      <c r="BR132" s="28" t="n">
        <v>0.64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0.640288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e5485ad501784100</t>
        </is>
      </c>
      <c r="B133" s="24" t="inlineStr">
        <is>
          <t>2026-08-16T06:25:46.915740Z</t>
        </is>
      </c>
      <c r="C133" s="24" t="inlineStr">
        <is>
          <t>2026-08-16T07:00:00Z</t>
        </is>
      </c>
      <c r="D133" s="24" t="inlineStr">
        <is>
          <t>80449</t>
        </is>
      </c>
      <c r="E133" s="24" t="inlineStr">
        <is>
          <t>LOL</t>
        </is>
      </c>
      <c r="F133" s="24" t="inlineStr">
        <is>
          <t>JD Gaming</t>
        </is>
      </c>
      <c r="G133" s="24" t="inlineStr">
        <is>
          <t>LGD Gaming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-233</v>
      </c>
      <c r="M133" s="27" t="n">
        <v>1.429185</v>
      </c>
      <c r="N133" s="28" t="n">
        <v>0.6997</v>
      </c>
      <c r="O133" s="28" t="n">
        <v>0.729878</v>
      </c>
      <c r="P133" s="28" t="n"/>
      <c r="Q133" s="28" t="n">
        <v>0.030178</v>
      </c>
      <c r="R133" s="26" t="n">
        <v>35</v>
      </c>
      <c r="S133" s="29" t="n">
        <v>2</v>
      </c>
      <c r="T133" s="24" t="inlineStr">
        <is>
          <t>lol-tiered-elo-v6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0</v>
      </c>
      <c r="X133" s="26" t="n">
        <v>1</v>
      </c>
      <c r="Y133" s="25" t="n"/>
      <c r="Z133" s="26" t="n">
        <v>-233</v>
      </c>
      <c r="AA133" s="28" t="n">
        <v>0.7</v>
      </c>
      <c r="AB133" s="28" t="n">
        <v>0.0003</v>
      </c>
      <c r="AC133" s="30" t="n">
        <v>-2</v>
      </c>
      <c r="AD133" s="24" t="inlineStr">
        <is>
          <t>2026-08-16T14:31:42.162547Z</t>
        </is>
      </c>
      <c r="AE133" s="31" t="inlineStr">
        <is>
          <t>Neutral Elo baseline; executable ask 0.7000 (market_slug=aec-lol-lgd-jdg-2026-08-16).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JD Gaming</t>
        </is>
      </c>
      <c r="AQ133" s="24" t="inlineStr">
        <is>
          <t>JD Gaming</t>
        </is>
      </c>
      <c r="AR133" s="24" t="inlineStr">
        <is>
          <t>JD Gaming</t>
        </is>
      </c>
      <c r="AS133" s="24" t="inlineStr">
        <is>
          <t>LGD Gaming</t>
        </is>
      </c>
      <c r="AT133" s="24" t="inlineStr">
        <is>
          <t>LGD Gaming</t>
        </is>
      </c>
      <c r="AU133" s="24" t="inlineStr">
        <is>
          <t>LGD Gaming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2473d6e666c9c872dd9cdb18b36d8cd614f6d7d86e3dbedea346406e9f3f3b9c</t>
        </is>
      </c>
      <c r="BB133" s="24" t="inlineStr">
        <is>
          <t>neutral_elo</t>
        </is>
      </c>
      <c r="BC133" s="24" t="inlineStr">
        <is>
          <t>lol-tiered-elo-v6</t>
        </is>
      </c>
      <c r="BD133" s="24" t="inlineStr">
        <is>
          <t>2473d6e666c9c872dd9cdb18b36d8cd614f6d7d86e3dbedea346406e9f3f3b9c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lol-tiered-elo-v6</t>
        </is>
      </c>
      <c r="BH133" s="24" t="inlineStr">
        <is>
          <t>2026-08-16T06:25:33.278421Z</t>
        </is>
      </c>
      <c r="BI133" s="24" t="inlineStr">
        <is>
          <t>["same_event","same_team_same_day","same_league_same_day"]</t>
        </is>
      </c>
      <c r="BJ133" s="25" t="n"/>
      <c r="BK133" s="26" t="n">
        <v>-233</v>
      </c>
      <c r="BL133" s="27" t="n">
        <v>1.429185</v>
      </c>
      <c r="BM133" s="28" t="n">
        <v>0.6997</v>
      </c>
      <c r="BN133" s="28" t="n"/>
      <c r="BO133" s="28" t="n"/>
      <c r="BP133" s="25" t="n"/>
      <c r="BQ133" s="27" t="n">
        <v>1.429185</v>
      </c>
      <c r="BR133" s="28" t="n">
        <v>0.7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0.6997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e605df647f71467b</t>
        </is>
      </c>
      <c r="B134" s="24" t="inlineStr">
        <is>
          <t>2026-08-16T06:25:46.915740Z</t>
        </is>
      </c>
      <c r="C134" s="24" t="inlineStr">
        <is>
          <t>2026-08-16T08:00:00Z</t>
        </is>
      </c>
      <c r="D134" s="24" t="inlineStr">
        <is>
          <t>80455</t>
        </is>
      </c>
      <c r="E134" s="24" t="inlineStr">
        <is>
          <t>LOL</t>
        </is>
      </c>
      <c r="F134" s="24" t="inlineStr">
        <is>
          <t>Gen.G</t>
        </is>
      </c>
      <c r="G134" s="24" t="inlineStr">
        <is>
          <t>T1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138</v>
      </c>
      <c r="M134" s="27" t="n">
        <v>2.38</v>
      </c>
      <c r="N134" s="28" t="n">
        <v>0.420168</v>
      </c>
      <c r="O134" s="28" t="n">
        <v>0.54948</v>
      </c>
      <c r="P134" s="28" t="n"/>
      <c r="Q134" s="28" t="n">
        <v>0.129312</v>
      </c>
      <c r="R134" s="26" t="n">
        <v>85</v>
      </c>
      <c r="S134" s="29" t="n">
        <v>1</v>
      </c>
      <c r="T134" s="24" t="inlineStr">
        <is>
          <t>lol-tiered-elo-v6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>
        <v>138</v>
      </c>
      <c r="AA134" s="28" t="n">
        <v>0.42</v>
      </c>
      <c r="AB134" s="28" t="n">
        <v>-0.000168</v>
      </c>
      <c r="AC134" s="30" t="n">
        <v>-1</v>
      </c>
      <c r="AD134" s="24" t="inlineStr">
        <is>
          <t>2026-08-16T14:31:44.086478Z</t>
        </is>
      </c>
      <c r="AE134" s="31" t="inlineStr">
        <is>
          <t>Neutral Elo baseline; executable ask 0.4200 (market_slug=aec-lol-t1-gen-2026-08-16).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Gen.G</t>
        </is>
      </c>
      <c r="AQ134" s="24" t="inlineStr">
        <is>
          <t>Gen.G</t>
        </is>
      </c>
      <c r="AR134" s="24" t="inlineStr">
        <is>
          <t>Gen.G</t>
        </is>
      </c>
      <c r="AS134" s="24" t="inlineStr">
        <is>
          <t>T1</t>
        </is>
      </c>
      <c r="AT134" s="24" t="inlineStr">
        <is>
          <t>T1</t>
        </is>
      </c>
      <c r="AU134" s="24" t="inlineStr">
        <is>
          <t>T1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2473d6e666c9c872dd9cdb18b36d8cd614f6d7d86e3dbedea346406e9f3f3b9c</t>
        </is>
      </c>
      <c r="BB134" s="24" t="inlineStr">
        <is>
          <t>neutral_elo</t>
        </is>
      </c>
      <c r="BC134" s="24" t="inlineStr">
        <is>
          <t>lol-tiered-elo-v6</t>
        </is>
      </c>
      <c r="BD134" s="24" t="inlineStr">
        <is>
          <t>2473d6e666c9c872dd9cdb18b36d8cd614f6d7d86e3dbedea346406e9f3f3b9c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lol-tiered-elo-v6</t>
        </is>
      </c>
      <c r="BH134" s="24" t="inlineStr">
        <is>
          <t>2026-08-16T06:25:33.911666Z</t>
        </is>
      </c>
      <c r="BI134" s="24" t="inlineStr">
        <is>
          <t>["same_event","same_team_same_day","same_league_same_day"]</t>
        </is>
      </c>
      <c r="BJ134" s="25" t="n"/>
      <c r="BK134" s="26" t="n">
        <v>138</v>
      </c>
      <c r="BL134" s="27" t="n">
        <v>2.38</v>
      </c>
      <c r="BM134" s="28" t="n">
        <v>0.420168</v>
      </c>
      <c r="BN134" s="28" t="n"/>
      <c r="BO134" s="28" t="n"/>
      <c r="BP134" s="25" t="n"/>
      <c r="BQ134" s="27" t="n">
        <v>2.38</v>
      </c>
      <c r="BR134" s="28" t="n">
        <v>0.42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0.420168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31cf7bc2307e4afd</t>
        </is>
      </c>
      <c r="B135" s="24" t="inlineStr">
        <is>
          <t>2026-08-16T06:25:46.915740Z</t>
        </is>
      </c>
      <c r="C135" s="24" t="inlineStr">
        <is>
          <t>2026-08-16T09:00:00Z</t>
        </is>
      </c>
      <c r="D135" s="24" t="inlineStr">
        <is>
          <t>80465</t>
        </is>
      </c>
      <c r="E135" s="24" t="inlineStr">
        <is>
          <t>LOL</t>
        </is>
      </c>
      <c r="F135" s="24" t="inlineStr">
        <is>
          <t>Invictus Gaming</t>
        </is>
      </c>
      <c r="G135" s="24" t="inlineStr">
        <is>
          <t>Weibo Gaming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163</v>
      </c>
      <c r="M135" s="27" t="n">
        <v>2.63</v>
      </c>
      <c r="N135" s="28" t="n">
        <v>0.380228</v>
      </c>
      <c r="O135" s="28" t="n">
        <v>0.530112</v>
      </c>
      <c r="P135" s="28" t="n"/>
      <c r="Q135" s="28" t="n">
        <v>0.149884</v>
      </c>
      <c r="R135" s="26" t="n">
        <v>95</v>
      </c>
      <c r="S135" s="29" t="n">
        <v>1</v>
      </c>
      <c r="T135" s="24" t="inlineStr">
        <is>
          <t>lol-tiered-elo-v6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163</v>
      </c>
      <c r="AA135" s="28" t="n">
        <v>0.38</v>
      </c>
      <c r="AB135" s="28" t="n">
        <v>-0.000228</v>
      </c>
      <c r="AC135" s="30" t="n">
        <v>-1</v>
      </c>
      <c r="AD135" s="24" t="inlineStr">
        <is>
          <t>2026-08-16T14:31:45.915759Z</t>
        </is>
      </c>
      <c r="AE135" s="31" t="inlineStr">
        <is>
          <t>Neutral Elo baseline; executable ask 0.3800 (market_slug=aec-lol-wb-ig-2026-08-16).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Invictus Gaming</t>
        </is>
      </c>
      <c r="AQ135" s="24" t="inlineStr">
        <is>
          <t>Invictus Gaming</t>
        </is>
      </c>
      <c r="AR135" s="24" t="inlineStr">
        <is>
          <t>Invictus Gaming</t>
        </is>
      </c>
      <c r="AS135" s="24" t="inlineStr">
        <is>
          <t>Weibo Gaming</t>
        </is>
      </c>
      <c r="AT135" s="24" t="inlineStr">
        <is>
          <t>Weibo Gaming</t>
        </is>
      </c>
      <c r="AU135" s="24" t="inlineStr">
        <is>
          <t>Weibo Gaming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2473d6e666c9c872dd9cdb18b36d8cd614f6d7d86e3dbedea346406e9f3f3b9c</t>
        </is>
      </c>
      <c r="BB135" s="24" t="inlineStr">
        <is>
          <t>neutral_elo</t>
        </is>
      </c>
      <c r="BC135" s="24" t="inlineStr">
        <is>
          <t>lol-tiered-elo-v6</t>
        </is>
      </c>
      <c r="BD135" s="24" t="inlineStr">
        <is>
          <t>2473d6e666c9c872dd9cdb18b36d8cd614f6d7d86e3dbedea346406e9f3f3b9c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lol-tiered-elo-v6</t>
        </is>
      </c>
      <c r="BH135" s="24" t="inlineStr">
        <is>
          <t>2026-08-16T06:25:35.267004Z</t>
        </is>
      </c>
      <c r="BI135" s="24" t="inlineStr">
        <is>
          <t>["same_event","same_team_same_day","same_league_same_day"]</t>
        </is>
      </c>
      <c r="BJ135" s="25" t="n"/>
      <c r="BK135" s="26" t="n">
        <v>163</v>
      </c>
      <c r="BL135" s="27" t="n">
        <v>2.63</v>
      </c>
      <c r="BM135" s="28" t="n">
        <v>0.380228</v>
      </c>
      <c r="BN135" s="28" t="n"/>
      <c r="BO135" s="28" t="n"/>
      <c r="BP135" s="25" t="n"/>
      <c r="BQ135" s="27" t="n">
        <v>2.63</v>
      </c>
      <c r="BR135" s="28" t="n">
        <v>0.38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0.380228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2d5ed17fd2064f62</t>
        </is>
      </c>
      <c r="B136" s="24" t="inlineStr">
        <is>
          <t>2026-08-16T09:37:06.324369Z</t>
        </is>
      </c>
      <c r="C136" s="24" t="inlineStr">
        <is>
          <t>2026-08-16T10:00:00Z</t>
        </is>
      </c>
      <c r="D136" s="24" t="inlineStr">
        <is>
          <t>80468</t>
        </is>
      </c>
      <c r="E136" s="24" t="inlineStr">
        <is>
          <t>LOL</t>
        </is>
      </c>
      <c r="F136" s="24" t="inlineStr">
        <is>
          <t>HANJIN BRION</t>
        </is>
      </c>
      <c r="G136" s="24" t="inlineStr">
        <is>
          <t>Kiwoom DRX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100</v>
      </c>
      <c r="M136" s="27" t="n">
        <v>2</v>
      </c>
      <c r="N136" s="28" t="n">
        <v>0.5</v>
      </c>
      <c r="O136" s="28" t="n">
        <v>0.543111</v>
      </c>
      <c r="P136" s="28" t="n"/>
      <c r="Q136" s="28" t="n">
        <v>0.043111</v>
      </c>
      <c r="R136" s="26" t="n">
        <v>42</v>
      </c>
      <c r="S136" s="29" t="n">
        <v>1</v>
      </c>
      <c r="T136" s="24" t="inlineStr">
        <is>
          <t>lol-tiered-elo-v6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0</v>
      </c>
      <c r="Y136" s="25" t="n"/>
      <c r="Z136" s="26" t="n">
        <v>100</v>
      </c>
      <c r="AA136" s="28" t="n">
        <v>0.5</v>
      </c>
      <c r="AB136" s="28" t="n">
        <v>0</v>
      </c>
      <c r="AC136" s="30" t="n">
        <v>-1</v>
      </c>
      <c r="AD136" s="24" t="inlineStr">
        <is>
          <t>2026-08-16T14:31:47.918957Z</t>
        </is>
      </c>
      <c r="AE136" s="31" t="inlineStr">
        <is>
          <t>Neutral Elo baseline; executable ask 0.5000 (market_slug=aec-lol-krx-bro-2026-08-16).</t>
        </is>
      </c>
      <c r="AF136" s="31" t="inlineStr">
        <is>
          <t>Config-promoted esports baseline; gates enforced at log time.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HANJIN BRION</t>
        </is>
      </c>
      <c r="AQ136" s="24" t="inlineStr">
        <is>
          <t>HANJIN BRION</t>
        </is>
      </c>
      <c r="AR136" s="24" t="inlineStr">
        <is>
          <t>HANJIN BRION</t>
        </is>
      </c>
      <c r="AS136" s="24" t="inlineStr">
        <is>
          <t>Kiwoom DRX</t>
        </is>
      </c>
      <c r="AT136" s="24" t="inlineStr">
        <is>
          <t>Kiwoom DRX</t>
        </is>
      </c>
      <c r="AU136" s="24" t="inlineStr">
        <is>
          <t>Kiwoom DRX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740e9c0d2e6d63acdb33fb77a80257aed9b11897794002394368ebfe3cd97472</t>
        </is>
      </c>
      <c r="BB136" s="24" t="inlineStr">
        <is>
          <t>neutral_elo</t>
        </is>
      </c>
      <c r="BC136" s="24" t="inlineStr">
        <is>
          <t>lol-tiered-elo-v6</t>
        </is>
      </c>
      <c r="BD136" s="24" t="inlineStr">
        <is>
          <t>740e9c0d2e6d63acdb33fb77a80257aed9b11897794002394368ebfe3cd97472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lol-tiered-elo-v6</t>
        </is>
      </c>
      <c r="BH136" s="24" t="inlineStr">
        <is>
          <t>2026-08-16T09:36:54.782509Z</t>
        </is>
      </c>
      <c r="BI136" s="24" t="inlineStr">
        <is>
          <t>["same_event","same_team_same_day","same_league_same_day"]</t>
        </is>
      </c>
      <c r="BJ136" s="25" t="n"/>
      <c r="BK136" s="26" t="n">
        <v>100</v>
      </c>
      <c r="BL136" s="27" t="n">
        <v>2</v>
      </c>
      <c r="BM136" s="28" t="n">
        <v>0.5</v>
      </c>
      <c r="BN136" s="28" t="n"/>
      <c r="BO136" s="28" t="n"/>
      <c r="BP136" s="25" t="n"/>
      <c r="BQ136" s="27" t="n">
        <v>2</v>
      </c>
      <c r="BR136" s="28" t="n">
        <v>0.5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5df96633f09f4a69</t>
        </is>
      </c>
      <c r="B137" s="24" t="inlineStr">
        <is>
          <t>2026-08-16T14:37:22.167041Z</t>
        </is>
      </c>
      <c r="C137" s="24" t="inlineStr">
        <is>
          <t>2026-08-16T15:00:00Z</t>
        </is>
      </c>
      <c r="D137" s="24" t="inlineStr">
        <is>
          <t>80536</t>
        </is>
      </c>
      <c r="E137" s="24" t="inlineStr">
        <is>
          <t>LOL</t>
        </is>
      </c>
      <c r="F137" s="24" t="inlineStr">
        <is>
          <t>Natus Vincere</t>
        </is>
      </c>
      <c r="G137" s="24" t="inlineStr">
        <is>
          <t>Movistar KOI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127</v>
      </c>
      <c r="M137" s="27" t="n">
        <v>2.27</v>
      </c>
      <c r="N137" s="28" t="n">
        <v>0.440529</v>
      </c>
      <c r="O137" s="28" t="n">
        <v>0.515273</v>
      </c>
      <c r="P137" s="28" t="n"/>
      <c r="Q137" s="28" t="n">
        <v>0.074744</v>
      </c>
      <c r="R137" s="26" t="n">
        <v>57</v>
      </c>
      <c r="S137" s="29" t="n">
        <v>1</v>
      </c>
      <c r="T137" s="24" t="inlineStr">
        <is>
          <t>lol-tiered-elo-v6</t>
        </is>
      </c>
      <c r="U137" s="24" t="inlineStr">
        <is>
          <t>settled</t>
        </is>
      </c>
      <c r="V137" s="24" t="inlineStr">
        <is>
          <t>loss</t>
        </is>
      </c>
      <c r="W137" s="26" t="n">
        <v>0</v>
      </c>
      <c r="X137" s="26" t="n">
        <v>1</v>
      </c>
      <c r="Y137" s="25" t="n"/>
      <c r="Z137" s="26" t="n">
        <v>122</v>
      </c>
      <c r="AA137" s="28" t="n">
        <v>0.45</v>
      </c>
      <c r="AB137" s="28" t="n">
        <v>0.009471</v>
      </c>
      <c r="AC137" s="30" t="n">
        <v>-1</v>
      </c>
      <c r="AD137" s="24" t="inlineStr">
        <is>
          <t>2026-08-16T17:41:32.771817Z</t>
        </is>
      </c>
      <c r="AE137" s="31" t="inlineStr">
        <is>
          <t>Neutral Elo baseline; executable ask 0.4400 (market_slug=aec-lol-mkoi-navi-2026-08-16).</t>
        </is>
      </c>
      <c r="AF137" s="31" t="inlineStr">
        <is>
          <t>Config-promoted esports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Natus Vincere</t>
        </is>
      </c>
      <c r="AQ137" s="24" t="inlineStr">
        <is>
          <t>Natus Vincere</t>
        </is>
      </c>
      <c r="AR137" s="24" t="inlineStr">
        <is>
          <t>Natus Vincere</t>
        </is>
      </c>
      <c r="AS137" s="24" t="inlineStr">
        <is>
          <t>Movistar KOI</t>
        </is>
      </c>
      <c r="AT137" s="24" t="inlineStr">
        <is>
          <t>Movistar KOI</t>
        </is>
      </c>
      <c r="AU137" s="24" t="inlineStr">
        <is>
          <t>Movistar KOI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6bfa40fef6371a5308fb1c144e793b9e4cab087abde26bf8f157613034cd1b22</t>
        </is>
      </c>
      <c r="BB137" s="24" t="inlineStr">
        <is>
          <t>neutral_elo</t>
        </is>
      </c>
      <c r="BC137" s="24" t="inlineStr">
        <is>
          <t>lol-tiered-elo-v6</t>
        </is>
      </c>
      <c r="BD137" s="24" t="inlineStr">
        <is>
          <t>6bfa40fef6371a5308fb1c144e793b9e4cab087abde26bf8f157613034cd1b22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lol-tiered-elo-v6</t>
        </is>
      </c>
      <c r="BH137" s="24" t="inlineStr">
        <is>
          <t>2026-08-16T14:37:11.547061Z</t>
        </is>
      </c>
      <c r="BI137" s="24" t="inlineStr">
        <is>
          <t>["same_event","same_team_same_day","same_league_same_day"]</t>
        </is>
      </c>
      <c r="BJ137" s="25" t="n"/>
      <c r="BK137" s="26" t="n">
        <v>127</v>
      </c>
      <c r="BL137" s="27" t="n">
        <v>2.27</v>
      </c>
      <c r="BM137" s="28" t="n">
        <v>0.440529</v>
      </c>
      <c r="BN137" s="28" t="n"/>
      <c r="BO137" s="28" t="n"/>
      <c r="BP137" s="25" t="n"/>
      <c r="BQ137" s="27" t="n">
        <v>2.22</v>
      </c>
      <c r="BR137" s="28" t="n">
        <v>0.45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0.440529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e57080949194478d</t>
        </is>
      </c>
      <c r="B138" s="24" t="inlineStr">
        <is>
          <t>2026-08-16T14:37:22.167041Z</t>
        </is>
      </c>
      <c r="C138" s="24" t="inlineStr">
        <is>
          <t>2026-08-16T16:00:00Z</t>
        </is>
      </c>
      <c r="D138" s="24" t="inlineStr">
        <is>
          <t>82834</t>
        </is>
      </c>
      <c r="E138" s="24" t="inlineStr">
        <is>
          <t>LOL</t>
        </is>
      </c>
      <c r="F138" s="24" t="inlineStr">
        <is>
          <t>Vitality Rising Bees</t>
        </is>
      </c>
      <c r="G138" s="24" t="inlineStr">
        <is>
          <t>G2 HEL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170</v>
      </c>
      <c r="M138" s="27" t="n">
        <v>2.7</v>
      </c>
      <c r="N138" s="28" t="n">
        <v>0.37037</v>
      </c>
      <c r="O138" s="28" t="n">
        <v>0.546315</v>
      </c>
      <c r="P138" s="28" t="n"/>
      <c r="Q138" s="28" t="n">
        <v>0.175945</v>
      </c>
      <c r="R138" s="26" t="n">
        <v>100</v>
      </c>
      <c r="S138" s="29" t="n">
        <v>1</v>
      </c>
      <c r="T138" s="24" t="inlineStr">
        <is>
          <t>lol-tiered-elo-v6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0</v>
      </c>
      <c r="Y138" s="25" t="n"/>
      <c r="Z138" s="26" t="n">
        <v>170</v>
      </c>
      <c r="AA138" s="28" t="n">
        <v>0.37</v>
      </c>
      <c r="AB138" s="28" t="n">
        <v>-0.00037</v>
      </c>
      <c r="AC138" s="30" t="n">
        <v>-1</v>
      </c>
      <c r="AD138" s="24" t="inlineStr">
        <is>
          <t>2026-08-17T05:30:13.180931Z</t>
        </is>
      </c>
      <c r="AE138" s="31" t="inlineStr">
        <is>
          <t>Neutral Elo baseline; executable ask 0.3700 (market_slug=aec-lol-g2h-rb-2026-08-16).</t>
        </is>
      </c>
      <c r="AF138" s="31" t="inlineStr">
        <is>
          <t>Config-promoted esports baseline; gates enforced at log time.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Vitality Rising Bees</t>
        </is>
      </c>
      <c r="AQ138" s="24" t="inlineStr">
        <is>
          <t>Vitality Rising Bees</t>
        </is>
      </c>
      <c r="AR138" s="24" t="inlineStr">
        <is>
          <t>Vitality Rising Bees</t>
        </is>
      </c>
      <c r="AS138" s="24" t="inlineStr">
        <is>
          <t>G2 HEL</t>
        </is>
      </c>
      <c r="AT138" s="24" t="inlineStr">
        <is>
          <t>G2 HEL</t>
        </is>
      </c>
      <c r="AU138" s="24" t="inlineStr">
        <is>
          <t>G2 HEL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6bfa40fef6371a5308fb1c144e793b9e4cab087abde26bf8f157613034cd1b22</t>
        </is>
      </c>
      <c r="BB138" s="24" t="inlineStr">
        <is>
          <t>neutral_elo</t>
        </is>
      </c>
      <c r="BC138" s="24" t="inlineStr">
        <is>
          <t>lol-tiered-elo-v6</t>
        </is>
      </c>
      <c r="BD138" s="24" t="inlineStr">
        <is>
          <t>6bfa40fef6371a5308fb1c144e793b9e4cab087abde26bf8f157613034cd1b22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lol-tiered-elo-v6</t>
        </is>
      </c>
      <c r="BH138" s="24" t="inlineStr">
        <is>
          <t>2026-08-16T14:37:12.459964Z</t>
        </is>
      </c>
      <c r="BI138" s="24" t="inlineStr">
        <is>
          <t>["same_event","same_team_same_day","same_league_same_day"]</t>
        </is>
      </c>
      <c r="BJ138" s="25" t="n"/>
      <c r="BK138" s="26" t="n">
        <v>170</v>
      </c>
      <c r="BL138" s="27" t="n">
        <v>2.7</v>
      </c>
      <c r="BM138" s="28" t="n">
        <v>0.37037</v>
      </c>
      <c r="BN138" s="28" t="n"/>
      <c r="BO138" s="28" t="n"/>
      <c r="BP138" s="25" t="n"/>
      <c r="BQ138" s="27" t="n">
        <v>2.7</v>
      </c>
      <c r="BR138" s="28" t="n">
        <v>0.37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0.37037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5253854174654837</t>
        </is>
      </c>
      <c r="B139" s="24" t="inlineStr">
        <is>
          <t>2026-08-16T17:45:39.465942Z</t>
        </is>
      </c>
      <c r="C139" s="24" t="inlineStr">
        <is>
          <t>2026-08-16T18:00:00Z</t>
        </is>
      </c>
      <c r="D139" s="24" t="inlineStr">
        <is>
          <t>80621</t>
        </is>
      </c>
      <c r="E139" s="24" t="inlineStr">
        <is>
          <t>LOL</t>
        </is>
      </c>
      <c r="F139" s="24" t="inlineStr">
        <is>
          <t>Fluxo W7M</t>
        </is>
      </c>
      <c r="G139" s="24" t="inlineStr">
        <is>
          <t>paiN Gaming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133</v>
      </c>
      <c r="M139" s="27" t="n">
        <v>2.33</v>
      </c>
      <c r="N139" s="28" t="n">
        <v>0.429185</v>
      </c>
      <c r="O139" s="28" t="n">
        <v>0.512395</v>
      </c>
      <c r="P139" s="28" t="n"/>
      <c r="Q139" s="28" t="n">
        <v>0.08321000000000001</v>
      </c>
      <c r="R139" s="26" t="n">
        <v>62</v>
      </c>
      <c r="S139" s="29" t="n">
        <v>1</v>
      </c>
      <c r="T139" s="24" t="inlineStr">
        <is>
          <t>lol-tiered-elo-v6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133</v>
      </c>
      <c r="AA139" s="28" t="n">
        <v>0.43</v>
      </c>
      <c r="AB139" s="28" t="n">
        <v>0.000815</v>
      </c>
      <c r="AC139" s="30" t="n">
        <v>1.33</v>
      </c>
      <c r="AD139" s="24" t="inlineStr">
        <is>
          <t>2026-08-17T05:30:15.993580Z</t>
        </is>
      </c>
      <c r="AE139" s="31" t="inlineStr">
        <is>
          <t>Neutral Elo baseline; executable ask 0.4300 (market_slug=aec-lol-png-fxw7-2026-08-16).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Fluxo W7M</t>
        </is>
      </c>
      <c r="AQ139" s="24" t="inlineStr">
        <is>
          <t>Fluxo W7M</t>
        </is>
      </c>
      <c r="AR139" s="24" t="inlineStr">
        <is>
          <t>Fluxo W7M</t>
        </is>
      </c>
      <c r="AS139" s="24" t="inlineStr">
        <is>
          <t>paiN Gaming</t>
        </is>
      </c>
      <c r="AT139" s="24" t="inlineStr">
        <is>
          <t>paiN Gaming</t>
        </is>
      </c>
      <c r="AU139" s="24" t="inlineStr">
        <is>
          <t>paiN Gaming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f190be26cf218907f70ee5c16cce6e2b05bcd9b147543657ab0ebf6b7897f268</t>
        </is>
      </c>
      <c r="BB139" s="24" t="inlineStr">
        <is>
          <t>neutral_elo</t>
        </is>
      </c>
      <c r="BC139" s="24" t="inlineStr">
        <is>
          <t>lol-tiered-elo-v6</t>
        </is>
      </c>
      <c r="BD139" s="24" t="inlineStr">
        <is>
          <t>f190be26cf218907f70ee5c16cce6e2b05bcd9b147543657ab0ebf6b7897f268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lol-tiered-elo-v6</t>
        </is>
      </c>
      <c r="BH139" s="24" t="inlineStr">
        <is>
          <t>2026-08-16T17:45:33.720816Z</t>
        </is>
      </c>
      <c r="BI139" s="24" t="inlineStr">
        <is>
          <t>["same_event","same_team_same_day","same_league_same_day"]</t>
        </is>
      </c>
      <c r="BJ139" s="25" t="n"/>
      <c r="BK139" s="26" t="n">
        <v>133</v>
      </c>
      <c r="BL139" s="27" t="n">
        <v>2.33</v>
      </c>
      <c r="BM139" s="28" t="n">
        <v>0.429185</v>
      </c>
      <c r="BN139" s="28" t="n"/>
      <c r="BO139" s="28" t="n"/>
      <c r="BP139" s="25" t="n"/>
      <c r="BQ139" s="27" t="n">
        <v>2.33</v>
      </c>
      <c r="BR139" s="28" t="n">
        <v>0.43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0.429185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beeebc0d7f004241</t>
        </is>
      </c>
      <c r="B140" s="24" t="inlineStr">
        <is>
          <t>2026-08-16T17:45:39.465942Z</t>
        </is>
      </c>
      <c r="C140" s="24" t="inlineStr">
        <is>
          <t>2026-08-16T20:00:00Z</t>
        </is>
      </c>
      <c r="D140" s="24" t="inlineStr">
        <is>
          <t>80937</t>
        </is>
      </c>
      <c r="E140" s="24" t="inlineStr">
        <is>
          <t>LOL</t>
        </is>
      </c>
      <c r="F140" s="24" t="inlineStr">
        <is>
          <t>Cloud9</t>
        </is>
      </c>
      <c r="G140" s="24" t="inlineStr">
        <is>
          <t>FlyQuest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138</v>
      </c>
      <c r="M140" s="27" t="n">
        <v>2.38</v>
      </c>
      <c r="N140" s="28" t="n">
        <v>0.420168</v>
      </c>
      <c r="O140" s="28" t="n">
        <v>0.50811</v>
      </c>
      <c r="P140" s="28" t="n"/>
      <c r="Q140" s="28" t="n">
        <v>0.08794200000000001</v>
      </c>
      <c r="R140" s="26" t="n">
        <v>64</v>
      </c>
      <c r="S140" s="29" t="n">
        <v>1</v>
      </c>
      <c r="T140" s="24" t="inlineStr">
        <is>
          <t>lol-tiered-elo-v6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>
        <v>138</v>
      </c>
      <c r="AA140" s="28" t="n">
        <v>0.42</v>
      </c>
      <c r="AB140" s="28" t="n">
        <v>-0.000168</v>
      </c>
      <c r="AC140" s="30" t="n">
        <v>-1</v>
      </c>
      <c r="AD140" s="24" t="inlineStr">
        <is>
          <t>2026-08-17T05:30:18.554509Z</t>
        </is>
      </c>
      <c r="AE140" s="31" t="inlineStr">
        <is>
          <t>Neutral Elo baseline; executable ask 0.4200 (market_slug=aec-lol-fly-c9-2026-08-16).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Cloud9</t>
        </is>
      </c>
      <c r="AQ140" s="24" t="inlineStr">
        <is>
          <t>Cloud9</t>
        </is>
      </c>
      <c r="AR140" s="24" t="inlineStr">
        <is>
          <t>Cloud9</t>
        </is>
      </c>
      <c r="AS140" s="24" t="inlineStr">
        <is>
          <t>FlyQuest</t>
        </is>
      </c>
      <c r="AT140" s="24" t="inlineStr">
        <is>
          <t>FlyQuest</t>
        </is>
      </c>
      <c r="AU140" s="24" t="inlineStr">
        <is>
          <t>FlyQuest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f190be26cf218907f70ee5c16cce6e2b05bcd9b147543657ab0ebf6b7897f268</t>
        </is>
      </c>
      <c r="BB140" s="24" t="inlineStr">
        <is>
          <t>neutral_elo</t>
        </is>
      </c>
      <c r="BC140" s="24" t="inlineStr">
        <is>
          <t>lol-tiered-elo-v6</t>
        </is>
      </c>
      <c r="BD140" s="24" t="inlineStr">
        <is>
          <t>f190be26cf218907f70ee5c16cce6e2b05bcd9b147543657ab0ebf6b7897f268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lol-tiered-elo-v6</t>
        </is>
      </c>
      <c r="BH140" s="24" t="inlineStr">
        <is>
          <t>2026-08-16T17:45:34.202970Z</t>
        </is>
      </c>
      <c r="BI140" s="24" t="inlineStr">
        <is>
          <t>["same_event","same_team_same_day","same_league_same_day"]</t>
        </is>
      </c>
      <c r="BJ140" s="25" t="n"/>
      <c r="BK140" s="26" t="n">
        <v>138</v>
      </c>
      <c r="BL140" s="27" t="n">
        <v>2.38</v>
      </c>
      <c r="BM140" s="28" t="n">
        <v>0.420168</v>
      </c>
      <c r="BN140" s="28" t="n"/>
      <c r="BO140" s="28" t="n"/>
      <c r="BP140" s="25" t="n"/>
      <c r="BQ140" s="27" t="n">
        <v>2.38</v>
      </c>
      <c r="BR140" s="28" t="n">
        <v>0.42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0.420168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ea9bc1b3ddf64bfd</t>
        </is>
      </c>
      <c r="B141" s="24" t="inlineStr">
        <is>
          <t>2026-08-17T05:34:57.802202Z</t>
        </is>
      </c>
      <c r="C141" s="24" t="inlineStr">
        <is>
          <t>2026-08-17T08:00:00Z</t>
        </is>
      </c>
      <c r="D141" s="24" t="inlineStr">
        <is>
          <t>81228</t>
        </is>
      </c>
      <c r="E141" s="24" t="inlineStr">
        <is>
          <t>LOL</t>
        </is>
      </c>
      <c r="F141" s="24" t="inlineStr">
        <is>
          <t>KT Rolster Challengers</t>
        </is>
      </c>
      <c r="G141" s="24" t="inlineStr">
        <is>
          <t>Dplus KIA Challengers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-156</v>
      </c>
      <c r="M141" s="27" t="n">
        <v>1.641026</v>
      </c>
      <c r="N141" s="28" t="n">
        <v>0.609375</v>
      </c>
      <c r="O141" s="28" t="n">
        <v>0.682365</v>
      </c>
      <c r="P141" s="28" t="n"/>
      <c r="Q141" s="28" t="n">
        <v>0.07299</v>
      </c>
      <c r="R141" s="26" t="n">
        <v>56</v>
      </c>
      <c r="S141" s="29" t="n">
        <v>2</v>
      </c>
      <c r="T141" s="24" t="inlineStr">
        <is>
          <t>lol-tiered-elo-v6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>
        <v>-156</v>
      </c>
      <c r="AA141" s="28" t="n">
        <v>0.61</v>
      </c>
      <c r="AB141" s="28" t="n">
        <v>0.000625</v>
      </c>
      <c r="AC141" s="30" t="n">
        <v>-2</v>
      </c>
      <c r="AD141" s="24" t="inlineStr">
        <is>
          <t>2026-08-18T15:13:23.343491Z</t>
        </is>
      </c>
      <c r="AE141" s="31" t="inlineStr">
        <is>
          <t>Neutral Elo baseline; executable ask 0.6100 (market_slug=aec-lol-dkc-ktc-2026-08-17).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KT Rolster Challengers</t>
        </is>
      </c>
      <c r="AQ141" s="24" t="inlineStr">
        <is>
          <t>KT Rolster Challengers</t>
        </is>
      </c>
      <c r="AR141" s="24" t="inlineStr">
        <is>
          <t>KT Rolster Challengers</t>
        </is>
      </c>
      <c r="AS141" s="24" t="inlineStr">
        <is>
          <t>Dplus KIA Challengers</t>
        </is>
      </c>
      <c r="AT141" s="24" t="inlineStr">
        <is>
          <t>Dplus KIA Challengers</t>
        </is>
      </c>
      <c r="AU141" s="24" t="inlineStr">
        <is>
          <t>Dplus KIA Challengers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0f82fcf7c2406159b987bae1158dc25170c71318f10b68a1fe003150641d043e</t>
        </is>
      </c>
      <c r="BB141" s="24" t="inlineStr">
        <is>
          <t>neutral_elo</t>
        </is>
      </c>
      <c r="BC141" s="24" t="inlineStr">
        <is>
          <t>lol-tiered-elo-v6</t>
        </is>
      </c>
      <c r="BD141" s="24" t="inlineStr">
        <is>
          <t>0f82fcf7c2406159b987bae1158dc25170c71318f10b68a1fe003150641d043e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lol-tiered-elo-v6</t>
        </is>
      </c>
      <c r="BH141" s="24" t="inlineStr">
        <is>
          <t>2026-08-17T05:34:43.471039Z</t>
        </is>
      </c>
      <c r="BI141" s="24" t="inlineStr">
        <is>
          <t>["same_event","same_team_same_day","same_league_same_day"]</t>
        </is>
      </c>
      <c r="BJ141" s="25" t="n"/>
      <c r="BK141" s="26" t="n">
        <v>-156</v>
      </c>
      <c r="BL141" s="27" t="n">
        <v>1.641026</v>
      </c>
      <c r="BM141" s="28" t="n">
        <v>0.609375</v>
      </c>
      <c r="BN141" s="28" t="n"/>
      <c r="BO141" s="28" t="n"/>
      <c r="BP141" s="25" t="n"/>
      <c r="BQ141" s="27" t="n">
        <v>1.641026</v>
      </c>
      <c r="BR141" s="28" t="n">
        <v>0.61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0.609375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57de0e4b63a74975</t>
        </is>
      </c>
      <c r="B142" s="24" t="inlineStr">
        <is>
          <t>2026-08-17T08:41:08.931605Z</t>
        </is>
      </c>
      <c r="C142" s="24" t="inlineStr">
        <is>
          <t>2026-08-17T10:00:00Z</t>
        </is>
      </c>
      <c r="D142" s="24" t="inlineStr">
        <is>
          <t>81260</t>
        </is>
      </c>
      <c r="E142" s="24" t="inlineStr">
        <is>
          <t>LOL</t>
        </is>
      </c>
      <c r="F142" s="24" t="inlineStr">
        <is>
          <t>Hanwha Life Esports Challengers</t>
        </is>
      </c>
      <c r="G142" s="24" t="inlineStr">
        <is>
          <t>Kiwoom DRX Challengers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-194</v>
      </c>
      <c r="M142" s="27" t="n">
        <v>1.515464</v>
      </c>
      <c r="N142" s="28" t="n">
        <v>0.659864</v>
      </c>
      <c r="O142" s="28" t="n">
        <v>0.522334</v>
      </c>
      <c r="P142" s="28" t="n"/>
      <c r="Q142" s="28" t="n">
        <v>-0.13753</v>
      </c>
      <c r="R142" s="26" t="n">
        <v>0</v>
      </c>
      <c r="S142" s="29" t="n">
        <v>1</v>
      </c>
      <c r="T142" s="24" t="inlineStr">
        <is>
          <t>lol-tiered-elo-v6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-194</v>
      </c>
      <c r="AA142" s="28" t="n">
        <v>0.66</v>
      </c>
      <c r="AB142" s="28" t="n">
        <v>0.000136</v>
      </c>
      <c r="AC142" s="30" t="n">
        <v>0.5155</v>
      </c>
      <c r="AD142" s="24" t="inlineStr">
        <is>
          <t>2026-08-18T15:13:24.232313Z</t>
        </is>
      </c>
      <c r="AE142" s="31" t="inlineStr">
        <is>
          <t>Neutral Elo baseline; executable ask 0.6600 (market_slug=aec-lol-krxc-hlec-2026-08-17).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3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Hanwha Life Esports Challengers</t>
        </is>
      </c>
      <c r="AQ142" s="24" t="inlineStr">
        <is>
          <t>Hanwha Life Esports Challengers</t>
        </is>
      </c>
      <c r="AR142" s="24" t="inlineStr">
        <is>
          <t>Hanwha Life Esports Challengers</t>
        </is>
      </c>
      <c r="AS142" s="24" t="inlineStr">
        <is>
          <t>Kiwoom DRX Challengers</t>
        </is>
      </c>
      <c r="AT142" s="24" t="inlineStr">
        <is>
          <t>Kiwoom DRX Challengers</t>
        </is>
      </c>
      <c r="AU142" s="24" t="inlineStr">
        <is>
          <t>Kiwoom DRX Challengers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3cd8c6d6816723748741dfd426cdd69d0090ff7043748f8235d05ccd88a1e9f6</t>
        </is>
      </c>
      <c r="BB142" s="24" t="inlineStr">
        <is>
          <t>neutral_elo</t>
        </is>
      </c>
      <c r="BC142" s="24" t="inlineStr">
        <is>
          <t>lol-tiered-elo-v6</t>
        </is>
      </c>
      <c r="BD142" s="24" t="inlineStr">
        <is>
          <t>3cd8c6d6816723748741dfd426cdd69d0090ff7043748f8235d05ccd88a1e9f6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lol-tiered-elo-v6</t>
        </is>
      </c>
      <c r="BH142" s="24" t="inlineStr">
        <is>
          <t>2026-08-17T08:40:54.961820Z</t>
        </is>
      </c>
      <c r="BI142" s="24" t="inlineStr">
        <is>
          <t>["same_event","same_team_same_day","same_league_same_day"]</t>
        </is>
      </c>
      <c r="BJ142" s="25" t="n"/>
      <c r="BK142" s="26" t="n">
        <v>-194</v>
      </c>
      <c r="BL142" s="27" t="n">
        <v>1.515464</v>
      </c>
      <c r="BM142" s="28" t="n">
        <v>0.659864</v>
      </c>
      <c r="BN142" s="28" t="n"/>
      <c r="BO142" s="28" t="n"/>
      <c r="BP142" s="25" t="n"/>
      <c r="BQ142" s="27" t="n">
        <v>1.515464</v>
      </c>
      <c r="BR142" s="28" t="n">
        <v>0.66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0.659864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82b78e846dd24880</t>
        </is>
      </c>
      <c r="B143" s="24" t="inlineStr">
        <is>
          <t>2026-08-17T08:41:08.931605Z</t>
        </is>
      </c>
      <c r="C143" s="24" t="inlineStr">
        <is>
          <t>2026-08-17T15:00:00Z</t>
        </is>
      </c>
      <c r="D143" s="24" t="inlineStr">
        <is>
          <t>81318</t>
        </is>
      </c>
      <c r="E143" s="24" t="inlineStr">
        <is>
          <t>LOL</t>
        </is>
      </c>
      <c r="F143" s="24" t="inlineStr">
        <is>
          <t>Team Heretics</t>
        </is>
      </c>
      <c r="G143" s="24" t="inlineStr">
        <is>
          <t>Natus Vincere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-223</v>
      </c>
      <c r="M143" s="27" t="n">
        <v>1.44843</v>
      </c>
      <c r="N143" s="28" t="n">
        <v>0.690402</v>
      </c>
      <c r="O143" s="28" t="n">
        <v>0.75251</v>
      </c>
      <c r="P143" s="28" t="n"/>
      <c r="Q143" s="28" t="n">
        <v>0.062108</v>
      </c>
      <c r="R143" s="26" t="n">
        <v>51</v>
      </c>
      <c r="S143" s="29" t="n">
        <v>2</v>
      </c>
      <c r="T143" s="24" t="inlineStr">
        <is>
          <t>lol-tiered-elo-v6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-223</v>
      </c>
      <c r="AA143" s="28" t="n">
        <v>0.6899999999999999</v>
      </c>
      <c r="AB143" s="28" t="n">
        <v>-0.000402</v>
      </c>
      <c r="AC143" s="30" t="n">
        <v>0.8969</v>
      </c>
      <c r="AD143" s="24" t="inlineStr">
        <is>
          <t>2026-08-18T15:13:25.197703Z</t>
        </is>
      </c>
      <c r="AE143" s="31" t="inlineStr">
        <is>
          <t>Neutral Elo baseline; executable ask 0.6900 (market_slug=aec-lol-navi-th-2026-08-17).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Team Heretics</t>
        </is>
      </c>
      <c r="AQ143" s="24" t="inlineStr">
        <is>
          <t>Team Heretics</t>
        </is>
      </c>
      <c r="AR143" s="24" t="inlineStr">
        <is>
          <t>Team Heretics</t>
        </is>
      </c>
      <c r="AS143" s="24" t="inlineStr">
        <is>
          <t>Natus Vincere</t>
        </is>
      </c>
      <c r="AT143" s="24" t="inlineStr">
        <is>
          <t>Natus Vincere</t>
        </is>
      </c>
      <c r="AU143" s="24" t="inlineStr">
        <is>
          <t>Natus Vincere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3cd8c6d6816723748741dfd426cdd69d0090ff7043748f8235d05ccd88a1e9f6</t>
        </is>
      </c>
      <c r="BB143" s="24" t="inlineStr">
        <is>
          <t>neutral_elo</t>
        </is>
      </c>
      <c r="BC143" s="24" t="inlineStr">
        <is>
          <t>lol-tiered-elo-v6</t>
        </is>
      </c>
      <c r="BD143" s="24" t="inlineStr">
        <is>
          <t>3cd8c6d6816723748741dfd426cdd69d0090ff7043748f8235d05ccd88a1e9f6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lol-tiered-elo-v6</t>
        </is>
      </c>
      <c r="BH143" s="24" t="inlineStr">
        <is>
          <t>2026-08-17T08:40:55.456382Z</t>
        </is>
      </c>
      <c r="BI143" s="24" t="inlineStr">
        <is>
          <t>["same_event","same_team_same_day","same_league_same_day"]</t>
        </is>
      </c>
      <c r="BJ143" s="25" t="n"/>
      <c r="BK143" s="26" t="n">
        <v>-223</v>
      </c>
      <c r="BL143" s="27" t="n">
        <v>1.44843</v>
      </c>
      <c r="BM143" s="28" t="n">
        <v>0.690402</v>
      </c>
      <c r="BN143" s="28" t="n"/>
      <c r="BO143" s="28" t="n"/>
      <c r="BP143" s="25" t="n"/>
      <c r="BQ143" s="27" t="n">
        <v>1.44843</v>
      </c>
      <c r="BR143" s="28" t="n">
        <v>0.6899999999999999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0.690402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5fdf31be36e4491f</t>
        </is>
      </c>
      <c r="B144" s="24" t="inlineStr">
        <is>
          <t>2026-08-17T08:41:08.931605Z</t>
        </is>
      </c>
      <c r="C144" s="24" t="inlineStr">
        <is>
          <t>2026-08-17T16:00:00Z</t>
        </is>
      </c>
      <c r="D144" s="24" t="inlineStr">
        <is>
          <t>81343</t>
        </is>
      </c>
      <c r="E144" s="24" t="inlineStr">
        <is>
          <t>LOL</t>
        </is>
      </c>
      <c r="F144" s="24" t="inlineStr">
        <is>
          <t>DMG Esports</t>
        </is>
      </c>
      <c r="G144" s="24" t="inlineStr">
        <is>
          <t>Brod n Friends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-163</v>
      </c>
      <c r="M144" s="27" t="n">
        <v>1.613497</v>
      </c>
      <c r="N144" s="28" t="n">
        <v>0.619772</v>
      </c>
      <c r="O144" s="28" t="n">
        <v>0.507582</v>
      </c>
      <c r="P144" s="28" t="n"/>
      <c r="Q144" s="28" t="n">
        <v>-0.11219</v>
      </c>
      <c r="R144" s="26" t="n">
        <v>0</v>
      </c>
      <c r="S144" s="29" t="n">
        <v>1</v>
      </c>
      <c r="T144" s="24" t="inlineStr">
        <is>
          <t>lol-tiered-elo-v6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-163</v>
      </c>
      <c r="AA144" s="28" t="n">
        <v>0.62</v>
      </c>
      <c r="AB144" s="28" t="n">
        <v>0.000228</v>
      </c>
      <c r="AC144" s="30" t="n">
        <v>-1</v>
      </c>
      <c r="AD144" s="24" t="inlineStr">
        <is>
          <t>2026-08-18T15:13:26.053940Z</t>
        </is>
      </c>
      <c r="AE144" s="31" t="inlineStr">
        <is>
          <t>Neutral Elo baseline; executable ask 0.6200 (market_slug=aec-lol-bnf-dmg-2026-08-17).</t>
        </is>
      </c>
      <c r="AF144" s="31" t="inlineStr">
        <is>
          <t>Config-promoted esports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DMG Esports</t>
        </is>
      </c>
      <c r="AQ144" s="24" t="inlineStr">
        <is>
          <t>DMG Esports</t>
        </is>
      </c>
      <c r="AR144" s="24" t="inlineStr">
        <is>
          <t>DMG Esports</t>
        </is>
      </c>
      <c r="AS144" s="24" t="inlineStr">
        <is>
          <t>Brod n Friends</t>
        </is>
      </c>
      <c r="AT144" s="24" t="inlineStr">
        <is>
          <t>Brod n Friends</t>
        </is>
      </c>
      <c r="AU144" s="24" t="inlineStr">
        <is>
          <t>Brod n Friends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3cd8c6d6816723748741dfd426cdd69d0090ff7043748f8235d05ccd88a1e9f6</t>
        </is>
      </c>
      <c r="BB144" s="24" t="inlineStr">
        <is>
          <t>neutral_elo</t>
        </is>
      </c>
      <c r="BC144" s="24" t="inlineStr">
        <is>
          <t>lol-tiered-elo-v6</t>
        </is>
      </c>
      <c r="BD144" s="24" t="inlineStr">
        <is>
          <t>3cd8c6d6816723748741dfd426cdd69d0090ff7043748f8235d05ccd88a1e9f6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lol-tiered-elo-v6</t>
        </is>
      </c>
      <c r="BH144" s="24" t="inlineStr">
        <is>
          <t>2026-08-17T08:40:55.964496Z</t>
        </is>
      </c>
      <c r="BI144" s="24" t="inlineStr">
        <is>
          <t>["same_event","same_team_same_day","same_league_same_day"]</t>
        </is>
      </c>
      <c r="BJ144" s="25" t="n"/>
      <c r="BK144" s="26" t="n">
        <v>-163</v>
      </c>
      <c r="BL144" s="27" t="n">
        <v>1.613497</v>
      </c>
      <c r="BM144" s="28" t="n">
        <v>0.619772</v>
      </c>
      <c r="BN144" s="28" t="n"/>
      <c r="BO144" s="28" t="n"/>
      <c r="BP144" s="25" t="n"/>
      <c r="BQ144" s="27" t="n">
        <v>1.613497</v>
      </c>
      <c r="BR144" s="28" t="n">
        <v>0.62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0.619772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8a47cd2563094fd7</t>
        </is>
      </c>
      <c r="B145" s="24" t="inlineStr">
        <is>
          <t>2026-08-17T08:41:08.931605Z</t>
        </is>
      </c>
      <c r="C145" s="24" t="inlineStr">
        <is>
          <t>2026-08-17T17:00:00Z</t>
        </is>
      </c>
      <c r="D145" s="24" t="inlineStr">
        <is>
          <t>81405</t>
        </is>
      </c>
      <c r="E145" s="24" t="inlineStr">
        <is>
          <t>LOL</t>
        </is>
      </c>
      <c r="F145" s="24" t="inlineStr">
        <is>
          <t>LEO</t>
        </is>
      </c>
      <c r="G145" s="24" t="inlineStr">
        <is>
          <t>Bulldog Esports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-138</v>
      </c>
      <c r="M145" s="27" t="n">
        <v>1.724638</v>
      </c>
      <c r="N145" s="28" t="n">
        <v>0.579832</v>
      </c>
      <c r="O145" s="28" t="n">
        <v>0.558024</v>
      </c>
      <c r="P145" s="28" t="n"/>
      <c r="Q145" s="28" t="n">
        <v>-0.021808</v>
      </c>
      <c r="R145" s="26" t="n">
        <v>9</v>
      </c>
      <c r="S145" s="29" t="n">
        <v>1</v>
      </c>
      <c r="T145" s="24" t="inlineStr">
        <is>
          <t>lol-tiered-elo-v6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>
        <v>-138</v>
      </c>
      <c r="AA145" s="28" t="n">
        <v>0.58</v>
      </c>
      <c r="AB145" s="28" t="n">
        <v>0.000168</v>
      </c>
      <c r="AC145" s="30" t="n">
        <v>0.7246</v>
      </c>
      <c r="AD145" s="24" t="inlineStr">
        <is>
          <t>2026-08-18T15:13:26.990650Z</t>
        </is>
      </c>
      <c r="AE145" s="31" t="inlineStr">
        <is>
          <t>Neutral Elo baseline; executable ask 0.5800 (market_slug=aec-lol-bld-leo-2026-08-17).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3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LEO</t>
        </is>
      </c>
      <c r="AQ145" s="24" t="inlineStr">
        <is>
          <t>LEO</t>
        </is>
      </c>
      <c r="AR145" s="24" t="inlineStr">
        <is>
          <t>LEO</t>
        </is>
      </c>
      <c r="AS145" s="24" t="inlineStr">
        <is>
          <t>Bulldog Esports</t>
        </is>
      </c>
      <c r="AT145" s="24" t="inlineStr">
        <is>
          <t>Bulldog Esports</t>
        </is>
      </c>
      <c r="AU145" s="24" t="inlineStr">
        <is>
          <t>Bulldog Esports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3cd8c6d6816723748741dfd426cdd69d0090ff7043748f8235d05ccd88a1e9f6</t>
        </is>
      </c>
      <c r="BB145" s="24" t="inlineStr">
        <is>
          <t>neutral_elo</t>
        </is>
      </c>
      <c r="BC145" s="24" t="inlineStr">
        <is>
          <t>lol-tiered-elo-v6</t>
        </is>
      </c>
      <c r="BD145" s="24" t="inlineStr">
        <is>
          <t>3cd8c6d6816723748741dfd426cdd69d0090ff7043748f8235d05ccd88a1e9f6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lol-tiered-elo-v6</t>
        </is>
      </c>
      <c r="BH145" s="24" t="inlineStr">
        <is>
          <t>2026-08-17T08:40:56.977914Z</t>
        </is>
      </c>
      <c r="BI145" s="24" t="inlineStr">
        <is>
          <t>["same_event","same_team_same_day","same_league_same_day"]</t>
        </is>
      </c>
      <c r="BJ145" s="25" t="n"/>
      <c r="BK145" s="26" t="n">
        <v>-138</v>
      </c>
      <c r="BL145" s="27" t="n">
        <v>1.724638</v>
      </c>
      <c r="BM145" s="28" t="n">
        <v>0.579832</v>
      </c>
      <c r="BN145" s="28" t="n"/>
      <c r="BO145" s="28" t="n"/>
      <c r="BP145" s="25" t="n"/>
      <c r="BQ145" s="27" t="n">
        <v>1.724638</v>
      </c>
      <c r="BR145" s="28" t="n">
        <v>0.58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0.579832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816fc71be2e4469b</t>
        </is>
      </c>
      <c r="B146" s="24" t="inlineStr">
        <is>
          <t>2026-08-17T08:41:08.931605Z</t>
        </is>
      </c>
      <c r="C146" s="24" t="inlineStr">
        <is>
          <t>2026-08-17T18:00:00Z</t>
        </is>
      </c>
      <c r="D146" s="24" t="inlineStr">
        <is>
          <t>81425</t>
        </is>
      </c>
      <c r="E146" s="24" t="inlineStr">
        <is>
          <t>LOL</t>
        </is>
      </c>
      <c r="F146" s="24" t="inlineStr">
        <is>
          <t>Volda E-Sport</t>
        </is>
      </c>
      <c r="G146" s="24" t="inlineStr">
        <is>
          <t>Lundqvist Lightside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150</v>
      </c>
      <c r="M146" s="27" t="n">
        <v>2.5</v>
      </c>
      <c r="N146" s="28" t="n">
        <v>0.4</v>
      </c>
      <c r="O146" s="28" t="n">
        <v>0.546385</v>
      </c>
      <c r="P146" s="28" t="n"/>
      <c r="Q146" s="28" t="n">
        <v>0.146385</v>
      </c>
      <c r="R146" s="26" t="n">
        <v>93</v>
      </c>
      <c r="S146" s="29" t="n">
        <v>1</v>
      </c>
      <c r="T146" s="24" t="inlineStr">
        <is>
          <t>lol-tiered-elo-v6</t>
        </is>
      </c>
      <c r="U146" s="24" t="inlineStr">
        <is>
          <t>settled</t>
        </is>
      </c>
      <c r="V146" s="24" t="inlineStr">
        <is>
          <t>win</t>
        </is>
      </c>
      <c r="W146" s="26" t="n">
        <v>1</v>
      </c>
      <c r="X146" s="26" t="n">
        <v>0</v>
      </c>
      <c r="Y146" s="25" t="n"/>
      <c r="Z146" s="26" t="n">
        <v>150</v>
      </c>
      <c r="AA146" s="28" t="n">
        <v>0.4</v>
      </c>
      <c r="AB146" s="28" t="n">
        <v>0</v>
      </c>
      <c r="AC146" s="30" t="n">
        <v>1.5</v>
      </c>
      <c r="AD146" s="24" t="inlineStr">
        <is>
          <t>2026-08-18T15:13:27.847849Z</t>
        </is>
      </c>
      <c r="AE146" s="31" t="inlineStr">
        <is>
          <t>Neutral Elo baseline; executable ask 0.4000 (market_slug=aec-lol-ll-ves-2026-08-17).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Volda E-Sport</t>
        </is>
      </c>
      <c r="AQ146" s="24" t="inlineStr">
        <is>
          <t>Volda E-Sport</t>
        </is>
      </c>
      <c r="AR146" s="24" t="inlineStr">
        <is>
          <t>Volda E-Sport</t>
        </is>
      </c>
      <c r="AS146" s="24" t="inlineStr">
        <is>
          <t>Lundqvist Lightside</t>
        </is>
      </c>
      <c r="AT146" s="24" t="inlineStr">
        <is>
          <t>Lundqvist Lightside</t>
        </is>
      </c>
      <c r="AU146" s="24" t="inlineStr">
        <is>
          <t>Lundqvist Lightside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3cd8c6d6816723748741dfd426cdd69d0090ff7043748f8235d05ccd88a1e9f6</t>
        </is>
      </c>
      <c r="BB146" s="24" t="inlineStr">
        <is>
          <t>neutral_elo</t>
        </is>
      </c>
      <c r="BC146" s="24" t="inlineStr">
        <is>
          <t>lol-tiered-elo-v6</t>
        </is>
      </c>
      <c r="BD146" s="24" t="inlineStr">
        <is>
          <t>3cd8c6d6816723748741dfd426cdd69d0090ff7043748f8235d05ccd88a1e9f6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lol-tiered-elo-v6</t>
        </is>
      </c>
      <c r="BH146" s="24" t="inlineStr">
        <is>
          <t>2026-08-17T08:40:58.215763Z</t>
        </is>
      </c>
      <c r="BI146" s="24" t="inlineStr">
        <is>
          <t>["same_event","same_team_same_day","same_league_same_day"]</t>
        </is>
      </c>
      <c r="BJ146" s="25" t="n"/>
      <c r="BK146" s="26" t="n">
        <v>150</v>
      </c>
      <c r="BL146" s="27" t="n">
        <v>2.5</v>
      </c>
      <c r="BM146" s="28" t="n">
        <v>0.4</v>
      </c>
      <c r="BN146" s="28" t="n"/>
      <c r="BO146" s="28" t="n"/>
      <c r="BP146" s="25" t="n"/>
      <c r="BQ146" s="27" t="n">
        <v>2.5</v>
      </c>
      <c r="BR146" s="28" t="n">
        <v>0.4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0.4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2976a948ae464b2a</t>
        </is>
      </c>
      <c r="B147" s="24" t="inlineStr">
        <is>
          <t>2026-08-18T15:15:39.662958Z</t>
        </is>
      </c>
      <c r="C147" s="24" t="inlineStr">
        <is>
          <t>2026-08-18T16:30:00Z</t>
        </is>
      </c>
      <c r="D147" s="24" t="inlineStr">
        <is>
          <t>82143</t>
        </is>
      </c>
      <c r="E147" s="24" t="inlineStr">
        <is>
          <t>LOL</t>
        </is>
      </c>
      <c r="F147" s="24" t="inlineStr">
        <is>
          <t>Bohemian Guardians</t>
        </is>
      </c>
      <c r="G147" s="24" t="inlineStr">
        <is>
          <t>Meavedron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-156</v>
      </c>
      <c r="M147" s="27" t="n">
        <v>1.641026</v>
      </c>
      <c r="N147" s="28" t="n">
        <v>0.609375</v>
      </c>
      <c r="O147" s="28" t="n">
        <v>0.672153</v>
      </c>
      <c r="P147" s="28" t="n"/>
      <c r="Q147" s="28" t="n">
        <v>0.062778</v>
      </c>
      <c r="R147" s="26" t="n">
        <v>51</v>
      </c>
      <c r="S147" s="29" t="n">
        <v>1.75</v>
      </c>
      <c r="T147" s="24" t="inlineStr">
        <is>
          <t>lol-tiered-elo-v6</t>
        </is>
      </c>
      <c r="U147" s="24" t="inlineStr">
        <is>
          <t>settled</t>
        </is>
      </c>
      <c r="V147" s="24" t="inlineStr">
        <is>
          <t>win</t>
        </is>
      </c>
      <c r="W147" s="26" t="n">
        <v>0</v>
      </c>
      <c r="X147" s="26" t="n">
        <v>1</v>
      </c>
      <c r="Y147" s="25" t="n"/>
      <c r="Z147" s="26" t="n">
        <v>-156</v>
      </c>
      <c r="AA147" s="28" t="n">
        <v>0.61</v>
      </c>
      <c r="AB147" s="28" t="n">
        <v>0.000625</v>
      </c>
      <c r="AC147" s="30" t="n">
        <v>1.1218</v>
      </c>
      <c r="AD147" s="24" t="inlineStr">
        <is>
          <t>2026-08-18T18:18:30.215705Z</t>
        </is>
      </c>
      <c r="AE147" s="31" t="inlineStr">
        <is>
          <t>Neutral Elo baseline; executable ask 0.6100 (market_slug=aec-lol-mve-bg-2026-08-18).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Bohemian Guardians</t>
        </is>
      </c>
      <c r="AQ147" s="24" t="inlineStr">
        <is>
          <t>Bohemian Guardians</t>
        </is>
      </c>
      <c r="AR147" s="24" t="inlineStr">
        <is>
          <t>Bohemian Guardians</t>
        </is>
      </c>
      <c r="AS147" s="24" t="inlineStr">
        <is>
          <t>Meavedron</t>
        </is>
      </c>
      <c r="AT147" s="24" t="inlineStr">
        <is>
          <t>Meavedron</t>
        </is>
      </c>
      <c r="AU147" s="24" t="inlineStr">
        <is>
          <t>Meavedron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ad0f046473dfa0e548c0d0ec6d1876959c23a19f2bc78f246ad53145ae12b8f8</t>
        </is>
      </c>
      <c r="BB147" s="24" t="inlineStr">
        <is>
          <t>neutral_elo</t>
        </is>
      </c>
      <c r="BC147" s="24" t="inlineStr">
        <is>
          <t>lol-tiered-elo-v6</t>
        </is>
      </c>
      <c r="BD147" s="24" t="inlineStr">
        <is>
          <t>ad0f046473dfa0e548c0d0ec6d1876959c23a19f2bc78f246ad53145ae12b8f8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lol-tiered-elo-v6</t>
        </is>
      </c>
      <c r="BH147" s="24" t="inlineStr">
        <is>
          <t>2026-08-18T15:15:35.157882Z</t>
        </is>
      </c>
      <c r="BI147" s="24" t="inlineStr">
        <is>
          <t>["same_event","same_team_same_day","same_league_same_day"]</t>
        </is>
      </c>
      <c r="BJ147" s="25" t="n"/>
      <c r="BK147" s="26" t="n">
        <v>-156</v>
      </c>
      <c r="BL147" s="27" t="n">
        <v>1.641026</v>
      </c>
      <c r="BM147" s="28" t="n">
        <v>0.609375</v>
      </c>
      <c r="BN147" s="28" t="n"/>
      <c r="BO147" s="28" t="n"/>
      <c r="BP147" s="25" t="n"/>
      <c r="BQ147" s="27" t="n">
        <v>1.641026</v>
      </c>
      <c r="BR147" s="28" t="n">
        <v>0.61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0.609375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1034d7647a2f47f4</t>
        </is>
      </c>
      <c r="B148" s="24" t="inlineStr">
        <is>
          <t>2026-08-18T15:15:39.662958Z</t>
        </is>
      </c>
      <c r="C148" s="24" t="inlineStr">
        <is>
          <t>2026-08-18T17:00:00Z</t>
        </is>
      </c>
      <c r="D148" s="24" t="inlineStr">
        <is>
          <t>82168</t>
        </is>
      </c>
      <c r="E148" s="24" t="inlineStr">
        <is>
          <t>LOL</t>
        </is>
      </c>
      <c r="F148" s="24" t="inlineStr">
        <is>
          <t>Lodis</t>
        </is>
      </c>
      <c r="G148" s="24" t="inlineStr">
        <is>
          <t>BOMBA Team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-194</v>
      </c>
      <c r="M148" s="27" t="n">
        <v>1.515464</v>
      </c>
      <c r="N148" s="28" t="n">
        <v>0.659864</v>
      </c>
      <c r="O148" s="28" t="n">
        <v>0.7348440000000001</v>
      </c>
      <c r="P148" s="28" t="n"/>
      <c r="Q148" s="28" t="n">
        <v>0.07498</v>
      </c>
      <c r="R148" s="26" t="n">
        <v>57</v>
      </c>
      <c r="S148" s="29" t="n">
        <v>2</v>
      </c>
      <c r="T148" s="24" t="inlineStr">
        <is>
          <t>lol-tiered-elo-v6</t>
        </is>
      </c>
      <c r="U148" s="24" t="inlineStr">
        <is>
          <t>settled</t>
        </is>
      </c>
      <c r="V148" s="24" t="inlineStr">
        <is>
          <t>loss</t>
        </is>
      </c>
      <c r="W148" s="26" t="n">
        <v>1</v>
      </c>
      <c r="X148" s="26" t="n">
        <v>0</v>
      </c>
      <c r="Y148" s="25" t="n"/>
      <c r="Z148" s="26" t="n">
        <v>-194</v>
      </c>
      <c r="AA148" s="28" t="n">
        <v>0.66</v>
      </c>
      <c r="AB148" s="28" t="n">
        <v>0.000136</v>
      </c>
      <c r="AC148" s="30" t="n">
        <v>-2</v>
      </c>
      <c r="AD148" s="24" t="inlineStr">
        <is>
          <t>2026-08-18T21:39:00.318701Z</t>
        </is>
      </c>
      <c r="AE148" s="31" t="inlineStr">
        <is>
          <t>Neutral Elo baseline; executable ask 0.6600 (market_slug=aec-lol-boom-lds-2026-08-18).</t>
        </is>
      </c>
      <c r="AF148" s="31" t="inlineStr">
        <is>
          <t>Config-promoted esports baseline; gates enforced at log time.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Lodis</t>
        </is>
      </c>
      <c r="AQ148" s="24" t="inlineStr">
        <is>
          <t>Lodis</t>
        </is>
      </c>
      <c r="AR148" s="24" t="inlineStr">
        <is>
          <t>Lodis</t>
        </is>
      </c>
      <c r="AS148" s="24" t="inlineStr">
        <is>
          <t>BOMBA Team</t>
        </is>
      </c>
      <c r="AT148" s="24" t="inlineStr">
        <is>
          <t>BOMBA Team</t>
        </is>
      </c>
      <c r="AU148" s="24" t="inlineStr">
        <is>
          <t>BOMBA Team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ad0f046473dfa0e548c0d0ec6d1876959c23a19f2bc78f246ad53145ae12b8f8</t>
        </is>
      </c>
      <c r="BB148" s="24" t="inlineStr">
        <is>
          <t>neutral_elo</t>
        </is>
      </c>
      <c r="BC148" s="24" t="inlineStr">
        <is>
          <t>lol-tiered-elo-v6</t>
        </is>
      </c>
      <c r="BD148" s="24" t="inlineStr">
        <is>
          <t>ad0f046473dfa0e548c0d0ec6d1876959c23a19f2bc78f246ad53145ae12b8f8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lol-tiered-elo-v6</t>
        </is>
      </c>
      <c r="BH148" s="24" t="inlineStr">
        <is>
          <t>2026-08-18T15:15:35.255306Z</t>
        </is>
      </c>
      <c r="BI148" s="24" t="inlineStr">
        <is>
          <t>["same_event","same_team_same_day","same_league_same_day"]</t>
        </is>
      </c>
      <c r="BJ148" s="25" t="n"/>
      <c r="BK148" s="26" t="n">
        <v>-194</v>
      </c>
      <c r="BL148" s="27" t="n">
        <v>1.515464</v>
      </c>
      <c r="BM148" s="28" t="n">
        <v>0.659864</v>
      </c>
      <c r="BN148" s="28" t="n"/>
      <c r="BO148" s="28" t="n"/>
      <c r="BP148" s="25" t="n"/>
      <c r="BQ148" s="27" t="n">
        <v>1.515464</v>
      </c>
      <c r="BR148" s="28" t="n">
        <v>0.66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0.659864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464f8fabd1514b6b</t>
        </is>
      </c>
      <c r="B149" s="24" t="inlineStr">
        <is>
          <t>2026-08-18T15:15:39.662958Z</t>
        </is>
      </c>
      <c r="C149" s="24" t="inlineStr">
        <is>
          <t>2026-08-18T17:00:00Z</t>
        </is>
      </c>
      <c r="D149" s="24" t="inlineStr">
        <is>
          <t>82169</t>
        </is>
      </c>
      <c r="E149" s="24" t="inlineStr">
        <is>
          <t>LOL</t>
        </is>
      </c>
      <c r="F149" s="24" t="inlineStr">
        <is>
          <t>Dynasty</t>
        </is>
      </c>
      <c r="G149" s="24" t="inlineStr">
        <is>
          <t>Once Upon A Team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108</v>
      </c>
      <c r="M149" s="27" t="n">
        <v>2.08</v>
      </c>
      <c r="N149" s="28" t="n">
        <v>0.480769</v>
      </c>
      <c r="O149" s="28" t="n">
        <v>0.5521200000000001</v>
      </c>
      <c r="P149" s="28" t="n"/>
      <c r="Q149" s="28" t="n">
        <v>0.071351</v>
      </c>
      <c r="R149" s="26" t="n">
        <v>56</v>
      </c>
      <c r="S149" s="29" t="n">
        <v>1</v>
      </c>
      <c r="T149" s="24" t="inlineStr">
        <is>
          <t>lol-tiered-elo-v6</t>
        </is>
      </c>
      <c r="U149" s="24" t="inlineStr">
        <is>
          <t>settled</t>
        </is>
      </c>
      <c r="V149" s="24" t="inlineStr">
        <is>
          <t>loss</t>
        </is>
      </c>
      <c r="W149" s="26" t="n">
        <v>1</v>
      </c>
      <c r="X149" s="26" t="n">
        <v>0</v>
      </c>
      <c r="Y149" s="25" t="n"/>
      <c r="Z149" s="26" t="n">
        <v>108</v>
      </c>
      <c r="AA149" s="28" t="n">
        <v>0.48</v>
      </c>
      <c r="AB149" s="28" t="n">
        <v>-0.000769</v>
      </c>
      <c r="AC149" s="30" t="n">
        <v>-1</v>
      </c>
      <c r="AD149" s="24" t="inlineStr">
        <is>
          <t>2026-08-18T21:39:01.250291Z</t>
        </is>
      </c>
      <c r="AE149" s="31" t="inlineStr">
        <is>
          <t>Neutral Elo baseline; executable ask 0.4800 (market_slug=aec-lol-ouat-dyn-2026-08-18).</t>
        </is>
      </c>
      <c r="AF149" s="31" t="inlineStr">
        <is>
          <t>Config-promoted esports baseline; gates enforced at log time.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Dynasty</t>
        </is>
      </c>
      <c r="AQ149" s="24" t="inlineStr">
        <is>
          <t>Dynasty</t>
        </is>
      </c>
      <c r="AR149" s="24" t="inlineStr">
        <is>
          <t>Dynasty</t>
        </is>
      </c>
      <c r="AS149" s="24" t="inlineStr">
        <is>
          <t>Once Upon A Team</t>
        </is>
      </c>
      <c r="AT149" s="24" t="inlineStr">
        <is>
          <t>Once Upon A Team</t>
        </is>
      </c>
      <c r="AU149" s="24" t="inlineStr">
        <is>
          <t>Once Upon A Team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ad0f046473dfa0e548c0d0ec6d1876959c23a19f2bc78f246ad53145ae12b8f8</t>
        </is>
      </c>
      <c r="BB149" s="24" t="inlineStr">
        <is>
          <t>neutral_elo</t>
        </is>
      </c>
      <c r="BC149" s="24" t="inlineStr">
        <is>
          <t>lol-tiered-elo-v6</t>
        </is>
      </c>
      <c r="BD149" s="24" t="inlineStr">
        <is>
          <t>ad0f046473dfa0e548c0d0ec6d1876959c23a19f2bc78f246ad53145ae12b8f8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lol-tiered-elo-v6</t>
        </is>
      </c>
      <c r="BH149" s="24" t="inlineStr">
        <is>
          <t>2026-08-18T15:15:35.337382Z</t>
        </is>
      </c>
      <c r="BI149" s="24" t="inlineStr">
        <is>
          <t>["same_event","same_team_same_day","same_league_same_day"]</t>
        </is>
      </c>
      <c r="BJ149" s="25" t="n"/>
      <c r="BK149" s="26" t="n">
        <v>108</v>
      </c>
      <c r="BL149" s="27" t="n">
        <v>2.08</v>
      </c>
      <c r="BM149" s="28" t="n">
        <v>0.480769</v>
      </c>
      <c r="BN149" s="28" t="n"/>
      <c r="BO149" s="28" t="n"/>
      <c r="BP149" s="25" t="n"/>
      <c r="BQ149" s="27" t="n">
        <v>2.08</v>
      </c>
      <c r="BR149" s="28" t="n">
        <v>0.48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0.480769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18f87e15faca46b4</t>
        </is>
      </c>
      <c r="B150" s="24" t="inlineStr">
        <is>
          <t>2026-08-18T15:15:39.662958Z</t>
        </is>
      </c>
      <c r="C150" s="24" t="inlineStr">
        <is>
          <t>2026-08-18T18:00:00Z</t>
        </is>
      </c>
      <c r="D150" s="24" t="inlineStr">
        <is>
          <t>82252</t>
        </is>
      </c>
      <c r="E150" s="24" t="inlineStr">
        <is>
          <t>LOL</t>
        </is>
      </c>
      <c r="F150" s="24" t="inlineStr">
        <is>
          <t>Myth Esports</t>
        </is>
      </c>
      <c r="G150" s="24" t="inlineStr">
        <is>
          <t>mCon esports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-144</v>
      </c>
      <c r="M150" s="27" t="n">
        <v>1.694444</v>
      </c>
      <c r="N150" s="28" t="n">
        <v>0.590164</v>
      </c>
      <c r="O150" s="28" t="n">
        <v>0.6423</v>
      </c>
      <c r="P150" s="28" t="n"/>
      <c r="Q150" s="28" t="n">
        <v>0.052136</v>
      </c>
      <c r="R150" s="26" t="n">
        <v>46</v>
      </c>
      <c r="S150" s="29" t="n">
        <v>1.5</v>
      </c>
      <c r="T150" s="24" t="inlineStr">
        <is>
          <t>lol-tiered-elo-v6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-144</v>
      </c>
      <c r="AA150" s="28" t="n">
        <v>0.59</v>
      </c>
      <c r="AB150" s="28" t="n">
        <v>-0.000164</v>
      </c>
      <c r="AC150" s="30" t="n">
        <v>-1.5</v>
      </c>
      <c r="AD150" s="24" t="inlineStr">
        <is>
          <t>2026-08-18T21:39:02.151729Z</t>
        </is>
      </c>
      <c r="AE150" s="31" t="inlineStr">
        <is>
          <t>Neutral Elo baseline; executable ask 0.5900 (market_slug=aec-lol-mcn-myth-2026-08-18).</t>
        </is>
      </c>
      <c r="AF150" s="31" t="inlineStr">
        <is>
          <t>Config-promoted esports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Myth Esports</t>
        </is>
      </c>
      <c r="AQ150" s="24" t="inlineStr">
        <is>
          <t>Myth Esports</t>
        </is>
      </c>
      <c r="AR150" s="24" t="inlineStr">
        <is>
          <t>Myth Esports</t>
        </is>
      </c>
      <c r="AS150" s="24" t="inlineStr">
        <is>
          <t>mCon esports</t>
        </is>
      </c>
      <c r="AT150" s="24" t="inlineStr">
        <is>
          <t>mCon esports</t>
        </is>
      </c>
      <c r="AU150" s="24" t="inlineStr">
        <is>
          <t>mCon esports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ad0f046473dfa0e548c0d0ec6d1876959c23a19f2bc78f246ad53145ae12b8f8</t>
        </is>
      </c>
      <c r="BB150" s="24" t="inlineStr">
        <is>
          <t>neutral_elo</t>
        </is>
      </c>
      <c r="BC150" s="24" t="inlineStr">
        <is>
          <t>lol-tiered-elo-v6</t>
        </is>
      </c>
      <c r="BD150" s="24" t="inlineStr">
        <is>
          <t>ad0f046473dfa0e548c0d0ec6d1876959c23a19f2bc78f246ad53145ae12b8f8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lol-tiered-elo-v6</t>
        </is>
      </c>
      <c r="BH150" s="24" t="inlineStr">
        <is>
          <t>2026-08-18T15:15:35.412864Z</t>
        </is>
      </c>
      <c r="BI150" s="24" t="inlineStr">
        <is>
          <t>["same_event","same_team_same_day","same_league_same_day"]</t>
        </is>
      </c>
      <c r="BJ150" s="25" t="n"/>
      <c r="BK150" s="26" t="n">
        <v>-144</v>
      </c>
      <c r="BL150" s="27" t="n">
        <v>1.694444</v>
      </c>
      <c r="BM150" s="28" t="n">
        <v>0.590164</v>
      </c>
      <c r="BN150" s="28" t="n"/>
      <c r="BO150" s="28" t="n"/>
      <c r="BP150" s="25" t="n"/>
      <c r="BQ150" s="27" t="n">
        <v>1.694444</v>
      </c>
      <c r="BR150" s="28" t="n">
        <v>0.59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0.590164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e7d51a1da8c845f3</t>
        </is>
      </c>
      <c r="B151" s="24" t="inlineStr">
        <is>
          <t>2026-08-18T22:13:43.940761Z</t>
        </is>
      </c>
      <c r="C151" s="24" t="inlineStr">
        <is>
          <t>2026-08-18T23:00:00Z</t>
        </is>
      </c>
      <c r="D151" s="24" t="inlineStr">
        <is>
          <t>85021</t>
        </is>
      </c>
      <c r="E151" s="24" t="inlineStr">
        <is>
          <t>LOL</t>
        </is>
      </c>
      <c r="F151" s="24" t="inlineStr">
        <is>
          <t>3v Team</t>
        </is>
      </c>
      <c r="G151" s="24" t="inlineStr">
        <is>
          <t>Kits Esports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-150</v>
      </c>
      <c r="M151" s="27" t="n">
        <v>1.666667</v>
      </c>
      <c r="N151" s="28" t="n">
        <v>0.6</v>
      </c>
      <c r="O151" s="28" t="n">
        <v>0.5045230000000001</v>
      </c>
      <c r="P151" s="28" t="n"/>
      <c r="Q151" s="28" t="n">
        <v>-0.09547700000000001</v>
      </c>
      <c r="R151" s="26" t="n">
        <v>0</v>
      </c>
      <c r="S151" s="29" t="n">
        <v>1</v>
      </c>
      <c r="T151" s="24" t="inlineStr">
        <is>
          <t>lol-tiered-elo-v6</t>
        </is>
      </c>
      <c r="U151" s="24" t="inlineStr">
        <is>
          <t>settled</t>
        </is>
      </c>
      <c r="V151" s="24" t="inlineStr">
        <is>
          <t>loss</t>
        </is>
      </c>
      <c r="W151" s="26" t="n">
        <v>0</v>
      </c>
      <c r="X151" s="26" t="n">
        <v>1</v>
      </c>
      <c r="Y151" s="25" t="n"/>
      <c r="Z151" s="26" t="n">
        <v>-150</v>
      </c>
      <c r="AA151" s="28" t="n">
        <v>0.6</v>
      </c>
      <c r="AB151" s="28" t="n">
        <v>0</v>
      </c>
      <c r="AC151" s="30" t="n">
        <v>-1</v>
      </c>
      <c r="AD151" s="24" t="inlineStr">
        <is>
          <t>2026-08-19T03:48:13.500484Z</t>
        </is>
      </c>
      <c r="AE151" s="31" t="inlineStr">
        <is>
          <t>Neutral Elo baseline; executable ask 0.6000 (market_slug=aec-lol-kits-3v-2026-08-18).</t>
        </is>
      </c>
      <c r="AF151" s="31" t="inlineStr">
        <is>
          <t>Config-promoted esports baseline; gates enforced at log time.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3v Team</t>
        </is>
      </c>
      <c r="AQ151" s="24" t="inlineStr">
        <is>
          <t>3v Team</t>
        </is>
      </c>
      <c r="AR151" s="24" t="inlineStr">
        <is>
          <t>3v Team</t>
        </is>
      </c>
      <c r="AS151" s="24" t="inlineStr">
        <is>
          <t>Kits Esports</t>
        </is>
      </c>
      <c r="AT151" s="24" t="inlineStr">
        <is>
          <t>Kits Esports</t>
        </is>
      </c>
      <c r="AU151" s="24" t="inlineStr">
        <is>
          <t>Kits Esports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db588af9312baecc05a29da6a7b0a11bed7bc9d6135414cd5242ea0c7221b1a7</t>
        </is>
      </c>
      <c r="BB151" s="24" t="inlineStr">
        <is>
          <t>neutral_elo</t>
        </is>
      </c>
      <c r="BC151" s="24" t="inlineStr">
        <is>
          <t>lol-tiered-elo-v6</t>
        </is>
      </c>
      <c r="BD151" s="24" t="inlineStr">
        <is>
          <t>db588af9312baecc05a29da6a7b0a11bed7bc9d6135414cd5242ea0c7221b1a7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lol-tiered-elo-v6</t>
        </is>
      </c>
      <c r="BH151" s="24" t="inlineStr">
        <is>
          <t>2026-08-18T22:13:39.840284Z</t>
        </is>
      </c>
      <c r="BI151" s="24" t="inlineStr">
        <is>
          <t>["same_event","same_team_same_day","same_league_same_day"]</t>
        </is>
      </c>
      <c r="BJ151" s="25" t="n"/>
      <c r="BK151" s="26" t="n">
        <v>-150</v>
      </c>
      <c r="BL151" s="27" t="n">
        <v>1.666667</v>
      </c>
      <c r="BM151" s="28" t="n">
        <v>0.6</v>
      </c>
      <c r="BN151" s="28" t="n"/>
      <c r="BO151" s="28" t="n"/>
      <c r="BP151" s="25" t="n"/>
      <c r="BQ151" s="27" t="n">
        <v>1.666667</v>
      </c>
      <c r="BR151" s="28" t="n">
        <v>0.6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0.6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b974dad5580e4ed0</t>
        </is>
      </c>
      <c r="B152" s="24" t="inlineStr">
        <is>
          <t>2026-08-18T22:13:43.940761Z</t>
        </is>
      </c>
      <c r="C152" s="24" t="inlineStr">
        <is>
          <t>2026-08-18T23:00:00Z</t>
        </is>
      </c>
      <c r="D152" s="24" t="inlineStr">
        <is>
          <t>83868</t>
        </is>
      </c>
      <c r="E152" s="24" t="inlineStr">
        <is>
          <t>LOL</t>
        </is>
      </c>
      <c r="F152" s="24" t="inlineStr">
        <is>
          <t>Vivo Keyd Stars Academy</t>
        </is>
      </c>
      <c r="G152" s="24" t="inlineStr">
        <is>
          <t>KaBuM! Ilha das Lendas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-133</v>
      </c>
      <c r="M152" s="27" t="n">
        <v>1.75188</v>
      </c>
      <c r="N152" s="28" t="n">
        <v>0.570815</v>
      </c>
      <c r="O152" s="28" t="n">
        <v>0.582636</v>
      </c>
      <c r="P152" s="28" t="n"/>
      <c r="Q152" s="28" t="n">
        <v>0.011821</v>
      </c>
      <c r="R152" s="26" t="n">
        <v>26</v>
      </c>
      <c r="S152" s="29" t="n">
        <v>1.25</v>
      </c>
      <c r="T152" s="24" t="inlineStr">
        <is>
          <t>lol-tiered-elo-v6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1</v>
      </c>
      <c r="X152" s="26" t="n">
        <v>0</v>
      </c>
      <c r="Y152" s="25" t="n"/>
      <c r="Z152" s="26" t="n">
        <v>-138</v>
      </c>
      <c r="AA152" s="28" t="n">
        <v>0.58</v>
      </c>
      <c r="AB152" s="28" t="n">
        <v>0.009185</v>
      </c>
      <c r="AC152" s="30" t="n">
        <v>-1.25</v>
      </c>
      <c r="AD152" s="24" t="inlineStr">
        <is>
          <t>2026-08-19T00:43:30.333410Z</t>
        </is>
      </c>
      <c r="AE152" s="31" t="inlineStr">
        <is>
          <t>Neutral Elo baseline; executable ask 0.5700 (market_slug=aec-lol-kbm-vksa-2026-08-18).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Vivo Keyd Stars Academy</t>
        </is>
      </c>
      <c r="AQ152" s="24" t="inlineStr">
        <is>
          <t>Vivo Keyd Stars Academy</t>
        </is>
      </c>
      <c r="AR152" s="24" t="inlineStr">
        <is>
          <t>Vivo Keyd Stars Academy</t>
        </is>
      </c>
      <c r="AS152" s="24" t="inlineStr">
        <is>
          <t>KaBuM! Ilha das Lendas</t>
        </is>
      </c>
      <c r="AT152" s="24" t="inlineStr">
        <is>
          <t>KaBuM! Ilha das Lendas</t>
        </is>
      </c>
      <c r="AU152" s="24" t="inlineStr">
        <is>
          <t>KaBuM! Ilha das Lendas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db588af9312baecc05a29da6a7b0a11bed7bc9d6135414cd5242ea0c7221b1a7</t>
        </is>
      </c>
      <c r="BB152" s="24" t="inlineStr">
        <is>
          <t>neutral_elo</t>
        </is>
      </c>
      <c r="BC152" s="24" t="inlineStr">
        <is>
          <t>lol-tiered-elo-v6</t>
        </is>
      </c>
      <c r="BD152" s="24" t="inlineStr">
        <is>
          <t>db588af9312baecc05a29da6a7b0a11bed7bc9d6135414cd5242ea0c7221b1a7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lol-tiered-elo-v6</t>
        </is>
      </c>
      <c r="BH152" s="24" t="inlineStr">
        <is>
          <t>2026-08-18T22:13:39.954411Z</t>
        </is>
      </c>
      <c r="BI152" s="24" t="inlineStr">
        <is>
          <t>["same_event","same_team_same_day","same_league_same_day"]</t>
        </is>
      </c>
      <c r="BJ152" s="25" t="n"/>
      <c r="BK152" s="26" t="n">
        <v>-133</v>
      </c>
      <c r="BL152" s="27" t="n">
        <v>1.75188</v>
      </c>
      <c r="BM152" s="28" t="n">
        <v>0.570815</v>
      </c>
      <c r="BN152" s="28" t="n"/>
      <c r="BO152" s="28" t="n"/>
      <c r="BP152" s="25" t="n"/>
      <c r="BQ152" s="27" t="n">
        <v>1.724638</v>
      </c>
      <c r="BR152" s="28" t="n">
        <v>0.58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0.570815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871f6aa7098e4bc6</t>
        </is>
      </c>
      <c r="B153" s="24" t="inlineStr">
        <is>
          <t>2026-08-19T00:44:55.537816Z</t>
        </is>
      </c>
      <c r="C153" s="24" t="inlineStr">
        <is>
          <t>2026-08-19T05:00:00Z</t>
        </is>
      </c>
      <c r="D153" s="24" t="inlineStr">
        <is>
          <t>83056</t>
        </is>
      </c>
      <c r="E153" s="24" t="inlineStr">
        <is>
          <t>LOL</t>
        </is>
      </c>
      <c r="F153" s="24" t="inlineStr">
        <is>
          <t>BNK FearX Youth</t>
        </is>
      </c>
      <c r="G153" s="24" t="inlineStr">
        <is>
          <t>Hanwha Life Esports Challengers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-170</v>
      </c>
      <c r="M153" s="27" t="n">
        <v>1.588235</v>
      </c>
      <c r="N153" s="28" t="n">
        <v>0.62963</v>
      </c>
      <c r="O153" s="28" t="n">
        <v>0.506664</v>
      </c>
      <c r="P153" s="28" t="n"/>
      <c r="Q153" s="28" t="n">
        <v>-0.122966</v>
      </c>
      <c r="R153" s="26" t="n">
        <v>0</v>
      </c>
      <c r="S153" s="29" t="n">
        <v>1</v>
      </c>
      <c r="T153" s="24" t="inlineStr">
        <is>
          <t>lol-tiered-elo-v6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/>
      <c r="AA153" s="28" t="n"/>
      <c r="AB153" s="28" t="n"/>
      <c r="AC153" s="30" t="n">
        <v>0.5881999999999999</v>
      </c>
      <c r="AD153" s="24" t="inlineStr">
        <is>
          <t>2026-08-19T07:06:11.571156Z</t>
        </is>
      </c>
      <c r="AE153" s="31" t="inlineStr">
        <is>
          <t>Neutral Elo baseline; executable ask 0.6300 (market_slug=aec-lol-hlec-foxy-2026-08-19).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BNK FearX Youth</t>
        </is>
      </c>
      <c r="AQ153" s="24" t="inlineStr">
        <is>
          <t>BNK FearX Youth</t>
        </is>
      </c>
      <c r="AR153" s="24" t="inlineStr">
        <is>
          <t>BNK FearX Youth</t>
        </is>
      </c>
      <c r="AS153" s="24" t="inlineStr">
        <is>
          <t>Hanwha Life Esports Challengers</t>
        </is>
      </c>
      <c r="AT153" s="24" t="inlineStr">
        <is>
          <t>Hanwha Life Esports Challengers</t>
        </is>
      </c>
      <c r="AU153" s="24" t="inlineStr">
        <is>
          <t>Hanwha Life Esports Challengers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7429a910add3611886178d376e3b877c897a1d4539d26af41e19093d5735352a</t>
        </is>
      </c>
      <c r="BB153" s="24" t="inlineStr">
        <is>
          <t>neutral_elo</t>
        </is>
      </c>
      <c r="BC153" s="24" t="inlineStr">
        <is>
          <t>lol-tiered-elo-v6</t>
        </is>
      </c>
      <c r="BD153" s="24" t="inlineStr">
        <is>
          <t>7429a910add3611886178d376e3b877c897a1d4539d26af41e19093d5735352a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lol-tiered-elo-v6</t>
        </is>
      </c>
      <c r="BH153" s="24" t="inlineStr">
        <is>
          <t>2026-08-19T00:44:51.638521Z</t>
        </is>
      </c>
      <c r="BI153" s="24" t="inlineStr">
        <is>
          <t>["same_event","same_team_same_day","same_league_same_day"]</t>
        </is>
      </c>
      <c r="BJ153" s="25" t="n"/>
      <c r="BK153" s="26" t="n">
        <v>-170</v>
      </c>
      <c r="BL153" s="27" t="n">
        <v>1.588235</v>
      </c>
      <c r="BM153" s="28" t="n">
        <v>0.62963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0.62963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d580509500224aa7</t>
        </is>
      </c>
      <c r="B154" s="24" t="inlineStr">
        <is>
          <t>2026-08-19T00:44:55.537816Z</t>
        </is>
      </c>
      <c r="C154" s="24" t="inlineStr">
        <is>
          <t>2026-08-19T05:00:00Z</t>
        </is>
      </c>
      <c r="D154" s="24" t="inlineStr">
        <is>
          <t>83057</t>
        </is>
      </c>
      <c r="E154" s="24" t="inlineStr">
        <is>
          <t>LOL</t>
        </is>
      </c>
      <c r="F154" s="24" t="inlineStr">
        <is>
          <t>T1 Academy</t>
        </is>
      </c>
      <c r="G154" s="24" t="inlineStr">
        <is>
          <t>KT Rolster Challengers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-138</v>
      </c>
      <c r="M154" s="27" t="n">
        <v>1.724638</v>
      </c>
      <c r="N154" s="28" t="n">
        <v>0.579832</v>
      </c>
      <c r="O154" s="28" t="n">
        <v>0.5389350000000001</v>
      </c>
      <c r="P154" s="28" t="n"/>
      <c r="Q154" s="28" t="n">
        <v>-0.040897</v>
      </c>
      <c r="R154" s="26" t="n">
        <v>0</v>
      </c>
      <c r="S154" s="29" t="n">
        <v>1</v>
      </c>
      <c r="T154" s="24" t="inlineStr">
        <is>
          <t>lol-tiered-elo-v6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/>
      <c r="AA154" s="28" t="n"/>
      <c r="AB154" s="28" t="n"/>
      <c r="AC154" s="30" t="n">
        <v>0.7246</v>
      </c>
      <c r="AD154" s="24" t="inlineStr">
        <is>
          <t>2026-08-19T10:12:13.663460Z</t>
        </is>
      </c>
      <c r="AE154" s="31" t="inlineStr">
        <is>
          <t>Neutral Elo baseline; executable ask 0.5800 (market_slug=aec-lol-ktc-t1a-2026-08-19).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T1 Academy</t>
        </is>
      </c>
      <c r="AQ154" s="24" t="inlineStr">
        <is>
          <t>T1 Academy</t>
        </is>
      </c>
      <c r="AR154" s="24" t="inlineStr">
        <is>
          <t>T1 Academy</t>
        </is>
      </c>
      <c r="AS154" s="24" t="inlineStr">
        <is>
          <t>KT Rolster Challengers</t>
        </is>
      </c>
      <c r="AT154" s="24" t="inlineStr">
        <is>
          <t>KT Rolster Challengers</t>
        </is>
      </c>
      <c r="AU154" s="24" t="inlineStr">
        <is>
          <t>KT Rolster Challengers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7429a910add3611886178d376e3b877c897a1d4539d26af41e19093d5735352a</t>
        </is>
      </c>
      <c r="BB154" s="24" t="inlineStr">
        <is>
          <t>neutral_elo</t>
        </is>
      </c>
      <c r="BC154" s="24" t="inlineStr">
        <is>
          <t>lol-tiered-elo-v6</t>
        </is>
      </c>
      <c r="BD154" s="24" t="inlineStr">
        <is>
          <t>7429a910add3611886178d376e3b877c897a1d4539d26af41e19093d5735352a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lol-tiered-elo-v6</t>
        </is>
      </c>
      <c r="BH154" s="24" t="inlineStr">
        <is>
          <t>2026-08-19T00:44:51.796208Z</t>
        </is>
      </c>
      <c r="BI154" s="24" t="inlineStr">
        <is>
          <t>["same_event","same_team_same_day","same_league_same_day"]</t>
        </is>
      </c>
      <c r="BJ154" s="25" t="n"/>
      <c r="BK154" s="26" t="n">
        <v>-138</v>
      </c>
      <c r="BL154" s="27" t="n">
        <v>1.724638</v>
      </c>
      <c r="BM154" s="28" t="n">
        <v>0.579832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0.579832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52eb7a123b3949be</t>
        </is>
      </c>
      <c r="B155" s="24" t="inlineStr">
        <is>
          <t>2026-08-19T07:08:28.157857Z</t>
        </is>
      </c>
      <c r="C155" s="24" t="inlineStr">
        <is>
          <t>2026-08-19T09:00:00Z</t>
        </is>
      </c>
      <c r="D155" s="24" t="inlineStr">
        <is>
          <t>83077</t>
        </is>
      </c>
      <c r="E155" s="24" t="inlineStr">
        <is>
          <t>LOL</t>
        </is>
      </c>
      <c r="F155" s="24" t="inlineStr">
        <is>
          <t>Top Esports</t>
        </is>
      </c>
      <c r="G155" s="24" t="inlineStr">
        <is>
          <t>Anyone's Legend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-138</v>
      </c>
      <c r="M155" s="27" t="n">
        <v>1.724638</v>
      </c>
      <c r="N155" s="28" t="n">
        <v>0.579832</v>
      </c>
      <c r="O155" s="28" t="n">
        <v>0.650949</v>
      </c>
      <c r="P155" s="28" t="n"/>
      <c r="Q155" s="28" t="n">
        <v>0.071117</v>
      </c>
      <c r="R155" s="26" t="n">
        <v>56</v>
      </c>
      <c r="S155" s="29" t="n">
        <v>1.75</v>
      </c>
      <c r="T155" s="24" t="inlineStr">
        <is>
          <t>lol-tiered-elo-v6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-1.75</v>
      </c>
      <c r="AD155" s="24" t="inlineStr">
        <is>
          <t>2026-08-19T13:40:18.203020Z</t>
        </is>
      </c>
      <c r="AE155" s="31" t="inlineStr">
        <is>
          <t>Neutral Elo baseline; executable ask 0.5800 (market_slug=aec-lol-al-tes-2026-08-19).</t>
        </is>
      </c>
      <c r="AF155" s="31" t="inlineStr">
        <is>
          <t>Config-promoted esports baseline; gates enforced at log time.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Top Esports</t>
        </is>
      </c>
      <c r="AQ155" s="24" t="inlineStr">
        <is>
          <t>Top Esports</t>
        </is>
      </c>
      <c r="AR155" s="24" t="inlineStr">
        <is>
          <t>Top Esports</t>
        </is>
      </c>
      <c r="AS155" s="24" t="inlineStr">
        <is>
          <t>Anyone's Legend</t>
        </is>
      </c>
      <c r="AT155" s="24" t="inlineStr">
        <is>
          <t>Anyone's Legend</t>
        </is>
      </c>
      <c r="AU155" s="24" t="inlineStr">
        <is>
          <t>Anyone's Legend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cbcfe60236b3428608df93bf3ce5d6ad599406b1f40e1c11e3837822d5e01f3a</t>
        </is>
      </c>
      <c r="BB155" s="24" t="inlineStr">
        <is>
          <t>neutral_elo</t>
        </is>
      </c>
      <c r="BC155" s="24" t="inlineStr">
        <is>
          <t>lol-tiered-elo-v6</t>
        </is>
      </c>
      <c r="BD155" s="24" t="inlineStr">
        <is>
          <t>cbcfe60236b3428608df93bf3ce5d6ad599406b1f40e1c11e3837822d5e01f3a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lol-tiered-elo-v6</t>
        </is>
      </c>
      <c r="BH155" s="24" t="inlineStr">
        <is>
          <t>2026-08-19T07:08:22.172998Z</t>
        </is>
      </c>
      <c r="BI155" s="24" t="inlineStr">
        <is>
          <t>["same_event","same_team_same_day","same_league_same_day"]</t>
        </is>
      </c>
      <c r="BJ155" s="25" t="n"/>
      <c r="BK155" s="26" t="n">
        <v>-138</v>
      </c>
      <c r="BL155" s="27" t="n">
        <v>1.724638</v>
      </c>
      <c r="BM155" s="28" t="n">
        <v>0.579832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0.579832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83b0e4e89b564927</t>
        </is>
      </c>
      <c r="B156" s="24" t="inlineStr">
        <is>
          <t>2026-08-19T07:08:28.157857Z</t>
        </is>
      </c>
      <c r="C156" s="24" t="inlineStr">
        <is>
          <t>2026-08-19T10:00:00Z</t>
        </is>
      </c>
      <c r="D156" s="24" t="inlineStr">
        <is>
          <t>83091</t>
        </is>
      </c>
      <c r="E156" s="24" t="inlineStr">
        <is>
          <t>LOL</t>
        </is>
      </c>
      <c r="F156" s="24" t="inlineStr">
        <is>
          <t>DN SOOPers</t>
        </is>
      </c>
      <c r="G156" s="24" t="inlineStr">
        <is>
          <t>HANJIN BRION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polymarket_us</t>
        </is>
      </c>
      <c r="L156" s="26" t="n">
        <v>-122</v>
      </c>
      <c r="M156" s="27" t="n">
        <v>1.819672</v>
      </c>
      <c r="N156" s="28" t="n">
        <v>0.54955</v>
      </c>
      <c r="O156" s="28" t="n">
        <v>0.707307</v>
      </c>
      <c r="P156" s="28" t="n"/>
      <c r="Q156" s="28" t="n">
        <v>0.157757</v>
      </c>
      <c r="R156" s="26" t="n">
        <v>99</v>
      </c>
      <c r="S156" s="29" t="n">
        <v>2</v>
      </c>
      <c r="T156" s="24" t="inlineStr">
        <is>
          <t>lol-tiered-elo-v6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1</v>
      </c>
      <c r="Y156" s="25" t="n"/>
      <c r="Z156" s="26" t="n"/>
      <c r="AA156" s="28" t="n"/>
      <c r="AB156" s="28" t="n"/>
      <c r="AC156" s="30" t="n">
        <v>-2</v>
      </c>
      <c r="AD156" s="24" t="inlineStr">
        <is>
          <t>2026-08-19T13:40:19.128524Z</t>
        </is>
      </c>
      <c r="AE156" s="31" t="inlineStr">
        <is>
          <t>Neutral Elo baseline; executable ask 0.5500 (market_slug=aec-lol-bro-dns-2026-08-19).</t>
        </is>
      </c>
      <c r="AF156" s="31" t="inlineStr">
        <is>
          <t>Config-promoted esports baseline; gates enforced at log time.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DN SOOPers</t>
        </is>
      </c>
      <c r="AQ156" s="24" t="inlineStr">
        <is>
          <t>DN SOOPers</t>
        </is>
      </c>
      <c r="AR156" s="24" t="inlineStr">
        <is>
          <t>DN SOOPers</t>
        </is>
      </c>
      <c r="AS156" s="24" t="inlineStr">
        <is>
          <t>HANJIN BRION</t>
        </is>
      </c>
      <c r="AT156" s="24" t="inlineStr">
        <is>
          <t>HANJIN BRION</t>
        </is>
      </c>
      <c r="AU156" s="24" t="inlineStr">
        <is>
          <t>HANJIN BRION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cbcfe60236b3428608df93bf3ce5d6ad599406b1f40e1c11e3837822d5e01f3a</t>
        </is>
      </c>
      <c r="BB156" s="24" t="inlineStr">
        <is>
          <t>neutral_elo</t>
        </is>
      </c>
      <c r="BC156" s="24" t="inlineStr">
        <is>
          <t>lol-tiered-elo-v6</t>
        </is>
      </c>
      <c r="BD156" s="24" t="inlineStr">
        <is>
          <t>cbcfe60236b3428608df93bf3ce5d6ad599406b1f40e1c11e3837822d5e01f3a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lol-tiered-elo-v6</t>
        </is>
      </c>
      <c r="BH156" s="24" t="inlineStr">
        <is>
          <t>2026-08-19T07:08:22.365424Z</t>
        </is>
      </c>
      <c r="BI156" s="24" t="inlineStr">
        <is>
          <t>["same_event","same_team_same_day","same_league_same_day"]</t>
        </is>
      </c>
      <c r="BJ156" s="25" t="n"/>
      <c r="BK156" s="26" t="n">
        <v>-122</v>
      </c>
      <c r="BL156" s="27" t="n">
        <v>1.819672</v>
      </c>
      <c r="BM156" s="28" t="n">
        <v>0.54955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0.54955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ab3dc8c0af6d4997</t>
        </is>
      </c>
      <c r="B157" s="24" t="inlineStr">
        <is>
          <t>2026-08-19T13:43:33.129385Z</t>
        </is>
      </c>
      <c r="C157" s="24" t="inlineStr">
        <is>
          <t>2026-08-19T15:00:00Z</t>
        </is>
      </c>
      <c r="D157" s="24" t="inlineStr">
        <is>
          <t>83245</t>
        </is>
      </c>
      <c r="E157" s="24" t="inlineStr">
        <is>
          <t>LOL</t>
        </is>
      </c>
      <c r="F157" s="24" t="inlineStr">
        <is>
          <t>Team Heretics Academy</t>
        </is>
      </c>
      <c r="G157" s="24" t="inlineStr">
        <is>
          <t>UCAM Esports Club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122</v>
      </c>
      <c r="M157" s="27" t="n">
        <v>2.22</v>
      </c>
      <c r="N157" s="28" t="n">
        <v>0.45045</v>
      </c>
      <c r="O157" s="28" t="n">
        <v>0.523658</v>
      </c>
      <c r="P157" s="28" t="n"/>
      <c r="Q157" s="28" t="n">
        <v>0.073208</v>
      </c>
      <c r="R157" s="26" t="n">
        <v>57</v>
      </c>
      <c r="S157" s="29" t="n">
        <v>1</v>
      </c>
      <c r="T157" s="24" t="inlineStr">
        <is>
          <t>lol-tiered-elo-v6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/>
      <c r="AA157" s="28" t="n"/>
      <c r="AB157" s="28" t="n"/>
      <c r="AC157" s="30" t="n">
        <v>1.22</v>
      </c>
      <c r="AD157" s="24" t="inlineStr">
        <is>
          <t>2026-08-19T19:53:21.017286Z</t>
        </is>
      </c>
      <c r="AE157" s="31" t="inlineStr">
        <is>
          <t>Neutral Elo baseline; executable ask 0.4500 (market_slug=aec-lol-ucam-hrts-2026-08-19).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3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Team Heretics Academy</t>
        </is>
      </c>
      <c r="AQ157" s="24" t="inlineStr">
        <is>
          <t>Team Heretics Academy</t>
        </is>
      </c>
      <c r="AR157" s="24" t="inlineStr">
        <is>
          <t>Team Heretics Academy</t>
        </is>
      </c>
      <c r="AS157" s="24" t="inlineStr">
        <is>
          <t>UCAM Esports Club</t>
        </is>
      </c>
      <c r="AT157" s="24" t="inlineStr">
        <is>
          <t>UCAM Esports Club</t>
        </is>
      </c>
      <c r="AU157" s="24" t="inlineStr">
        <is>
          <t>UCAM Esports Club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a0a1778638a73e26bd459cbdea8d68c38588628db65576c5850f6750f079f4f2</t>
        </is>
      </c>
      <c r="BB157" s="24" t="inlineStr">
        <is>
          <t>neutral_elo</t>
        </is>
      </c>
      <c r="BC157" s="24" t="inlineStr">
        <is>
          <t>lol-tiered-elo-v6</t>
        </is>
      </c>
      <c r="BD157" s="24" t="inlineStr">
        <is>
          <t>a0a1778638a73e26bd459cbdea8d68c38588628db65576c5850f6750f079f4f2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lol-tiered-elo-v6</t>
        </is>
      </c>
      <c r="BH157" s="24" t="inlineStr">
        <is>
          <t>2026-08-19T13:43:24.936766Z</t>
        </is>
      </c>
      <c r="BI157" s="24" t="inlineStr">
        <is>
          <t>["same_event","same_team_same_day","same_league_same_day"]</t>
        </is>
      </c>
      <c r="BJ157" s="25" t="n"/>
      <c r="BK157" s="26" t="n">
        <v>122</v>
      </c>
      <c r="BL157" s="27" t="n">
        <v>2.22</v>
      </c>
      <c r="BM157" s="28" t="n">
        <v>0.45045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0.45045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6a0ef904ef274a46</t>
        </is>
      </c>
      <c r="B158" s="24" t="inlineStr">
        <is>
          <t>2026-08-19T13:43:33.129385Z</t>
        </is>
      </c>
      <c r="C158" s="24" t="inlineStr">
        <is>
          <t>2026-08-19T16:00:00Z</t>
        </is>
      </c>
      <c r="D158" s="24" t="inlineStr">
        <is>
          <t>83277</t>
        </is>
      </c>
      <c r="E158" s="24" t="inlineStr">
        <is>
          <t>LOL</t>
        </is>
      </c>
      <c r="F158" s="24" t="inlineStr">
        <is>
          <t>Ici Japon Corp. Esport</t>
        </is>
      </c>
      <c r="G158" s="24" t="inlineStr">
        <is>
          <t>Vitality.Bee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-138</v>
      </c>
      <c r="M158" s="27" t="n">
        <v>1.724638</v>
      </c>
      <c r="N158" s="28" t="n">
        <v>0.579832</v>
      </c>
      <c r="O158" s="28" t="n">
        <v>0.578619</v>
      </c>
      <c r="P158" s="28" t="n"/>
      <c r="Q158" s="28" t="n">
        <v>-0.001213</v>
      </c>
      <c r="R158" s="26" t="n">
        <v>19</v>
      </c>
      <c r="S158" s="29" t="n">
        <v>1.25</v>
      </c>
      <c r="T158" s="24" t="inlineStr">
        <is>
          <t>lol-tiered-elo-v6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/>
      <c r="AA158" s="28" t="n"/>
      <c r="AB158" s="28" t="n"/>
      <c r="AC158" s="30" t="n">
        <v>-1.25</v>
      </c>
      <c r="AD158" s="24" t="inlineStr">
        <is>
          <t>2026-08-19T19:53:22.036880Z</t>
        </is>
      </c>
      <c r="AE158" s="31" t="inlineStr">
        <is>
          <t>Neutral Elo baseline; executable ask 0.5800 (market_slug=aec-lol-vitb-ijc-2026-08-19).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Ici Japon Corp. Esport</t>
        </is>
      </c>
      <c r="AQ158" s="24" t="inlineStr">
        <is>
          <t>Ici Japon Corp. Esport</t>
        </is>
      </c>
      <c r="AR158" s="24" t="inlineStr">
        <is>
          <t>Ici Japon Corp. Esport</t>
        </is>
      </c>
      <c r="AS158" s="24" t="inlineStr">
        <is>
          <t>Vitality.Bee</t>
        </is>
      </c>
      <c r="AT158" s="24" t="inlineStr">
        <is>
          <t>Vitality.Bee</t>
        </is>
      </c>
      <c r="AU158" s="24" t="inlineStr">
        <is>
          <t>Vitality.Bee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a0a1778638a73e26bd459cbdea8d68c38588628db65576c5850f6750f079f4f2</t>
        </is>
      </c>
      <c r="BB158" s="24" t="inlineStr">
        <is>
          <t>neutral_elo</t>
        </is>
      </c>
      <c r="BC158" s="24" t="inlineStr">
        <is>
          <t>lol-tiered-elo-v6</t>
        </is>
      </c>
      <c r="BD158" s="24" t="inlineStr">
        <is>
          <t>a0a1778638a73e26bd459cbdea8d68c38588628db65576c5850f6750f079f4f2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lol-tiered-elo-v6</t>
        </is>
      </c>
      <c r="BH158" s="24" t="inlineStr">
        <is>
          <t>2026-08-19T13:43:25.418293Z</t>
        </is>
      </c>
      <c r="BI158" s="24" t="inlineStr">
        <is>
          <t>["same_event","same_team_same_day","same_league_same_day"]</t>
        </is>
      </c>
      <c r="BJ158" s="25" t="n"/>
      <c r="BK158" s="26" t="n">
        <v>-138</v>
      </c>
      <c r="BL158" s="27" t="n">
        <v>1.724638</v>
      </c>
      <c r="BM158" s="28" t="n">
        <v>0.579832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0.579832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7a95c8abf8fc4619</t>
        </is>
      </c>
      <c r="B159" s="24" t="inlineStr">
        <is>
          <t>2026-08-19T13:43:33.129385Z</t>
        </is>
      </c>
      <c r="C159" s="24" t="inlineStr">
        <is>
          <t>2026-08-19T16:30:00Z</t>
        </is>
      </c>
      <c r="D159" s="24" t="inlineStr">
        <is>
          <t>83312</t>
        </is>
      </c>
      <c r="E159" s="24" t="inlineStr">
        <is>
          <t>LOL</t>
        </is>
      </c>
      <c r="F159" s="24" t="inlineStr">
        <is>
          <t>Bohemian Guardians</t>
        </is>
      </c>
      <c r="G159" s="24" t="inlineStr">
        <is>
          <t>EXILE esports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-104</v>
      </c>
      <c r="M159" s="27" t="n">
        <v>1.961538</v>
      </c>
      <c r="N159" s="28" t="n">
        <v>0.509804</v>
      </c>
      <c r="O159" s="28" t="n">
        <v>0.60066</v>
      </c>
      <c r="P159" s="28" t="n"/>
      <c r="Q159" s="28" t="n">
        <v>0.09085600000000001</v>
      </c>
      <c r="R159" s="26" t="n">
        <v>65</v>
      </c>
      <c r="S159" s="29" t="n">
        <v>1.25</v>
      </c>
      <c r="T159" s="24" t="inlineStr">
        <is>
          <t>lol-tiered-elo-v6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/>
      <c r="AA159" s="28" t="n"/>
      <c r="AB159" s="28" t="n"/>
      <c r="AC159" s="30" t="n">
        <v>1.2019</v>
      </c>
      <c r="AD159" s="24" t="inlineStr">
        <is>
          <t>2026-08-19T19:53:22.947872Z</t>
        </is>
      </c>
      <c r="AE159" s="31" t="inlineStr">
        <is>
          <t>Neutral Elo baseline; executable ask 0.5100 (market_slug=aec-lol-exe-bg-2026-08-19).</t>
        </is>
      </c>
      <c r="AF159" s="31" t="inlineStr">
        <is>
          <t>Config-promoted esports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3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Bohemian Guardians</t>
        </is>
      </c>
      <c r="AQ159" s="24" t="inlineStr">
        <is>
          <t>Bohemian Guardians</t>
        </is>
      </c>
      <c r="AR159" s="24" t="inlineStr">
        <is>
          <t>Bohemian Guardians</t>
        </is>
      </c>
      <c r="AS159" s="24" t="inlineStr">
        <is>
          <t>EXILE esports</t>
        </is>
      </c>
      <c r="AT159" s="24" t="inlineStr">
        <is>
          <t>EXILE esports</t>
        </is>
      </c>
      <c r="AU159" s="24" t="inlineStr">
        <is>
          <t>EXILE esports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a0a1778638a73e26bd459cbdea8d68c38588628db65576c5850f6750f079f4f2</t>
        </is>
      </c>
      <c r="BB159" s="24" t="inlineStr">
        <is>
          <t>neutral_elo</t>
        </is>
      </c>
      <c r="BC159" s="24" t="inlineStr">
        <is>
          <t>lol-tiered-elo-v6</t>
        </is>
      </c>
      <c r="BD159" s="24" t="inlineStr">
        <is>
          <t>a0a1778638a73e26bd459cbdea8d68c38588628db65576c5850f6750f079f4f2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lol-tiered-elo-v6</t>
        </is>
      </c>
      <c r="BH159" s="24" t="inlineStr">
        <is>
          <t>2026-08-19T13:43:25.757901Z</t>
        </is>
      </c>
      <c r="BI159" s="24" t="inlineStr">
        <is>
          <t>["same_event","same_team_same_day","same_league_same_day"]</t>
        </is>
      </c>
      <c r="BJ159" s="25" t="n"/>
      <c r="BK159" s="26" t="n">
        <v>-104</v>
      </c>
      <c r="BL159" s="27" t="n">
        <v>1.961538</v>
      </c>
      <c r="BM159" s="28" t="n">
        <v>0.509804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0.509804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f590f7a04fee4b9f</t>
        </is>
      </c>
      <c r="B160" s="24" t="inlineStr">
        <is>
          <t>2026-08-19T16:49:50.026321Z</t>
        </is>
      </c>
      <c r="C160" s="24" t="inlineStr">
        <is>
          <t>2026-08-19T17:00:00Z</t>
        </is>
      </c>
      <c r="D160" s="24" t="inlineStr">
        <is>
          <t>83323</t>
        </is>
      </c>
      <c r="E160" s="24" t="inlineStr">
        <is>
          <t>LOL</t>
        </is>
      </c>
      <c r="F160" s="24" t="inlineStr">
        <is>
          <t>Barcząca Esports</t>
        </is>
      </c>
      <c r="G160" s="24" t="inlineStr">
        <is>
          <t>DOCISK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-170</v>
      </c>
      <c r="M160" s="27" t="n">
        <v>1.588235</v>
      </c>
      <c r="N160" s="28" t="n">
        <v>0.62963</v>
      </c>
      <c r="O160" s="28" t="n">
        <v>0.5686369999999999</v>
      </c>
      <c r="P160" s="28" t="n"/>
      <c r="Q160" s="28" t="n">
        <v>-0.060993</v>
      </c>
      <c r="R160" s="26" t="n">
        <v>0</v>
      </c>
      <c r="S160" s="29" t="n">
        <v>1</v>
      </c>
      <c r="T160" s="24" t="inlineStr">
        <is>
          <t>lol-tiered-elo-v6</t>
        </is>
      </c>
      <c r="U160" s="24" t="inlineStr">
        <is>
          <t>settled</t>
        </is>
      </c>
      <c r="V160" s="24" t="inlineStr">
        <is>
          <t>loss</t>
        </is>
      </c>
      <c r="W160" s="26" t="n">
        <v>0</v>
      </c>
      <c r="X160" s="26" t="n">
        <v>1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2026-08-19T19:53:24.679443Z</t>
        </is>
      </c>
      <c r="AE160" s="31" t="inlineStr">
        <is>
          <t>Neutral Elo baseline; executable ask 0.6300 (market_slug=aec-lol-doc-bce-2026-08-19).</t>
        </is>
      </c>
      <c r="AF160" s="31" t="inlineStr">
        <is>
          <t>Config-promoted esports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Barcząca Esports</t>
        </is>
      </c>
      <c r="AQ160" s="24" t="inlineStr">
        <is>
          <t>Barcząca Esports</t>
        </is>
      </c>
      <c r="AR160" s="24" t="inlineStr">
        <is>
          <t>Barcząca Esports</t>
        </is>
      </c>
      <c r="AS160" s="24" t="inlineStr">
        <is>
          <t>DOCISK</t>
        </is>
      </c>
      <c r="AT160" s="24" t="inlineStr">
        <is>
          <t>DOCISK</t>
        </is>
      </c>
      <c r="AU160" s="24" t="inlineStr">
        <is>
          <t>DOCISK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271df65d91e41e1a249d131d89aa58fe78463c88384682d6e1e0334cb69d6d74</t>
        </is>
      </c>
      <c r="BB160" s="24" t="inlineStr">
        <is>
          <t>neutral_elo</t>
        </is>
      </c>
      <c r="BC160" s="24" t="inlineStr">
        <is>
          <t>lol-tiered-elo-v6</t>
        </is>
      </c>
      <c r="BD160" s="24" t="inlineStr">
        <is>
          <t>271df65d91e41e1a249d131d89aa58fe78463c88384682d6e1e0334cb69d6d74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lol-tiered-elo-v6</t>
        </is>
      </c>
      <c r="BH160" s="24" t="inlineStr">
        <is>
          <t>2026-08-19T16:49:45.704791Z</t>
        </is>
      </c>
      <c r="BI160" s="24" t="inlineStr">
        <is>
          <t>["same_event","same_team_same_day","same_league_same_day"]</t>
        </is>
      </c>
      <c r="BJ160" s="25" t="n"/>
      <c r="BK160" s="26" t="n">
        <v>-170</v>
      </c>
      <c r="BL160" s="27" t="n">
        <v>1.588235</v>
      </c>
      <c r="BM160" s="28" t="n">
        <v>0.62963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0.62963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91c4f472b5e74db3</t>
        </is>
      </c>
      <c r="B161" s="24" t="inlineStr">
        <is>
          <t>2026-08-19T16:49:50.026321Z</t>
        </is>
      </c>
      <c r="C161" s="24" t="inlineStr">
        <is>
          <t>2026-08-19T18:00:00Z</t>
        </is>
      </c>
      <c r="D161" s="24" t="inlineStr">
        <is>
          <t>83432</t>
        </is>
      </c>
      <c r="E161" s="24" t="inlineStr">
        <is>
          <t>LOL</t>
        </is>
      </c>
      <c r="F161" s="24" t="inlineStr">
        <is>
          <t>GD Esports</t>
        </is>
      </c>
      <c r="G161" s="24" t="inlineStr">
        <is>
          <t>Francesinhas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-144</v>
      </c>
      <c r="M161" s="27" t="n">
        <v>1.694444</v>
      </c>
      <c r="N161" s="28" t="n">
        <v>0.590164</v>
      </c>
      <c r="O161" s="28" t="n">
        <v>0.542556</v>
      </c>
      <c r="P161" s="28" t="n"/>
      <c r="Q161" s="28" t="n">
        <v>-0.047608</v>
      </c>
      <c r="R161" s="26" t="n">
        <v>0</v>
      </c>
      <c r="S161" s="29" t="n">
        <v>1</v>
      </c>
      <c r="T161" s="24" t="inlineStr">
        <is>
          <t>lol-tiered-elo-v6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/>
      <c r="AA161" s="28" t="n"/>
      <c r="AB161" s="28" t="n"/>
      <c r="AC161" s="30" t="n">
        <v>0.6944</v>
      </c>
      <c r="AD161" s="24" t="inlineStr">
        <is>
          <t>2026-08-19T23:05:59.253022Z</t>
        </is>
      </c>
      <c r="AE161" s="31" t="inlineStr">
        <is>
          <t>Neutral Elo baseline; executable ask 0.5900 (market_slug=aec-lol-fcn-gde-2026-08-19).</t>
        </is>
      </c>
      <c r="AF161" s="31" t="inlineStr">
        <is>
          <t>Config-promoted esports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GD Esports</t>
        </is>
      </c>
      <c r="AQ161" s="24" t="inlineStr">
        <is>
          <t>GD Esports</t>
        </is>
      </c>
      <c r="AR161" s="24" t="inlineStr">
        <is>
          <t>GD Esports</t>
        </is>
      </c>
      <c r="AS161" s="24" t="inlineStr">
        <is>
          <t>Francesinhas</t>
        </is>
      </c>
      <c r="AT161" s="24" t="inlineStr">
        <is>
          <t>Francesinhas</t>
        </is>
      </c>
      <c r="AU161" s="24" t="inlineStr">
        <is>
          <t>Francesinhas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271df65d91e41e1a249d131d89aa58fe78463c88384682d6e1e0334cb69d6d74</t>
        </is>
      </c>
      <c r="BB161" s="24" t="inlineStr">
        <is>
          <t>neutral_elo</t>
        </is>
      </c>
      <c r="BC161" s="24" t="inlineStr">
        <is>
          <t>lol-tiered-elo-v6</t>
        </is>
      </c>
      <c r="BD161" s="24" t="inlineStr">
        <is>
          <t>271df65d91e41e1a249d131d89aa58fe78463c88384682d6e1e0334cb69d6d74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lol-tiered-elo-v6</t>
        </is>
      </c>
      <c r="BH161" s="24" t="inlineStr">
        <is>
          <t>2026-08-19T16:49:46.226446Z</t>
        </is>
      </c>
      <c r="BI161" s="24" t="inlineStr">
        <is>
          <t>["same_event","same_team_same_day","same_league_same_day"]</t>
        </is>
      </c>
      <c r="BJ161" s="25" t="n"/>
      <c r="BK161" s="26" t="n">
        <v>-144</v>
      </c>
      <c r="BL161" s="27" t="n">
        <v>1.694444</v>
      </c>
      <c r="BM161" s="28" t="n">
        <v>0.590164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0.590164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0c9759153b684cda</t>
        </is>
      </c>
      <c r="B162" s="24" t="inlineStr">
        <is>
          <t>2026-08-19T16:49:50.026321Z</t>
        </is>
      </c>
      <c r="C162" s="24" t="inlineStr">
        <is>
          <t>2026-08-19T18:00:00Z</t>
        </is>
      </c>
      <c r="D162" s="24" t="inlineStr">
        <is>
          <t>84899</t>
        </is>
      </c>
      <c r="E162" s="24" t="inlineStr">
        <is>
          <t>LOL</t>
        </is>
      </c>
      <c r="F162" s="24" t="inlineStr">
        <is>
          <t>Lenovo Legion Honvéd</t>
        </is>
      </c>
      <c r="G162" s="24" t="inlineStr">
        <is>
          <t>⁠Hooligans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-156</v>
      </c>
      <c r="M162" s="27" t="n">
        <v>1.641026</v>
      </c>
      <c r="N162" s="28" t="n">
        <v>0.609375</v>
      </c>
      <c r="O162" s="28" t="n">
        <v>0.532814</v>
      </c>
      <c r="P162" s="28" t="n"/>
      <c r="Q162" s="28" t="n">
        <v>-0.076561</v>
      </c>
      <c r="R162" s="26" t="n">
        <v>0</v>
      </c>
      <c r="S162" s="29" t="n">
        <v>1</v>
      </c>
      <c r="T162" s="24" t="inlineStr">
        <is>
          <t>lol-tiered-elo-v6</t>
        </is>
      </c>
      <c r="U162" s="24" t="inlineStr">
        <is>
          <t>settled</t>
        </is>
      </c>
      <c r="V162" s="24" t="inlineStr">
        <is>
          <t>win</t>
        </is>
      </c>
      <c r="W162" s="26" t="n">
        <v>1</v>
      </c>
      <c r="X162" s="26" t="n">
        <v>0</v>
      </c>
      <c r="Y162" s="25" t="n"/>
      <c r="Z162" s="26" t="n"/>
      <c r="AA162" s="28" t="n"/>
      <c r="AB162" s="28" t="n"/>
      <c r="AC162" s="30" t="n">
        <v>0.641</v>
      </c>
      <c r="AD162" s="24" t="inlineStr">
        <is>
          <t>2026-08-19T23:06:00.123832Z</t>
        </is>
      </c>
      <c r="AE162" s="31" t="inlineStr">
        <is>
          <t>Neutral Elo baseline; executable ask 0.6100 (market_slug=aec-lol-hool-llh-2026-08-19).</t>
        </is>
      </c>
      <c r="AF162" s="31" t="inlineStr">
        <is>
          <t>Config-promoted esports baseline; gates enforced at log time.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Lenovo Legion Honvéd</t>
        </is>
      </c>
      <c r="AQ162" s="24" t="inlineStr">
        <is>
          <t>Lenovo Legion Honvéd</t>
        </is>
      </c>
      <c r="AR162" s="24" t="inlineStr">
        <is>
          <t>Lenovo Legion Honvéd</t>
        </is>
      </c>
      <c r="AS162" s="24" t="inlineStr">
        <is>
          <t>⁠Hooligans</t>
        </is>
      </c>
      <c r="AT162" s="24" t="inlineStr">
        <is>
          <t>⁠Hooligans</t>
        </is>
      </c>
      <c r="AU162" s="24" t="inlineStr">
        <is>
          <t>⁠Hooligans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271df65d91e41e1a249d131d89aa58fe78463c88384682d6e1e0334cb69d6d74</t>
        </is>
      </c>
      <c r="BB162" s="24" t="inlineStr">
        <is>
          <t>neutral_elo</t>
        </is>
      </c>
      <c r="BC162" s="24" t="inlineStr">
        <is>
          <t>lol-tiered-elo-v6</t>
        </is>
      </c>
      <c r="BD162" s="24" t="inlineStr">
        <is>
          <t>271df65d91e41e1a249d131d89aa58fe78463c88384682d6e1e0334cb69d6d74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lol-tiered-elo-v6</t>
        </is>
      </c>
      <c r="BH162" s="24" t="inlineStr">
        <is>
          <t>2026-08-19T16:49:46.421205Z</t>
        </is>
      </c>
      <c r="BI162" s="24" t="inlineStr">
        <is>
          <t>["same_event","same_team_same_day","same_league_same_day"]</t>
        </is>
      </c>
      <c r="BJ162" s="25" t="n"/>
      <c r="BK162" s="26" t="n">
        <v>-156</v>
      </c>
      <c r="BL162" s="27" t="n">
        <v>1.641026</v>
      </c>
      <c r="BM162" s="28" t="n">
        <v>0.609375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0.609375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e71c24aa8db14893</t>
        </is>
      </c>
      <c r="B163" s="24" t="inlineStr">
        <is>
          <t>2026-08-19T16:49:50.026321Z</t>
        </is>
      </c>
      <c r="C163" s="24" t="inlineStr">
        <is>
          <t>2026-08-19T19:00:00Z</t>
        </is>
      </c>
      <c r="D163" s="24" t="inlineStr">
        <is>
          <t>83734</t>
        </is>
      </c>
      <c r="E163" s="24" t="inlineStr">
        <is>
          <t>LOL</t>
        </is>
      </c>
      <c r="F163" s="24" t="inlineStr">
        <is>
          <t>Skillcamp Esport</t>
        </is>
      </c>
      <c r="G163" s="24" t="inlineStr">
        <is>
          <t>Joblife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-186</v>
      </c>
      <c r="M163" s="27" t="n">
        <v>1.537634</v>
      </c>
      <c r="N163" s="28" t="n">
        <v>0.65035</v>
      </c>
      <c r="O163" s="28" t="n">
        <v>0.509324</v>
      </c>
      <c r="P163" s="28" t="n"/>
      <c r="Q163" s="28" t="n">
        <v>-0.141026</v>
      </c>
      <c r="R163" s="26" t="n">
        <v>0</v>
      </c>
      <c r="S163" s="29" t="n">
        <v>1</v>
      </c>
      <c r="T163" s="24" t="inlineStr">
        <is>
          <t>lol-tiered-elo-v6</t>
        </is>
      </c>
      <c r="U163" s="24" t="inlineStr">
        <is>
          <t>settled</t>
        </is>
      </c>
      <c r="V163" s="24" t="inlineStr">
        <is>
          <t>loss</t>
        </is>
      </c>
      <c r="W163" s="26" t="n">
        <v>1</v>
      </c>
      <c r="X163" s="26" t="n">
        <v>0</v>
      </c>
      <c r="Y163" s="25" t="n"/>
      <c r="Z163" s="26" t="n"/>
      <c r="AA163" s="28" t="n"/>
      <c r="AB163" s="28" t="n"/>
      <c r="AC163" s="30" t="n">
        <v>-1</v>
      </c>
      <c r="AD163" s="24" t="inlineStr">
        <is>
          <t>2026-08-19T19:53:26.073461Z</t>
        </is>
      </c>
      <c r="AE163" s="31" t="inlineStr">
        <is>
          <t>Neutral Elo baseline; executable ask 0.6500 (market_slug=aec-lol-jl-sc-2026-08-19).</t>
        </is>
      </c>
      <c r="AF163" s="31" t="inlineStr">
        <is>
          <t>Config-promoted esports baseline; gates enforced at log time.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Skillcamp Esport</t>
        </is>
      </c>
      <c r="AQ163" s="24" t="inlineStr">
        <is>
          <t>Skillcamp Esport</t>
        </is>
      </c>
      <c r="AR163" s="24" t="inlineStr">
        <is>
          <t>Skillcamp Esport</t>
        </is>
      </c>
      <c r="AS163" s="24" t="inlineStr">
        <is>
          <t>Joblife</t>
        </is>
      </c>
      <c r="AT163" s="24" t="inlineStr">
        <is>
          <t>Joblife</t>
        </is>
      </c>
      <c r="AU163" s="24" t="inlineStr">
        <is>
          <t>Joblife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271df65d91e41e1a249d131d89aa58fe78463c88384682d6e1e0334cb69d6d74</t>
        </is>
      </c>
      <c r="BB163" s="24" t="inlineStr">
        <is>
          <t>neutral_elo</t>
        </is>
      </c>
      <c r="BC163" s="24" t="inlineStr">
        <is>
          <t>lol-tiered-elo-v6</t>
        </is>
      </c>
      <c r="BD163" s="24" t="inlineStr">
        <is>
          <t>271df65d91e41e1a249d131d89aa58fe78463c88384682d6e1e0334cb69d6d74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lol-tiered-elo-v6</t>
        </is>
      </c>
      <c r="BH163" s="24" t="inlineStr">
        <is>
          <t>2026-08-19T16:49:46.683834Z</t>
        </is>
      </c>
      <c r="BI163" s="24" t="inlineStr">
        <is>
          <t>["same_event","same_team_same_day","same_league_same_day"]</t>
        </is>
      </c>
      <c r="BJ163" s="25" t="n"/>
      <c r="BK163" s="26" t="n">
        <v>-186</v>
      </c>
      <c r="BL163" s="27" t="n">
        <v>1.537634</v>
      </c>
      <c r="BM163" s="28" t="n">
        <v>0.65035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0.65035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36fdd5ceeccc41d3</t>
        </is>
      </c>
      <c r="B164" s="24" t="inlineStr">
        <is>
          <t>2026-08-19T19:56:01.349561Z</t>
        </is>
      </c>
      <c r="C164" s="24" t="inlineStr">
        <is>
          <t>2026-08-19T21:00:00Z</t>
        </is>
      </c>
      <c r="D164" s="24" t="inlineStr">
        <is>
          <t>83838</t>
        </is>
      </c>
      <c r="E164" s="24" t="inlineStr">
        <is>
          <t>LOL</t>
        </is>
      </c>
      <c r="F164" s="24" t="inlineStr">
        <is>
          <t>Tung Tung Bogi</t>
        </is>
      </c>
      <c r="G164" s="24" t="inlineStr">
        <is>
          <t>Way Gaming Esports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-122</v>
      </c>
      <c r="M164" s="27" t="n">
        <v>1.819672</v>
      </c>
      <c r="N164" s="28" t="n">
        <v>0.54955</v>
      </c>
      <c r="O164" s="28" t="n">
        <v>0.512927</v>
      </c>
      <c r="P164" s="28" t="n"/>
      <c r="Q164" s="28" t="n">
        <v>-0.036623</v>
      </c>
      <c r="R164" s="26" t="n">
        <v>2</v>
      </c>
      <c r="S164" s="29" t="n">
        <v>1</v>
      </c>
      <c r="T164" s="24" t="inlineStr">
        <is>
          <t>lol-tiered-elo-v6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/>
      <c r="AA164" s="28" t="n"/>
      <c r="AB164" s="28" t="n"/>
      <c r="AC164" s="30" t="n">
        <v>0.8197</v>
      </c>
      <c r="AD164" s="24" t="inlineStr">
        <is>
          <t>2026-08-19T23:06:01.000331Z</t>
        </is>
      </c>
      <c r="AE164" s="31" t="inlineStr">
        <is>
          <t>Neutral Elo baseline; executable ask 0.5500 (market_slug=aec-lol-wge-tung-2026-08-19).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Tung Tung Bogi</t>
        </is>
      </c>
      <c r="AQ164" s="24" t="inlineStr">
        <is>
          <t>Tung Tung Bogi</t>
        </is>
      </c>
      <c r="AR164" s="24" t="inlineStr">
        <is>
          <t>Tung Tung Bogi</t>
        </is>
      </c>
      <c r="AS164" s="24" t="inlineStr">
        <is>
          <t>Way Gaming Esports</t>
        </is>
      </c>
      <c r="AT164" s="24" t="inlineStr">
        <is>
          <t>Way Gaming Esports</t>
        </is>
      </c>
      <c r="AU164" s="24" t="inlineStr">
        <is>
          <t>Way Gaming Esports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85cad25f2f8a887c235a9524677bfa6dfd591bcbc22f2bf4f2a8051d4acdc0d9</t>
        </is>
      </c>
      <c r="BB164" s="24" t="inlineStr">
        <is>
          <t>neutral_elo</t>
        </is>
      </c>
      <c r="BC164" s="24" t="inlineStr">
        <is>
          <t>lol-tiered-elo-v6</t>
        </is>
      </c>
      <c r="BD164" s="24" t="inlineStr">
        <is>
          <t>85cad25f2f8a887c235a9524677bfa6dfd591bcbc22f2bf4f2a8051d4acdc0d9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lol-tiered-elo-v6</t>
        </is>
      </c>
      <c r="BH164" s="24" t="inlineStr">
        <is>
          <t>2026-08-19T19:55:57.577574Z</t>
        </is>
      </c>
      <c r="BI164" s="24" t="inlineStr">
        <is>
          <t>["same_event","same_team_same_day","same_league_same_day"]</t>
        </is>
      </c>
      <c r="BJ164" s="25" t="n"/>
      <c r="BK164" s="26" t="n">
        <v>-122</v>
      </c>
      <c r="BL164" s="27" t="n">
        <v>1.819672</v>
      </c>
      <c r="BM164" s="28" t="n">
        <v>0.54955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0.54955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2ffcee5736b44067</t>
        </is>
      </c>
      <c r="B165" s="24" t="inlineStr">
        <is>
          <t>2026-08-20T02:31:58.995545Z</t>
        </is>
      </c>
      <c r="C165" s="24" t="inlineStr">
        <is>
          <t>2026-08-20T05:00:00Z</t>
        </is>
      </c>
      <c r="D165" s="24" t="inlineStr">
        <is>
          <t>84040</t>
        </is>
      </c>
      <c r="E165" s="24" t="inlineStr">
        <is>
          <t>LOL</t>
        </is>
      </c>
      <c r="F165" s="24" t="inlineStr">
        <is>
          <t>DN SOOPers Challengers</t>
        </is>
      </c>
      <c r="G165" s="24" t="inlineStr">
        <is>
          <t>Dplus KIA Challengers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-138</v>
      </c>
      <c r="M165" s="27" t="n">
        <v>1.724638</v>
      </c>
      <c r="N165" s="28" t="n">
        <v>0.579832</v>
      </c>
      <c r="O165" s="28" t="n">
        <v>0.726244</v>
      </c>
      <c r="P165" s="28" t="n"/>
      <c r="Q165" s="28" t="n">
        <v>0.146412</v>
      </c>
      <c r="R165" s="26" t="n">
        <v>93</v>
      </c>
      <c r="S165" s="29" t="n">
        <v>2</v>
      </c>
      <c r="T165" s="24" t="inlineStr">
        <is>
          <t>lol-tiered-elo-v6</t>
        </is>
      </c>
      <c r="U165" s="24" t="inlineStr">
        <is>
          <t>settled</t>
        </is>
      </c>
      <c r="V165" s="24" t="inlineStr">
        <is>
          <t>win</t>
        </is>
      </c>
      <c r="W165" s="26" t="n">
        <v>0</v>
      </c>
      <c r="X165" s="26" t="n">
        <v>1</v>
      </c>
      <c r="Y165" s="25" t="n"/>
      <c r="Z165" s="26" t="n"/>
      <c r="AA165" s="28" t="n"/>
      <c r="AB165" s="28" t="n"/>
      <c r="AC165" s="30" t="n">
        <v>1.4493</v>
      </c>
      <c r="AD165" s="24" t="inlineStr">
        <is>
          <t>2026-08-20T09:39:36.735737Z</t>
        </is>
      </c>
      <c r="AE165" s="31" t="inlineStr">
        <is>
          <t>Neutral Elo baseline; executable ask 0.5800 (market_slug=aec-lol-dkc-dnsc-2026-08-20).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3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DN SOOPers Challengers</t>
        </is>
      </c>
      <c r="AQ165" s="24" t="inlineStr">
        <is>
          <t>DN SOOPers Challengers</t>
        </is>
      </c>
      <c r="AR165" s="24" t="inlineStr">
        <is>
          <t>DN SOOPers Challengers</t>
        </is>
      </c>
      <c r="AS165" s="24" t="inlineStr">
        <is>
          <t>Dplus KIA Challengers</t>
        </is>
      </c>
      <c r="AT165" s="24" t="inlineStr">
        <is>
          <t>Dplus KIA Challengers</t>
        </is>
      </c>
      <c r="AU165" s="24" t="inlineStr">
        <is>
          <t>Dplus KIA Challengers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76ac9792fcab4cfbe90ac584b5aaa6c64818b6ba51d5541cf9a7f9300dda6302</t>
        </is>
      </c>
      <c r="BB165" s="24" t="inlineStr">
        <is>
          <t>neutral_elo</t>
        </is>
      </c>
      <c r="BC165" s="24" t="inlineStr">
        <is>
          <t>lol-tiered-elo-v6</t>
        </is>
      </c>
      <c r="BD165" s="24" t="inlineStr">
        <is>
          <t>76ac9792fcab4cfbe90ac584b5aaa6c64818b6ba51d5541cf9a7f9300dda6302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lol-tiered-elo-v6</t>
        </is>
      </c>
      <c r="BH165" s="24" t="inlineStr">
        <is>
          <t>2026-08-20T02:31:55.886493Z</t>
        </is>
      </c>
      <c r="BI165" s="24" t="inlineStr">
        <is>
          <t>["same_event","same_team_same_day","same_league_same_day"]</t>
        </is>
      </c>
      <c r="BJ165" s="25" t="n"/>
      <c r="BK165" s="26" t="n">
        <v>-138</v>
      </c>
      <c r="BL165" s="27" t="n">
        <v>1.724638</v>
      </c>
      <c r="BM165" s="28" t="n">
        <v>0.579832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0.579832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170c264881f24afb</t>
        </is>
      </c>
      <c r="B166" s="24" t="inlineStr">
        <is>
          <t>2026-08-20T05:36:58.913253Z</t>
        </is>
      </c>
      <c r="C166" s="24" t="inlineStr">
        <is>
          <t>2026-08-20T08:00:00Z</t>
        </is>
      </c>
      <c r="D166" s="24" t="inlineStr">
        <is>
          <t>84044</t>
        </is>
      </c>
      <c r="E166" s="24" t="inlineStr">
        <is>
          <t>LOL</t>
        </is>
      </c>
      <c r="F166" s="24" t="inlineStr">
        <is>
          <t>Hanwha Life Esports</t>
        </is>
      </c>
      <c r="G166" s="24" t="inlineStr">
        <is>
          <t>Dplus KIA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113</v>
      </c>
      <c r="M166" s="27" t="n">
        <v>2.13</v>
      </c>
      <c r="N166" s="28" t="n">
        <v>0.469484</v>
      </c>
      <c r="O166" s="28" t="n">
        <v>0.54874</v>
      </c>
      <c r="P166" s="28" t="n"/>
      <c r="Q166" s="28" t="n">
        <v>0.07925599999999999</v>
      </c>
      <c r="R166" s="26" t="n">
        <v>60</v>
      </c>
      <c r="S166" s="29" t="n">
        <v>1</v>
      </c>
      <c r="T166" s="24" t="inlineStr">
        <is>
          <t>lol-tiered-elo-v6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113</v>
      </c>
      <c r="AA166" s="28" t="n">
        <v>0.47</v>
      </c>
      <c r="AB166" s="28" t="n">
        <v>0.000516</v>
      </c>
      <c r="AC166" s="30" t="n">
        <v>-1</v>
      </c>
      <c r="AD166" s="24" t="inlineStr">
        <is>
          <t>2026-08-20T12:45:11.893943Z</t>
        </is>
      </c>
      <c r="AE166" s="31" t="inlineStr">
        <is>
          <t>Neutral Elo baseline; executable ask 0.4700 (market_slug=aec-lol-dk-hle-2026-08-20).</t>
        </is>
      </c>
      <c r="AF166" s="31" t="inlineStr">
        <is>
          <t>Config-promoted esports baseline; gates enforced at log time.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Hanwha Life Esports</t>
        </is>
      </c>
      <c r="AQ166" s="24" t="inlineStr">
        <is>
          <t>Hanwha Life Esports</t>
        </is>
      </c>
      <c r="AR166" s="24" t="inlineStr">
        <is>
          <t>Hanwha Life Esports</t>
        </is>
      </c>
      <c r="AS166" s="24" t="inlineStr">
        <is>
          <t>Dplus KIA</t>
        </is>
      </c>
      <c r="AT166" s="24" t="inlineStr">
        <is>
          <t>Dplus KIA</t>
        </is>
      </c>
      <c r="AU166" s="24" t="inlineStr">
        <is>
          <t>Dplus KIA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59484f1f3bbce544de32b43610de15f15c90e28c4923f9be6586d69bca01fc87</t>
        </is>
      </c>
      <c r="BB166" s="24" t="inlineStr">
        <is>
          <t>neutral_elo</t>
        </is>
      </c>
      <c r="BC166" s="24" t="inlineStr">
        <is>
          <t>lol-tiered-elo-v6</t>
        </is>
      </c>
      <c r="BD166" s="24" t="inlineStr">
        <is>
          <t>59484f1f3bbce544de32b43610de15f15c90e28c4923f9be6586d69bca01fc87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lol-tiered-elo-v6</t>
        </is>
      </c>
      <c r="BH166" s="24" t="inlineStr">
        <is>
          <t>2026-08-20T05:36:52.664318Z</t>
        </is>
      </c>
      <c r="BI166" s="24" t="inlineStr">
        <is>
          <t>["same_event","same_team_same_day","same_league_same_day"]</t>
        </is>
      </c>
      <c r="BJ166" s="25" t="n"/>
      <c r="BK166" s="26" t="n">
        <v>113</v>
      </c>
      <c r="BL166" s="27" t="n">
        <v>2.13</v>
      </c>
      <c r="BM166" s="28" t="n">
        <v>0.469484</v>
      </c>
      <c r="BN166" s="28" t="n"/>
      <c r="BO166" s="28" t="n"/>
      <c r="BP166" s="25" t="n"/>
      <c r="BQ166" s="27" t="n">
        <v>2.13</v>
      </c>
      <c r="BR166" s="28" t="n">
        <v>0.47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0.469484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0e38ad2bde214ed5</t>
        </is>
      </c>
      <c r="B167" s="24" t="inlineStr">
        <is>
          <t>2026-08-20T05:36:58.913253Z</t>
        </is>
      </c>
      <c r="C167" s="24" t="inlineStr">
        <is>
          <t>2026-08-20T09:00:00Z</t>
        </is>
      </c>
      <c r="D167" s="24" t="inlineStr">
        <is>
          <t>84069</t>
        </is>
      </c>
      <c r="E167" s="24" t="inlineStr">
        <is>
          <t>LOL</t>
        </is>
      </c>
      <c r="F167" s="24" t="inlineStr">
        <is>
          <t>MVK Esports</t>
        </is>
      </c>
      <c r="G167" s="24" t="inlineStr">
        <is>
          <t>CTBC Flying Oyster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-144</v>
      </c>
      <c r="M167" s="27" t="n">
        <v>1.694444</v>
      </c>
      <c r="N167" s="28" t="n">
        <v>0.590164</v>
      </c>
      <c r="O167" s="28" t="n">
        <v>0.612432</v>
      </c>
      <c r="P167" s="28" t="n"/>
      <c r="Q167" s="28" t="n">
        <v>0.022268</v>
      </c>
      <c r="R167" s="26" t="n">
        <v>31</v>
      </c>
      <c r="S167" s="29" t="n">
        <v>1.5</v>
      </c>
      <c r="T167" s="24" t="inlineStr">
        <is>
          <t>lol-tiered-elo-v6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-144</v>
      </c>
      <c r="AA167" s="28" t="n">
        <v>0.59</v>
      </c>
      <c r="AB167" s="28" t="n">
        <v>-0.000164</v>
      </c>
      <c r="AC167" s="30" t="n">
        <v>1.0417</v>
      </c>
      <c r="AD167" s="24" t="inlineStr">
        <is>
          <t>2026-08-20T12:45:12.974373Z</t>
        </is>
      </c>
      <c r="AE167" s="31" t="inlineStr">
        <is>
          <t>Neutral Elo baseline; executable ask 0.5900 (market_slug=aec-lol-cfo-mvk-2026-08-20).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MVK Esports</t>
        </is>
      </c>
      <c r="AQ167" s="24" t="inlineStr">
        <is>
          <t>MVK Esports</t>
        </is>
      </c>
      <c r="AR167" s="24" t="inlineStr">
        <is>
          <t>MVK Esports</t>
        </is>
      </c>
      <c r="AS167" s="24" t="inlineStr">
        <is>
          <t>CTBC Flying Oyster</t>
        </is>
      </c>
      <c r="AT167" s="24" t="inlineStr">
        <is>
          <t>CTBC Flying Oyster</t>
        </is>
      </c>
      <c r="AU167" s="24" t="inlineStr">
        <is>
          <t>CTBC Flying Oyster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59484f1f3bbce544de32b43610de15f15c90e28c4923f9be6586d69bca01fc87</t>
        </is>
      </c>
      <c r="BB167" s="24" t="inlineStr">
        <is>
          <t>neutral_elo</t>
        </is>
      </c>
      <c r="BC167" s="24" t="inlineStr">
        <is>
          <t>lol-tiered-elo-v6</t>
        </is>
      </c>
      <c r="BD167" s="24" t="inlineStr">
        <is>
          <t>59484f1f3bbce544de32b43610de15f15c90e28c4923f9be6586d69bca01fc87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lol-tiered-elo-v6</t>
        </is>
      </c>
      <c r="BH167" s="24" t="inlineStr">
        <is>
          <t>2026-08-20T05:36:52.912270Z</t>
        </is>
      </c>
      <c r="BI167" s="24" t="inlineStr">
        <is>
          <t>["same_event","same_team_same_day","same_league_same_day"]</t>
        </is>
      </c>
      <c r="BJ167" s="25" t="n"/>
      <c r="BK167" s="26" t="n">
        <v>-144</v>
      </c>
      <c r="BL167" s="27" t="n">
        <v>1.694444</v>
      </c>
      <c r="BM167" s="28" t="n">
        <v>0.590164</v>
      </c>
      <c r="BN167" s="28" t="n"/>
      <c r="BO167" s="28" t="n"/>
      <c r="BP167" s="25" t="n"/>
      <c r="BQ167" s="27" t="n">
        <v>1.694444</v>
      </c>
      <c r="BR167" s="28" t="n">
        <v>0.59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0.590164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f2c335513e884e67</t>
        </is>
      </c>
      <c r="B168" s="24" t="inlineStr">
        <is>
          <t>2026-08-20T09:42:20.837093Z</t>
        </is>
      </c>
      <c r="C168" s="24" t="inlineStr">
        <is>
          <t>2026-08-20T10:00:00Z</t>
        </is>
      </c>
      <c r="D168" s="24" t="inlineStr">
        <is>
          <t>84090</t>
        </is>
      </c>
      <c r="E168" s="24" t="inlineStr">
        <is>
          <t>LOL</t>
        </is>
      </c>
      <c r="F168" s="24" t="inlineStr">
        <is>
          <t>Kiwoom DRX</t>
        </is>
      </c>
      <c r="G168" s="24" t="inlineStr">
        <is>
          <t>Nongshim Red Force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-138</v>
      </c>
      <c r="M168" s="27" t="n">
        <v>1.724638</v>
      </c>
      <c r="N168" s="28" t="n">
        <v>0.579832</v>
      </c>
      <c r="O168" s="28" t="n">
        <v>0.659064</v>
      </c>
      <c r="P168" s="28" t="n"/>
      <c r="Q168" s="28" t="n">
        <v>0.079232</v>
      </c>
      <c r="R168" s="26" t="n">
        <v>60</v>
      </c>
      <c r="S168" s="29" t="n">
        <v>1.75</v>
      </c>
      <c r="T168" s="24" t="inlineStr">
        <is>
          <t>lol-tiered-elo-v6</t>
        </is>
      </c>
      <c r="U168" s="24" t="inlineStr">
        <is>
          <t>settled</t>
        </is>
      </c>
      <c r="V168" s="24" t="inlineStr">
        <is>
          <t>win</t>
        </is>
      </c>
      <c r="W168" s="26" t="n">
        <v>0</v>
      </c>
      <c r="X168" s="26" t="n">
        <v>1</v>
      </c>
      <c r="Y168" s="25" t="n"/>
      <c r="Z168" s="26" t="n">
        <v>-138</v>
      </c>
      <c r="AA168" s="28" t="n">
        <v>0.58</v>
      </c>
      <c r="AB168" s="28" t="n">
        <v>0.000168</v>
      </c>
      <c r="AC168" s="30" t="n">
        <v>1.2681</v>
      </c>
      <c r="AD168" s="24" t="inlineStr">
        <is>
          <t>2026-08-20T12:45:14.008074Z</t>
        </is>
      </c>
      <c r="AE168" s="31" t="inlineStr">
        <is>
          <t>Neutral Elo baseline; executable ask 0.5800 (market_slug=aec-lol-ns-krx-2026-08-20).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Kiwoom DRX</t>
        </is>
      </c>
      <c r="AQ168" s="24" t="inlineStr">
        <is>
          <t>Kiwoom DRX</t>
        </is>
      </c>
      <c r="AR168" s="24" t="inlineStr">
        <is>
          <t>Kiwoom DRX</t>
        </is>
      </c>
      <c r="AS168" s="24" t="inlineStr">
        <is>
          <t>Nongshim Red Force</t>
        </is>
      </c>
      <c r="AT168" s="24" t="inlineStr">
        <is>
          <t>Nongshim Red Force</t>
        </is>
      </c>
      <c r="AU168" s="24" t="inlineStr">
        <is>
          <t>Nongshim Red Force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01d29e907390a4b721a05fc224b95100de95b69eccadbd70573e7c49138b1489</t>
        </is>
      </c>
      <c r="BB168" s="24" t="inlineStr">
        <is>
          <t>neutral_elo</t>
        </is>
      </c>
      <c r="BC168" s="24" t="inlineStr">
        <is>
          <t>lol-tiered-elo-v6</t>
        </is>
      </c>
      <c r="BD168" s="24" t="inlineStr">
        <is>
          <t>01d29e907390a4b721a05fc224b95100de95b69eccadbd70573e7c49138b1489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lol-tiered-elo-v6</t>
        </is>
      </c>
      <c r="BH168" s="24" t="inlineStr">
        <is>
          <t>2026-08-20T09:42:14.700565Z</t>
        </is>
      </c>
      <c r="BI168" s="24" t="inlineStr">
        <is>
          <t>["same_event","same_team_same_day","same_league_same_day"]</t>
        </is>
      </c>
      <c r="BJ168" s="25" t="n"/>
      <c r="BK168" s="26" t="n">
        <v>-138</v>
      </c>
      <c r="BL168" s="27" t="n">
        <v>1.724638</v>
      </c>
      <c r="BM168" s="28" t="n">
        <v>0.579832</v>
      </c>
      <c r="BN168" s="28" t="n"/>
      <c r="BO168" s="28" t="n"/>
      <c r="BP168" s="25" t="n"/>
      <c r="BQ168" s="27" t="n">
        <v>1.724638</v>
      </c>
      <c r="BR168" s="28" t="n">
        <v>0.58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0.579832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eda523aa39904037</t>
        </is>
      </c>
      <c r="B169" s="24" t="inlineStr">
        <is>
          <t>2026-08-20T12:48:03.220943Z</t>
        </is>
      </c>
      <c r="C169" s="24" t="inlineStr">
        <is>
          <t>2026-08-20T14:00:00Z</t>
        </is>
      </c>
      <c r="D169" s="24" t="inlineStr">
        <is>
          <t>87147</t>
        </is>
      </c>
      <c r="E169" s="24" t="inlineStr">
        <is>
          <t>LOL</t>
        </is>
      </c>
      <c r="F169" s="24" t="inlineStr">
        <is>
          <t>Bubliki</t>
        </is>
      </c>
      <c r="G169" s="24" t="inlineStr">
        <is>
          <t>Capybara Esports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108</v>
      </c>
      <c r="M169" s="27" t="n">
        <v>2.08</v>
      </c>
      <c r="N169" s="28" t="n">
        <v>0.480769</v>
      </c>
      <c r="O169" s="28" t="n">
        <v>0.513514</v>
      </c>
      <c r="P169" s="28" t="n"/>
      <c r="Q169" s="28" t="n">
        <v>0.032745</v>
      </c>
      <c r="R169" s="26" t="n">
        <v>36</v>
      </c>
      <c r="S169" s="29" t="n">
        <v>1</v>
      </c>
      <c r="T169" s="24" t="inlineStr">
        <is>
          <t>lol-tiered-elo-v6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0</v>
      </c>
      <c r="Y169" s="25" t="n"/>
      <c r="Z169" s="26" t="n">
        <v>108</v>
      </c>
      <c r="AA169" s="28" t="n">
        <v>0.48</v>
      </c>
      <c r="AB169" s="28" t="n">
        <v>-0.000769</v>
      </c>
      <c r="AC169" s="30" t="n">
        <v>-1</v>
      </c>
      <c r="AD169" s="24" t="inlineStr">
        <is>
          <t>2026-08-20T18:55:36.026475Z</t>
        </is>
      </c>
      <c r="AE169" s="31" t="inlineStr">
        <is>
          <t>Neutral Elo baseline; executable ask 0.4800 (market_slug=aec-lol-capy-bub-2026-08-20).</t>
        </is>
      </c>
      <c r="AF169" s="31" t="inlineStr">
        <is>
          <t>Config-promoted esports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Bubliki</t>
        </is>
      </c>
      <c r="AQ169" s="24" t="inlineStr">
        <is>
          <t>Bubliki</t>
        </is>
      </c>
      <c r="AR169" s="24" t="inlineStr">
        <is>
          <t>Bubliki</t>
        </is>
      </c>
      <c r="AS169" s="24" t="inlineStr">
        <is>
          <t>Capybara Esports</t>
        </is>
      </c>
      <c r="AT169" s="24" t="inlineStr">
        <is>
          <t>Capybara Esports</t>
        </is>
      </c>
      <c r="AU169" s="24" t="inlineStr">
        <is>
          <t>Capybara Esports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955133f669b587c2d4dc187188e1f7cb1742114edfec69af109fe3cb47b6c5ae</t>
        </is>
      </c>
      <c r="BB169" s="24" t="inlineStr">
        <is>
          <t>neutral_elo</t>
        </is>
      </c>
      <c r="BC169" s="24" t="inlineStr">
        <is>
          <t>lol-tiered-elo-v6</t>
        </is>
      </c>
      <c r="BD169" s="24" t="inlineStr">
        <is>
          <t>955133f669b587c2d4dc187188e1f7cb1742114edfec69af109fe3cb47b6c5ae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lol-tiered-elo-v6</t>
        </is>
      </c>
      <c r="BH169" s="24" t="inlineStr">
        <is>
          <t>2026-08-20T12:47:57.388780Z</t>
        </is>
      </c>
      <c r="BI169" s="24" t="inlineStr">
        <is>
          <t>["same_event","same_team_same_day","same_league_same_day"]</t>
        </is>
      </c>
      <c r="BJ169" s="25" t="n"/>
      <c r="BK169" s="26" t="n">
        <v>108</v>
      </c>
      <c r="BL169" s="27" t="n">
        <v>2.08</v>
      </c>
      <c r="BM169" s="28" t="n">
        <v>0.480769</v>
      </c>
      <c r="BN169" s="28" t="n"/>
      <c r="BO169" s="28" t="n"/>
      <c r="BP169" s="25" t="n"/>
      <c r="BQ169" s="27" t="n">
        <v>2.08</v>
      </c>
      <c r="BR169" s="28" t="n">
        <v>0.48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0.480769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396dfb99e5fb40f9</t>
        </is>
      </c>
      <c r="B170" s="24" t="inlineStr">
        <is>
          <t>2026-08-20T15:52:54.808855Z</t>
        </is>
      </c>
      <c r="C170" s="24" t="inlineStr">
        <is>
          <t>2026-08-20T16:00:00Z</t>
        </is>
      </c>
      <c r="D170" s="24" t="inlineStr">
        <is>
          <t>86427</t>
        </is>
      </c>
      <c r="E170" s="24" t="inlineStr">
        <is>
          <t>LOL</t>
        </is>
      </c>
      <c r="F170" s="24" t="inlineStr">
        <is>
          <t>Team Heretics Academy</t>
        </is>
      </c>
      <c r="G170" s="24" t="inlineStr">
        <is>
          <t>⁠Movistar KOI Fénix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108</v>
      </c>
      <c r="M170" s="27" t="n">
        <v>2.08</v>
      </c>
      <c r="N170" s="28" t="n">
        <v>0.480769</v>
      </c>
      <c r="O170" s="28" t="n">
        <v>0.51072</v>
      </c>
      <c r="P170" s="28" t="n"/>
      <c r="Q170" s="28" t="n">
        <v>0.029951</v>
      </c>
      <c r="R170" s="26" t="n">
        <v>35</v>
      </c>
      <c r="S170" s="29" t="n">
        <v>1</v>
      </c>
      <c r="T170" s="24" t="inlineStr">
        <is>
          <t>lol-tiered-elo-v6</t>
        </is>
      </c>
      <c r="U170" s="24" t="inlineStr">
        <is>
          <t>settled</t>
        </is>
      </c>
      <c r="V170" s="24" t="inlineStr">
        <is>
          <t>loss</t>
        </is>
      </c>
      <c r="W170" s="26" t="n">
        <v>0</v>
      </c>
      <c r="X170" s="26" t="n">
        <v>1</v>
      </c>
      <c r="Y170" s="25" t="n"/>
      <c r="Z170" s="26" t="n">
        <v>108</v>
      </c>
      <c r="AA170" s="28" t="n">
        <v>0.48</v>
      </c>
      <c r="AB170" s="28" t="n">
        <v>-0.000769</v>
      </c>
      <c r="AC170" s="30" t="n">
        <v>-1</v>
      </c>
      <c r="AD170" s="24" t="inlineStr">
        <is>
          <t>2026-08-20T22:22:15.432395Z</t>
        </is>
      </c>
      <c r="AE170" s="31" t="inlineStr">
        <is>
          <t>Neutral Elo baseline; executable ask 0.4800 (market_slug=aec-lol-mkf-hrts-2026-08-20).</t>
        </is>
      </c>
      <c r="AF170" s="31" t="inlineStr">
        <is>
          <t>Config-promoted esports baseline; gates enforced at log time.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3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Team Heretics Academy</t>
        </is>
      </c>
      <c r="AQ170" s="24" t="inlineStr">
        <is>
          <t>Team Heretics Academy</t>
        </is>
      </c>
      <c r="AR170" s="24" t="inlineStr">
        <is>
          <t>Team Heretics Academy</t>
        </is>
      </c>
      <c r="AS170" s="24" t="inlineStr">
        <is>
          <t>⁠Movistar KOI Fénix</t>
        </is>
      </c>
      <c r="AT170" s="24" t="inlineStr">
        <is>
          <t>⁠Movistar KOI Fénix</t>
        </is>
      </c>
      <c r="AU170" s="24" t="inlineStr">
        <is>
          <t>⁠Movistar KOI Fénix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ff279fe603df702f6b4d6c1df5bb006ee6c294e2b6eb4e88756fe86b9138aea2</t>
        </is>
      </c>
      <c r="BB170" s="24" t="inlineStr">
        <is>
          <t>neutral_elo</t>
        </is>
      </c>
      <c r="BC170" s="24" t="inlineStr">
        <is>
          <t>lol-tiered-elo-v6</t>
        </is>
      </c>
      <c r="BD170" s="24" t="inlineStr">
        <is>
          <t>ff279fe603df702f6b4d6c1df5bb006ee6c294e2b6eb4e88756fe86b9138aea2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lol-tiered-elo-v6</t>
        </is>
      </c>
      <c r="BH170" s="24" t="inlineStr">
        <is>
          <t>2026-08-20T15:52:49.949113Z</t>
        </is>
      </c>
      <c r="BI170" s="24" t="inlineStr">
        <is>
          <t>["same_event","same_team_same_day","same_league_same_day"]</t>
        </is>
      </c>
      <c r="BJ170" s="25" t="n"/>
      <c r="BK170" s="26" t="n">
        <v>108</v>
      </c>
      <c r="BL170" s="27" t="n">
        <v>2.08</v>
      </c>
      <c r="BM170" s="28" t="n">
        <v>0.480769</v>
      </c>
      <c r="BN170" s="28" t="n"/>
      <c r="BO170" s="28" t="n"/>
      <c r="BP170" s="25" t="n"/>
      <c r="BQ170" s="27" t="n">
        <v>2.08</v>
      </c>
      <c r="BR170" s="28" t="n">
        <v>0.48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0.480769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c38cc8c596494192</t>
        </is>
      </c>
      <c r="B171" s="24" t="inlineStr">
        <is>
          <t>2026-08-20T15:52:54.808855Z</t>
        </is>
      </c>
      <c r="C171" s="24" t="inlineStr">
        <is>
          <t>2026-08-20T16:00:00Z</t>
        </is>
      </c>
      <c r="D171" s="24" t="inlineStr">
        <is>
          <t>87220</t>
        </is>
      </c>
      <c r="E171" s="24" t="inlineStr">
        <is>
          <t>LOL</t>
        </is>
      </c>
      <c r="F171" s="24" t="inlineStr">
        <is>
          <t>Ici Japon Corp. Esport</t>
        </is>
      </c>
      <c r="G171" s="24" t="inlineStr">
        <is>
          <t>Karmine Corp Blue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-170</v>
      </c>
      <c r="M171" s="27" t="n">
        <v>1.588235</v>
      </c>
      <c r="N171" s="28" t="n">
        <v>0.62963</v>
      </c>
      <c r="O171" s="28" t="n">
        <v>0.615469</v>
      </c>
      <c r="P171" s="28" t="n"/>
      <c r="Q171" s="28" t="n">
        <v>-0.014161</v>
      </c>
      <c r="R171" s="26" t="n">
        <v>13</v>
      </c>
      <c r="S171" s="29" t="n">
        <v>1.5</v>
      </c>
      <c r="T171" s="24" t="inlineStr">
        <is>
          <t>lol-tiered-elo-v6</t>
        </is>
      </c>
      <c r="U171" s="24" t="inlineStr">
        <is>
          <t>settled</t>
        </is>
      </c>
      <c r="V171" s="24" t="inlineStr">
        <is>
          <t>win</t>
        </is>
      </c>
      <c r="W171" s="26" t="n">
        <v>0</v>
      </c>
      <c r="X171" s="26" t="n">
        <v>1</v>
      </c>
      <c r="Y171" s="25" t="n"/>
      <c r="Z171" s="26" t="n">
        <v>-170</v>
      </c>
      <c r="AA171" s="28" t="n">
        <v>0.63</v>
      </c>
      <c r="AB171" s="28" t="n">
        <v>0.00037</v>
      </c>
      <c r="AC171" s="30" t="n">
        <v>0.8824</v>
      </c>
      <c r="AD171" s="24" t="inlineStr">
        <is>
          <t>2026-08-20T18:55:37.236928Z</t>
        </is>
      </c>
      <c r="AE171" s="31" t="inlineStr">
        <is>
          <t>Neutral Elo baseline; executable ask 0.6300 (market_slug=aec-lol-kcb-ijc-2026-08-20).</t>
        </is>
      </c>
      <c r="AF171" s="31" t="inlineStr">
        <is>
          <t>Config-promoted esports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Ici Japon Corp. Esport</t>
        </is>
      </c>
      <c r="AQ171" s="24" t="inlineStr">
        <is>
          <t>Ici Japon Corp. Esport</t>
        </is>
      </c>
      <c r="AR171" s="24" t="inlineStr">
        <is>
          <t>Ici Japon Corp. Esport</t>
        </is>
      </c>
      <c r="AS171" s="24" t="inlineStr">
        <is>
          <t>Karmine Corp Blue</t>
        </is>
      </c>
      <c r="AT171" s="24" t="inlineStr">
        <is>
          <t>Karmine Corp Blue</t>
        </is>
      </c>
      <c r="AU171" s="24" t="inlineStr">
        <is>
          <t>Karmine Corp Blue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ff279fe603df702f6b4d6c1df5bb006ee6c294e2b6eb4e88756fe86b9138aea2</t>
        </is>
      </c>
      <c r="BB171" s="24" t="inlineStr">
        <is>
          <t>neutral_elo</t>
        </is>
      </c>
      <c r="BC171" s="24" t="inlineStr">
        <is>
          <t>lol-tiered-elo-v6</t>
        </is>
      </c>
      <c r="BD171" s="24" t="inlineStr">
        <is>
          <t>ff279fe603df702f6b4d6c1df5bb006ee6c294e2b6eb4e88756fe86b9138aea2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lol-tiered-elo-v6</t>
        </is>
      </c>
      <c r="BH171" s="24" t="inlineStr">
        <is>
          <t>2026-08-20T15:52:50.119787Z</t>
        </is>
      </c>
      <c r="BI171" s="24" t="inlineStr">
        <is>
          <t>["same_event","same_team_same_day","same_league_same_day"]</t>
        </is>
      </c>
      <c r="BJ171" s="25" t="n"/>
      <c r="BK171" s="26" t="n">
        <v>-170</v>
      </c>
      <c r="BL171" s="27" t="n">
        <v>1.588235</v>
      </c>
      <c r="BM171" s="28" t="n">
        <v>0.62963</v>
      </c>
      <c r="BN171" s="28" t="n"/>
      <c r="BO171" s="28" t="n"/>
      <c r="BP171" s="25" t="n"/>
      <c r="BQ171" s="27" t="n">
        <v>1.588235</v>
      </c>
      <c r="BR171" s="28" t="n">
        <v>0.63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0.62963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682e704324f949f6</t>
        </is>
      </c>
      <c r="B172" s="24" t="inlineStr">
        <is>
          <t>2026-08-20T15:52:54.808855Z</t>
        </is>
      </c>
      <c r="C172" s="24" t="inlineStr">
        <is>
          <t>2026-08-20T16:00:00Z</t>
        </is>
      </c>
      <c r="D172" s="24" t="inlineStr">
        <is>
          <t>87148</t>
        </is>
      </c>
      <c r="E172" s="24" t="inlineStr">
        <is>
          <t>LOL</t>
        </is>
      </c>
      <c r="F172" s="24" t="inlineStr">
        <is>
          <t>Disruptors</t>
        </is>
      </c>
      <c r="G172" s="24" t="inlineStr">
        <is>
          <t>Pyramid IV Esports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104</v>
      </c>
      <c r="M172" s="27" t="n">
        <v>2.04</v>
      </c>
      <c r="N172" s="28" t="n">
        <v>0.490196</v>
      </c>
      <c r="O172" s="28" t="n">
        <v>0.545515</v>
      </c>
      <c r="P172" s="28" t="n"/>
      <c r="Q172" s="28" t="n">
        <v>0.055319</v>
      </c>
      <c r="R172" s="26" t="n">
        <v>48</v>
      </c>
      <c r="S172" s="29" t="n">
        <v>1</v>
      </c>
      <c r="T172" s="24" t="inlineStr">
        <is>
          <t>lol-tiered-elo-v6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0</v>
      </c>
      <c r="X172" s="26" t="n">
        <v>1</v>
      </c>
      <c r="Y172" s="25" t="n"/>
      <c r="Z172" s="26" t="n">
        <v>104</v>
      </c>
      <c r="AA172" s="28" t="n">
        <v>0.49</v>
      </c>
      <c r="AB172" s="28" t="n">
        <v>-0.000196</v>
      </c>
      <c r="AC172" s="30" t="n">
        <v>1.04</v>
      </c>
      <c r="AD172" s="24" t="inlineStr">
        <is>
          <t>2026-08-20T22:22:16.559728Z</t>
        </is>
      </c>
      <c r="AE172" s="31" t="inlineStr">
        <is>
          <t>Neutral Elo baseline; executable ask 0.4900 (market_slug=aec-lol-piv-ds-2026-08-20).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Disruptors</t>
        </is>
      </c>
      <c r="AQ172" s="24" t="inlineStr">
        <is>
          <t>Disruptors</t>
        </is>
      </c>
      <c r="AR172" s="24" t="inlineStr">
        <is>
          <t>Disruptors</t>
        </is>
      </c>
      <c r="AS172" s="24" t="inlineStr">
        <is>
          <t>Pyramid IV Esports</t>
        </is>
      </c>
      <c r="AT172" s="24" t="inlineStr">
        <is>
          <t>Pyramid IV Esports</t>
        </is>
      </c>
      <c r="AU172" s="24" t="inlineStr">
        <is>
          <t>Pyramid IV Esports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ff279fe603df702f6b4d6c1df5bb006ee6c294e2b6eb4e88756fe86b9138aea2</t>
        </is>
      </c>
      <c r="BB172" s="24" t="inlineStr">
        <is>
          <t>neutral_elo</t>
        </is>
      </c>
      <c r="BC172" s="24" t="inlineStr">
        <is>
          <t>lol-tiered-elo-v6</t>
        </is>
      </c>
      <c r="BD172" s="24" t="inlineStr">
        <is>
          <t>ff279fe603df702f6b4d6c1df5bb006ee6c294e2b6eb4e88756fe86b9138aea2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lol-tiered-elo-v6</t>
        </is>
      </c>
      <c r="BH172" s="24" t="inlineStr">
        <is>
          <t>2026-08-20T15:52:50.236447Z</t>
        </is>
      </c>
      <c r="BI172" s="24" t="inlineStr">
        <is>
          <t>["same_event","same_team_same_day","same_league_same_day"]</t>
        </is>
      </c>
      <c r="BJ172" s="25" t="n"/>
      <c r="BK172" s="26" t="n">
        <v>104</v>
      </c>
      <c r="BL172" s="27" t="n">
        <v>2.04</v>
      </c>
      <c r="BM172" s="28" t="n">
        <v>0.490196</v>
      </c>
      <c r="BN172" s="28" t="n"/>
      <c r="BO172" s="28" t="n"/>
      <c r="BP172" s="25" t="n"/>
      <c r="BQ172" s="27" t="n">
        <v>2.04</v>
      </c>
      <c r="BR172" s="28" t="n">
        <v>0.49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0.490196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1968da17c30c499d</t>
        </is>
      </c>
      <c r="B173" s="24" t="inlineStr">
        <is>
          <t>2026-08-20T15:52:54.808855Z</t>
        </is>
      </c>
      <c r="C173" s="24" t="inlineStr">
        <is>
          <t>2026-08-20T16:00:00Z</t>
        </is>
      </c>
      <c r="D173" s="24" t="inlineStr">
        <is>
          <t>86905</t>
        </is>
      </c>
      <c r="E173" s="24" t="inlineStr">
        <is>
          <t>LOL</t>
        </is>
      </c>
      <c r="F173" s="24" t="inlineStr">
        <is>
          <t>GnG Amazigh</t>
        </is>
      </c>
      <c r="G173" s="24" t="inlineStr">
        <is>
          <t>Baam Esports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-163</v>
      </c>
      <c r="M173" s="27" t="n">
        <v>1.613497</v>
      </c>
      <c r="N173" s="28" t="n">
        <v>0.619772</v>
      </c>
      <c r="O173" s="28" t="n">
        <v>0.6786219999999999</v>
      </c>
      <c r="P173" s="28" t="n"/>
      <c r="Q173" s="28" t="n">
        <v>0.05885</v>
      </c>
      <c r="R173" s="26" t="n">
        <v>49</v>
      </c>
      <c r="S173" s="29" t="n">
        <v>1.75</v>
      </c>
      <c r="T173" s="24" t="inlineStr">
        <is>
          <t>lol-tiered-elo-v6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-163</v>
      </c>
      <c r="AA173" s="28" t="n">
        <v>0.62</v>
      </c>
      <c r="AB173" s="28" t="n">
        <v>0.000228</v>
      </c>
      <c r="AC173" s="30" t="n">
        <v>1.0736</v>
      </c>
      <c r="AD173" s="24" t="inlineStr">
        <is>
          <t>2026-08-26T12:40:53.712098Z</t>
        </is>
      </c>
      <c r="AE173" s="31" t="inlineStr">
        <is>
          <t>Neutral Elo baseline; executable ask 0.6200 (market_slug=aec-lol-bam-gng-2026-08-20).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GnG Amazigh</t>
        </is>
      </c>
      <c r="AQ173" s="24" t="inlineStr">
        <is>
          <t>GnG Amazigh</t>
        </is>
      </c>
      <c r="AR173" s="24" t="inlineStr">
        <is>
          <t>GnG Amazigh</t>
        </is>
      </c>
      <c r="AS173" s="24" t="inlineStr">
        <is>
          <t>Baam Esports</t>
        </is>
      </c>
      <c r="AT173" s="24" t="inlineStr">
        <is>
          <t>Baam Esports</t>
        </is>
      </c>
      <c r="AU173" s="24" t="inlineStr">
        <is>
          <t>Baam Esports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ff279fe603df702f6b4d6c1df5bb006ee6c294e2b6eb4e88756fe86b9138aea2</t>
        </is>
      </c>
      <c r="BB173" s="24" t="inlineStr">
        <is>
          <t>neutral_elo</t>
        </is>
      </c>
      <c r="BC173" s="24" t="inlineStr">
        <is>
          <t>lol-tiered-elo-v6</t>
        </is>
      </c>
      <c r="BD173" s="24" t="inlineStr">
        <is>
          <t>ff279fe603df702f6b4d6c1df5bb006ee6c294e2b6eb4e88756fe86b9138aea2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lol-tiered-elo-v6</t>
        </is>
      </c>
      <c r="BH173" s="24" t="inlineStr">
        <is>
          <t>2026-08-20T15:52:50.476101Z</t>
        </is>
      </c>
      <c r="BI173" s="24" t="inlineStr">
        <is>
          <t>["same_event","same_team_same_day","same_league_same_day"]</t>
        </is>
      </c>
      <c r="BJ173" s="25" t="n"/>
      <c r="BK173" s="26" t="n">
        <v>-163</v>
      </c>
      <c r="BL173" s="27" t="n">
        <v>1.613497</v>
      </c>
      <c r="BM173" s="28" t="n">
        <v>0.619772</v>
      </c>
      <c r="BN173" s="28" t="n"/>
      <c r="BO173" s="28" t="n"/>
      <c r="BP173" s="25" t="n"/>
      <c r="BQ173" s="27" t="n">
        <v>1.613497</v>
      </c>
      <c r="BR173" s="28" t="n">
        <v>0.62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0.619772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d369525fa28c4fcd</t>
        </is>
      </c>
      <c r="B174" s="24" t="inlineStr">
        <is>
          <t>2026-08-20T15:52:54.808855Z</t>
        </is>
      </c>
      <c r="C174" s="24" t="inlineStr">
        <is>
          <t>2026-08-20T17:00:00Z</t>
        </is>
      </c>
      <c r="D174" s="24" t="inlineStr">
        <is>
          <t>84365</t>
        </is>
      </c>
      <c r="E174" s="24" t="inlineStr">
        <is>
          <t>LOL</t>
        </is>
      </c>
      <c r="F174" s="24" t="inlineStr">
        <is>
          <t>Barcząca Esports</t>
        </is>
      </c>
      <c r="G174" s="24" t="inlineStr">
        <is>
          <t>Anonymo Esports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113</v>
      </c>
      <c r="M174" s="27" t="n">
        <v>2.13</v>
      </c>
      <c r="N174" s="28" t="n">
        <v>0.469484</v>
      </c>
      <c r="O174" s="28" t="n">
        <v>0.532146</v>
      </c>
      <c r="P174" s="28" t="n"/>
      <c r="Q174" s="28" t="n">
        <v>0.062662</v>
      </c>
      <c r="R174" s="26" t="n">
        <v>51</v>
      </c>
      <c r="S174" s="29" t="n">
        <v>1</v>
      </c>
      <c r="T174" s="24" t="inlineStr">
        <is>
          <t>lol-tiered-elo-v6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0</v>
      </c>
      <c r="Y174" s="25" t="n"/>
      <c r="Z174" s="26" t="n">
        <v>113</v>
      </c>
      <c r="AA174" s="28" t="n">
        <v>0.47</v>
      </c>
      <c r="AB174" s="28" t="n">
        <v>0.000516</v>
      </c>
      <c r="AC174" s="30" t="n">
        <v>1.13</v>
      </c>
      <c r="AD174" s="24" t="inlineStr">
        <is>
          <t>2026-08-20T22:22:17.743787Z</t>
        </is>
      </c>
      <c r="AE174" s="31" t="inlineStr">
        <is>
          <t>Neutral Elo baseline; executable ask 0.4700 (market_slug=aec-lol-ae-bce-2026-08-20).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Barcząca Esports</t>
        </is>
      </c>
      <c r="AQ174" s="24" t="inlineStr">
        <is>
          <t>Barcząca Esports</t>
        </is>
      </c>
      <c r="AR174" s="24" t="inlineStr">
        <is>
          <t>Barcząca Esports</t>
        </is>
      </c>
      <c r="AS174" s="24" t="inlineStr">
        <is>
          <t>Anonymo Esports</t>
        </is>
      </c>
      <c r="AT174" s="24" t="inlineStr">
        <is>
          <t>Anonymo Esports</t>
        </is>
      </c>
      <c r="AU174" s="24" t="inlineStr">
        <is>
          <t>Anonymo Esports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ff279fe603df702f6b4d6c1df5bb006ee6c294e2b6eb4e88756fe86b9138aea2</t>
        </is>
      </c>
      <c r="BB174" s="24" t="inlineStr">
        <is>
          <t>neutral_elo</t>
        </is>
      </c>
      <c r="BC174" s="24" t="inlineStr">
        <is>
          <t>lol-tiered-elo-v6</t>
        </is>
      </c>
      <c r="BD174" s="24" t="inlineStr">
        <is>
          <t>ff279fe603df702f6b4d6c1df5bb006ee6c294e2b6eb4e88756fe86b9138aea2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lol-tiered-elo-v6</t>
        </is>
      </c>
      <c r="BH174" s="24" t="inlineStr">
        <is>
          <t>2026-08-20T15:52:51.519656Z</t>
        </is>
      </c>
      <c r="BI174" s="24" t="inlineStr">
        <is>
          <t>["same_event","same_team_same_day","same_league_same_day"]</t>
        </is>
      </c>
      <c r="BJ174" s="25" t="n"/>
      <c r="BK174" s="26" t="n">
        <v>113</v>
      </c>
      <c r="BL174" s="27" t="n">
        <v>2.13</v>
      </c>
      <c r="BM174" s="28" t="n">
        <v>0.469484</v>
      </c>
      <c r="BN174" s="28" t="n"/>
      <c r="BO174" s="28" t="n"/>
      <c r="BP174" s="25" t="n"/>
      <c r="BQ174" s="27" t="n">
        <v>2.13</v>
      </c>
      <c r="BR174" s="28" t="n">
        <v>0.47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0.469484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5dabd5e5a0c64f7e</t>
        </is>
      </c>
      <c r="B175" s="24" t="inlineStr">
        <is>
          <t>2026-08-20T15:52:54.808855Z</t>
        </is>
      </c>
      <c r="C175" s="24" t="inlineStr">
        <is>
          <t>2026-08-20T18:00:00Z</t>
        </is>
      </c>
      <c r="D175" s="24" t="inlineStr">
        <is>
          <t>84901</t>
        </is>
      </c>
      <c r="E175" s="24" t="inlineStr">
        <is>
          <t>LOL</t>
        </is>
      </c>
      <c r="F175" s="24" t="inlineStr">
        <is>
          <t>ØTF</t>
        </is>
      </c>
      <c r="G175" s="24" t="inlineStr">
        <is>
          <t>SPIKE Syndicate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-138</v>
      </c>
      <c r="M175" s="27" t="n">
        <v>1.724638</v>
      </c>
      <c r="N175" s="28" t="n">
        <v>0.579832</v>
      </c>
      <c r="O175" s="28" t="n">
        <v>0.514022</v>
      </c>
      <c r="P175" s="28" t="n"/>
      <c r="Q175" s="28" t="n">
        <v>-0.06580999999999999</v>
      </c>
      <c r="R175" s="26" t="n">
        <v>0</v>
      </c>
      <c r="S175" s="29" t="n">
        <v>1</v>
      </c>
      <c r="T175" s="24" t="inlineStr">
        <is>
          <t>lol-tiered-elo-v6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0</v>
      </c>
      <c r="Y175" s="25" t="n"/>
      <c r="Z175" s="26" t="n">
        <v>-138</v>
      </c>
      <c r="AA175" s="28" t="n">
        <v>0.58</v>
      </c>
      <c r="AB175" s="28" t="n">
        <v>0.000168</v>
      </c>
      <c r="AC175" s="30" t="n">
        <v>0.7246</v>
      </c>
      <c r="AD175" s="24" t="inlineStr">
        <is>
          <t>2026-08-20T22:22:18.705802Z</t>
        </is>
      </c>
      <c r="AE175" s="31" t="inlineStr">
        <is>
          <t>Neutral Elo baseline; executable ask 0.5800 (market_slug=aec-lol-spk-tfa-2026-08-20).</t>
        </is>
      </c>
      <c r="AF175" s="31" t="inlineStr">
        <is>
          <t>Config-promoted esports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3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PAPER_CALL_MODEL_UNVALIDATED</t>
        </is>
      </c>
      <c r="AP175" s="24" t="inlineStr">
        <is>
          <t>ØTF</t>
        </is>
      </c>
      <c r="AQ175" s="24" t="inlineStr">
        <is>
          <t>ØTF</t>
        </is>
      </c>
      <c r="AR175" s="24" t="inlineStr">
        <is>
          <t>ØTF</t>
        </is>
      </c>
      <c r="AS175" s="24" t="inlineStr">
        <is>
          <t>SPIKE Syndicate</t>
        </is>
      </c>
      <c r="AT175" s="24" t="inlineStr">
        <is>
          <t>SPIKE Syndicate</t>
        </is>
      </c>
      <c r="AU175" s="24" t="inlineStr">
        <is>
          <t>SPIKE Syndicate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ff279fe603df702f6b4d6c1df5bb006ee6c294e2b6eb4e88756fe86b9138aea2</t>
        </is>
      </c>
      <c r="BB175" s="24" t="inlineStr">
        <is>
          <t>neutral_elo</t>
        </is>
      </c>
      <c r="BC175" s="24" t="inlineStr">
        <is>
          <t>lol-tiered-elo-v6</t>
        </is>
      </c>
      <c r="BD175" s="24" t="inlineStr">
        <is>
          <t>ff279fe603df702f6b4d6c1df5bb006ee6c294e2b6eb4e88756fe86b9138aea2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lol-tiered-elo-v6</t>
        </is>
      </c>
      <c r="BH175" s="24" t="inlineStr">
        <is>
          <t>2026-08-20T15:52:51.919365Z</t>
        </is>
      </c>
      <c r="BI175" s="24" t="inlineStr">
        <is>
          <t>["same_event","same_team_same_day","same_league_same_day"]</t>
        </is>
      </c>
      <c r="BJ175" s="25" t="n"/>
      <c r="BK175" s="26" t="n">
        <v>-138</v>
      </c>
      <c r="BL175" s="27" t="n">
        <v>1.724638</v>
      </c>
      <c r="BM175" s="28" t="n">
        <v>0.579832</v>
      </c>
      <c r="BN175" s="28" t="n"/>
      <c r="BO175" s="28" t="n"/>
      <c r="BP175" s="25" t="n"/>
      <c r="BQ175" s="27" t="n">
        <v>1.724638</v>
      </c>
      <c r="BR175" s="28" t="n">
        <v>0.58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0.579832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84554dddefbf4bf9</t>
        </is>
      </c>
      <c r="B176" s="24" t="inlineStr">
        <is>
          <t>2026-08-20T18:57:31.457801Z</t>
        </is>
      </c>
      <c r="C176" s="24" t="inlineStr">
        <is>
          <t>2026-08-20T21:00:00Z</t>
        </is>
      </c>
      <c r="D176" s="24" t="inlineStr">
        <is>
          <t>84847</t>
        </is>
      </c>
      <c r="E176" s="24" t="inlineStr">
        <is>
          <t>LOL</t>
        </is>
      </c>
      <c r="F176" s="24" t="inlineStr">
        <is>
          <t>Conviction</t>
        </is>
      </c>
      <c r="G176" s="24" t="inlineStr">
        <is>
          <t>Cupid Esports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-194</v>
      </c>
      <c r="M176" s="27" t="n">
        <v>1.515464</v>
      </c>
      <c r="N176" s="28" t="n">
        <v>0.659864</v>
      </c>
      <c r="O176" s="28" t="n">
        <v>0.544023</v>
      </c>
      <c r="P176" s="28" t="n"/>
      <c r="Q176" s="28" t="n">
        <v>-0.115841</v>
      </c>
      <c r="R176" s="26" t="n">
        <v>0</v>
      </c>
      <c r="S176" s="29" t="n">
        <v>1</v>
      </c>
      <c r="T176" s="24" t="inlineStr">
        <is>
          <t>lol-tiered-elo-v6</t>
        </is>
      </c>
      <c r="U176" s="24" t="inlineStr">
        <is>
          <t>settled</t>
        </is>
      </c>
      <c r="V176" s="24" t="inlineStr">
        <is>
          <t>win</t>
        </is>
      </c>
      <c r="W176" s="26" t="n">
        <v>0</v>
      </c>
      <c r="X176" s="26" t="n">
        <v>1</v>
      </c>
      <c r="Y176" s="25" t="n"/>
      <c r="Z176" s="26" t="n">
        <v>-194</v>
      </c>
      <c r="AA176" s="28" t="n">
        <v>0.66</v>
      </c>
      <c r="AB176" s="28" t="n">
        <v>0.000136</v>
      </c>
      <c r="AC176" s="30" t="n">
        <v>0.5155</v>
      </c>
      <c r="AD176" s="24" t="inlineStr">
        <is>
          <t>2026-08-21T01:25:56.272953Z</t>
        </is>
      </c>
      <c r="AE176" s="31" t="inlineStr">
        <is>
          <t>Neutral Elo baseline; executable ask 0.6600 (market_slug=aec-lol-cpd-cnv-2026-08-20).</t>
        </is>
      </c>
      <c r="AF176" s="31" t="inlineStr">
        <is>
          <t>Config-promoted esports baseline; gates enforced at log time.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Conviction</t>
        </is>
      </c>
      <c r="AQ176" s="24" t="inlineStr">
        <is>
          <t>Conviction</t>
        </is>
      </c>
      <c r="AR176" s="24" t="inlineStr">
        <is>
          <t>Conviction</t>
        </is>
      </c>
      <c r="AS176" s="24" t="inlineStr">
        <is>
          <t>Cupid Esports</t>
        </is>
      </c>
      <c r="AT176" s="24" t="inlineStr">
        <is>
          <t>Cupid Esports</t>
        </is>
      </c>
      <c r="AU176" s="24" t="inlineStr">
        <is>
          <t>Cupid Esports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773c790155bcb4ada4a3c2a71dd36977f49f900595f470bde7f2955d8b3a17f2</t>
        </is>
      </c>
      <c r="BB176" s="24" t="inlineStr">
        <is>
          <t>neutral_elo</t>
        </is>
      </c>
      <c r="BC176" s="24" t="inlineStr">
        <is>
          <t>lol-tiered-elo-v6</t>
        </is>
      </c>
      <c r="BD176" s="24" t="inlineStr">
        <is>
          <t>773c790155bcb4ada4a3c2a71dd36977f49f900595f470bde7f2955d8b3a17f2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lol-tiered-elo-v6</t>
        </is>
      </c>
      <c r="BH176" s="24" t="inlineStr">
        <is>
          <t>2026-08-20T18:57:29.845144Z</t>
        </is>
      </c>
      <c r="BI176" s="24" t="inlineStr">
        <is>
          <t>["same_event","same_team_same_day","same_league_same_day"]</t>
        </is>
      </c>
      <c r="BJ176" s="25" t="n"/>
      <c r="BK176" s="26" t="n">
        <v>-194</v>
      </c>
      <c r="BL176" s="27" t="n">
        <v>1.515464</v>
      </c>
      <c r="BM176" s="28" t="n">
        <v>0.659864</v>
      </c>
      <c r="BN176" s="28" t="n"/>
      <c r="BO176" s="28" t="n"/>
      <c r="BP176" s="25" t="n"/>
      <c r="BQ176" s="27" t="n">
        <v>1.515464</v>
      </c>
      <c r="BR176" s="28" t="n">
        <v>0.66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0.659864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a96b7f301d854d86</t>
        </is>
      </c>
      <c r="B177" s="24" t="inlineStr">
        <is>
          <t>2026-08-20T22:24:18.640834Z</t>
        </is>
      </c>
      <c r="C177" s="24" t="inlineStr">
        <is>
          <t>2026-08-21T00:00:00Z</t>
        </is>
      </c>
      <c r="D177" s="24" t="inlineStr">
        <is>
          <t>84970</t>
        </is>
      </c>
      <c r="E177" s="24" t="inlineStr">
        <is>
          <t>LOL</t>
        </is>
      </c>
      <c r="F177" s="24" t="inlineStr">
        <is>
          <t>Maryville University</t>
        </is>
      </c>
      <c r="G177" s="24" t="inlineStr">
        <is>
          <t>Dorado Gaming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-186</v>
      </c>
      <c r="M177" s="27" t="n">
        <v>1.537634</v>
      </c>
      <c r="N177" s="28" t="n">
        <v>0.65035</v>
      </c>
      <c r="O177" s="28" t="n">
        <v>0.531467</v>
      </c>
      <c r="P177" s="28" t="n"/>
      <c r="Q177" s="28" t="n">
        <v>-0.118883</v>
      </c>
      <c r="R177" s="26" t="n">
        <v>0</v>
      </c>
      <c r="S177" s="29" t="n">
        <v>1</v>
      </c>
      <c r="T177" s="24" t="inlineStr">
        <is>
          <t>lol-tiered-elo-v6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-186</v>
      </c>
      <c r="AA177" s="28" t="n">
        <v>0.65</v>
      </c>
      <c r="AB177" s="28" t="n">
        <v>-0.00035</v>
      </c>
      <c r="AC177" s="30" t="n">
        <v>0.5376</v>
      </c>
      <c r="AD177" s="24" t="inlineStr">
        <is>
          <t>2026-08-21T01:25:57.318302Z</t>
        </is>
      </c>
      <c r="AE177" s="31" t="inlineStr">
        <is>
          <t>Neutral Elo baseline; executable ask 0.6500 (market_slug=aec-lol-dog-mvu-2026-08-21).</t>
        </is>
      </c>
      <c r="AF177" s="31" t="inlineStr">
        <is>
          <t>Config-promoted esports baseline; gates enforced at log time.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Maryville University</t>
        </is>
      </c>
      <c r="AQ177" s="24" t="inlineStr">
        <is>
          <t>Maryville University</t>
        </is>
      </c>
      <c r="AR177" s="24" t="inlineStr">
        <is>
          <t>Maryville University</t>
        </is>
      </c>
      <c r="AS177" s="24" t="inlineStr">
        <is>
          <t>Dorado Gaming</t>
        </is>
      </c>
      <c r="AT177" s="24" t="inlineStr">
        <is>
          <t>Dorado Gaming</t>
        </is>
      </c>
      <c r="AU177" s="24" t="inlineStr">
        <is>
          <t>Dorado Gaming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f5a4064f21d16aefb9dc18f2a14409a16867b6bbb483012f47e31dbabd19f7f5</t>
        </is>
      </c>
      <c r="BB177" s="24" t="inlineStr">
        <is>
          <t>neutral_elo</t>
        </is>
      </c>
      <c r="BC177" s="24" t="inlineStr">
        <is>
          <t>lol-tiered-elo-v6</t>
        </is>
      </c>
      <c r="BD177" s="24" t="inlineStr">
        <is>
          <t>f5a4064f21d16aefb9dc18f2a14409a16867b6bbb483012f47e31dbabd19f7f5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lol-tiered-elo-v6</t>
        </is>
      </c>
      <c r="BH177" s="24" t="inlineStr">
        <is>
          <t>2026-08-20T22:24:16.968300Z</t>
        </is>
      </c>
      <c r="BI177" s="24" t="inlineStr">
        <is>
          <t>["same_event","same_team_same_day","same_league_same_day"]</t>
        </is>
      </c>
      <c r="BJ177" s="25" t="n"/>
      <c r="BK177" s="26" t="n">
        <v>-186</v>
      </c>
      <c r="BL177" s="27" t="n">
        <v>1.537634</v>
      </c>
      <c r="BM177" s="28" t="n">
        <v>0.65035</v>
      </c>
      <c r="BN177" s="28" t="n"/>
      <c r="BO177" s="28" t="n"/>
      <c r="BP177" s="25" t="n"/>
      <c r="BQ177" s="27" t="n">
        <v>1.537634</v>
      </c>
      <c r="BR177" s="28" t="n">
        <v>0.65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0.65035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c72dc8401934477b</t>
        </is>
      </c>
      <c r="B178" s="24" t="inlineStr">
        <is>
          <t>2026-08-21T04:32:30.036826Z</t>
        </is>
      </c>
      <c r="C178" s="24" t="inlineStr">
        <is>
          <t>2026-08-21T05:00:00Z</t>
        </is>
      </c>
      <c r="D178" s="24" t="inlineStr">
        <is>
          <t>85069</t>
        </is>
      </c>
      <c r="E178" s="24" t="inlineStr">
        <is>
          <t>LOL</t>
        </is>
      </c>
      <c r="F178" s="24" t="inlineStr">
        <is>
          <t>T1 Academy</t>
        </is>
      </c>
      <c r="G178" s="24" t="inlineStr">
        <is>
          <t>Nongshim Esports Academy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-203</v>
      </c>
      <c r="M178" s="27" t="n">
        <v>1.492611</v>
      </c>
      <c r="N178" s="28" t="n">
        <v>0.669967</v>
      </c>
      <c r="O178" s="28" t="n">
        <v>0.708707</v>
      </c>
      <c r="P178" s="28" t="n"/>
      <c r="Q178" s="28" t="n">
        <v>0.03874</v>
      </c>
      <c r="R178" s="26" t="n">
        <v>39</v>
      </c>
      <c r="S178" s="29" t="n">
        <v>2</v>
      </c>
      <c r="T178" s="24" t="inlineStr">
        <is>
          <t>lol-tiered-elo-v6</t>
        </is>
      </c>
      <c r="U178" s="24" t="inlineStr">
        <is>
          <t>settled</t>
        </is>
      </c>
      <c r="V178" s="24" t="inlineStr">
        <is>
          <t>loss</t>
        </is>
      </c>
      <c r="W178" s="26" t="n">
        <v>0</v>
      </c>
      <c r="X178" s="26" t="n">
        <v>1</v>
      </c>
      <c r="Y178" s="25" t="n"/>
      <c r="Z178" s="26" t="n">
        <v>-194</v>
      </c>
      <c r="AA178" s="28" t="n">
        <v>0.66</v>
      </c>
      <c r="AB178" s="28" t="n">
        <v>-0.009967</v>
      </c>
      <c r="AC178" s="30" t="n">
        <v>-2</v>
      </c>
      <c r="AD178" s="24" t="inlineStr">
        <is>
          <t>2026-08-21T11:26:43.969685Z</t>
        </is>
      </c>
      <c r="AE178" s="31" t="inlineStr">
        <is>
          <t>Neutral Elo baseline; executable ask 0.6700 (market_slug=aec-lol-nsea-t1a-2026-08-21).</t>
        </is>
      </c>
      <c r="AF178" s="31" t="inlineStr">
        <is>
          <t>Config-promoted esports baseline; gates enforced at log time.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T1 Academy</t>
        </is>
      </c>
      <c r="AQ178" s="24" t="inlineStr">
        <is>
          <t>T1 Academy</t>
        </is>
      </c>
      <c r="AR178" s="24" t="inlineStr">
        <is>
          <t>T1 Academy</t>
        </is>
      </c>
      <c r="AS178" s="24" t="inlineStr">
        <is>
          <t>Nongshim Esports Academy</t>
        </is>
      </c>
      <c r="AT178" s="24" t="inlineStr">
        <is>
          <t>Nongshim Esports Academy</t>
        </is>
      </c>
      <c r="AU178" s="24" t="inlineStr">
        <is>
          <t>Nongshim Esports Academy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b38203d9c5ef44312a3e3a387836f2ba7b42ccb62d01397fcd6796e951c0a9e6</t>
        </is>
      </c>
      <c r="BB178" s="24" t="inlineStr">
        <is>
          <t>neutral_elo</t>
        </is>
      </c>
      <c r="BC178" s="24" t="inlineStr">
        <is>
          <t>lol-tiered-elo-v6</t>
        </is>
      </c>
      <c r="BD178" s="24" t="inlineStr">
        <is>
          <t>b38203d9c5ef44312a3e3a387836f2ba7b42ccb62d01397fcd6796e951c0a9e6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lol-tiered-elo-v6</t>
        </is>
      </c>
      <c r="BH178" s="24" t="inlineStr">
        <is>
          <t>2026-08-21T04:32:26.194461Z</t>
        </is>
      </c>
      <c r="BI178" s="24" t="inlineStr">
        <is>
          <t>["same_event","same_team_same_day","same_league_same_day"]</t>
        </is>
      </c>
      <c r="BJ178" s="25" t="n"/>
      <c r="BK178" s="26" t="n">
        <v>-203</v>
      </c>
      <c r="BL178" s="27" t="n">
        <v>1.492611</v>
      </c>
      <c r="BM178" s="28" t="n">
        <v>0.669967</v>
      </c>
      <c r="BN178" s="28" t="n"/>
      <c r="BO178" s="28" t="n"/>
      <c r="BP178" s="25" t="n"/>
      <c r="BQ178" s="27" t="n">
        <v>1.515464</v>
      </c>
      <c r="BR178" s="28" t="n">
        <v>0.66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0.669967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469000e1cde04d9a</t>
        </is>
      </c>
      <c r="B179" s="24" t="inlineStr">
        <is>
          <t>2026-08-21T04:32:30.036826Z</t>
        </is>
      </c>
      <c r="C179" s="24" t="inlineStr">
        <is>
          <t>2026-08-21T07:00:00Z</t>
        </is>
      </c>
      <c r="D179" s="24" t="inlineStr">
        <is>
          <t>85072</t>
        </is>
      </c>
      <c r="E179" s="24" t="inlineStr">
        <is>
          <t>LOL</t>
        </is>
      </c>
      <c r="F179" s="24" t="inlineStr">
        <is>
          <t>ThunderTalk Gaming</t>
        </is>
      </c>
      <c r="G179" s="24" t="inlineStr">
        <is>
          <t>EDward Gaming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-133</v>
      </c>
      <c r="M179" s="27" t="n">
        <v>1.75188</v>
      </c>
      <c r="N179" s="28" t="n">
        <v>0.570815</v>
      </c>
      <c r="O179" s="28" t="n">
        <v>0.502703</v>
      </c>
      <c r="P179" s="28" t="n"/>
      <c r="Q179" s="28" t="n">
        <v>-0.06811200000000001</v>
      </c>
      <c r="R179" s="26" t="n">
        <v>0</v>
      </c>
      <c r="S179" s="29" t="n">
        <v>1</v>
      </c>
      <c r="T179" s="24" t="inlineStr">
        <is>
          <t>lol-tiered-elo-v6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-133</v>
      </c>
      <c r="AA179" s="28" t="n">
        <v>0.57</v>
      </c>
      <c r="AB179" s="28" t="n">
        <v>-0.000815</v>
      </c>
      <c r="AC179" s="30" t="n">
        <v>-1</v>
      </c>
      <c r="AD179" s="24" t="inlineStr">
        <is>
          <t>2026-08-21T11:26:46.852937Z</t>
        </is>
      </c>
      <c r="AE179" s="31" t="inlineStr">
        <is>
          <t>Neutral Elo baseline; executable ask 0.5700 (market_slug=aec-lol-edg-tt-2026-08-21).</t>
        </is>
      </c>
      <c r="AF179" s="31" t="inlineStr">
        <is>
          <t>Config-promoted esports baseline; gates enforced at log time.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4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ThunderTalk Gaming</t>
        </is>
      </c>
      <c r="AQ179" s="24" t="inlineStr">
        <is>
          <t>ThunderTalk Gaming</t>
        </is>
      </c>
      <c r="AR179" s="24" t="inlineStr">
        <is>
          <t>ThunderTalk Gaming</t>
        </is>
      </c>
      <c r="AS179" s="24" t="inlineStr">
        <is>
          <t>EDward Gaming</t>
        </is>
      </c>
      <c r="AT179" s="24" t="inlineStr">
        <is>
          <t>EDward Gaming</t>
        </is>
      </c>
      <c r="AU179" s="24" t="inlineStr">
        <is>
          <t>EDward Gaming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b38203d9c5ef44312a3e3a387836f2ba7b42ccb62d01397fcd6796e951c0a9e6</t>
        </is>
      </c>
      <c r="BB179" s="24" t="inlineStr">
        <is>
          <t>neutral_elo</t>
        </is>
      </c>
      <c r="BC179" s="24" t="inlineStr">
        <is>
          <t>lol-tiered-elo-v6</t>
        </is>
      </c>
      <c r="BD179" s="24" t="inlineStr">
        <is>
          <t>b38203d9c5ef44312a3e3a387836f2ba7b42ccb62d01397fcd6796e951c0a9e6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lol-tiered-elo-v6</t>
        </is>
      </c>
      <c r="BH179" s="24" t="inlineStr">
        <is>
          <t>2026-08-21T04:32:26.869688Z</t>
        </is>
      </c>
      <c r="BI179" s="24" t="inlineStr">
        <is>
          <t>["same_event","same_team_same_day","same_league_same_day"]</t>
        </is>
      </c>
      <c r="BJ179" s="25" t="n"/>
      <c r="BK179" s="26" t="n">
        <v>-133</v>
      </c>
      <c r="BL179" s="27" t="n">
        <v>1.75188</v>
      </c>
      <c r="BM179" s="28" t="n">
        <v>0.570815</v>
      </c>
      <c r="BN179" s="28" t="n"/>
      <c r="BO179" s="28" t="n"/>
      <c r="BP179" s="25" t="n"/>
      <c r="BQ179" s="27" t="n">
        <v>1.75188</v>
      </c>
      <c r="BR179" s="28" t="n">
        <v>0.57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0.570815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939f70f7e3874c43</t>
        </is>
      </c>
      <c r="B180" s="24" t="inlineStr">
        <is>
          <t>2026-08-21T04:32:30.036826Z</t>
        </is>
      </c>
      <c r="C180" s="24" t="inlineStr">
        <is>
          <t>2026-08-21T08:00:00Z</t>
        </is>
      </c>
      <c r="D180" s="24" t="inlineStr">
        <is>
          <t>85090</t>
        </is>
      </c>
      <c r="E180" s="24" t="inlineStr">
        <is>
          <t>LOL</t>
        </is>
      </c>
      <c r="F180" s="24" t="inlineStr">
        <is>
          <t>BNK FEARX</t>
        </is>
      </c>
      <c r="G180" s="24" t="inlineStr">
        <is>
          <t>HANJIN BRION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122</v>
      </c>
      <c r="M180" s="27" t="n">
        <v>2.22</v>
      </c>
      <c r="N180" s="28" t="n">
        <v>0.45045</v>
      </c>
      <c r="O180" s="28" t="n">
        <v>0.507277</v>
      </c>
      <c r="P180" s="28" t="n"/>
      <c r="Q180" s="28" t="n">
        <v>0.056827</v>
      </c>
      <c r="R180" s="26" t="n">
        <v>48</v>
      </c>
      <c r="S180" s="29" t="n">
        <v>1</v>
      </c>
      <c r="T180" s="24" t="inlineStr">
        <is>
          <t>lol-tiered-elo-v6</t>
        </is>
      </c>
      <c r="U180" s="24" t="inlineStr">
        <is>
          <t>settled</t>
        </is>
      </c>
      <c r="V180" s="24" t="inlineStr">
        <is>
          <t>loss</t>
        </is>
      </c>
      <c r="W180" s="26" t="n">
        <v>1</v>
      </c>
      <c r="X180" s="26" t="n">
        <v>0</v>
      </c>
      <c r="Y180" s="25" t="n"/>
      <c r="Z180" s="26" t="n">
        <v>122</v>
      </c>
      <c r="AA180" s="28" t="n">
        <v>0.45</v>
      </c>
      <c r="AB180" s="28" t="n">
        <v>-0.00045</v>
      </c>
      <c r="AC180" s="30" t="n">
        <v>-1</v>
      </c>
      <c r="AD180" s="24" t="inlineStr">
        <is>
          <t>2026-08-21T11:26:50.072087Z</t>
        </is>
      </c>
      <c r="AE180" s="31" t="inlineStr">
        <is>
          <t>Neutral Elo baseline; executable ask 0.4500 (market_slug=aec-lol-bro-bfx-2026-08-21).</t>
        </is>
      </c>
      <c r="AF180" s="31" t="inlineStr">
        <is>
          <t>Config-promoted esports baseline; gates enforced at log time.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BNK FEARX</t>
        </is>
      </c>
      <c r="AQ180" s="24" t="inlineStr">
        <is>
          <t>BNK FEARX</t>
        </is>
      </c>
      <c r="AR180" s="24" t="inlineStr">
        <is>
          <t>BNK FEARX</t>
        </is>
      </c>
      <c r="AS180" s="24" t="inlineStr">
        <is>
          <t>HANJIN BRION</t>
        </is>
      </c>
      <c r="AT180" s="24" t="inlineStr">
        <is>
          <t>HANJIN BRION</t>
        </is>
      </c>
      <c r="AU180" s="24" t="inlineStr">
        <is>
          <t>HANJIN BRION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b38203d9c5ef44312a3e3a387836f2ba7b42ccb62d01397fcd6796e951c0a9e6</t>
        </is>
      </c>
      <c r="BB180" s="24" t="inlineStr">
        <is>
          <t>neutral_elo</t>
        </is>
      </c>
      <c r="BC180" s="24" t="inlineStr">
        <is>
          <t>lol-tiered-elo-v6</t>
        </is>
      </c>
      <c r="BD180" s="24" t="inlineStr">
        <is>
          <t>b38203d9c5ef44312a3e3a387836f2ba7b42ccb62d01397fcd6796e951c0a9e6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lol-tiered-elo-v6</t>
        </is>
      </c>
      <c r="BH180" s="24" t="inlineStr">
        <is>
          <t>2026-08-21T04:32:26.996925Z</t>
        </is>
      </c>
      <c r="BI180" s="24" t="inlineStr">
        <is>
          <t>["same_event","same_team_same_day","same_league_same_day"]</t>
        </is>
      </c>
      <c r="BJ180" s="25" t="n"/>
      <c r="BK180" s="26" t="n">
        <v>122</v>
      </c>
      <c r="BL180" s="27" t="n">
        <v>2.22</v>
      </c>
      <c r="BM180" s="28" t="n">
        <v>0.45045</v>
      </c>
      <c r="BN180" s="28" t="n"/>
      <c r="BO180" s="28" t="n"/>
      <c r="BP180" s="25" t="n"/>
      <c r="BQ180" s="27" t="n">
        <v>2.22</v>
      </c>
      <c r="BR180" s="28" t="n">
        <v>0.45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0.45045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7c6651d850ea42cc</t>
        </is>
      </c>
      <c r="B181" s="24" t="inlineStr">
        <is>
          <t>2026-08-21T04:32:30.036826Z</t>
        </is>
      </c>
      <c r="C181" s="24" t="inlineStr">
        <is>
          <t>2026-08-21T11:00:00Z</t>
        </is>
      </c>
      <c r="D181" s="24" t="inlineStr">
        <is>
          <t>85168</t>
        </is>
      </c>
      <c r="E181" s="24" t="inlineStr">
        <is>
          <t>LOL</t>
        </is>
      </c>
      <c r="F181" s="24" t="inlineStr">
        <is>
          <t>Bilibili Gaming</t>
        </is>
      </c>
      <c r="G181" s="24" t="inlineStr">
        <is>
          <t>Top Esports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0.66226</v>
      </c>
      <c r="P181" s="28" t="n"/>
      <c r="Q181" s="28" t="n">
        <v>0.002396</v>
      </c>
      <c r="R181" s="26" t="n">
        <v>21</v>
      </c>
      <c r="S181" s="29" t="n">
        <v>1.75</v>
      </c>
      <c r="T181" s="24" t="inlineStr">
        <is>
          <t>lol-tiered-elo-v6</t>
        </is>
      </c>
      <c r="U181" s="24" t="inlineStr">
        <is>
          <t>settled</t>
        </is>
      </c>
      <c r="V181" s="24" t="inlineStr">
        <is>
          <t>win</t>
        </is>
      </c>
      <c r="W181" s="26" t="n">
        <v>1</v>
      </c>
      <c r="X181" s="26" t="n">
        <v>0</v>
      </c>
      <c r="Y181" s="25" t="n"/>
      <c r="Z181" s="26" t="n">
        <v>-194</v>
      </c>
      <c r="AA181" s="28" t="n">
        <v>0.66</v>
      </c>
      <c r="AB181" s="28" t="n">
        <v>0.000136</v>
      </c>
      <c r="AC181" s="30" t="n">
        <v>0.9021</v>
      </c>
      <c r="AD181" s="24" t="inlineStr">
        <is>
          <t>2026-08-21T18:25:33.969840Z</t>
        </is>
      </c>
      <c r="AE181" s="31" t="inlineStr">
        <is>
          <t>Neutral Elo baseline; executable ask 0.6600 (market_slug=aec-lol-tes-blg-2026-08-21).</t>
        </is>
      </c>
      <c r="AF181" s="31" t="inlineStr">
        <is>
          <t>Config-promoted esports baseline; gates enforced at log time.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Bilibili Gaming</t>
        </is>
      </c>
      <c r="AQ181" s="24" t="inlineStr">
        <is>
          <t>Bilibili Gaming</t>
        </is>
      </c>
      <c r="AR181" s="24" t="inlineStr">
        <is>
          <t>Bilibili Gaming</t>
        </is>
      </c>
      <c r="AS181" s="24" t="inlineStr">
        <is>
          <t>Top Esports</t>
        </is>
      </c>
      <c r="AT181" s="24" t="inlineStr">
        <is>
          <t>Top Esports</t>
        </is>
      </c>
      <c r="AU181" s="24" t="inlineStr">
        <is>
          <t>Top Esports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b38203d9c5ef44312a3e3a387836f2ba7b42ccb62d01397fcd6796e951c0a9e6</t>
        </is>
      </c>
      <c r="BB181" s="24" t="inlineStr">
        <is>
          <t>neutral_elo</t>
        </is>
      </c>
      <c r="BC181" s="24" t="inlineStr">
        <is>
          <t>lol-tiered-elo-v6</t>
        </is>
      </c>
      <c r="BD181" s="24" t="inlineStr">
        <is>
          <t>b38203d9c5ef44312a3e3a387836f2ba7b42ccb62d01397fcd6796e951c0a9e6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lol-tiered-elo-v6</t>
        </is>
      </c>
      <c r="BH181" s="24" t="inlineStr">
        <is>
          <t>2026-08-21T04:32:27.613703Z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>
        <v>1.515464</v>
      </c>
      <c r="BR181" s="28" t="n">
        <v>0.66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0.659864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f531f1e555d84475</t>
        </is>
      </c>
      <c r="B182" s="24" t="inlineStr">
        <is>
          <t>2026-08-21T11:34:17.596179Z</t>
        </is>
      </c>
      <c r="C182" s="24" t="inlineStr">
        <is>
          <t>2026-08-21T15:00:00Z</t>
        </is>
      </c>
      <c r="D182" s="24" t="inlineStr">
        <is>
          <t>85259</t>
        </is>
      </c>
      <c r="E182" s="24" t="inlineStr">
        <is>
          <t>LOL</t>
        </is>
      </c>
      <c r="F182" s="24" t="inlineStr">
        <is>
          <t>SK Gaming</t>
        </is>
      </c>
      <c r="G182" s="24" t="inlineStr">
        <is>
          <t>Team Heretics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-178</v>
      </c>
      <c r="M182" s="27" t="n">
        <v>1.561798</v>
      </c>
      <c r="N182" s="28" t="n">
        <v>0.640288</v>
      </c>
      <c r="O182" s="28" t="n">
        <v>0.532725</v>
      </c>
      <c r="P182" s="28" t="n"/>
      <c r="Q182" s="28" t="n">
        <v>-0.107563</v>
      </c>
      <c r="R182" s="26" t="n">
        <v>0</v>
      </c>
      <c r="S182" s="29" t="n">
        <v>1</v>
      </c>
      <c r="T182" s="24" t="inlineStr">
        <is>
          <t>lol-tiered-elo-v6</t>
        </is>
      </c>
      <c r="U182" s="24" t="inlineStr">
        <is>
          <t>settled</t>
        </is>
      </c>
      <c r="V182" s="24" t="inlineStr">
        <is>
          <t>loss</t>
        </is>
      </c>
      <c r="W182" s="26" t="n">
        <v>0</v>
      </c>
      <c r="X182" s="26" t="n">
        <v>1</v>
      </c>
      <c r="Y182" s="25" t="n"/>
      <c r="Z182" s="26" t="n">
        <v>-178</v>
      </c>
      <c r="AA182" s="28" t="n">
        <v>0.64</v>
      </c>
      <c r="AB182" s="28" t="n">
        <v>-0.000288</v>
      </c>
      <c r="AC182" s="30" t="n">
        <v>-1</v>
      </c>
      <c r="AD182" s="24" t="inlineStr">
        <is>
          <t>2026-08-21T18:25:35.131270Z</t>
        </is>
      </c>
      <c r="AE182" s="31" t="inlineStr">
        <is>
          <t>Neutral Elo baseline; executable ask 0.6400 (market_slug=aec-lol-th-sk-2026-08-21).</t>
        </is>
      </c>
      <c r="AF182" s="31" t="inlineStr">
        <is>
          <t>Config-promoted esports baseline; gates enforced at log time.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SK Gaming</t>
        </is>
      </c>
      <c r="AQ182" s="24" t="inlineStr">
        <is>
          <t>SK Gaming</t>
        </is>
      </c>
      <c r="AR182" s="24" t="inlineStr">
        <is>
          <t>SK Gaming</t>
        </is>
      </c>
      <c r="AS182" s="24" t="inlineStr">
        <is>
          <t>Team Heretics</t>
        </is>
      </c>
      <c r="AT182" s="24" t="inlineStr">
        <is>
          <t>Team Heretics</t>
        </is>
      </c>
      <c r="AU182" s="24" t="inlineStr">
        <is>
          <t>Team Heretics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7a56228dbf41b6928e19131a6fd58786baadd5d8cc58b19b42ffa9625239e18b</t>
        </is>
      </c>
      <c r="BB182" s="24" t="inlineStr">
        <is>
          <t>neutral_elo</t>
        </is>
      </c>
      <c r="BC182" s="24" t="inlineStr">
        <is>
          <t>lol-tiered-elo-v6</t>
        </is>
      </c>
      <c r="BD182" s="24" t="inlineStr">
        <is>
          <t>7a56228dbf41b6928e19131a6fd58786baadd5d8cc58b19b42ffa9625239e18b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lol-tiered-elo-v6</t>
        </is>
      </c>
      <c r="BH182" s="24" t="inlineStr">
        <is>
          <t>2026-08-21T11:34:15.682424Z</t>
        </is>
      </c>
      <c r="BI182" s="24" t="inlineStr">
        <is>
          <t>["same_event","same_team_same_day","same_league_same_day"]</t>
        </is>
      </c>
      <c r="BJ182" s="25" t="n"/>
      <c r="BK182" s="26" t="n">
        <v>-178</v>
      </c>
      <c r="BL182" s="27" t="n">
        <v>1.561798</v>
      </c>
      <c r="BM182" s="28" t="n">
        <v>0.640288</v>
      </c>
      <c r="BN182" s="28" t="n"/>
      <c r="BO182" s="28" t="n"/>
      <c r="BP182" s="25" t="n"/>
      <c r="BQ182" s="27" t="n">
        <v>1.561798</v>
      </c>
      <c r="BR182" s="28" t="n">
        <v>0.64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0.640288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b81afd5e186e45cb</t>
        </is>
      </c>
      <c r="B183" s="24" t="inlineStr">
        <is>
          <t>2026-08-21T11:34:17.596179Z</t>
        </is>
      </c>
      <c r="C183" s="24" t="inlineStr">
        <is>
          <t>2026-08-21T17:15:00Z</t>
        </is>
      </c>
      <c r="D183" s="24" t="inlineStr">
        <is>
          <t>85504</t>
        </is>
      </c>
      <c r="E183" s="24" t="inlineStr">
        <is>
          <t>LOL</t>
        </is>
      </c>
      <c r="F183" s="24" t="inlineStr">
        <is>
          <t>Natus Vincere</t>
        </is>
      </c>
      <c r="G183" s="24" t="inlineStr">
        <is>
          <t>Team Vitality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0.601519</v>
      </c>
      <c r="P183" s="28" t="n"/>
      <c r="Q183" s="28" t="n">
        <v>0.042048</v>
      </c>
      <c r="R183" s="26" t="n">
        <v>41</v>
      </c>
      <c r="S183" s="29" t="n">
        <v>1.25</v>
      </c>
      <c r="T183" s="24" t="inlineStr">
        <is>
          <t>lol-tiered-elo-v6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>
        <v>-127</v>
      </c>
      <c r="AA183" s="28" t="n">
        <v>0.5600000000000001</v>
      </c>
      <c r="AB183" s="28" t="n">
        <v>0.000529</v>
      </c>
      <c r="AC183" s="30" t="n">
        <v>0.9843</v>
      </c>
      <c r="AD183" s="24" t="inlineStr">
        <is>
          <t>2026-08-21T21:54:18.619305Z</t>
        </is>
      </c>
      <c r="AE183" s="31" t="inlineStr">
        <is>
          <t>Neutral Elo baseline; executable ask 0.5600 (market_slug=aec-lol-vit-navi-2026-08-21).</t>
        </is>
      </c>
      <c r="AF183" s="31" t="inlineStr">
        <is>
          <t>Config-promoted esports baseline; gates enforced at log time.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4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Natus Vincere</t>
        </is>
      </c>
      <c r="AQ183" s="24" t="inlineStr">
        <is>
          <t>Natus Vincere</t>
        </is>
      </c>
      <c r="AR183" s="24" t="inlineStr">
        <is>
          <t>Natus Vincere</t>
        </is>
      </c>
      <c r="AS183" s="24" t="inlineStr">
        <is>
          <t>Team Vitality</t>
        </is>
      </c>
      <c r="AT183" s="24" t="inlineStr">
        <is>
          <t>Team Vitality</t>
        </is>
      </c>
      <c r="AU183" s="24" t="inlineStr">
        <is>
          <t>Team Vitality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7a56228dbf41b6928e19131a6fd58786baadd5d8cc58b19b42ffa9625239e18b</t>
        </is>
      </c>
      <c r="BB183" s="24" t="inlineStr">
        <is>
          <t>neutral_elo</t>
        </is>
      </c>
      <c r="BC183" s="24" t="inlineStr">
        <is>
          <t>lol-tiered-elo-v6</t>
        </is>
      </c>
      <c r="BD183" s="24" t="inlineStr">
        <is>
          <t>7a56228dbf41b6928e19131a6fd58786baadd5d8cc58b19b42ffa9625239e18b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lol-tiered-elo-v6</t>
        </is>
      </c>
      <c r="BH183" s="24" t="inlineStr">
        <is>
          <t>2026-08-21T11:34:15.798798Z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>
        <v>1.787402</v>
      </c>
      <c r="BR183" s="28" t="n">
        <v>0.5600000000000001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0.559471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69fd1d337c9d479e</t>
        </is>
      </c>
      <c r="B184" s="24" t="inlineStr">
        <is>
          <t>2026-08-21T21:57:08.271686Z</t>
        </is>
      </c>
      <c r="C184" s="24" t="inlineStr">
        <is>
          <t>2026-08-22T00:00:00Z</t>
        </is>
      </c>
      <c r="D184" s="24" t="inlineStr">
        <is>
          <t>86080</t>
        </is>
      </c>
      <c r="E184" s="24" t="inlineStr">
        <is>
          <t>LOL</t>
        </is>
      </c>
      <c r="F184" s="24" t="inlineStr">
        <is>
          <t>Winthrop University</t>
        </is>
      </c>
      <c r="G184" s="24" t="inlineStr">
        <is>
          <t>University of Mississippi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-113</v>
      </c>
      <c r="M184" s="27" t="n">
        <v>1.884956</v>
      </c>
      <c r="N184" s="28" t="n">
        <v>0.530516</v>
      </c>
      <c r="O184" s="28" t="n">
        <v>0.539467</v>
      </c>
      <c r="P184" s="28" t="n"/>
      <c r="Q184" s="28" t="n">
        <v>0.008951000000000001</v>
      </c>
      <c r="R184" s="26" t="n">
        <v>24</v>
      </c>
      <c r="S184" s="29" t="n">
        <v>1</v>
      </c>
      <c r="T184" s="24" t="inlineStr">
        <is>
          <t>lol-tiered-elo-v6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1</v>
      </c>
      <c r="X184" s="26" t="n">
        <v>0</v>
      </c>
      <c r="Y184" s="25" t="n"/>
      <c r="Z184" s="26" t="n">
        <v>-113</v>
      </c>
      <c r="AA184" s="28" t="n">
        <v>0.53</v>
      </c>
      <c r="AB184" s="28" t="n">
        <v>-0.000516</v>
      </c>
      <c r="AC184" s="30" t="n">
        <v>0.885</v>
      </c>
      <c r="AD184" s="24" t="inlineStr">
        <is>
          <t>2026-08-22T01:00:41.208688Z</t>
        </is>
      </c>
      <c r="AE184" s="31" t="inlineStr">
        <is>
          <t>Neutral Elo baseline; executable ask 0.5300 (market_slug=aec-lol-miss-wu-2026-08-22).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Winthrop University</t>
        </is>
      </c>
      <c r="AQ184" s="24" t="inlineStr">
        <is>
          <t>Winthrop University</t>
        </is>
      </c>
      <c r="AR184" s="24" t="inlineStr">
        <is>
          <t>Winthrop University</t>
        </is>
      </c>
      <c r="AS184" s="24" t="inlineStr">
        <is>
          <t>University of Mississippi</t>
        </is>
      </c>
      <c r="AT184" s="24" t="inlineStr">
        <is>
          <t>University of Mississippi</t>
        </is>
      </c>
      <c r="AU184" s="24" t="inlineStr">
        <is>
          <t>University of Mississippi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69c93de0fb991ea5593ed7b4bf610bff1ac1fd10d8ba0159a5c6f5036db38099</t>
        </is>
      </c>
      <c r="BB184" s="24" t="inlineStr">
        <is>
          <t>neutral_elo</t>
        </is>
      </c>
      <c r="BC184" s="24" t="inlineStr">
        <is>
          <t>lol-tiered-elo-v6</t>
        </is>
      </c>
      <c r="BD184" s="24" t="inlineStr">
        <is>
          <t>69c93de0fb991ea5593ed7b4bf610bff1ac1fd10d8ba0159a5c6f5036db38099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lol-tiered-elo-v6</t>
        </is>
      </c>
      <c r="BH184" s="24" t="inlineStr">
        <is>
          <t>2026-08-21T21:57:07.237317Z</t>
        </is>
      </c>
      <c r="BI184" s="24" t="inlineStr">
        <is>
          <t>["same_event","same_team_same_day","same_league_same_day"]</t>
        </is>
      </c>
      <c r="BJ184" s="25" t="n"/>
      <c r="BK184" s="26" t="n">
        <v>-113</v>
      </c>
      <c r="BL184" s="27" t="n">
        <v>1.884956</v>
      </c>
      <c r="BM184" s="28" t="n">
        <v>0.530516</v>
      </c>
      <c r="BN184" s="28" t="n"/>
      <c r="BO184" s="28" t="n"/>
      <c r="BP184" s="25" t="n"/>
      <c r="BQ184" s="27" t="n">
        <v>1.884956</v>
      </c>
      <c r="BR184" s="28" t="n">
        <v>0.53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0.530516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2a44351b8cf94101</t>
        </is>
      </c>
      <c r="B185" s="24" t="inlineStr">
        <is>
          <t>2026-08-22T03:46:01.427986Z</t>
        </is>
      </c>
      <c r="C185" s="24" t="inlineStr">
        <is>
          <t>2026-08-22T23:00:00Z</t>
        </is>
      </c>
      <c r="D185" s="24" t="inlineStr">
        <is>
          <t>87056</t>
        </is>
      </c>
      <c r="E185" s="24" t="inlineStr">
        <is>
          <t>LOL</t>
        </is>
      </c>
      <c r="F185" s="24" t="inlineStr">
        <is>
          <t>Dignitas</t>
        </is>
      </c>
      <c r="G185" s="24" t="inlineStr">
        <is>
          <t>Disguised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113</v>
      </c>
      <c r="M185" s="27" t="n">
        <v>2.13</v>
      </c>
      <c r="N185" s="28" t="n">
        <v>0.469484</v>
      </c>
      <c r="O185" s="28" t="n">
        <v>0.654549</v>
      </c>
      <c r="P185" s="28" t="n"/>
      <c r="Q185" s="28" t="n">
        <v>0.185065</v>
      </c>
      <c r="R185" s="26" t="n">
        <v>100</v>
      </c>
      <c r="S185" s="29" t="n">
        <v>1.75</v>
      </c>
      <c r="T185" s="24" t="inlineStr">
        <is>
          <t>lol-tiered-elo-v6</t>
        </is>
      </c>
      <c r="U185" s="24" t="inlineStr">
        <is>
          <t>settled</t>
        </is>
      </c>
      <c r="V185" s="24" t="inlineStr">
        <is>
          <t>win</t>
        </is>
      </c>
      <c r="W185" s="26" t="n">
        <v>0</v>
      </c>
      <c r="X185" s="26" t="n">
        <v>1</v>
      </c>
      <c r="Y185" s="25" t="n"/>
      <c r="Z185" s="26" t="n">
        <v>-376</v>
      </c>
      <c r="AA185" s="28" t="n">
        <v>0.79</v>
      </c>
      <c r="AB185" s="28" t="n">
        <v>0.320516</v>
      </c>
      <c r="AC185" s="30" t="n">
        <v>1.9775</v>
      </c>
      <c r="AD185" s="24" t="inlineStr">
        <is>
          <t>2026-08-24T04:49:45.034595Z</t>
        </is>
      </c>
      <c r="AE185" s="31" t="inlineStr">
        <is>
          <t>Neutral Elo baseline; executable ask 0.4700 (market_slug=aec-lol-dsg-dig-2026-08-22).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Dignitas</t>
        </is>
      </c>
      <c r="AQ185" s="24" t="inlineStr">
        <is>
          <t>Dignitas</t>
        </is>
      </c>
      <c r="AR185" s="24" t="inlineStr">
        <is>
          <t>Dignitas</t>
        </is>
      </c>
      <c r="AS185" s="24" t="inlineStr">
        <is>
          <t>Disguised</t>
        </is>
      </c>
      <c r="AT185" s="24" t="inlineStr">
        <is>
          <t>Disguised</t>
        </is>
      </c>
      <c r="AU185" s="24" t="inlineStr">
        <is>
          <t>Disguised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b345df28b42b5adc02bbed253c0227a92683ae33c3460414910c1f48d398cbdc</t>
        </is>
      </c>
      <c r="BB185" s="24" t="inlineStr">
        <is>
          <t>neutral_elo</t>
        </is>
      </c>
      <c r="BC185" s="24" t="inlineStr">
        <is>
          <t>lol-tiered-elo-v6</t>
        </is>
      </c>
      <c r="BD185" s="24" t="inlineStr">
        <is>
          <t>b345df28b42b5adc02bbed253c0227a92683ae33c3460414910c1f48d398cbdc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lol-tiered-elo-v6</t>
        </is>
      </c>
      <c r="BH185" s="24" t="inlineStr">
        <is>
          <t>2026-08-22T03:46:01.424188Z</t>
        </is>
      </c>
      <c r="BI185" s="24" t="inlineStr">
        <is>
          <t>["same_event","same_team_same_day","same_league_same_day"]</t>
        </is>
      </c>
      <c r="BJ185" s="25" t="n"/>
      <c r="BK185" s="26" t="n">
        <v>113</v>
      </c>
      <c r="BL185" s="27" t="n">
        <v>2.13</v>
      </c>
      <c r="BM185" s="28" t="n">
        <v>0.469484</v>
      </c>
      <c r="BN185" s="28" t="n"/>
      <c r="BO185" s="28" t="n"/>
      <c r="BP185" s="25" t="n"/>
      <c r="BQ185" s="27" t="n">
        <v>1.265957</v>
      </c>
      <c r="BR185" s="28" t="n">
        <v>0.79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0.469484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a82e4002ff234108</t>
        </is>
      </c>
      <c r="B186" s="24" t="inlineStr">
        <is>
          <t>2026-08-22T05:06:04.968334Z</t>
        </is>
      </c>
      <c r="C186" s="24" t="inlineStr">
        <is>
          <t>2026-08-22T07:00:00Z</t>
        </is>
      </c>
      <c r="D186" s="24" t="inlineStr">
        <is>
          <t>86172</t>
        </is>
      </c>
      <c r="E186" s="24" t="inlineStr">
        <is>
          <t>LOL</t>
        </is>
      </c>
      <c r="F186" s="24" t="inlineStr">
        <is>
          <t>LGD Gaming</t>
        </is>
      </c>
      <c r="G186" s="24" t="inlineStr">
        <is>
          <t>Team WE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-144</v>
      </c>
      <c r="M186" s="27" t="n">
        <v>1.694444</v>
      </c>
      <c r="N186" s="28" t="n">
        <v>0.590164</v>
      </c>
      <c r="O186" s="28" t="n">
        <v>0.5918</v>
      </c>
      <c r="P186" s="28" t="n"/>
      <c r="Q186" s="28" t="n">
        <v>0.001636</v>
      </c>
      <c r="R186" s="26" t="n">
        <v>21</v>
      </c>
      <c r="S186" s="29" t="n">
        <v>1.25</v>
      </c>
      <c r="T186" s="24" t="inlineStr">
        <is>
          <t>lol-tiered-elo-v6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0</v>
      </c>
      <c r="Y186" s="25" t="n"/>
      <c r="Z186" s="26" t="n">
        <v>-144</v>
      </c>
      <c r="AA186" s="28" t="n">
        <v>0.59</v>
      </c>
      <c r="AB186" s="28" t="n">
        <v>-0.000164</v>
      </c>
      <c r="AC186" s="30" t="n">
        <v>-1.25</v>
      </c>
      <c r="AD186" s="24" t="inlineStr">
        <is>
          <t>2026-08-22T12:23:26.671566Z</t>
        </is>
      </c>
      <c r="AE186" s="31" t="inlineStr">
        <is>
          <t>Neutral Elo baseline; executable ask 0.5900 (market_slug=aec-lol-we-lgd-2026-08-22).</t>
        </is>
      </c>
      <c r="AF186" s="31" t="inlineStr">
        <is>
          <t>Config-promoted esports baseline; gates enforced at log time.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4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LGD Gaming</t>
        </is>
      </c>
      <c r="AQ186" s="24" t="inlineStr">
        <is>
          <t>LGD Gaming</t>
        </is>
      </c>
      <c r="AR186" s="24" t="inlineStr">
        <is>
          <t>LGD Gaming</t>
        </is>
      </c>
      <c r="AS186" s="24" t="inlineStr">
        <is>
          <t>Team WE</t>
        </is>
      </c>
      <c r="AT186" s="24" t="inlineStr">
        <is>
          <t>Team WE</t>
        </is>
      </c>
      <c r="AU186" s="24" t="inlineStr">
        <is>
          <t>Team WE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ad016abac363e42f8f5eac8c038f7364746fb31acff4d347487a63f2916e399e</t>
        </is>
      </c>
      <c r="BB186" s="24" t="inlineStr">
        <is>
          <t>neutral_elo</t>
        </is>
      </c>
      <c r="BC186" s="24" t="inlineStr">
        <is>
          <t>lol-tiered-elo-v6</t>
        </is>
      </c>
      <c r="BD186" s="24" t="inlineStr">
        <is>
          <t>ad016abac363e42f8f5eac8c038f7364746fb31acff4d347487a63f2916e399e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lol-tiered-elo-v6</t>
        </is>
      </c>
      <c r="BH186" s="24" t="inlineStr">
        <is>
          <t>2026-08-22T05:06:02.848807Z</t>
        </is>
      </c>
      <c r="BI186" s="24" t="inlineStr">
        <is>
          <t>["same_event","same_team_same_day","same_league_same_day"]</t>
        </is>
      </c>
      <c r="BJ186" s="25" t="n"/>
      <c r="BK186" s="26" t="n">
        <v>-144</v>
      </c>
      <c r="BL186" s="27" t="n">
        <v>1.694444</v>
      </c>
      <c r="BM186" s="28" t="n">
        <v>0.590164</v>
      </c>
      <c r="BN186" s="28" t="n"/>
      <c r="BO186" s="28" t="n"/>
      <c r="BP186" s="25" t="n"/>
      <c r="BQ186" s="27" t="n">
        <v>1.694444</v>
      </c>
      <c r="BR186" s="28" t="n">
        <v>0.59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0.590164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0452b8c22d2347ba</t>
        </is>
      </c>
      <c r="B187" s="24" t="inlineStr">
        <is>
          <t>2026-08-22T07:30:22.280097Z</t>
        </is>
      </c>
      <c r="C187" s="24" t="inlineStr">
        <is>
          <t>2026-08-22T08:00:00Z</t>
        </is>
      </c>
      <c r="D187" s="24" t="inlineStr">
        <is>
          <t>86173</t>
        </is>
      </c>
      <c r="E187" s="24" t="inlineStr">
        <is>
          <t>LOL</t>
        </is>
      </c>
      <c r="F187" s="24" t="inlineStr">
        <is>
          <t>Gen.G</t>
        </is>
      </c>
      <c r="G187" s="24" t="inlineStr">
        <is>
          <t>Dplus KIA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-203</v>
      </c>
      <c r="M187" s="27" t="n">
        <v>1.492611</v>
      </c>
      <c r="N187" s="28" t="n">
        <v>0.669967</v>
      </c>
      <c r="O187" s="28" t="n">
        <v>0.512585</v>
      </c>
      <c r="P187" s="28" t="n"/>
      <c r="Q187" s="28" t="n">
        <v>-0.157382</v>
      </c>
      <c r="R187" s="26" t="n">
        <v>0</v>
      </c>
      <c r="S187" s="29" t="n">
        <v>1</v>
      </c>
      <c r="T187" s="24" t="inlineStr">
        <is>
          <t>lol-tiered-elo-v6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1</v>
      </c>
      <c r="Y187" s="25" t="n"/>
      <c r="Z187" s="26" t="n">
        <v>-203</v>
      </c>
      <c r="AA187" s="28" t="n">
        <v>0.67</v>
      </c>
      <c r="AB187" s="28" t="n">
        <v>3.3e-05</v>
      </c>
      <c r="AC187" s="30" t="n">
        <v>-1</v>
      </c>
      <c r="AD187" s="24" t="inlineStr">
        <is>
          <t>2026-08-22T12:23:29.391711Z</t>
        </is>
      </c>
      <c r="AE187" s="31" t="inlineStr">
        <is>
          <t>Neutral Elo baseline; executable ask 0.6700 (market_slug=aec-lol-dk-gen-2026-08-22).</t>
        </is>
      </c>
      <c r="AF187" s="31" t="inlineStr">
        <is>
          <t>Config-promoted esports baseline; gates enforced at log time.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Gen.G</t>
        </is>
      </c>
      <c r="AQ187" s="24" t="inlineStr">
        <is>
          <t>Gen.G</t>
        </is>
      </c>
      <c r="AR187" s="24" t="inlineStr">
        <is>
          <t>Gen.G</t>
        </is>
      </c>
      <c r="AS187" s="24" t="inlineStr">
        <is>
          <t>Dplus KIA</t>
        </is>
      </c>
      <c r="AT187" s="24" t="inlineStr">
        <is>
          <t>Dplus KIA</t>
        </is>
      </c>
      <c r="AU187" s="24" t="inlineStr">
        <is>
          <t>Dplus KIA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8fe3926a881830a7b33a2d5c5136a2d92745c6c5025d01f7d305e330d7d208f5</t>
        </is>
      </c>
      <c r="BB187" s="24" t="inlineStr">
        <is>
          <t>neutral_elo</t>
        </is>
      </c>
      <c r="BC187" s="24" t="inlineStr">
        <is>
          <t>lol-tiered-elo-v6</t>
        </is>
      </c>
      <c r="BD187" s="24" t="inlineStr">
        <is>
          <t>8fe3926a881830a7b33a2d5c5136a2d92745c6c5025d01f7d305e330d7d208f5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lol-tiered-elo-v6</t>
        </is>
      </c>
      <c r="BH187" s="24" t="inlineStr">
        <is>
          <t>2026-08-22T07:30:19.837424Z</t>
        </is>
      </c>
      <c r="BI187" s="24" t="inlineStr">
        <is>
          <t>["same_event","same_team_same_day","same_league_same_day"]</t>
        </is>
      </c>
      <c r="BJ187" s="25" t="n"/>
      <c r="BK187" s="26" t="n">
        <v>-203</v>
      </c>
      <c r="BL187" s="27" t="n">
        <v>1.492611</v>
      </c>
      <c r="BM187" s="28" t="n">
        <v>0.669967</v>
      </c>
      <c r="BN187" s="28" t="n"/>
      <c r="BO187" s="28" t="n"/>
      <c r="BP187" s="25" t="n"/>
      <c r="BQ187" s="27" t="n">
        <v>1.492611</v>
      </c>
      <c r="BR187" s="28" t="n">
        <v>0.67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0.669967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f85f14710eb8427a</t>
        </is>
      </c>
      <c r="B188" s="24" t="inlineStr">
        <is>
          <t>2026-08-22T07:30:22.280097Z</t>
        </is>
      </c>
      <c r="C188" s="24" t="inlineStr">
        <is>
          <t>2026-08-22T09:00:00Z</t>
        </is>
      </c>
      <c r="D188" s="24" t="inlineStr">
        <is>
          <t>87982</t>
        </is>
      </c>
      <c r="E188" s="24" t="inlineStr">
        <is>
          <t>LOL</t>
        </is>
      </c>
      <c r="F188" s="24" t="inlineStr">
        <is>
          <t>GAM Esports</t>
        </is>
      </c>
      <c r="G188" s="24" t="inlineStr">
        <is>
          <t>MVK Esports</t>
        </is>
      </c>
      <c r="H188" s="24" t="inlineStr">
        <is>
          <t>moneyline</t>
        </is>
      </c>
      <c r="I188" s="24" t="inlineStr">
        <is>
          <t>away</t>
        </is>
      </c>
      <c r="J188" s="25" t="n"/>
      <c r="K188" s="24" t="inlineStr">
        <is>
          <t>polymarket_us</t>
        </is>
      </c>
      <c r="L188" s="26" t="n">
        <v>-163</v>
      </c>
      <c r="M188" s="27" t="n">
        <v>1.613497</v>
      </c>
      <c r="N188" s="28" t="n">
        <v>0.619772</v>
      </c>
      <c r="O188" s="28" t="n">
        <v>0.531281</v>
      </c>
      <c r="P188" s="28" t="n"/>
      <c r="Q188" s="28" t="n">
        <v>-0.088491</v>
      </c>
      <c r="R188" s="26" t="n">
        <v>0</v>
      </c>
      <c r="S188" s="29" t="n">
        <v>1</v>
      </c>
      <c r="T188" s="24" t="inlineStr">
        <is>
          <t>lol-tiered-elo-v6</t>
        </is>
      </c>
      <c r="U188" s="24" t="inlineStr">
        <is>
          <t>settled</t>
        </is>
      </c>
      <c r="V188" s="24" t="inlineStr">
        <is>
          <t>loss</t>
        </is>
      </c>
      <c r="W188" s="26" t="n">
        <v>0</v>
      </c>
      <c r="X188" s="26" t="n">
        <v>1</v>
      </c>
      <c r="Y188" s="25" t="n"/>
      <c r="Z188" s="26" t="n">
        <v>-163</v>
      </c>
      <c r="AA188" s="28" t="n">
        <v>0.62</v>
      </c>
      <c r="AB188" s="28" t="n">
        <v>0.000228</v>
      </c>
      <c r="AC188" s="30" t="n">
        <v>-1</v>
      </c>
      <c r="AD188" s="24" t="inlineStr">
        <is>
          <t>2026-08-22T15:40:19.435767Z</t>
        </is>
      </c>
      <c r="AE188" s="31" t="inlineStr">
        <is>
          <t>Neutral Elo baseline; executable ask 0.6200 (market_slug=aec-lol-mvk-gam-2026-08-22).</t>
        </is>
      </c>
      <c r="AF188" s="31" t="inlineStr">
        <is>
          <t>Config-promoted esports baseline; gates enforced at log time.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GAM Esports</t>
        </is>
      </c>
      <c r="AQ188" s="24" t="inlineStr">
        <is>
          <t>GAM Esports</t>
        </is>
      </c>
      <c r="AR188" s="24" t="inlineStr">
        <is>
          <t>GAM Esports</t>
        </is>
      </c>
      <c r="AS188" s="24" t="inlineStr">
        <is>
          <t>MVK Esports</t>
        </is>
      </c>
      <c r="AT188" s="24" t="inlineStr">
        <is>
          <t>MVK Esports</t>
        </is>
      </c>
      <c r="AU188" s="24" t="inlineStr">
        <is>
          <t>MVK Esports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8fe3926a881830a7b33a2d5c5136a2d92745c6c5025d01f7d305e330d7d208f5</t>
        </is>
      </c>
      <c r="BB188" s="24" t="inlineStr">
        <is>
          <t>neutral_elo</t>
        </is>
      </c>
      <c r="BC188" s="24" t="inlineStr">
        <is>
          <t>lol-tiered-elo-v6</t>
        </is>
      </c>
      <c r="BD188" s="24" t="inlineStr">
        <is>
          <t>8fe3926a881830a7b33a2d5c5136a2d92745c6c5025d01f7d305e330d7d208f5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lol-tiered-elo-v6</t>
        </is>
      </c>
      <c r="BH188" s="24" t="inlineStr">
        <is>
          <t>2026-08-22T07:30:19.907864Z</t>
        </is>
      </c>
      <c r="BI188" s="24" t="inlineStr">
        <is>
          <t>["same_event","same_team_same_day","same_league_same_day"]</t>
        </is>
      </c>
      <c r="BJ188" s="25" t="n"/>
      <c r="BK188" s="26" t="n">
        <v>-163</v>
      </c>
      <c r="BL188" s="27" t="n">
        <v>1.613497</v>
      </c>
      <c r="BM188" s="28" t="n">
        <v>0.619772</v>
      </c>
      <c r="BN188" s="28" t="n"/>
      <c r="BO188" s="28" t="n"/>
      <c r="BP188" s="25" t="n"/>
      <c r="BQ188" s="27" t="n">
        <v>1.613497</v>
      </c>
      <c r="BR188" s="28" t="n">
        <v>0.62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0.619772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c4a56c7dadbd47a1</t>
        </is>
      </c>
      <c r="B189" s="24" t="inlineStr">
        <is>
          <t>2026-08-22T07:30:22.280097Z</t>
        </is>
      </c>
      <c r="C189" s="24" t="inlineStr">
        <is>
          <t>2026-08-22T09:00:00Z</t>
        </is>
      </c>
      <c r="D189" s="24" t="inlineStr">
        <is>
          <t>86183</t>
        </is>
      </c>
      <c r="E189" s="24" t="inlineStr">
        <is>
          <t>LOL</t>
        </is>
      </c>
      <c r="F189" s="24" t="inlineStr">
        <is>
          <t>Invictus Gaming</t>
        </is>
      </c>
      <c r="G189" s="24" t="inlineStr">
        <is>
          <t>Ninjas in Pyjamas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108</v>
      </c>
      <c r="M189" s="27" t="n">
        <v>2.08</v>
      </c>
      <c r="N189" s="28" t="n">
        <v>0.480769</v>
      </c>
      <c r="O189" s="28" t="n">
        <v>0.58501</v>
      </c>
      <c r="P189" s="28" t="n"/>
      <c r="Q189" s="28" t="n">
        <v>0.104241</v>
      </c>
      <c r="R189" s="26" t="n">
        <v>72</v>
      </c>
      <c r="S189" s="29" t="n">
        <v>1.25</v>
      </c>
      <c r="T189" s="24" t="inlineStr">
        <is>
          <t>lol-tiered-elo-v6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108</v>
      </c>
      <c r="AA189" s="28" t="n">
        <v>0.48</v>
      </c>
      <c r="AB189" s="28" t="n">
        <v>-0.000769</v>
      </c>
      <c r="AC189" s="30" t="n">
        <v>1.35</v>
      </c>
      <c r="AD189" s="24" t="inlineStr">
        <is>
          <t>2026-08-22T12:23:32.081092Z</t>
        </is>
      </c>
      <c r="AE189" s="31" t="inlineStr">
        <is>
          <t>Neutral Elo baseline; executable ask 0.4800 (market_slug=aec-lol-nip-ig-2026-08-22).</t>
        </is>
      </c>
      <c r="AF189" s="31" t="inlineStr">
        <is>
          <t>Config-promoted esports baseline; gates enforced at log time.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Invictus Gaming</t>
        </is>
      </c>
      <c r="AQ189" s="24" t="inlineStr">
        <is>
          <t>Invictus Gaming</t>
        </is>
      </c>
      <c r="AR189" s="24" t="inlineStr">
        <is>
          <t>Invictus Gaming</t>
        </is>
      </c>
      <c r="AS189" s="24" t="inlineStr">
        <is>
          <t>Ninjas in Pyjamas</t>
        </is>
      </c>
      <c r="AT189" s="24" t="inlineStr">
        <is>
          <t>Ninjas in Pyjamas</t>
        </is>
      </c>
      <c r="AU189" s="24" t="inlineStr">
        <is>
          <t>Ninjas in Pyjamas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8fe3926a881830a7b33a2d5c5136a2d92745c6c5025d01f7d305e330d7d208f5</t>
        </is>
      </c>
      <c r="BB189" s="24" t="inlineStr">
        <is>
          <t>neutral_elo</t>
        </is>
      </c>
      <c r="BC189" s="24" t="inlineStr">
        <is>
          <t>lol-tiered-elo-v6</t>
        </is>
      </c>
      <c r="BD189" s="24" t="inlineStr">
        <is>
          <t>8fe3926a881830a7b33a2d5c5136a2d92745c6c5025d01f7d305e330d7d208f5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lol-tiered-elo-v6</t>
        </is>
      </c>
      <c r="BH189" s="24" t="inlineStr">
        <is>
          <t>2026-08-22T07:30:19.982319Z</t>
        </is>
      </c>
      <c r="BI189" s="24" t="inlineStr">
        <is>
          <t>["same_event","same_team_same_day","same_league_same_day"]</t>
        </is>
      </c>
      <c r="BJ189" s="25" t="n"/>
      <c r="BK189" s="26" t="n">
        <v>108</v>
      </c>
      <c r="BL189" s="27" t="n">
        <v>2.08</v>
      </c>
      <c r="BM189" s="28" t="n">
        <v>0.480769</v>
      </c>
      <c r="BN189" s="28" t="n"/>
      <c r="BO189" s="28" t="n"/>
      <c r="BP189" s="25" t="n"/>
      <c r="BQ189" s="27" t="n">
        <v>2.08</v>
      </c>
      <c r="BR189" s="28" t="n">
        <v>0.48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0.480769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c8afb5011f5040d8</t>
        </is>
      </c>
      <c r="B190" s="24" t="inlineStr">
        <is>
          <t>2026-08-22T09:16:47.033902Z</t>
        </is>
      </c>
      <c r="C190" s="24" t="inlineStr">
        <is>
          <t>2026-08-22T10:00:00Z</t>
        </is>
      </c>
      <c r="D190" s="24" t="inlineStr">
        <is>
          <t>86200</t>
        </is>
      </c>
      <c r="E190" s="24" t="inlineStr">
        <is>
          <t>LOL</t>
        </is>
      </c>
      <c r="F190" s="24" t="inlineStr">
        <is>
          <t>Kiwoom DRX</t>
        </is>
      </c>
      <c r="G190" s="24" t="inlineStr">
        <is>
          <t>DN SOOPers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-122</v>
      </c>
      <c r="M190" s="27" t="n">
        <v>1.819672</v>
      </c>
      <c r="N190" s="28" t="n">
        <v>0.54955</v>
      </c>
      <c r="O190" s="28" t="n">
        <v>0.724866</v>
      </c>
      <c r="P190" s="28" t="n"/>
      <c r="Q190" s="28" t="n">
        <v>0.175316</v>
      </c>
      <c r="R190" s="26" t="n">
        <v>100</v>
      </c>
      <c r="S190" s="29" t="n">
        <v>2</v>
      </c>
      <c r="T190" s="24" t="inlineStr">
        <is>
          <t>lol-tiered-elo-v6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-122</v>
      </c>
      <c r="AA190" s="28" t="n">
        <v>0.55</v>
      </c>
      <c r="AB190" s="28" t="n">
        <v>0.00045</v>
      </c>
      <c r="AC190" s="30" t="n">
        <v>1.6393</v>
      </c>
      <c r="AD190" s="24" t="inlineStr">
        <is>
          <t>2026-08-22T15:40:21.382532Z</t>
        </is>
      </c>
      <c r="AE190" s="31" t="inlineStr">
        <is>
          <t>Neutral Elo baseline; executable ask 0.5500 (market_slug=aec-lol-dns-krx-2026-08-22).</t>
        </is>
      </c>
      <c r="AF190" s="31" t="inlineStr">
        <is>
          <t>Config-promoted esports baseline; gates enforced at log time.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Kiwoom DRX</t>
        </is>
      </c>
      <c r="AQ190" s="24" t="inlineStr">
        <is>
          <t>Kiwoom DRX</t>
        </is>
      </c>
      <c r="AR190" s="24" t="inlineStr">
        <is>
          <t>Kiwoom DRX</t>
        </is>
      </c>
      <c r="AS190" s="24" t="inlineStr">
        <is>
          <t>DN SOOPers</t>
        </is>
      </c>
      <c r="AT190" s="24" t="inlineStr">
        <is>
          <t>DN SOOPers</t>
        </is>
      </c>
      <c r="AU190" s="24" t="inlineStr">
        <is>
          <t>DN SOOPers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864cb5375422ae90df195a19892f17f3ed533f4391cb76aee61355a36c386489</t>
        </is>
      </c>
      <c r="BB190" s="24" t="inlineStr">
        <is>
          <t>neutral_elo</t>
        </is>
      </c>
      <c r="BC190" s="24" t="inlineStr">
        <is>
          <t>lol-tiered-elo-v6</t>
        </is>
      </c>
      <c r="BD190" s="24" t="inlineStr">
        <is>
          <t>864cb5375422ae90df195a19892f17f3ed533f4391cb76aee61355a36c386489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lol-tiered-elo-v6</t>
        </is>
      </c>
      <c r="BH190" s="24" t="inlineStr">
        <is>
          <t>2026-08-22T09:16:44.546064Z</t>
        </is>
      </c>
      <c r="BI190" s="24" t="inlineStr">
        <is>
          <t>["same_event","same_team_same_day","same_league_same_day"]</t>
        </is>
      </c>
      <c r="BJ190" s="25" t="n"/>
      <c r="BK190" s="26" t="n">
        <v>-122</v>
      </c>
      <c r="BL190" s="27" t="n">
        <v>1.819672</v>
      </c>
      <c r="BM190" s="28" t="n">
        <v>0.54955</v>
      </c>
      <c r="BN190" s="28" t="n"/>
      <c r="BO190" s="28" t="n"/>
      <c r="BP190" s="25" t="n"/>
      <c r="BQ190" s="27" t="n">
        <v>1.819672</v>
      </c>
      <c r="BR190" s="28" t="n">
        <v>0.55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0.54955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51fdde0151874fd9</t>
        </is>
      </c>
      <c r="B191" s="24" t="inlineStr">
        <is>
          <t>2026-08-22T09:16:47.033902Z</t>
        </is>
      </c>
      <c r="C191" s="24" t="inlineStr">
        <is>
          <t>2026-08-22T11:00:00Z</t>
        </is>
      </c>
      <c r="D191" s="24" t="inlineStr">
        <is>
          <t>86219</t>
        </is>
      </c>
      <c r="E191" s="24" t="inlineStr">
        <is>
          <t>LOL</t>
        </is>
      </c>
      <c r="F191" s="24" t="inlineStr">
        <is>
          <t>Top Esports</t>
        </is>
      </c>
      <c r="G191" s="24" t="inlineStr">
        <is>
          <t>JD Gaming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-117</v>
      </c>
      <c r="M191" s="27" t="n">
        <v>1.854701</v>
      </c>
      <c r="N191" s="28" t="n">
        <v>0.539171</v>
      </c>
      <c r="O191" s="28" t="n">
        <v>0.521602</v>
      </c>
      <c r="P191" s="28" t="n"/>
      <c r="Q191" s="28" t="n">
        <v>-0.017569</v>
      </c>
      <c r="R191" s="26" t="n">
        <v>11</v>
      </c>
      <c r="S191" s="29" t="n">
        <v>1</v>
      </c>
      <c r="T191" s="24" t="inlineStr">
        <is>
          <t>lol-tiered-elo-v6</t>
        </is>
      </c>
      <c r="U191" s="24" t="inlineStr">
        <is>
          <t>settled</t>
        </is>
      </c>
      <c r="V191" s="24" t="inlineStr">
        <is>
          <t>loss</t>
        </is>
      </c>
      <c r="W191" s="26" t="n">
        <v>0</v>
      </c>
      <c r="X191" s="26" t="n">
        <v>1</v>
      </c>
      <c r="Y191" s="25" t="n"/>
      <c r="Z191" s="26" t="n">
        <v>-117</v>
      </c>
      <c r="AA191" s="28" t="n">
        <v>0.54</v>
      </c>
      <c r="AB191" s="28" t="n">
        <v>0.000829</v>
      </c>
      <c r="AC191" s="30" t="n">
        <v>-1</v>
      </c>
      <c r="AD191" s="24" t="inlineStr">
        <is>
          <t>2026-08-22T15:40:22.542165Z</t>
        </is>
      </c>
      <c r="AE191" s="31" t="inlineStr">
        <is>
          <t>Neutral Elo baseline; executable ask 0.5400 (market_slug=aec-lol-jdg-tes-2026-08-22).</t>
        </is>
      </c>
      <c r="AF191" s="31" t="inlineStr">
        <is>
          <t>Config-promoted esports baseline; gates enforced at log time.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Top Esports</t>
        </is>
      </c>
      <c r="AQ191" s="24" t="inlineStr">
        <is>
          <t>Top Esports</t>
        </is>
      </c>
      <c r="AR191" s="24" t="inlineStr">
        <is>
          <t>Top Esports</t>
        </is>
      </c>
      <c r="AS191" s="24" t="inlineStr">
        <is>
          <t>JD Gaming</t>
        </is>
      </c>
      <c r="AT191" s="24" t="inlineStr">
        <is>
          <t>JD Gaming</t>
        </is>
      </c>
      <c r="AU191" s="24" t="inlineStr">
        <is>
          <t>JD Gaming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864cb5375422ae90df195a19892f17f3ed533f4391cb76aee61355a36c386489</t>
        </is>
      </c>
      <c r="BB191" s="24" t="inlineStr">
        <is>
          <t>neutral_elo</t>
        </is>
      </c>
      <c r="BC191" s="24" t="inlineStr">
        <is>
          <t>lol-tiered-elo-v6</t>
        </is>
      </c>
      <c r="BD191" s="24" t="inlineStr">
        <is>
          <t>864cb5375422ae90df195a19892f17f3ed533f4391cb76aee61355a36c386489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lol-tiered-elo-v6</t>
        </is>
      </c>
      <c r="BH191" s="24" t="inlineStr">
        <is>
          <t>2026-08-22T09:16:44.621778Z</t>
        </is>
      </c>
      <c r="BI191" s="24" t="inlineStr">
        <is>
          <t>["same_event","same_team_same_day","same_league_same_day"]</t>
        </is>
      </c>
      <c r="BJ191" s="25" t="n"/>
      <c r="BK191" s="26" t="n">
        <v>-117</v>
      </c>
      <c r="BL191" s="27" t="n">
        <v>1.854701</v>
      </c>
      <c r="BM191" s="28" t="n">
        <v>0.539171</v>
      </c>
      <c r="BN191" s="28" t="n"/>
      <c r="BO191" s="28" t="n"/>
      <c r="BP191" s="25" t="n"/>
      <c r="BQ191" s="27" t="n">
        <v>1.854701</v>
      </c>
      <c r="BR191" s="28" t="n">
        <v>0.54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0.539171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62de9695992a47d9</t>
        </is>
      </c>
      <c r="B192" s="24" t="inlineStr">
        <is>
          <t>2026-08-22T19:09:12.596131Z</t>
        </is>
      </c>
      <c r="C192" s="24" t="inlineStr">
        <is>
          <t>2026-08-22T20:00:00Z</t>
        </is>
      </c>
      <c r="D192" s="24" t="inlineStr">
        <is>
          <t>86906</t>
        </is>
      </c>
      <c r="E192" s="24" t="inlineStr">
        <is>
          <t>LOL</t>
        </is>
      </c>
      <c r="F192" s="24" t="inlineStr">
        <is>
          <t>FlyQuest</t>
        </is>
      </c>
      <c r="G192" s="24" t="inlineStr">
        <is>
          <t>Sentinels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113</v>
      </c>
      <c r="M192" s="27" t="n">
        <v>2.13</v>
      </c>
      <c r="N192" s="28" t="n">
        <v>0.469484</v>
      </c>
      <c r="O192" s="28" t="n">
        <v>0.51455</v>
      </c>
      <c r="P192" s="28" t="n"/>
      <c r="Q192" s="28" t="n">
        <v>0.045066</v>
      </c>
      <c r="R192" s="26" t="n">
        <v>43</v>
      </c>
      <c r="S192" s="29" t="n">
        <v>1</v>
      </c>
      <c r="T192" s="24" t="inlineStr">
        <is>
          <t>lol-tiered-elo-v6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1</v>
      </c>
      <c r="Y192" s="25" t="n"/>
      <c r="Z192" s="26" t="n">
        <v>113</v>
      </c>
      <c r="AA192" s="28" t="n">
        <v>0.47</v>
      </c>
      <c r="AB192" s="28" t="n">
        <v>0.000516</v>
      </c>
      <c r="AC192" s="30" t="n">
        <v>1.13</v>
      </c>
      <c r="AD192" s="24" t="inlineStr">
        <is>
          <t>2026-08-22T22:17:01.839000Z</t>
        </is>
      </c>
      <c r="AE192" s="31" t="inlineStr">
        <is>
          <t>Neutral Elo baseline; executable ask 0.4700 (market_slug=aec-lol-sen-fly-2026-08-22).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FlyQuest</t>
        </is>
      </c>
      <c r="AQ192" s="24" t="inlineStr">
        <is>
          <t>FlyQuest</t>
        </is>
      </c>
      <c r="AR192" s="24" t="inlineStr">
        <is>
          <t>FlyQuest</t>
        </is>
      </c>
      <c r="AS192" s="24" t="inlineStr">
        <is>
          <t>Sentinels</t>
        </is>
      </c>
      <c r="AT192" s="24" t="inlineStr">
        <is>
          <t>Sentinels</t>
        </is>
      </c>
      <c r="AU192" s="24" t="inlineStr">
        <is>
          <t>Sentinels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2b3f7e97cd257edb39d6a130642ee3204d2d696612f4d440d8ee0cb7b85dff4f</t>
        </is>
      </c>
      <c r="BB192" s="24" t="inlineStr">
        <is>
          <t>neutral_elo</t>
        </is>
      </c>
      <c r="BC192" s="24" t="inlineStr">
        <is>
          <t>lol-tiered-elo-v6</t>
        </is>
      </c>
      <c r="BD192" s="24" t="inlineStr">
        <is>
          <t>2b3f7e97cd257edb39d6a130642ee3204d2d696612f4d440d8ee0cb7b85dff4f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lol-tiered-elo-v6</t>
        </is>
      </c>
      <c r="BH192" s="24" t="inlineStr">
        <is>
          <t>2026-08-22T19:09:10.047987Z</t>
        </is>
      </c>
      <c r="BI192" s="24" t="inlineStr">
        <is>
          <t>["same_event","same_team_same_day","same_league_same_day"]</t>
        </is>
      </c>
      <c r="BJ192" s="25" t="n"/>
      <c r="BK192" s="26" t="n">
        <v>113</v>
      </c>
      <c r="BL192" s="27" t="n">
        <v>2.13</v>
      </c>
      <c r="BM192" s="28" t="n">
        <v>0.469484</v>
      </c>
      <c r="BN192" s="28" t="n"/>
      <c r="BO192" s="28" t="n"/>
      <c r="BP192" s="25" t="n"/>
      <c r="BQ192" s="27" t="n">
        <v>2.13</v>
      </c>
      <c r="BR192" s="28" t="n">
        <v>0.47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0.469484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ab8b1b8f3ed148ea</t>
        </is>
      </c>
      <c r="B193" s="24" t="inlineStr">
        <is>
          <t>2026-08-23T05:28:23.738189Z</t>
        </is>
      </c>
      <c r="C193" s="24" t="inlineStr">
        <is>
          <t>2026-08-23T07:00:00Z</t>
        </is>
      </c>
      <c r="D193" s="24" t="inlineStr">
        <is>
          <t>87217</t>
        </is>
      </c>
      <c r="E193" s="24" t="inlineStr">
        <is>
          <t>LOL</t>
        </is>
      </c>
      <c r="F193" s="24" t="inlineStr">
        <is>
          <t>LGD Gaming</t>
        </is>
      </c>
      <c r="G193" s="24" t="inlineStr">
        <is>
          <t>ThunderTalk Gaming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-170</v>
      </c>
      <c r="M193" s="27" t="n">
        <v>1.588235</v>
      </c>
      <c r="N193" s="28" t="n">
        <v>0.62963</v>
      </c>
      <c r="O193" s="28" t="n">
        <v>0.63123</v>
      </c>
      <c r="P193" s="28" t="n"/>
      <c r="Q193" s="28" t="n">
        <v>0.0016</v>
      </c>
      <c r="R193" s="26" t="n">
        <v>21</v>
      </c>
      <c r="S193" s="29" t="n">
        <v>1</v>
      </c>
      <c r="T193" s="24" t="inlineStr">
        <is>
          <t>lol-tiered-elo-v6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/>
      <c r="AA193" s="28" t="n"/>
      <c r="AB193" s="28" t="n"/>
      <c r="AC193" s="30" t="n">
        <v>0.5881999999999999</v>
      </c>
      <c r="AD193" s="24" t="inlineStr">
        <is>
          <t>2026-08-23T15:50:08.065764Z</t>
        </is>
      </c>
      <c r="AE193" s="31" t="inlineStr">
        <is>
          <t>Neutral Elo baseline; executable ask 0.6300 (market_slug=aec-lol-tt-lgd-2026-08-23).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LGD Gaming</t>
        </is>
      </c>
      <c r="AQ193" s="24" t="inlineStr">
        <is>
          <t>LGD Gaming</t>
        </is>
      </c>
      <c r="AR193" s="24" t="inlineStr">
        <is>
          <t>LGD Gaming</t>
        </is>
      </c>
      <c r="AS193" s="24" t="inlineStr">
        <is>
          <t>ThunderTalk Gaming</t>
        </is>
      </c>
      <c r="AT193" s="24" t="inlineStr">
        <is>
          <t>ThunderTalk Gaming</t>
        </is>
      </c>
      <c r="AU193" s="24" t="inlineStr">
        <is>
          <t>ThunderTalk Gaming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aadc3f5b848f91d194bbcdb0f7e9d13888722b0c5ac935400a9ec39a46306a20</t>
        </is>
      </c>
      <c r="BB193" s="24" t="inlineStr">
        <is>
          <t>neutral_elo</t>
        </is>
      </c>
      <c r="BC193" s="24" t="inlineStr">
        <is>
          <t>lol-tiered-elo-v6</t>
        </is>
      </c>
      <c r="BD193" s="24" t="inlineStr">
        <is>
          <t>aadc3f5b848f91d194bbcdb0f7e9d13888722b0c5ac935400a9ec39a46306a20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lol-tiered-elo-v6</t>
        </is>
      </c>
      <c r="BH193" s="24" t="inlineStr">
        <is>
          <t>2026-08-23T05:28:19.864543Z</t>
        </is>
      </c>
      <c r="BI193" s="24" t="inlineStr">
        <is>
          <t>["same_event","same_team_same_day","same_league_same_day"]</t>
        </is>
      </c>
      <c r="BJ193" s="25" t="n"/>
      <c r="BK193" s="26" t="n">
        <v>-170</v>
      </c>
      <c r="BL193" s="27" t="n">
        <v>1.588235</v>
      </c>
      <c r="BM193" s="28" t="n">
        <v>0.62963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0.62963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6d47c21a00804cc4</t>
        </is>
      </c>
      <c r="B194" s="24" t="inlineStr">
        <is>
          <t>2026-08-23T05:28:23.738189Z</t>
        </is>
      </c>
      <c r="C194" s="24" t="inlineStr">
        <is>
          <t>2026-08-23T08:00:00Z</t>
        </is>
      </c>
      <c r="D194" s="24" t="inlineStr">
        <is>
          <t>87226</t>
        </is>
      </c>
      <c r="E194" s="24" t="inlineStr">
        <is>
          <t>LOL</t>
        </is>
      </c>
      <c r="F194" s="24" t="inlineStr">
        <is>
          <t>T1</t>
        </is>
      </c>
      <c r="G194" s="24" t="inlineStr">
        <is>
          <t>Hanwha Life Esports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-122</v>
      </c>
      <c r="M194" s="27" t="n">
        <v>1.819672</v>
      </c>
      <c r="N194" s="28" t="n">
        <v>0.54955</v>
      </c>
      <c r="O194" s="28" t="n">
        <v>0.590438</v>
      </c>
      <c r="P194" s="28" t="n"/>
      <c r="Q194" s="28" t="n">
        <v>0.040888</v>
      </c>
      <c r="R194" s="26" t="n">
        <v>40</v>
      </c>
      <c r="S194" s="29" t="n">
        <v>1</v>
      </c>
      <c r="T194" s="24" t="inlineStr">
        <is>
          <t>lol-tiered-elo-v6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1</v>
      </c>
      <c r="Y194" s="25" t="n"/>
      <c r="Z194" s="26" t="n"/>
      <c r="AA194" s="28" t="n"/>
      <c r="AB194" s="28" t="n"/>
      <c r="AC194" s="30" t="n">
        <v>0.8197</v>
      </c>
      <c r="AD194" s="24" t="inlineStr">
        <is>
          <t>2026-08-23T15:50:09.793011Z</t>
        </is>
      </c>
      <c r="AE194" s="31" t="inlineStr">
        <is>
          <t>Neutral Elo baseline; executable ask 0.5500 (market_slug=aec-lol-hle-t1-2026-08-23).</t>
        </is>
      </c>
      <c r="AF194" s="31" t="inlineStr">
        <is>
          <t>Config-promoted esports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T1</t>
        </is>
      </c>
      <c r="AQ194" s="24" t="inlineStr">
        <is>
          <t>T1</t>
        </is>
      </c>
      <c r="AR194" s="24" t="inlineStr">
        <is>
          <t>T1</t>
        </is>
      </c>
      <c r="AS194" s="24" t="inlineStr">
        <is>
          <t>Hanwha Life Esports</t>
        </is>
      </c>
      <c r="AT194" s="24" t="inlineStr">
        <is>
          <t>Hanwha Life Esports</t>
        </is>
      </c>
      <c r="AU194" s="24" t="inlineStr">
        <is>
          <t>Hanwha Life Esports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aadc3f5b848f91d194bbcdb0f7e9d13888722b0c5ac935400a9ec39a46306a20</t>
        </is>
      </c>
      <c r="BB194" s="24" t="inlineStr">
        <is>
          <t>neutral_elo</t>
        </is>
      </c>
      <c r="BC194" s="24" t="inlineStr">
        <is>
          <t>lol-tiered-elo-v6</t>
        </is>
      </c>
      <c r="BD194" s="24" t="inlineStr">
        <is>
          <t>aadc3f5b848f91d194bbcdb0f7e9d13888722b0c5ac935400a9ec39a46306a20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lol-tiered-elo-v6</t>
        </is>
      </c>
      <c r="BH194" s="24" t="inlineStr">
        <is>
          <t>2026-08-23T05:28:20.478991Z</t>
        </is>
      </c>
      <c r="BI194" s="24" t="inlineStr">
        <is>
          <t>["same_event","same_team_same_day","same_league_same_day"]</t>
        </is>
      </c>
      <c r="BJ194" s="25" t="n"/>
      <c r="BK194" s="26" t="n">
        <v>-122</v>
      </c>
      <c r="BL194" s="27" t="n">
        <v>1.819672</v>
      </c>
      <c r="BM194" s="28" t="n">
        <v>0.54955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0.54955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31d925ebd37f4de2</t>
        </is>
      </c>
      <c r="B195" s="24" t="inlineStr">
        <is>
          <t>2026-08-23T08:37:51.421896Z</t>
        </is>
      </c>
      <c r="C195" s="24" t="inlineStr">
        <is>
          <t>2026-08-23T10:00:00Z</t>
        </is>
      </c>
      <c r="D195" s="24" t="inlineStr">
        <is>
          <t>87250</t>
        </is>
      </c>
      <c r="E195" s="24" t="inlineStr">
        <is>
          <t>LOL</t>
        </is>
      </c>
      <c r="F195" s="24" t="inlineStr">
        <is>
          <t>Nongshim Red Force</t>
        </is>
      </c>
      <c r="G195" s="24" t="inlineStr">
        <is>
          <t>BNK FEARX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-113</v>
      </c>
      <c r="M195" s="27" t="n">
        <v>1.884956</v>
      </c>
      <c r="N195" s="28" t="n">
        <v>0.530516</v>
      </c>
      <c r="O195" s="28" t="n">
        <v>0.509555</v>
      </c>
      <c r="P195" s="28" t="n"/>
      <c r="Q195" s="28" t="n">
        <v>-0.020961</v>
      </c>
      <c r="R195" s="26" t="n">
        <v>10</v>
      </c>
      <c r="S195" s="29" t="n">
        <v>1</v>
      </c>
      <c r="T195" s="24" t="inlineStr">
        <is>
          <t>lol-tiered-elo-v6</t>
        </is>
      </c>
      <c r="U195" s="24" t="inlineStr">
        <is>
          <t>settled</t>
        </is>
      </c>
      <c r="V195" s="24" t="inlineStr">
        <is>
          <t>loss</t>
        </is>
      </c>
      <c r="W195" s="26" t="n">
        <v>1</v>
      </c>
      <c r="X195" s="26" t="n">
        <v>0</v>
      </c>
      <c r="Y195" s="25" t="n"/>
      <c r="Z195" s="26" t="n">
        <v>-113</v>
      </c>
      <c r="AA195" s="28" t="n">
        <v>0.53</v>
      </c>
      <c r="AB195" s="28" t="n">
        <v>-0.000516</v>
      </c>
      <c r="AC195" s="30" t="n">
        <v>-1</v>
      </c>
      <c r="AD195" s="24" t="inlineStr">
        <is>
          <t>2026-08-23T15:50:11.935046Z</t>
        </is>
      </c>
      <c r="AE195" s="31" t="inlineStr">
        <is>
          <t>Neutral Elo baseline; executable ask 0.5300 (market_slug=aec-lol-bfx-ns-2026-08-23).</t>
        </is>
      </c>
      <c r="AF195" s="31" t="inlineStr">
        <is>
          <t>Config-promoted esports baseline; gates enforced at log time.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Nongshim Red Force</t>
        </is>
      </c>
      <c r="AQ195" s="24" t="inlineStr">
        <is>
          <t>Nongshim Red Force</t>
        </is>
      </c>
      <c r="AR195" s="24" t="inlineStr">
        <is>
          <t>Nongshim Red Force</t>
        </is>
      </c>
      <c r="AS195" s="24" t="inlineStr">
        <is>
          <t>BNK FEARX</t>
        </is>
      </c>
      <c r="AT195" s="24" t="inlineStr">
        <is>
          <t>BNK FEARX</t>
        </is>
      </c>
      <c r="AU195" s="24" t="inlineStr">
        <is>
          <t>BNK FEARX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38eb51c22897b15f6cf3645d19628319367f3bdc88e4202cbf7920677ea73347</t>
        </is>
      </c>
      <c r="BB195" s="24" t="inlineStr">
        <is>
          <t>neutral_elo</t>
        </is>
      </c>
      <c r="BC195" s="24" t="inlineStr">
        <is>
          <t>lol-tiered-elo-v6</t>
        </is>
      </c>
      <c r="BD195" s="24" t="inlineStr">
        <is>
          <t>38eb51c22897b15f6cf3645d19628319367f3bdc88e4202cbf7920677ea73347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lol-tiered-elo-v6</t>
        </is>
      </c>
      <c r="BH195" s="24" t="inlineStr">
        <is>
          <t>2026-08-23T08:37:49.427838Z</t>
        </is>
      </c>
      <c r="BI195" s="24" t="inlineStr">
        <is>
          <t>["same_event","same_team_same_day","same_league_same_day"]</t>
        </is>
      </c>
      <c r="BJ195" s="25" t="n"/>
      <c r="BK195" s="26" t="n">
        <v>-113</v>
      </c>
      <c r="BL195" s="27" t="n">
        <v>1.884956</v>
      </c>
      <c r="BM195" s="28" t="n">
        <v>0.530516</v>
      </c>
      <c r="BN195" s="28" t="n"/>
      <c r="BO195" s="28" t="n"/>
      <c r="BP195" s="25" t="n"/>
      <c r="BQ195" s="27" t="n">
        <v>1.884956</v>
      </c>
      <c r="BR195" s="28" t="n">
        <v>0.53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0.530516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d2473a701c284906</t>
        </is>
      </c>
      <c r="B196" s="24" t="inlineStr">
        <is>
          <t>2026-08-23T08:37:51.421896Z</t>
        </is>
      </c>
      <c r="C196" s="24" t="inlineStr">
        <is>
          <t>2026-08-23T11:00:00Z</t>
        </is>
      </c>
      <c r="D196" s="24" t="inlineStr">
        <is>
          <t>87266</t>
        </is>
      </c>
      <c r="E196" s="24" t="inlineStr">
        <is>
          <t>LOL</t>
        </is>
      </c>
      <c r="F196" s="24" t="inlineStr">
        <is>
          <t>Anyone's Legend</t>
        </is>
      </c>
      <c r="G196" s="24" t="inlineStr">
        <is>
          <t>Bilibili Gaming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-223</v>
      </c>
      <c r="M196" s="27" t="n">
        <v>1.44843</v>
      </c>
      <c r="N196" s="28" t="n">
        <v>0.690402</v>
      </c>
      <c r="O196" s="28" t="n">
        <v>0.68807</v>
      </c>
      <c r="P196" s="28" t="n"/>
      <c r="Q196" s="28" t="n">
        <v>-0.002332</v>
      </c>
      <c r="R196" s="26" t="n">
        <v>19</v>
      </c>
      <c r="S196" s="29" t="n">
        <v>1</v>
      </c>
      <c r="T196" s="24" t="inlineStr">
        <is>
          <t>lol-tiered-elo-v6</t>
        </is>
      </c>
      <c r="U196" s="24" t="inlineStr">
        <is>
          <t>settled</t>
        </is>
      </c>
      <c r="V196" s="24" t="inlineStr">
        <is>
          <t>win</t>
        </is>
      </c>
      <c r="W196" s="26" t="n">
        <v>0</v>
      </c>
      <c r="X196" s="26" t="n">
        <v>1</v>
      </c>
      <c r="Y196" s="25" t="n"/>
      <c r="Z196" s="26" t="n">
        <v>-223</v>
      </c>
      <c r="AA196" s="28" t="n">
        <v>0.6899999999999999</v>
      </c>
      <c r="AB196" s="28" t="n">
        <v>-0.000402</v>
      </c>
      <c r="AC196" s="30" t="n">
        <v>0.4484</v>
      </c>
      <c r="AD196" s="24" t="inlineStr">
        <is>
          <t>2026-08-23T15:50:13.406872Z</t>
        </is>
      </c>
      <c r="AE196" s="31" t="inlineStr">
        <is>
          <t>Neutral Elo baseline; executable ask 0.6900 (market_slug=aec-lol-blg-al-2026-08-23).</t>
        </is>
      </c>
      <c r="AF196" s="31" t="inlineStr">
        <is>
          <t>Config-promoted esports baseline; gates enforced at log time.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Anyone's Legend</t>
        </is>
      </c>
      <c r="AQ196" s="24" t="inlineStr">
        <is>
          <t>Anyone's Legend</t>
        </is>
      </c>
      <c r="AR196" s="24" t="inlineStr">
        <is>
          <t>Anyone's Legend</t>
        </is>
      </c>
      <c r="AS196" s="24" t="inlineStr">
        <is>
          <t>Bilibili Gaming</t>
        </is>
      </c>
      <c r="AT196" s="24" t="inlineStr">
        <is>
          <t>Bilibili Gaming</t>
        </is>
      </c>
      <c r="AU196" s="24" t="inlineStr">
        <is>
          <t>Bilibili Gaming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38eb51c22897b15f6cf3645d19628319367f3bdc88e4202cbf7920677ea73347</t>
        </is>
      </c>
      <c r="BB196" s="24" t="inlineStr">
        <is>
          <t>neutral_elo</t>
        </is>
      </c>
      <c r="BC196" s="24" t="inlineStr">
        <is>
          <t>lol-tiered-elo-v6</t>
        </is>
      </c>
      <c r="BD196" s="24" t="inlineStr">
        <is>
          <t>38eb51c22897b15f6cf3645d19628319367f3bdc88e4202cbf7920677ea73347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lol-tiered-elo-v6</t>
        </is>
      </c>
      <c r="BH196" s="24" t="inlineStr">
        <is>
          <t>2026-08-23T08:37:49.502663Z</t>
        </is>
      </c>
      <c r="BI196" s="24" t="inlineStr">
        <is>
          <t>["same_event","same_team_same_day","same_league_same_day"]</t>
        </is>
      </c>
      <c r="BJ196" s="25" t="n"/>
      <c r="BK196" s="26" t="n">
        <v>-223</v>
      </c>
      <c r="BL196" s="27" t="n">
        <v>1.44843</v>
      </c>
      <c r="BM196" s="28" t="n">
        <v>0.690402</v>
      </c>
      <c r="BN196" s="28" t="n"/>
      <c r="BO196" s="28" t="n"/>
      <c r="BP196" s="25" t="n"/>
      <c r="BQ196" s="27" t="n">
        <v>1.44843</v>
      </c>
      <c r="BR196" s="28" t="n">
        <v>0.6899999999999999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0.690402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242e8af37314466a</t>
        </is>
      </c>
      <c r="B197" s="24" t="inlineStr">
        <is>
          <t>2026-08-23T15:53:14.958753Z</t>
        </is>
      </c>
      <c r="C197" s="24" t="inlineStr">
        <is>
          <t>2026-08-23T16:00:00Z</t>
        </is>
      </c>
      <c r="D197" s="24" t="inlineStr">
        <is>
          <t>87342</t>
        </is>
      </c>
      <c r="E197" s="24" t="inlineStr">
        <is>
          <t>LOL</t>
        </is>
      </c>
      <c r="F197" s="24" t="inlineStr">
        <is>
          <t>Fluxo W7M</t>
        </is>
      </c>
      <c r="G197" s="24" t="inlineStr">
        <is>
          <t>RED Canids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-122</v>
      </c>
      <c r="M197" s="27" t="n">
        <v>1.819672</v>
      </c>
      <c r="N197" s="28" t="n">
        <v>0.54955</v>
      </c>
      <c r="O197" s="28" t="n">
        <v>0.645579</v>
      </c>
      <c r="P197" s="28" t="n"/>
      <c r="Q197" s="28" t="n">
        <v>0.096029</v>
      </c>
      <c r="R197" s="26" t="n">
        <v>68</v>
      </c>
      <c r="S197" s="29" t="n">
        <v>1.25</v>
      </c>
      <c r="T197" s="24" t="inlineStr">
        <is>
          <t>lol-tiered-elo-v6</t>
        </is>
      </c>
      <c r="U197" s="24" t="inlineStr">
        <is>
          <t>settled</t>
        </is>
      </c>
      <c r="V197" s="24" t="inlineStr">
        <is>
          <t>win</t>
        </is>
      </c>
      <c r="W197" s="26" t="n">
        <v>0</v>
      </c>
      <c r="X197" s="26" t="n">
        <v>1</v>
      </c>
      <c r="Y197" s="25" t="n"/>
      <c r="Z197" s="26" t="n"/>
      <c r="AA197" s="28" t="n"/>
      <c r="AB197" s="28" t="n"/>
      <c r="AC197" s="30" t="n">
        <v>1.0246</v>
      </c>
      <c r="AD197" s="24" t="inlineStr">
        <is>
          <t>2026-08-23T17:38:29.372743Z</t>
        </is>
      </c>
      <c r="AE197" s="31" t="inlineStr">
        <is>
          <t>Neutral Elo baseline; executable ask 0.5500 (market_slug=aec-lol-red-fxw7-2026-08-23).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Fluxo W7M</t>
        </is>
      </c>
      <c r="AQ197" s="24" t="inlineStr">
        <is>
          <t>Fluxo W7M</t>
        </is>
      </c>
      <c r="AR197" s="24" t="inlineStr">
        <is>
          <t>Fluxo W7M</t>
        </is>
      </c>
      <c r="AS197" s="24" t="inlineStr">
        <is>
          <t>RED Canids</t>
        </is>
      </c>
      <c r="AT197" s="24" t="inlineStr">
        <is>
          <t>RED Canids</t>
        </is>
      </c>
      <c r="AU197" s="24" t="inlineStr">
        <is>
          <t>RED Canids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ea0b41adb5f222c1d523965435d13833682025edd013f8dd5a70a57927a25e5b</t>
        </is>
      </c>
      <c r="BB197" s="24" t="inlineStr">
        <is>
          <t>neutral_elo</t>
        </is>
      </c>
      <c r="BC197" s="24" t="inlineStr">
        <is>
          <t>lol-tiered-elo-v6</t>
        </is>
      </c>
      <c r="BD197" s="24" t="inlineStr">
        <is>
          <t>ea0b41adb5f222c1d523965435d13833682025edd013f8dd5a70a57927a25e5b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lol-tiered-elo-v6</t>
        </is>
      </c>
      <c r="BH197" s="24" t="inlineStr">
        <is>
          <t>2026-08-23T15:53:13.717795Z</t>
        </is>
      </c>
      <c r="BI197" s="24" t="inlineStr">
        <is>
          <t>["same_event","same_team_same_day","same_league_same_day"]</t>
        </is>
      </c>
      <c r="BJ197" s="25" t="n"/>
      <c r="BK197" s="26" t="n">
        <v>-122</v>
      </c>
      <c r="BL197" s="27" t="n">
        <v>1.819672</v>
      </c>
      <c r="BM197" s="28" t="n">
        <v>0.54955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0.54955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9908b8c2fe774e14</t>
        </is>
      </c>
      <c r="B198" s="24" t="inlineStr">
        <is>
          <t>2026-08-23T16:11:21.411257Z</t>
        </is>
      </c>
      <c r="C198" s="24" t="inlineStr">
        <is>
          <t>2026-08-23T18:00:00Z</t>
        </is>
      </c>
      <c r="D198" s="24" t="inlineStr">
        <is>
          <t>87407</t>
        </is>
      </c>
      <c r="E198" s="24" t="inlineStr">
        <is>
          <t>LOL</t>
        </is>
      </c>
      <c r="F198" s="24" t="inlineStr">
        <is>
          <t>LOUD</t>
        </is>
      </c>
      <c r="G198" s="24" t="inlineStr">
        <is>
          <t>LOS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-233</v>
      </c>
      <c r="M198" s="27" t="n">
        <v>1.429185</v>
      </c>
      <c r="N198" s="28" t="n">
        <v>0.6997</v>
      </c>
      <c r="O198" s="28" t="n">
        <v>0.637819</v>
      </c>
      <c r="P198" s="28" t="n"/>
      <c r="Q198" s="28" t="n">
        <v>-0.061881</v>
      </c>
      <c r="R198" s="26" t="n">
        <v>0</v>
      </c>
      <c r="S198" s="29" t="n">
        <v>1</v>
      </c>
      <c r="T198" s="24" t="inlineStr">
        <is>
          <t>lol-tiered-elo-v6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0</v>
      </c>
      <c r="Y198" s="25" t="n"/>
      <c r="Z198" s="26" t="n">
        <v>-233</v>
      </c>
      <c r="AA198" s="28" t="n">
        <v>0.7</v>
      </c>
      <c r="AB198" s="28" t="n">
        <v>0.0003</v>
      </c>
      <c r="AC198" s="30" t="n">
        <v>-1</v>
      </c>
      <c r="AD198" s="24" t="inlineStr">
        <is>
          <t>2026-08-24T04:49:45.852492Z</t>
        </is>
      </c>
      <c r="AE198" s="31" t="inlineStr">
        <is>
          <t>Neutral Elo baseline; executable ask 0.7000 (market_slug=aec-lol-los-lll-2026-08-23).</t>
        </is>
      </c>
      <c r="AF198" s="31" t="inlineStr">
        <is>
          <t>Config-promoted esports baseline; gates enforced at log time.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LOUD</t>
        </is>
      </c>
      <c r="AQ198" s="24" t="inlineStr">
        <is>
          <t>LOUD</t>
        </is>
      </c>
      <c r="AR198" s="24" t="inlineStr">
        <is>
          <t>LOUD</t>
        </is>
      </c>
      <c r="AS198" s="24" t="inlineStr">
        <is>
          <t>LOS</t>
        </is>
      </c>
      <c r="AT198" s="24" t="inlineStr">
        <is>
          <t>LOS</t>
        </is>
      </c>
      <c r="AU198" s="24" t="inlineStr">
        <is>
          <t>LOS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10c1be8564651984e898f8581497638c9478ae0a12a0ed2ca3427d4456537ece</t>
        </is>
      </c>
      <c r="BB198" s="24" t="inlineStr">
        <is>
          <t>neutral_elo</t>
        </is>
      </c>
      <c r="BC198" s="24" t="inlineStr">
        <is>
          <t>lol-tiered-elo-v6</t>
        </is>
      </c>
      <c r="BD198" s="24" t="inlineStr">
        <is>
          <t>10c1be8564651984e898f8581497638c9478ae0a12a0ed2ca3427d4456537ece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lol-tiered-elo-v6</t>
        </is>
      </c>
      <c r="BH198" s="24" t="inlineStr">
        <is>
          <t>2026-08-23T16:11:19.945346Z</t>
        </is>
      </c>
      <c r="BI198" s="24" t="inlineStr">
        <is>
          <t>["same_event","same_team_same_day","same_league_same_day"]</t>
        </is>
      </c>
      <c r="BJ198" s="25" t="n"/>
      <c r="BK198" s="26" t="n">
        <v>-233</v>
      </c>
      <c r="BL198" s="27" t="n">
        <v>1.429185</v>
      </c>
      <c r="BM198" s="28" t="n">
        <v>0.6997</v>
      </c>
      <c r="BN198" s="28" t="n"/>
      <c r="BO198" s="28" t="n"/>
      <c r="BP198" s="25" t="n"/>
      <c r="BQ198" s="27" t="n">
        <v>1.429185</v>
      </c>
      <c r="BR198" s="28" t="n">
        <v>0.7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0.6997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0a69ee95ed2c4162</t>
        </is>
      </c>
      <c r="B199" s="24" t="inlineStr">
        <is>
          <t>2026-08-24T04:52:27.721352Z</t>
        </is>
      </c>
      <c r="C199" s="24" t="inlineStr">
        <is>
          <t>2026-08-24T05:00:00Z</t>
        </is>
      </c>
      <c r="D199" s="24" t="inlineStr">
        <is>
          <t>87929</t>
        </is>
      </c>
      <c r="E199" s="24" t="inlineStr">
        <is>
          <t>LOL</t>
        </is>
      </c>
      <c r="F199" s="24" t="inlineStr">
        <is>
          <t>Kiwoom DRX Challengers</t>
        </is>
      </c>
      <c r="G199" s="24" t="inlineStr">
        <is>
          <t>DN SOOPers Challengers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-186</v>
      </c>
      <c r="M199" s="27" t="n">
        <v>1.537634</v>
      </c>
      <c r="N199" s="28" t="n">
        <v>0.65035</v>
      </c>
      <c r="O199" s="28" t="n">
        <v>0.5775130000000001</v>
      </c>
      <c r="P199" s="28" t="n"/>
      <c r="Q199" s="28" t="n">
        <v>-0.072837</v>
      </c>
      <c r="R199" s="26" t="n">
        <v>0</v>
      </c>
      <c r="S199" s="29" t="n">
        <v>1</v>
      </c>
      <c r="T199" s="24" t="inlineStr">
        <is>
          <t>lol-tiered-elo-v6</t>
        </is>
      </c>
      <c r="U199" s="24" t="inlineStr">
        <is>
          <t>settled</t>
        </is>
      </c>
      <c r="V199" s="24" t="inlineStr">
        <is>
          <t>win</t>
        </is>
      </c>
      <c r="W199" s="26" t="n">
        <v>0</v>
      </c>
      <c r="X199" s="26" t="n">
        <v>1</v>
      </c>
      <c r="Y199" s="25" t="n"/>
      <c r="Z199" s="26" t="n"/>
      <c r="AA199" s="28" t="n"/>
      <c r="AB199" s="28" t="n"/>
      <c r="AC199" s="30" t="n">
        <v>0.5376</v>
      </c>
      <c r="AD199" s="24" t="inlineStr">
        <is>
          <t>2026-08-24T08:42:38.884236Z</t>
        </is>
      </c>
      <c r="AE199" s="31" t="inlineStr">
        <is>
          <t>Neutral Elo baseline; executable ask 0.6500 (market_slug=aec-lol-dnsc-krxc-2026-08-24).</t>
        </is>
      </c>
      <c r="AF199" s="31" t="inlineStr">
        <is>
          <t>Config-promoted esports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PAPER_CALL_MODEL_UNVALIDATED</t>
        </is>
      </c>
      <c r="AP199" s="24" t="inlineStr">
        <is>
          <t>Kiwoom DRX Challengers</t>
        </is>
      </c>
      <c r="AQ199" s="24" t="inlineStr">
        <is>
          <t>Kiwoom DRX Challengers</t>
        </is>
      </c>
      <c r="AR199" s="24" t="inlineStr">
        <is>
          <t>Kiwoom DRX Challengers</t>
        </is>
      </c>
      <c r="AS199" s="24" t="inlineStr">
        <is>
          <t>DN SOOPers Challengers</t>
        </is>
      </c>
      <c r="AT199" s="24" t="inlineStr">
        <is>
          <t>DN SOOPers Challengers</t>
        </is>
      </c>
      <c r="AU199" s="24" t="inlineStr">
        <is>
          <t>DN SOOPers Challengers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9fbd8254eb79c1983b729e46e9914d6a786a0893dce1cde14ea853f0589cad3b</t>
        </is>
      </c>
      <c r="BB199" s="24" t="inlineStr">
        <is>
          <t>neutral_elo</t>
        </is>
      </c>
      <c r="BC199" s="24" t="inlineStr">
        <is>
          <t>lol-tiered-elo-v6</t>
        </is>
      </c>
      <c r="BD199" s="24" t="inlineStr">
        <is>
          <t>9fbd8254eb79c1983b729e46e9914d6a786a0893dce1cde14ea853f0589cad3b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lol-tiered-elo-v6</t>
        </is>
      </c>
      <c r="BH199" s="24" t="inlineStr">
        <is>
          <t>2026-08-24T04:52:24.428339Z</t>
        </is>
      </c>
      <c r="BI199" s="24" t="inlineStr">
        <is>
          <t>["same_event","same_team_same_day","same_league_same_day"]</t>
        </is>
      </c>
      <c r="BJ199" s="25" t="n"/>
      <c r="BK199" s="26" t="n">
        <v>-186</v>
      </c>
      <c r="BL199" s="27" t="n">
        <v>1.537634</v>
      </c>
      <c r="BM199" s="28" t="n">
        <v>0.65035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0.65035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2fb7956116c74ab2</t>
        </is>
      </c>
      <c r="B200" s="24" t="inlineStr">
        <is>
          <t>2026-08-24T05:34:11.665020Z</t>
        </is>
      </c>
      <c r="C200" s="24" t="inlineStr">
        <is>
          <t>2026-08-24T08:00:00Z</t>
        </is>
      </c>
      <c r="D200" s="24" t="inlineStr">
        <is>
          <t>87940</t>
        </is>
      </c>
      <c r="E200" s="24" t="inlineStr">
        <is>
          <t>LOL</t>
        </is>
      </c>
      <c r="F200" s="24" t="inlineStr">
        <is>
          <t>Hanwha Life Esports Challengers</t>
        </is>
      </c>
      <c r="G200" s="24" t="inlineStr">
        <is>
          <t>BNK FearX Youth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-233</v>
      </c>
      <c r="M200" s="27" t="n">
        <v>1.429185</v>
      </c>
      <c r="N200" s="28" t="n">
        <v>0.6997</v>
      </c>
      <c r="O200" s="28" t="n">
        <v>0.601214</v>
      </c>
      <c r="P200" s="28" t="n"/>
      <c r="Q200" s="28" t="n">
        <v>-0.098486</v>
      </c>
      <c r="R200" s="26" t="n">
        <v>0</v>
      </c>
      <c r="S200" s="29" t="n">
        <v>1</v>
      </c>
      <c r="T200" s="24" t="inlineStr">
        <is>
          <t>lol-tiered-elo-v6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/>
      <c r="AA200" s="28" t="n"/>
      <c r="AB200" s="28" t="n"/>
      <c r="AC200" s="30" t="n">
        <v>0.4292</v>
      </c>
      <c r="AD200" s="24" t="inlineStr">
        <is>
          <t>2026-08-24T14:58:57.728284Z</t>
        </is>
      </c>
      <c r="AE200" s="31" t="inlineStr">
        <is>
          <t>Neutral Elo baseline; executable ask 0.7000 (market_slug=aec-lol-foxy-hlec-2026-08-24).</t>
        </is>
      </c>
      <c r="AF200" s="31" t="inlineStr">
        <is>
          <t>Config-promoted esports baseline; gates enforced at log time.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Hanwha Life Esports Challengers</t>
        </is>
      </c>
      <c r="AQ200" s="24" t="inlineStr">
        <is>
          <t>Hanwha Life Esports Challengers</t>
        </is>
      </c>
      <c r="AR200" s="24" t="inlineStr">
        <is>
          <t>Hanwha Life Esports Challengers</t>
        </is>
      </c>
      <c r="AS200" s="24" t="inlineStr">
        <is>
          <t>BNK FearX Youth</t>
        </is>
      </c>
      <c r="AT200" s="24" t="inlineStr">
        <is>
          <t>BNK FearX Youth</t>
        </is>
      </c>
      <c r="AU200" s="24" t="inlineStr">
        <is>
          <t>BNK FearX Youth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7660e6eb5568da8170aa33939a1d9ee52b6742eb4b00c4566b369339ae1b4631</t>
        </is>
      </c>
      <c r="BB200" s="24" t="inlineStr">
        <is>
          <t>neutral_elo</t>
        </is>
      </c>
      <c r="BC200" s="24" t="inlineStr">
        <is>
          <t>lol-tiered-elo-v6</t>
        </is>
      </c>
      <c r="BD200" s="24" t="inlineStr">
        <is>
          <t>7660e6eb5568da8170aa33939a1d9ee52b6742eb4b00c4566b369339ae1b4631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lol-tiered-elo-v6</t>
        </is>
      </c>
      <c r="BH200" s="24" t="inlineStr">
        <is>
          <t>2026-08-24T05:34:09.450151Z</t>
        </is>
      </c>
      <c r="BI200" s="24" t="inlineStr">
        <is>
          <t>["same_event","same_team_same_day","same_league_same_day"]</t>
        </is>
      </c>
      <c r="BJ200" s="25" t="n"/>
      <c r="BK200" s="26" t="n">
        <v>-233</v>
      </c>
      <c r="BL200" s="27" t="n">
        <v>1.429185</v>
      </c>
      <c r="BM200" s="28" t="n">
        <v>0.6997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0.6997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80cacaeac52849f7</t>
        </is>
      </c>
      <c r="B201" s="24" t="inlineStr">
        <is>
          <t>2026-08-24T21:16:36.157995Z</t>
        </is>
      </c>
      <c r="C201" s="24" t="inlineStr">
        <is>
          <t>2026-08-24T23:00:00Z</t>
        </is>
      </c>
      <c r="D201" s="24" t="inlineStr">
        <is>
          <t>88490</t>
        </is>
      </c>
      <c r="E201" s="24" t="inlineStr">
        <is>
          <t>LOL</t>
        </is>
      </c>
      <c r="F201" s="24" t="inlineStr">
        <is>
          <t>Zeu5 Esports</t>
        </is>
      </c>
      <c r="G201" s="24" t="inlineStr">
        <is>
          <t>Fuego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-203</v>
      </c>
      <c r="M201" s="27" t="n">
        <v>1.492611</v>
      </c>
      <c r="N201" s="28" t="n">
        <v>0.669967</v>
      </c>
      <c r="O201" s="28" t="n">
        <v>0.567397</v>
      </c>
      <c r="P201" s="28" t="n"/>
      <c r="Q201" s="28" t="n">
        <v>-0.10257</v>
      </c>
      <c r="R201" s="26" t="n">
        <v>0</v>
      </c>
      <c r="S201" s="29" t="n">
        <v>1</v>
      </c>
      <c r="T201" s="24" t="inlineStr">
        <is>
          <t>lol-tiered-elo-v6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>
        <v>-203</v>
      </c>
      <c r="AA201" s="28" t="n">
        <v>0.67</v>
      </c>
      <c r="AB201" s="28" t="n">
        <v>3.3e-05</v>
      </c>
      <c r="AC201" s="30" t="n">
        <v>-1</v>
      </c>
      <c r="AD201" s="24" t="inlineStr">
        <is>
          <t>2026-08-25T03:25:57.294868Z</t>
        </is>
      </c>
      <c r="AE201" s="31" t="inlineStr">
        <is>
          <t>Neutral Elo baseline; executable ask 0.6700 (market_slug=aec-lol-fue-z5-2026-08-24).</t>
        </is>
      </c>
      <c r="AF201" s="31" t="inlineStr">
        <is>
          <t>Config-promoted esports baseline; gates enforced at log time.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Zeu5 Esports</t>
        </is>
      </c>
      <c r="AQ201" s="24" t="inlineStr">
        <is>
          <t>Zeu5 Esports</t>
        </is>
      </c>
      <c r="AR201" s="24" t="inlineStr">
        <is>
          <t>Zeu5 Esports</t>
        </is>
      </c>
      <c r="AS201" s="24" t="inlineStr">
        <is>
          <t>Fuego</t>
        </is>
      </c>
      <c r="AT201" s="24" t="inlineStr">
        <is>
          <t>Fuego</t>
        </is>
      </c>
      <c r="AU201" s="24" t="inlineStr">
        <is>
          <t>Fuego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9fdfef42ab6180322c97d7ee9e927ef3fe4f208c6a70702f1a85f6c91220371e</t>
        </is>
      </c>
      <c r="BB201" s="24" t="inlineStr">
        <is>
          <t>neutral_elo</t>
        </is>
      </c>
      <c r="BC201" s="24" t="inlineStr">
        <is>
          <t>lol-tiered-elo-v6</t>
        </is>
      </c>
      <c r="BD201" s="24" t="inlineStr">
        <is>
          <t>9fdfef42ab6180322c97d7ee9e927ef3fe4f208c6a70702f1a85f6c91220371e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lol-tiered-elo-v6</t>
        </is>
      </c>
      <c r="BH201" s="24" t="inlineStr">
        <is>
          <t>2026-08-24T21:16:33.151322Z</t>
        </is>
      </c>
      <c r="BI201" s="24" t="inlineStr">
        <is>
          <t>["same_event","same_team_same_day","same_league_same_day"]</t>
        </is>
      </c>
      <c r="BJ201" s="25" t="n"/>
      <c r="BK201" s="26" t="n">
        <v>-203</v>
      </c>
      <c r="BL201" s="27" t="n">
        <v>1.492611</v>
      </c>
      <c r="BM201" s="28" t="n">
        <v>0.669967</v>
      </c>
      <c r="BN201" s="28" t="n"/>
      <c r="BO201" s="28" t="n"/>
      <c r="BP201" s="25" t="n"/>
      <c r="BQ201" s="27" t="n">
        <v>1.492611</v>
      </c>
      <c r="BR201" s="28" t="n">
        <v>0.67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0.669967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0dc8f83191db4809</t>
        </is>
      </c>
      <c r="B202" s="24" t="inlineStr">
        <is>
          <t>2026-08-24T21:16:36.157995Z</t>
        </is>
      </c>
      <c r="C202" s="24" t="inlineStr">
        <is>
          <t>2026-08-24T23:00:00Z</t>
        </is>
      </c>
      <c r="D202" s="24" t="inlineStr">
        <is>
          <t>88489</t>
        </is>
      </c>
      <c r="E202" s="24" t="inlineStr">
        <is>
          <t>LOL</t>
        </is>
      </c>
      <c r="F202" s="24" t="inlineStr">
        <is>
          <t>Vivo Keyd Stars Academy</t>
        </is>
      </c>
      <c r="G202" s="24" t="inlineStr">
        <is>
          <t>INTZ e-Sports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-144</v>
      </c>
      <c r="M202" s="27" t="n">
        <v>1.694444</v>
      </c>
      <c r="N202" s="28" t="n">
        <v>0.590164</v>
      </c>
      <c r="O202" s="28" t="n">
        <v>0.544002</v>
      </c>
      <c r="P202" s="28" t="n"/>
      <c r="Q202" s="28" t="n">
        <v>-0.046162</v>
      </c>
      <c r="R202" s="26" t="n">
        <v>0</v>
      </c>
      <c r="S202" s="29" t="n">
        <v>1</v>
      </c>
      <c r="T202" s="24" t="inlineStr">
        <is>
          <t>lol-tiered-elo-v6</t>
        </is>
      </c>
      <c r="U202" s="24" t="inlineStr">
        <is>
          <t>settled</t>
        </is>
      </c>
      <c r="V202" s="24" t="inlineStr">
        <is>
          <t>loss</t>
        </is>
      </c>
      <c r="W202" s="26" t="n">
        <v>1</v>
      </c>
      <c r="X202" s="26" t="n">
        <v>0</v>
      </c>
      <c r="Y202" s="25" t="n"/>
      <c r="Z202" s="26" t="n">
        <v>-144</v>
      </c>
      <c r="AA202" s="28" t="n">
        <v>0.59</v>
      </c>
      <c r="AB202" s="28" t="n">
        <v>-0.000164</v>
      </c>
      <c r="AC202" s="30" t="n">
        <v>-1</v>
      </c>
      <c r="AD202" s="24" t="inlineStr">
        <is>
          <t>2026-08-25T00:21:16.160690Z</t>
        </is>
      </c>
      <c r="AE202" s="31" t="inlineStr">
        <is>
          <t>Neutral Elo baseline; executable ask 0.5900 (market_slug=aec-lol-itz-vksa-2026-08-24).</t>
        </is>
      </c>
      <c r="AF202" s="31" t="inlineStr">
        <is>
          <t>Config-promoted esports baseline; gates enforced at log time.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Vivo Keyd Stars Academy</t>
        </is>
      </c>
      <c r="AQ202" s="24" t="inlineStr">
        <is>
          <t>Vivo Keyd Stars Academy</t>
        </is>
      </c>
      <c r="AR202" s="24" t="inlineStr">
        <is>
          <t>Vivo Keyd Stars Academy</t>
        </is>
      </c>
      <c r="AS202" s="24" t="inlineStr">
        <is>
          <t>INTZ e-Sports</t>
        </is>
      </c>
      <c r="AT202" s="24" t="inlineStr">
        <is>
          <t>INTZ e-Sports</t>
        </is>
      </c>
      <c r="AU202" s="24" t="inlineStr">
        <is>
          <t>INTZ e-Sports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9fdfef42ab6180322c97d7ee9e927ef3fe4f208c6a70702f1a85f6c91220371e</t>
        </is>
      </c>
      <c r="BB202" s="24" t="inlineStr">
        <is>
          <t>neutral_elo</t>
        </is>
      </c>
      <c r="BC202" s="24" t="inlineStr">
        <is>
          <t>lol-tiered-elo-v6</t>
        </is>
      </c>
      <c r="BD202" s="24" t="inlineStr">
        <is>
          <t>9fdfef42ab6180322c97d7ee9e927ef3fe4f208c6a70702f1a85f6c91220371e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lol-tiered-elo-v6</t>
        </is>
      </c>
      <c r="BH202" s="24" t="inlineStr">
        <is>
          <t>2026-08-24T21:16:33.225265Z</t>
        </is>
      </c>
      <c r="BI202" s="24" t="inlineStr">
        <is>
          <t>["same_event","same_team_same_day","same_league_same_day"]</t>
        </is>
      </c>
      <c r="BJ202" s="25" t="n"/>
      <c r="BK202" s="26" t="n">
        <v>-144</v>
      </c>
      <c r="BL202" s="27" t="n">
        <v>1.694444</v>
      </c>
      <c r="BM202" s="28" t="n">
        <v>0.590164</v>
      </c>
      <c r="BN202" s="28" t="n"/>
      <c r="BO202" s="28" t="n"/>
      <c r="BP202" s="25" t="n"/>
      <c r="BQ202" s="27" t="n">
        <v>1.694444</v>
      </c>
      <c r="BR202" s="28" t="n">
        <v>0.59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0.590164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295f4234f698474b</t>
        </is>
      </c>
      <c r="B203" s="24" t="inlineStr">
        <is>
          <t>2026-08-25T05:01:23.648156Z</t>
        </is>
      </c>
      <c r="C203" s="24" t="inlineStr">
        <is>
          <t>2026-08-25T08:00:00Z</t>
        </is>
      </c>
      <c r="D203" s="24" t="inlineStr">
        <is>
          <t>90849</t>
        </is>
      </c>
      <c r="E203" s="24" t="inlineStr">
        <is>
          <t>LOL</t>
        </is>
      </c>
      <c r="F203" s="24" t="inlineStr">
        <is>
          <t>BNK FearX Youth</t>
        </is>
      </c>
      <c r="G203" s="24" t="inlineStr">
        <is>
          <t>Kiwoom DRX Challengers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-203</v>
      </c>
      <c r="M203" s="27" t="n">
        <v>1.492611</v>
      </c>
      <c r="N203" s="28" t="n">
        <v>0.669967</v>
      </c>
      <c r="O203" s="28" t="n">
        <v>0.519054</v>
      </c>
      <c r="P203" s="28" t="n"/>
      <c r="Q203" s="28" t="n">
        <v>-0.150913</v>
      </c>
      <c r="R203" s="26" t="n">
        <v>0</v>
      </c>
      <c r="S203" s="29" t="n">
        <v>1</v>
      </c>
      <c r="T203" s="24" t="inlineStr">
        <is>
          <t>lol-tiered-elo-v6</t>
        </is>
      </c>
      <c r="U203" s="24" t="inlineStr">
        <is>
          <t>settled</t>
        </is>
      </c>
      <c r="V203" s="24" t="inlineStr">
        <is>
          <t>loss</t>
        </is>
      </c>
      <c r="W203" s="26" t="n">
        <v>0</v>
      </c>
      <c r="X203" s="26" t="n">
        <v>1</v>
      </c>
      <c r="Y203" s="25" t="n"/>
      <c r="Z203" s="26" t="n">
        <v>-213</v>
      </c>
      <c r="AA203" s="28" t="n">
        <v>0.68</v>
      </c>
      <c r="AB203" s="28" t="n">
        <v>0.010033</v>
      </c>
      <c r="AC203" s="30" t="n">
        <v>-1</v>
      </c>
      <c r="AD203" s="24" t="inlineStr">
        <is>
          <t>2026-08-25T12:31:31.191470Z</t>
        </is>
      </c>
      <c r="AE203" s="31" t="inlineStr">
        <is>
          <t>Neutral Elo baseline; executable ask 0.6700 (market_slug=aec-lol-krxc-foxy-2026-08-25).</t>
        </is>
      </c>
      <c r="AF203" s="31" t="inlineStr">
        <is>
          <t>Config-promoted esports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PAPER_CALL_MODEL_UNVALIDATED</t>
        </is>
      </c>
      <c r="AP203" s="24" t="inlineStr">
        <is>
          <t>BNK FearX Youth</t>
        </is>
      </c>
      <c r="AQ203" s="24" t="inlineStr">
        <is>
          <t>BNK FearX Youth</t>
        </is>
      </c>
      <c r="AR203" s="24" t="inlineStr">
        <is>
          <t>BNK FearX Youth</t>
        </is>
      </c>
      <c r="AS203" s="24" t="inlineStr">
        <is>
          <t>Kiwoom DRX Challengers</t>
        </is>
      </c>
      <c r="AT203" s="24" t="inlineStr">
        <is>
          <t>Kiwoom DRX Challengers</t>
        </is>
      </c>
      <c r="AU203" s="24" t="inlineStr">
        <is>
          <t>Kiwoom DRX Challengers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277ea5a0ac11f555b4e45285e5daeca4b186508bf1d3db012c58645ea10434c8</t>
        </is>
      </c>
      <c r="BB203" s="24" t="inlineStr">
        <is>
          <t>neutral_elo</t>
        </is>
      </c>
      <c r="BC203" s="24" t="inlineStr">
        <is>
          <t>lol-tiered-elo-v6</t>
        </is>
      </c>
      <c r="BD203" s="24" t="inlineStr">
        <is>
          <t>277ea5a0ac11f555b4e45285e5daeca4b186508bf1d3db012c58645ea10434c8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lol-tiered-elo-v6</t>
        </is>
      </c>
      <c r="BH203" s="24" t="inlineStr">
        <is>
          <t>2026-08-25T05:01:20.194494Z</t>
        </is>
      </c>
      <c r="BI203" s="24" t="inlineStr">
        <is>
          <t>["same_event","same_team_same_day","same_league_same_day"]</t>
        </is>
      </c>
      <c r="BJ203" s="25" t="n"/>
      <c r="BK203" s="26" t="n">
        <v>-203</v>
      </c>
      <c r="BL203" s="27" t="n">
        <v>1.492611</v>
      </c>
      <c r="BM203" s="28" t="n">
        <v>0.669967</v>
      </c>
      <c r="BN203" s="28" t="n"/>
      <c r="BO203" s="28" t="n"/>
      <c r="BP203" s="25" t="n"/>
      <c r="BQ203" s="27" t="n">
        <v>1.469484</v>
      </c>
      <c r="BR203" s="28" t="n">
        <v>0.68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0.669967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c54e3c3f740c471b</t>
        </is>
      </c>
      <c r="B204" s="24" t="inlineStr">
        <is>
          <t>2026-08-25T13:32:45.893751Z</t>
        </is>
      </c>
      <c r="C204" s="24" t="inlineStr">
        <is>
          <t>2026-08-25T15:00:00Z</t>
        </is>
      </c>
      <c r="D204" s="24" t="inlineStr">
        <is>
          <t>88784</t>
        </is>
      </c>
      <c r="E204" s="24" t="inlineStr">
        <is>
          <t>LOL</t>
        </is>
      </c>
      <c r="F204" s="24" t="inlineStr">
        <is>
          <t>SU Esports</t>
        </is>
      </c>
      <c r="G204" s="24" t="inlineStr">
        <is>
          <t xml:space="preserve">PCIFIC 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194</v>
      </c>
      <c r="M204" s="27" t="n">
        <v>2.94</v>
      </c>
      <c r="N204" s="28" t="n">
        <v>0.340136</v>
      </c>
      <c r="O204" s="28" t="n">
        <v>0.540692</v>
      </c>
      <c r="P204" s="28" t="n"/>
      <c r="Q204" s="28" t="n">
        <v>0.200556</v>
      </c>
      <c r="R204" s="26" t="n">
        <v>100</v>
      </c>
      <c r="S204" s="29" t="n">
        <v>2</v>
      </c>
      <c r="T204" s="24" t="inlineStr">
        <is>
          <t>lol-tiered-elo-v6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0</v>
      </c>
      <c r="Y204" s="25" t="n"/>
      <c r="Z204" s="26" t="n">
        <v>194</v>
      </c>
      <c r="AA204" s="28" t="n">
        <v>0.34</v>
      </c>
      <c r="AB204" s="28" t="n">
        <v>-0.000136</v>
      </c>
      <c r="AC204" s="30" t="n">
        <v>-2</v>
      </c>
      <c r="AD204" s="24" t="inlineStr">
        <is>
          <t>2026-08-26T12:40:54.834692Z</t>
        </is>
      </c>
      <c r="AE204" s="31" t="inlineStr">
        <is>
          <t>Neutral Elo baseline; executable ask 0.3400 (market_slug=aec-lol-pcific-su-2026-08-25).</t>
        </is>
      </c>
      <c r="AF204" s="31" t="inlineStr">
        <is>
          <t>Config-promoted esports baseline; gates enforced at log time.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SU Esports</t>
        </is>
      </c>
      <c r="AQ204" s="24" t="inlineStr">
        <is>
          <t>SU Esports</t>
        </is>
      </c>
      <c r="AR204" s="24" t="inlineStr">
        <is>
          <t>SU Esports</t>
        </is>
      </c>
      <c r="AS204" s="24" t="inlineStr">
        <is>
          <t xml:space="preserve">PCIFIC </t>
        </is>
      </c>
      <c r="AT204" s="24" t="inlineStr">
        <is>
          <t xml:space="preserve">PCIFIC </t>
        </is>
      </c>
      <c r="AU204" s="24" t="inlineStr">
        <is>
          <t xml:space="preserve">PCIFIC 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a48bcb14f68f55fe29739a4e415a8b8fc152dff1711d58afc49c3f572d1a2669</t>
        </is>
      </c>
      <c r="BB204" s="24" t="inlineStr">
        <is>
          <t>neutral_elo</t>
        </is>
      </c>
      <c r="BC204" s="24" t="inlineStr">
        <is>
          <t>lol-tiered-elo-v6</t>
        </is>
      </c>
      <c r="BD204" s="24" t="inlineStr">
        <is>
          <t>a48bcb14f68f55fe29739a4e415a8b8fc152dff1711d58afc49c3f572d1a2669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lol-tiered-elo-v6</t>
        </is>
      </c>
      <c r="BH204" s="24" t="inlineStr">
        <is>
          <t>2026-08-25T13:32:41.026861Z</t>
        </is>
      </c>
      <c r="BI204" s="24" t="inlineStr">
        <is>
          <t>["same_event","same_team_same_day","same_league_same_day"]</t>
        </is>
      </c>
      <c r="BJ204" s="25" t="n"/>
      <c r="BK204" s="26" t="n">
        <v>194</v>
      </c>
      <c r="BL204" s="27" t="n">
        <v>2.94</v>
      </c>
      <c r="BM204" s="28" t="n">
        <v>0.340136</v>
      </c>
      <c r="BN204" s="28" t="n"/>
      <c r="BO204" s="28" t="n"/>
      <c r="BP204" s="25" t="n"/>
      <c r="BQ204" s="27" t="n">
        <v>2.94</v>
      </c>
      <c r="BR204" s="28" t="n">
        <v>0.34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0.340136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401eabcfeef54513</t>
        </is>
      </c>
      <c r="B205" s="24" t="inlineStr">
        <is>
          <t>2026-08-25T13:32:45.893751Z</t>
        </is>
      </c>
      <c r="C205" s="24" t="inlineStr">
        <is>
          <t>2026-08-25T15:00:00Z</t>
        </is>
      </c>
      <c r="D205" s="24" t="inlineStr">
        <is>
          <t>88786</t>
        </is>
      </c>
      <c r="E205" s="24" t="inlineStr">
        <is>
          <t>LOL</t>
        </is>
      </c>
      <c r="F205" s="24" t="inlineStr">
        <is>
          <t>devils.one inStreamly</t>
        </is>
      </c>
      <c r="G205" s="24" t="inlineStr">
        <is>
          <t>Lodis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138</v>
      </c>
      <c r="M205" s="27" t="n">
        <v>2.38</v>
      </c>
      <c r="N205" s="28" t="n">
        <v>0.420168</v>
      </c>
      <c r="O205" s="28" t="n">
        <v>0.54806</v>
      </c>
      <c r="P205" s="28" t="n"/>
      <c r="Q205" s="28" t="n">
        <v>0.127892</v>
      </c>
      <c r="R205" s="26" t="n">
        <v>84</v>
      </c>
      <c r="S205" s="29" t="n">
        <v>1.5</v>
      </c>
      <c r="T205" s="24" t="inlineStr">
        <is>
          <t>lol-tiered-elo-v6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>
        <v>138</v>
      </c>
      <c r="AA205" s="28" t="n">
        <v>0.42</v>
      </c>
      <c r="AB205" s="28" t="n">
        <v>-0.000168</v>
      </c>
      <c r="AC205" s="30" t="n">
        <v>2.07</v>
      </c>
      <c r="AD205" s="24" t="inlineStr">
        <is>
          <t>2026-08-26T12:40:56.015087Z</t>
        </is>
      </c>
      <c r="AE205" s="31" t="inlineStr">
        <is>
          <t>Neutral Elo baseline; executable ask 0.4200 (market_slug=aec-lol-lds-dv1-2026-08-25).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devils.one inStreamly</t>
        </is>
      </c>
      <c r="AQ205" s="24" t="inlineStr">
        <is>
          <t>devils.one inStreamly</t>
        </is>
      </c>
      <c r="AR205" s="24" t="inlineStr">
        <is>
          <t>devils.one inStreamly</t>
        </is>
      </c>
      <c r="AS205" s="24" t="inlineStr">
        <is>
          <t>Lodis</t>
        </is>
      </c>
      <c r="AT205" s="24" t="inlineStr">
        <is>
          <t>Lodis</t>
        </is>
      </c>
      <c r="AU205" s="24" t="inlineStr">
        <is>
          <t>Lodis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a48bcb14f68f55fe29739a4e415a8b8fc152dff1711d58afc49c3f572d1a2669</t>
        </is>
      </c>
      <c r="BB205" s="24" t="inlineStr">
        <is>
          <t>neutral_elo</t>
        </is>
      </c>
      <c r="BC205" s="24" t="inlineStr">
        <is>
          <t>lol-tiered-elo-v6</t>
        </is>
      </c>
      <c r="BD205" s="24" t="inlineStr">
        <is>
          <t>a48bcb14f68f55fe29739a4e415a8b8fc152dff1711d58afc49c3f572d1a2669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lol-tiered-elo-v6</t>
        </is>
      </c>
      <c r="BH205" s="24" t="inlineStr">
        <is>
          <t>2026-08-25T13:32:41.162018Z</t>
        </is>
      </c>
      <c r="BI205" s="24" t="inlineStr">
        <is>
          <t>["same_event","same_team_same_day","same_league_same_day"]</t>
        </is>
      </c>
      <c r="BJ205" s="25" t="n"/>
      <c r="BK205" s="26" t="n">
        <v>138</v>
      </c>
      <c r="BL205" s="27" t="n">
        <v>2.38</v>
      </c>
      <c r="BM205" s="28" t="n">
        <v>0.420168</v>
      </c>
      <c r="BN205" s="28" t="n"/>
      <c r="BO205" s="28" t="n"/>
      <c r="BP205" s="25" t="n"/>
      <c r="BQ205" s="27" t="n">
        <v>2.38</v>
      </c>
      <c r="BR205" s="28" t="n">
        <v>0.42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0.420168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9533d47528334262</t>
        </is>
      </c>
      <c r="B206" s="24" t="inlineStr">
        <is>
          <t>2026-08-25T13:32:45.893751Z</t>
        </is>
      </c>
      <c r="C206" s="24" t="inlineStr">
        <is>
          <t>2026-08-25T16:30:00Z</t>
        </is>
      </c>
      <c r="D206" s="24" t="inlineStr">
        <is>
          <t>88829</t>
        </is>
      </c>
      <c r="E206" s="24" t="inlineStr">
        <is>
          <t>LOL</t>
        </is>
      </c>
      <c r="F206" s="24" t="inlineStr">
        <is>
          <t>BRUTE</t>
        </is>
      </c>
      <c r="G206" s="24" t="inlineStr">
        <is>
          <t>eSuba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-163</v>
      </c>
      <c r="M206" s="27" t="n">
        <v>1.613497</v>
      </c>
      <c r="N206" s="28" t="n">
        <v>0.619772</v>
      </c>
      <c r="O206" s="28" t="n">
        <v>0.677135</v>
      </c>
      <c r="P206" s="28" t="n"/>
      <c r="Q206" s="28" t="n">
        <v>0.057363</v>
      </c>
      <c r="R206" s="26" t="n">
        <v>49</v>
      </c>
      <c r="S206" s="29" t="n">
        <v>1</v>
      </c>
      <c r="T206" s="24" t="inlineStr">
        <is>
          <t>lol-tiered-elo-v6</t>
        </is>
      </c>
      <c r="U206" s="24" t="inlineStr">
        <is>
          <t>settled</t>
        </is>
      </c>
      <c r="V206" s="24" t="inlineStr">
        <is>
          <t>win</t>
        </is>
      </c>
      <c r="W206" s="26" t="n">
        <v>0</v>
      </c>
      <c r="X206" s="26" t="n">
        <v>1</v>
      </c>
      <c r="Y206" s="25" t="n"/>
      <c r="Z206" s="26" t="n">
        <v>-163</v>
      </c>
      <c r="AA206" s="28" t="n">
        <v>0.62</v>
      </c>
      <c r="AB206" s="28" t="n">
        <v>0.000228</v>
      </c>
      <c r="AC206" s="30" t="n">
        <v>0.6135</v>
      </c>
      <c r="AD206" s="24" t="inlineStr">
        <is>
          <t>2026-08-26T12:40:57.129063Z</t>
        </is>
      </c>
      <c r="AE206" s="31" t="inlineStr">
        <is>
          <t>Neutral Elo baseline; executable ask 0.6200 (market_slug=aec-lol-esb-brt-2026-08-25).</t>
        </is>
      </c>
      <c r="AF206" s="31" t="inlineStr">
        <is>
          <t>Config-promoted esports baseline; gates enforced at log time.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BRUTE</t>
        </is>
      </c>
      <c r="AQ206" s="24" t="inlineStr">
        <is>
          <t>BRUTE</t>
        </is>
      </c>
      <c r="AR206" s="24" t="inlineStr">
        <is>
          <t>BRUTE</t>
        </is>
      </c>
      <c r="AS206" s="24" t="inlineStr">
        <is>
          <t>eSuba</t>
        </is>
      </c>
      <c r="AT206" s="24" t="inlineStr">
        <is>
          <t>eSuba</t>
        </is>
      </c>
      <c r="AU206" s="24" t="inlineStr">
        <is>
          <t>eSuba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a48bcb14f68f55fe29739a4e415a8b8fc152dff1711d58afc49c3f572d1a2669</t>
        </is>
      </c>
      <c r="BB206" s="24" t="inlineStr">
        <is>
          <t>neutral_elo</t>
        </is>
      </c>
      <c r="BC206" s="24" t="inlineStr">
        <is>
          <t>lol-tiered-elo-v6</t>
        </is>
      </c>
      <c r="BD206" s="24" t="inlineStr">
        <is>
          <t>a48bcb14f68f55fe29739a4e415a8b8fc152dff1711d58afc49c3f572d1a2669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lol-tiered-elo-v6</t>
        </is>
      </c>
      <c r="BH206" s="24" t="inlineStr">
        <is>
          <t>2026-08-25T13:32:41.711437Z</t>
        </is>
      </c>
      <c r="BI206" s="24" t="inlineStr">
        <is>
          <t>["same_event","same_team_same_day","same_league_same_day"]</t>
        </is>
      </c>
      <c r="BJ206" s="25" t="n"/>
      <c r="BK206" s="26" t="n">
        <v>-163</v>
      </c>
      <c r="BL206" s="27" t="n">
        <v>1.613497</v>
      </c>
      <c r="BM206" s="28" t="n">
        <v>0.619772</v>
      </c>
      <c r="BN206" s="28" t="n"/>
      <c r="BO206" s="28" t="n"/>
      <c r="BP206" s="25" t="n"/>
      <c r="BQ206" s="27" t="n">
        <v>1.613497</v>
      </c>
      <c r="BR206" s="28" t="n">
        <v>0.62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0.619772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7b6800d7f835473d</t>
        </is>
      </c>
      <c r="B207" s="24" t="inlineStr">
        <is>
          <t>2026-08-25T13:32:45.893751Z</t>
        </is>
      </c>
      <c r="C207" s="24" t="inlineStr">
        <is>
          <t>2026-08-25T20:00:00Z</t>
        </is>
      </c>
      <c r="D207" s="24" t="inlineStr">
        <is>
          <t>89323</t>
        </is>
      </c>
      <c r="E207" s="24" t="inlineStr">
        <is>
          <t>LOL</t>
        </is>
      </c>
      <c r="F207" s="24" t="inlineStr">
        <is>
          <t>9z Globant</t>
        </is>
      </c>
      <c r="G207" s="24" t="inlineStr">
        <is>
          <t>Golden Lions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170</v>
      </c>
      <c r="M207" s="27" t="n">
        <v>2.7</v>
      </c>
      <c r="N207" s="28" t="n">
        <v>0.37037</v>
      </c>
      <c r="O207" s="28" t="n">
        <v>0.53796</v>
      </c>
      <c r="P207" s="28" t="n"/>
      <c r="Q207" s="28" t="n">
        <v>0.16759</v>
      </c>
      <c r="R207" s="26" t="n">
        <v>100</v>
      </c>
      <c r="S207" s="29" t="n">
        <v>1.75</v>
      </c>
      <c r="T207" s="24" t="inlineStr">
        <is>
          <t>lol-tiered-elo-v6</t>
        </is>
      </c>
      <c r="U207" s="24" t="inlineStr">
        <is>
          <t>settled</t>
        </is>
      </c>
      <c r="V207" s="24" t="inlineStr">
        <is>
          <t>loss</t>
        </is>
      </c>
      <c r="W207" s="26" t="n">
        <v>1</v>
      </c>
      <c r="X207" s="26" t="n">
        <v>0</v>
      </c>
      <c r="Y207" s="25" t="n"/>
      <c r="Z207" s="26" t="n">
        <v>170</v>
      </c>
      <c r="AA207" s="28" t="n">
        <v>0.37</v>
      </c>
      <c r="AB207" s="28" t="n">
        <v>-0.00037</v>
      </c>
      <c r="AC207" s="30" t="n">
        <v>-1.75</v>
      </c>
      <c r="AD207" s="24" t="inlineStr">
        <is>
          <t>2026-08-26T12:40:58.238362Z</t>
        </is>
      </c>
      <c r="AE207" s="31" t="inlineStr">
        <is>
          <t>Neutral Elo baseline; executable ask 0.3700 (market_slug=aec-lol-gl-9zg-2026-08-25).</t>
        </is>
      </c>
      <c r="AF207" s="31" t="inlineStr">
        <is>
          <t>Config-promoted esports baseline; gates enforced at log time.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9z Globant</t>
        </is>
      </c>
      <c r="AQ207" s="24" t="inlineStr">
        <is>
          <t>9z Globant</t>
        </is>
      </c>
      <c r="AR207" s="24" t="inlineStr">
        <is>
          <t>9z Globant</t>
        </is>
      </c>
      <c r="AS207" s="24" t="inlineStr">
        <is>
          <t>Golden Lions</t>
        </is>
      </c>
      <c r="AT207" s="24" t="inlineStr">
        <is>
          <t>Golden Lions</t>
        </is>
      </c>
      <c r="AU207" s="24" t="inlineStr">
        <is>
          <t>Golden Lions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a48bcb14f68f55fe29739a4e415a8b8fc152dff1711d58afc49c3f572d1a2669</t>
        </is>
      </c>
      <c r="BB207" s="24" t="inlineStr">
        <is>
          <t>neutral_elo</t>
        </is>
      </c>
      <c r="BC207" s="24" t="inlineStr">
        <is>
          <t>lol-tiered-elo-v6</t>
        </is>
      </c>
      <c r="BD207" s="24" t="inlineStr">
        <is>
          <t>a48bcb14f68f55fe29739a4e415a8b8fc152dff1711d58afc49c3f572d1a2669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lol-tiered-elo-v6</t>
        </is>
      </c>
      <c r="BH207" s="24" t="inlineStr">
        <is>
          <t>2026-08-25T13:32:43.174823Z</t>
        </is>
      </c>
      <c r="BI207" s="24" t="inlineStr">
        <is>
          <t>["same_event","same_team_same_day","same_league_same_day"]</t>
        </is>
      </c>
      <c r="BJ207" s="25" t="n"/>
      <c r="BK207" s="26" t="n">
        <v>170</v>
      </c>
      <c r="BL207" s="27" t="n">
        <v>2.7</v>
      </c>
      <c r="BM207" s="28" t="n">
        <v>0.37037</v>
      </c>
      <c r="BN207" s="28" t="n"/>
      <c r="BO207" s="28" t="n"/>
      <c r="BP207" s="25" t="n"/>
      <c r="BQ207" s="27" t="n">
        <v>2.7</v>
      </c>
      <c r="BR207" s="28" t="n">
        <v>0.37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0.37037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a37991afb22a4218</t>
        </is>
      </c>
      <c r="B208" s="24" t="inlineStr">
        <is>
          <t>2026-08-26T12:44:36.011449Z</t>
        </is>
      </c>
      <c r="C208" s="24" t="inlineStr">
        <is>
          <t>2026-08-26T14:00:00Z</t>
        </is>
      </c>
      <c r="D208" s="24" t="inlineStr">
        <is>
          <t>89758</t>
        </is>
      </c>
      <c r="E208" s="24" t="inlineStr">
        <is>
          <t>LOL</t>
        </is>
      </c>
      <c r="F208" s="24" t="inlineStr">
        <is>
          <t>BRUTE</t>
        </is>
      </c>
      <c r="G208" s="24" t="inlineStr">
        <is>
          <t>EXILE esports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156</v>
      </c>
      <c r="M208" s="27" t="n">
        <v>2.56</v>
      </c>
      <c r="N208" s="28" t="n">
        <v>0.390625</v>
      </c>
      <c r="O208" s="28" t="n">
        <v>0.536154</v>
      </c>
      <c r="P208" s="28" t="n"/>
      <c r="Q208" s="28" t="n">
        <v>0.145529</v>
      </c>
      <c r="R208" s="26" t="n">
        <v>93</v>
      </c>
      <c r="S208" s="29" t="n">
        <v>1.75</v>
      </c>
      <c r="T208" s="24" t="inlineStr">
        <is>
          <t>lol-tiered-elo-v6</t>
        </is>
      </c>
      <c r="U208" s="24" t="inlineStr">
        <is>
          <t>settled</t>
        </is>
      </c>
      <c r="V208" s="24" t="inlineStr">
        <is>
          <t>win</t>
        </is>
      </c>
      <c r="W208" s="26" t="n">
        <v>0</v>
      </c>
      <c r="X208" s="26" t="n">
        <v>1</v>
      </c>
      <c r="Y208" s="25" t="n"/>
      <c r="Z208" s="26" t="n">
        <v>156</v>
      </c>
      <c r="AA208" s="28" t="n">
        <v>0.39</v>
      </c>
      <c r="AB208" s="28" t="n">
        <v>-0.000625</v>
      </c>
      <c r="AC208" s="30" t="n">
        <v>2.73</v>
      </c>
      <c r="AD208" s="24" t="inlineStr">
        <is>
          <t>2026-08-26T16:30:25.049251Z</t>
        </is>
      </c>
      <c r="AE208" s="31" t="inlineStr">
        <is>
          <t>Neutral Elo baseline; executable ask 0.3900 (market_slug=aec-lol-exe-brt-2026-08-26).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BRUTE</t>
        </is>
      </c>
      <c r="AQ208" s="24" t="inlineStr">
        <is>
          <t>BRUTE</t>
        </is>
      </c>
      <c r="AR208" s="24" t="inlineStr">
        <is>
          <t>BRUTE</t>
        </is>
      </c>
      <c r="AS208" s="24" t="inlineStr">
        <is>
          <t>EXILE esports</t>
        </is>
      </c>
      <c r="AT208" s="24" t="inlineStr">
        <is>
          <t>EXILE esports</t>
        </is>
      </c>
      <c r="AU208" s="24" t="inlineStr">
        <is>
          <t>EXILE esports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55ef0ca613140d7d028530fa11827b13c388ff45597252b2309f89b12336c2c5</t>
        </is>
      </c>
      <c r="BB208" s="24" t="inlineStr">
        <is>
          <t>neutral_elo</t>
        </is>
      </c>
      <c r="BC208" s="24" t="inlineStr">
        <is>
          <t>lol-tiered-elo-v6</t>
        </is>
      </c>
      <c r="BD208" s="24" t="inlineStr">
        <is>
          <t>55ef0ca613140d7d028530fa11827b13c388ff45597252b2309f89b12336c2c5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lol-tiered-elo-v6</t>
        </is>
      </c>
      <c r="BH208" s="24" t="inlineStr">
        <is>
          <t>2026-08-26T12:44:31.204699Z</t>
        </is>
      </c>
      <c r="BI208" s="24" t="inlineStr">
        <is>
          <t>["same_event","same_team_same_day","same_league_same_day"]</t>
        </is>
      </c>
      <c r="BJ208" s="25" t="n"/>
      <c r="BK208" s="26" t="n">
        <v>156</v>
      </c>
      <c r="BL208" s="27" t="n">
        <v>2.56</v>
      </c>
      <c r="BM208" s="28" t="n">
        <v>0.390625</v>
      </c>
      <c r="BN208" s="28" t="n"/>
      <c r="BO208" s="28" t="n"/>
      <c r="BP208" s="25" t="n"/>
      <c r="BQ208" s="27" t="n">
        <v>2.56</v>
      </c>
      <c r="BR208" s="28" t="n">
        <v>0.39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0.390625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0a2f8db3443b41f5</t>
        </is>
      </c>
      <c r="B209" s="24" t="inlineStr">
        <is>
          <t>2026-08-26T12:44:36.011449Z</t>
        </is>
      </c>
      <c r="C209" s="24" t="inlineStr">
        <is>
          <t>2026-08-26T16:00:00Z</t>
        </is>
      </c>
      <c r="D209" s="24" t="inlineStr">
        <is>
          <t>89796</t>
        </is>
      </c>
      <c r="E209" s="24" t="inlineStr">
        <is>
          <t>LOL</t>
        </is>
      </c>
      <c r="F209" s="24" t="inlineStr">
        <is>
          <t>ØTF</t>
        </is>
      </c>
      <c r="G209" s="24" t="inlineStr">
        <is>
          <t>The Secret Club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-163</v>
      </c>
      <c r="M209" s="27" t="n">
        <v>1.613497</v>
      </c>
      <c r="N209" s="28" t="n">
        <v>0.619772</v>
      </c>
      <c r="O209" s="28" t="n">
        <v>0.542452</v>
      </c>
      <c r="P209" s="28" t="n"/>
      <c r="Q209" s="28" t="n">
        <v>-0.07732</v>
      </c>
      <c r="R209" s="26" t="n">
        <v>0</v>
      </c>
      <c r="S209" s="29" t="n">
        <v>1</v>
      </c>
      <c r="T209" s="24" t="inlineStr">
        <is>
          <t>lol-tiered-elo-v6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0</v>
      </c>
      <c r="X209" s="26" t="n">
        <v>1</v>
      </c>
      <c r="Y209" s="25" t="n"/>
      <c r="Z209" s="26" t="n">
        <v>-163</v>
      </c>
      <c r="AA209" s="28" t="n">
        <v>0.62</v>
      </c>
      <c r="AB209" s="28" t="n">
        <v>0.000228</v>
      </c>
      <c r="AC209" s="30" t="n">
        <v>0.6135</v>
      </c>
      <c r="AD209" s="24" t="inlineStr">
        <is>
          <t>2026-08-26T22:16:12.876691Z</t>
        </is>
      </c>
      <c r="AE209" s="31" t="inlineStr">
        <is>
          <t>Neutral Elo baseline; executable ask 0.6200 (market_slug=aec-lol-tsc-tfa-2026-08-26).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ØTF</t>
        </is>
      </c>
      <c r="AQ209" s="24" t="inlineStr">
        <is>
          <t>ØTF</t>
        </is>
      </c>
      <c r="AR209" s="24" t="inlineStr">
        <is>
          <t>ØTF</t>
        </is>
      </c>
      <c r="AS209" s="24" t="inlineStr">
        <is>
          <t>The Secret Club</t>
        </is>
      </c>
      <c r="AT209" s="24" t="inlineStr">
        <is>
          <t>The Secret Club</t>
        </is>
      </c>
      <c r="AU209" s="24" t="inlineStr">
        <is>
          <t>The Secret Club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55ef0ca613140d7d028530fa11827b13c388ff45597252b2309f89b12336c2c5</t>
        </is>
      </c>
      <c r="BB209" s="24" t="inlineStr">
        <is>
          <t>neutral_elo</t>
        </is>
      </c>
      <c r="BC209" s="24" t="inlineStr">
        <is>
          <t>lol-tiered-elo-v6</t>
        </is>
      </c>
      <c r="BD209" s="24" t="inlineStr">
        <is>
          <t>55ef0ca613140d7d028530fa11827b13c388ff45597252b2309f89b12336c2c5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lol-tiered-elo-v6</t>
        </is>
      </c>
      <c r="BH209" s="24" t="inlineStr">
        <is>
          <t>2026-08-26T12:44:32.616971Z</t>
        </is>
      </c>
      <c r="BI209" s="24" t="inlineStr">
        <is>
          <t>["same_event","same_team_same_day","same_league_same_day"]</t>
        </is>
      </c>
      <c r="BJ209" s="25" t="n"/>
      <c r="BK209" s="26" t="n">
        <v>-163</v>
      </c>
      <c r="BL209" s="27" t="n">
        <v>1.613497</v>
      </c>
      <c r="BM209" s="28" t="n">
        <v>0.619772</v>
      </c>
      <c r="BN209" s="28" t="n"/>
      <c r="BO209" s="28" t="n"/>
      <c r="BP209" s="25" t="n"/>
      <c r="BQ209" s="27" t="n">
        <v>1.613497</v>
      </c>
      <c r="BR209" s="28" t="n">
        <v>0.62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0.619772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9cf85e3b8f064eee</t>
        </is>
      </c>
      <c r="B210" s="24" t="inlineStr">
        <is>
          <t>2026-08-26T16:36:41.218149Z</t>
        </is>
      </c>
      <c r="C210" s="24" t="inlineStr">
        <is>
          <t>2026-08-26T18:00:00Z</t>
        </is>
      </c>
      <c r="D210" s="24" t="inlineStr">
        <is>
          <t>89837</t>
        </is>
      </c>
      <c r="E210" s="24" t="inlineStr">
        <is>
          <t>LOL</t>
        </is>
      </c>
      <c r="F210" s="24" t="inlineStr">
        <is>
          <t>Bubliki</t>
        </is>
      </c>
      <c r="G210" s="24" t="inlineStr">
        <is>
          <t>Hyperion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-150</v>
      </c>
      <c r="M210" s="27" t="n">
        <v>1.666667</v>
      </c>
      <c r="N210" s="28" t="n">
        <v>0.6</v>
      </c>
      <c r="O210" s="28" t="n">
        <v>0.535682</v>
      </c>
      <c r="P210" s="28" t="n"/>
      <c r="Q210" s="28" t="n">
        <v>-0.064318</v>
      </c>
      <c r="R210" s="26" t="n">
        <v>0</v>
      </c>
      <c r="S210" s="29" t="n">
        <v>1</v>
      </c>
      <c r="T210" s="24" t="inlineStr">
        <is>
          <t>lol-tiered-elo-v6</t>
        </is>
      </c>
      <c r="U210" s="24" t="inlineStr">
        <is>
          <t>settled</t>
        </is>
      </c>
      <c r="V210" s="24" t="inlineStr">
        <is>
          <t>loss</t>
        </is>
      </c>
      <c r="W210" s="26" t="n">
        <v>1</v>
      </c>
      <c r="X210" s="26" t="n">
        <v>0</v>
      </c>
      <c r="Y210" s="25" t="n"/>
      <c r="Z210" s="26" t="n">
        <v>-150</v>
      </c>
      <c r="AA210" s="28" t="n">
        <v>0.6</v>
      </c>
      <c r="AB210" s="28" t="n">
        <v>0</v>
      </c>
      <c r="AC210" s="30" t="n">
        <v>-1</v>
      </c>
      <c r="AD210" s="24" t="inlineStr">
        <is>
          <t>2026-08-26T22:16:14.196771Z</t>
        </is>
      </c>
      <c r="AE210" s="31" t="inlineStr">
        <is>
          <t>Neutral Elo baseline; executable ask 0.6000 (market_slug=aec-lol-hype-bub-2026-08-26).</t>
        </is>
      </c>
      <c r="AF210" s="31" t="inlineStr">
        <is>
          <t>Config-promoted esports baseline; gates enforced at log time.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PAPER_CALL_LOW_EDGE</t>
        </is>
      </c>
      <c r="AP210" s="24" t="inlineStr">
        <is>
          <t>Bubliki</t>
        </is>
      </c>
      <c r="AQ210" s="24" t="inlineStr">
        <is>
          <t>Bubliki</t>
        </is>
      </c>
      <c r="AR210" s="24" t="inlineStr">
        <is>
          <t>Bubliki</t>
        </is>
      </c>
      <c r="AS210" s="24" t="inlineStr">
        <is>
          <t>Hyperion</t>
        </is>
      </c>
      <c r="AT210" s="24" t="inlineStr">
        <is>
          <t>Hyperion</t>
        </is>
      </c>
      <c r="AU210" s="24" t="inlineStr">
        <is>
          <t>Hyperion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51664fb06128ba82f7e9a96ec912f8cb5c44302c54d524d2a0939c20f4d212e1</t>
        </is>
      </c>
      <c r="BB210" s="24" t="inlineStr">
        <is>
          <t>neutral_elo</t>
        </is>
      </c>
      <c r="BC210" s="24" t="inlineStr">
        <is>
          <t>lol-tiered-elo-v6</t>
        </is>
      </c>
      <c r="BD210" s="24" t="inlineStr">
        <is>
          <t>51664fb06128ba82f7e9a96ec912f8cb5c44302c54d524d2a0939c20f4d212e1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lol-tiered-elo-v6</t>
        </is>
      </c>
      <c r="BH210" s="24" t="inlineStr">
        <is>
          <t>2026-08-26T16:36:36.024330Z</t>
        </is>
      </c>
      <c r="BI210" s="24" t="inlineStr">
        <is>
          <t>["same_event","same_team_same_day","same_league_same_day"]</t>
        </is>
      </c>
      <c r="BJ210" s="25" t="n"/>
      <c r="BK210" s="26" t="n">
        <v>-150</v>
      </c>
      <c r="BL210" s="27" t="n">
        <v>1.666667</v>
      </c>
      <c r="BM210" s="28" t="n">
        <v>0.6</v>
      </c>
      <c r="BN210" s="28" t="n"/>
      <c r="BO210" s="28" t="n"/>
      <c r="BP210" s="25" t="n"/>
      <c r="BQ210" s="27" t="n">
        <v>1.666667</v>
      </c>
      <c r="BR210" s="28" t="n">
        <v>0.6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0.6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c606526786c248ad</t>
        </is>
      </c>
      <c r="B211" s="24" t="inlineStr">
        <is>
          <t>2026-08-26T16:36:41.218149Z</t>
        </is>
      </c>
      <c r="C211" s="24" t="inlineStr">
        <is>
          <t>2026-08-26T21:00:00Z</t>
        </is>
      </c>
      <c r="D211" s="24" t="inlineStr">
        <is>
          <t>90129</t>
        </is>
      </c>
      <c r="E211" s="24" t="inlineStr">
        <is>
          <t>LOL</t>
        </is>
      </c>
      <c r="F211" s="24" t="inlineStr">
        <is>
          <t>Dorado Gaming</t>
        </is>
      </c>
      <c r="G211" s="24" t="inlineStr">
        <is>
          <t>Conviction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-223</v>
      </c>
      <c r="M211" s="27" t="n">
        <v>1.44843</v>
      </c>
      <c r="N211" s="28" t="n">
        <v>0.690402</v>
      </c>
      <c r="O211" s="28" t="n">
        <v>0.56864</v>
      </c>
      <c r="P211" s="28" t="n"/>
      <c r="Q211" s="28" t="n">
        <v>-0.121762</v>
      </c>
      <c r="R211" s="26" t="n">
        <v>0</v>
      </c>
      <c r="S211" s="29" t="n">
        <v>1</v>
      </c>
      <c r="T211" s="24" t="inlineStr">
        <is>
          <t>lol-tiered-elo-v6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-223</v>
      </c>
      <c r="AA211" s="28" t="n">
        <v>0.6899999999999999</v>
      </c>
      <c r="AB211" s="28" t="n">
        <v>-0.000402</v>
      </c>
      <c r="AC211" s="30" t="n">
        <v>0.4484</v>
      </c>
      <c r="AD211" s="24" t="inlineStr">
        <is>
          <t>2026-08-27T00:42:50.878666Z</t>
        </is>
      </c>
      <c r="AE211" s="31" t="inlineStr">
        <is>
          <t>Neutral Elo baseline; executable ask 0.6900 (market_slug=aec-lol-cnv-dog-2026-08-26).</t>
        </is>
      </c>
      <c r="AF211" s="31" t="inlineStr">
        <is>
          <t>Config-promoted esports baseline; gates enforced at log time.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Dorado Gaming</t>
        </is>
      </c>
      <c r="AQ211" s="24" t="inlineStr">
        <is>
          <t>Dorado Gaming</t>
        </is>
      </c>
      <c r="AR211" s="24" t="inlineStr">
        <is>
          <t>Dorado Gaming</t>
        </is>
      </c>
      <c r="AS211" s="24" t="inlineStr">
        <is>
          <t>Conviction</t>
        </is>
      </c>
      <c r="AT211" s="24" t="inlineStr">
        <is>
          <t>Conviction</t>
        </is>
      </c>
      <c r="AU211" s="24" t="inlineStr">
        <is>
          <t>Conviction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51664fb06128ba82f7e9a96ec912f8cb5c44302c54d524d2a0939c20f4d212e1</t>
        </is>
      </c>
      <c r="BB211" s="24" t="inlineStr">
        <is>
          <t>neutral_elo</t>
        </is>
      </c>
      <c r="BC211" s="24" t="inlineStr">
        <is>
          <t>lol-tiered-elo-v6</t>
        </is>
      </c>
      <c r="BD211" s="24" t="inlineStr">
        <is>
          <t>51664fb06128ba82f7e9a96ec912f8cb5c44302c54d524d2a0939c20f4d212e1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lol-tiered-elo-v6</t>
        </is>
      </c>
      <c r="BH211" s="24" t="inlineStr">
        <is>
          <t>2026-08-26T16:36:36.946433Z</t>
        </is>
      </c>
      <c r="BI211" s="24" t="inlineStr">
        <is>
          <t>["same_event","same_team_same_day","same_league_same_day"]</t>
        </is>
      </c>
      <c r="BJ211" s="25" t="n"/>
      <c r="BK211" s="26" t="n">
        <v>-223</v>
      </c>
      <c r="BL211" s="27" t="n">
        <v>1.44843</v>
      </c>
      <c r="BM211" s="28" t="n">
        <v>0.690402</v>
      </c>
      <c r="BN211" s="28" t="n"/>
      <c r="BO211" s="28" t="n"/>
      <c r="BP211" s="25" t="n"/>
      <c r="BQ211" s="27" t="n">
        <v>1.44843</v>
      </c>
      <c r="BR211" s="28" t="n">
        <v>0.6899999999999999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0.690402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e3c9cce2ebd343b9</t>
        </is>
      </c>
      <c r="B212" s="24" t="inlineStr">
        <is>
          <t>2026-08-27T00:44:50.294417Z</t>
        </is>
      </c>
      <c r="C212" s="24" t="inlineStr">
        <is>
          <t>2026-08-27T08:00:00Z</t>
        </is>
      </c>
      <c r="D212" s="24" t="inlineStr">
        <is>
          <t>90755</t>
        </is>
      </c>
      <c r="E212" s="24" t="inlineStr">
        <is>
          <t>LOL</t>
        </is>
      </c>
      <c r="F212" s="24" t="inlineStr">
        <is>
          <t>BNK FEARX</t>
        </is>
      </c>
      <c r="G212" s="24" t="inlineStr">
        <is>
          <t>Nongshim Red Force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-133</v>
      </c>
      <c r="M212" s="27" t="n">
        <v>1.75188</v>
      </c>
      <c r="N212" s="28" t="n">
        <v>0.570815</v>
      </c>
      <c r="O212" s="28" t="n">
        <v>0.581748</v>
      </c>
      <c r="P212" s="28" t="n"/>
      <c r="Q212" s="28" t="n">
        <v>0.010933</v>
      </c>
      <c r="R212" s="26" t="n">
        <v>25</v>
      </c>
      <c r="S212" s="29" t="n">
        <v>1</v>
      </c>
      <c r="T212" s="24" t="inlineStr">
        <is>
          <t>lol-tiered-elo-v6</t>
        </is>
      </c>
      <c r="U212" s="24" t="inlineStr">
        <is>
          <t>settled</t>
        </is>
      </c>
      <c r="V212" s="24" t="inlineStr">
        <is>
          <t>loss</t>
        </is>
      </c>
      <c r="W212" s="26" t="n">
        <v>1</v>
      </c>
      <c r="X212" s="26" t="n">
        <v>0</v>
      </c>
      <c r="Y212" s="25" t="n"/>
      <c r="Z212" s="26" t="n"/>
      <c r="AA212" s="28" t="n"/>
      <c r="AB212" s="28" t="n"/>
      <c r="AC212" s="30" t="n">
        <v>-1</v>
      </c>
      <c r="AD212" s="24" t="inlineStr">
        <is>
          <t>2026-08-27T12:31:30.970776Z</t>
        </is>
      </c>
      <c r="AE212" s="31" t="inlineStr">
        <is>
          <t>Neutral Elo baseline; executable ask 0.5700 (market_slug=aec-lol-ns-bfx-2026-08-27).</t>
        </is>
      </c>
      <c r="AF212" s="31" t="inlineStr">
        <is>
          <t>Config-promoted esports baseline; gates enforced at log time.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BNK FEARX</t>
        </is>
      </c>
      <c r="AQ212" s="24" t="inlineStr">
        <is>
          <t>BNK FEARX</t>
        </is>
      </c>
      <c r="AR212" s="24" t="inlineStr">
        <is>
          <t>BNK FEARX</t>
        </is>
      </c>
      <c r="AS212" s="24" t="inlineStr">
        <is>
          <t>Nongshim Red Force</t>
        </is>
      </c>
      <c r="AT212" s="24" t="inlineStr">
        <is>
          <t>Nongshim Red Force</t>
        </is>
      </c>
      <c r="AU212" s="24" t="inlineStr">
        <is>
          <t>Nongshim Red Force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d6a64a66507a317f6b525b0bd9774389b3fd1fc68d892896d2cae9c4082fc990</t>
        </is>
      </c>
      <c r="BB212" s="24" t="inlineStr">
        <is>
          <t>neutral_elo</t>
        </is>
      </c>
      <c r="BC212" s="24" t="inlineStr">
        <is>
          <t>lol-tiered-elo-v6</t>
        </is>
      </c>
      <c r="BD212" s="24" t="inlineStr">
        <is>
          <t>d6a64a66507a317f6b525b0bd9774389b3fd1fc68d892896d2cae9c4082fc990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lol-tiered-elo-v6</t>
        </is>
      </c>
      <c r="BH212" s="24" t="inlineStr">
        <is>
          <t>2026-08-27T00:44:47.871419Z</t>
        </is>
      </c>
      <c r="BI212" s="24" t="inlineStr">
        <is>
          <t>["same_event","same_team_same_day","same_league_same_day"]</t>
        </is>
      </c>
      <c r="BJ212" s="25" t="n"/>
      <c r="BK212" s="26" t="n">
        <v>-133</v>
      </c>
      <c r="BL212" s="27" t="n">
        <v>1.75188</v>
      </c>
      <c r="BM212" s="28" t="n">
        <v>0.570815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0.570815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0d20c9f32e114198</t>
        </is>
      </c>
      <c r="B213" s="24" t="inlineStr">
        <is>
          <t>2026-08-27T14:00:24.713200Z</t>
        </is>
      </c>
      <c r="C213" s="24" t="inlineStr">
        <is>
          <t>2026-08-27T15:00:00Z</t>
        </is>
      </c>
      <c r="D213" s="24" t="inlineStr">
        <is>
          <t>90893</t>
        </is>
      </c>
      <c r="E213" s="24" t="inlineStr">
        <is>
          <t>LOL</t>
        </is>
      </c>
      <c r="F213" s="24" t="inlineStr">
        <is>
          <t>Dark Passage</t>
        </is>
      </c>
      <c r="G213" s="24" t="inlineStr">
        <is>
          <t>DIA Ozarox Esports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-122</v>
      </c>
      <c r="M213" s="27" t="n">
        <v>1.819672</v>
      </c>
      <c r="N213" s="28" t="n">
        <v>0.54955</v>
      </c>
      <c r="O213" s="28" t="n">
        <v>0.583839</v>
      </c>
      <c r="P213" s="28" t="n"/>
      <c r="Q213" s="28" t="n">
        <v>0.034289</v>
      </c>
      <c r="R213" s="26" t="n">
        <v>37</v>
      </c>
      <c r="S213" s="29" t="n">
        <v>1</v>
      </c>
      <c r="T213" s="24" t="inlineStr">
        <is>
          <t>lol-tiered-elo-v6</t>
        </is>
      </c>
      <c r="U213" s="24" t="inlineStr">
        <is>
          <t>settled</t>
        </is>
      </c>
      <c r="V213" s="24" t="inlineStr">
        <is>
          <t>loss</t>
        </is>
      </c>
      <c r="W213" s="26" t="n">
        <v>1</v>
      </c>
      <c r="X213" s="26" t="n">
        <v>0</v>
      </c>
      <c r="Y213" s="25" t="n"/>
      <c r="Z213" s="26" t="n">
        <v>-117</v>
      </c>
      <c r="AA213" s="28" t="n">
        <v>0.54</v>
      </c>
      <c r="AB213" s="28" t="n">
        <v>-0.009549999999999999</v>
      </c>
      <c r="AC213" s="30" t="n">
        <v>-1</v>
      </c>
      <c r="AD213" s="24" t="inlineStr">
        <is>
          <t>2026-08-27T21:51:50.868526Z</t>
        </is>
      </c>
      <c r="AE213" s="31" t="inlineStr">
        <is>
          <t>Neutral Elo baseline; executable ask 0.5500 (market_slug=aec-lol-dia-dp-2026-08-27).</t>
        </is>
      </c>
      <c r="AF213" s="31" t="inlineStr">
        <is>
          <t>Config-promoted esports baseline; gates enforced at log time.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Dark Passage</t>
        </is>
      </c>
      <c r="AQ213" s="24" t="inlineStr">
        <is>
          <t>Dark Passage</t>
        </is>
      </c>
      <c r="AR213" s="24" t="inlineStr">
        <is>
          <t>Dark Passage</t>
        </is>
      </c>
      <c r="AS213" s="24" t="inlineStr">
        <is>
          <t>DIA Ozarox Esports</t>
        </is>
      </c>
      <c r="AT213" s="24" t="inlineStr">
        <is>
          <t>DIA Ozarox Esports</t>
        </is>
      </c>
      <c r="AU213" s="24" t="inlineStr">
        <is>
          <t>DIA Ozarox Esports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db7e9ba8f73784a981c9cc767ea72905d718d42f8b1b8a8cee06b10265ded15e</t>
        </is>
      </c>
      <c r="BB213" s="24" t="inlineStr">
        <is>
          <t>neutral_elo</t>
        </is>
      </c>
      <c r="BC213" s="24" t="inlineStr">
        <is>
          <t>lol-tiered-elo-v6</t>
        </is>
      </c>
      <c r="BD213" s="24" t="inlineStr">
        <is>
          <t>db7e9ba8f73784a981c9cc767ea72905d718d42f8b1b8a8cee06b10265ded15e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lol-tiered-elo-v6</t>
        </is>
      </c>
      <c r="BH213" s="24" t="inlineStr">
        <is>
          <t>2026-08-27T14:00:14.881119Z</t>
        </is>
      </c>
      <c r="BI213" s="24" t="inlineStr">
        <is>
          <t>["same_event","same_team_same_day","same_league_same_day"]</t>
        </is>
      </c>
      <c r="BJ213" s="25" t="n"/>
      <c r="BK213" s="26" t="n">
        <v>-122</v>
      </c>
      <c r="BL213" s="27" t="n">
        <v>1.819672</v>
      </c>
      <c r="BM213" s="28" t="n">
        <v>0.54955</v>
      </c>
      <c r="BN213" s="28" t="n"/>
      <c r="BO213" s="28" t="n"/>
      <c r="BP213" s="25" t="n"/>
      <c r="BQ213" s="27" t="n">
        <v>1.854701</v>
      </c>
      <c r="BR213" s="28" t="n">
        <v>0.54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0.54955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aae9e72e3ca849dd</t>
        </is>
      </c>
      <c r="B214" s="24" t="inlineStr">
        <is>
          <t>2026-08-27T14:00:24.713200Z</t>
        </is>
      </c>
      <c r="C214" s="24" t="inlineStr">
        <is>
          <t>2026-08-27T16:00:00Z</t>
        </is>
      </c>
      <c r="D214" s="24" t="inlineStr">
        <is>
          <t>93586</t>
        </is>
      </c>
      <c r="E214" s="24" t="inlineStr">
        <is>
          <t>LOL</t>
        </is>
      </c>
      <c r="F214" s="24" t="inlineStr">
        <is>
          <t>The Secret Club</t>
        </is>
      </c>
      <c r="G214" s="24" t="inlineStr">
        <is>
          <t>Lenovo Legion Honvéd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-156</v>
      </c>
      <c r="M214" s="27" t="n">
        <v>1.641026</v>
      </c>
      <c r="N214" s="28" t="n">
        <v>0.609375</v>
      </c>
      <c r="O214" s="28" t="n">
        <v>0.53506</v>
      </c>
      <c r="P214" s="28" t="n"/>
      <c r="Q214" s="28" t="n">
        <v>-0.07431500000000001</v>
      </c>
      <c r="R214" s="26" t="n">
        <v>0</v>
      </c>
      <c r="S214" s="29" t="n">
        <v>1</v>
      </c>
      <c r="T214" s="24" t="inlineStr">
        <is>
          <t>lol-tiered-elo-v6</t>
        </is>
      </c>
      <c r="U214" s="24" t="inlineStr">
        <is>
          <t>settled</t>
        </is>
      </c>
      <c r="V214" s="24" t="inlineStr">
        <is>
          <t>win</t>
        </is>
      </c>
      <c r="W214" s="26" t="n">
        <v>1</v>
      </c>
      <c r="X214" s="26" t="n">
        <v>0</v>
      </c>
      <c r="Y214" s="25" t="n"/>
      <c r="Z214" s="26" t="n">
        <v>-156</v>
      </c>
      <c r="AA214" s="28" t="n">
        <v>0.61</v>
      </c>
      <c r="AB214" s="28" t="n">
        <v>0.000625</v>
      </c>
      <c r="AC214" s="30" t="n">
        <v>0.641</v>
      </c>
      <c r="AD214" s="24" t="inlineStr">
        <is>
          <t>2026-08-27T21:51:53.199250Z</t>
        </is>
      </c>
      <c r="AE214" s="31" t="inlineStr">
        <is>
          <t>Neutral Elo baseline; executable ask 0.6100 (market_slug=aec-lol-llh-tsc-2026-08-27).</t>
        </is>
      </c>
      <c r="AF214" s="31" t="inlineStr">
        <is>
          <t>Config-promoted esports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The Secret Club</t>
        </is>
      </c>
      <c r="AQ214" s="24" t="inlineStr">
        <is>
          <t>The Secret Club</t>
        </is>
      </c>
      <c r="AR214" s="24" t="inlineStr">
        <is>
          <t>The Secret Club</t>
        </is>
      </c>
      <c r="AS214" s="24" t="inlineStr">
        <is>
          <t>Lenovo Legion Honvéd</t>
        </is>
      </c>
      <c r="AT214" s="24" t="inlineStr">
        <is>
          <t>Lenovo Legion Honvéd</t>
        </is>
      </c>
      <c r="AU214" s="24" t="inlineStr">
        <is>
          <t>Lenovo Legion Honvéd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db7e9ba8f73784a981c9cc767ea72905d718d42f8b1b8a8cee06b10265ded15e</t>
        </is>
      </c>
      <c r="BB214" s="24" t="inlineStr">
        <is>
          <t>neutral_elo</t>
        </is>
      </c>
      <c r="BC214" s="24" t="inlineStr">
        <is>
          <t>lol-tiered-elo-v6</t>
        </is>
      </c>
      <c r="BD214" s="24" t="inlineStr">
        <is>
          <t>db7e9ba8f73784a981c9cc767ea72905d718d42f8b1b8a8cee06b10265ded15e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lol-tiered-elo-v6</t>
        </is>
      </c>
      <c r="BH214" s="24" t="inlineStr">
        <is>
          <t>2026-08-27T14:00:15.008188Z</t>
        </is>
      </c>
      <c r="BI214" s="24" t="inlineStr">
        <is>
          <t>["same_event","same_team_same_day","same_league_same_day"]</t>
        </is>
      </c>
      <c r="BJ214" s="25" t="n"/>
      <c r="BK214" s="26" t="n">
        <v>-156</v>
      </c>
      <c r="BL214" s="27" t="n">
        <v>1.641026</v>
      </c>
      <c r="BM214" s="28" t="n">
        <v>0.609375</v>
      </c>
      <c r="BN214" s="28" t="n"/>
      <c r="BO214" s="28" t="n"/>
      <c r="BP214" s="25" t="n"/>
      <c r="BQ214" s="27" t="n">
        <v>1.641026</v>
      </c>
      <c r="BR214" s="28" t="n">
        <v>0.61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0.609375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ccb5e840cb4c4d18</t>
        </is>
      </c>
      <c r="B215" s="24" t="inlineStr">
        <is>
          <t>2026-08-27T14:00:24.713200Z</t>
        </is>
      </c>
      <c r="C215" s="24" t="inlineStr">
        <is>
          <t>2026-08-27T16:00:00Z</t>
        </is>
      </c>
      <c r="D215" s="24" t="inlineStr">
        <is>
          <t>90922</t>
        </is>
      </c>
      <c r="E215" s="24" t="inlineStr">
        <is>
          <t>LOL</t>
        </is>
      </c>
      <c r="F215" s="24" t="inlineStr">
        <is>
          <t>Skillcamp Esport</t>
        </is>
      </c>
      <c r="G215" s="24" t="inlineStr">
        <is>
          <t>Karmine Corp Blue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-233</v>
      </c>
      <c r="M215" s="27" t="n">
        <v>1.429185</v>
      </c>
      <c r="N215" s="28" t="n">
        <v>0.6997</v>
      </c>
      <c r="O215" s="28" t="n">
        <v>0.60316</v>
      </c>
      <c r="P215" s="28" t="n"/>
      <c r="Q215" s="28" t="n">
        <v>-0.09654</v>
      </c>
      <c r="R215" s="26" t="n">
        <v>0</v>
      </c>
      <c r="S215" s="29" t="n">
        <v>1</v>
      </c>
      <c r="T215" s="24" t="inlineStr">
        <is>
          <t>lol-tiered-elo-v6</t>
        </is>
      </c>
      <c r="U215" s="24" t="inlineStr">
        <is>
          <t>settled</t>
        </is>
      </c>
      <c r="V215" s="24" t="inlineStr">
        <is>
          <t>win</t>
        </is>
      </c>
      <c r="W215" s="26" t="n">
        <v>0</v>
      </c>
      <c r="X215" s="26" t="n">
        <v>1</v>
      </c>
      <c r="Y215" s="25" t="n"/>
      <c r="Z215" s="26" t="n">
        <v>-245</v>
      </c>
      <c r="AA215" s="28" t="n">
        <v>0.71</v>
      </c>
      <c r="AB215" s="28" t="n">
        <v>0.0103</v>
      </c>
      <c r="AC215" s="30" t="n">
        <v>0.4292</v>
      </c>
      <c r="AD215" s="24" t="inlineStr">
        <is>
          <t>2026-08-27T21:51:55.934406Z</t>
        </is>
      </c>
      <c r="AE215" s="31" t="inlineStr">
        <is>
          <t>Neutral Elo baseline; executable ask 0.7000 (market_slug=aec-lol-kcb-sc-2026-08-27).</t>
        </is>
      </c>
      <c r="AF215" s="31" t="inlineStr">
        <is>
          <t>Config-promoted esports baseline; gates enforced at log time.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Skillcamp Esport</t>
        </is>
      </c>
      <c r="AQ215" s="24" t="inlineStr">
        <is>
          <t>Skillcamp Esport</t>
        </is>
      </c>
      <c r="AR215" s="24" t="inlineStr">
        <is>
          <t>Skillcamp Esport</t>
        </is>
      </c>
      <c r="AS215" s="24" t="inlineStr">
        <is>
          <t>Karmine Corp Blue</t>
        </is>
      </c>
      <c r="AT215" s="24" t="inlineStr">
        <is>
          <t>Karmine Corp Blue</t>
        </is>
      </c>
      <c r="AU215" s="24" t="inlineStr">
        <is>
          <t>Karmine Corp Blue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db7e9ba8f73784a981c9cc767ea72905d718d42f8b1b8a8cee06b10265ded15e</t>
        </is>
      </c>
      <c r="BB215" s="24" t="inlineStr">
        <is>
          <t>neutral_elo</t>
        </is>
      </c>
      <c r="BC215" s="24" t="inlineStr">
        <is>
          <t>lol-tiered-elo-v6</t>
        </is>
      </c>
      <c r="BD215" s="24" t="inlineStr">
        <is>
          <t>db7e9ba8f73784a981c9cc767ea72905d718d42f8b1b8a8cee06b10265ded15e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lol-tiered-elo-v6</t>
        </is>
      </c>
      <c r="BH215" s="24" t="inlineStr">
        <is>
          <t>2026-08-27T14:00:15.546838Z</t>
        </is>
      </c>
      <c r="BI215" s="24" t="inlineStr">
        <is>
          <t>["same_event","same_team_same_day","same_league_same_day"]</t>
        </is>
      </c>
      <c r="BJ215" s="25" t="n"/>
      <c r="BK215" s="26" t="n">
        <v>-233</v>
      </c>
      <c r="BL215" s="27" t="n">
        <v>1.429185</v>
      </c>
      <c r="BM215" s="28" t="n">
        <v>0.6997</v>
      </c>
      <c r="BN215" s="28" t="n"/>
      <c r="BO215" s="28" t="n"/>
      <c r="BP215" s="25" t="n"/>
      <c r="BQ215" s="27" t="n">
        <v>1.408163</v>
      </c>
      <c r="BR215" s="28" t="n">
        <v>0.71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0.6997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0bf72a2558e14ff3</t>
        </is>
      </c>
      <c r="B216" s="24" t="inlineStr">
        <is>
          <t>2026-08-27T14:00:24.713200Z</t>
        </is>
      </c>
      <c r="C216" s="24" t="inlineStr">
        <is>
          <t>2026-08-27T16:00:00Z</t>
        </is>
      </c>
      <c r="D216" s="24" t="inlineStr">
        <is>
          <t>90923</t>
        </is>
      </c>
      <c r="E216" s="24" t="inlineStr">
        <is>
          <t>LOL</t>
        </is>
      </c>
      <c r="F216" s="24" t="inlineStr">
        <is>
          <t>TITANS</t>
        </is>
      </c>
      <c r="G216" s="24" t="inlineStr">
        <is>
          <t>EKO Esports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-156</v>
      </c>
      <c r="M216" s="27" t="n">
        <v>1.641026</v>
      </c>
      <c r="N216" s="28" t="n">
        <v>0.609375</v>
      </c>
      <c r="O216" s="28" t="n">
        <v>0.554158</v>
      </c>
      <c r="P216" s="28" t="n"/>
      <c r="Q216" s="28" t="n">
        <v>-0.055217</v>
      </c>
      <c r="R216" s="26" t="n">
        <v>0</v>
      </c>
      <c r="S216" s="29" t="n">
        <v>1</v>
      </c>
      <c r="T216" s="24" t="inlineStr">
        <is>
          <t>lol-tiered-elo-v6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-156</v>
      </c>
      <c r="AA216" s="28" t="n">
        <v>0.61</v>
      </c>
      <c r="AB216" s="28" t="n">
        <v>0.000625</v>
      </c>
      <c r="AC216" s="30" t="n">
        <v>-1</v>
      </c>
      <c r="AD216" s="24" t="inlineStr">
        <is>
          <t>2026-08-27T21:51:58.496443Z</t>
        </is>
      </c>
      <c r="AE216" s="31" t="inlineStr">
        <is>
          <t>Neutral Elo baseline; executable ask 0.6100 (market_slug=aec-lol-eko-tts-2026-08-27).</t>
        </is>
      </c>
      <c r="AF216" s="31" t="inlineStr">
        <is>
          <t>Config-promoted esports baseline; gates enforced at log time.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PAPER_CALL_LOW_EDGE</t>
        </is>
      </c>
      <c r="AP216" s="24" t="inlineStr">
        <is>
          <t>TITANS</t>
        </is>
      </c>
      <c r="AQ216" s="24" t="inlineStr">
        <is>
          <t>TITANS</t>
        </is>
      </c>
      <c r="AR216" s="24" t="inlineStr">
        <is>
          <t>TITANS</t>
        </is>
      </c>
      <c r="AS216" s="24" t="inlineStr">
        <is>
          <t>EKO Esports</t>
        </is>
      </c>
      <c r="AT216" s="24" t="inlineStr">
        <is>
          <t>EKO Esports</t>
        </is>
      </c>
      <c r="AU216" s="24" t="inlineStr">
        <is>
          <t>EKO Esports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db7e9ba8f73784a981c9cc767ea72905d718d42f8b1b8a8cee06b10265ded15e</t>
        </is>
      </c>
      <c r="BB216" s="24" t="inlineStr">
        <is>
          <t>neutral_elo</t>
        </is>
      </c>
      <c r="BC216" s="24" t="inlineStr">
        <is>
          <t>lol-tiered-elo-v6</t>
        </is>
      </c>
      <c r="BD216" s="24" t="inlineStr">
        <is>
          <t>db7e9ba8f73784a981c9cc767ea72905d718d42f8b1b8a8cee06b10265ded15e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lol-tiered-elo-v6</t>
        </is>
      </c>
      <c r="BH216" s="24" t="inlineStr">
        <is>
          <t>2026-08-27T14:00:15.912517Z</t>
        </is>
      </c>
      <c r="BI216" s="24" t="inlineStr">
        <is>
          <t>["same_event","same_team_same_day","same_league_same_day"]</t>
        </is>
      </c>
      <c r="BJ216" s="25" t="n"/>
      <c r="BK216" s="26" t="n">
        <v>-156</v>
      </c>
      <c r="BL216" s="27" t="n">
        <v>1.641026</v>
      </c>
      <c r="BM216" s="28" t="n">
        <v>0.609375</v>
      </c>
      <c r="BN216" s="28" t="n"/>
      <c r="BO216" s="28" t="n"/>
      <c r="BP216" s="25" t="n"/>
      <c r="BQ216" s="27" t="n">
        <v>1.641026</v>
      </c>
      <c r="BR216" s="28" t="n">
        <v>0.61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0.609375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240d9a336ae24286</t>
        </is>
      </c>
      <c r="B217" s="24" t="inlineStr">
        <is>
          <t>2026-08-27T14:00:24.713200Z</t>
        </is>
      </c>
      <c r="C217" s="24" t="inlineStr">
        <is>
          <t>2026-08-27T16:30:00Z</t>
        </is>
      </c>
      <c r="D217" s="24" t="inlineStr">
        <is>
          <t>90936</t>
        </is>
      </c>
      <c r="E217" s="24" t="inlineStr">
        <is>
          <t>LOL</t>
        </is>
      </c>
      <c r="F217" s="24" t="inlineStr">
        <is>
          <t>Bohemian Guardians</t>
        </is>
      </c>
      <c r="G217" s="24" t="inlineStr">
        <is>
          <t>Onion Team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-127</v>
      </c>
      <c r="M217" s="27" t="n">
        <v>1.787402</v>
      </c>
      <c r="N217" s="28" t="n">
        <v>0.5594710000000001</v>
      </c>
      <c r="O217" s="28" t="n">
        <v>0.533717</v>
      </c>
      <c r="P217" s="28" t="n"/>
      <c r="Q217" s="28" t="n">
        <v>-0.025754</v>
      </c>
      <c r="R217" s="26" t="n">
        <v>7</v>
      </c>
      <c r="S217" s="29" t="n">
        <v>1</v>
      </c>
      <c r="T217" s="24" t="inlineStr">
        <is>
          <t>lol-tiered-elo-v6</t>
        </is>
      </c>
      <c r="U217" s="24" t="inlineStr">
        <is>
          <t>settled</t>
        </is>
      </c>
      <c r="V217" s="24" t="inlineStr">
        <is>
          <t>loss</t>
        </is>
      </c>
      <c r="W217" s="26" t="n">
        <v>1</v>
      </c>
      <c r="X217" s="26" t="n">
        <v>0</v>
      </c>
      <c r="Y217" s="25" t="n"/>
      <c r="Z217" s="26" t="n">
        <v>-127</v>
      </c>
      <c r="AA217" s="28" t="n">
        <v>0.5600000000000001</v>
      </c>
      <c r="AB217" s="28" t="n">
        <v>0.000529</v>
      </c>
      <c r="AC217" s="30" t="n">
        <v>-1</v>
      </c>
      <c r="AD217" s="24" t="inlineStr">
        <is>
          <t>2026-08-27T21:52:00.843582Z</t>
        </is>
      </c>
      <c r="AE217" s="31" t="inlineStr">
        <is>
          <t>Neutral Elo baseline; executable ask 0.5600 (market_slug=aec-lol-ot-bg-2026-08-27).</t>
        </is>
      </c>
      <c r="AF217" s="31" t="inlineStr">
        <is>
          <t>Config-promoted esports baseline; gates enforced at log time.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PAPER_CALL_LOW_EDGE</t>
        </is>
      </c>
      <c r="AP217" s="24" t="inlineStr">
        <is>
          <t>Bohemian Guardians</t>
        </is>
      </c>
      <c r="AQ217" s="24" t="inlineStr">
        <is>
          <t>Bohemian Guardians</t>
        </is>
      </c>
      <c r="AR217" s="24" t="inlineStr">
        <is>
          <t>Bohemian Guardians</t>
        </is>
      </c>
      <c r="AS217" s="24" t="inlineStr">
        <is>
          <t>Onion Team</t>
        </is>
      </c>
      <c r="AT217" s="24" t="inlineStr">
        <is>
          <t>Onion Team</t>
        </is>
      </c>
      <c r="AU217" s="24" t="inlineStr">
        <is>
          <t>Onion Team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db7e9ba8f73784a981c9cc767ea72905d718d42f8b1b8a8cee06b10265ded15e</t>
        </is>
      </c>
      <c r="BB217" s="24" t="inlineStr">
        <is>
          <t>neutral_elo</t>
        </is>
      </c>
      <c r="BC217" s="24" t="inlineStr">
        <is>
          <t>lol-tiered-elo-v6</t>
        </is>
      </c>
      <c r="BD217" s="24" t="inlineStr">
        <is>
          <t>db7e9ba8f73784a981c9cc767ea72905d718d42f8b1b8a8cee06b10265ded15e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lol-tiered-elo-v6</t>
        </is>
      </c>
      <c r="BH217" s="24" t="inlineStr">
        <is>
          <t>2026-08-27T14:00:17.695026Z</t>
        </is>
      </c>
      <c r="BI217" s="24" t="inlineStr">
        <is>
          <t>["same_event","same_team_same_day","same_league_same_day"]</t>
        </is>
      </c>
      <c r="BJ217" s="25" t="n"/>
      <c r="BK217" s="26" t="n">
        <v>-127</v>
      </c>
      <c r="BL217" s="27" t="n">
        <v>1.787402</v>
      </c>
      <c r="BM217" s="28" t="n">
        <v>0.5594710000000001</v>
      </c>
      <c r="BN217" s="28" t="n"/>
      <c r="BO217" s="28" t="n"/>
      <c r="BP217" s="25" t="n"/>
      <c r="BQ217" s="27" t="n">
        <v>1.787402</v>
      </c>
      <c r="BR217" s="28" t="n">
        <v>0.5600000000000001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0.559471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bf2e0fa570fa4442</t>
        </is>
      </c>
      <c r="B218" s="24" t="inlineStr">
        <is>
          <t>2026-08-27T14:00:24.713200Z</t>
        </is>
      </c>
      <c r="C218" s="24" t="inlineStr">
        <is>
          <t>2026-08-27T17:00:00Z</t>
        </is>
      </c>
      <c r="D218" s="24" t="inlineStr">
        <is>
          <t>90949</t>
        </is>
      </c>
      <c r="E218" s="24" t="inlineStr">
        <is>
          <t>LOL</t>
        </is>
      </c>
      <c r="F218" s="24" t="inlineStr">
        <is>
          <t>ZennIT</t>
        </is>
      </c>
      <c r="G218" s="24" t="inlineStr">
        <is>
          <t>mCon esports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-108</v>
      </c>
      <c r="M218" s="27" t="n">
        <v>1.925926</v>
      </c>
      <c r="N218" s="28" t="n">
        <v>0.519231</v>
      </c>
      <c r="O218" s="28" t="n">
        <v>0.56795</v>
      </c>
      <c r="P218" s="28" t="n"/>
      <c r="Q218" s="28" t="n">
        <v>0.048719</v>
      </c>
      <c r="R218" s="26" t="n">
        <v>44</v>
      </c>
      <c r="S218" s="29" t="n">
        <v>1</v>
      </c>
      <c r="T218" s="24" t="inlineStr">
        <is>
          <t>lol-tiered-elo-v6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>
        <v>-108</v>
      </c>
      <c r="AA218" s="28" t="n">
        <v>0.52</v>
      </c>
      <c r="AB218" s="28" t="n">
        <v>0.000769</v>
      </c>
      <c r="AC218" s="30" t="n">
        <v>0.9258999999999999</v>
      </c>
      <c r="AD218" s="24" t="inlineStr">
        <is>
          <t>2026-08-27T21:52:03.066439Z</t>
        </is>
      </c>
      <c r="AE218" s="31" t="inlineStr">
        <is>
          <t>Neutral Elo baseline; executable ask 0.5200 (market_slug=aec-lol-mcn-znt-2026-08-27).</t>
        </is>
      </c>
      <c r="AF218" s="31" t="inlineStr">
        <is>
          <t>Config-promoted esports baseline; gates enforced at log time.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ZennIT</t>
        </is>
      </c>
      <c r="AQ218" s="24" t="inlineStr">
        <is>
          <t>ZennIT</t>
        </is>
      </c>
      <c r="AR218" s="24" t="inlineStr">
        <is>
          <t>ZennIT</t>
        </is>
      </c>
      <c r="AS218" s="24" t="inlineStr">
        <is>
          <t>mCon esports</t>
        </is>
      </c>
      <c r="AT218" s="24" t="inlineStr">
        <is>
          <t>mCon esports</t>
        </is>
      </c>
      <c r="AU218" s="24" t="inlineStr">
        <is>
          <t>mCon esports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db7e9ba8f73784a981c9cc767ea72905d718d42f8b1b8a8cee06b10265ded15e</t>
        </is>
      </c>
      <c r="BB218" s="24" t="inlineStr">
        <is>
          <t>neutral_elo</t>
        </is>
      </c>
      <c r="BC218" s="24" t="inlineStr">
        <is>
          <t>lol-tiered-elo-v6</t>
        </is>
      </c>
      <c r="BD218" s="24" t="inlineStr">
        <is>
          <t>db7e9ba8f73784a981c9cc767ea72905d718d42f8b1b8a8cee06b10265ded15e</t>
        </is>
      </c>
      <c r="BE218" s="24" t="inlineStr">
        <is>
          <t>1</t>
        </is>
      </c>
      <c r="BF218" s="24" t="inlineStr">
        <is>
          <t>1</t>
        </is>
      </c>
      <c r="BG218" s="24" t="inlineStr">
        <is>
          <t>lol-tiered-elo-v6</t>
        </is>
      </c>
      <c r="BH218" s="24" t="inlineStr">
        <is>
          <t>2026-08-27T14:00:18.627873Z</t>
        </is>
      </c>
      <c r="BI218" s="24" t="inlineStr">
        <is>
          <t>["same_event","same_team_same_day","same_league_same_day"]</t>
        </is>
      </c>
      <c r="BJ218" s="25" t="n"/>
      <c r="BK218" s="26" t="n">
        <v>-108</v>
      </c>
      <c r="BL218" s="27" t="n">
        <v>1.925926</v>
      </c>
      <c r="BM218" s="28" t="n">
        <v>0.519231</v>
      </c>
      <c r="BN218" s="28" t="n"/>
      <c r="BO218" s="28" t="n"/>
      <c r="BP218" s="25" t="n"/>
      <c r="BQ218" s="27" t="n">
        <v>1.925926</v>
      </c>
      <c r="BR218" s="28" t="n">
        <v>0.52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0.519231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183bbff89b5246a5</t>
        </is>
      </c>
      <c r="B219" s="24" t="inlineStr">
        <is>
          <t>2026-08-27T14:00:24.713200Z</t>
        </is>
      </c>
      <c r="C219" s="24" t="inlineStr">
        <is>
          <t>2026-08-27T21:00:00Z</t>
        </is>
      </c>
      <c r="D219" s="24" t="inlineStr">
        <is>
          <t>91216</t>
        </is>
      </c>
      <c r="E219" s="24" t="inlineStr">
        <is>
          <t>LOL</t>
        </is>
      </c>
      <c r="F219" s="24" t="inlineStr">
        <is>
          <t>University of Mississippi</t>
        </is>
      </c>
      <c r="G219" s="24" t="inlineStr">
        <is>
          <t>Contingent Esports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186</v>
      </c>
      <c r="M219" s="27" t="n">
        <v>2.86</v>
      </c>
      <c r="N219" s="28" t="n">
        <v>0.34965</v>
      </c>
      <c r="O219" s="28" t="n">
        <v>0.538818</v>
      </c>
      <c r="P219" s="28" t="n"/>
      <c r="Q219" s="28" t="n">
        <v>0.189168</v>
      </c>
      <c r="R219" s="26" t="n">
        <v>100</v>
      </c>
      <c r="S219" s="29" t="n">
        <v>2</v>
      </c>
      <c r="T219" s="24" t="inlineStr">
        <is>
          <t>lol-tiered-elo-v6</t>
        </is>
      </c>
      <c r="U219" s="24" t="inlineStr">
        <is>
          <t>settled</t>
        </is>
      </c>
      <c r="V219" s="24" t="inlineStr">
        <is>
          <t>win</t>
        </is>
      </c>
      <c r="W219" s="26" t="n">
        <v>0</v>
      </c>
      <c r="X219" s="26" t="n">
        <v>1</v>
      </c>
      <c r="Y219" s="25" t="n"/>
      <c r="Z219" s="26" t="n">
        <v>186</v>
      </c>
      <c r="AA219" s="28" t="n">
        <v>0.35</v>
      </c>
      <c r="AB219" s="28" t="n">
        <v>0.00035</v>
      </c>
      <c r="AC219" s="30" t="n">
        <v>3.72</v>
      </c>
      <c r="AD219" s="24" t="inlineStr">
        <is>
          <t>2026-08-28T02:41:39.403722Z</t>
        </is>
      </c>
      <c r="AE219" s="31" t="inlineStr">
        <is>
          <t>Neutral Elo baseline; executable ask 0.3500 (market_slug=aec-lol-cont-miss-2026-08-27).</t>
        </is>
      </c>
      <c r="AF219" s="31" t="inlineStr">
        <is>
          <t>Config-promoted esports baseline; gates enforced at log time.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University of Mississippi</t>
        </is>
      </c>
      <c r="AQ219" s="24" t="inlineStr">
        <is>
          <t>University of Mississippi</t>
        </is>
      </c>
      <c r="AR219" s="24" t="inlineStr">
        <is>
          <t>University of Mississippi</t>
        </is>
      </c>
      <c r="AS219" s="24" t="inlineStr">
        <is>
          <t>Contingent Esports</t>
        </is>
      </c>
      <c r="AT219" s="24" t="inlineStr">
        <is>
          <t>Contingent Esports</t>
        </is>
      </c>
      <c r="AU219" s="24" t="inlineStr">
        <is>
          <t>Contingent Esports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db7e9ba8f73784a981c9cc767ea72905d718d42f8b1b8a8cee06b10265ded15e</t>
        </is>
      </c>
      <c r="BB219" s="24" t="inlineStr">
        <is>
          <t>neutral_elo</t>
        </is>
      </c>
      <c r="BC219" s="24" t="inlineStr">
        <is>
          <t>lol-tiered-elo-v6</t>
        </is>
      </c>
      <c r="BD219" s="24" t="inlineStr">
        <is>
          <t>db7e9ba8f73784a981c9cc767ea72905d718d42f8b1b8a8cee06b10265ded15e</t>
        </is>
      </c>
      <c r="BE219" s="24" t="inlineStr">
        <is>
          <t>1</t>
        </is>
      </c>
      <c r="BF219" s="24" t="inlineStr">
        <is>
          <t>1</t>
        </is>
      </c>
      <c r="BG219" s="24" t="inlineStr">
        <is>
          <t>lol-tiered-elo-v6</t>
        </is>
      </c>
      <c r="BH219" s="24" t="inlineStr">
        <is>
          <t>2026-08-27T14:00:21.168898Z</t>
        </is>
      </c>
      <c r="BI219" s="24" t="inlineStr">
        <is>
          <t>["same_event","same_team_same_day","same_league_same_day"]</t>
        </is>
      </c>
      <c r="BJ219" s="25" t="n"/>
      <c r="BK219" s="26" t="n">
        <v>186</v>
      </c>
      <c r="BL219" s="27" t="n">
        <v>2.86</v>
      </c>
      <c r="BM219" s="28" t="n">
        <v>0.34965</v>
      </c>
      <c r="BN219" s="28" t="n"/>
      <c r="BO219" s="28" t="n"/>
      <c r="BP219" s="25" t="n"/>
      <c r="BQ219" s="27" t="n">
        <v>2.86</v>
      </c>
      <c r="BR219" s="28" t="n">
        <v>0.35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0.34965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dd8048644bff4cad</t>
        </is>
      </c>
      <c r="B220" s="24" t="inlineStr">
        <is>
          <t>2026-08-28T02:44:36.816853Z</t>
        </is>
      </c>
      <c r="C220" s="24" t="inlineStr">
        <is>
          <t>2026-08-28T08:00:00Z</t>
        </is>
      </c>
      <c r="D220" s="24" t="inlineStr">
        <is>
          <t>94291</t>
        </is>
      </c>
      <c r="E220" s="24" t="inlineStr">
        <is>
          <t>LOL</t>
        </is>
      </c>
      <c r="F220" s="24" t="inlineStr">
        <is>
          <t>BNK FEARX</t>
        </is>
      </c>
      <c r="G220" s="24" t="inlineStr">
        <is>
          <t>HANJIN BRION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-127</v>
      </c>
      <c r="M220" s="27" t="n">
        <v>1.787402</v>
      </c>
      <c r="N220" s="28" t="n">
        <v>0.5594710000000001</v>
      </c>
      <c r="O220" s="28" t="n">
        <v>0.576087</v>
      </c>
      <c r="P220" s="28" t="n"/>
      <c r="Q220" s="28" t="n">
        <v>0.016616</v>
      </c>
      <c r="R220" s="26" t="n">
        <v>28</v>
      </c>
      <c r="S220" s="29" t="n">
        <v>1</v>
      </c>
      <c r="T220" s="24" t="inlineStr">
        <is>
          <t>lol-tiered-elo-v6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/>
      <c r="AA220" s="28" t="n"/>
      <c r="AB220" s="28" t="n"/>
      <c r="AC220" s="30" t="n">
        <v>0.7874</v>
      </c>
      <c r="AD220" s="24" t="inlineStr">
        <is>
          <t>2026-08-28T12:32:11.758515Z</t>
        </is>
      </c>
      <c r="AE220" s="31" t="inlineStr">
        <is>
          <t>Neutral Elo baseline; executable ask 0.5600 (market_slug=aec-lol-bro-bfx-2026-08-28).</t>
        </is>
      </c>
      <c r="AF220" s="31" t="inlineStr">
        <is>
          <t>Config-promoted esports baseline; gates enforced at log time.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BNK FEARX</t>
        </is>
      </c>
      <c r="AQ220" s="24" t="inlineStr">
        <is>
          <t>BNK FEARX</t>
        </is>
      </c>
      <c r="AR220" s="24" t="inlineStr">
        <is>
          <t>BNK FEARX</t>
        </is>
      </c>
      <c r="AS220" s="24" t="inlineStr">
        <is>
          <t>HANJIN BRION</t>
        </is>
      </c>
      <c r="AT220" s="24" t="inlineStr">
        <is>
          <t>HANJIN BRION</t>
        </is>
      </c>
      <c r="AU220" s="24" t="inlineStr">
        <is>
          <t>HANJIN BRION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d8c0463466b3a637b97ee578dc63b6a2fab63515937d8059f54eb862dd31431e</t>
        </is>
      </c>
      <c r="BB220" s="24" t="inlineStr">
        <is>
          <t>neutral_elo</t>
        </is>
      </c>
      <c r="BC220" s="24" t="inlineStr">
        <is>
          <t>lol-tiered-elo-v6</t>
        </is>
      </c>
      <c r="BD220" s="24" t="inlineStr">
        <is>
          <t>d8c0463466b3a637b97ee578dc63b6a2fab63515937d8059f54eb862dd31431e</t>
        </is>
      </c>
      <c r="BE220" s="24" t="inlineStr">
        <is>
          <t>1</t>
        </is>
      </c>
      <c r="BF220" s="24" t="inlineStr">
        <is>
          <t>1</t>
        </is>
      </c>
      <c r="BG220" s="24" t="inlineStr">
        <is>
          <t>lol-tiered-elo-v6</t>
        </is>
      </c>
      <c r="BH220" s="24" t="inlineStr">
        <is>
          <t>2026-08-28T02:44:35.250397Z</t>
        </is>
      </c>
      <c r="BI220" s="24" t="inlineStr">
        <is>
          <t>["same_event","same_team_same_day","same_league_same_day"]</t>
        </is>
      </c>
      <c r="BJ220" s="25" t="n"/>
      <c r="BK220" s="26" t="n">
        <v>-127</v>
      </c>
      <c r="BL220" s="27" t="n">
        <v>1.787402</v>
      </c>
      <c r="BM220" s="28" t="n">
        <v>0.5594710000000001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0.559471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42791344a6ec4850</t>
        </is>
      </c>
      <c r="B221" s="24" t="inlineStr">
        <is>
          <t>2026-08-28T12:36:03.829118Z</t>
        </is>
      </c>
      <c r="C221" s="24" t="inlineStr">
        <is>
          <t>2026-08-28T13:00:00Z</t>
        </is>
      </c>
      <c r="D221" s="24" t="inlineStr">
        <is>
          <t>94293</t>
        </is>
      </c>
      <c r="E221" s="24" t="inlineStr">
        <is>
          <t>LOL</t>
        </is>
      </c>
      <c r="F221" s="24" t="inlineStr">
        <is>
          <t>Gamespace Mediterranean College Esports</t>
        </is>
      </c>
      <c r="G221" s="24" t="inlineStr">
        <is>
          <t>Team Phantasma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-133</v>
      </c>
      <c r="M221" s="27" t="n">
        <v>1.75188</v>
      </c>
      <c r="N221" s="28" t="n">
        <v>0.570815</v>
      </c>
      <c r="O221" s="28" t="n">
        <v>0.638234</v>
      </c>
      <c r="P221" s="28" t="n"/>
      <c r="Q221" s="28" t="n">
        <v>0.06741900000000001</v>
      </c>
      <c r="R221" s="26" t="n">
        <v>54</v>
      </c>
      <c r="S221" s="29" t="n">
        <v>1</v>
      </c>
      <c r="T221" s="24" t="inlineStr">
        <is>
          <t>lol-tiered-elo-v6</t>
        </is>
      </c>
      <c r="U221" s="24" t="inlineStr">
        <is>
          <t>settled</t>
        </is>
      </c>
      <c r="V221" s="24" t="inlineStr">
        <is>
          <t>loss</t>
        </is>
      </c>
      <c r="W221" s="26" t="n">
        <v>1</v>
      </c>
      <c r="X221" s="26" t="n">
        <v>0</v>
      </c>
      <c r="Y221" s="25" t="n"/>
      <c r="Z221" s="26" t="n">
        <v>-133</v>
      </c>
      <c r="AA221" s="28" t="n">
        <v>0.57</v>
      </c>
      <c r="AB221" s="28" t="n">
        <v>-0.000815</v>
      </c>
      <c r="AC221" s="30" t="n">
        <v>-1</v>
      </c>
      <c r="AD221" s="24" t="inlineStr">
        <is>
          <t>2026-08-29T12:39:09.324956Z</t>
        </is>
      </c>
      <c r="AE221" s="31" t="inlineStr">
        <is>
          <t>Neutral Elo baseline; executable ask 0.5700 (market_slug=aec-lol-tp-gsmc-2026-08-28).</t>
        </is>
      </c>
      <c r="AF221" s="31" t="inlineStr">
        <is>
          <t>Config-promoted esports baseline; gates enforced at log time.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Gamespace Mediterranean College Esports</t>
        </is>
      </c>
      <c r="AQ221" s="24" t="inlineStr">
        <is>
          <t>Gamespace Mediterranean College Esports</t>
        </is>
      </c>
      <c r="AR221" s="24" t="inlineStr">
        <is>
          <t>Gamespace Mediterranean College Esports</t>
        </is>
      </c>
      <c r="AS221" s="24" t="inlineStr">
        <is>
          <t>Team Phantasma</t>
        </is>
      </c>
      <c r="AT221" s="24" t="inlineStr">
        <is>
          <t>Team Phantasma</t>
        </is>
      </c>
      <c r="AU221" s="24" t="inlineStr">
        <is>
          <t>Team Phantasma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de5dc30ea9bd3197aac7a02ef5823d5e0eb38a2b1106104be6b0deb00ea086c2</t>
        </is>
      </c>
      <c r="BB221" s="24" t="inlineStr">
        <is>
          <t>neutral_elo</t>
        </is>
      </c>
      <c r="BC221" s="24" t="inlineStr">
        <is>
          <t>lol-tiered-elo-v6</t>
        </is>
      </c>
      <c r="BD221" s="24" t="inlineStr">
        <is>
          <t>de5dc30ea9bd3197aac7a02ef5823d5e0eb38a2b1106104be6b0deb00ea086c2</t>
        </is>
      </c>
      <c r="BE221" s="24" t="inlineStr">
        <is>
          <t>1</t>
        </is>
      </c>
      <c r="BF221" s="24" t="inlineStr">
        <is>
          <t>1</t>
        </is>
      </c>
      <c r="BG221" s="24" t="inlineStr">
        <is>
          <t>lol-tiered-elo-v6</t>
        </is>
      </c>
      <c r="BH221" s="24" t="inlineStr">
        <is>
          <t>2026-08-28T12:36:01.806913Z</t>
        </is>
      </c>
      <c r="BI221" s="24" t="inlineStr">
        <is>
          <t>["same_event","same_team_same_day","same_league_same_day"]</t>
        </is>
      </c>
      <c r="BJ221" s="25" t="n"/>
      <c r="BK221" s="26" t="n">
        <v>-133</v>
      </c>
      <c r="BL221" s="27" t="n">
        <v>1.75188</v>
      </c>
      <c r="BM221" s="28" t="n">
        <v>0.570815</v>
      </c>
      <c r="BN221" s="28" t="n"/>
      <c r="BO221" s="28" t="n"/>
      <c r="BP221" s="25" t="n"/>
      <c r="BQ221" s="27" t="n">
        <v>1.75188</v>
      </c>
      <c r="BR221" s="28" t="n">
        <v>0.57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0.570815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5a63f76455a645ea</t>
        </is>
      </c>
      <c r="B222" s="24" t="inlineStr">
        <is>
          <t>2026-08-28T12:36:03.829118Z</t>
        </is>
      </c>
      <c r="C222" s="24" t="inlineStr">
        <is>
          <t>2026-08-28T15:00:00Z</t>
        </is>
      </c>
      <c r="D222" s="24" t="inlineStr">
        <is>
          <t>92398</t>
        </is>
      </c>
      <c r="E222" s="24" t="inlineStr">
        <is>
          <t>LOL</t>
        </is>
      </c>
      <c r="F222" s="24" t="inlineStr">
        <is>
          <t>Team Heretics</t>
        </is>
      </c>
      <c r="G222" s="24" t="inlineStr">
        <is>
          <t>Shifters</t>
        </is>
      </c>
      <c r="H222" s="24" t="inlineStr">
        <is>
          <t>moneyline</t>
        </is>
      </c>
      <c r="I222" s="24" t="inlineStr">
        <is>
          <t>away</t>
        </is>
      </c>
      <c r="J222" s="25" t="n"/>
      <c r="K222" s="24" t="inlineStr">
        <is>
          <t>polymarket_us</t>
        </is>
      </c>
      <c r="L222" s="26" t="n">
        <v>-133</v>
      </c>
      <c r="M222" s="27" t="n">
        <v>1.75188</v>
      </c>
      <c r="N222" s="28" t="n">
        <v>0.570815</v>
      </c>
      <c r="O222" s="28" t="n">
        <v>0.533906</v>
      </c>
      <c r="P222" s="28" t="n"/>
      <c r="Q222" s="28" t="n">
        <v>-0.036909</v>
      </c>
      <c r="R222" s="26" t="n">
        <v>2</v>
      </c>
      <c r="S222" s="29" t="n">
        <v>1</v>
      </c>
      <c r="T222" s="24" t="inlineStr">
        <is>
          <t>lol-tiered-elo-v6</t>
        </is>
      </c>
      <c r="U222" s="24" t="inlineStr">
        <is>
          <t>settled</t>
        </is>
      </c>
      <c r="V222" s="24" t="inlineStr">
        <is>
          <t>loss</t>
        </is>
      </c>
      <c r="W222" s="26" t="n">
        <v>0</v>
      </c>
      <c r="X222" s="26" t="n">
        <v>1</v>
      </c>
      <c r="Y222" s="25" t="n"/>
      <c r="Z222" s="26" t="n">
        <v>-133</v>
      </c>
      <c r="AA222" s="28" t="n">
        <v>0.57</v>
      </c>
      <c r="AB222" s="28" t="n">
        <v>-0.000815</v>
      </c>
      <c r="AC222" s="30" t="n">
        <v>-1</v>
      </c>
      <c r="AD222" s="24" t="inlineStr">
        <is>
          <t>2026-08-29T12:39:10.595850Z</t>
        </is>
      </c>
      <c r="AE222" s="31" t="inlineStr">
        <is>
          <t>Neutral Elo baseline; executable ask 0.5700 (market_slug=aec-lol-shft-th-2026-08-28).</t>
        </is>
      </c>
      <c r="AF222" s="31" t="inlineStr">
        <is>
          <t>Config-promoted esports baseline; gates enforced at log time.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PAPER_CALL_LOW_EDGE</t>
        </is>
      </c>
      <c r="AP222" s="24" t="inlineStr">
        <is>
          <t>Team Heretics</t>
        </is>
      </c>
      <c r="AQ222" s="24" t="inlineStr">
        <is>
          <t>Team Heretics</t>
        </is>
      </c>
      <c r="AR222" s="24" t="inlineStr">
        <is>
          <t>Team Heretics</t>
        </is>
      </c>
      <c r="AS222" s="24" t="inlineStr">
        <is>
          <t>Shifters</t>
        </is>
      </c>
      <c r="AT222" s="24" t="inlineStr">
        <is>
          <t>Shifters</t>
        </is>
      </c>
      <c r="AU222" s="24" t="inlineStr">
        <is>
          <t>Shifters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de5dc30ea9bd3197aac7a02ef5823d5e0eb38a2b1106104be6b0deb00ea086c2</t>
        </is>
      </c>
      <c r="BB222" s="24" t="inlineStr">
        <is>
          <t>neutral_elo</t>
        </is>
      </c>
      <c r="BC222" s="24" t="inlineStr">
        <is>
          <t>lol-tiered-elo-v6</t>
        </is>
      </c>
      <c r="BD222" s="24" t="inlineStr">
        <is>
          <t>de5dc30ea9bd3197aac7a02ef5823d5e0eb38a2b1106104be6b0deb00ea086c2</t>
        </is>
      </c>
      <c r="BE222" s="24" t="inlineStr">
        <is>
          <t>1</t>
        </is>
      </c>
      <c r="BF222" s="24" t="inlineStr">
        <is>
          <t>1</t>
        </is>
      </c>
      <c r="BG222" s="24" t="inlineStr">
        <is>
          <t>lol-tiered-elo-v6</t>
        </is>
      </c>
      <c r="BH222" s="24" t="inlineStr">
        <is>
          <t>2026-08-28T12:36:01.911050Z</t>
        </is>
      </c>
      <c r="BI222" s="24" t="inlineStr">
        <is>
          <t>["same_event","same_team_same_day","same_league_same_day"]</t>
        </is>
      </c>
      <c r="BJ222" s="25" t="n"/>
      <c r="BK222" s="26" t="n">
        <v>-133</v>
      </c>
      <c r="BL222" s="27" t="n">
        <v>1.75188</v>
      </c>
      <c r="BM222" s="28" t="n">
        <v>0.570815</v>
      </c>
      <c r="BN222" s="28" t="n"/>
      <c r="BO222" s="28" t="n"/>
      <c r="BP222" s="25" t="n"/>
      <c r="BQ222" s="27" t="n">
        <v>1.75188</v>
      </c>
      <c r="BR222" s="28" t="n">
        <v>0.57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0.570815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49f885c67fd84088</t>
        </is>
      </c>
      <c r="B223" s="24" t="inlineStr">
        <is>
          <t>2026-08-28T12:36:03.829118Z</t>
        </is>
      </c>
      <c r="C223" s="24" t="inlineStr">
        <is>
          <t>2026-08-28T17:15:00Z</t>
        </is>
      </c>
      <c r="D223" s="24" t="inlineStr">
        <is>
          <t>92399</t>
        </is>
      </c>
      <c r="E223" s="24" t="inlineStr">
        <is>
          <t>LOL</t>
        </is>
      </c>
      <c r="F223" s="24" t="inlineStr">
        <is>
          <t>Fnatic</t>
        </is>
      </c>
      <c r="G223" s="24" t="inlineStr">
        <is>
          <t>Team Vitality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-150</v>
      </c>
      <c r="M223" s="27" t="n">
        <v>1.666667</v>
      </c>
      <c r="N223" s="28" t="n">
        <v>0.6</v>
      </c>
      <c r="O223" s="28" t="n">
        <v>0.701576</v>
      </c>
      <c r="P223" s="28" t="n"/>
      <c r="Q223" s="28" t="n">
        <v>0.101576</v>
      </c>
      <c r="R223" s="26" t="n">
        <v>71</v>
      </c>
      <c r="S223" s="29" t="n">
        <v>1.25</v>
      </c>
      <c r="T223" s="24" t="inlineStr">
        <is>
          <t>lol-tiered-elo-v6</t>
        </is>
      </c>
      <c r="U223" s="24" t="inlineStr">
        <is>
          <t>settled</t>
        </is>
      </c>
      <c r="V223" s="24" t="inlineStr">
        <is>
          <t>win</t>
        </is>
      </c>
      <c r="W223" s="26" t="n">
        <v>0</v>
      </c>
      <c r="X223" s="26" t="n">
        <v>1</v>
      </c>
      <c r="Y223" s="25" t="n"/>
      <c r="Z223" s="26" t="n">
        <v>-150</v>
      </c>
      <c r="AA223" s="28" t="n">
        <v>0.6</v>
      </c>
      <c r="AB223" s="28" t="n">
        <v>0</v>
      </c>
      <c r="AC223" s="30" t="n">
        <v>0.8333</v>
      </c>
      <c r="AD223" s="24" t="inlineStr">
        <is>
          <t>2026-08-29T12:39:11.781253Z</t>
        </is>
      </c>
      <c r="AE223" s="31" t="inlineStr">
        <is>
          <t>Neutral Elo baseline; executable ask 0.6000 (market_slug=aec-lol-vit-fnc-2026-08-28).</t>
        </is>
      </c>
      <c r="AF223" s="31" t="inlineStr">
        <is>
          <t>Config-promoted esports baseline; gates enforced at log time.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Fnatic</t>
        </is>
      </c>
      <c r="AQ223" s="24" t="inlineStr">
        <is>
          <t>Fnatic</t>
        </is>
      </c>
      <c r="AR223" s="24" t="inlineStr">
        <is>
          <t>Fnatic</t>
        </is>
      </c>
      <c r="AS223" s="24" t="inlineStr">
        <is>
          <t>Team Vitality</t>
        </is>
      </c>
      <c r="AT223" s="24" t="inlineStr">
        <is>
          <t>Team Vitality</t>
        </is>
      </c>
      <c r="AU223" s="24" t="inlineStr">
        <is>
          <t>Team Vitality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de5dc30ea9bd3197aac7a02ef5823d5e0eb38a2b1106104be6b0deb00ea086c2</t>
        </is>
      </c>
      <c r="BB223" s="24" t="inlineStr">
        <is>
          <t>neutral_elo</t>
        </is>
      </c>
      <c r="BC223" s="24" t="inlineStr">
        <is>
          <t>lol-tiered-elo-v6</t>
        </is>
      </c>
      <c r="BD223" s="24" t="inlineStr">
        <is>
          <t>de5dc30ea9bd3197aac7a02ef5823d5e0eb38a2b1106104be6b0deb00ea086c2</t>
        </is>
      </c>
      <c r="BE223" s="24" t="inlineStr">
        <is>
          <t>1</t>
        </is>
      </c>
      <c r="BF223" s="24" t="inlineStr">
        <is>
          <t>1</t>
        </is>
      </c>
      <c r="BG223" s="24" t="inlineStr">
        <is>
          <t>lol-tiered-elo-v6</t>
        </is>
      </c>
      <c r="BH223" s="24" t="inlineStr">
        <is>
          <t>2026-08-28T12:36:01.997179Z</t>
        </is>
      </c>
      <c r="BI223" s="24" t="inlineStr">
        <is>
          <t>["same_event","same_team_same_day","same_league_same_day"]</t>
        </is>
      </c>
      <c r="BJ223" s="25" t="n"/>
      <c r="BK223" s="26" t="n">
        <v>-150</v>
      </c>
      <c r="BL223" s="27" t="n">
        <v>1.666667</v>
      </c>
      <c r="BM223" s="28" t="n">
        <v>0.6</v>
      </c>
      <c r="BN223" s="28" t="n"/>
      <c r="BO223" s="28" t="n"/>
      <c r="BP223" s="25" t="n"/>
      <c r="BQ223" s="27" t="n">
        <v>1.666667</v>
      </c>
      <c r="BR223" s="28" t="n">
        <v>0.6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0.6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183e7c94741c4db2</t>
        </is>
      </c>
      <c r="B224" s="24" t="inlineStr">
        <is>
          <t>2026-08-28T12:36:03.829118Z</t>
        </is>
      </c>
      <c r="C224" s="24" t="inlineStr">
        <is>
          <t>2026-08-28T21:00:00Z</t>
        </is>
      </c>
      <c r="D224" s="24" t="inlineStr">
        <is>
          <t>92605</t>
        </is>
      </c>
      <c r="E224" s="24" t="inlineStr">
        <is>
          <t>LOL</t>
        </is>
      </c>
      <c r="F224" s="24" t="inlineStr">
        <is>
          <t>Maryville University</t>
        </is>
      </c>
      <c r="G224" s="24" t="inlineStr">
        <is>
          <t>Cupid Esports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-178</v>
      </c>
      <c r="M224" s="27" t="n">
        <v>1.561798</v>
      </c>
      <c r="N224" s="28" t="n">
        <v>0.640288</v>
      </c>
      <c r="O224" s="28" t="n">
        <v>0.543289</v>
      </c>
      <c r="P224" s="28" t="n"/>
      <c r="Q224" s="28" t="n">
        <v>-0.096999</v>
      </c>
      <c r="R224" s="26" t="n">
        <v>0</v>
      </c>
      <c r="S224" s="29" t="n">
        <v>1</v>
      </c>
      <c r="T224" s="24" t="inlineStr">
        <is>
          <t>lol-tiered-elo-v6</t>
        </is>
      </c>
      <c r="U224" s="24" t="inlineStr">
        <is>
          <t>settled</t>
        </is>
      </c>
      <c r="V224" s="24" t="inlineStr">
        <is>
          <t>win</t>
        </is>
      </c>
      <c r="W224" s="26" t="n">
        <v>0</v>
      </c>
      <c r="X224" s="26" t="n">
        <v>1</v>
      </c>
      <c r="Y224" s="25" t="n"/>
      <c r="Z224" s="26" t="n">
        <v>-178</v>
      </c>
      <c r="AA224" s="28" t="n">
        <v>0.64</v>
      </c>
      <c r="AB224" s="28" t="n">
        <v>-0.000288</v>
      </c>
      <c r="AC224" s="30" t="n">
        <v>0.5618</v>
      </c>
      <c r="AD224" s="24" t="inlineStr">
        <is>
          <t>2026-08-29T12:39:12.967922Z</t>
        </is>
      </c>
      <c r="AE224" s="31" t="inlineStr">
        <is>
          <t>Neutral Elo baseline; executable ask 0.6400 (market_slug=aec-lol-cpd-mvu-2026-08-28).</t>
        </is>
      </c>
      <c r="AF224" s="31" t="inlineStr">
        <is>
          <t>Config-promoted esports baseline; gates enforced at log time.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PAPER_CALL_LOW_EDGE</t>
        </is>
      </c>
      <c r="AP224" s="24" t="inlineStr">
        <is>
          <t>Maryville University</t>
        </is>
      </c>
      <c r="AQ224" s="24" t="inlineStr">
        <is>
          <t>Maryville University</t>
        </is>
      </c>
      <c r="AR224" s="24" t="inlineStr">
        <is>
          <t>Maryville University</t>
        </is>
      </c>
      <c r="AS224" s="24" t="inlineStr">
        <is>
          <t>Cupid Esports</t>
        </is>
      </c>
      <c r="AT224" s="24" t="inlineStr">
        <is>
          <t>Cupid Esports</t>
        </is>
      </c>
      <c r="AU224" s="24" t="inlineStr">
        <is>
          <t>Cupid Esports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de5dc30ea9bd3197aac7a02ef5823d5e0eb38a2b1106104be6b0deb00ea086c2</t>
        </is>
      </c>
      <c r="BB224" s="24" t="inlineStr">
        <is>
          <t>neutral_elo</t>
        </is>
      </c>
      <c r="BC224" s="24" t="inlineStr">
        <is>
          <t>lol-tiered-elo-v6</t>
        </is>
      </c>
      <c r="BD224" s="24" t="inlineStr">
        <is>
          <t>de5dc30ea9bd3197aac7a02ef5823d5e0eb38a2b1106104be6b0deb00ea086c2</t>
        </is>
      </c>
      <c r="BE224" s="24" t="inlineStr">
        <is>
          <t>1</t>
        </is>
      </c>
      <c r="BF224" s="24" t="inlineStr">
        <is>
          <t>1</t>
        </is>
      </c>
      <c r="BG224" s="24" t="inlineStr">
        <is>
          <t>lol-tiered-elo-v6</t>
        </is>
      </c>
      <c r="BH224" s="24" t="inlineStr">
        <is>
          <t>2026-08-28T12:36:02.131473Z</t>
        </is>
      </c>
      <c r="BI224" s="24" t="inlineStr">
        <is>
          <t>["same_event","same_team_same_day","same_league_same_day"]</t>
        </is>
      </c>
      <c r="BJ224" s="25" t="n"/>
      <c r="BK224" s="26" t="n">
        <v>-178</v>
      </c>
      <c r="BL224" s="27" t="n">
        <v>1.561798</v>
      </c>
      <c r="BM224" s="28" t="n">
        <v>0.640288</v>
      </c>
      <c r="BN224" s="28" t="n"/>
      <c r="BO224" s="28" t="n"/>
      <c r="BP224" s="25" t="n"/>
      <c r="BQ224" s="27" t="n">
        <v>1.561798</v>
      </c>
      <c r="BR224" s="28" t="n">
        <v>0.64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0.640288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b8de763aca874ec9</t>
        </is>
      </c>
      <c r="B225" s="24" t="inlineStr">
        <is>
          <t>2026-08-28T12:36:03.829118Z</t>
        </is>
      </c>
      <c r="C225" s="24" t="inlineStr">
        <is>
          <t>2026-08-29T09:00:00Z</t>
        </is>
      </c>
      <c r="D225" s="24" t="inlineStr">
        <is>
          <t>93228</t>
        </is>
      </c>
      <c r="E225" s="24" t="inlineStr">
        <is>
          <t>LOL</t>
        </is>
      </c>
      <c r="F225" s="24" t="inlineStr">
        <is>
          <t>MVK Esports</t>
        </is>
      </c>
      <c r="G225" s="24" t="inlineStr">
        <is>
          <t>CTBC Flying Oyster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-170</v>
      </c>
      <c r="M225" s="27" t="n">
        <v>1.588235</v>
      </c>
      <c r="N225" s="28" t="n">
        <v>0.62963</v>
      </c>
      <c r="O225" s="28" t="n">
        <v>0.586735</v>
      </c>
      <c r="P225" s="28" t="n"/>
      <c r="Q225" s="28" t="n">
        <v>-0.042895</v>
      </c>
      <c r="R225" s="26" t="n">
        <v>0</v>
      </c>
      <c r="S225" s="29" t="n">
        <v>1</v>
      </c>
      <c r="T225" s="24" t="inlineStr">
        <is>
          <t>lol-tiered-elo-v6</t>
        </is>
      </c>
      <c r="U225" s="24" t="inlineStr">
        <is>
          <t>settled</t>
        </is>
      </c>
      <c r="V225" s="24" t="inlineStr">
        <is>
          <t>win</t>
        </is>
      </c>
      <c r="W225" s="26" t="n">
        <v>0</v>
      </c>
      <c r="X225" s="26" t="n">
        <v>1</v>
      </c>
      <c r="Y225" s="25" t="n"/>
      <c r="Z225" s="26" t="n"/>
      <c r="AA225" s="28" t="n"/>
      <c r="AB225" s="28" t="n"/>
      <c r="AC225" s="30" t="n">
        <v>0.5881999999999999</v>
      </c>
      <c r="AD225" s="24" t="inlineStr">
        <is>
          <t>2026-08-29T12:39:14.155195Z</t>
        </is>
      </c>
      <c r="AE225" s="31" t="inlineStr">
        <is>
          <t>Neutral Elo baseline; executable ask 0.6300 (market_slug=aec-lol-cfo-mvk-2026-08-29).</t>
        </is>
      </c>
      <c r="AF225" s="31" t="inlineStr">
        <is>
          <t>Config-promoted esports baseline; gates enforced at log time.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4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PAPER_CALL_LOW_EDGE</t>
        </is>
      </c>
      <c r="AP225" s="24" t="inlineStr">
        <is>
          <t>MVK Esports</t>
        </is>
      </c>
      <c r="AQ225" s="24" t="inlineStr">
        <is>
          <t>MVK Esports</t>
        </is>
      </c>
      <c r="AR225" s="24" t="inlineStr">
        <is>
          <t>MVK Esports</t>
        </is>
      </c>
      <c r="AS225" s="24" t="inlineStr">
        <is>
          <t>CTBC Flying Oyster</t>
        </is>
      </c>
      <c r="AT225" s="24" t="inlineStr">
        <is>
          <t>CTBC Flying Oyster</t>
        </is>
      </c>
      <c r="AU225" s="24" t="inlineStr">
        <is>
          <t>CTBC Flying Oyster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de5dc30ea9bd3197aac7a02ef5823d5e0eb38a2b1106104be6b0deb00ea086c2</t>
        </is>
      </c>
      <c r="BB225" s="24" t="inlineStr">
        <is>
          <t>neutral_elo</t>
        </is>
      </c>
      <c r="BC225" s="24" t="inlineStr">
        <is>
          <t>lol-tiered-elo-v6</t>
        </is>
      </c>
      <c r="BD225" s="24" t="inlineStr">
        <is>
          <t>de5dc30ea9bd3197aac7a02ef5823d5e0eb38a2b1106104be6b0deb00ea086c2</t>
        </is>
      </c>
      <c r="BE225" s="24" t="inlineStr">
        <is>
          <t>1</t>
        </is>
      </c>
      <c r="BF225" s="24" t="inlineStr">
        <is>
          <t>1</t>
        </is>
      </c>
      <c r="BG225" s="24" t="inlineStr">
        <is>
          <t>lol-tiered-elo-v6</t>
        </is>
      </c>
      <c r="BH225" s="24" t="inlineStr">
        <is>
          <t>2026-08-28T12:36:02.648861Z</t>
        </is>
      </c>
      <c r="BI225" s="24" t="inlineStr">
        <is>
          <t>["same_event","same_team_same_day","same_league_same_day"]</t>
        </is>
      </c>
      <c r="BJ225" s="25" t="n"/>
      <c r="BK225" s="26" t="n">
        <v>-170</v>
      </c>
      <c r="BL225" s="27" t="n">
        <v>1.588235</v>
      </c>
      <c r="BM225" s="28" t="n">
        <v>0.62963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False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0.62963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9301a8031b24404c</t>
        </is>
      </c>
      <c r="B226" s="24" t="inlineStr">
        <is>
          <t>2026-08-28T12:36:03.829118Z</t>
        </is>
      </c>
      <c r="C226" s="24" t="inlineStr">
        <is>
          <t>2026-08-29T09:00:00Z</t>
        </is>
      </c>
      <c r="D226" s="24" t="inlineStr">
        <is>
          <t>93159</t>
        </is>
      </c>
      <c r="E226" s="24" t="inlineStr">
        <is>
          <t>LOL</t>
        </is>
      </c>
      <c r="F226" s="24" t="inlineStr">
        <is>
          <t>LGD Gaming</t>
        </is>
      </c>
      <c r="G226" s="24" t="inlineStr">
        <is>
          <t>Top Esports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-203</v>
      </c>
      <c r="M226" s="27" t="n">
        <v>1.492611</v>
      </c>
      <c r="N226" s="28" t="n">
        <v>0.669967</v>
      </c>
      <c r="O226" s="28" t="n">
        <v>0.629067</v>
      </c>
      <c r="P226" s="28" t="n"/>
      <c r="Q226" s="28" t="n">
        <v>-0.0409</v>
      </c>
      <c r="R226" s="26" t="n">
        <v>0</v>
      </c>
      <c r="S226" s="29" t="n">
        <v>1</v>
      </c>
      <c r="T226" s="24" t="inlineStr">
        <is>
          <t>lol-tiered-elo-v6</t>
        </is>
      </c>
      <c r="U226" s="24" t="inlineStr">
        <is>
          <t>settled</t>
        </is>
      </c>
      <c r="V226" s="24" t="inlineStr">
        <is>
          <t>loss</t>
        </is>
      </c>
      <c r="W226" s="26" t="n">
        <v>1</v>
      </c>
      <c r="X226" s="26" t="n">
        <v>0</v>
      </c>
      <c r="Y226" s="25" t="n"/>
      <c r="Z226" s="26" t="n"/>
      <c r="AA226" s="28" t="n"/>
      <c r="AB226" s="28" t="n"/>
      <c r="AC226" s="30" t="n">
        <v>-1</v>
      </c>
      <c r="AD226" s="24" t="inlineStr">
        <is>
          <t>2026-08-29T16:01:52.111082Z</t>
        </is>
      </c>
      <c r="AE226" s="31" t="inlineStr">
        <is>
          <t>Neutral Elo baseline; executable ask 0.6700 (market_slug=aec-lol-tes-lgd-2026-08-29).</t>
        </is>
      </c>
      <c r="AF226" s="31" t="inlineStr">
        <is>
          <t>Config-promoted esports baseline; gates enforced at log time.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4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PAPER_CALL_LOW_EDGE</t>
        </is>
      </c>
      <c r="AP226" s="24" t="inlineStr">
        <is>
          <t>LGD Gaming</t>
        </is>
      </c>
      <c r="AQ226" s="24" t="inlineStr">
        <is>
          <t>LGD Gaming</t>
        </is>
      </c>
      <c r="AR226" s="24" t="inlineStr">
        <is>
          <t>LGD Gaming</t>
        </is>
      </c>
      <c r="AS226" s="24" t="inlineStr">
        <is>
          <t>Top Esports</t>
        </is>
      </c>
      <c r="AT226" s="24" t="inlineStr">
        <is>
          <t>Top Esports</t>
        </is>
      </c>
      <c r="AU226" s="24" t="inlineStr">
        <is>
          <t>Top Esports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de5dc30ea9bd3197aac7a02ef5823d5e0eb38a2b1106104be6b0deb00ea086c2</t>
        </is>
      </c>
      <c r="BB226" s="24" t="inlineStr">
        <is>
          <t>neutral_elo</t>
        </is>
      </c>
      <c r="BC226" s="24" t="inlineStr">
        <is>
          <t>lol-tiered-elo-v6</t>
        </is>
      </c>
      <c r="BD226" s="24" t="inlineStr">
        <is>
          <t>de5dc30ea9bd3197aac7a02ef5823d5e0eb38a2b1106104be6b0deb00ea086c2</t>
        </is>
      </c>
      <c r="BE226" s="24" t="inlineStr">
        <is>
          <t>1</t>
        </is>
      </c>
      <c r="BF226" s="24" t="inlineStr">
        <is>
          <t>1</t>
        </is>
      </c>
      <c r="BG226" s="24" t="inlineStr">
        <is>
          <t>lol-tiered-elo-v6</t>
        </is>
      </c>
      <c r="BH226" s="24" t="inlineStr">
        <is>
          <t>2026-08-28T12:36:03.098536Z</t>
        </is>
      </c>
      <c r="BI226" s="24" t="inlineStr">
        <is>
          <t>["same_event","same_team_same_day","same_league_same_day"]</t>
        </is>
      </c>
      <c r="BJ226" s="25" t="n"/>
      <c r="BK226" s="26" t="n">
        <v>-203</v>
      </c>
      <c r="BL226" s="27" t="n">
        <v>1.492611</v>
      </c>
      <c r="BM226" s="28" t="n">
        <v>0.669967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0.669967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a7de9367ee06440f</t>
        </is>
      </c>
      <c r="B227" s="24" t="inlineStr">
        <is>
          <t>2026-08-28T12:36:03.829118Z</t>
        </is>
      </c>
      <c r="C227" s="24" t="inlineStr">
        <is>
          <t>2026-08-29T10:00:00Z</t>
        </is>
      </c>
      <c r="D227" s="24" t="inlineStr">
        <is>
          <t>93229</t>
        </is>
      </c>
      <c r="E227" s="24" t="inlineStr">
        <is>
          <t>LOL</t>
        </is>
      </c>
      <c r="F227" s="24" t="inlineStr">
        <is>
          <t>Project Conquerors</t>
        </is>
      </c>
      <c r="G227" s="24" t="inlineStr">
        <is>
          <t>Karmine Corp Blue Stars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-186</v>
      </c>
      <c r="M227" s="27" t="n">
        <v>1.537634</v>
      </c>
      <c r="N227" s="28" t="n">
        <v>0.65035</v>
      </c>
      <c r="O227" s="28" t="n">
        <v>0.542279</v>
      </c>
      <c r="P227" s="28" t="n"/>
      <c r="Q227" s="28" t="n">
        <v>-0.108071</v>
      </c>
      <c r="R227" s="26" t="n">
        <v>0</v>
      </c>
      <c r="S227" s="29" t="n">
        <v>1</v>
      </c>
      <c r="T227" s="24" t="inlineStr">
        <is>
          <t>lol-tiered-elo-v6</t>
        </is>
      </c>
      <c r="U227" s="24" t="inlineStr">
        <is>
          <t>settled</t>
        </is>
      </c>
      <c r="V227" s="24" t="inlineStr">
        <is>
          <t>win</t>
        </is>
      </c>
      <c r="W227" s="26" t="n">
        <v>0</v>
      </c>
      <c r="X227" s="26" t="n">
        <v>1</v>
      </c>
      <c r="Y227" s="25" t="n"/>
      <c r="Z227" s="26" t="n"/>
      <c r="AA227" s="28" t="n"/>
      <c r="AB227" s="28" t="n"/>
      <c r="AC227" s="30" t="n">
        <v>0.5376</v>
      </c>
      <c r="AD227" s="24" t="inlineStr">
        <is>
          <t>2026-08-29T16:01:52.954893Z</t>
        </is>
      </c>
      <c r="AE227" s="31" t="inlineStr">
        <is>
          <t>Neutral Elo baseline; executable ask 0.6500 (market_slug=aec-lol-kcbs-pcs-2026-08-29).</t>
        </is>
      </c>
      <c r="AF227" s="31" t="inlineStr">
        <is>
          <t>Config-promoted esports baseline; gates enforced at log time.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PAPER_CALL_LOW_EDGE</t>
        </is>
      </c>
      <c r="AP227" s="24" t="inlineStr">
        <is>
          <t>Project Conquerors</t>
        </is>
      </c>
      <c r="AQ227" s="24" t="inlineStr">
        <is>
          <t>Project Conquerors</t>
        </is>
      </c>
      <c r="AR227" s="24" t="inlineStr">
        <is>
          <t>Project Conquerors</t>
        </is>
      </c>
      <c r="AS227" s="24" t="inlineStr">
        <is>
          <t>Karmine Corp Blue Stars</t>
        </is>
      </c>
      <c r="AT227" s="24" t="inlineStr">
        <is>
          <t>Karmine Corp Blue Stars</t>
        </is>
      </c>
      <c r="AU227" s="24" t="inlineStr">
        <is>
          <t>Karmine Corp Blue Stars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de5dc30ea9bd3197aac7a02ef5823d5e0eb38a2b1106104be6b0deb00ea086c2</t>
        </is>
      </c>
      <c r="BB227" s="24" t="inlineStr">
        <is>
          <t>neutral_elo</t>
        </is>
      </c>
      <c r="BC227" s="24" t="inlineStr">
        <is>
          <t>lol-tiered-elo-v6</t>
        </is>
      </c>
      <c r="BD227" s="24" t="inlineStr">
        <is>
          <t>de5dc30ea9bd3197aac7a02ef5823d5e0eb38a2b1106104be6b0deb00ea086c2</t>
        </is>
      </c>
      <c r="BE227" s="24" t="inlineStr">
        <is>
          <t>1</t>
        </is>
      </c>
      <c r="BF227" s="24" t="inlineStr">
        <is>
          <t>1</t>
        </is>
      </c>
      <c r="BG227" s="24" t="inlineStr">
        <is>
          <t>lol-tiered-elo-v6</t>
        </is>
      </c>
      <c r="BH227" s="24" t="inlineStr">
        <is>
          <t>2026-08-28T12:36:03.268180Z</t>
        </is>
      </c>
      <c r="BI227" s="24" t="inlineStr">
        <is>
          <t>["same_event","same_team_same_day","same_league_same_day"]</t>
        </is>
      </c>
      <c r="BJ227" s="25" t="n"/>
      <c r="BK227" s="26" t="n">
        <v>-186</v>
      </c>
      <c r="BL227" s="27" t="n">
        <v>1.537634</v>
      </c>
      <c r="BM227" s="28" t="n">
        <v>0.65035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0.65035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48f351be746a4b4a</t>
        </is>
      </c>
      <c r="B228" s="24" t="inlineStr">
        <is>
          <t>2026-08-29T12:43:17.776891Z</t>
        </is>
      </c>
      <c r="C228" s="24" t="inlineStr">
        <is>
          <t>2026-08-29T13:00:00Z</t>
        </is>
      </c>
      <c r="D228" s="24" t="inlineStr">
        <is>
          <t>93588</t>
        </is>
      </c>
      <c r="E228" s="24" t="inlineStr">
        <is>
          <t>LOL</t>
        </is>
      </c>
      <c r="F228" s="24" t="inlineStr">
        <is>
          <t>Vitality Rising Bees</t>
        </is>
      </c>
      <c r="G228" s="24" t="inlineStr">
        <is>
          <t>Mental Rush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-104</v>
      </c>
      <c r="M228" s="27" t="n">
        <v>1.961538</v>
      </c>
      <c r="N228" s="28" t="n">
        <v>0.509804</v>
      </c>
      <c r="O228" s="28" t="n">
        <v>0.536341</v>
      </c>
      <c r="P228" s="28" t="n"/>
      <c r="Q228" s="28" t="n">
        <v>0.026537</v>
      </c>
      <c r="R228" s="26" t="n">
        <v>33</v>
      </c>
      <c r="S228" s="29" t="n">
        <v>1</v>
      </c>
      <c r="T228" s="24" t="inlineStr">
        <is>
          <t>lol-tiered-elo-v6</t>
        </is>
      </c>
      <c r="U228" s="24" t="inlineStr">
        <is>
          <t>settled</t>
        </is>
      </c>
      <c r="V228" s="24" t="inlineStr">
        <is>
          <t>loss</t>
        </is>
      </c>
      <c r="W228" s="26" t="n">
        <v>1</v>
      </c>
      <c r="X228" s="26" t="n">
        <v>0</v>
      </c>
      <c r="Y228" s="25" t="n"/>
      <c r="Z228" s="26" t="n">
        <v>-104</v>
      </c>
      <c r="AA228" s="28" t="n">
        <v>0.51</v>
      </c>
      <c r="AB228" s="28" t="n">
        <v>0.000196</v>
      </c>
      <c r="AC228" s="30" t="n">
        <v>-1</v>
      </c>
      <c r="AD228" s="24" t="inlineStr">
        <is>
          <t>2026-08-29T16:01:53.810510Z</t>
        </is>
      </c>
      <c r="AE228" s="31" t="inlineStr">
        <is>
          <t>Neutral Elo baseline; executable ask 0.5100 (market_slug=aec-lol-mr-rb-2026-08-29).</t>
        </is>
      </c>
      <c r="AF228" s="31" t="inlineStr">
        <is>
          <t>Config-promoted esports baseline; gates enforced at log time.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Vitality Rising Bees</t>
        </is>
      </c>
      <c r="AQ228" s="24" t="inlineStr">
        <is>
          <t>Vitality Rising Bees</t>
        </is>
      </c>
      <c r="AR228" s="24" t="inlineStr">
        <is>
          <t>Vitality Rising Bees</t>
        </is>
      </c>
      <c r="AS228" s="24" t="inlineStr">
        <is>
          <t>Mental Rush</t>
        </is>
      </c>
      <c r="AT228" s="24" t="inlineStr">
        <is>
          <t>Mental Rush</t>
        </is>
      </c>
      <c r="AU228" s="24" t="inlineStr">
        <is>
          <t>Mental Rush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a586cdf56240ff041890754356a0ca09786abdb04fcff951c1aaf3217c4065cd</t>
        </is>
      </c>
      <c r="BB228" s="24" t="inlineStr">
        <is>
          <t>neutral_elo</t>
        </is>
      </c>
      <c r="BC228" s="24" t="inlineStr">
        <is>
          <t>lol-tiered-elo-v6</t>
        </is>
      </c>
      <c r="BD228" s="24" t="inlineStr">
        <is>
          <t>a586cdf56240ff041890754356a0ca09786abdb04fcff951c1aaf3217c4065cd</t>
        </is>
      </c>
      <c r="BE228" s="24" t="inlineStr">
        <is>
          <t>1</t>
        </is>
      </c>
      <c r="BF228" s="24" t="inlineStr">
        <is>
          <t>1</t>
        </is>
      </c>
      <c r="BG228" s="24" t="inlineStr">
        <is>
          <t>lol-tiered-elo-v6</t>
        </is>
      </c>
      <c r="BH228" s="24" t="inlineStr">
        <is>
          <t>2026-08-29T12:43:14.313091Z</t>
        </is>
      </c>
      <c r="BI228" s="24" t="inlineStr">
        <is>
          <t>["same_event","same_team_same_day","same_league_same_day"]</t>
        </is>
      </c>
      <c r="BJ228" s="25" t="n"/>
      <c r="BK228" s="26" t="n">
        <v>-104</v>
      </c>
      <c r="BL228" s="27" t="n">
        <v>1.961538</v>
      </c>
      <c r="BM228" s="28" t="n">
        <v>0.509804</v>
      </c>
      <c r="BN228" s="28" t="n"/>
      <c r="BO228" s="28" t="n"/>
      <c r="BP228" s="25" t="n"/>
      <c r="BQ228" s="27" t="n">
        <v>1.961538</v>
      </c>
      <c r="BR228" s="28" t="n">
        <v>0.51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0.509804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6ee005d1134f4133</t>
        </is>
      </c>
      <c r="B229" s="24" t="inlineStr">
        <is>
          <t>2026-08-29T16:05:49.052416Z</t>
        </is>
      </c>
      <c r="C229" s="24" t="inlineStr">
        <is>
          <t>2026-08-29T17:15:00Z</t>
        </is>
      </c>
      <c r="D229" s="24" t="inlineStr">
        <is>
          <t>93685</t>
        </is>
      </c>
      <c r="E229" s="24" t="inlineStr">
        <is>
          <t>LOL</t>
        </is>
      </c>
      <c r="F229" s="24" t="inlineStr">
        <is>
          <t>GIANTX</t>
        </is>
      </c>
      <c r="G229" s="24" t="inlineStr">
        <is>
          <t>Natus Vincere</t>
        </is>
      </c>
      <c r="H229" s="24" t="inlineStr">
        <is>
          <t>moneyline</t>
        </is>
      </c>
      <c r="I229" s="24" t="inlineStr">
        <is>
          <t>away</t>
        </is>
      </c>
      <c r="J229" s="25" t="n"/>
      <c r="K229" s="24" t="inlineStr">
        <is>
          <t>polymarket_us</t>
        </is>
      </c>
      <c r="L229" s="26" t="n">
        <v>127</v>
      </c>
      <c r="M229" s="27" t="n">
        <v>2.27</v>
      </c>
      <c r="N229" s="28" t="n">
        <v>0.440529</v>
      </c>
      <c r="O229" s="28" t="n">
        <v>0.510814</v>
      </c>
      <c r="P229" s="28" t="n"/>
      <c r="Q229" s="28" t="n">
        <v>0.070285</v>
      </c>
      <c r="R229" s="26" t="n">
        <v>55</v>
      </c>
      <c r="S229" s="29" t="n">
        <v>1.25</v>
      </c>
      <c r="T229" s="24" t="inlineStr">
        <is>
          <t>lol-tiered-elo-v6</t>
        </is>
      </c>
      <c r="U229" s="24" t="inlineStr">
        <is>
          <t>settled</t>
        </is>
      </c>
      <c r="V229" s="24" t="inlineStr">
        <is>
          <t>loss</t>
        </is>
      </c>
      <c r="W229" s="26" t="n">
        <v>0</v>
      </c>
      <c r="X229" s="26" t="n">
        <v>1</v>
      </c>
      <c r="Y229" s="25" t="n"/>
      <c r="Z229" s="26" t="n">
        <v>127</v>
      </c>
      <c r="AA229" s="28" t="n">
        <v>0.44</v>
      </c>
      <c r="AB229" s="28" t="n">
        <v>-0.000529</v>
      </c>
      <c r="AC229" s="30" t="n">
        <v>-1.25</v>
      </c>
      <c r="AD229" s="24" t="inlineStr">
        <is>
          <t>2026-08-30T03:32:23.211190Z</t>
        </is>
      </c>
      <c r="AE229" s="31" t="inlineStr">
        <is>
          <t>Neutral Elo baseline; executable ask 0.4400 (market_slug=aec-lol-navi-gx-2026-08-29).</t>
        </is>
      </c>
      <c r="AF229" s="31" t="inlineStr">
        <is>
          <t>Config-promoted esports baseline; gates enforced at log time.</t>
        </is>
      </c>
      <c r="AG229" s="24" t="inlineStr">
        <is>
          <t>review_required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GIANTX</t>
        </is>
      </c>
      <c r="AQ229" s="24" t="inlineStr">
        <is>
          <t>GIANTX</t>
        </is>
      </c>
      <c r="AR229" s="24" t="inlineStr">
        <is>
          <t>GIANTX</t>
        </is>
      </c>
      <c r="AS229" s="24" t="inlineStr">
        <is>
          <t>Natus Vincere</t>
        </is>
      </c>
      <c r="AT229" s="24" t="inlineStr">
        <is>
          <t>Natus Vincere</t>
        </is>
      </c>
      <c r="AU229" s="24" t="inlineStr">
        <is>
          <t>Natus Vincere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1b2ba5d86132aa60253e03f8e0a2685778e9a9e58ef4f76088f50f15ce5447cb</t>
        </is>
      </c>
      <c r="BB229" s="24" t="inlineStr">
        <is>
          <t>neutral_elo</t>
        </is>
      </c>
      <c r="BC229" s="24" t="inlineStr">
        <is>
          <t>lol-tiered-elo-v6</t>
        </is>
      </c>
      <c r="BD229" s="24" t="inlineStr">
        <is>
          <t>1b2ba5d86132aa60253e03f8e0a2685778e9a9e58ef4f76088f50f15ce5447cb</t>
        </is>
      </c>
      <c r="BE229" s="24" t="inlineStr">
        <is>
          <t>1</t>
        </is>
      </c>
      <c r="BF229" s="24" t="inlineStr">
        <is>
          <t>1</t>
        </is>
      </c>
      <c r="BG229" s="24" t="inlineStr">
        <is>
          <t>lol-tiered-elo-v6</t>
        </is>
      </c>
      <c r="BH229" s="24" t="inlineStr">
        <is>
          <t>2026-08-29T16:05:46.846009Z</t>
        </is>
      </c>
      <c r="BI229" s="24" t="inlineStr">
        <is>
          <t>["same_event","same_team_same_day","same_league_same_day"]</t>
        </is>
      </c>
      <c r="BJ229" s="25" t="n"/>
      <c r="BK229" s="26" t="n">
        <v>127</v>
      </c>
      <c r="BL229" s="27" t="n">
        <v>2.27</v>
      </c>
      <c r="BM229" s="28" t="n">
        <v>0.440529</v>
      </c>
      <c r="BN229" s="28" t="n"/>
      <c r="BO229" s="28" t="n"/>
      <c r="BP229" s="25" t="n"/>
      <c r="BQ229" s="27" t="n">
        <v>2.27</v>
      </c>
      <c r="BR229" s="28" t="n">
        <v>0.44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0.440529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9b8c36ce716b4ddd</t>
        </is>
      </c>
      <c r="B230" s="24" t="inlineStr">
        <is>
          <t>2026-08-29T16:05:49.052416Z</t>
        </is>
      </c>
      <c r="C230" s="24" t="inlineStr">
        <is>
          <t>2026-08-29T23:00:00Z</t>
        </is>
      </c>
      <c r="D230" s="24" t="inlineStr">
        <is>
          <t>93964</t>
        </is>
      </c>
      <c r="E230" s="24" t="inlineStr">
        <is>
          <t>LOL</t>
        </is>
      </c>
      <c r="F230" s="24" t="inlineStr">
        <is>
          <t>LYON</t>
        </is>
      </c>
      <c r="G230" s="24" t="inlineStr">
        <is>
          <t>Cloud9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-194</v>
      </c>
      <c r="M230" s="27" t="n">
        <v>1.515464</v>
      </c>
      <c r="N230" s="28" t="n">
        <v>0.659864</v>
      </c>
      <c r="O230" s="28" t="n">
        <v>0.524873</v>
      </c>
      <c r="P230" s="28" t="n"/>
      <c r="Q230" s="28" t="n">
        <v>-0.134991</v>
      </c>
      <c r="R230" s="26" t="n">
        <v>0</v>
      </c>
      <c r="S230" s="29" t="n">
        <v>1</v>
      </c>
      <c r="T230" s="24" t="inlineStr">
        <is>
          <t>lol-tiered-elo-v6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-194</v>
      </c>
      <c r="AA230" s="28" t="n">
        <v>0.66</v>
      </c>
      <c r="AB230" s="28" t="n">
        <v>0.000136</v>
      </c>
      <c r="AC230" s="30" t="n">
        <v>0.5155</v>
      </c>
      <c r="AD230" s="24" t="inlineStr">
        <is>
          <t>2026-08-30T03:32:24.519310Z</t>
        </is>
      </c>
      <c r="AE230" s="31" t="inlineStr">
        <is>
          <t>Neutral Elo baseline; executable ask 0.6600 (market_slug=aec-lol-c9-ly-2026-08-29).</t>
        </is>
      </c>
      <c r="AF230" s="31" t="inlineStr">
        <is>
          <t>Config-promoted esports baseline; gates enforced at log time.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LYON</t>
        </is>
      </c>
      <c r="AQ230" s="24" t="inlineStr">
        <is>
          <t>LYON</t>
        </is>
      </c>
      <c r="AR230" s="24" t="inlineStr">
        <is>
          <t>LYON</t>
        </is>
      </c>
      <c r="AS230" s="24" t="inlineStr">
        <is>
          <t>Cloud9</t>
        </is>
      </c>
      <c r="AT230" s="24" t="inlineStr">
        <is>
          <t>Cloud9</t>
        </is>
      </c>
      <c r="AU230" s="24" t="inlineStr">
        <is>
          <t>Cloud9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1b2ba5d86132aa60253e03f8e0a2685778e9a9e58ef4f76088f50f15ce5447cb</t>
        </is>
      </c>
      <c r="BB230" s="24" t="inlineStr">
        <is>
          <t>neutral_elo</t>
        </is>
      </c>
      <c r="BC230" s="24" t="inlineStr">
        <is>
          <t>lol-tiered-elo-v6</t>
        </is>
      </c>
      <c r="BD230" s="24" t="inlineStr">
        <is>
          <t>1b2ba5d86132aa60253e03f8e0a2685778e9a9e58ef4f76088f50f15ce5447cb</t>
        </is>
      </c>
      <c r="BE230" s="24" t="inlineStr">
        <is>
          <t>1</t>
        </is>
      </c>
      <c r="BF230" s="24" t="inlineStr">
        <is>
          <t>1</t>
        </is>
      </c>
      <c r="BG230" s="24" t="inlineStr">
        <is>
          <t>lol-tiered-elo-v6</t>
        </is>
      </c>
      <c r="BH230" s="24" t="inlineStr">
        <is>
          <t>2026-08-29T16:05:47.069604Z</t>
        </is>
      </c>
      <c r="BI230" s="24" t="inlineStr">
        <is>
          <t>["same_event","same_team_same_day","same_league_same_day"]</t>
        </is>
      </c>
      <c r="BJ230" s="25" t="n"/>
      <c r="BK230" s="26" t="n">
        <v>-194</v>
      </c>
      <c r="BL230" s="27" t="n">
        <v>1.515464</v>
      </c>
      <c r="BM230" s="28" t="n">
        <v>0.659864</v>
      </c>
      <c r="BN230" s="28" t="n"/>
      <c r="BO230" s="28" t="n"/>
      <c r="BP230" s="25" t="n"/>
      <c r="BQ230" s="27" t="n">
        <v>1.515464</v>
      </c>
      <c r="BR230" s="28" t="n">
        <v>0.66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0.659864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072aab10ffd44b87</t>
        </is>
      </c>
      <c r="B231" s="24" t="inlineStr">
        <is>
          <t>2026-08-30T03:35:07.443202Z</t>
        </is>
      </c>
      <c r="C231" s="24" t="inlineStr">
        <is>
          <t>2026-08-30T09:00:00Z</t>
        </is>
      </c>
      <c r="D231" s="24" t="inlineStr">
        <is>
          <t>94294</t>
        </is>
      </c>
      <c r="E231" s="24" t="inlineStr">
        <is>
          <t>LOL</t>
        </is>
      </c>
      <c r="F231" s="24" t="inlineStr">
        <is>
          <t>Team WE</t>
        </is>
      </c>
      <c r="G231" s="24" t="inlineStr">
        <is>
          <t>JD Gaming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-223</v>
      </c>
      <c r="M231" s="27" t="n">
        <v>1.44843</v>
      </c>
      <c r="N231" s="28" t="n">
        <v>0.690402</v>
      </c>
      <c r="O231" s="28" t="n">
        <v>0.665408</v>
      </c>
      <c r="P231" s="28" t="n"/>
      <c r="Q231" s="28" t="n">
        <v>-0.024994</v>
      </c>
      <c r="R231" s="26" t="n">
        <v>8</v>
      </c>
      <c r="S231" s="29" t="n">
        <v>1</v>
      </c>
      <c r="T231" s="24" t="inlineStr">
        <is>
          <t>lol-tiered-elo-v6</t>
        </is>
      </c>
      <c r="U231" s="24" t="inlineStr">
        <is>
          <t>settled</t>
        </is>
      </c>
      <c r="V231" s="24" t="inlineStr">
        <is>
          <t>loss</t>
        </is>
      </c>
      <c r="W231" s="26" t="n">
        <v>1</v>
      </c>
      <c r="X231" s="26" t="n">
        <v>0</v>
      </c>
      <c r="Y231" s="25" t="n"/>
      <c r="Z231" s="26" t="n">
        <v>-223</v>
      </c>
      <c r="AA231" s="28" t="n">
        <v>0.6899999999999999</v>
      </c>
      <c r="AB231" s="28" t="n">
        <v>-0.000402</v>
      </c>
      <c r="AC231" s="30" t="n">
        <v>-1</v>
      </c>
      <c r="AD231" s="24" t="inlineStr">
        <is>
          <t>2026-08-30T16:03:09.971646Z</t>
        </is>
      </c>
      <c r="AE231" s="31" t="inlineStr">
        <is>
          <t>Neutral Elo baseline; executable ask 0.6900 (market_slug=aec-lol-jdg-we-2026-08-30).</t>
        </is>
      </c>
      <c r="AF231" s="31" t="inlineStr">
        <is>
          <t>Config-promoted esports baseline; gates enforced at log time.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Team WE</t>
        </is>
      </c>
      <c r="AQ231" s="24" t="inlineStr">
        <is>
          <t>Team WE</t>
        </is>
      </c>
      <c r="AR231" s="24" t="inlineStr">
        <is>
          <t>Team WE</t>
        </is>
      </c>
      <c r="AS231" s="24" t="inlineStr">
        <is>
          <t>JD Gaming</t>
        </is>
      </c>
      <c r="AT231" s="24" t="inlineStr">
        <is>
          <t>JD Gaming</t>
        </is>
      </c>
      <c r="AU231" s="24" t="inlineStr">
        <is>
          <t>JD Gaming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7fa93205498213fb8604f1a1defea4b05241c9e8ad0bdf64bf21f858027377cb</t>
        </is>
      </c>
      <c r="BB231" s="24" t="inlineStr">
        <is>
          <t>neutral_elo</t>
        </is>
      </c>
      <c r="BC231" s="24" t="inlineStr">
        <is>
          <t>lol-tiered-elo-v6</t>
        </is>
      </c>
      <c r="BD231" s="24" t="inlineStr">
        <is>
          <t>7fa93205498213fb8604f1a1defea4b05241c9e8ad0bdf64bf21f858027377cb</t>
        </is>
      </c>
      <c r="BE231" s="24" t="inlineStr">
        <is>
          <t>1</t>
        </is>
      </c>
      <c r="BF231" s="24" t="inlineStr">
        <is>
          <t>1</t>
        </is>
      </c>
      <c r="BG231" s="24" t="inlineStr">
        <is>
          <t>lol-tiered-elo-v6</t>
        </is>
      </c>
      <c r="BH231" s="24" t="inlineStr">
        <is>
          <t>2026-08-30T03:35:06.017367Z</t>
        </is>
      </c>
      <c r="BI231" s="24" t="inlineStr">
        <is>
          <t>["same_event","same_team_same_day","same_league_same_day"]</t>
        </is>
      </c>
      <c r="BJ231" s="25" t="n"/>
      <c r="BK231" s="26" t="n">
        <v>-223</v>
      </c>
      <c r="BL231" s="27" t="n">
        <v>1.44843</v>
      </c>
      <c r="BM231" s="28" t="n">
        <v>0.690402</v>
      </c>
      <c r="BN231" s="28" t="n"/>
      <c r="BO231" s="28" t="n"/>
      <c r="BP231" s="25" t="n"/>
      <c r="BQ231" s="27" t="n">
        <v>1.44843</v>
      </c>
      <c r="BR231" s="28" t="n">
        <v>0.6899999999999999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0.690402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0c71bf8da4534895</t>
        </is>
      </c>
      <c r="B232" s="24" t="inlineStr">
        <is>
          <t>2026-08-30T03:35:07.443202Z</t>
        </is>
      </c>
      <c r="C232" s="24" t="inlineStr">
        <is>
          <t>2026-08-30T16:00:00Z</t>
        </is>
      </c>
      <c r="D232" s="24" t="inlineStr">
        <is>
          <t>94555</t>
        </is>
      </c>
      <c r="E232" s="24" t="inlineStr">
        <is>
          <t>LOL</t>
        </is>
      </c>
      <c r="F232" s="24" t="inlineStr">
        <is>
          <t>Vivo Keyd Stars</t>
        </is>
      </c>
      <c r="G232" s="24" t="inlineStr">
        <is>
          <t>paiN Gaming</t>
        </is>
      </c>
      <c r="H232" s="24" t="inlineStr">
        <is>
          <t>moneyline</t>
        </is>
      </c>
      <c r="I232" s="24" t="inlineStr">
        <is>
          <t>away</t>
        </is>
      </c>
      <c r="J232" s="25" t="n"/>
      <c r="K232" s="24" t="inlineStr">
        <is>
          <t>polymarket_us</t>
        </is>
      </c>
      <c r="L232" s="26" t="n">
        <v>-213</v>
      </c>
      <c r="M232" s="27" t="n">
        <v>1.469484</v>
      </c>
      <c r="N232" s="28" t="n">
        <v>0.680511</v>
      </c>
      <c r="O232" s="28" t="n">
        <v>0.619517</v>
      </c>
      <c r="P232" s="28" t="n"/>
      <c r="Q232" s="28" t="n">
        <v>-0.060994</v>
      </c>
      <c r="R232" s="26" t="n">
        <v>0</v>
      </c>
      <c r="S232" s="29" t="n">
        <v>1</v>
      </c>
      <c r="T232" s="24" t="inlineStr">
        <is>
          <t>lol-tiered-elo-v6</t>
        </is>
      </c>
      <c r="U232" s="24" t="inlineStr">
        <is>
          <t>settled</t>
        </is>
      </c>
      <c r="V232" s="24" t="inlineStr">
        <is>
          <t>win</t>
        </is>
      </c>
      <c r="W232" s="26" t="n">
        <v>1</v>
      </c>
      <c r="X232" s="26" t="n">
        <v>0</v>
      </c>
      <c r="Y232" s="25" t="n"/>
      <c r="Z232" s="26" t="n">
        <v>-223</v>
      </c>
      <c r="AA232" s="28" t="n">
        <v>0.6899999999999999</v>
      </c>
      <c r="AB232" s="28" t="n">
        <v>0.009488999999999999</v>
      </c>
      <c r="AC232" s="30" t="n">
        <v>0.4695</v>
      </c>
      <c r="AD232" s="24" t="inlineStr">
        <is>
          <t>2026-08-31T04:39:56.918060Z</t>
        </is>
      </c>
      <c r="AE232" s="31" t="inlineStr">
        <is>
          <t>Neutral Elo baseline; executable ask 0.6800 (market_slug=aec-lol-png-vks-2026-08-30).</t>
        </is>
      </c>
      <c r="AF232" s="31" t="inlineStr">
        <is>
          <t>Config-promoted esports baseline; gates enforced at log time.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PAPER_CALL_LOW_EDGE</t>
        </is>
      </c>
      <c r="AP232" s="24" t="inlineStr">
        <is>
          <t>Vivo Keyd Stars</t>
        </is>
      </c>
      <c r="AQ232" s="24" t="inlineStr">
        <is>
          <t>Vivo Keyd Stars</t>
        </is>
      </c>
      <c r="AR232" s="24" t="inlineStr">
        <is>
          <t>Vivo Keyd Stars</t>
        </is>
      </c>
      <c r="AS232" s="24" t="inlineStr">
        <is>
          <t>paiN Gaming</t>
        </is>
      </c>
      <c r="AT232" s="24" t="inlineStr">
        <is>
          <t>paiN Gaming</t>
        </is>
      </c>
      <c r="AU232" s="24" t="inlineStr">
        <is>
          <t>paiN Gaming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7fa93205498213fb8604f1a1defea4b05241c9e8ad0bdf64bf21f858027377cb</t>
        </is>
      </c>
      <c r="BB232" s="24" t="inlineStr">
        <is>
          <t>neutral_elo</t>
        </is>
      </c>
      <c r="BC232" s="24" t="inlineStr">
        <is>
          <t>lol-tiered-elo-v6</t>
        </is>
      </c>
      <c r="BD232" s="24" t="inlineStr">
        <is>
          <t>7fa93205498213fb8604f1a1defea4b05241c9e8ad0bdf64bf21f858027377cb</t>
        </is>
      </c>
      <c r="BE232" s="24" t="inlineStr">
        <is>
          <t>1</t>
        </is>
      </c>
      <c r="BF232" s="24" t="inlineStr">
        <is>
          <t>1</t>
        </is>
      </c>
      <c r="BG232" s="24" t="inlineStr">
        <is>
          <t>lol-tiered-elo-v6</t>
        </is>
      </c>
      <c r="BH232" s="24" t="inlineStr">
        <is>
          <t>2026-08-30T03:35:06.570055Z</t>
        </is>
      </c>
      <c r="BI232" s="24" t="inlineStr">
        <is>
          <t>["same_event","same_team_same_day","same_league_same_day"]</t>
        </is>
      </c>
      <c r="BJ232" s="25" t="n"/>
      <c r="BK232" s="26" t="n">
        <v>-213</v>
      </c>
      <c r="BL232" s="27" t="n">
        <v>1.469484</v>
      </c>
      <c r="BM232" s="28" t="n">
        <v>0.680511</v>
      </c>
      <c r="BN232" s="28" t="n"/>
      <c r="BO232" s="28" t="n"/>
      <c r="BP232" s="25" t="n"/>
      <c r="BQ232" s="27" t="n">
        <v>1.44843</v>
      </c>
      <c r="BR232" s="28" t="n">
        <v>0.6899999999999999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0.680511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6d0285fac82f4cfb</t>
        </is>
      </c>
      <c r="B233" s="24" t="inlineStr">
        <is>
          <t>2026-08-30T16:07:31.107886Z</t>
        </is>
      </c>
      <c r="C233" s="24" t="inlineStr">
        <is>
          <t>2026-08-30T16:30:00Z</t>
        </is>
      </c>
      <c r="D233" s="24" t="inlineStr">
        <is>
          <t>94567</t>
        </is>
      </c>
      <c r="E233" s="24" t="inlineStr">
        <is>
          <t>LOL</t>
        </is>
      </c>
      <c r="F233" s="24" t="inlineStr">
        <is>
          <t>GIANTX</t>
        </is>
      </c>
      <c r="G233" s="24" t="inlineStr">
        <is>
          <t>Fnatic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194</v>
      </c>
      <c r="M233" s="27" t="n">
        <v>2.94</v>
      </c>
      <c r="N233" s="28" t="n">
        <v>0.340136</v>
      </c>
      <c r="O233" s="28" t="n">
        <v>0.599089</v>
      </c>
      <c r="P233" s="28" t="n"/>
      <c r="Q233" s="28" t="n">
        <v>0.258953</v>
      </c>
      <c r="R233" s="26" t="n">
        <v>100</v>
      </c>
      <c r="S233" s="29" t="n">
        <v>2</v>
      </c>
      <c r="T233" s="24" t="inlineStr">
        <is>
          <t>lol-tiered-elo-v6</t>
        </is>
      </c>
      <c r="U233" s="24" t="inlineStr">
        <is>
          <t>settled</t>
        </is>
      </c>
      <c r="V233" s="24" t="inlineStr">
        <is>
          <t>win</t>
        </is>
      </c>
      <c r="W233" s="26" t="n">
        <v>1</v>
      </c>
      <c r="X233" s="26" t="n">
        <v>0</v>
      </c>
      <c r="Y233" s="25" t="n"/>
      <c r="Z233" s="26" t="n">
        <v>194</v>
      </c>
      <c r="AA233" s="28" t="n">
        <v>0.34</v>
      </c>
      <c r="AB233" s="28" t="n">
        <v>-0.000136</v>
      </c>
      <c r="AC233" s="30" t="n">
        <v>3.88</v>
      </c>
      <c r="AD233" s="24" t="inlineStr">
        <is>
          <t>2026-08-31T04:39:58.188999Z</t>
        </is>
      </c>
      <c r="AE233" s="31" t="inlineStr">
        <is>
          <t>Neutral Elo baseline; executable ask 0.3400 (market_slug=aec-lol-fnc-gx-2026-08-30).</t>
        </is>
      </c>
      <c r="AF233" s="31" t="inlineStr">
        <is>
          <t>Config-promoted esports baseline; gates enforced at log time.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GIANTX</t>
        </is>
      </c>
      <c r="AQ233" s="24" t="inlineStr">
        <is>
          <t>GIANTX</t>
        </is>
      </c>
      <c r="AR233" s="24" t="inlineStr">
        <is>
          <t>GIANTX</t>
        </is>
      </c>
      <c r="AS233" s="24" t="inlineStr">
        <is>
          <t>Fnatic</t>
        </is>
      </c>
      <c r="AT233" s="24" t="inlineStr">
        <is>
          <t>Fnatic</t>
        </is>
      </c>
      <c r="AU233" s="24" t="inlineStr">
        <is>
          <t>Fnatic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5c38c11f67b7806a4931aa505c9c62ae46c526f004843220e2e18cd19c4886ab</t>
        </is>
      </c>
      <c r="BB233" s="24" t="inlineStr">
        <is>
          <t>neutral_elo</t>
        </is>
      </c>
      <c r="BC233" s="24" t="inlineStr">
        <is>
          <t>lol-tiered-elo-v6</t>
        </is>
      </c>
      <c r="BD233" s="24" t="inlineStr">
        <is>
          <t>5c38c11f67b7806a4931aa505c9c62ae46c526f004843220e2e18cd19c4886ab</t>
        </is>
      </c>
      <c r="BE233" s="24" t="inlineStr">
        <is>
          <t>1</t>
        </is>
      </c>
      <c r="BF233" s="24" t="inlineStr">
        <is>
          <t>1</t>
        </is>
      </c>
      <c r="BG233" s="24" t="inlineStr">
        <is>
          <t>lol-tiered-elo-v6</t>
        </is>
      </c>
      <c r="BH233" s="24" t="inlineStr">
        <is>
          <t>2026-08-30T16:07:30.043877Z</t>
        </is>
      </c>
      <c r="BI233" s="24" t="inlineStr">
        <is>
          <t>["same_event","same_team_same_day","same_league_same_day"]</t>
        </is>
      </c>
      <c r="BJ233" s="25" t="n"/>
      <c r="BK233" s="26" t="n">
        <v>194</v>
      </c>
      <c r="BL233" s="27" t="n">
        <v>2.94</v>
      </c>
      <c r="BM233" s="28" t="n">
        <v>0.340136</v>
      </c>
      <c r="BN233" s="28" t="n"/>
      <c r="BO233" s="28" t="n"/>
      <c r="BP233" s="25" t="n"/>
      <c r="BQ233" s="27" t="n">
        <v>2.94</v>
      </c>
      <c r="BR233" s="28" t="n">
        <v>0.34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0.340136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92d8897d10374614</t>
        </is>
      </c>
      <c r="B234" s="24" t="inlineStr">
        <is>
          <t>2026-08-30T16:07:31.107886Z</t>
        </is>
      </c>
      <c r="C234" s="24" t="inlineStr">
        <is>
          <t>2026-08-30T20:00:00Z</t>
        </is>
      </c>
      <c r="D234" s="24" t="inlineStr">
        <is>
          <t>94906</t>
        </is>
      </c>
      <c r="E234" s="24" t="inlineStr">
        <is>
          <t>LOL</t>
        </is>
      </c>
      <c r="F234" s="24" t="inlineStr">
        <is>
          <t>Team Liquid</t>
        </is>
      </c>
      <c r="G234" s="24" t="inlineStr">
        <is>
          <t>LYON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117</v>
      </c>
      <c r="M234" s="27" t="n">
        <v>2.17</v>
      </c>
      <c r="N234" s="28" t="n">
        <v>0.460829</v>
      </c>
      <c r="O234" s="28" t="n">
        <v>0.511538</v>
      </c>
      <c r="P234" s="28" t="n"/>
      <c r="Q234" s="28" t="n">
        <v>0.050709</v>
      </c>
      <c r="R234" s="26" t="n">
        <v>45</v>
      </c>
      <c r="S234" s="29" t="n">
        <v>1</v>
      </c>
      <c r="T234" s="24" t="inlineStr">
        <is>
          <t>lol-tiered-elo-v6</t>
        </is>
      </c>
      <c r="U234" s="24" t="inlineStr">
        <is>
          <t>settled</t>
        </is>
      </c>
      <c r="V234" s="24" t="inlineStr">
        <is>
          <t>loss</t>
        </is>
      </c>
      <c r="W234" s="26" t="n">
        <v>0</v>
      </c>
      <c r="X234" s="26" t="n">
        <v>1</v>
      </c>
      <c r="Y234" s="25" t="n"/>
      <c r="Z234" s="26" t="n">
        <v>117</v>
      </c>
      <c r="AA234" s="28" t="n">
        <v>0.46</v>
      </c>
      <c r="AB234" s="28" t="n">
        <v>-0.000829</v>
      </c>
      <c r="AC234" s="30" t="n">
        <v>-1</v>
      </c>
      <c r="AD234" s="24" t="inlineStr">
        <is>
          <t>2026-08-31T04:39:59.401642Z</t>
        </is>
      </c>
      <c r="AE234" s="31" t="inlineStr">
        <is>
          <t>Neutral Elo baseline; executable ask 0.4600 (market_slug=aec-lol-ly-tl-2026-08-30).</t>
        </is>
      </c>
      <c r="AF234" s="31" t="inlineStr">
        <is>
          <t>Config-promoted esports baseline; gates enforced at log time.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Team Liquid</t>
        </is>
      </c>
      <c r="AQ234" s="24" t="inlineStr">
        <is>
          <t>Team Liquid</t>
        </is>
      </c>
      <c r="AR234" s="24" t="inlineStr">
        <is>
          <t>Team Liquid</t>
        </is>
      </c>
      <c r="AS234" s="24" t="inlineStr">
        <is>
          <t>LYON</t>
        </is>
      </c>
      <c r="AT234" s="24" t="inlineStr">
        <is>
          <t>LYON</t>
        </is>
      </c>
      <c r="AU234" s="24" t="inlineStr">
        <is>
          <t>LYON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5c38c11f67b7806a4931aa505c9c62ae46c526f004843220e2e18cd19c4886ab</t>
        </is>
      </c>
      <c r="BB234" s="24" t="inlineStr">
        <is>
          <t>neutral_elo</t>
        </is>
      </c>
      <c r="BC234" s="24" t="inlineStr">
        <is>
          <t>lol-tiered-elo-v6</t>
        </is>
      </c>
      <c r="BD234" s="24" t="inlineStr">
        <is>
          <t>5c38c11f67b7806a4931aa505c9c62ae46c526f004843220e2e18cd19c4886ab</t>
        </is>
      </c>
      <c r="BE234" s="24" t="inlineStr">
        <is>
          <t>1</t>
        </is>
      </c>
      <c r="BF234" s="24" t="inlineStr">
        <is>
          <t>1</t>
        </is>
      </c>
      <c r="BG234" s="24" t="inlineStr">
        <is>
          <t>lol-tiered-elo-v6</t>
        </is>
      </c>
      <c r="BH234" s="24" t="inlineStr">
        <is>
          <t>2026-08-30T16:07:30.168053Z</t>
        </is>
      </c>
      <c r="BI234" s="24" t="inlineStr">
        <is>
          <t>["same_event","same_team_same_day","same_league_same_day"]</t>
        </is>
      </c>
      <c r="BJ234" s="25" t="n"/>
      <c r="BK234" s="26" t="n">
        <v>117</v>
      </c>
      <c r="BL234" s="27" t="n">
        <v>2.17</v>
      </c>
      <c r="BM234" s="28" t="n">
        <v>0.460829</v>
      </c>
      <c r="BN234" s="28" t="n"/>
      <c r="BO234" s="28" t="n"/>
      <c r="BP234" s="25" t="n"/>
      <c r="BQ234" s="27" t="n">
        <v>2.17</v>
      </c>
      <c r="BR234" s="28" t="n">
        <v>0.46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0.460829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35284e90f2654a59</t>
        </is>
      </c>
      <c r="B235" s="24" t="inlineStr">
        <is>
          <t>2026-08-31T04:43:53.773002Z</t>
        </is>
      </c>
      <c r="C235" s="24" t="inlineStr">
        <is>
          <t>2026-08-31T08:00:00Z</t>
        </is>
      </c>
      <c r="D235" s="24" t="inlineStr">
        <is>
          <t>95034</t>
        </is>
      </c>
      <c r="E235" s="24" t="inlineStr">
        <is>
          <t>LOL</t>
        </is>
      </c>
      <c r="F235" s="24" t="inlineStr">
        <is>
          <t>DN SOOPers Challengers</t>
        </is>
      </c>
      <c r="G235" s="24" t="inlineStr">
        <is>
          <t>Nongshim Esports Academy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-133</v>
      </c>
      <c r="M235" s="27" t="n">
        <v>1.75188</v>
      </c>
      <c r="N235" s="28" t="n">
        <v>0.570815</v>
      </c>
      <c r="O235" s="28" t="n">
        <v>0.532211</v>
      </c>
      <c r="P235" s="28" t="n"/>
      <c r="Q235" s="28" t="n">
        <v>-0.038604</v>
      </c>
      <c r="R235" s="26" t="n">
        <v>1</v>
      </c>
      <c r="S235" s="29" t="n">
        <v>1</v>
      </c>
      <c r="T235" s="24" t="inlineStr">
        <is>
          <t>lol-tiered-elo-v6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-133</v>
      </c>
      <c r="AA235" s="28" t="n">
        <v>0.57</v>
      </c>
      <c r="AB235" s="28" t="n">
        <v>-0.000815</v>
      </c>
      <c r="AC235" s="30" t="n">
        <v>0.7519</v>
      </c>
      <c r="AD235" s="24" t="inlineStr">
        <is>
          <t>2026-08-31T16:01:24.519567Z</t>
        </is>
      </c>
      <c r="AE235" s="31" t="inlineStr">
        <is>
          <t>Neutral Elo baseline; executable ask 0.5700 (market_slug=aec-lol-nsea-dnsc-2026-08-31).</t>
        </is>
      </c>
      <c r="AF235" s="31" t="inlineStr">
        <is>
          <t>Config-promoted esports baseline; gates enforced at log time.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DN SOOPers Challengers</t>
        </is>
      </c>
      <c r="AQ235" s="24" t="inlineStr">
        <is>
          <t>DN SOOPers Challengers</t>
        </is>
      </c>
      <c r="AR235" s="24" t="inlineStr">
        <is>
          <t>DN SOOPers Challengers</t>
        </is>
      </c>
      <c r="AS235" s="24" t="inlineStr">
        <is>
          <t>Nongshim Esports Academy</t>
        </is>
      </c>
      <c r="AT235" s="24" t="inlineStr">
        <is>
          <t>Nongshim Esports Academy</t>
        </is>
      </c>
      <c r="AU235" s="24" t="inlineStr">
        <is>
          <t>Nongshim Esports Academy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e58544b8bd22b9ef0eaa0185538604487014b0c2244db86e6b9a3334f44d8438</t>
        </is>
      </c>
      <c r="BB235" s="24" t="inlineStr">
        <is>
          <t>neutral_elo</t>
        </is>
      </c>
      <c r="BC235" s="24" t="inlineStr">
        <is>
          <t>lol-tiered-elo-v6</t>
        </is>
      </c>
      <c r="BD235" s="24" t="inlineStr">
        <is>
          <t>e58544b8bd22b9ef0eaa0185538604487014b0c2244db86e6b9a3334f44d8438</t>
        </is>
      </c>
      <c r="BE235" s="24" t="inlineStr">
        <is>
          <t>1</t>
        </is>
      </c>
      <c r="BF235" s="24" t="inlineStr">
        <is>
          <t>1</t>
        </is>
      </c>
      <c r="BG235" s="24" t="inlineStr">
        <is>
          <t>lol-tiered-elo-v6</t>
        </is>
      </c>
      <c r="BH235" s="24" t="inlineStr">
        <is>
          <t>2026-08-31T04:43:51.947840Z</t>
        </is>
      </c>
      <c r="BI235" s="24" t="inlineStr">
        <is>
          <t>["same_event","same_team_same_day","same_league_same_day"]</t>
        </is>
      </c>
      <c r="BJ235" s="25" t="n"/>
      <c r="BK235" s="26" t="n">
        <v>-133</v>
      </c>
      <c r="BL235" s="27" t="n">
        <v>1.75188</v>
      </c>
      <c r="BM235" s="28" t="n">
        <v>0.570815</v>
      </c>
      <c r="BN235" s="28" t="n"/>
      <c r="BO235" s="28" t="n"/>
      <c r="BP235" s="25" t="n"/>
      <c r="BQ235" s="27" t="n">
        <v>1.75188</v>
      </c>
      <c r="BR235" s="28" t="n">
        <v>0.57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0.570815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17956b301e3c4f91</t>
        </is>
      </c>
      <c r="B236" s="24" t="inlineStr">
        <is>
          <t>2026-09-01T13:49:39.393232Z</t>
        </is>
      </c>
      <c r="C236" s="24" t="inlineStr">
        <is>
          <t>2026-09-01T15:00:00Z</t>
        </is>
      </c>
      <c r="D236" s="24" t="inlineStr">
        <is>
          <t>97014</t>
        </is>
      </c>
      <c r="E236" s="24" t="inlineStr">
        <is>
          <t>LOL</t>
        </is>
      </c>
      <c r="F236" s="24" t="inlineStr">
        <is>
          <t>Kaufland Hangry Knights</t>
        </is>
      </c>
      <c r="G236" s="24" t="inlineStr">
        <is>
          <t>Unicorns Of Love Sexy Edition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-186</v>
      </c>
      <c r="M236" s="27" t="n">
        <v>1.537634</v>
      </c>
      <c r="N236" s="28" t="n">
        <v>0.65035</v>
      </c>
      <c r="O236" s="28" t="n">
        <v>0.6885559999999999</v>
      </c>
      <c r="P236" s="28" t="n"/>
      <c r="Q236" s="28" t="n">
        <v>0.038206</v>
      </c>
      <c r="R236" s="26" t="n">
        <v>39</v>
      </c>
      <c r="S236" s="29" t="n">
        <v>1</v>
      </c>
      <c r="T236" s="24" t="inlineStr">
        <is>
          <t>lol-tiered-elo-v6</t>
        </is>
      </c>
      <c r="U236" s="24" t="inlineStr">
        <is>
          <t>settled</t>
        </is>
      </c>
      <c r="V236" s="24" t="inlineStr">
        <is>
          <t>loss</t>
        </is>
      </c>
      <c r="W236" s="26" t="n">
        <v>1</v>
      </c>
      <c r="X236" s="26" t="n">
        <v>0</v>
      </c>
      <c r="Y236" s="25" t="n"/>
      <c r="Z236" s="26" t="n">
        <v>-186</v>
      </c>
      <c r="AA236" s="28" t="n">
        <v>0.65</v>
      </c>
      <c r="AB236" s="28" t="n">
        <v>-0.00035</v>
      </c>
      <c r="AC236" s="30" t="n">
        <v>-1</v>
      </c>
      <c r="AD236" s="24" t="inlineStr">
        <is>
          <t>2026-09-02T04:34:54.336319Z</t>
        </is>
      </c>
      <c r="AE236" s="31" t="inlineStr">
        <is>
          <t>Neutral Elo baseline; executable ask 0.6500 (market_slug=aec-lol-use-khk-2026-09-01).</t>
        </is>
      </c>
      <c r="AF236" s="31" t="inlineStr">
        <is>
          <t>Config-promoted esports baseline; gates enforced at log time.</t>
        </is>
      </c>
      <c r="AG236" s="24" t="inlineStr">
        <is>
          <t>review_required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4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Kaufland Hangry Knights</t>
        </is>
      </c>
      <c r="AQ236" s="24" t="inlineStr">
        <is>
          <t>Kaufland Hangry Knights</t>
        </is>
      </c>
      <c r="AR236" s="24" t="inlineStr">
        <is>
          <t>Kaufland Hangry Knights</t>
        </is>
      </c>
      <c r="AS236" s="24" t="inlineStr">
        <is>
          <t>Unicorns Of Love Sexy Edition</t>
        </is>
      </c>
      <c r="AT236" s="24" t="inlineStr">
        <is>
          <t>Unicorns Of Love Sexy Edition</t>
        </is>
      </c>
      <c r="AU236" s="24" t="inlineStr">
        <is>
          <t>Unicorns Of Love Sexy Edition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fb2f49ad7c5cbf7008d00eabb18939760303c8cb2b570f5fdbdde2523474f988</t>
        </is>
      </c>
      <c r="BB236" s="24" t="inlineStr">
        <is>
          <t>neutral_elo</t>
        </is>
      </c>
      <c r="BC236" s="24" t="inlineStr">
        <is>
          <t>lol-tiered-elo-v6</t>
        </is>
      </c>
      <c r="BD236" s="24" t="inlineStr">
        <is>
          <t>fb2f49ad7c5cbf7008d00eabb18939760303c8cb2b570f5fdbdde2523474f988</t>
        </is>
      </c>
      <c r="BE236" s="24" t="inlineStr">
        <is>
          <t>1</t>
        </is>
      </c>
      <c r="BF236" s="24" t="inlineStr">
        <is>
          <t>1</t>
        </is>
      </c>
      <c r="BG236" s="24" t="inlineStr">
        <is>
          <t>lol-tiered-elo-v6</t>
        </is>
      </c>
      <c r="BH236" s="24" t="inlineStr">
        <is>
          <t>2026-09-01T13:49:37.924505Z</t>
        </is>
      </c>
      <c r="BI236" s="24" t="inlineStr">
        <is>
          <t>["same_event","same_team_same_day","same_league_same_day"]</t>
        </is>
      </c>
      <c r="BJ236" s="25" t="n"/>
      <c r="BK236" s="26" t="n">
        <v>-186</v>
      </c>
      <c r="BL236" s="27" t="n">
        <v>1.537634</v>
      </c>
      <c r="BM236" s="28" t="n">
        <v>0.65035</v>
      </c>
      <c r="BN236" s="28" t="n"/>
      <c r="BO236" s="28" t="n"/>
      <c r="BP236" s="25" t="n"/>
      <c r="BQ236" s="27" t="n">
        <v>1.537634</v>
      </c>
      <c r="BR236" s="28" t="n">
        <v>0.65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0.65035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da790ad9760d4966</t>
        </is>
      </c>
      <c r="B237" s="24" t="inlineStr">
        <is>
          <t>2026-09-01T13:49:39.393232Z</t>
        </is>
      </c>
      <c r="C237" s="24" t="inlineStr">
        <is>
          <t>2026-09-01T15:00:00Z</t>
        </is>
      </c>
      <c r="D237" s="24" t="inlineStr">
        <is>
          <t>97015</t>
        </is>
      </c>
      <c r="E237" s="24" t="inlineStr">
        <is>
          <t>LOL</t>
        </is>
      </c>
      <c r="F237" s="24" t="inlineStr">
        <is>
          <t>BOMBA Team</t>
        </is>
      </c>
      <c r="G237" s="24" t="inlineStr">
        <is>
          <t>Lodis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-150</v>
      </c>
      <c r="M237" s="27" t="n">
        <v>1.666667</v>
      </c>
      <c r="N237" s="28" t="n">
        <v>0.6</v>
      </c>
      <c r="O237" s="28" t="n">
        <v>0.593677</v>
      </c>
      <c r="P237" s="28" t="n"/>
      <c r="Q237" s="28" t="n">
        <v>-0.006323</v>
      </c>
      <c r="R237" s="26" t="n">
        <v>17</v>
      </c>
      <c r="S237" s="29" t="n">
        <v>1</v>
      </c>
      <c r="T237" s="24" t="inlineStr">
        <is>
          <t>lol-tiered-elo-v6</t>
        </is>
      </c>
      <c r="U237" s="24" t="inlineStr">
        <is>
          <t>settled</t>
        </is>
      </c>
      <c r="V237" s="24" t="inlineStr">
        <is>
          <t>win</t>
        </is>
      </c>
      <c r="W237" s="26" t="n">
        <v>1</v>
      </c>
      <c r="X237" s="26" t="n">
        <v>0</v>
      </c>
      <c r="Y237" s="25" t="n"/>
      <c r="Z237" s="26" t="n">
        <v>-150</v>
      </c>
      <c r="AA237" s="28" t="n">
        <v>0.6</v>
      </c>
      <c r="AB237" s="28" t="n">
        <v>0</v>
      </c>
      <c r="AC237" s="30" t="n">
        <v>0.6667</v>
      </c>
      <c r="AD237" s="24" t="inlineStr">
        <is>
          <t>2026-09-02T04:34:56.175865Z</t>
        </is>
      </c>
      <c r="AE237" s="31" t="inlineStr">
        <is>
          <t>Neutral Elo baseline; executable ask 0.6000 (market_slug=aec-lol-lds-boom-2026-09-01).</t>
        </is>
      </c>
      <c r="AF237" s="31" t="inlineStr">
        <is>
          <t>Config-promoted esports baseline; gates enforced at log time.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BOMBA Team</t>
        </is>
      </c>
      <c r="AQ237" s="24" t="inlineStr">
        <is>
          <t>BOMBA Team</t>
        </is>
      </c>
      <c r="AR237" s="24" t="inlineStr">
        <is>
          <t>BOMBA Team</t>
        </is>
      </c>
      <c r="AS237" s="24" t="inlineStr">
        <is>
          <t>Lodis</t>
        </is>
      </c>
      <c r="AT237" s="24" t="inlineStr">
        <is>
          <t>Lodis</t>
        </is>
      </c>
      <c r="AU237" s="24" t="inlineStr">
        <is>
          <t>Lodis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fb2f49ad7c5cbf7008d00eabb18939760303c8cb2b570f5fdbdde2523474f988</t>
        </is>
      </c>
      <c r="BB237" s="24" t="inlineStr">
        <is>
          <t>neutral_elo</t>
        </is>
      </c>
      <c r="BC237" s="24" t="inlineStr">
        <is>
          <t>lol-tiered-elo-v6</t>
        </is>
      </c>
      <c r="BD237" s="24" t="inlineStr">
        <is>
          <t>fb2f49ad7c5cbf7008d00eabb18939760303c8cb2b570f5fdbdde2523474f988</t>
        </is>
      </c>
      <c r="BE237" s="24" t="inlineStr">
        <is>
          <t>1</t>
        </is>
      </c>
      <c r="BF237" s="24" t="inlineStr">
        <is>
          <t>1</t>
        </is>
      </c>
      <c r="BG237" s="24" t="inlineStr">
        <is>
          <t>lol-tiered-elo-v6</t>
        </is>
      </c>
      <c r="BH237" s="24" t="inlineStr">
        <is>
          <t>2026-09-01T13:49:38.000154Z</t>
        </is>
      </c>
      <c r="BI237" s="24" t="inlineStr">
        <is>
          <t>["same_event","same_team_same_day","same_league_same_day"]</t>
        </is>
      </c>
      <c r="BJ237" s="25" t="n"/>
      <c r="BK237" s="26" t="n">
        <v>-150</v>
      </c>
      <c r="BL237" s="27" t="n">
        <v>1.666667</v>
      </c>
      <c r="BM237" s="28" t="n">
        <v>0.6</v>
      </c>
      <c r="BN237" s="28" t="n"/>
      <c r="BO237" s="28" t="n"/>
      <c r="BP237" s="25" t="n"/>
      <c r="BQ237" s="27" t="n">
        <v>1.666667</v>
      </c>
      <c r="BR237" s="28" t="n">
        <v>0.6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0.6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1ec5c79d5a204485</t>
        </is>
      </c>
      <c r="B238" s="24" t="inlineStr">
        <is>
          <t>2026-09-01T13:49:39.393232Z</t>
        </is>
      </c>
      <c r="C238" s="24" t="inlineStr">
        <is>
          <t>2026-09-01T16:00:00Z</t>
        </is>
      </c>
      <c r="D238" s="24" t="inlineStr">
        <is>
          <t>97016</t>
        </is>
      </c>
      <c r="E238" s="24" t="inlineStr">
        <is>
          <t>LOL</t>
        </is>
      </c>
      <c r="F238" s="24" t="inlineStr">
        <is>
          <t>Karmine Corp Blue</t>
        </is>
      </c>
      <c r="G238" s="24" t="inlineStr">
        <is>
          <t>TLN Pirates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-127</v>
      </c>
      <c r="M238" s="27" t="n">
        <v>1.787402</v>
      </c>
      <c r="N238" s="28" t="n">
        <v>0.5594710000000001</v>
      </c>
      <c r="O238" s="28" t="n">
        <v>0.50704</v>
      </c>
      <c r="P238" s="28" t="n"/>
      <c r="Q238" s="28" t="n">
        <v>-0.052431</v>
      </c>
      <c r="R238" s="26" t="n">
        <v>0</v>
      </c>
      <c r="S238" s="29" t="n">
        <v>1</v>
      </c>
      <c r="T238" s="24" t="inlineStr">
        <is>
          <t>lol-tiered-elo-v6</t>
        </is>
      </c>
      <c r="U238" s="24" t="inlineStr">
        <is>
          <t>settled</t>
        </is>
      </c>
      <c r="V238" s="24" t="inlineStr">
        <is>
          <t>loss</t>
        </is>
      </c>
      <c r="W238" s="26" t="n">
        <v>0</v>
      </c>
      <c r="X238" s="26" t="n">
        <v>1</v>
      </c>
      <c r="Y238" s="25" t="n"/>
      <c r="Z238" s="26" t="n">
        <v>-127</v>
      </c>
      <c r="AA238" s="28" t="n">
        <v>0.5600000000000001</v>
      </c>
      <c r="AB238" s="28" t="n">
        <v>0.000529</v>
      </c>
      <c r="AC238" s="30" t="n">
        <v>-1</v>
      </c>
      <c r="AD238" s="24" t="inlineStr">
        <is>
          <t>2026-09-02T04:34:57.587637Z</t>
        </is>
      </c>
      <c r="AE238" s="31" t="inlineStr">
        <is>
          <t>Neutral Elo baseline; executable ask 0.5600 (market_slug=aec-lol-tlnp-kcb-2026-09-01).</t>
        </is>
      </c>
      <c r="AF238" s="31" t="inlineStr">
        <is>
          <t>Config-promoted esports baseline; gates enforced at log time.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>Karmine Corp Blue</t>
        </is>
      </c>
      <c r="AQ238" s="24" t="inlineStr">
        <is>
          <t>Karmine Corp Blue</t>
        </is>
      </c>
      <c r="AR238" s="24" t="inlineStr">
        <is>
          <t>Karmine Corp Blue</t>
        </is>
      </c>
      <c r="AS238" s="24" t="inlineStr">
        <is>
          <t>TLN Pirates</t>
        </is>
      </c>
      <c r="AT238" s="24" t="inlineStr">
        <is>
          <t>TLN Pirates</t>
        </is>
      </c>
      <c r="AU238" s="24" t="inlineStr">
        <is>
          <t>TLN Pirates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fb2f49ad7c5cbf7008d00eabb18939760303c8cb2b570f5fdbdde2523474f988</t>
        </is>
      </c>
      <c r="BB238" s="24" t="inlineStr">
        <is>
          <t>neutral_elo</t>
        </is>
      </c>
      <c r="BC238" s="24" t="inlineStr">
        <is>
          <t>lol-tiered-elo-v6</t>
        </is>
      </c>
      <c r="BD238" s="24" t="inlineStr">
        <is>
          <t>fb2f49ad7c5cbf7008d00eabb18939760303c8cb2b570f5fdbdde2523474f988</t>
        </is>
      </c>
      <c r="BE238" s="24" t="inlineStr">
        <is>
          <t>1</t>
        </is>
      </c>
      <c r="BF238" s="24" t="inlineStr">
        <is>
          <t>1</t>
        </is>
      </c>
      <c r="BG238" s="24" t="inlineStr">
        <is>
          <t>lol-tiered-elo-v6</t>
        </is>
      </c>
      <c r="BH238" s="24" t="inlineStr">
        <is>
          <t>2026-09-01T13:49:38.219704Z</t>
        </is>
      </c>
      <c r="BI238" s="24" t="inlineStr">
        <is>
          <t>["same_event","same_team_same_day","same_league_same_day"]</t>
        </is>
      </c>
      <c r="BJ238" s="25" t="n"/>
      <c r="BK238" s="26" t="n">
        <v>-127</v>
      </c>
      <c r="BL238" s="27" t="n">
        <v>1.787402</v>
      </c>
      <c r="BM238" s="28" t="n">
        <v>0.5594710000000001</v>
      </c>
      <c r="BN238" s="28" t="n"/>
      <c r="BO238" s="28" t="n"/>
      <c r="BP238" s="25" t="n"/>
      <c r="BQ238" s="27" t="n">
        <v>1.787402</v>
      </c>
      <c r="BR238" s="28" t="n">
        <v>0.5600000000000001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0.559471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4f69419ae2c04ba7</t>
        </is>
      </c>
      <c r="B239" s="24" t="inlineStr">
        <is>
          <t>2026-09-01T16:07:32.649455Z</t>
        </is>
      </c>
      <c r="C239" s="24" t="inlineStr">
        <is>
          <t>2026-09-01T20:00:00Z</t>
        </is>
      </c>
      <c r="D239" s="24" t="inlineStr">
        <is>
          <t>97020</t>
        </is>
      </c>
      <c r="E239" s="24" t="inlineStr">
        <is>
          <t>LOL</t>
        </is>
      </c>
      <c r="F239" s="24" t="inlineStr">
        <is>
          <t>Maze Gaming</t>
        </is>
      </c>
      <c r="G239" s="24" t="inlineStr">
        <is>
          <t>Golden Lions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-113</v>
      </c>
      <c r="M239" s="27" t="n">
        <v>1.884956</v>
      </c>
      <c r="N239" s="28" t="n">
        <v>0.530516</v>
      </c>
      <c r="O239" s="28" t="n">
        <v>0.575892</v>
      </c>
      <c r="P239" s="28" t="n"/>
      <c r="Q239" s="28" t="n">
        <v>0.045376</v>
      </c>
      <c r="R239" s="26" t="n">
        <v>43</v>
      </c>
      <c r="S239" s="29" t="n">
        <v>1</v>
      </c>
      <c r="T239" s="24" t="inlineStr">
        <is>
          <t>lol-tiered-elo-v6</t>
        </is>
      </c>
      <c r="U239" s="24" t="inlineStr">
        <is>
          <t>settled</t>
        </is>
      </c>
      <c r="V239" s="24" t="inlineStr">
        <is>
          <t>win</t>
        </is>
      </c>
      <c r="W239" s="26" t="n">
        <v>0</v>
      </c>
      <c r="X239" s="26" t="n">
        <v>1</v>
      </c>
      <c r="Y239" s="25" t="n"/>
      <c r="Z239" s="26" t="n">
        <v>-113</v>
      </c>
      <c r="AA239" s="28" t="n">
        <v>0.53</v>
      </c>
      <c r="AB239" s="28" t="n">
        <v>-0.000516</v>
      </c>
      <c r="AC239" s="30" t="n">
        <v>0.885</v>
      </c>
      <c r="AD239" s="24" t="inlineStr">
        <is>
          <t>2026-09-02T04:34:59.031899Z</t>
        </is>
      </c>
      <c r="AE239" s="31" t="inlineStr">
        <is>
          <t>Neutral Elo baseline; executable ask 0.5300 (market_slug=aec-lol-gl-maz-2026-09-01).</t>
        </is>
      </c>
      <c r="AF239" s="31" t="inlineStr">
        <is>
          <t>Config-promoted esports baseline; gates enforced at log time.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Maze Gaming</t>
        </is>
      </c>
      <c r="AQ239" s="24" t="inlineStr">
        <is>
          <t>Maze Gaming</t>
        </is>
      </c>
      <c r="AR239" s="24" t="inlineStr">
        <is>
          <t>Maze Gaming</t>
        </is>
      </c>
      <c r="AS239" s="24" t="inlineStr">
        <is>
          <t>Golden Lions</t>
        </is>
      </c>
      <c r="AT239" s="24" t="inlineStr">
        <is>
          <t>Golden Lions</t>
        </is>
      </c>
      <c r="AU239" s="24" t="inlineStr">
        <is>
          <t>Golden Lions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1de25c340f67d487e286999d637f02ab222cf972d00f98fb8bd85d980da73b8b</t>
        </is>
      </c>
      <c r="BB239" s="24" t="inlineStr">
        <is>
          <t>neutral_elo</t>
        </is>
      </c>
      <c r="BC239" s="24" t="inlineStr">
        <is>
          <t>lol-tiered-elo-v6</t>
        </is>
      </c>
      <c r="BD239" s="24" t="inlineStr">
        <is>
          <t>1de25c340f67d487e286999d637f02ab222cf972d00f98fb8bd85d980da73b8b</t>
        </is>
      </c>
      <c r="BE239" s="24" t="inlineStr">
        <is>
          <t>1</t>
        </is>
      </c>
      <c r="BF239" s="24" t="inlineStr">
        <is>
          <t>1</t>
        </is>
      </c>
      <c r="BG239" s="24" t="inlineStr">
        <is>
          <t>lol-tiered-elo-v6</t>
        </is>
      </c>
      <c r="BH239" s="24" t="inlineStr">
        <is>
          <t>2026-09-01T16:07:32.079471Z</t>
        </is>
      </c>
      <c r="BI239" s="24" t="inlineStr">
        <is>
          <t>["same_event","same_team_same_day","same_league_same_day"]</t>
        </is>
      </c>
      <c r="BJ239" s="25" t="n"/>
      <c r="BK239" s="26" t="n">
        <v>-113</v>
      </c>
      <c r="BL239" s="27" t="n">
        <v>1.884956</v>
      </c>
      <c r="BM239" s="28" t="n">
        <v>0.530516</v>
      </c>
      <c r="BN239" s="28" t="n"/>
      <c r="BO239" s="28" t="n"/>
      <c r="BP239" s="25" t="n"/>
      <c r="BQ239" s="27" t="n">
        <v>1.884956</v>
      </c>
      <c r="BR239" s="28" t="n">
        <v>0.53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0.530516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280db8e5d0864960</t>
        </is>
      </c>
      <c r="B240" s="24" t="inlineStr">
        <is>
          <t>2026-09-02T04:39:23.745614Z</t>
        </is>
      </c>
      <c r="C240" s="24" t="inlineStr">
        <is>
          <t>2026-09-02T08:00:00Z</t>
        </is>
      </c>
      <c r="D240" s="24" t="inlineStr">
        <is>
          <t>97464</t>
        </is>
      </c>
      <c r="E240" s="24" t="inlineStr">
        <is>
          <t>LOL</t>
        </is>
      </c>
      <c r="F240" s="24" t="inlineStr">
        <is>
          <t>T1</t>
        </is>
      </c>
      <c r="G240" s="24" t="inlineStr">
        <is>
          <t>Hanwha Life Esports</t>
        </is>
      </c>
      <c r="H240" s="24" t="inlineStr">
        <is>
          <t>moneyline</t>
        </is>
      </c>
      <c r="I240" s="24" t="inlineStr">
        <is>
          <t>home</t>
        </is>
      </c>
      <c r="J240" s="25" t="n"/>
      <c r="K240" s="24" t="inlineStr">
        <is>
          <t>polymarket_us</t>
        </is>
      </c>
      <c r="L240" s="26" t="n">
        <v>-194</v>
      </c>
      <c r="M240" s="27" t="n">
        <v>1.515464</v>
      </c>
      <c r="N240" s="28" t="n">
        <v>0.659864</v>
      </c>
      <c r="O240" s="28" t="n">
        <v>0.599961</v>
      </c>
      <c r="P240" s="28" t="n"/>
      <c r="Q240" s="28" t="n">
        <v>-0.059903</v>
      </c>
      <c r="R240" s="26" t="n">
        <v>0</v>
      </c>
      <c r="S240" s="29" t="n">
        <v>1</v>
      </c>
      <c r="T240" s="24" t="inlineStr">
        <is>
          <t>lol-tiered-elo-v6</t>
        </is>
      </c>
      <c r="U240" s="24" t="inlineStr">
        <is>
          <t>settled</t>
        </is>
      </c>
      <c r="V240" s="24" t="inlineStr">
        <is>
          <t>win</t>
        </is>
      </c>
      <c r="W240" s="26" t="n">
        <v>0</v>
      </c>
      <c r="X240" s="26" t="n">
        <v>1</v>
      </c>
      <c r="Y240" s="25" t="n"/>
      <c r="Z240" s="26" t="n">
        <v>-194</v>
      </c>
      <c r="AA240" s="28" t="n">
        <v>0.66</v>
      </c>
      <c r="AB240" s="28" t="n">
        <v>0.000136</v>
      </c>
      <c r="AC240" s="30" t="n">
        <v>0.5155</v>
      </c>
      <c r="AD240" s="24" t="inlineStr">
        <is>
          <t>2026-09-02T16:05:00.549496Z</t>
        </is>
      </c>
      <c r="AE240" s="31" t="inlineStr">
        <is>
          <t>Neutral Elo baseline; executable ask 0.6600 (market_slug=aec-lol-hle-t1-2026-09-02).</t>
        </is>
      </c>
      <c r="AF240" s="31" t="inlineStr">
        <is>
          <t>Config-promoted esports baseline; gates enforced at log time.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T1</t>
        </is>
      </c>
      <c r="AQ240" s="24" t="inlineStr">
        <is>
          <t>T1</t>
        </is>
      </c>
      <c r="AR240" s="24" t="inlineStr">
        <is>
          <t>T1</t>
        </is>
      </c>
      <c r="AS240" s="24" t="inlineStr">
        <is>
          <t>Hanwha Life Esports</t>
        </is>
      </c>
      <c r="AT240" s="24" t="inlineStr">
        <is>
          <t>Hanwha Life Esports</t>
        </is>
      </c>
      <c r="AU240" s="24" t="inlineStr">
        <is>
          <t>Hanwha Life Esports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2aab22608b54871ff37e5a234090feca89477103ce2b0ff88ecc99d62d11706a</t>
        </is>
      </c>
      <c r="BB240" s="24" t="inlineStr">
        <is>
          <t>neutral_elo</t>
        </is>
      </c>
      <c r="BC240" s="24" t="inlineStr">
        <is>
          <t>lol-tiered-elo-v6</t>
        </is>
      </c>
      <c r="BD240" s="24" t="inlineStr">
        <is>
          <t>2aab22608b54871ff37e5a234090feca89477103ce2b0ff88ecc99d62d11706a</t>
        </is>
      </c>
      <c r="BE240" s="24" t="inlineStr">
        <is>
          <t>1</t>
        </is>
      </c>
      <c r="BF240" s="24" t="inlineStr">
        <is>
          <t>1</t>
        </is>
      </c>
      <c r="BG240" s="24" t="inlineStr">
        <is>
          <t>lol-tiered-elo-v6</t>
        </is>
      </c>
      <c r="BH240" s="24" t="inlineStr">
        <is>
          <t>2026-09-02T04:39:22.549119Z</t>
        </is>
      </c>
      <c r="BI240" s="24" t="inlineStr">
        <is>
          <t>["same_event","same_team_same_day","same_league_same_day"]</t>
        </is>
      </c>
      <c r="BJ240" s="25" t="n"/>
      <c r="BK240" s="26" t="n">
        <v>-194</v>
      </c>
      <c r="BL240" s="27" t="n">
        <v>1.515464</v>
      </c>
      <c r="BM240" s="28" t="n">
        <v>0.659864</v>
      </c>
      <c r="BN240" s="28" t="n"/>
      <c r="BO240" s="28" t="n"/>
      <c r="BP240" s="25" t="n"/>
      <c r="BQ240" s="27" t="n">
        <v>1.515464</v>
      </c>
      <c r="BR240" s="28" t="n">
        <v>0.66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0.659864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8a6a8dc436494ec5</t>
        </is>
      </c>
      <c r="B241" s="24" t="inlineStr">
        <is>
          <t>2026-09-02T04:39:23.745614Z</t>
        </is>
      </c>
      <c r="C241" s="24" t="inlineStr">
        <is>
          <t>2026-09-02T15:00:00Z</t>
        </is>
      </c>
      <c r="D241" s="24" t="inlineStr">
        <is>
          <t>97467</t>
        </is>
      </c>
      <c r="E241" s="24" t="inlineStr">
        <is>
          <t>LOL</t>
        </is>
      </c>
      <c r="F241" s="24" t="inlineStr">
        <is>
          <t>SU Esports</t>
        </is>
      </c>
      <c r="G241" s="24" t="inlineStr">
        <is>
          <t>Bushido Wildcats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138</v>
      </c>
      <c r="M241" s="27" t="n">
        <v>2.38</v>
      </c>
      <c r="N241" s="28" t="n">
        <v>0.420168</v>
      </c>
      <c r="O241" s="28" t="n">
        <v>0.511862</v>
      </c>
      <c r="P241" s="28" t="n"/>
      <c r="Q241" s="28" t="n">
        <v>0.091694</v>
      </c>
      <c r="R241" s="26" t="n">
        <v>66</v>
      </c>
      <c r="S241" s="29" t="n">
        <v>1.25</v>
      </c>
      <c r="T241" s="24" t="inlineStr">
        <is>
          <t>lol-tiered-elo-v6</t>
        </is>
      </c>
      <c r="U241" s="24" t="inlineStr">
        <is>
          <t>settled</t>
        </is>
      </c>
      <c r="V241" s="24" t="inlineStr">
        <is>
          <t>win</t>
        </is>
      </c>
      <c r="W241" s="26" t="n">
        <v>0</v>
      </c>
      <c r="X241" s="26" t="n">
        <v>1</v>
      </c>
      <c r="Y241" s="25" t="n"/>
      <c r="Z241" s="26" t="n">
        <v>138</v>
      </c>
      <c r="AA241" s="28" t="n">
        <v>0.42</v>
      </c>
      <c r="AB241" s="28" t="n">
        <v>-0.000168</v>
      </c>
      <c r="AC241" s="30" t="n">
        <v>1.725</v>
      </c>
      <c r="AD241" s="24" t="inlineStr">
        <is>
          <t>2026-09-03T04:33:11.768900Z</t>
        </is>
      </c>
      <c r="AE241" s="31" t="inlineStr">
        <is>
          <t>Neutral Elo baseline; executable ask 0.4200 (market_slug=aec-lol-bw-su-2026-09-02).</t>
        </is>
      </c>
      <c r="AF241" s="31" t="inlineStr">
        <is>
          <t>Config-promoted esports baseline; gates enforced at log time.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SU Esports</t>
        </is>
      </c>
      <c r="AQ241" s="24" t="inlineStr">
        <is>
          <t>SU Esports</t>
        </is>
      </c>
      <c r="AR241" s="24" t="inlineStr">
        <is>
          <t>SU Esports</t>
        </is>
      </c>
      <c r="AS241" s="24" t="inlineStr">
        <is>
          <t>Bushido Wildcats</t>
        </is>
      </c>
      <c r="AT241" s="24" t="inlineStr">
        <is>
          <t>Bushido Wildcats</t>
        </is>
      </c>
      <c r="AU241" s="24" t="inlineStr">
        <is>
          <t>Bushido Wildcats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2aab22608b54871ff37e5a234090feca89477103ce2b0ff88ecc99d62d11706a</t>
        </is>
      </c>
      <c r="BB241" s="24" t="inlineStr">
        <is>
          <t>neutral_elo</t>
        </is>
      </c>
      <c r="BC241" s="24" t="inlineStr">
        <is>
          <t>lol-tiered-elo-v6</t>
        </is>
      </c>
      <c r="BD241" s="24" t="inlineStr">
        <is>
          <t>2aab22608b54871ff37e5a234090feca89477103ce2b0ff88ecc99d62d11706a</t>
        </is>
      </c>
      <c r="BE241" s="24" t="inlineStr">
        <is>
          <t>1</t>
        </is>
      </c>
      <c r="BF241" s="24" t="inlineStr">
        <is>
          <t>1</t>
        </is>
      </c>
      <c r="BG241" s="24" t="inlineStr">
        <is>
          <t>lol-tiered-elo-v6</t>
        </is>
      </c>
      <c r="BH241" s="24" t="inlineStr">
        <is>
          <t>2026-09-02T04:39:22.688162Z</t>
        </is>
      </c>
      <c r="BI241" s="24" t="inlineStr">
        <is>
          <t>["same_event","same_team_same_day","same_league_same_day"]</t>
        </is>
      </c>
      <c r="BJ241" s="25" t="n"/>
      <c r="BK241" s="26" t="n">
        <v>138</v>
      </c>
      <c r="BL241" s="27" t="n">
        <v>2.38</v>
      </c>
      <c r="BM241" s="28" t="n">
        <v>0.420168</v>
      </c>
      <c r="BN241" s="28" t="n"/>
      <c r="BO241" s="28" t="n"/>
      <c r="BP241" s="25" t="n"/>
      <c r="BQ241" s="27" t="n">
        <v>2.38</v>
      </c>
      <c r="BR241" s="28" t="n">
        <v>0.42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0.420168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5cffce348ab9446e</t>
        </is>
      </c>
      <c r="B242" s="24" t="inlineStr">
        <is>
          <t>2026-09-02T04:39:23.745614Z</t>
        </is>
      </c>
      <c r="C242" s="24" t="inlineStr">
        <is>
          <t>2026-09-02T15:00:00Z</t>
        </is>
      </c>
      <c r="D242" s="24" t="inlineStr">
        <is>
          <t>97468</t>
        </is>
      </c>
      <c r="E242" s="24" t="inlineStr">
        <is>
          <t>LOL</t>
        </is>
      </c>
      <c r="F242" s="24" t="inlineStr">
        <is>
          <t>Forsaken</t>
        </is>
      </c>
      <c r="G242" s="24" t="inlineStr">
        <is>
          <t>devils.one inStreamly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144</v>
      </c>
      <c r="M242" s="27" t="n">
        <v>2.44</v>
      </c>
      <c r="N242" s="28" t="n">
        <v>0.409836</v>
      </c>
      <c r="O242" s="28" t="n">
        <v>0.719193</v>
      </c>
      <c r="P242" s="28" t="n"/>
      <c r="Q242" s="28" t="n">
        <v>0.309357</v>
      </c>
      <c r="R242" s="26" t="n">
        <v>100</v>
      </c>
      <c r="S242" s="29" t="n">
        <v>2</v>
      </c>
      <c r="T242" s="24" t="inlineStr">
        <is>
          <t>lol-tiered-elo-v6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0</v>
      </c>
      <c r="Y242" s="25" t="n"/>
      <c r="Z242" s="26" t="n">
        <v>144</v>
      </c>
      <c r="AA242" s="28" t="n">
        <v>0.41</v>
      </c>
      <c r="AB242" s="28" t="n">
        <v>0.000164</v>
      </c>
      <c r="AC242" s="30" t="n">
        <v>2.88</v>
      </c>
      <c r="AD242" s="24" t="inlineStr">
        <is>
          <t>2026-09-03T04:33:12.616320Z</t>
        </is>
      </c>
      <c r="AE242" s="31" t="inlineStr">
        <is>
          <t>Neutral Elo baseline; executable ask 0.4100 (market_slug=aec-lol-dv1-fsk-2026-09-02).</t>
        </is>
      </c>
      <c r="AF242" s="31" t="inlineStr">
        <is>
          <t>Config-promoted esports baseline; gates enforced at log time.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Forsaken</t>
        </is>
      </c>
      <c r="AQ242" s="24" t="inlineStr">
        <is>
          <t>Forsaken</t>
        </is>
      </c>
      <c r="AR242" s="24" t="inlineStr">
        <is>
          <t>Forsaken</t>
        </is>
      </c>
      <c r="AS242" s="24" t="inlineStr">
        <is>
          <t>devils.one inStreamly</t>
        </is>
      </c>
      <c r="AT242" s="24" t="inlineStr">
        <is>
          <t>devils.one inStreamly</t>
        </is>
      </c>
      <c r="AU242" s="24" t="inlineStr">
        <is>
          <t>devils.one inStreamly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2aab22608b54871ff37e5a234090feca89477103ce2b0ff88ecc99d62d11706a</t>
        </is>
      </c>
      <c r="BB242" s="24" t="inlineStr">
        <is>
          <t>neutral_elo</t>
        </is>
      </c>
      <c r="BC242" s="24" t="inlineStr">
        <is>
          <t>lol-tiered-elo-v6</t>
        </is>
      </c>
      <c r="BD242" s="24" t="inlineStr">
        <is>
          <t>2aab22608b54871ff37e5a234090feca89477103ce2b0ff88ecc99d62d11706a</t>
        </is>
      </c>
      <c r="BE242" s="24" t="inlineStr">
        <is>
          <t>1</t>
        </is>
      </c>
      <c r="BF242" s="24" t="inlineStr">
        <is>
          <t>1</t>
        </is>
      </c>
      <c r="BG242" s="24" t="inlineStr">
        <is>
          <t>lol-tiered-elo-v6</t>
        </is>
      </c>
      <c r="BH242" s="24" t="inlineStr">
        <is>
          <t>2026-09-02T04:39:22.798777Z</t>
        </is>
      </c>
      <c r="BI242" s="24" t="inlineStr">
        <is>
          <t>["same_event","same_team_same_day","same_league_same_day"]</t>
        </is>
      </c>
      <c r="BJ242" s="25" t="n"/>
      <c r="BK242" s="26" t="n">
        <v>144</v>
      </c>
      <c r="BL242" s="27" t="n">
        <v>2.44</v>
      </c>
      <c r="BM242" s="28" t="n">
        <v>0.409836</v>
      </c>
      <c r="BN242" s="28" t="n"/>
      <c r="BO242" s="28" t="n"/>
      <c r="BP242" s="25" t="n"/>
      <c r="BQ242" s="27" t="n">
        <v>2.44</v>
      </c>
      <c r="BR242" s="28" t="n">
        <v>0.41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0.409836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37aa3a119be04a32</t>
        </is>
      </c>
      <c r="B243" s="24" t="inlineStr">
        <is>
          <t>2026-09-02T04:39:23.745614Z</t>
        </is>
      </c>
      <c r="C243" s="24" t="inlineStr">
        <is>
          <t>2026-09-02T16:00:00Z</t>
        </is>
      </c>
      <c r="D243" s="24" t="inlineStr">
        <is>
          <t>97469</t>
        </is>
      </c>
      <c r="E243" s="24" t="inlineStr">
        <is>
          <t>LOL</t>
        </is>
      </c>
      <c r="F243" s="24" t="inlineStr">
        <is>
          <t>TITANS</t>
        </is>
      </c>
      <c r="G243" s="24" t="inlineStr">
        <is>
          <t>Zena Esports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polymarket_us</t>
        </is>
      </c>
      <c r="L243" s="26" t="n">
        <v>-133</v>
      </c>
      <c r="M243" s="27" t="n">
        <v>1.75188</v>
      </c>
      <c r="N243" s="28" t="n">
        <v>0.570815</v>
      </c>
      <c r="O243" s="28" t="n">
        <v>0.544038</v>
      </c>
      <c r="P243" s="28" t="n"/>
      <c r="Q243" s="28" t="n">
        <v>-0.026777</v>
      </c>
      <c r="R243" s="26" t="n">
        <v>7</v>
      </c>
      <c r="S243" s="29" t="n">
        <v>1</v>
      </c>
      <c r="T243" s="24" t="inlineStr">
        <is>
          <t>lol-tiered-elo-v6</t>
        </is>
      </c>
      <c r="U243" s="24" t="inlineStr">
        <is>
          <t>settled</t>
        </is>
      </c>
      <c r="V243" s="24" t="inlineStr">
        <is>
          <t>win</t>
        </is>
      </c>
      <c r="W243" s="26" t="n">
        <v>0</v>
      </c>
      <c r="X243" s="26" t="n">
        <v>1</v>
      </c>
      <c r="Y243" s="25" t="n"/>
      <c r="Z243" s="26" t="n">
        <v>-133</v>
      </c>
      <c r="AA243" s="28" t="n">
        <v>0.57</v>
      </c>
      <c r="AB243" s="28" t="n">
        <v>-0.000815</v>
      </c>
      <c r="AC243" s="30" t="n">
        <v>0.7519</v>
      </c>
      <c r="AD243" s="24" t="inlineStr">
        <is>
          <t>2026-09-03T04:33:13.291639Z</t>
        </is>
      </c>
      <c r="AE243" s="31" t="inlineStr">
        <is>
          <t>Neutral Elo baseline; executable ask 0.5700 (market_slug=aec-lol-zena-tts-2026-09-02).</t>
        </is>
      </c>
      <c r="AF243" s="31" t="inlineStr">
        <is>
          <t>Config-promoted esports baseline; gates enforced at log time.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TITANS</t>
        </is>
      </c>
      <c r="AQ243" s="24" t="inlineStr">
        <is>
          <t>TITANS</t>
        </is>
      </c>
      <c r="AR243" s="24" t="inlineStr">
        <is>
          <t>TITANS</t>
        </is>
      </c>
      <c r="AS243" s="24" t="inlineStr">
        <is>
          <t>Zena Esports</t>
        </is>
      </c>
      <c r="AT243" s="24" t="inlineStr">
        <is>
          <t>Zena Esports</t>
        </is>
      </c>
      <c r="AU243" s="24" t="inlineStr">
        <is>
          <t>Zena Esports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2aab22608b54871ff37e5a234090feca89477103ce2b0ff88ecc99d62d11706a</t>
        </is>
      </c>
      <c r="BB243" s="24" t="inlineStr">
        <is>
          <t>neutral_elo</t>
        </is>
      </c>
      <c r="BC243" s="24" t="inlineStr">
        <is>
          <t>lol-tiered-elo-v6</t>
        </is>
      </c>
      <c r="BD243" s="24" t="inlineStr">
        <is>
          <t>2aab22608b54871ff37e5a234090feca89477103ce2b0ff88ecc99d62d11706a</t>
        </is>
      </c>
      <c r="BE243" s="24" t="inlineStr">
        <is>
          <t>1</t>
        </is>
      </c>
      <c r="BF243" s="24" t="inlineStr">
        <is>
          <t>1</t>
        </is>
      </c>
      <c r="BG243" s="24" t="inlineStr">
        <is>
          <t>lol-tiered-elo-v6</t>
        </is>
      </c>
      <c r="BH243" s="24" t="inlineStr">
        <is>
          <t>2026-09-02T04:39:22.852842Z</t>
        </is>
      </c>
      <c r="BI243" s="24" t="inlineStr">
        <is>
          <t>["same_event","same_team_same_day","same_league_same_day"]</t>
        </is>
      </c>
      <c r="BJ243" s="25" t="n"/>
      <c r="BK243" s="26" t="n">
        <v>-133</v>
      </c>
      <c r="BL243" s="27" t="n">
        <v>1.75188</v>
      </c>
      <c r="BM243" s="28" t="n">
        <v>0.570815</v>
      </c>
      <c r="BN243" s="28" t="n"/>
      <c r="BO243" s="28" t="n"/>
      <c r="BP243" s="25" t="n"/>
      <c r="BQ243" s="27" t="n">
        <v>1.75188</v>
      </c>
      <c r="BR243" s="28" t="n">
        <v>0.57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0.570815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8f0f92360fcb4bfd</t>
        </is>
      </c>
      <c r="B244" s="24" t="inlineStr">
        <is>
          <t>2026-09-02T04:39:23.745614Z</t>
        </is>
      </c>
      <c r="C244" s="24" t="inlineStr">
        <is>
          <t>2026-09-02T16:00:00Z</t>
        </is>
      </c>
      <c r="D244" s="24" t="inlineStr">
        <is>
          <t>98879</t>
        </is>
      </c>
      <c r="E244" s="24" t="inlineStr">
        <is>
          <t>LOL</t>
        </is>
      </c>
      <c r="F244" s="24" t="inlineStr">
        <is>
          <t>Deer Gaming</t>
        </is>
      </c>
      <c r="G244" s="24" t="inlineStr">
        <is>
          <t>Bulldog Esports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122</v>
      </c>
      <c r="M244" s="27" t="n">
        <v>2.22</v>
      </c>
      <c r="N244" s="28" t="n">
        <v>0.45045</v>
      </c>
      <c r="O244" s="28" t="n">
        <v>0.5229549999999999</v>
      </c>
      <c r="P244" s="28" t="n"/>
      <c r="Q244" s="28" t="n">
        <v>0.072505</v>
      </c>
      <c r="R244" s="26" t="n">
        <v>56</v>
      </c>
      <c r="S244" s="29" t="n">
        <v>1.25</v>
      </c>
      <c r="T244" s="24" t="inlineStr">
        <is>
          <t>lol-tiered-elo-v6</t>
        </is>
      </c>
      <c r="U244" s="24" t="inlineStr">
        <is>
          <t>settled</t>
        </is>
      </c>
      <c r="V244" s="24" t="inlineStr">
        <is>
          <t>win</t>
        </is>
      </c>
      <c r="W244" s="26" t="n">
        <v>1</v>
      </c>
      <c r="X244" s="26" t="n">
        <v>0</v>
      </c>
      <c r="Y244" s="25" t="n"/>
      <c r="Z244" s="26" t="n">
        <v>122</v>
      </c>
      <c r="AA244" s="28" t="n">
        <v>0.45</v>
      </c>
      <c r="AB244" s="28" t="n">
        <v>-0.00045</v>
      </c>
      <c r="AC244" s="30" t="n">
        <v>1.525</v>
      </c>
      <c r="AD244" s="24" t="inlineStr">
        <is>
          <t>2026-09-03T04:33:14.061215Z</t>
        </is>
      </c>
      <c r="AE244" s="31" t="inlineStr">
        <is>
          <t>Neutral Elo baseline; executable ask 0.4500 (market_slug=aec-lol-bld-deer-2026-09-02).</t>
        </is>
      </c>
      <c r="AF244" s="31" t="inlineStr">
        <is>
          <t>Config-promoted esports baseline; gates enforced at log time.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Deer Gaming</t>
        </is>
      </c>
      <c r="AQ244" s="24" t="inlineStr">
        <is>
          <t>Deer Gaming</t>
        </is>
      </c>
      <c r="AR244" s="24" t="inlineStr">
        <is>
          <t>Deer Gaming</t>
        </is>
      </c>
      <c r="AS244" s="24" t="inlineStr">
        <is>
          <t>Bulldog Esports</t>
        </is>
      </c>
      <c r="AT244" s="24" t="inlineStr">
        <is>
          <t>Bulldog Esports</t>
        </is>
      </c>
      <c r="AU244" s="24" t="inlineStr">
        <is>
          <t>Bulldog Esports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2aab22608b54871ff37e5a234090feca89477103ce2b0ff88ecc99d62d11706a</t>
        </is>
      </c>
      <c r="BB244" s="24" t="inlineStr">
        <is>
          <t>neutral_elo</t>
        </is>
      </c>
      <c r="BC244" s="24" t="inlineStr">
        <is>
          <t>lol-tiered-elo-v6</t>
        </is>
      </c>
      <c r="BD244" s="24" t="inlineStr">
        <is>
          <t>2aab22608b54871ff37e5a234090feca89477103ce2b0ff88ecc99d62d11706a</t>
        </is>
      </c>
      <c r="BE244" s="24" t="inlineStr">
        <is>
          <t>1</t>
        </is>
      </c>
      <c r="BF244" s="24" t="inlineStr">
        <is>
          <t>1</t>
        </is>
      </c>
      <c r="BG244" s="24" t="inlineStr">
        <is>
          <t>lol-tiered-elo-v6</t>
        </is>
      </c>
      <c r="BH244" s="24" t="inlineStr">
        <is>
          <t>2026-09-02T04:39:22.907237Z</t>
        </is>
      </c>
      <c r="BI244" s="24" t="inlineStr">
        <is>
          <t>["same_event","same_team_same_day","same_league_same_day"]</t>
        </is>
      </c>
      <c r="BJ244" s="25" t="n"/>
      <c r="BK244" s="26" t="n">
        <v>122</v>
      </c>
      <c r="BL244" s="27" t="n">
        <v>2.22</v>
      </c>
      <c r="BM244" s="28" t="n">
        <v>0.45045</v>
      </c>
      <c r="BN244" s="28" t="n"/>
      <c r="BO244" s="28" t="n"/>
      <c r="BP244" s="25" t="n"/>
      <c r="BQ244" s="27" t="n">
        <v>2.22</v>
      </c>
      <c r="BR244" s="28" t="n">
        <v>0.45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0.45045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db244cb4f1604417</t>
        </is>
      </c>
      <c r="B245" s="24" t="inlineStr">
        <is>
          <t>2026-09-03T04:36:12.763221Z</t>
        </is>
      </c>
      <c r="C245" s="24" t="inlineStr">
        <is>
          <t>2026-09-03T15:00:00Z</t>
        </is>
      </c>
      <c r="D245" s="24" t="inlineStr">
        <is>
          <t>100685</t>
        </is>
      </c>
      <c r="E245" s="24" t="inlineStr">
        <is>
          <t>LOL</t>
        </is>
      </c>
      <c r="F245" s="24" t="inlineStr">
        <is>
          <t>Barcząca Esports</t>
        </is>
      </c>
      <c r="G245" s="24" t="inlineStr">
        <is>
          <t>DOCISK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150</v>
      </c>
      <c r="M245" s="27" t="n">
        <v>2.5</v>
      </c>
      <c r="N245" s="28" t="n">
        <v>0.4</v>
      </c>
      <c r="O245" s="28" t="n">
        <v>0.510748</v>
      </c>
      <c r="P245" s="28" t="n"/>
      <c r="Q245" s="28" t="n">
        <v>0.110748</v>
      </c>
      <c r="R245" s="26" t="n">
        <v>75</v>
      </c>
      <c r="S245" s="29" t="n">
        <v>1.5</v>
      </c>
      <c r="T245" s="24" t="inlineStr">
        <is>
          <t>lol-tiered-elo-v6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1</v>
      </c>
      <c r="Y245" s="25" t="n"/>
      <c r="Z245" s="26" t="n">
        <v>150</v>
      </c>
      <c r="AA245" s="28" t="n">
        <v>0.4</v>
      </c>
      <c r="AB245" s="28" t="n">
        <v>0</v>
      </c>
      <c r="AC245" s="30" t="n">
        <v>-1.5</v>
      </c>
      <c r="AD245" s="24" t="inlineStr">
        <is>
          <t>2026-09-04T04:33:47.583478Z</t>
        </is>
      </c>
      <c r="AE245" s="31" t="inlineStr">
        <is>
          <t>Neutral Elo baseline; executable ask 0.4000 (market_slug=aec-lol-doc-bce-2026-09-03).</t>
        </is>
      </c>
      <c r="AF245" s="31" t="inlineStr">
        <is>
          <t>Config-promoted esports baseline; gates enforced at log time.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Barcząca Esports</t>
        </is>
      </c>
      <c r="AQ245" s="24" t="inlineStr">
        <is>
          <t>Barcząca Esports</t>
        </is>
      </c>
      <c r="AR245" s="24" t="inlineStr">
        <is>
          <t>Barcząca Esports</t>
        </is>
      </c>
      <c r="AS245" s="24" t="inlineStr">
        <is>
          <t>DOCISK</t>
        </is>
      </c>
      <c r="AT245" s="24" t="inlineStr">
        <is>
          <t>DOCISK</t>
        </is>
      </c>
      <c r="AU245" s="24" t="inlineStr">
        <is>
          <t>DOCISK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59f5780f16014144de38e0a7d6e1a3e2438dd4fdf84d30e515b8bd86a8861724</t>
        </is>
      </c>
      <c r="BB245" s="24" t="inlineStr">
        <is>
          <t>neutral_elo</t>
        </is>
      </c>
      <c r="BC245" s="24" t="inlineStr">
        <is>
          <t>lol-tiered-elo-v6</t>
        </is>
      </c>
      <c r="BD245" s="24" t="inlineStr">
        <is>
          <t>59f5780f16014144de38e0a7d6e1a3e2438dd4fdf84d30e515b8bd86a8861724</t>
        </is>
      </c>
      <c r="BE245" s="24" t="inlineStr">
        <is>
          <t>1</t>
        </is>
      </c>
      <c r="BF245" s="24" t="inlineStr">
        <is>
          <t>1</t>
        </is>
      </c>
      <c r="BG245" s="24" t="inlineStr">
        <is>
          <t>lol-tiered-elo-v6</t>
        </is>
      </c>
      <c r="BH245" s="24" t="inlineStr">
        <is>
          <t>2026-09-03T04:36:11.935246Z</t>
        </is>
      </c>
      <c r="BI245" s="24" t="inlineStr">
        <is>
          <t>["same_event","same_team_same_day","same_league_same_day"]</t>
        </is>
      </c>
      <c r="BJ245" s="25" t="n"/>
      <c r="BK245" s="26" t="n">
        <v>150</v>
      </c>
      <c r="BL245" s="27" t="n">
        <v>2.5</v>
      </c>
      <c r="BM245" s="28" t="n">
        <v>0.4</v>
      </c>
      <c r="BN245" s="28" t="n"/>
      <c r="BO245" s="28" t="n"/>
      <c r="BP245" s="25" t="n"/>
      <c r="BQ245" s="27" t="n">
        <v>2.5</v>
      </c>
      <c r="BR245" s="28" t="n">
        <v>0.4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0.4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962757b3bc94430f</t>
        </is>
      </c>
      <c r="B246" s="24" t="inlineStr">
        <is>
          <t>2026-09-03T04:36:12.763221Z</t>
        </is>
      </c>
      <c r="C246" s="24" t="inlineStr">
        <is>
          <t>2026-09-03T15:00:00Z</t>
        </is>
      </c>
      <c r="D246" s="24" t="inlineStr">
        <is>
          <t>100929</t>
        </is>
      </c>
      <c r="E246" s="24" t="inlineStr">
        <is>
          <t>LOL</t>
        </is>
      </c>
      <c r="F246" s="24" t="inlineStr">
        <is>
          <t>SU Esports</t>
        </is>
      </c>
      <c r="G246" s="24" t="inlineStr">
        <is>
          <t xml:space="preserve">PCIFIC 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138</v>
      </c>
      <c r="M246" s="27" t="n">
        <v>2.38</v>
      </c>
      <c r="N246" s="28" t="n">
        <v>0.420168</v>
      </c>
      <c r="O246" s="28" t="n">
        <v>0.549183</v>
      </c>
      <c r="P246" s="28" t="n"/>
      <c r="Q246" s="28" t="n">
        <v>0.129015</v>
      </c>
      <c r="R246" s="26" t="n">
        <v>85</v>
      </c>
      <c r="S246" s="29" t="n">
        <v>1.5</v>
      </c>
      <c r="T246" s="24" t="inlineStr">
        <is>
          <t>lol-tiered-elo-v6</t>
        </is>
      </c>
      <c r="U246" s="24" t="inlineStr">
        <is>
          <t>settled</t>
        </is>
      </c>
      <c r="V246" s="24" t="inlineStr">
        <is>
          <t>win</t>
        </is>
      </c>
      <c r="W246" s="26" t="n">
        <v>0</v>
      </c>
      <c r="X246" s="26" t="n">
        <v>1</v>
      </c>
      <c r="Y246" s="25" t="n"/>
      <c r="Z246" s="26" t="n">
        <v>138</v>
      </c>
      <c r="AA246" s="28" t="n">
        <v>0.42</v>
      </c>
      <c r="AB246" s="28" t="n">
        <v>-0.000168</v>
      </c>
      <c r="AC246" s="30" t="n">
        <v>2.07</v>
      </c>
      <c r="AD246" s="24" t="inlineStr">
        <is>
          <t>2026-09-04T04:33:48.939997Z</t>
        </is>
      </c>
      <c r="AE246" s="31" t="inlineStr">
        <is>
          <t>Neutral Elo baseline; executable ask 0.4200 (market_slug=aec-lol-pcific-su-2026-09-03).</t>
        </is>
      </c>
      <c r="AF246" s="31" t="inlineStr">
        <is>
          <t>Config-promoted esports baseline; gates enforced at log time.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4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SU Esports</t>
        </is>
      </c>
      <c r="AQ246" s="24" t="inlineStr">
        <is>
          <t>SU Esports</t>
        </is>
      </c>
      <c r="AR246" s="24" t="inlineStr">
        <is>
          <t>SU Esports</t>
        </is>
      </c>
      <c r="AS246" s="24" t="inlineStr">
        <is>
          <t xml:space="preserve">PCIFIC </t>
        </is>
      </c>
      <c r="AT246" s="24" t="inlineStr">
        <is>
          <t xml:space="preserve">PCIFIC </t>
        </is>
      </c>
      <c r="AU246" s="24" t="inlineStr">
        <is>
          <t xml:space="preserve">PCIFIC 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59f5780f16014144de38e0a7d6e1a3e2438dd4fdf84d30e515b8bd86a8861724</t>
        </is>
      </c>
      <c r="BB246" s="24" t="inlineStr">
        <is>
          <t>neutral_elo</t>
        </is>
      </c>
      <c r="BC246" s="24" t="inlineStr">
        <is>
          <t>lol-tiered-elo-v6</t>
        </is>
      </c>
      <c r="BD246" s="24" t="inlineStr">
        <is>
          <t>59f5780f16014144de38e0a7d6e1a3e2438dd4fdf84d30e515b8bd86a8861724</t>
        </is>
      </c>
      <c r="BE246" s="24" t="inlineStr">
        <is>
          <t>1</t>
        </is>
      </c>
      <c r="BF246" s="24" t="inlineStr">
        <is>
          <t>1</t>
        </is>
      </c>
      <c r="BG246" s="24" t="inlineStr">
        <is>
          <t>lol-tiered-elo-v6</t>
        </is>
      </c>
      <c r="BH246" s="24" t="inlineStr">
        <is>
          <t>2026-09-03T04:36:12.001914Z</t>
        </is>
      </c>
      <c r="BI246" s="24" t="inlineStr">
        <is>
          <t>["same_event","same_team_same_day","same_league_same_day"]</t>
        </is>
      </c>
      <c r="BJ246" s="25" t="n"/>
      <c r="BK246" s="26" t="n">
        <v>138</v>
      </c>
      <c r="BL246" s="27" t="n">
        <v>2.38</v>
      </c>
      <c r="BM246" s="28" t="n">
        <v>0.420168</v>
      </c>
      <c r="BN246" s="28" t="n"/>
      <c r="BO246" s="28" t="n"/>
      <c r="BP246" s="25" t="n"/>
      <c r="BQ246" s="27" t="n">
        <v>2.38</v>
      </c>
      <c r="BR246" s="28" t="n">
        <v>0.42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0.420168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f11e990f73b94b4a</t>
        </is>
      </c>
      <c r="B247" s="24" t="inlineStr">
        <is>
          <t>2026-09-03T04:36:12.763221Z</t>
        </is>
      </c>
      <c r="C247" s="24" t="inlineStr">
        <is>
          <t>2026-09-03T16:00:00Z</t>
        </is>
      </c>
      <c r="D247" s="24" t="inlineStr">
        <is>
          <t>100266</t>
        </is>
      </c>
      <c r="E247" s="24" t="inlineStr">
        <is>
          <t>LOL</t>
        </is>
      </c>
      <c r="F247" s="24" t="inlineStr">
        <is>
          <t>Myth Esports</t>
        </is>
      </c>
      <c r="G247" s="24" t="inlineStr">
        <is>
          <t>Senshi Esports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108</v>
      </c>
      <c r="M247" s="27" t="n">
        <v>2.08</v>
      </c>
      <c r="N247" s="28" t="n">
        <v>0.480769</v>
      </c>
      <c r="O247" s="28" t="n">
        <v>0.553502</v>
      </c>
      <c r="P247" s="28" t="n"/>
      <c r="Q247" s="28" t="n">
        <v>0.07273300000000001</v>
      </c>
      <c r="R247" s="26" t="n">
        <v>56</v>
      </c>
      <c r="S247" s="29" t="n">
        <v>1.25</v>
      </c>
      <c r="T247" s="24" t="inlineStr">
        <is>
          <t>lol-tiered-elo-v6</t>
        </is>
      </c>
      <c r="U247" s="24" t="inlineStr">
        <is>
          <t>settled</t>
        </is>
      </c>
      <c r="V247" s="24" t="inlineStr">
        <is>
          <t>win</t>
        </is>
      </c>
      <c r="W247" s="26" t="n">
        <v>0</v>
      </c>
      <c r="X247" s="26" t="n">
        <v>1</v>
      </c>
      <c r="Y247" s="25" t="n"/>
      <c r="Z247" s="26" t="n">
        <v>108</v>
      </c>
      <c r="AA247" s="28" t="n">
        <v>0.48</v>
      </c>
      <c r="AB247" s="28" t="n">
        <v>-0.000769</v>
      </c>
      <c r="AC247" s="30" t="n">
        <v>1.35</v>
      </c>
      <c r="AD247" s="24" t="inlineStr">
        <is>
          <t>2026-09-04T04:33:50.156279Z</t>
        </is>
      </c>
      <c r="AE247" s="31" t="inlineStr">
        <is>
          <t>Neutral Elo baseline; executable ask 0.4800 (market_slug=aec-lol-sec-myth-2026-09-03).</t>
        </is>
      </c>
      <c r="AF247" s="31" t="inlineStr">
        <is>
          <t>Config-promoted esports baseline; gates enforced at log time.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4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Myth Esports</t>
        </is>
      </c>
      <c r="AQ247" s="24" t="inlineStr">
        <is>
          <t>Myth Esports</t>
        </is>
      </c>
      <c r="AR247" s="24" t="inlineStr">
        <is>
          <t>Myth Esports</t>
        </is>
      </c>
      <c r="AS247" s="24" t="inlineStr">
        <is>
          <t>Senshi Esports</t>
        </is>
      </c>
      <c r="AT247" s="24" t="inlineStr">
        <is>
          <t>Senshi Esports</t>
        </is>
      </c>
      <c r="AU247" s="24" t="inlineStr">
        <is>
          <t>Senshi Esports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59f5780f16014144de38e0a7d6e1a3e2438dd4fdf84d30e515b8bd86a8861724</t>
        </is>
      </c>
      <c r="BB247" s="24" t="inlineStr">
        <is>
          <t>neutral_elo</t>
        </is>
      </c>
      <c r="BC247" s="24" t="inlineStr">
        <is>
          <t>lol-tiered-elo-v6</t>
        </is>
      </c>
      <c r="BD247" s="24" t="inlineStr">
        <is>
          <t>59f5780f16014144de38e0a7d6e1a3e2438dd4fdf84d30e515b8bd86a8861724</t>
        </is>
      </c>
      <c r="BE247" s="24" t="inlineStr">
        <is>
          <t>1</t>
        </is>
      </c>
      <c r="BF247" s="24" t="inlineStr">
        <is>
          <t>1</t>
        </is>
      </c>
      <c r="BG247" s="24" t="inlineStr">
        <is>
          <t>lol-tiered-elo-v6</t>
        </is>
      </c>
      <c r="BH247" s="24" t="inlineStr">
        <is>
          <t>2026-09-03T04:36:12.169961Z</t>
        </is>
      </c>
      <c r="BI247" s="24" t="inlineStr">
        <is>
          <t>["same_event","same_team_same_day","same_league_same_day"]</t>
        </is>
      </c>
      <c r="BJ247" s="25" t="n"/>
      <c r="BK247" s="26" t="n">
        <v>108</v>
      </c>
      <c r="BL247" s="27" t="n">
        <v>2.08</v>
      </c>
      <c r="BM247" s="28" t="n">
        <v>0.480769</v>
      </c>
      <c r="BN247" s="28" t="n"/>
      <c r="BO247" s="28" t="n"/>
      <c r="BP247" s="25" t="n"/>
      <c r="BQ247" s="27" t="n">
        <v>2.08</v>
      </c>
      <c r="BR247" s="28" t="n">
        <v>0.48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0.480769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3995d7ec04d34133</t>
        </is>
      </c>
      <c r="B248" s="24" t="inlineStr">
        <is>
          <t>2026-09-03T16:12:31.510050Z</t>
        </is>
      </c>
      <c r="C248" s="24" t="inlineStr">
        <is>
          <t>2026-09-03T17:30:00Z</t>
        </is>
      </c>
      <c r="D248" s="24" t="inlineStr">
        <is>
          <t>101179</t>
        </is>
      </c>
      <c r="E248" s="24" t="inlineStr">
        <is>
          <t>LOL</t>
        </is>
      </c>
      <c r="F248" s="24" t="inlineStr">
        <is>
          <t>devils.one inStreamly</t>
        </is>
      </c>
      <c r="G248" s="24" t="inlineStr">
        <is>
          <t>Lodis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104</v>
      </c>
      <c r="M248" s="27" t="n">
        <v>2.04</v>
      </c>
      <c r="N248" s="28" t="n">
        <v>0.490196</v>
      </c>
      <c r="O248" s="28" t="n">
        <v>0.579895</v>
      </c>
      <c r="P248" s="28" t="n"/>
      <c r="Q248" s="28" t="n">
        <v>0.089699</v>
      </c>
      <c r="R248" s="26" t="n">
        <v>65</v>
      </c>
      <c r="S248" s="29" t="n">
        <v>1.25</v>
      </c>
      <c r="T248" s="24" t="inlineStr">
        <is>
          <t>lol-tiered-elo-v6</t>
        </is>
      </c>
      <c r="U248" s="24" t="inlineStr">
        <is>
          <t>settled</t>
        </is>
      </c>
      <c r="V248" s="24" t="inlineStr">
        <is>
          <t>loss</t>
        </is>
      </c>
      <c r="W248" s="26" t="n">
        <v>1</v>
      </c>
      <c r="X248" s="26" t="n">
        <v>0</v>
      </c>
      <c r="Y248" s="25" t="n"/>
      <c r="Z248" s="26" t="n">
        <v>104</v>
      </c>
      <c r="AA248" s="28" t="n">
        <v>0.49</v>
      </c>
      <c r="AB248" s="28" t="n">
        <v>-0.000196</v>
      </c>
      <c r="AC248" s="30" t="n">
        <v>-1.25</v>
      </c>
      <c r="AD248" s="24" t="inlineStr">
        <is>
          <t>2026-09-04T04:33:51.546201Z</t>
        </is>
      </c>
      <c r="AE248" s="31" t="inlineStr">
        <is>
          <t>Neutral Elo baseline; executable ask 0.4900 (market_slug=aec-lol-lds-dv1-2026-09-03).</t>
        </is>
      </c>
      <c r="AF248" s="31" t="inlineStr">
        <is>
          <t>Config-promoted esports baseline; gates enforced at log time.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devils.one inStreamly</t>
        </is>
      </c>
      <c r="AQ248" s="24" t="inlineStr">
        <is>
          <t>devils.one inStreamly</t>
        </is>
      </c>
      <c r="AR248" s="24" t="inlineStr">
        <is>
          <t>devils.one inStreamly</t>
        </is>
      </c>
      <c r="AS248" s="24" t="inlineStr">
        <is>
          <t>Lodis</t>
        </is>
      </c>
      <c r="AT248" s="24" t="inlineStr">
        <is>
          <t>Lodis</t>
        </is>
      </c>
      <c r="AU248" s="24" t="inlineStr">
        <is>
          <t>Lodis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e44b8d5a1806aad6b1d9c984ca948f46904e1b43a6bc59e97a18f4dfa00256d1</t>
        </is>
      </c>
      <c r="BB248" s="24" t="inlineStr">
        <is>
          <t>neutral_elo</t>
        </is>
      </c>
      <c r="BC248" s="24" t="inlineStr">
        <is>
          <t>lol-tiered-elo-v6</t>
        </is>
      </c>
      <c r="BD248" s="24" t="inlineStr">
        <is>
          <t>e44b8d5a1806aad6b1d9c984ca948f46904e1b43a6bc59e97a18f4dfa00256d1</t>
        </is>
      </c>
      <c r="BE248" s="24" t="inlineStr">
        <is>
          <t>1</t>
        </is>
      </c>
      <c r="BF248" s="24" t="inlineStr">
        <is>
          <t>1</t>
        </is>
      </c>
      <c r="BG248" s="24" t="inlineStr">
        <is>
          <t>lol-tiered-elo-v6</t>
        </is>
      </c>
      <c r="BH248" s="24" t="inlineStr">
        <is>
          <t>2026-09-03T16:12:30.516927Z</t>
        </is>
      </c>
      <c r="BI248" s="24" t="inlineStr">
        <is>
          <t>["same_event","same_team_same_day","same_league_same_day"]</t>
        </is>
      </c>
      <c r="BJ248" s="25" t="n"/>
      <c r="BK248" s="26" t="n">
        <v>104</v>
      </c>
      <c r="BL248" s="27" t="n">
        <v>2.04</v>
      </c>
      <c r="BM248" s="28" t="n">
        <v>0.490196</v>
      </c>
      <c r="BN248" s="28" t="n"/>
      <c r="BO248" s="28" t="n"/>
      <c r="BP248" s="25" t="n"/>
      <c r="BQ248" s="27" t="n">
        <v>2.04</v>
      </c>
      <c r="BR248" s="28" t="n">
        <v>0.49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0.490196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f1fa9139196a4da2</t>
        </is>
      </c>
      <c r="B249" s="24" t="inlineStr">
        <is>
          <t>2026-09-03T16:12:31.510050Z</t>
        </is>
      </c>
      <c r="C249" s="24" t="inlineStr">
        <is>
          <t>2026-09-03T18:00:00Z</t>
        </is>
      </c>
      <c r="D249" s="24" t="inlineStr">
        <is>
          <t>98882</t>
        </is>
      </c>
      <c r="E249" s="24" t="inlineStr">
        <is>
          <t>LOL</t>
        </is>
      </c>
      <c r="F249" s="24" t="inlineStr">
        <is>
          <t>Dream Esports</t>
        </is>
      </c>
      <c r="G249" s="24" t="inlineStr">
        <is>
          <t>Dominion Goblins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-170</v>
      </c>
      <c r="M249" s="27" t="n">
        <v>1.588235</v>
      </c>
      <c r="N249" s="28" t="n">
        <v>0.62963</v>
      </c>
      <c r="O249" s="28" t="n">
        <v>0.516014</v>
      </c>
      <c r="P249" s="28" t="n"/>
      <c r="Q249" s="28" t="n">
        <v>-0.113616</v>
      </c>
      <c r="R249" s="26" t="n">
        <v>0</v>
      </c>
      <c r="S249" s="29" t="n">
        <v>1</v>
      </c>
      <c r="T249" s="24" t="inlineStr">
        <is>
          <t>lol-tiered-elo-v6</t>
        </is>
      </c>
      <c r="U249" s="24" t="inlineStr">
        <is>
          <t>settled</t>
        </is>
      </c>
      <c r="V249" s="24" t="inlineStr">
        <is>
          <t>win</t>
        </is>
      </c>
      <c r="W249" s="26" t="n">
        <v>0</v>
      </c>
      <c r="X249" s="26" t="n">
        <v>1</v>
      </c>
      <c r="Y249" s="25" t="n"/>
      <c r="Z249" s="26" t="n">
        <v>-170</v>
      </c>
      <c r="AA249" s="28" t="n">
        <v>0.63</v>
      </c>
      <c r="AB249" s="28" t="n">
        <v>0.00037</v>
      </c>
      <c r="AC249" s="30" t="n">
        <v>0.5881999999999999</v>
      </c>
      <c r="AD249" s="24" t="inlineStr">
        <is>
          <t>2026-09-04T04:33:52.906264Z</t>
        </is>
      </c>
      <c r="AE249" s="31" t="inlineStr">
        <is>
          <t>Neutral Elo baseline; executable ask 0.6300 (market_slug=aec-lol-domi-drm-2026-09-03).</t>
        </is>
      </c>
      <c r="AF249" s="31" t="inlineStr">
        <is>
          <t>Config-promoted esports baseline; gates enforced at log time.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Dream Esports</t>
        </is>
      </c>
      <c r="AQ249" s="24" t="inlineStr">
        <is>
          <t>Dream Esports</t>
        </is>
      </c>
      <c r="AR249" s="24" t="inlineStr">
        <is>
          <t>Dream Esports</t>
        </is>
      </c>
      <c r="AS249" s="24" t="inlineStr">
        <is>
          <t>Dominion Goblins</t>
        </is>
      </c>
      <c r="AT249" s="24" t="inlineStr">
        <is>
          <t>Dominion Goblins</t>
        </is>
      </c>
      <c r="AU249" s="24" t="inlineStr">
        <is>
          <t>Dominion Goblins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e44b8d5a1806aad6b1d9c984ca948f46904e1b43a6bc59e97a18f4dfa00256d1</t>
        </is>
      </c>
      <c r="BB249" s="24" t="inlineStr">
        <is>
          <t>neutral_elo</t>
        </is>
      </c>
      <c r="BC249" s="24" t="inlineStr">
        <is>
          <t>lol-tiered-elo-v6</t>
        </is>
      </c>
      <c r="BD249" s="24" t="inlineStr">
        <is>
          <t>e44b8d5a1806aad6b1d9c984ca948f46904e1b43a6bc59e97a18f4dfa00256d1</t>
        </is>
      </c>
      <c r="BE249" s="24" t="inlineStr">
        <is>
          <t>1</t>
        </is>
      </c>
      <c r="BF249" s="24" t="inlineStr">
        <is>
          <t>1</t>
        </is>
      </c>
      <c r="BG249" s="24" t="inlineStr">
        <is>
          <t>lol-tiered-elo-v6</t>
        </is>
      </c>
      <c r="BH249" s="24" t="inlineStr">
        <is>
          <t>2026-09-03T16:12:30.672411Z</t>
        </is>
      </c>
      <c r="BI249" s="24" t="inlineStr">
        <is>
          <t>["same_event","same_team_same_day","same_league_same_day"]</t>
        </is>
      </c>
      <c r="BJ249" s="25" t="n"/>
      <c r="BK249" s="26" t="n">
        <v>-170</v>
      </c>
      <c r="BL249" s="27" t="n">
        <v>1.588235</v>
      </c>
      <c r="BM249" s="28" t="n">
        <v>0.62963</v>
      </c>
      <c r="BN249" s="28" t="n"/>
      <c r="BO249" s="28" t="n"/>
      <c r="BP249" s="25" t="n"/>
      <c r="BQ249" s="27" t="n">
        <v>1.588235</v>
      </c>
      <c r="BR249" s="28" t="n">
        <v>0.63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0.62963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13f0b59614294103</t>
        </is>
      </c>
      <c r="B250" s="24" t="inlineStr">
        <is>
          <t>2026-09-04T04:37:13.977875Z</t>
        </is>
      </c>
      <c r="C250" s="24" t="inlineStr">
        <is>
          <t>2026-09-04T08:00:00Z</t>
        </is>
      </c>
      <c r="D250" s="24" t="inlineStr">
        <is>
          <t>101566</t>
        </is>
      </c>
      <c r="E250" s="24" t="inlineStr">
        <is>
          <t>LOL</t>
        </is>
      </c>
      <c r="F250" s="24" t="inlineStr">
        <is>
          <t>KT Rolster</t>
        </is>
      </c>
      <c r="G250" s="24" t="inlineStr">
        <is>
          <t>Dplus KIA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-186</v>
      </c>
      <c r="M250" s="27" t="n">
        <v>1.537634</v>
      </c>
      <c r="N250" s="28" t="n">
        <v>0.65035</v>
      </c>
      <c r="O250" s="28" t="n">
        <v>0.66932</v>
      </c>
      <c r="P250" s="28" t="n"/>
      <c r="Q250" s="28" t="n">
        <v>0.01897</v>
      </c>
      <c r="R250" s="26" t="n">
        <v>29</v>
      </c>
      <c r="S250" s="29" t="n">
        <v>1</v>
      </c>
      <c r="T250" s="24" t="inlineStr">
        <is>
          <t>lol-tiered-elo-v6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>
        <v>-186</v>
      </c>
      <c r="AA250" s="28" t="n">
        <v>0.65</v>
      </c>
      <c r="AB250" s="28" t="n">
        <v>-0.00035</v>
      </c>
      <c r="AC250" s="30" t="n">
        <v>0.5376</v>
      </c>
      <c r="AD250" s="24" t="inlineStr">
        <is>
          <t>2026-09-04T16:00:59.789750Z</t>
        </is>
      </c>
      <c r="AE250" s="31" t="inlineStr">
        <is>
          <t>Neutral Elo baseline; executable ask 0.6500 (market_slug=aec-lol-dk-kt-2026-09-04).</t>
        </is>
      </c>
      <c r="AF250" s="31" t="inlineStr">
        <is>
          <t>Config-promoted esports baseline; gates enforced at log time.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KT Rolster</t>
        </is>
      </c>
      <c r="AQ250" s="24" t="inlineStr">
        <is>
          <t>KT Rolster</t>
        </is>
      </c>
      <c r="AR250" s="24" t="inlineStr">
        <is>
          <t>KT Rolster</t>
        </is>
      </c>
      <c r="AS250" s="24" t="inlineStr">
        <is>
          <t>Dplus KIA</t>
        </is>
      </c>
      <c r="AT250" s="24" t="inlineStr">
        <is>
          <t>Dplus KIA</t>
        </is>
      </c>
      <c r="AU250" s="24" t="inlineStr">
        <is>
          <t>Dplus KIA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55a3995119c1407b3d6d90b9201cc4d7548a835b6b6e38bedad7b33de6103918</t>
        </is>
      </c>
      <c r="BB250" s="24" t="inlineStr">
        <is>
          <t>neutral_elo</t>
        </is>
      </c>
      <c r="BC250" s="24" t="inlineStr">
        <is>
          <t>lol-tiered-elo-v6</t>
        </is>
      </c>
      <c r="BD250" s="24" t="inlineStr">
        <is>
          <t>55a3995119c1407b3d6d90b9201cc4d7548a835b6b6e38bedad7b33de6103918</t>
        </is>
      </c>
      <c r="BE250" s="24" t="inlineStr">
        <is>
          <t>1</t>
        </is>
      </c>
      <c r="BF250" s="24" t="inlineStr">
        <is>
          <t>1</t>
        </is>
      </c>
      <c r="BG250" s="24" t="inlineStr">
        <is>
          <t>lol-tiered-elo-v6</t>
        </is>
      </c>
      <c r="BH250" s="24" t="inlineStr">
        <is>
          <t>2026-09-04T04:37:12.829670Z</t>
        </is>
      </c>
      <c r="BI250" s="24" t="inlineStr">
        <is>
          <t>["same_event","same_team_same_day","same_league_same_day"]</t>
        </is>
      </c>
      <c r="BJ250" s="25" t="n"/>
      <c r="BK250" s="26" t="n">
        <v>-186</v>
      </c>
      <c r="BL250" s="27" t="n">
        <v>1.537634</v>
      </c>
      <c r="BM250" s="28" t="n">
        <v>0.65035</v>
      </c>
      <c r="BN250" s="28" t="n"/>
      <c r="BO250" s="28" t="n"/>
      <c r="BP250" s="25" t="n"/>
      <c r="BQ250" s="27" t="n">
        <v>1.537634</v>
      </c>
      <c r="BR250" s="28" t="n">
        <v>0.65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0.65035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c96cdaa7fcf04350</t>
        </is>
      </c>
      <c r="B251" s="24" t="inlineStr">
        <is>
          <t>2026-09-04T04:37:13.977875Z</t>
        </is>
      </c>
      <c r="C251" s="24" t="inlineStr">
        <is>
          <t>2026-09-04T09:00:00Z</t>
        </is>
      </c>
      <c r="D251" s="24" t="inlineStr">
        <is>
          <t>100270</t>
        </is>
      </c>
      <c r="E251" s="24" t="inlineStr">
        <is>
          <t>LOL</t>
        </is>
      </c>
      <c r="F251" s="24" t="inlineStr">
        <is>
          <t>LGD Gaming</t>
        </is>
      </c>
      <c r="G251" s="24" t="inlineStr">
        <is>
          <t>Anyone's Legend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-223</v>
      </c>
      <c r="M251" s="27" t="n">
        <v>1.44843</v>
      </c>
      <c r="N251" s="28" t="n">
        <v>0.690402</v>
      </c>
      <c r="O251" s="28" t="n">
        <v>0.610449</v>
      </c>
      <c r="P251" s="28" t="n"/>
      <c r="Q251" s="28" t="n">
        <v>-0.079953</v>
      </c>
      <c r="R251" s="26" t="n">
        <v>0</v>
      </c>
      <c r="S251" s="29" t="n">
        <v>1</v>
      </c>
      <c r="T251" s="24" t="inlineStr">
        <is>
          <t>lol-tiered-elo-v6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1</v>
      </c>
      <c r="Y251" s="25" t="n"/>
      <c r="Z251" s="26" t="n">
        <v>-223</v>
      </c>
      <c r="AA251" s="28" t="n">
        <v>0.6899999999999999</v>
      </c>
      <c r="AB251" s="28" t="n">
        <v>-0.000402</v>
      </c>
      <c r="AC251" s="30" t="n">
        <v>0.4484</v>
      </c>
      <c r="AD251" s="24" t="inlineStr">
        <is>
          <t>2026-09-04T16:01:00.631801Z</t>
        </is>
      </c>
      <c r="AE251" s="31" t="inlineStr">
        <is>
          <t>Neutral Elo baseline; executable ask 0.6900 (market_slug=aec-lol-al-lgd-2026-09-04).</t>
        </is>
      </c>
      <c r="AF251" s="31" t="inlineStr">
        <is>
          <t>Config-promoted esports baseline; gates enforced at log time.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LGD Gaming</t>
        </is>
      </c>
      <c r="AQ251" s="24" t="inlineStr">
        <is>
          <t>LGD Gaming</t>
        </is>
      </c>
      <c r="AR251" s="24" t="inlineStr">
        <is>
          <t>LGD Gaming</t>
        </is>
      </c>
      <c r="AS251" s="24" t="inlineStr">
        <is>
          <t>Anyone's Legend</t>
        </is>
      </c>
      <c r="AT251" s="24" t="inlineStr">
        <is>
          <t>Anyone's Legend</t>
        </is>
      </c>
      <c r="AU251" s="24" t="inlineStr">
        <is>
          <t>Anyone's Legend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55a3995119c1407b3d6d90b9201cc4d7548a835b6b6e38bedad7b33de6103918</t>
        </is>
      </c>
      <c r="BB251" s="24" t="inlineStr">
        <is>
          <t>neutral_elo</t>
        </is>
      </c>
      <c r="BC251" s="24" t="inlineStr">
        <is>
          <t>lol-tiered-elo-v6</t>
        </is>
      </c>
      <c r="BD251" s="24" t="inlineStr">
        <is>
          <t>55a3995119c1407b3d6d90b9201cc4d7548a835b6b6e38bedad7b33de6103918</t>
        </is>
      </c>
      <c r="BE251" s="24" t="inlineStr">
        <is>
          <t>1</t>
        </is>
      </c>
      <c r="BF251" s="24" t="inlineStr">
        <is>
          <t>1</t>
        </is>
      </c>
      <c r="BG251" s="24" t="inlineStr">
        <is>
          <t>lol-tiered-elo-v6</t>
        </is>
      </c>
      <c r="BH251" s="24" t="inlineStr">
        <is>
          <t>2026-09-04T04:37:12.892199Z</t>
        </is>
      </c>
      <c r="BI251" s="24" t="inlineStr">
        <is>
          <t>["same_event","same_team_same_day","same_league_same_day"]</t>
        </is>
      </c>
      <c r="BJ251" s="25" t="n"/>
      <c r="BK251" s="26" t="n">
        <v>-223</v>
      </c>
      <c r="BL251" s="27" t="n">
        <v>1.44843</v>
      </c>
      <c r="BM251" s="28" t="n">
        <v>0.690402</v>
      </c>
      <c r="BN251" s="28" t="n"/>
      <c r="BO251" s="28" t="n"/>
      <c r="BP251" s="25" t="n"/>
      <c r="BQ251" s="27" t="n">
        <v>1.44843</v>
      </c>
      <c r="BR251" s="28" t="n">
        <v>0.6899999999999999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0.690402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485d32d6d42d4f0b</t>
        </is>
      </c>
      <c r="B252" s="24" t="inlineStr">
        <is>
          <t>2026-09-04T22:04:34.232577Z</t>
        </is>
      </c>
      <c r="C252" s="24" t="inlineStr">
        <is>
          <t>2026-09-05T04:00:00Z</t>
        </is>
      </c>
      <c r="D252" s="24" t="inlineStr">
        <is>
          <t>100274</t>
        </is>
      </c>
      <c r="E252" s="24" t="inlineStr">
        <is>
          <t>LOL</t>
        </is>
      </c>
      <c r="F252" s="24" t="inlineStr">
        <is>
          <t>Onetricks</t>
        </is>
      </c>
      <c r="G252" s="24" t="inlineStr">
        <is>
          <t>Gromp Esports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108</v>
      </c>
      <c r="M252" s="27" t="n">
        <v>2.08</v>
      </c>
      <c r="N252" s="28" t="n">
        <v>0.480769</v>
      </c>
      <c r="O252" s="28" t="n">
        <v>0.510683</v>
      </c>
      <c r="P252" s="28" t="n"/>
      <c r="Q252" s="28" t="n">
        <v>0.029914</v>
      </c>
      <c r="R252" s="26" t="n">
        <v>35</v>
      </c>
      <c r="S252" s="29" t="n">
        <v>1</v>
      </c>
      <c r="T252" s="24" t="inlineStr">
        <is>
          <t>lol-tiered-elo-v6</t>
        </is>
      </c>
      <c r="U252" s="24" t="inlineStr">
        <is>
          <t>settled</t>
        </is>
      </c>
      <c r="V252" s="24" t="inlineStr">
        <is>
          <t>win</t>
        </is>
      </c>
      <c r="W252" s="26" t="n">
        <v>0</v>
      </c>
      <c r="X252" s="26" t="n">
        <v>1</v>
      </c>
      <c r="Y252" s="25" t="n"/>
      <c r="Z252" s="26" t="n">
        <v>-104</v>
      </c>
      <c r="AA252" s="28" t="n">
        <v>0.51</v>
      </c>
      <c r="AB252" s="28" t="n">
        <v>0.029231</v>
      </c>
      <c r="AC252" s="30" t="n">
        <v>1.08</v>
      </c>
      <c r="AD252" s="24" t="inlineStr">
        <is>
          <t>2026-09-05T10:01:12.719696Z</t>
        </is>
      </c>
      <c r="AE252" s="31" t="inlineStr">
        <is>
          <t>Neutral Elo baseline; executable ask 0.4800 (market_slug=aec-lol-ger-onet-2026-09-05).</t>
        </is>
      </c>
      <c r="AF252" s="31" t="inlineStr">
        <is>
          <t>Config-promoted esports baseline; gates enforced at log time.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Onetricks</t>
        </is>
      </c>
      <c r="AQ252" s="24" t="inlineStr">
        <is>
          <t>Onetricks</t>
        </is>
      </c>
      <c r="AR252" s="24" t="inlineStr">
        <is>
          <t>Onetricks</t>
        </is>
      </c>
      <c r="AS252" s="24" t="inlineStr">
        <is>
          <t>Gromp Esports</t>
        </is>
      </c>
      <c r="AT252" s="24" t="inlineStr">
        <is>
          <t>Gromp Esports</t>
        </is>
      </c>
      <c r="AU252" s="24" t="inlineStr">
        <is>
          <t>Gromp Esports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60ad579bbdf7cea8aea2bde6b7a1e8b185e0fd7861c49d74d818fed4fbe362d0</t>
        </is>
      </c>
      <c r="BB252" s="24" t="inlineStr">
        <is>
          <t>neutral_elo</t>
        </is>
      </c>
      <c r="BC252" s="24" t="inlineStr">
        <is>
          <t>lol-tiered-elo-v6</t>
        </is>
      </c>
      <c r="BD252" s="24" t="inlineStr">
        <is>
          <t>60ad579bbdf7cea8aea2bde6b7a1e8b185e0fd7861c49d74d818fed4fbe362d0</t>
        </is>
      </c>
      <c r="BE252" s="24" t="inlineStr">
        <is>
          <t>1</t>
        </is>
      </c>
      <c r="BF252" s="24" t="inlineStr">
        <is>
          <t>1</t>
        </is>
      </c>
      <c r="BG252" s="24" t="inlineStr">
        <is>
          <t>lol-tiered-elo-v6</t>
        </is>
      </c>
      <c r="BH252" s="24" t="inlineStr">
        <is>
          <t>2026-09-04T22:04:33.091746Z</t>
        </is>
      </c>
      <c r="BI252" s="24" t="inlineStr">
        <is>
          <t>["same_event","same_team_same_day","same_league_same_day"]</t>
        </is>
      </c>
      <c r="BJ252" s="25" t="n"/>
      <c r="BK252" s="26" t="n">
        <v>108</v>
      </c>
      <c r="BL252" s="27" t="n">
        <v>2.08</v>
      </c>
      <c r="BM252" s="28" t="n">
        <v>0.480769</v>
      </c>
      <c r="BN252" s="28" t="n"/>
      <c r="BO252" s="28" t="n"/>
      <c r="BP252" s="25" t="n"/>
      <c r="BQ252" s="27" t="n">
        <v>1.961538</v>
      </c>
      <c r="BR252" s="28" t="n">
        <v>0.51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0.480769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56b391e7fb254b36</t>
        </is>
      </c>
      <c r="B253" s="24" t="inlineStr">
        <is>
          <t>2026-09-05T04:44:17.486463Z</t>
        </is>
      </c>
      <c r="C253" s="24" t="inlineStr">
        <is>
          <t>2026-09-05T06:00:00Z</t>
        </is>
      </c>
      <c r="D253" s="24" t="inlineStr">
        <is>
          <t>100278</t>
        </is>
      </c>
      <c r="E253" s="24" t="inlineStr">
        <is>
          <t>LOL</t>
        </is>
      </c>
      <c r="F253" s="24" t="inlineStr">
        <is>
          <t>Top Esports</t>
        </is>
      </c>
      <c r="G253" s="24" t="inlineStr">
        <is>
          <t>Invictus Gaming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-113</v>
      </c>
      <c r="M253" s="27" t="n">
        <v>1.884956</v>
      </c>
      <c r="N253" s="28" t="n">
        <v>0.530516</v>
      </c>
      <c r="O253" s="28" t="n">
        <v>0.523354</v>
      </c>
      <c r="P253" s="28" t="n"/>
      <c r="Q253" s="28" t="n">
        <v>-0.007162</v>
      </c>
      <c r="R253" s="26" t="n">
        <v>16</v>
      </c>
      <c r="S253" s="29" t="n">
        <v>1</v>
      </c>
      <c r="T253" s="24" t="inlineStr">
        <is>
          <t>lol-tiered-elo-v6</t>
        </is>
      </c>
      <c r="U253" s="24" t="inlineStr">
        <is>
          <t>settled</t>
        </is>
      </c>
      <c r="V253" s="24" t="inlineStr">
        <is>
          <t>loss</t>
        </is>
      </c>
      <c r="W253" s="26" t="n">
        <v>0</v>
      </c>
      <c r="X253" s="26" t="n">
        <v>1</v>
      </c>
      <c r="Y253" s="25" t="n"/>
      <c r="Z253" s="26" t="n">
        <v>-113</v>
      </c>
      <c r="AA253" s="28" t="n">
        <v>0.53</v>
      </c>
      <c r="AB253" s="28" t="n">
        <v>-0.000516</v>
      </c>
      <c r="AC253" s="30" t="n">
        <v>-1</v>
      </c>
      <c r="AD253" s="24" t="inlineStr">
        <is>
          <t>2026-09-05T16:01:08.215697Z</t>
        </is>
      </c>
      <c r="AE253" s="31" t="inlineStr">
        <is>
          <t>Neutral Elo baseline; executable ask 0.5300 (market_slug=aec-lol-ig-tes-2026-09-05).</t>
        </is>
      </c>
      <c r="AF253" s="31" t="inlineStr">
        <is>
          <t>Config-promoted esports baseline; gates enforced at log time.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paper_call</t>
        </is>
      </c>
      <c r="AL253" s="26" t="n">
        <v>4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PAPER_CALL_LOW_EDGE</t>
        </is>
      </c>
      <c r="AP253" s="24" t="inlineStr">
        <is>
          <t>Top Esports</t>
        </is>
      </c>
      <c r="AQ253" s="24" t="inlineStr">
        <is>
          <t>Top Esports</t>
        </is>
      </c>
      <c r="AR253" s="24" t="inlineStr">
        <is>
          <t>Top Esports</t>
        </is>
      </c>
      <c r="AS253" s="24" t="inlineStr">
        <is>
          <t>Invictus Gaming</t>
        </is>
      </c>
      <c r="AT253" s="24" t="inlineStr">
        <is>
          <t>Invictus Gaming</t>
        </is>
      </c>
      <c r="AU253" s="24" t="inlineStr">
        <is>
          <t>Invictus Gaming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e256dc061870dad30797ba87433f0b0bb620ec8e75b67bece34cfea2f2a6d79d</t>
        </is>
      </c>
      <c r="BB253" s="24" t="inlineStr">
        <is>
          <t>neutral_elo</t>
        </is>
      </c>
      <c r="BC253" s="24" t="inlineStr">
        <is>
          <t>lol-tiered-elo-v6</t>
        </is>
      </c>
      <c r="BD253" s="24" t="inlineStr">
        <is>
          <t>e256dc061870dad30797ba87433f0b0bb620ec8e75b67bece34cfea2f2a6d79d</t>
        </is>
      </c>
      <c r="BE253" s="24" t="inlineStr">
        <is>
          <t>1</t>
        </is>
      </c>
      <c r="BF253" s="24" t="inlineStr">
        <is>
          <t>1</t>
        </is>
      </c>
      <c r="BG253" s="24" t="inlineStr">
        <is>
          <t>lol-tiered-elo-v6</t>
        </is>
      </c>
      <c r="BH253" s="24" t="inlineStr">
        <is>
          <t>2026-09-05T04:44:16.133200Z</t>
        </is>
      </c>
      <c r="BI253" s="24" t="inlineStr">
        <is>
          <t>["same_event","same_team_same_day","same_league_same_day"]</t>
        </is>
      </c>
      <c r="BJ253" s="25" t="n"/>
      <c r="BK253" s="26" t="n">
        <v>-113</v>
      </c>
      <c r="BL253" s="27" t="n">
        <v>1.884956</v>
      </c>
      <c r="BM253" s="28" t="n">
        <v>0.530516</v>
      </c>
      <c r="BN253" s="28" t="n"/>
      <c r="BO253" s="28" t="n"/>
      <c r="BP253" s="25" t="n"/>
      <c r="BQ253" s="27" t="n">
        <v>1.884956</v>
      </c>
      <c r="BR253" s="28" t="n">
        <v>0.53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0.530516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bc98e78e874f4ab0</t>
        </is>
      </c>
      <c r="B254" s="24" t="inlineStr">
        <is>
          <t>2026-09-05T04:44:17.486463Z</t>
        </is>
      </c>
      <c r="C254" s="24" t="inlineStr">
        <is>
          <t>2026-09-05T08:00:00Z</t>
        </is>
      </c>
      <c r="D254" s="24" t="inlineStr">
        <is>
          <t>100280</t>
        </is>
      </c>
      <c r="E254" s="24" t="inlineStr">
        <is>
          <t>LOL</t>
        </is>
      </c>
      <c r="F254" s="24" t="inlineStr">
        <is>
          <t>Hanwha Life Esports</t>
        </is>
      </c>
      <c r="G254" s="24" t="inlineStr">
        <is>
          <t>Gen.G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138</v>
      </c>
      <c r="M254" s="27" t="n">
        <v>2.38</v>
      </c>
      <c r="N254" s="28" t="n">
        <v>0.420168</v>
      </c>
      <c r="O254" s="28" t="n">
        <v>0.54047</v>
      </c>
      <c r="P254" s="28" t="n"/>
      <c r="Q254" s="28" t="n">
        <v>0.120302</v>
      </c>
      <c r="R254" s="26" t="n">
        <v>80</v>
      </c>
      <c r="S254" s="29" t="n">
        <v>1.5</v>
      </c>
      <c r="T254" s="24" t="inlineStr">
        <is>
          <t>lol-tiered-elo-v6</t>
        </is>
      </c>
      <c r="U254" s="24" t="inlineStr">
        <is>
          <t>settled</t>
        </is>
      </c>
      <c r="V254" s="24" t="inlineStr">
        <is>
          <t>loss</t>
        </is>
      </c>
      <c r="W254" s="26" t="n">
        <v>0</v>
      </c>
      <c r="X254" s="26" t="n">
        <v>1</v>
      </c>
      <c r="Y254" s="25" t="n"/>
      <c r="Z254" s="26" t="n">
        <v>138</v>
      </c>
      <c r="AA254" s="28" t="n">
        <v>0.42</v>
      </c>
      <c r="AB254" s="28" t="n">
        <v>-0.000168</v>
      </c>
      <c r="AC254" s="30" t="n">
        <v>-1.5</v>
      </c>
      <c r="AD254" s="24" t="inlineStr">
        <is>
          <t>2026-09-05T16:01:08.881068Z</t>
        </is>
      </c>
      <c r="AE254" s="31" t="inlineStr">
        <is>
          <t>Neutral Elo baseline; executable ask 0.4200 (market_slug=aec-lol-gen-hle-2026-09-05).</t>
        </is>
      </c>
      <c r="AF254" s="31" t="inlineStr">
        <is>
          <t>Config-promoted esports baseline; gates enforced at log time.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4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Hanwha Life Esports</t>
        </is>
      </c>
      <c r="AQ254" s="24" t="inlineStr">
        <is>
          <t>Hanwha Life Esports</t>
        </is>
      </c>
      <c r="AR254" s="24" t="inlineStr">
        <is>
          <t>Hanwha Life Esports</t>
        </is>
      </c>
      <c r="AS254" s="24" t="inlineStr">
        <is>
          <t>Gen.G</t>
        </is>
      </c>
      <c r="AT254" s="24" t="inlineStr">
        <is>
          <t>Gen.G</t>
        </is>
      </c>
      <c r="AU254" s="24" t="inlineStr">
        <is>
          <t>Gen.G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e256dc061870dad30797ba87433f0b0bb620ec8e75b67bece34cfea2f2a6d79d</t>
        </is>
      </c>
      <c r="BB254" s="24" t="inlineStr">
        <is>
          <t>neutral_elo</t>
        </is>
      </c>
      <c r="BC254" s="24" t="inlineStr">
        <is>
          <t>lol-tiered-elo-v6</t>
        </is>
      </c>
      <c r="BD254" s="24" t="inlineStr">
        <is>
          <t>e256dc061870dad30797ba87433f0b0bb620ec8e75b67bece34cfea2f2a6d79d</t>
        </is>
      </c>
      <c r="BE254" s="24" t="inlineStr">
        <is>
          <t>1</t>
        </is>
      </c>
      <c r="BF254" s="24" t="inlineStr">
        <is>
          <t>1</t>
        </is>
      </c>
      <c r="BG254" s="24" t="inlineStr">
        <is>
          <t>lol-tiered-elo-v6</t>
        </is>
      </c>
      <c r="BH254" s="24" t="inlineStr">
        <is>
          <t>2026-09-05T04:44:16.210113Z</t>
        </is>
      </c>
      <c r="BI254" s="24" t="inlineStr">
        <is>
          <t>["same_event","same_team_same_day","same_league_same_day"]</t>
        </is>
      </c>
      <c r="BJ254" s="25" t="n"/>
      <c r="BK254" s="26" t="n">
        <v>138</v>
      </c>
      <c r="BL254" s="27" t="n">
        <v>2.38</v>
      </c>
      <c r="BM254" s="28" t="n">
        <v>0.420168</v>
      </c>
      <c r="BN254" s="28" t="n"/>
      <c r="BO254" s="28" t="n"/>
      <c r="BP254" s="25" t="n"/>
      <c r="BQ254" s="27" t="n">
        <v>2.38</v>
      </c>
      <c r="BR254" s="28" t="n">
        <v>0.42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0.420168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30ec52dcdfe64fd7</t>
        </is>
      </c>
      <c r="B255" s="24" t="inlineStr">
        <is>
          <t>2026-09-05T04:44:17.486463Z</t>
        </is>
      </c>
      <c r="C255" s="24" t="inlineStr">
        <is>
          <t>2026-09-05T09:00:00Z</t>
        </is>
      </c>
      <c r="D255" s="24" t="inlineStr">
        <is>
          <t>100282</t>
        </is>
      </c>
      <c r="E255" s="24" t="inlineStr">
        <is>
          <t>LOL</t>
        </is>
      </c>
      <c r="F255" s="24" t="inlineStr">
        <is>
          <t>JD Gaming</t>
        </is>
      </c>
      <c r="G255" s="24" t="inlineStr">
        <is>
          <t>Ninjas in Pyjamas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113</v>
      </c>
      <c r="M255" s="27" t="n">
        <v>2.13</v>
      </c>
      <c r="N255" s="28" t="n">
        <v>0.469484</v>
      </c>
      <c r="O255" s="28" t="n">
        <v>0.550909</v>
      </c>
      <c r="P255" s="28" t="n"/>
      <c r="Q255" s="28" t="n">
        <v>0.081425</v>
      </c>
      <c r="R255" s="26" t="n">
        <v>61</v>
      </c>
      <c r="S255" s="29" t="n">
        <v>1.25</v>
      </c>
      <c r="T255" s="24" t="inlineStr">
        <is>
          <t>lol-tiered-elo-v6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1</v>
      </c>
      <c r="Y255" s="25" t="n"/>
      <c r="Z255" s="26" t="n">
        <v>113</v>
      </c>
      <c r="AA255" s="28" t="n">
        <v>0.47</v>
      </c>
      <c r="AB255" s="28" t="n">
        <v>0.000516</v>
      </c>
      <c r="AC255" s="30" t="n">
        <v>1.4125</v>
      </c>
      <c r="AD255" s="24" t="inlineStr">
        <is>
          <t>2026-09-05T16:01:09.605704Z</t>
        </is>
      </c>
      <c r="AE255" s="31" t="inlineStr">
        <is>
          <t>Neutral Elo baseline; executable ask 0.4700 (market_slug=aec-lol-nip-jdg-2026-09-05).</t>
        </is>
      </c>
      <c r="AF255" s="31" t="inlineStr">
        <is>
          <t>Config-promoted esports baseline; gates enforced at log time.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4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JD Gaming</t>
        </is>
      </c>
      <c r="AQ255" s="24" t="inlineStr">
        <is>
          <t>JD Gaming</t>
        </is>
      </c>
      <c r="AR255" s="24" t="inlineStr">
        <is>
          <t>JD Gaming</t>
        </is>
      </c>
      <c r="AS255" s="24" t="inlineStr">
        <is>
          <t>Ninjas in Pyjamas</t>
        </is>
      </c>
      <c r="AT255" s="24" t="inlineStr">
        <is>
          <t>Ninjas in Pyjamas</t>
        </is>
      </c>
      <c r="AU255" s="24" t="inlineStr">
        <is>
          <t>Ninjas in Pyjamas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e256dc061870dad30797ba87433f0b0bb620ec8e75b67bece34cfea2f2a6d79d</t>
        </is>
      </c>
      <c r="BB255" s="24" t="inlineStr">
        <is>
          <t>neutral_elo</t>
        </is>
      </c>
      <c r="BC255" s="24" t="inlineStr">
        <is>
          <t>lol-tiered-elo-v6</t>
        </is>
      </c>
      <c r="BD255" s="24" t="inlineStr">
        <is>
          <t>e256dc061870dad30797ba87433f0b0bb620ec8e75b67bece34cfea2f2a6d79d</t>
        </is>
      </c>
      <c r="BE255" s="24" t="inlineStr">
        <is>
          <t>1</t>
        </is>
      </c>
      <c r="BF255" s="24" t="inlineStr">
        <is>
          <t>1</t>
        </is>
      </c>
      <c r="BG255" s="24" t="inlineStr">
        <is>
          <t>lol-tiered-elo-v6</t>
        </is>
      </c>
      <c r="BH255" s="24" t="inlineStr">
        <is>
          <t>2026-09-05T04:44:16.286015Z</t>
        </is>
      </c>
      <c r="BI255" s="24" t="inlineStr">
        <is>
          <t>["same_event","same_team_same_day","same_league_same_day"]</t>
        </is>
      </c>
      <c r="BJ255" s="25" t="n"/>
      <c r="BK255" s="26" t="n">
        <v>113</v>
      </c>
      <c r="BL255" s="27" t="n">
        <v>2.13</v>
      </c>
      <c r="BM255" s="28" t="n">
        <v>0.469484</v>
      </c>
      <c r="BN255" s="28" t="n"/>
      <c r="BO255" s="28" t="n"/>
      <c r="BP255" s="25" t="n"/>
      <c r="BQ255" s="27" t="n">
        <v>2.13</v>
      </c>
      <c r="BR255" s="28" t="n">
        <v>0.47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0.469484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d5b405977ba4459a</t>
        </is>
      </c>
      <c r="B256" s="24" t="inlineStr">
        <is>
          <t>2026-09-05T10:06:01.774678Z</t>
        </is>
      </c>
      <c r="C256" s="24" t="inlineStr">
        <is>
          <t>2026-09-05T16:00:00Z</t>
        </is>
      </c>
      <c r="D256" s="24" t="inlineStr">
        <is>
          <t>100687</t>
        </is>
      </c>
      <c r="E256" s="24" t="inlineStr">
        <is>
          <t>LOL</t>
        </is>
      </c>
      <c r="F256" s="24" t="inlineStr">
        <is>
          <t>paiN Gaming</t>
        </is>
      </c>
      <c r="G256" s="24" t="inlineStr">
        <is>
          <t>Vivo Keyd Stars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-203</v>
      </c>
      <c r="M256" s="27" t="n">
        <v>1.492611</v>
      </c>
      <c r="N256" s="28" t="n">
        <v>0.669967</v>
      </c>
      <c r="O256" s="28" t="n">
        <v>0.6830540000000001</v>
      </c>
      <c r="P256" s="28" t="n"/>
      <c r="Q256" s="28" t="n">
        <v>0.013087</v>
      </c>
      <c r="R256" s="26" t="n">
        <v>27</v>
      </c>
      <c r="S256" s="29" t="n">
        <v>1</v>
      </c>
      <c r="T256" s="24" t="inlineStr">
        <is>
          <t>lol-tiered-elo-v6</t>
        </is>
      </c>
      <c r="U256" s="24" t="inlineStr">
        <is>
          <t>settled</t>
        </is>
      </c>
      <c r="V256" s="24" t="inlineStr">
        <is>
          <t>loss</t>
        </is>
      </c>
      <c r="W256" s="26" t="n">
        <v>1</v>
      </c>
      <c r="X256" s="26" t="n">
        <v>0</v>
      </c>
      <c r="Y256" s="25" t="n"/>
      <c r="Z256" s="26" t="n">
        <v>-203</v>
      </c>
      <c r="AA256" s="28" t="n">
        <v>0.67</v>
      </c>
      <c r="AB256" s="28" t="n">
        <v>3.3e-05</v>
      </c>
      <c r="AC256" s="30" t="n">
        <v>-1</v>
      </c>
      <c r="AD256" s="24" t="inlineStr">
        <is>
          <t>2026-09-29T22:02:01.053838Z</t>
        </is>
      </c>
      <c r="AE256" s="31" t="inlineStr">
        <is>
          <t>Neutral Elo baseline; executable ask 0.6700 (market_slug=aec-lol-vks-png-2026-09-05).</t>
        </is>
      </c>
      <c r="AF256" s="31" t="inlineStr">
        <is>
          <t>Config-promoted esports baseline; gates enforced at log time.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paiN Gaming</t>
        </is>
      </c>
      <c r="AQ256" s="24" t="inlineStr">
        <is>
          <t>paiN Gaming</t>
        </is>
      </c>
      <c r="AR256" s="24" t="inlineStr">
        <is>
          <t>paiN Gaming</t>
        </is>
      </c>
      <c r="AS256" s="24" t="inlineStr">
        <is>
          <t>Vivo Keyd Stars</t>
        </is>
      </c>
      <c r="AT256" s="24" t="inlineStr">
        <is>
          <t>Vivo Keyd Stars</t>
        </is>
      </c>
      <c r="AU256" s="24" t="inlineStr">
        <is>
          <t>Vivo Keyd Stars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ca3f75f120258ecf2f70b8a4e6a8ada5ba0cd1132762c539b6789737e5ec835d</t>
        </is>
      </c>
      <c r="BB256" s="24" t="inlineStr">
        <is>
          <t>neutral_elo</t>
        </is>
      </c>
      <c r="BC256" s="24" t="inlineStr">
        <is>
          <t>lol-tiered-elo-v6</t>
        </is>
      </c>
      <c r="BD256" s="24" t="inlineStr">
        <is>
          <t>ca3f75f120258ecf2f70b8a4e6a8ada5ba0cd1132762c539b6789737e5ec835d</t>
        </is>
      </c>
      <c r="BE256" s="24" t="inlineStr">
        <is>
          <t>1</t>
        </is>
      </c>
      <c r="BF256" s="24" t="inlineStr">
        <is>
          <t>1</t>
        </is>
      </c>
      <c r="BG256" s="24" t="inlineStr">
        <is>
          <t>lol-tiered-elo-v6</t>
        </is>
      </c>
      <c r="BH256" s="24" t="inlineStr">
        <is>
          <t>2026-09-05T10:06:00.655342Z</t>
        </is>
      </c>
      <c r="BI256" s="24" t="inlineStr">
        <is>
          <t>["same_event","same_team_same_day","same_league_same_day"]</t>
        </is>
      </c>
      <c r="BJ256" s="25" t="n"/>
      <c r="BK256" s="26" t="n">
        <v>-203</v>
      </c>
      <c r="BL256" s="27" t="n">
        <v>1.492611</v>
      </c>
      <c r="BM256" s="28" t="n">
        <v>0.669967</v>
      </c>
      <c r="BN256" s="28" t="n"/>
      <c r="BO256" s="28" t="n"/>
      <c r="BP256" s="25" t="n"/>
      <c r="BQ256" s="27" t="n">
        <v>1.492611</v>
      </c>
      <c r="BR256" s="28" t="n">
        <v>0.67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0.669967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fe1ec663dcee4759</t>
        </is>
      </c>
      <c r="B257" s="24" t="inlineStr">
        <is>
          <t>2026-09-05T16:06:11.425316Z</t>
        </is>
      </c>
      <c r="C257" s="24" t="inlineStr">
        <is>
          <t>2026-09-05T20:00:00Z</t>
        </is>
      </c>
      <c r="D257" s="24" t="inlineStr">
        <is>
          <t>101180</t>
        </is>
      </c>
      <c r="E257" s="24" t="inlineStr">
        <is>
          <t>LOL</t>
        </is>
      </c>
      <c r="F257" s="24" t="inlineStr">
        <is>
          <t>Cloud9</t>
        </is>
      </c>
      <c r="G257" s="24" t="inlineStr">
        <is>
          <t>Sentinels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-144</v>
      </c>
      <c r="M257" s="27" t="n">
        <v>1.694444</v>
      </c>
      <c r="N257" s="28" t="n">
        <v>0.590164</v>
      </c>
      <c r="O257" s="28" t="n">
        <v>0.512862</v>
      </c>
      <c r="P257" s="28" t="n"/>
      <c r="Q257" s="28" t="n">
        <v>-0.077302</v>
      </c>
      <c r="R257" s="26" t="n">
        <v>0</v>
      </c>
      <c r="S257" s="29" t="n">
        <v>1</v>
      </c>
      <c r="T257" s="24" t="inlineStr">
        <is>
          <t>lol-tiered-elo-v6</t>
        </is>
      </c>
      <c r="U257" s="24" t="inlineStr">
        <is>
          <t>settled</t>
        </is>
      </c>
      <c r="V257" s="24" t="inlineStr">
        <is>
          <t>win</t>
        </is>
      </c>
      <c r="W257" s="26" t="n">
        <v>1</v>
      </c>
      <c r="X257" s="26" t="n">
        <v>0</v>
      </c>
      <c r="Y257" s="25" t="n"/>
      <c r="Z257" s="26" t="n">
        <v>-144</v>
      </c>
      <c r="AA257" s="28" t="n">
        <v>0.59</v>
      </c>
      <c r="AB257" s="28" t="n">
        <v>-0.000164</v>
      </c>
      <c r="AC257" s="30" t="n">
        <v>0.6944</v>
      </c>
      <c r="AD257" s="24" t="inlineStr">
        <is>
          <t>2026-09-06T04:33:00.308140Z</t>
        </is>
      </c>
      <c r="AE257" s="31" t="inlineStr">
        <is>
          <t>Neutral Elo baseline; executable ask 0.5900 (market_slug=aec-lol-sen-c9-2026-09-05).</t>
        </is>
      </c>
      <c r="AF257" s="31" t="inlineStr">
        <is>
          <t>Config-promoted esports baseline; gates enforced at log time.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4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PAPER_CALL_LOW_EDGE</t>
        </is>
      </c>
      <c r="AP257" s="24" t="inlineStr">
        <is>
          <t>Cloud9</t>
        </is>
      </c>
      <c r="AQ257" s="24" t="inlineStr">
        <is>
          <t>Cloud9</t>
        </is>
      </c>
      <c r="AR257" s="24" t="inlineStr">
        <is>
          <t>Cloud9</t>
        </is>
      </c>
      <c r="AS257" s="24" t="inlineStr">
        <is>
          <t>Sentinels</t>
        </is>
      </c>
      <c r="AT257" s="24" t="inlineStr">
        <is>
          <t>Sentinels</t>
        </is>
      </c>
      <c r="AU257" s="24" t="inlineStr">
        <is>
          <t>Sentinels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0c798f45d42262a85dc67a7d9ba7558b84e351df762af82172e3761ead9f6b32</t>
        </is>
      </c>
      <c r="BB257" s="24" t="inlineStr">
        <is>
          <t>neutral_elo</t>
        </is>
      </c>
      <c r="BC257" s="24" t="inlineStr">
        <is>
          <t>lol-tiered-elo-v6</t>
        </is>
      </c>
      <c r="BD257" s="24" t="inlineStr">
        <is>
          <t>0c798f45d42262a85dc67a7d9ba7558b84e351df762af82172e3761ead9f6b32</t>
        </is>
      </c>
      <c r="BE257" s="24" t="inlineStr">
        <is>
          <t>1</t>
        </is>
      </c>
      <c r="BF257" s="24" t="inlineStr">
        <is>
          <t>1</t>
        </is>
      </c>
      <c r="BG257" s="24" t="inlineStr">
        <is>
          <t>lol-tiered-elo-v6</t>
        </is>
      </c>
      <c r="BH257" s="24" t="inlineStr">
        <is>
          <t>2026-09-05T16:06:09.953163Z</t>
        </is>
      </c>
      <c r="BI257" s="24" t="inlineStr">
        <is>
          <t>["same_event","same_team_same_day","same_league_same_day"]</t>
        </is>
      </c>
      <c r="BJ257" s="25" t="n"/>
      <c r="BK257" s="26" t="n">
        <v>-144</v>
      </c>
      <c r="BL257" s="27" t="n">
        <v>1.694444</v>
      </c>
      <c r="BM257" s="28" t="n">
        <v>0.590164</v>
      </c>
      <c r="BN257" s="28" t="n"/>
      <c r="BO257" s="28" t="n"/>
      <c r="BP257" s="25" t="n"/>
      <c r="BQ257" s="27" t="n">
        <v>1.694444</v>
      </c>
      <c r="BR257" s="28" t="n">
        <v>0.59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0.590164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fcfa6040609440b4</t>
        </is>
      </c>
      <c r="B258" s="24" t="inlineStr">
        <is>
          <t>2026-09-06T04:36:30.279309Z</t>
        </is>
      </c>
      <c r="C258" s="24" t="inlineStr">
        <is>
          <t>2026-09-06T06:00:00Z</t>
        </is>
      </c>
      <c r="D258" s="24" t="inlineStr">
        <is>
          <t>103106</t>
        </is>
      </c>
      <c r="E258" s="24" t="inlineStr">
        <is>
          <t>LOL</t>
        </is>
      </c>
      <c r="F258" s="24" t="inlineStr">
        <is>
          <t>Invictus Gaming</t>
        </is>
      </c>
      <c r="G258" s="24" t="inlineStr">
        <is>
          <t>Team WE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-156</v>
      </c>
      <c r="M258" s="27" t="n">
        <v>1.641026</v>
      </c>
      <c r="N258" s="28" t="n">
        <v>0.609375</v>
      </c>
      <c r="O258" s="28" t="n">
        <v>0.52434</v>
      </c>
      <c r="P258" s="28" t="n"/>
      <c r="Q258" s="28" t="n">
        <v>-0.085035</v>
      </c>
      <c r="R258" s="26" t="n">
        <v>0</v>
      </c>
      <c r="S258" s="29" t="n">
        <v>1</v>
      </c>
      <c r="T258" s="24" t="inlineStr">
        <is>
          <t>lol-tiered-elo-v6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>
        <v>-156</v>
      </c>
      <c r="AA258" s="28" t="n">
        <v>0.61</v>
      </c>
      <c r="AB258" s="28" t="n">
        <v>0.000625</v>
      </c>
      <c r="AC258" s="30" t="n">
        <v>0.641</v>
      </c>
      <c r="AD258" s="24" t="inlineStr">
        <is>
          <t>2026-09-06T16:01:00.151373Z</t>
        </is>
      </c>
      <c r="AE258" s="31" t="inlineStr">
        <is>
          <t>Neutral Elo baseline; executable ask 0.6100 (market_slug=aec-lol-we-ig-2026-09-06).</t>
        </is>
      </c>
      <c r="AF258" s="31" t="inlineStr">
        <is>
          <t>Config-promoted esports baseline; gates enforced at log time.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Invictus Gaming</t>
        </is>
      </c>
      <c r="AQ258" s="24" t="inlineStr">
        <is>
          <t>Invictus Gaming</t>
        </is>
      </c>
      <c r="AR258" s="24" t="inlineStr">
        <is>
          <t>Invictus Gaming</t>
        </is>
      </c>
      <c r="AS258" s="24" t="inlineStr">
        <is>
          <t>Team WE</t>
        </is>
      </c>
      <c r="AT258" s="24" t="inlineStr">
        <is>
          <t>Team WE</t>
        </is>
      </c>
      <c r="AU258" s="24" t="inlineStr">
        <is>
          <t>Team WE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0d8ed55efe53c87fe53f3022f0881fa9bc185930a48aa23359ff61a2431b739f</t>
        </is>
      </c>
      <c r="BB258" s="24" t="inlineStr">
        <is>
          <t>neutral_elo</t>
        </is>
      </c>
      <c r="BC258" s="24" t="inlineStr">
        <is>
          <t>lol-tiered-elo-v6</t>
        </is>
      </c>
      <c r="BD258" s="24" t="inlineStr">
        <is>
          <t>0d8ed55efe53c87fe53f3022f0881fa9bc185930a48aa23359ff61a2431b739f</t>
        </is>
      </c>
      <c r="BE258" s="24" t="inlineStr">
        <is>
          <t>1</t>
        </is>
      </c>
      <c r="BF258" s="24" t="inlineStr">
        <is>
          <t>1</t>
        </is>
      </c>
      <c r="BG258" s="24" t="inlineStr">
        <is>
          <t>lol-tiered-elo-v6</t>
        </is>
      </c>
      <c r="BH258" s="24" t="inlineStr">
        <is>
          <t>2026-09-06T04:36:27.698250Z</t>
        </is>
      </c>
      <c r="BI258" s="24" t="inlineStr">
        <is>
          <t>["same_event","same_team_same_day","same_league_same_day"]</t>
        </is>
      </c>
      <c r="BJ258" s="25" t="n"/>
      <c r="BK258" s="26" t="n">
        <v>-156</v>
      </c>
      <c r="BL258" s="27" t="n">
        <v>1.641026</v>
      </c>
      <c r="BM258" s="28" t="n">
        <v>0.609375</v>
      </c>
      <c r="BN258" s="28" t="n"/>
      <c r="BO258" s="28" t="n"/>
      <c r="BP258" s="25" t="n"/>
      <c r="BQ258" s="27" t="n">
        <v>1.641026</v>
      </c>
      <c r="BR258" s="28" t="n">
        <v>0.61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0.609375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b4bb979aaaea4683</t>
        </is>
      </c>
      <c r="B259" s="24" t="inlineStr">
        <is>
          <t>2026-09-06T04:36:30.279309Z</t>
        </is>
      </c>
      <c r="C259" s="24" t="inlineStr">
        <is>
          <t>2026-09-06T08:00:00Z</t>
        </is>
      </c>
      <c r="D259" s="24" t="inlineStr">
        <is>
          <t>102376</t>
        </is>
      </c>
      <c r="E259" s="24" t="inlineStr">
        <is>
          <t>LOL</t>
        </is>
      </c>
      <c r="F259" s="24" t="inlineStr">
        <is>
          <t>T1</t>
        </is>
      </c>
      <c r="G259" s="24" t="inlineStr">
        <is>
          <t>Dplus KIA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138</v>
      </c>
      <c r="M259" s="27" t="n">
        <v>2.38</v>
      </c>
      <c r="N259" s="28" t="n">
        <v>0.420168</v>
      </c>
      <c r="O259" s="28" t="n">
        <v>0.599875</v>
      </c>
      <c r="P259" s="28" t="n"/>
      <c r="Q259" s="28" t="n">
        <v>0.179707</v>
      </c>
      <c r="R259" s="26" t="n">
        <v>100</v>
      </c>
      <c r="S259" s="29" t="n">
        <v>1.75</v>
      </c>
      <c r="T259" s="24" t="inlineStr">
        <is>
          <t>lol-tiered-elo-v6</t>
        </is>
      </c>
      <c r="U259" s="24" t="inlineStr">
        <is>
          <t>settled</t>
        </is>
      </c>
      <c r="V259" s="24" t="inlineStr">
        <is>
          <t>loss</t>
        </is>
      </c>
      <c r="W259" s="26" t="n">
        <v>1</v>
      </c>
      <c r="X259" s="26" t="n">
        <v>0</v>
      </c>
      <c r="Y259" s="25" t="n"/>
      <c r="Z259" s="26" t="n">
        <v>138</v>
      </c>
      <c r="AA259" s="28" t="n">
        <v>0.42</v>
      </c>
      <c r="AB259" s="28" t="n">
        <v>-0.000168</v>
      </c>
      <c r="AC259" s="30" t="n">
        <v>-1.75</v>
      </c>
      <c r="AD259" s="24" t="inlineStr">
        <is>
          <t>2026-09-06T16:01:00.821757Z</t>
        </is>
      </c>
      <c r="AE259" s="31" t="inlineStr">
        <is>
          <t>Neutral Elo baseline; executable ask 0.4200 (market_slug=aec-lol-dk-t1-2026-09-06).</t>
        </is>
      </c>
      <c r="AF259" s="31" t="inlineStr">
        <is>
          <t>Config-promoted esports baseline; gates enforced at log time.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T1</t>
        </is>
      </c>
      <c r="AQ259" s="24" t="inlineStr">
        <is>
          <t>T1</t>
        </is>
      </c>
      <c r="AR259" s="24" t="inlineStr">
        <is>
          <t>T1</t>
        </is>
      </c>
      <c r="AS259" s="24" t="inlineStr">
        <is>
          <t>Dplus KIA</t>
        </is>
      </c>
      <c r="AT259" s="24" t="inlineStr">
        <is>
          <t>Dplus KIA</t>
        </is>
      </c>
      <c r="AU259" s="24" t="inlineStr">
        <is>
          <t>Dplus KIA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0d8ed55efe53c87fe53f3022f0881fa9bc185930a48aa23359ff61a2431b739f</t>
        </is>
      </c>
      <c r="BB259" s="24" t="inlineStr">
        <is>
          <t>neutral_elo</t>
        </is>
      </c>
      <c r="BC259" s="24" t="inlineStr">
        <is>
          <t>lol-tiered-elo-v6</t>
        </is>
      </c>
      <c r="BD259" s="24" t="inlineStr">
        <is>
          <t>0d8ed55efe53c87fe53f3022f0881fa9bc185930a48aa23359ff61a2431b739f</t>
        </is>
      </c>
      <c r="BE259" s="24" t="inlineStr">
        <is>
          <t>1</t>
        </is>
      </c>
      <c r="BF259" s="24" t="inlineStr">
        <is>
          <t>1</t>
        </is>
      </c>
      <c r="BG259" s="24" t="inlineStr">
        <is>
          <t>lol-tiered-elo-v6</t>
        </is>
      </c>
      <c r="BH259" s="24" t="inlineStr">
        <is>
          <t>2026-09-06T04:36:27.762925Z</t>
        </is>
      </c>
      <c r="BI259" s="24" t="inlineStr">
        <is>
          <t>["same_event","same_team_same_day","same_league_same_day"]</t>
        </is>
      </c>
      <c r="BJ259" s="25" t="n"/>
      <c r="BK259" s="26" t="n">
        <v>138</v>
      </c>
      <c r="BL259" s="27" t="n">
        <v>2.38</v>
      </c>
      <c r="BM259" s="28" t="n">
        <v>0.420168</v>
      </c>
      <c r="BN259" s="28" t="n"/>
      <c r="BO259" s="28" t="n"/>
      <c r="BP259" s="25" t="n"/>
      <c r="BQ259" s="27" t="n">
        <v>2.38</v>
      </c>
      <c r="BR259" s="28" t="n">
        <v>0.42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0.420168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d1d3c28110974065</t>
        </is>
      </c>
      <c r="B260" s="24" t="inlineStr">
        <is>
          <t>2026-09-06T04:36:30.279309Z</t>
        </is>
      </c>
      <c r="C260" s="24" t="inlineStr">
        <is>
          <t>2026-09-06T09:00:00Z</t>
        </is>
      </c>
      <c r="D260" s="24" t="inlineStr">
        <is>
          <t>103247</t>
        </is>
      </c>
      <c r="E260" s="24" t="inlineStr">
        <is>
          <t>LOL</t>
        </is>
      </c>
      <c r="F260" s="24" t="inlineStr">
        <is>
          <t>Ninjas in Pyjamas</t>
        </is>
      </c>
      <c r="G260" s="24" t="inlineStr">
        <is>
          <t>LGD Gaming</t>
        </is>
      </c>
      <c r="H260" s="24" t="inlineStr">
        <is>
          <t>moneyline</t>
        </is>
      </c>
      <c r="I260" s="24" t="inlineStr">
        <is>
          <t>away</t>
        </is>
      </c>
      <c r="J260" s="25" t="n"/>
      <c r="K260" s="24" t="inlineStr">
        <is>
          <t>polymarket_us</t>
        </is>
      </c>
      <c r="L260" s="26" t="n">
        <v>-178</v>
      </c>
      <c r="M260" s="27" t="n">
        <v>1.561798</v>
      </c>
      <c r="N260" s="28" t="n">
        <v>0.640288</v>
      </c>
      <c r="O260" s="28" t="n">
        <v>0.632953</v>
      </c>
      <c r="P260" s="28" t="n"/>
      <c r="Q260" s="28" t="n">
        <v>-0.007335</v>
      </c>
      <c r="R260" s="26" t="n">
        <v>16</v>
      </c>
      <c r="S260" s="29" t="n">
        <v>1</v>
      </c>
      <c r="T260" s="24" t="inlineStr">
        <is>
          <t>lol-tiered-elo-v6</t>
        </is>
      </c>
      <c r="U260" s="24" t="inlineStr">
        <is>
          <t>settled</t>
        </is>
      </c>
      <c r="V260" s="24" t="inlineStr">
        <is>
          <t>loss</t>
        </is>
      </c>
      <c r="W260" s="26" t="n">
        <v>0</v>
      </c>
      <c r="X260" s="26" t="n">
        <v>1</v>
      </c>
      <c r="Y260" s="25" t="n"/>
      <c r="Z260" s="26" t="n">
        <v>-178</v>
      </c>
      <c r="AA260" s="28" t="n">
        <v>0.64</v>
      </c>
      <c r="AB260" s="28" t="n">
        <v>-0.000288</v>
      </c>
      <c r="AC260" s="30" t="n">
        <v>-1</v>
      </c>
      <c r="AD260" s="24" t="inlineStr">
        <is>
          <t>2026-09-06T16:01:01.568803Z</t>
        </is>
      </c>
      <c r="AE260" s="31" t="inlineStr">
        <is>
          <t>Neutral Elo baseline; executable ask 0.6400 (market_slug=aec-lol-lgd-nip-2026-09-06).</t>
        </is>
      </c>
      <c r="AF260" s="31" t="inlineStr">
        <is>
          <t>Config-promoted esports baseline; gates enforced at log time.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Ninjas in Pyjamas</t>
        </is>
      </c>
      <c r="AQ260" s="24" t="inlineStr">
        <is>
          <t>Ninjas in Pyjamas</t>
        </is>
      </c>
      <c r="AR260" s="24" t="inlineStr">
        <is>
          <t>Ninjas in Pyjamas</t>
        </is>
      </c>
      <c r="AS260" s="24" t="inlineStr">
        <is>
          <t>LGD Gaming</t>
        </is>
      </c>
      <c r="AT260" s="24" t="inlineStr">
        <is>
          <t>LGD Gaming</t>
        </is>
      </c>
      <c r="AU260" s="24" t="inlineStr">
        <is>
          <t>LGD Gaming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0d8ed55efe53c87fe53f3022f0881fa9bc185930a48aa23359ff61a2431b739f</t>
        </is>
      </c>
      <c r="BB260" s="24" t="inlineStr">
        <is>
          <t>neutral_elo</t>
        </is>
      </c>
      <c r="BC260" s="24" t="inlineStr">
        <is>
          <t>lol-tiered-elo-v6</t>
        </is>
      </c>
      <c r="BD260" s="24" t="inlineStr">
        <is>
          <t>0d8ed55efe53c87fe53f3022f0881fa9bc185930a48aa23359ff61a2431b739f</t>
        </is>
      </c>
      <c r="BE260" s="24" t="inlineStr">
        <is>
          <t>1</t>
        </is>
      </c>
      <c r="BF260" s="24" t="inlineStr">
        <is>
          <t>1</t>
        </is>
      </c>
      <c r="BG260" s="24" t="inlineStr">
        <is>
          <t>lol-tiered-elo-v6</t>
        </is>
      </c>
      <c r="BH260" s="24" t="inlineStr">
        <is>
          <t>2026-09-06T04:36:27.829936Z</t>
        </is>
      </c>
      <c r="BI260" s="24" t="inlineStr">
        <is>
          <t>["same_event","same_team_same_day","same_league_same_day"]</t>
        </is>
      </c>
      <c r="BJ260" s="25" t="n"/>
      <c r="BK260" s="26" t="n">
        <v>-178</v>
      </c>
      <c r="BL260" s="27" t="n">
        <v>1.561798</v>
      </c>
      <c r="BM260" s="28" t="n">
        <v>0.640288</v>
      </c>
      <c r="BN260" s="28" t="n"/>
      <c r="BO260" s="28" t="n"/>
      <c r="BP260" s="25" t="n"/>
      <c r="BQ260" s="27" t="n">
        <v>1.561798</v>
      </c>
      <c r="BR260" s="28" t="n">
        <v>0.64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0.640288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0d954e611c1e4e34</t>
        </is>
      </c>
      <c r="B261" s="24" t="inlineStr">
        <is>
          <t>2026-09-06T04:36:30.279309Z</t>
        </is>
      </c>
      <c r="C261" s="24" t="inlineStr">
        <is>
          <t>2026-09-06T10:00:00Z</t>
        </is>
      </c>
      <c r="D261" s="24" t="inlineStr">
        <is>
          <t>101543</t>
        </is>
      </c>
      <c r="E261" s="24" t="inlineStr">
        <is>
          <t>LOL</t>
        </is>
      </c>
      <c r="F261" s="24" t="inlineStr">
        <is>
          <t>⁠Movistar KOI Fénix</t>
        </is>
      </c>
      <c r="G261" s="24" t="inlineStr">
        <is>
          <t>Team Heretics Academy</t>
        </is>
      </c>
      <c r="H261" s="24" t="inlineStr">
        <is>
          <t>moneyline</t>
        </is>
      </c>
      <c r="I261" s="24" t="inlineStr">
        <is>
          <t>away</t>
        </is>
      </c>
      <c r="J261" s="25" t="n"/>
      <c r="K261" s="24" t="inlineStr">
        <is>
          <t>polymarket_us</t>
        </is>
      </c>
      <c r="L261" s="26" t="n">
        <v>-108</v>
      </c>
      <c r="M261" s="27" t="n">
        <v>1.925926</v>
      </c>
      <c r="N261" s="28" t="n">
        <v>0.519231</v>
      </c>
      <c r="O261" s="28" t="n">
        <v>0.552962</v>
      </c>
      <c r="P261" s="28" t="n"/>
      <c r="Q261" s="28" t="n">
        <v>0.033731</v>
      </c>
      <c r="R261" s="26" t="n">
        <v>37</v>
      </c>
      <c r="S261" s="29" t="n">
        <v>1</v>
      </c>
      <c r="T261" s="24" t="inlineStr">
        <is>
          <t>lol-tiered-elo-v6</t>
        </is>
      </c>
      <c r="U261" s="24" t="inlineStr">
        <is>
          <t>settled</t>
        </is>
      </c>
      <c r="V261" s="24" t="inlineStr">
        <is>
          <t>win</t>
        </is>
      </c>
      <c r="W261" s="26" t="n">
        <v>1</v>
      </c>
      <c r="X261" s="26" t="n">
        <v>0</v>
      </c>
      <c r="Y261" s="25" t="n"/>
      <c r="Z261" s="26" t="n">
        <v>-108</v>
      </c>
      <c r="AA261" s="28" t="n">
        <v>0.52</v>
      </c>
      <c r="AB261" s="28" t="n">
        <v>0.000769</v>
      </c>
      <c r="AC261" s="30" t="n">
        <v>0.9258999999999999</v>
      </c>
      <c r="AD261" s="24" t="inlineStr">
        <is>
          <t>2026-09-06T16:01:02.219988Z</t>
        </is>
      </c>
      <c r="AE261" s="31" t="inlineStr">
        <is>
          <t>Neutral Elo baseline; executable ask 0.5200 (market_slug=aec-lol-hrts-mkf-2026-09-06).</t>
        </is>
      </c>
      <c r="AF261" s="31" t="inlineStr">
        <is>
          <t>Config-promoted esports baseline; gates enforced at log time.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⁠Movistar KOI Fénix</t>
        </is>
      </c>
      <c r="AQ261" s="24" t="inlineStr">
        <is>
          <t>⁠Movistar KOI Fénix</t>
        </is>
      </c>
      <c r="AR261" s="24" t="inlineStr">
        <is>
          <t>⁠Movistar KOI Fénix</t>
        </is>
      </c>
      <c r="AS261" s="24" t="inlineStr">
        <is>
          <t>Team Heretics Academy</t>
        </is>
      </c>
      <c r="AT261" s="24" t="inlineStr">
        <is>
          <t>Team Heretics Academy</t>
        </is>
      </c>
      <c r="AU261" s="24" t="inlineStr">
        <is>
          <t>Team Heretics Academy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0d8ed55efe53c87fe53f3022f0881fa9bc185930a48aa23359ff61a2431b739f</t>
        </is>
      </c>
      <c r="BB261" s="24" t="inlineStr">
        <is>
          <t>neutral_elo</t>
        </is>
      </c>
      <c r="BC261" s="24" t="inlineStr">
        <is>
          <t>lol-tiered-elo-v6</t>
        </is>
      </c>
      <c r="BD261" s="24" t="inlineStr">
        <is>
          <t>0d8ed55efe53c87fe53f3022f0881fa9bc185930a48aa23359ff61a2431b739f</t>
        </is>
      </c>
      <c r="BE261" s="24" t="inlineStr">
        <is>
          <t>1</t>
        </is>
      </c>
      <c r="BF261" s="24" t="inlineStr">
        <is>
          <t>1</t>
        </is>
      </c>
      <c r="BG261" s="24" t="inlineStr">
        <is>
          <t>lol-tiered-elo-v6</t>
        </is>
      </c>
      <c r="BH261" s="24" t="inlineStr">
        <is>
          <t>2026-09-06T04:36:27.894024Z</t>
        </is>
      </c>
      <c r="BI261" s="24" t="inlineStr">
        <is>
          <t>["same_event","same_team_same_day","same_league_same_day"]</t>
        </is>
      </c>
      <c r="BJ261" s="25" t="n"/>
      <c r="BK261" s="26" t="n">
        <v>-108</v>
      </c>
      <c r="BL261" s="27" t="n">
        <v>1.925926</v>
      </c>
      <c r="BM261" s="28" t="n">
        <v>0.519231</v>
      </c>
      <c r="BN261" s="28" t="n"/>
      <c r="BO261" s="28" t="n"/>
      <c r="BP261" s="25" t="n"/>
      <c r="BQ261" s="27" t="n">
        <v>1.925926</v>
      </c>
      <c r="BR261" s="28" t="n">
        <v>0.52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0.519231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c78add7af4574f37</t>
        </is>
      </c>
      <c r="B262" s="24" t="inlineStr">
        <is>
          <t>2026-09-06T16:03:59.382966Z</t>
        </is>
      </c>
      <c r="C262" s="24" t="inlineStr">
        <is>
          <t>2026-09-06T20:00:00Z</t>
        </is>
      </c>
      <c r="D262" s="24" t="inlineStr">
        <is>
          <t>102087</t>
        </is>
      </c>
      <c r="E262" s="24" t="inlineStr">
        <is>
          <t>LOL</t>
        </is>
      </c>
      <c r="F262" s="24" t="inlineStr">
        <is>
          <t>FlyQuest</t>
        </is>
      </c>
      <c r="G262" s="24" t="inlineStr">
        <is>
          <t>Shopify Rebellion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-194</v>
      </c>
      <c r="M262" s="27" t="n">
        <v>1.515464</v>
      </c>
      <c r="N262" s="28" t="n">
        <v>0.659864</v>
      </c>
      <c r="O262" s="28" t="n">
        <v>0.581166</v>
      </c>
      <c r="P262" s="28" t="n"/>
      <c r="Q262" s="28" t="n">
        <v>-0.078698</v>
      </c>
      <c r="R262" s="26" t="n">
        <v>0</v>
      </c>
      <c r="S262" s="29" t="n">
        <v>1</v>
      </c>
      <c r="T262" s="24" t="inlineStr">
        <is>
          <t>lol-tiered-elo-v6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-194</v>
      </c>
      <c r="AA262" s="28" t="n">
        <v>0.66</v>
      </c>
      <c r="AB262" s="28" t="n">
        <v>0.000136</v>
      </c>
      <c r="AC262" s="30" t="n">
        <v>0.5155</v>
      </c>
      <c r="AD262" s="24" t="inlineStr">
        <is>
          <t>2026-09-06T22:02:14.493384Z</t>
        </is>
      </c>
      <c r="AE262" s="31" t="inlineStr">
        <is>
          <t>Neutral Elo baseline; executable ask 0.6600 (market_slug=aec-lol-sr-fly-2026-09-06).</t>
        </is>
      </c>
      <c r="AF262" s="31" t="inlineStr">
        <is>
          <t>Config-promoted esports baseline; gates enforced at log time.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FlyQuest</t>
        </is>
      </c>
      <c r="AQ262" s="24" t="inlineStr">
        <is>
          <t>FlyQuest</t>
        </is>
      </c>
      <c r="AR262" s="24" t="inlineStr">
        <is>
          <t>FlyQuest</t>
        </is>
      </c>
      <c r="AS262" s="24" t="inlineStr">
        <is>
          <t>Shopify Rebellion</t>
        </is>
      </c>
      <c r="AT262" s="24" t="inlineStr">
        <is>
          <t>Shopify Rebellion</t>
        </is>
      </c>
      <c r="AU262" s="24" t="inlineStr">
        <is>
          <t>Shopify Rebellion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35772be2aa5247fe7db89682c37f89294eacc9f178aa5f1d247f60dcdcdd48e0</t>
        </is>
      </c>
      <c r="BB262" s="24" t="inlineStr">
        <is>
          <t>neutral_elo</t>
        </is>
      </c>
      <c r="BC262" s="24" t="inlineStr">
        <is>
          <t>lol-tiered-elo-v6</t>
        </is>
      </c>
      <c r="BD262" s="24" t="inlineStr">
        <is>
          <t>35772be2aa5247fe7db89682c37f89294eacc9f178aa5f1d247f60dcdcdd48e0</t>
        </is>
      </c>
      <c r="BE262" s="24" t="inlineStr">
        <is>
          <t>1</t>
        </is>
      </c>
      <c r="BF262" s="24" t="inlineStr">
        <is>
          <t>1</t>
        </is>
      </c>
      <c r="BG262" s="24" t="inlineStr">
        <is>
          <t>lol-tiered-elo-v6</t>
        </is>
      </c>
      <c r="BH262" s="24" t="inlineStr">
        <is>
          <t>2026-09-06T16:03:58.116364Z</t>
        </is>
      </c>
      <c r="BI262" s="24" t="inlineStr">
        <is>
          <t>["same_event","same_team_same_day","same_league_same_day"]</t>
        </is>
      </c>
      <c r="BJ262" s="25" t="n"/>
      <c r="BK262" s="26" t="n">
        <v>-194</v>
      </c>
      <c r="BL262" s="27" t="n">
        <v>1.515464</v>
      </c>
      <c r="BM262" s="28" t="n">
        <v>0.659864</v>
      </c>
      <c r="BN262" s="28" t="n"/>
      <c r="BO262" s="28" t="n"/>
      <c r="BP262" s="25" t="n"/>
      <c r="BQ262" s="27" t="n">
        <v>1.515464</v>
      </c>
      <c r="BR262" s="28" t="n">
        <v>0.66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0.659864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5ec8afa007fa4780</t>
        </is>
      </c>
      <c r="B263" s="24" t="inlineStr">
        <is>
          <t>2026-09-07T10:03:22.964583Z</t>
        </is>
      </c>
      <c r="C263" s="24" t="inlineStr">
        <is>
          <t>2026-09-07T16:00:00Z</t>
        </is>
      </c>
      <c r="D263" s="24" t="inlineStr">
        <is>
          <t>102465</t>
        </is>
      </c>
      <c r="E263" s="24" t="inlineStr">
        <is>
          <t>LOL</t>
        </is>
      </c>
      <c r="F263" s="24" t="inlineStr">
        <is>
          <t>Ruddy Corporation</t>
        </is>
      </c>
      <c r="G263" s="24" t="inlineStr">
        <is>
          <t>Arctic Pandas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163</v>
      </c>
      <c r="M263" s="27" t="n">
        <v>2.63</v>
      </c>
      <c r="N263" s="28" t="n">
        <v>0.380228</v>
      </c>
      <c r="O263" s="28" t="n">
        <v>0.578699</v>
      </c>
      <c r="P263" s="28" t="n"/>
      <c r="Q263" s="28" t="n">
        <v>0.198471</v>
      </c>
      <c r="R263" s="26" t="n">
        <v>100</v>
      </c>
      <c r="S263" s="29" t="n">
        <v>2</v>
      </c>
      <c r="T263" s="24" t="inlineStr">
        <is>
          <t>lol-tiered-elo-v6</t>
        </is>
      </c>
      <c r="U263" s="24" t="inlineStr">
        <is>
          <t>settled</t>
        </is>
      </c>
      <c r="V263" s="24" t="inlineStr">
        <is>
          <t>loss</t>
        </is>
      </c>
      <c r="W263" s="26" t="n">
        <v>1</v>
      </c>
      <c r="X263" s="26" t="n">
        <v>0</v>
      </c>
      <c r="Y263" s="25" t="n"/>
      <c r="Z263" s="26" t="n">
        <v>233</v>
      </c>
      <c r="AA263" s="28" t="n">
        <v>0.3</v>
      </c>
      <c r="AB263" s="28" t="n">
        <v>-0.08022799999999999</v>
      </c>
      <c r="AC263" s="30" t="n">
        <v>-2</v>
      </c>
      <c r="AD263" s="24" t="inlineStr">
        <is>
          <t>2026-09-07T22:02:15.660744Z</t>
        </is>
      </c>
      <c r="AE263" s="31" t="inlineStr">
        <is>
          <t>Neutral Elo baseline; executable ask 0.3800 (market_slug=aec-lol-ap-rud-2026-09-07).</t>
        </is>
      </c>
      <c r="AF263" s="31" t="inlineStr">
        <is>
          <t>Config-promoted esports baseline; gates enforced at log time.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Ruddy Corporation</t>
        </is>
      </c>
      <c r="AQ263" s="24" t="inlineStr">
        <is>
          <t>Ruddy Corporation</t>
        </is>
      </c>
      <c r="AR263" s="24" t="inlineStr">
        <is>
          <t>Ruddy Corporation</t>
        </is>
      </c>
      <c r="AS263" s="24" t="inlineStr">
        <is>
          <t>Arctic Pandas</t>
        </is>
      </c>
      <c r="AT263" s="24" t="inlineStr">
        <is>
          <t>Arctic Pandas</t>
        </is>
      </c>
      <c r="AU263" s="24" t="inlineStr">
        <is>
          <t>Arctic Pandas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ea7ec9239fa191821f308820c1ee4df867938e26632f5fa20f672e01287abd83</t>
        </is>
      </c>
      <c r="BB263" s="24" t="inlineStr">
        <is>
          <t>neutral_elo</t>
        </is>
      </c>
      <c r="BC263" s="24" t="inlineStr">
        <is>
          <t>lol-tiered-elo-v6</t>
        </is>
      </c>
      <c r="BD263" s="24" t="inlineStr">
        <is>
          <t>ea7ec9239fa191821f308820c1ee4df867938e26632f5fa20f672e01287abd83</t>
        </is>
      </c>
      <c r="BE263" s="24" t="inlineStr">
        <is>
          <t>1</t>
        </is>
      </c>
      <c r="BF263" s="24" t="inlineStr">
        <is>
          <t>1</t>
        </is>
      </c>
      <c r="BG263" s="24" t="inlineStr">
        <is>
          <t>lol-tiered-elo-v6</t>
        </is>
      </c>
      <c r="BH263" s="24" t="inlineStr">
        <is>
          <t>2026-09-07T10:03:21.413056Z</t>
        </is>
      </c>
      <c r="BI263" s="24" t="inlineStr">
        <is>
          <t>["same_event","same_team_same_day","same_league_same_day"]</t>
        </is>
      </c>
      <c r="BJ263" s="25" t="n"/>
      <c r="BK263" s="26" t="n">
        <v>163</v>
      </c>
      <c r="BL263" s="27" t="n">
        <v>2.63</v>
      </c>
      <c r="BM263" s="28" t="n">
        <v>0.380228</v>
      </c>
      <c r="BN263" s="28" t="n"/>
      <c r="BO263" s="28" t="n"/>
      <c r="BP263" s="25" t="n"/>
      <c r="BQ263" s="27" t="n">
        <v>3.33</v>
      </c>
      <c r="BR263" s="28" t="n">
        <v>0.3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0.380228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33a5024f00104ac9</t>
        </is>
      </c>
      <c r="B264" s="24" t="inlineStr">
        <is>
          <t>2026-09-07T16:03:47.642088Z</t>
        </is>
      </c>
      <c r="C264" s="24" t="inlineStr">
        <is>
          <t>2026-09-07T18:00:00Z</t>
        </is>
      </c>
      <c r="D264" s="24" t="inlineStr">
        <is>
          <t>102506</t>
        </is>
      </c>
      <c r="E264" s="24" t="inlineStr">
        <is>
          <t>LOL</t>
        </is>
      </c>
      <c r="F264" s="24" t="inlineStr">
        <is>
          <t>The Otter Side</t>
        </is>
      </c>
      <c r="G264" s="24" t="inlineStr">
        <is>
          <t>Bubliki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-127</v>
      </c>
      <c r="M264" s="27" t="n">
        <v>1.787402</v>
      </c>
      <c r="N264" s="28" t="n">
        <v>0.5594710000000001</v>
      </c>
      <c r="O264" s="28" t="n">
        <v>0.58009</v>
      </c>
      <c r="P264" s="28" t="n"/>
      <c r="Q264" s="28" t="n">
        <v>0.020619</v>
      </c>
      <c r="R264" s="26" t="n">
        <v>30</v>
      </c>
      <c r="S264" s="29" t="n">
        <v>1</v>
      </c>
      <c r="T264" s="24" t="inlineStr">
        <is>
          <t>lol-tiered-elo-v6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-127</v>
      </c>
      <c r="AA264" s="28" t="n">
        <v>0.5600000000000001</v>
      </c>
      <c r="AB264" s="28" t="n">
        <v>0.000529</v>
      </c>
      <c r="AC264" s="30" t="n">
        <v>0.7874</v>
      </c>
      <c r="AD264" s="24" t="inlineStr">
        <is>
          <t>2026-09-07T22:02:17.244329Z</t>
        </is>
      </c>
      <c r="AE264" s="31" t="inlineStr">
        <is>
          <t>Neutral Elo baseline; executable ask 0.5600 (market_slug=aec-lol-bub-tos-2026-09-07).</t>
        </is>
      </c>
      <c r="AF264" s="31" t="inlineStr">
        <is>
          <t>Config-promoted esports baseline; gates enforced at log time.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PAPER_CALL_LOW_EDGE</t>
        </is>
      </c>
      <c r="AP264" s="24" t="inlineStr">
        <is>
          <t>The Otter Side</t>
        </is>
      </c>
      <c r="AQ264" s="24" t="inlineStr">
        <is>
          <t>The Otter Side</t>
        </is>
      </c>
      <c r="AR264" s="24" t="inlineStr">
        <is>
          <t>The Otter Side</t>
        </is>
      </c>
      <c r="AS264" s="24" t="inlineStr">
        <is>
          <t>Bubliki</t>
        </is>
      </c>
      <c r="AT264" s="24" t="inlineStr">
        <is>
          <t>Bubliki</t>
        </is>
      </c>
      <c r="AU264" s="24" t="inlineStr">
        <is>
          <t>Bubliki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c8da128bbd8924105b4c036d1a0127c7c17a0faf203d33a9ce18b806b31aceac</t>
        </is>
      </c>
      <c r="BB264" s="24" t="inlineStr">
        <is>
          <t>neutral_elo</t>
        </is>
      </c>
      <c r="BC264" s="24" t="inlineStr">
        <is>
          <t>lol-tiered-elo-v6</t>
        </is>
      </c>
      <c r="BD264" s="24" t="inlineStr">
        <is>
          <t>c8da128bbd8924105b4c036d1a0127c7c17a0faf203d33a9ce18b806b31aceac</t>
        </is>
      </c>
      <c r="BE264" s="24" t="inlineStr">
        <is>
          <t>1</t>
        </is>
      </c>
      <c r="BF264" s="24" t="inlineStr">
        <is>
          <t>1</t>
        </is>
      </c>
      <c r="BG264" s="24" t="inlineStr">
        <is>
          <t>lol-tiered-elo-v6</t>
        </is>
      </c>
      <c r="BH264" s="24" t="inlineStr">
        <is>
          <t>2026-09-07T16:03:46.166417Z</t>
        </is>
      </c>
      <c r="BI264" s="24" t="inlineStr">
        <is>
          <t>["same_event","same_team_same_day","same_league_same_day"]</t>
        </is>
      </c>
      <c r="BJ264" s="25" t="n"/>
      <c r="BK264" s="26" t="n">
        <v>-127</v>
      </c>
      <c r="BL264" s="27" t="n">
        <v>1.787402</v>
      </c>
      <c r="BM264" s="28" t="n">
        <v>0.5594710000000001</v>
      </c>
      <c r="BN264" s="28" t="n"/>
      <c r="BO264" s="28" t="n"/>
      <c r="BP264" s="25" t="n"/>
      <c r="BQ264" s="27" t="n">
        <v>1.787402</v>
      </c>
      <c r="BR264" s="28" t="n">
        <v>0.5600000000000001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0.559471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52ff14f8d5b94610</t>
        </is>
      </c>
      <c r="B265" s="24" t="inlineStr">
        <is>
          <t>2026-09-07T16:03:47.642088Z</t>
        </is>
      </c>
      <c r="C265" s="24" t="inlineStr">
        <is>
          <t>2026-09-07T20:00:00Z</t>
        </is>
      </c>
      <c r="D265" s="24" t="inlineStr">
        <is>
          <t>102820</t>
        </is>
      </c>
      <c r="E265" s="24" t="inlineStr">
        <is>
          <t>LOL</t>
        </is>
      </c>
      <c r="F265" s="24" t="inlineStr">
        <is>
          <t>KaBuM! Ilha das Lendas</t>
        </is>
      </c>
      <c r="G265" s="24" t="inlineStr">
        <is>
          <t>INTZ e-Sports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122</v>
      </c>
      <c r="M265" s="27" t="n">
        <v>2.22</v>
      </c>
      <c r="N265" s="28" t="n">
        <v>0.45045</v>
      </c>
      <c r="O265" s="28" t="n">
        <v>0.503819</v>
      </c>
      <c r="P265" s="28" t="n"/>
      <c r="Q265" s="28" t="n">
        <v>0.053369</v>
      </c>
      <c r="R265" s="26" t="n">
        <v>47</v>
      </c>
      <c r="S265" s="29" t="n">
        <v>1</v>
      </c>
      <c r="T265" s="24" t="inlineStr">
        <is>
          <t>lol-tiered-elo-v6</t>
        </is>
      </c>
      <c r="U265" s="24" t="inlineStr">
        <is>
          <t>settled</t>
        </is>
      </c>
      <c r="V265" s="24" t="inlineStr">
        <is>
          <t>loss</t>
        </is>
      </c>
      <c r="W265" s="26" t="n">
        <v>1</v>
      </c>
      <c r="X265" s="26" t="n">
        <v>0</v>
      </c>
      <c r="Y265" s="25" t="n"/>
      <c r="Z265" s="26" t="n">
        <v>122</v>
      </c>
      <c r="AA265" s="28" t="n">
        <v>0.45</v>
      </c>
      <c r="AB265" s="28" t="n">
        <v>-0.00045</v>
      </c>
      <c r="AC265" s="30" t="n">
        <v>-1</v>
      </c>
      <c r="AD265" s="24" t="inlineStr">
        <is>
          <t>2026-09-08T04:32:03.768139Z</t>
        </is>
      </c>
      <c r="AE265" s="31" t="inlineStr">
        <is>
          <t>Neutral Elo baseline; executable ask 0.4500 (market_slug=aec-lol-itz-kbm-2026-09-07).</t>
        </is>
      </c>
      <c r="AF265" s="31" t="inlineStr">
        <is>
          <t>Config-promoted esports baseline; gates enforced at log time.</t>
        </is>
      </c>
      <c r="AG265" s="24" t="inlineStr">
        <is>
          <t>review_required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PAPER_CALL_LOW_EDGE</t>
        </is>
      </c>
      <c r="AP265" s="24" t="inlineStr">
        <is>
          <t>KaBuM! Ilha das Lendas</t>
        </is>
      </c>
      <c r="AQ265" s="24" t="inlineStr">
        <is>
          <t>KaBuM! Ilha das Lendas</t>
        </is>
      </c>
      <c r="AR265" s="24" t="inlineStr">
        <is>
          <t>KaBuM! Ilha das Lendas</t>
        </is>
      </c>
      <c r="AS265" s="24" t="inlineStr">
        <is>
          <t>INTZ e-Sports</t>
        </is>
      </c>
      <c r="AT265" s="24" t="inlineStr">
        <is>
          <t>INTZ e-Sports</t>
        </is>
      </c>
      <c r="AU265" s="24" t="inlineStr">
        <is>
          <t>INTZ e-Sports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c8da128bbd8924105b4c036d1a0127c7c17a0faf203d33a9ce18b806b31aceac</t>
        </is>
      </c>
      <c r="BB265" s="24" t="inlineStr">
        <is>
          <t>neutral_elo</t>
        </is>
      </c>
      <c r="BC265" s="24" t="inlineStr">
        <is>
          <t>lol-tiered-elo-v6</t>
        </is>
      </c>
      <c r="BD265" s="24" t="inlineStr">
        <is>
          <t>c8da128bbd8924105b4c036d1a0127c7c17a0faf203d33a9ce18b806b31aceac</t>
        </is>
      </c>
      <c r="BE265" s="24" t="inlineStr">
        <is>
          <t>1</t>
        </is>
      </c>
      <c r="BF265" s="24" t="inlineStr">
        <is>
          <t>1</t>
        </is>
      </c>
      <c r="BG265" s="24" t="inlineStr">
        <is>
          <t>lol-tiered-elo-v6</t>
        </is>
      </c>
      <c r="BH265" s="24" t="inlineStr">
        <is>
          <t>2026-09-07T16:03:46.236177Z</t>
        </is>
      </c>
      <c r="BI265" s="24" t="inlineStr">
        <is>
          <t>["same_event","same_team_same_day","same_league_same_day"]</t>
        </is>
      </c>
      <c r="BJ265" s="25" t="n"/>
      <c r="BK265" s="26" t="n">
        <v>122</v>
      </c>
      <c r="BL265" s="27" t="n">
        <v>2.22</v>
      </c>
      <c r="BM265" s="28" t="n">
        <v>0.45045</v>
      </c>
      <c r="BN265" s="28" t="n"/>
      <c r="BO265" s="28" t="n"/>
      <c r="BP265" s="25" t="n"/>
      <c r="BQ265" s="27" t="n">
        <v>2.22</v>
      </c>
      <c r="BR265" s="28" t="n">
        <v>0.45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0.45045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ff9c731e70de47b9</t>
        </is>
      </c>
      <c r="B266" s="24" t="inlineStr">
        <is>
          <t>2026-09-07T22:04:57.350389Z</t>
        </is>
      </c>
      <c r="C266" s="24" t="inlineStr">
        <is>
          <t>2026-09-07T23:00:00Z</t>
        </is>
      </c>
      <c r="D266" s="24" t="inlineStr">
        <is>
          <t>102887</t>
        </is>
      </c>
      <c r="E266" s="24" t="inlineStr">
        <is>
          <t>LOL</t>
        </is>
      </c>
      <c r="F266" s="24" t="inlineStr">
        <is>
          <t>Fuego</t>
        </is>
      </c>
      <c r="G266" s="24" t="inlineStr">
        <is>
          <t>Zeu5 Esports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-223</v>
      </c>
      <c r="M266" s="27" t="n">
        <v>1.44843</v>
      </c>
      <c r="N266" s="28" t="n">
        <v>0.690402</v>
      </c>
      <c r="O266" s="28" t="n">
        <v>0.523689</v>
      </c>
      <c r="P266" s="28" t="n"/>
      <c r="Q266" s="28" t="n">
        <v>-0.166713</v>
      </c>
      <c r="R266" s="26" t="n">
        <v>0</v>
      </c>
      <c r="S266" s="29" t="n">
        <v>1</v>
      </c>
      <c r="T266" s="24" t="inlineStr">
        <is>
          <t>lol-tiered-elo-v6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-223</v>
      </c>
      <c r="AA266" s="28" t="n">
        <v>0.6899999999999999</v>
      </c>
      <c r="AB266" s="28" t="n">
        <v>-0.000402</v>
      </c>
      <c r="AC266" s="30" t="n">
        <v>0.4484</v>
      </c>
      <c r="AD266" s="24" t="inlineStr">
        <is>
          <t>2026-09-08T04:32:05.311061Z</t>
        </is>
      </c>
      <c r="AE266" s="31" t="inlineStr">
        <is>
          <t>Neutral Elo baseline; executable ask 0.6900 (market_slug=aec-lol-z5-fue-2026-09-07).</t>
        </is>
      </c>
      <c r="AF266" s="31" t="inlineStr">
        <is>
          <t>Config-promoted esports baseline; gates enforced at log time.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Fuego</t>
        </is>
      </c>
      <c r="AQ266" s="24" t="inlineStr">
        <is>
          <t>Fuego</t>
        </is>
      </c>
      <c r="AR266" s="24" t="inlineStr">
        <is>
          <t>Fuego</t>
        </is>
      </c>
      <c r="AS266" s="24" t="inlineStr">
        <is>
          <t>Zeu5 Esports</t>
        </is>
      </c>
      <c r="AT266" s="24" t="inlineStr">
        <is>
          <t>Zeu5 Esports</t>
        </is>
      </c>
      <c r="AU266" s="24" t="inlineStr">
        <is>
          <t>Zeu5 Esports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9635253fbdfdf405add96dc2900a1cbff82998b1dc4fa3ec20e4da89e32ec8f5</t>
        </is>
      </c>
      <c r="BB266" s="24" t="inlineStr">
        <is>
          <t>neutral_elo</t>
        </is>
      </c>
      <c r="BC266" s="24" t="inlineStr">
        <is>
          <t>lol-tiered-elo-v6</t>
        </is>
      </c>
      <c r="BD266" s="24" t="inlineStr">
        <is>
          <t>9635253fbdfdf405add96dc2900a1cbff82998b1dc4fa3ec20e4da89e32ec8f5</t>
        </is>
      </c>
      <c r="BE266" s="24" t="inlineStr">
        <is>
          <t>1</t>
        </is>
      </c>
      <c r="BF266" s="24" t="inlineStr">
        <is>
          <t>1</t>
        </is>
      </c>
      <c r="BG266" s="24" t="inlineStr">
        <is>
          <t>lol-tiered-elo-v6</t>
        </is>
      </c>
      <c r="BH266" s="24" t="inlineStr">
        <is>
          <t>2026-09-07T22:04:56.096898Z</t>
        </is>
      </c>
      <c r="BI266" s="24" t="inlineStr">
        <is>
          <t>["same_event","same_team_same_day","same_league_same_day"]</t>
        </is>
      </c>
      <c r="BJ266" s="25" t="n"/>
      <c r="BK266" s="26" t="n">
        <v>-223</v>
      </c>
      <c r="BL266" s="27" t="n">
        <v>1.44843</v>
      </c>
      <c r="BM266" s="28" t="n">
        <v>0.690402</v>
      </c>
      <c r="BN266" s="28" t="n"/>
      <c r="BO266" s="28" t="n"/>
      <c r="BP266" s="25" t="n"/>
      <c r="BQ266" s="27" t="n">
        <v>1.44843</v>
      </c>
      <c r="BR266" s="28" t="n">
        <v>0.6899999999999999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0.690402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72376b5628cc4aa2</t>
        </is>
      </c>
      <c r="B267" s="24" t="inlineStr">
        <is>
          <t>2026-09-08T04:36:08.778671Z</t>
        </is>
      </c>
      <c r="C267" s="24" t="inlineStr">
        <is>
          <t>2026-09-08T05:00:00Z</t>
        </is>
      </c>
      <c r="D267" s="24" t="inlineStr">
        <is>
          <t>103001</t>
        </is>
      </c>
      <c r="E267" s="24" t="inlineStr">
        <is>
          <t>LOL</t>
        </is>
      </c>
      <c r="F267" s="24" t="inlineStr">
        <is>
          <t>KT Rolster Challengers</t>
        </is>
      </c>
      <c r="G267" s="24" t="inlineStr">
        <is>
          <t>T1 Academy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-186</v>
      </c>
      <c r="M267" s="27" t="n">
        <v>1.537634</v>
      </c>
      <c r="N267" s="28" t="n">
        <v>0.65035</v>
      </c>
      <c r="O267" s="28" t="n">
        <v>0.535413</v>
      </c>
      <c r="P267" s="28" t="n"/>
      <c r="Q267" s="28" t="n">
        <v>-0.114937</v>
      </c>
      <c r="R267" s="26" t="n">
        <v>0</v>
      </c>
      <c r="S267" s="29" t="n">
        <v>1</v>
      </c>
      <c r="T267" s="24" t="inlineStr">
        <is>
          <t>lol-tiered-elo-v6</t>
        </is>
      </c>
      <c r="U267" s="24" t="inlineStr">
        <is>
          <t>settled</t>
        </is>
      </c>
      <c r="V267" s="24" t="inlineStr">
        <is>
          <t>win</t>
        </is>
      </c>
      <c r="W267" s="26" t="n">
        <v>0</v>
      </c>
      <c r="X267" s="26" t="n">
        <v>1</v>
      </c>
      <c r="Y267" s="25" t="n"/>
      <c r="Z267" s="26" t="n">
        <v>-186</v>
      </c>
      <c r="AA267" s="28" t="n">
        <v>0.65</v>
      </c>
      <c r="AB267" s="28" t="n">
        <v>-0.00035</v>
      </c>
      <c r="AC267" s="30" t="n">
        <v>0.5376</v>
      </c>
      <c r="AD267" s="24" t="inlineStr">
        <is>
          <t>2026-09-08T16:02:14.868999Z</t>
        </is>
      </c>
      <c r="AE267" s="31" t="inlineStr">
        <is>
          <t>Neutral Elo baseline; executable ask 0.6500 (market_slug=aec-lol-t1a-ktc-2026-09-08).</t>
        </is>
      </c>
      <c r="AF267" s="31" t="inlineStr">
        <is>
          <t>Config-promoted esports baseline; gates enforced at log time.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KT Rolster Challengers</t>
        </is>
      </c>
      <c r="AQ267" s="24" t="inlineStr">
        <is>
          <t>KT Rolster Challengers</t>
        </is>
      </c>
      <c r="AR267" s="24" t="inlineStr">
        <is>
          <t>KT Rolster Challengers</t>
        </is>
      </c>
      <c r="AS267" s="24" t="inlineStr">
        <is>
          <t>T1 Academy</t>
        </is>
      </c>
      <c r="AT267" s="24" t="inlineStr">
        <is>
          <t>T1 Academy</t>
        </is>
      </c>
      <c r="AU267" s="24" t="inlineStr">
        <is>
          <t>T1 Academy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94331a30c9ae4094d36c9acc3dbc6c9c77a60df6b7dd2a123829f9ff406ddf4c</t>
        </is>
      </c>
      <c r="BB267" s="24" t="inlineStr">
        <is>
          <t>neutral_elo</t>
        </is>
      </c>
      <c r="BC267" s="24" t="inlineStr">
        <is>
          <t>lol-tiered-elo-v6</t>
        </is>
      </c>
      <c r="BD267" s="24" t="inlineStr">
        <is>
          <t>94331a30c9ae4094d36c9acc3dbc6c9c77a60df6b7dd2a123829f9ff406ddf4c</t>
        </is>
      </c>
      <c r="BE267" s="24" t="inlineStr">
        <is>
          <t>1</t>
        </is>
      </c>
      <c r="BF267" s="24" t="inlineStr">
        <is>
          <t>1</t>
        </is>
      </c>
      <c r="BG267" s="24" t="inlineStr">
        <is>
          <t>lol-tiered-elo-v6</t>
        </is>
      </c>
      <c r="BH267" s="24" t="inlineStr">
        <is>
          <t>2026-09-08T04:36:07.608804Z</t>
        </is>
      </c>
      <c r="BI267" s="24" t="inlineStr">
        <is>
          <t>["same_event","same_team_same_day","same_league_same_day"]</t>
        </is>
      </c>
      <c r="BJ267" s="25" t="n"/>
      <c r="BK267" s="26" t="n">
        <v>-186</v>
      </c>
      <c r="BL267" s="27" t="n">
        <v>1.537634</v>
      </c>
      <c r="BM267" s="28" t="n">
        <v>0.65035</v>
      </c>
      <c r="BN267" s="28" t="n"/>
      <c r="BO267" s="28" t="n"/>
      <c r="BP267" s="25" t="n"/>
      <c r="BQ267" s="27" t="n">
        <v>1.537634</v>
      </c>
      <c r="BR267" s="28" t="n">
        <v>0.65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0.65035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923751b7fe4b4a74</t>
        </is>
      </c>
      <c r="B268" s="24" t="inlineStr">
        <is>
          <t>2026-09-08T04:36:08.778671Z</t>
        </is>
      </c>
      <c r="C268" s="24" t="inlineStr">
        <is>
          <t>2026-09-08T08:00:00Z</t>
        </is>
      </c>
      <c r="D268" s="24" t="inlineStr">
        <is>
          <t>103033</t>
        </is>
      </c>
      <c r="E268" s="24" t="inlineStr">
        <is>
          <t>LOL</t>
        </is>
      </c>
      <c r="F268" s="24" t="inlineStr">
        <is>
          <t>Nongshim Esports Academy</t>
        </is>
      </c>
      <c r="G268" s="24" t="inlineStr">
        <is>
          <t>Dplus KIA Challengers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104</v>
      </c>
      <c r="M268" s="27" t="n">
        <v>2.04</v>
      </c>
      <c r="N268" s="28" t="n">
        <v>0.490196</v>
      </c>
      <c r="O268" s="28" t="n">
        <v>0.619904</v>
      </c>
      <c r="P268" s="28" t="n"/>
      <c r="Q268" s="28" t="n">
        <v>0.129708</v>
      </c>
      <c r="R268" s="26" t="n">
        <v>85</v>
      </c>
      <c r="S268" s="29" t="n">
        <v>1.5</v>
      </c>
      <c r="T268" s="24" t="inlineStr">
        <is>
          <t>lol-tiered-elo-v6</t>
        </is>
      </c>
      <c r="U268" s="24" t="inlineStr">
        <is>
          <t>settled</t>
        </is>
      </c>
      <c r="V268" s="24" t="inlineStr">
        <is>
          <t>win</t>
        </is>
      </c>
      <c r="W268" s="26" t="n">
        <v>0</v>
      </c>
      <c r="X268" s="26" t="n">
        <v>1</v>
      </c>
      <c r="Y268" s="25" t="n"/>
      <c r="Z268" s="26" t="n">
        <v>104</v>
      </c>
      <c r="AA268" s="28" t="n">
        <v>0.49</v>
      </c>
      <c r="AB268" s="28" t="n">
        <v>-0.000196</v>
      </c>
      <c r="AC268" s="30" t="n">
        <v>1.56</v>
      </c>
      <c r="AD268" s="24" t="inlineStr">
        <is>
          <t>2026-09-08T16:02:16.276300Z</t>
        </is>
      </c>
      <c r="AE268" s="31" t="inlineStr">
        <is>
          <t>Neutral Elo baseline; executable ask 0.4900 (market_slug=aec-lol-dkc-nsea-2026-09-08).</t>
        </is>
      </c>
      <c r="AF268" s="31" t="inlineStr">
        <is>
          <t>Config-promoted esports baseline; gates enforced at log time.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model_qualified</t>
        </is>
      </c>
      <c r="AL268" s="26" t="n">
        <v>4</v>
      </c>
      <c r="AM268" s="24" t="inlineStr">
        <is>
          <t>QUALIFIED_SHADOW_CALL</t>
        </is>
      </c>
      <c r="AN268" s="24" t="inlineStr">
        <is>
          <t>CALL</t>
        </is>
      </c>
      <c r="AO268" s="24" t="inlineStr">
        <is>
          <t>QUALIFIED</t>
        </is>
      </c>
      <c r="AP268" s="24" t="inlineStr">
        <is>
          <t>Nongshim Esports Academy</t>
        </is>
      </c>
      <c r="AQ268" s="24" t="inlineStr">
        <is>
          <t>Nongshim Esports Academy</t>
        </is>
      </c>
      <c r="AR268" s="24" t="inlineStr">
        <is>
          <t>Nongshim Esports Academy</t>
        </is>
      </c>
      <c r="AS268" s="24" t="inlineStr">
        <is>
          <t>Dplus KIA Challengers</t>
        </is>
      </c>
      <c r="AT268" s="24" t="inlineStr">
        <is>
          <t>Dplus KIA Challengers</t>
        </is>
      </c>
      <c r="AU268" s="24" t="inlineStr">
        <is>
          <t>Dplus KIA Challengers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94331a30c9ae4094d36c9acc3dbc6c9c77a60df6b7dd2a123829f9ff406ddf4c</t>
        </is>
      </c>
      <c r="BB268" s="24" t="inlineStr">
        <is>
          <t>neutral_elo</t>
        </is>
      </c>
      <c r="BC268" s="24" t="inlineStr">
        <is>
          <t>lol-tiered-elo-v6</t>
        </is>
      </c>
      <c r="BD268" s="24" t="inlineStr">
        <is>
          <t>94331a30c9ae4094d36c9acc3dbc6c9c77a60df6b7dd2a123829f9ff406ddf4c</t>
        </is>
      </c>
      <c r="BE268" s="24" t="inlineStr">
        <is>
          <t>1</t>
        </is>
      </c>
      <c r="BF268" s="24" t="inlineStr">
        <is>
          <t>1</t>
        </is>
      </c>
      <c r="BG268" s="24" t="inlineStr">
        <is>
          <t>lol-tiered-elo-v6</t>
        </is>
      </c>
      <c r="BH268" s="24" t="inlineStr">
        <is>
          <t>2026-09-08T04:36:07.680769Z</t>
        </is>
      </c>
      <c r="BI268" s="24" t="inlineStr">
        <is>
          <t>["same_event","same_team_same_day","same_league_same_day"]</t>
        </is>
      </c>
      <c r="BJ268" s="25" t="n"/>
      <c r="BK268" s="26" t="n">
        <v>104</v>
      </c>
      <c r="BL268" s="27" t="n">
        <v>2.04</v>
      </c>
      <c r="BM268" s="28" t="n">
        <v>0.490196</v>
      </c>
      <c r="BN268" s="28" t="n"/>
      <c r="BO268" s="28" t="n"/>
      <c r="BP268" s="25" t="n"/>
      <c r="BQ268" s="27" t="n">
        <v>2.04</v>
      </c>
      <c r="BR268" s="28" t="n">
        <v>0.49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0.490196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aec0f46bce9d4cbc</t>
        </is>
      </c>
      <c r="B269" s="24" t="inlineStr">
        <is>
          <t>2026-09-08T04:36:08.778671Z</t>
        </is>
      </c>
      <c r="C269" s="24" t="inlineStr">
        <is>
          <t>2026-09-08T09:00:00Z</t>
        </is>
      </c>
      <c r="D269" s="24" t="inlineStr">
        <is>
          <t>104638</t>
        </is>
      </c>
      <c r="E269" s="24" t="inlineStr">
        <is>
          <t>LOL</t>
        </is>
      </c>
      <c r="F269" s="24" t="inlineStr">
        <is>
          <t>LGD Gaming</t>
        </is>
      </c>
      <c r="G269" s="24" t="inlineStr">
        <is>
          <t>Invictus Gaming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-178</v>
      </c>
      <c r="M269" s="27" t="n">
        <v>1.561798</v>
      </c>
      <c r="N269" s="28" t="n">
        <v>0.640288</v>
      </c>
      <c r="O269" s="28" t="n">
        <v>0.55443</v>
      </c>
      <c r="P269" s="28" t="n"/>
      <c r="Q269" s="28" t="n">
        <v>-0.085858</v>
      </c>
      <c r="R269" s="26" t="n">
        <v>0</v>
      </c>
      <c r="S269" s="29" t="n">
        <v>1</v>
      </c>
      <c r="T269" s="24" t="inlineStr">
        <is>
          <t>lol-tiered-elo-v6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>
        <v>-178</v>
      </c>
      <c r="AA269" s="28" t="n">
        <v>0.64</v>
      </c>
      <c r="AB269" s="28" t="n">
        <v>-0.000288</v>
      </c>
      <c r="AC269" s="30" t="n">
        <v>0.5618</v>
      </c>
      <c r="AD269" s="24" t="inlineStr">
        <is>
          <t>2026-09-08T16:02:17.579533Z</t>
        </is>
      </c>
      <c r="AE269" s="31" t="inlineStr">
        <is>
          <t>Neutral Elo baseline; executable ask 0.6400 (market_slug=aec-lol-ig-lgd-2026-09-08).</t>
        </is>
      </c>
      <c r="AF269" s="31" t="inlineStr">
        <is>
          <t>Config-promoted esports baseline; gates enforced at log time.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LGD Gaming</t>
        </is>
      </c>
      <c r="AQ269" s="24" t="inlineStr">
        <is>
          <t>LGD Gaming</t>
        </is>
      </c>
      <c r="AR269" s="24" t="inlineStr">
        <is>
          <t>LGD Gaming</t>
        </is>
      </c>
      <c r="AS269" s="24" t="inlineStr">
        <is>
          <t>Invictus Gaming</t>
        </is>
      </c>
      <c r="AT269" s="24" t="inlineStr">
        <is>
          <t>Invictus Gaming</t>
        </is>
      </c>
      <c r="AU269" s="24" t="inlineStr">
        <is>
          <t>Invictus Gaming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94331a30c9ae4094d36c9acc3dbc6c9c77a60df6b7dd2a123829f9ff406ddf4c</t>
        </is>
      </c>
      <c r="BB269" s="24" t="inlineStr">
        <is>
          <t>neutral_elo</t>
        </is>
      </c>
      <c r="BC269" s="24" t="inlineStr">
        <is>
          <t>lol-tiered-elo-v6</t>
        </is>
      </c>
      <c r="BD269" s="24" t="inlineStr">
        <is>
          <t>94331a30c9ae4094d36c9acc3dbc6c9c77a60df6b7dd2a123829f9ff406ddf4c</t>
        </is>
      </c>
      <c r="BE269" s="24" t="inlineStr">
        <is>
          <t>1</t>
        </is>
      </c>
      <c r="BF269" s="24" t="inlineStr">
        <is>
          <t>1</t>
        </is>
      </c>
      <c r="BG269" s="24" t="inlineStr">
        <is>
          <t>lol-tiered-elo-v6</t>
        </is>
      </c>
      <c r="BH269" s="24" t="inlineStr">
        <is>
          <t>2026-09-08T04:36:07.750784Z</t>
        </is>
      </c>
      <c r="BI269" s="24" t="inlineStr">
        <is>
          <t>["same_event","same_team_same_day","same_league_same_day"]</t>
        </is>
      </c>
      <c r="BJ269" s="25" t="n"/>
      <c r="BK269" s="26" t="n">
        <v>-178</v>
      </c>
      <c r="BL269" s="27" t="n">
        <v>1.561798</v>
      </c>
      <c r="BM269" s="28" t="n">
        <v>0.640288</v>
      </c>
      <c r="BN269" s="28" t="n"/>
      <c r="BO269" s="28" t="n"/>
      <c r="BP269" s="25" t="n"/>
      <c r="BQ269" s="27" t="n">
        <v>1.561798</v>
      </c>
      <c r="BR269" s="28" t="n">
        <v>0.64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0.640288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aa4e6655a6174ebd</t>
        </is>
      </c>
      <c r="B270" s="24" t="inlineStr">
        <is>
          <t>2026-09-08T16:17:14.464731Z</t>
        </is>
      </c>
      <c r="C270" s="24" t="inlineStr">
        <is>
          <t>2026-09-08T20:00:00Z</t>
        </is>
      </c>
      <c r="D270" s="24" t="inlineStr">
        <is>
          <t>106443</t>
        </is>
      </c>
      <c r="E270" s="24" t="inlineStr">
        <is>
          <t>LOL</t>
        </is>
      </c>
      <c r="F270" s="24" t="inlineStr">
        <is>
          <t>KaBuM! Ilha das Lendas</t>
        </is>
      </c>
      <c r="G270" s="24" t="inlineStr">
        <is>
          <t>Vivo Keyd Stars Academy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104</v>
      </c>
      <c r="M270" s="27" t="n">
        <v>2.04</v>
      </c>
      <c r="N270" s="28" t="n">
        <v>0.490196</v>
      </c>
      <c r="O270" s="28" t="n">
        <v>0.529122</v>
      </c>
      <c r="P270" s="28" t="n"/>
      <c r="Q270" s="28" t="n">
        <v>0.038926</v>
      </c>
      <c r="R270" s="26" t="n">
        <v>39</v>
      </c>
      <c r="S270" s="29" t="n">
        <v>1</v>
      </c>
      <c r="T270" s="24" t="inlineStr">
        <is>
          <t>lol-tiered-elo-v6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>
        <v>104</v>
      </c>
      <c r="AA270" s="28" t="n">
        <v>0.49</v>
      </c>
      <c r="AB270" s="28" t="n">
        <v>-0.000196</v>
      </c>
      <c r="AC270" s="30" t="n">
        <v>1.04</v>
      </c>
      <c r="AD270" s="24" t="inlineStr">
        <is>
          <t>2026-09-09T04:32:15.133979Z</t>
        </is>
      </c>
      <c r="AE270" s="31" t="inlineStr">
        <is>
          <t>Neutral Elo baseline; executable ask 0.4900 (market_slug=aec-lol-vksa-kbm-2026-09-08).</t>
        </is>
      </c>
      <c r="AF270" s="31" t="inlineStr">
        <is>
          <t>Config-promoted esports baseline; gates enforced at log time.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KaBuM! Ilha das Lendas</t>
        </is>
      </c>
      <c r="AQ270" s="24" t="inlineStr">
        <is>
          <t>KaBuM! Ilha das Lendas</t>
        </is>
      </c>
      <c r="AR270" s="24" t="inlineStr">
        <is>
          <t>KaBuM! Ilha das Lendas</t>
        </is>
      </c>
      <c r="AS270" s="24" t="inlineStr">
        <is>
          <t>Vivo Keyd Stars Academy</t>
        </is>
      </c>
      <c r="AT270" s="24" t="inlineStr">
        <is>
          <t>Vivo Keyd Stars Academy</t>
        </is>
      </c>
      <c r="AU270" s="24" t="inlineStr">
        <is>
          <t>Vivo Keyd Stars Academy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3580155fadac5c9b61a6f23ca9f058e49690af6d7ba67b0c4f90a57d97cd2c32</t>
        </is>
      </c>
      <c r="BB270" s="24" t="inlineStr">
        <is>
          <t>neutral_elo</t>
        </is>
      </c>
      <c r="BC270" s="24" t="inlineStr">
        <is>
          <t>lol-tiered-elo-v6</t>
        </is>
      </c>
      <c r="BD270" s="24" t="inlineStr">
        <is>
          <t>3580155fadac5c9b61a6f23ca9f058e49690af6d7ba67b0c4f90a57d97cd2c32</t>
        </is>
      </c>
      <c r="BE270" s="24" t="inlineStr">
        <is>
          <t>1</t>
        </is>
      </c>
      <c r="BF270" s="24" t="inlineStr">
        <is>
          <t>1</t>
        </is>
      </c>
      <c r="BG270" s="24" t="inlineStr">
        <is>
          <t>lol-tiered-elo-v6</t>
        </is>
      </c>
      <c r="BH270" s="24" t="inlineStr">
        <is>
          <t>2026-09-08T16:17:13.415076Z</t>
        </is>
      </c>
      <c r="BI270" s="24" t="inlineStr">
        <is>
          <t>["same_event","same_team_same_day","same_league_same_day"]</t>
        </is>
      </c>
      <c r="BJ270" s="25" t="n"/>
      <c r="BK270" s="26" t="n">
        <v>104</v>
      </c>
      <c r="BL270" s="27" t="n">
        <v>2.04</v>
      </c>
      <c r="BM270" s="28" t="n">
        <v>0.490196</v>
      </c>
      <c r="BN270" s="28" t="n"/>
      <c r="BO270" s="28" t="n"/>
      <c r="BP270" s="25" t="n"/>
      <c r="BQ270" s="27" t="n">
        <v>2.04</v>
      </c>
      <c r="BR270" s="28" t="n">
        <v>0.49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0.490196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88346f791d824a82</t>
        </is>
      </c>
      <c r="B271" s="24" t="inlineStr">
        <is>
          <t>2026-09-09T04:35:24.265619Z</t>
        </is>
      </c>
      <c r="C271" s="24" t="inlineStr">
        <is>
          <t>2026-09-09T08:00:00Z</t>
        </is>
      </c>
      <c r="D271" s="24" t="inlineStr">
        <is>
          <t>106961</t>
        </is>
      </c>
      <c r="E271" s="24" t="inlineStr">
        <is>
          <t>LOL</t>
        </is>
      </c>
      <c r="F271" s="24" t="inlineStr">
        <is>
          <t>Nongshim Esports Academy</t>
        </is>
      </c>
      <c r="G271" s="24" t="inlineStr">
        <is>
          <t>DN SOOPers Challengers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-138</v>
      </c>
      <c r="M271" s="27" t="n">
        <v>1.724638</v>
      </c>
      <c r="N271" s="28" t="n">
        <v>0.579832</v>
      </c>
      <c r="O271" s="28" t="n">
        <v>0.505745</v>
      </c>
      <c r="P271" s="28" t="n"/>
      <c r="Q271" s="28" t="n">
        <v>-0.074087</v>
      </c>
      <c r="R271" s="26" t="n">
        <v>0</v>
      </c>
      <c r="S271" s="29" t="n">
        <v>1</v>
      </c>
      <c r="T271" s="24" t="inlineStr">
        <is>
          <t>lol-tiered-elo-v6</t>
        </is>
      </c>
      <c r="U271" s="24" t="inlineStr">
        <is>
          <t>settled</t>
        </is>
      </c>
      <c r="V271" s="24" t="inlineStr">
        <is>
          <t>loss</t>
        </is>
      </c>
      <c r="W271" s="26" t="n">
        <v>0</v>
      </c>
      <c r="X271" s="26" t="n">
        <v>1</v>
      </c>
      <c r="Y271" s="25" t="n"/>
      <c r="Z271" s="26" t="n">
        <v>-138</v>
      </c>
      <c r="AA271" s="28" t="n">
        <v>0.58</v>
      </c>
      <c r="AB271" s="28" t="n">
        <v>0.000168</v>
      </c>
      <c r="AC271" s="30" t="n">
        <v>-1</v>
      </c>
      <c r="AD271" s="24" t="inlineStr">
        <is>
          <t>2026-09-09T16:01:22.407433Z</t>
        </is>
      </c>
      <c r="AE271" s="31" t="inlineStr">
        <is>
          <t>Neutral Elo baseline; executable ask 0.5800 (market_slug=aec-lol-dnsc-nsea-2026-09-09).</t>
        </is>
      </c>
      <c r="AF271" s="31" t="inlineStr">
        <is>
          <t>Config-promoted esports baseline; gates enforced at log time.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Nongshim Esports Academy</t>
        </is>
      </c>
      <c r="AQ271" s="24" t="inlineStr">
        <is>
          <t>Nongshim Esports Academy</t>
        </is>
      </c>
      <c r="AR271" s="24" t="inlineStr">
        <is>
          <t>Nongshim Esports Academy</t>
        </is>
      </c>
      <c r="AS271" s="24" t="inlineStr">
        <is>
          <t>DN SOOPers Challengers</t>
        </is>
      </c>
      <c r="AT271" s="24" t="inlineStr">
        <is>
          <t>DN SOOPers Challengers</t>
        </is>
      </c>
      <c r="AU271" s="24" t="inlineStr">
        <is>
          <t>DN SOOPers Challengers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28956bbc7f5db93be3b6cf14a5dd7055d66971a31741e2a25d3f2f8866f1600e</t>
        </is>
      </c>
      <c r="BB271" s="24" t="inlineStr">
        <is>
          <t>neutral_elo</t>
        </is>
      </c>
      <c r="BC271" s="24" t="inlineStr">
        <is>
          <t>lol-tiered-elo-v6</t>
        </is>
      </c>
      <c r="BD271" s="24" t="inlineStr">
        <is>
          <t>28956bbc7f5db93be3b6cf14a5dd7055d66971a31741e2a25d3f2f8866f1600e</t>
        </is>
      </c>
      <c r="BE271" s="24" t="inlineStr">
        <is>
          <t>1</t>
        </is>
      </c>
      <c r="BF271" s="24" t="inlineStr">
        <is>
          <t>1</t>
        </is>
      </c>
      <c r="BG271" s="24" t="inlineStr">
        <is>
          <t>lol-tiered-elo-v6</t>
        </is>
      </c>
      <c r="BH271" s="24" t="inlineStr">
        <is>
          <t>2026-09-09T04:35:23.189454Z</t>
        </is>
      </c>
      <c r="BI271" s="24" t="inlineStr">
        <is>
          <t>["same_event","same_team_same_day","same_league_same_day"]</t>
        </is>
      </c>
      <c r="BJ271" s="25" t="n"/>
      <c r="BK271" s="26" t="n">
        <v>-138</v>
      </c>
      <c r="BL271" s="27" t="n">
        <v>1.724638</v>
      </c>
      <c r="BM271" s="28" t="n">
        <v>0.579832</v>
      </c>
      <c r="BN271" s="28" t="n"/>
      <c r="BO271" s="28" t="n"/>
      <c r="BP271" s="25" t="n"/>
      <c r="BQ271" s="27" t="n">
        <v>1.724638</v>
      </c>
      <c r="BR271" s="28" t="n">
        <v>0.58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0.579832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bfd6b949108f4b14</t>
        </is>
      </c>
      <c r="B272" s="24" t="inlineStr">
        <is>
          <t>2026-09-10T04:36:19.105575Z</t>
        </is>
      </c>
      <c r="C272" s="24" t="inlineStr">
        <is>
          <t>2026-09-10T08:00:00Z</t>
        </is>
      </c>
      <c r="D272" s="24" t="inlineStr">
        <is>
          <t>106753</t>
        </is>
      </c>
      <c r="E272" s="24" t="inlineStr">
        <is>
          <t>LOL</t>
        </is>
      </c>
      <c r="F272" s="24" t="inlineStr">
        <is>
          <t>Dplus KIA Challengers</t>
        </is>
      </c>
      <c r="G272" s="24" t="inlineStr">
        <is>
          <t>T1 Academy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127</v>
      </c>
      <c r="M272" s="27" t="n">
        <v>2.27</v>
      </c>
      <c r="N272" s="28" t="n">
        <v>0.440529</v>
      </c>
      <c r="O272" s="28" t="n">
        <v>0.509159</v>
      </c>
      <c r="P272" s="28" t="n"/>
      <c r="Q272" s="28" t="n">
        <v>0.06863</v>
      </c>
      <c r="R272" s="26" t="n">
        <v>54</v>
      </c>
      <c r="S272" s="29" t="n">
        <v>1</v>
      </c>
      <c r="T272" s="24" t="inlineStr">
        <is>
          <t>lol-tiered-elo-v6</t>
        </is>
      </c>
      <c r="U272" s="24" t="inlineStr">
        <is>
          <t>settled</t>
        </is>
      </c>
      <c r="V272" s="24" t="inlineStr">
        <is>
          <t>loss</t>
        </is>
      </c>
      <c r="W272" s="26" t="n">
        <v>0</v>
      </c>
      <c r="X272" s="26" t="n">
        <v>1</v>
      </c>
      <c r="Y272" s="25" t="n"/>
      <c r="Z272" s="26" t="n">
        <v>127</v>
      </c>
      <c r="AA272" s="28" t="n">
        <v>0.44</v>
      </c>
      <c r="AB272" s="28" t="n">
        <v>-0.000529</v>
      </c>
      <c r="AC272" s="30" t="n">
        <v>-1</v>
      </c>
      <c r="AD272" s="24" t="inlineStr">
        <is>
          <t>2026-09-10T22:02:01.889890Z</t>
        </is>
      </c>
      <c r="AE272" s="31" t="inlineStr">
        <is>
          <t>Neutral Elo baseline; executable ask 0.4400 (market_slug=aec-lol-t1a-dkc-2026-09-10).</t>
        </is>
      </c>
      <c r="AF272" s="31" t="inlineStr">
        <is>
          <t>Config-promoted esports baseline; gates enforced at log time.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Dplus KIA Challengers</t>
        </is>
      </c>
      <c r="AQ272" s="24" t="inlineStr">
        <is>
          <t>Dplus KIA Challengers</t>
        </is>
      </c>
      <c r="AR272" s="24" t="inlineStr">
        <is>
          <t>Dplus KIA Challengers</t>
        </is>
      </c>
      <c r="AS272" s="24" t="inlineStr">
        <is>
          <t>T1 Academy</t>
        </is>
      </c>
      <c r="AT272" s="24" t="inlineStr">
        <is>
          <t>T1 Academy</t>
        </is>
      </c>
      <c r="AU272" s="24" t="inlineStr">
        <is>
          <t>T1 Academy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5ecca44a9bcc7294efb5544d3141862f40e37779b21035eb4123d48a6be5461c</t>
        </is>
      </c>
      <c r="BB272" s="24" t="inlineStr">
        <is>
          <t>neutral_elo</t>
        </is>
      </c>
      <c r="BC272" s="24" t="inlineStr">
        <is>
          <t>lol-tiered-elo-v6</t>
        </is>
      </c>
      <c r="BD272" s="24" t="inlineStr">
        <is>
          <t>5ecca44a9bcc7294efb5544d3141862f40e37779b21035eb4123d48a6be5461c</t>
        </is>
      </c>
      <c r="BE272" s="24" t="inlineStr">
        <is>
          <t>1</t>
        </is>
      </c>
      <c r="BF272" s="24" t="inlineStr">
        <is>
          <t>1</t>
        </is>
      </c>
      <c r="BG272" s="24" t="inlineStr">
        <is>
          <t>lol-tiered-elo-v6</t>
        </is>
      </c>
      <c r="BH272" s="24" t="inlineStr">
        <is>
          <t>2026-09-10T04:36:17.849140Z</t>
        </is>
      </c>
      <c r="BI272" s="24" t="inlineStr">
        <is>
          <t>["same_event","same_team_same_day","same_league_same_day"]</t>
        </is>
      </c>
      <c r="BJ272" s="25" t="n"/>
      <c r="BK272" s="26" t="n">
        <v>127</v>
      </c>
      <c r="BL272" s="27" t="n">
        <v>2.27</v>
      </c>
      <c r="BM272" s="28" t="n">
        <v>0.440529</v>
      </c>
      <c r="BN272" s="28" t="n"/>
      <c r="BO272" s="28" t="n"/>
      <c r="BP272" s="25" t="n"/>
      <c r="BQ272" s="27" t="n">
        <v>2.27</v>
      </c>
      <c r="BR272" s="28" t="n">
        <v>0.44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0.440529</t>
        </is>
      </c>
      <c r="DK272" s="24" t="n"/>
      <c r="DL272" s="24" t="n"/>
      <c r="DM272" s="24" t="n"/>
      <c r="DN272" s="24" t="n"/>
      <c r="DO272" s="24" t="n"/>
      <c r="DP272" s="24" t="n"/>
      <c r="DQ272" s="24" t="inlineStr">
        <is>
          <t>{"artifact_hash": "5ecca44a9bcc7294efb5544d3141862f40e37779b21035eb4123d48a6be5461c", "away_team": "Dplus KIA Challengers", "event_id": "106753", "event_start_utc": "2026-09-10T08:00:00Z", "features": {"away_elo": 1894.643263, "away_history_count": 139, "home_elo": 1865.133784, "home_history_count": 148}, "historical_source_observation_times_verified": false, "home_team": "T1 Academy", "inference_inputs": {"book_state": {"games_played": {"bo3:3:16865": 139, "bo3:3:17053": 148}, "inactivity_half_life_days": null, "inactivity_max_pull": null, "k": 40.0, "last_match_utc": {"bo3:3:16865": "2026-09-08T09:30:00Z", "bo3:3:17053": "2026-09-08T05:00:00Z"}, "minimum_reliable_games": null, "platt_intercept": 0.09147419392370856, "platt_slope": 0.7894897660335292, "ratings": {"bo3:3:16865": 1894.643263, "bo3:3:17053": 1865.133784},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"2026-09-10T04:36:17.661332+00:00", "team_ids": ["bo3:3:17053", "bo3:3:16865"]}, "market_type": "moneyline", "model_version": "lol-tiered-elo-v6", "observed_at_utc": "2026-09-10T04:36:17.661332+00:00", "probabilities": {"away": 0.509159, "home": 0.490841}, "replay_scope": "Exact serving book state, calibration, temperature, inactivity reference and thin-history adjustments; training provenance not certified.", "schema": "esports-elo-replay-v1", "snapshot_hash": "926a9709388accf9a0a950eeb50695b30cbb0a461c388fd4fd76de476dda55cb", "sport": "LOL"}</t>
        </is>
      </c>
    </row>
    <row r="273" ht="36" customHeight="1">
      <c r="A273" s="24" t="inlineStr">
        <is>
          <t>7982c52048724339</t>
        </is>
      </c>
      <c r="B273" s="24" t="inlineStr">
        <is>
          <t>2026-09-10T10:04:53.790237Z</t>
        </is>
      </c>
      <c r="C273" s="24" t="inlineStr">
        <is>
          <t>2026-09-10T15:00:00Z</t>
        </is>
      </c>
      <c r="D273" s="24" t="inlineStr">
        <is>
          <t>108074</t>
        </is>
      </c>
      <c r="E273" s="24" t="inlineStr">
        <is>
          <t>LOL</t>
        </is>
      </c>
      <c r="F273" s="24" t="inlineStr">
        <is>
          <t>Lodis</t>
        </is>
      </c>
      <c r="G273" s="24" t="inlineStr">
        <is>
          <t>BOMBA Team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122</v>
      </c>
      <c r="M273" s="27" t="n">
        <v>2.22</v>
      </c>
      <c r="N273" s="28" t="n">
        <v>0.45045</v>
      </c>
      <c r="O273" s="28" t="n">
        <v>0.626007</v>
      </c>
      <c r="P273" s="28" t="n"/>
      <c r="Q273" s="28" t="n">
        <v>0.175557</v>
      </c>
      <c r="R273" s="26" t="n">
        <v>100</v>
      </c>
      <c r="S273" s="29" t="n">
        <v>1.75</v>
      </c>
      <c r="T273" s="24" t="inlineStr">
        <is>
          <t>lol-tiered-elo-v6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122</v>
      </c>
      <c r="AA273" s="28" t="n">
        <v>0.45</v>
      </c>
      <c r="AB273" s="28" t="n">
        <v>-0.00045</v>
      </c>
      <c r="AC273" s="30" t="n">
        <v>2.135</v>
      </c>
      <c r="AD273" s="24" t="inlineStr">
        <is>
          <t>2026-09-10T22:02:02.876328Z</t>
        </is>
      </c>
      <c r="AE273" s="31" t="inlineStr">
        <is>
          <t>Neutral Elo baseline; executable ask 0.4500 (market_slug=aec-lol-boom-lds-2026-09-10).</t>
        </is>
      </c>
      <c r="AF273" s="31" t="inlineStr">
        <is>
          <t>Config-promoted esports baseline; gates enforced at log time.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Lodis</t>
        </is>
      </c>
      <c r="AQ273" s="24" t="inlineStr">
        <is>
          <t>Lodis</t>
        </is>
      </c>
      <c r="AR273" s="24" t="inlineStr">
        <is>
          <t>Lodis</t>
        </is>
      </c>
      <c r="AS273" s="24" t="inlineStr">
        <is>
          <t>BOMBA Team</t>
        </is>
      </c>
      <c r="AT273" s="24" t="inlineStr">
        <is>
          <t>BOMBA Team</t>
        </is>
      </c>
      <c r="AU273" s="24" t="inlineStr">
        <is>
          <t>BOMBA Team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ac0dffeaffcd4fdc27530bd41f3f015b53b088e802c32ced1523803b49097dbc</t>
        </is>
      </c>
      <c r="BB273" s="24" t="inlineStr">
        <is>
          <t>neutral_elo</t>
        </is>
      </c>
      <c r="BC273" s="24" t="inlineStr">
        <is>
          <t>lol-tiered-elo-v6</t>
        </is>
      </c>
      <c r="BD273" s="24" t="inlineStr">
        <is>
          <t>ac0dffeaffcd4fdc27530bd41f3f015b53b088e802c32ced1523803b49097dbc</t>
        </is>
      </c>
      <c r="BE273" s="24" t="inlineStr">
        <is>
          <t>1</t>
        </is>
      </c>
      <c r="BF273" s="24" t="inlineStr">
        <is>
          <t>1</t>
        </is>
      </c>
      <c r="BG273" s="24" t="inlineStr">
        <is>
          <t>lol-tiered-elo-v6</t>
        </is>
      </c>
      <c r="BH273" s="24" t="inlineStr">
        <is>
          <t>2026-09-10T10:04:52.645774Z</t>
        </is>
      </c>
      <c r="BI273" s="24" t="inlineStr">
        <is>
          <t>["same_event","same_team_same_day","same_league_same_day"]</t>
        </is>
      </c>
      <c r="BJ273" s="25" t="n"/>
      <c r="BK273" s="26" t="n">
        <v>122</v>
      </c>
      <c r="BL273" s="27" t="n">
        <v>2.22</v>
      </c>
      <c r="BM273" s="28" t="n">
        <v>0.45045</v>
      </c>
      <c r="BN273" s="28" t="n"/>
      <c r="BO273" s="28" t="n"/>
      <c r="BP273" s="25" t="n"/>
      <c r="BQ273" s="27" t="n">
        <v>2.22</v>
      </c>
      <c r="BR273" s="28" t="n">
        <v>0.45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0.45045</t>
        </is>
      </c>
      <c r="DK273" s="24" t="n"/>
      <c r="DL273" s="24" t="n"/>
      <c r="DM273" s="24" t="n"/>
      <c r="DN273" s="24" t="n"/>
      <c r="DO273" s="24" t="n"/>
      <c r="DP273" s="24" t="n"/>
      <c r="DQ273" s="24" t="inlineStr">
        <is>
          <t>{"artifact_hash": "ac0dffeaffcd4fdc27530bd41f3f015b53b088e802c32ced1523803b49097dbc", "away_team": "Lodis", "event_id": "108074", "event_start_utc": "2026-09-10T15:00:00Z", "features": {"away_elo": 1487.40024, "away_history_count": 51, "home_elo": 1602.795652, "home_history_count": 116}, "historical_source_observation_times_verified": false, "home_team": "BOMBA Team", "inference_inputs": {"book_state": {"games_played": {"bo3:3:16893": 51, "bo3:3:18311": 116}, "inactivity_half_life_days": null, "inactivity_max_pull": null, "k": 40.0, "last_match_utc": {"bo3:3:16893": "2026-09-09T15:00:00Z", "bo3:3:18311": "2026-09-08T15:00:00Z"}, "minimum_reliable_games": null, "platt_intercept": 0.09147419392370856, "platt_slope": 0.7894897660335292, "ratings": {"bo3:3:16893": 1487.40024, "bo3:3:18311": 1602.795652},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["bo3:3:18311", "bo3:3:16893"]}, "market_type": "moneyline", "model_version": "lol-tiered-elo-v6", "observed_at_utc": "2026-09-10T10:04:52.263564+00:00", "probabilities": {"away": 0.373993, "home": 0.626007}, "replay_scope": "Exact serving book state, calibration, temperature, inactivity reference and thin-history adjustments; training provenance not certified.", "schema": "esports-elo-replay-v1", "snapshot_hash": "f11066f132b0461675fc83ac331bc2d749c06b387ab2d60ade5a9cdbc942c97c", "sport": "LOL"}</t>
        </is>
      </c>
    </row>
    <row r="274" ht="36" customHeight="1">
      <c r="A274" s="24" t="inlineStr">
        <is>
          <t>b69fb8a2b6d24e00</t>
        </is>
      </c>
      <c r="B274" s="24" t="inlineStr">
        <is>
          <t>2026-09-10T10:04:53.790237Z</t>
        </is>
      </c>
      <c r="C274" s="24" t="inlineStr">
        <is>
          <t>2026-09-10T16:00:00Z</t>
        </is>
      </c>
      <c r="D274" s="24" t="inlineStr">
        <is>
          <t>107247</t>
        </is>
      </c>
      <c r="E274" s="24" t="inlineStr">
        <is>
          <t>LOL</t>
        </is>
      </c>
      <c r="F274" s="24" t="inlineStr">
        <is>
          <t>MAGAZA</t>
        </is>
      </c>
      <c r="G274" s="24" t="inlineStr">
        <is>
          <t>The Secret Club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117</v>
      </c>
      <c r="M274" s="27" t="n">
        <v>2.17</v>
      </c>
      <c r="N274" s="28" t="n">
        <v>0.460829</v>
      </c>
      <c r="O274" s="28" t="n">
        <v>0.569707</v>
      </c>
      <c r="P274" s="28" t="n"/>
      <c r="Q274" s="28" t="n">
        <v>0.108878</v>
      </c>
      <c r="R274" s="26" t="n">
        <v>74</v>
      </c>
      <c r="S274" s="29" t="n">
        <v>1.5</v>
      </c>
      <c r="T274" s="24" t="inlineStr">
        <is>
          <t>lol-tiered-elo-v6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117</v>
      </c>
      <c r="AA274" s="28" t="n">
        <v>0.46</v>
      </c>
      <c r="AB274" s="28" t="n">
        <v>-0.000829</v>
      </c>
      <c r="AC274" s="30" t="n">
        <v>-1.5</v>
      </c>
      <c r="AD274" s="24" t="inlineStr">
        <is>
          <t>2026-09-10T22:02:03.608470Z</t>
        </is>
      </c>
      <c r="AE274" s="31" t="inlineStr">
        <is>
          <t>Neutral Elo baseline; executable ask 0.4600 (market_slug=aec-lol-tsc-mgz-2026-09-10).</t>
        </is>
      </c>
      <c r="AF274" s="31" t="inlineStr">
        <is>
          <t>Config-promoted esports baseline; gates enforced at log time.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4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MAGAZA</t>
        </is>
      </c>
      <c r="AQ274" s="24" t="inlineStr">
        <is>
          <t>MAGAZA</t>
        </is>
      </c>
      <c r="AR274" s="24" t="inlineStr">
        <is>
          <t>MAGAZA</t>
        </is>
      </c>
      <c r="AS274" s="24" t="inlineStr">
        <is>
          <t>The Secret Club</t>
        </is>
      </c>
      <c r="AT274" s="24" t="inlineStr">
        <is>
          <t>The Secret Club</t>
        </is>
      </c>
      <c r="AU274" s="24" t="inlineStr">
        <is>
          <t>The Secret Club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ac0dffeaffcd4fdc27530bd41f3f015b53b088e802c32ced1523803b49097dbc</t>
        </is>
      </c>
      <c r="BB274" s="24" t="inlineStr">
        <is>
          <t>neutral_elo</t>
        </is>
      </c>
      <c r="BC274" s="24" t="inlineStr">
        <is>
          <t>lol-tiered-elo-v6</t>
        </is>
      </c>
      <c r="BD274" s="24" t="inlineStr">
        <is>
          <t>ac0dffeaffcd4fdc27530bd41f3f015b53b088e802c32ced1523803b49097dbc</t>
        </is>
      </c>
      <c r="BE274" s="24" t="inlineStr">
        <is>
          <t>1</t>
        </is>
      </c>
      <c r="BF274" s="24" t="inlineStr">
        <is>
          <t>1</t>
        </is>
      </c>
      <c r="BG274" s="24" t="inlineStr">
        <is>
          <t>lol-tiered-elo-v6</t>
        </is>
      </c>
      <c r="BH274" s="24" t="inlineStr">
        <is>
          <t>2026-09-10T10:04:52.823548Z</t>
        </is>
      </c>
      <c r="BI274" s="24" t="inlineStr">
        <is>
          <t>["same_event","same_team_same_day","same_league_same_day"]</t>
        </is>
      </c>
      <c r="BJ274" s="25" t="n"/>
      <c r="BK274" s="26" t="n">
        <v>117</v>
      </c>
      <c r="BL274" s="27" t="n">
        <v>2.17</v>
      </c>
      <c r="BM274" s="28" t="n">
        <v>0.460829</v>
      </c>
      <c r="BN274" s="28" t="n"/>
      <c r="BO274" s="28" t="n"/>
      <c r="BP274" s="25" t="n"/>
      <c r="BQ274" s="27" t="n">
        <v>2.17</v>
      </c>
      <c r="BR274" s="28" t="n">
        <v>0.46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0.460829</t>
        </is>
      </c>
      <c r="DK274" s="24" t="n"/>
      <c r="DL274" s="24" t="n"/>
      <c r="DM274" s="24" t="n"/>
      <c r="DN274" s="24" t="n"/>
      <c r="DO274" s="24" t="n"/>
      <c r="DP274" s="24" t="n"/>
      <c r="DQ274" s="24" t="inlineStr">
        <is>
          <t>{"artifact_hash": "ac0dffeaffcd4fdc27530bd41f3f015b53b088e802c32ced1523803b49097dbc", "away_team": "MAGAZA", "event_id": "107247", "event_start_utc": "2026-09-10T16:00:00Z", "features": {"away_elo": 1589.012022, "away_history_count": 28, "home_elo": 1643.917126, "home_history_count": 37}, "historical_source_observation_times_verified": false, "home_team": "The Secret Club", "inference_inputs": {"book_state": {"games_played": {"bo3:3:16845": 28, "bo3:3:19924": 37}, "inactivity_half_life_days": null, "inactivity_max_pull": null, "k": 40.0, "last_match_utc": {"bo3:3:16845": "2026-09-08T16:00:00Z", "bo3:3:19924": "2026-09-07T16:00:00Z"}, "minimum_reliable_games": null, "platt_intercept": 0.09147419392370856, "platt_slope": 0.7894897660335292, "ratings": {"bo3:3:16845": 1589.012022, "bo3:3:19924": 1643.917126},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["bo3:3:19924", "bo3:3:16845"]}, "market_type": "moneyline", "model_version": "lol-tiered-elo-v6", "observed_at_utc": "2026-09-10T10:04:52.263564+00:00", "probabilities": {"away": 0.430293, "home": 0.569707}, "replay_scope": "Exact serving book state, calibration, temperature, inactivity reference and thin-history adjustments; training provenance not certified.", "schema": "esports-elo-replay-v1", "snapshot_hash": "b631bdba433a55ff57a9bc2f30032f3a734a3f43f7646561fea4b9c5701273df", "sport": "LOL"}</t>
        </is>
      </c>
    </row>
    <row r="275" ht="36" customHeight="1">
      <c r="A275" s="24" t="inlineStr">
        <is>
          <t>c29cd9aa4bff4333</t>
        </is>
      </c>
      <c r="B275" s="24" t="inlineStr">
        <is>
          <t>2026-09-10T10:04:53.790237Z</t>
        </is>
      </c>
      <c r="C275" s="24" t="inlineStr">
        <is>
          <t>2026-09-10T16:00:00Z</t>
        </is>
      </c>
      <c r="D275" s="24" t="inlineStr">
        <is>
          <t>108686</t>
        </is>
      </c>
      <c r="E275" s="24" t="inlineStr">
        <is>
          <t>LOL</t>
        </is>
      </c>
      <c r="F275" s="24" t="inlineStr">
        <is>
          <t>Los Goccioles</t>
        </is>
      </c>
      <c r="G275" s="24" t="inlineStr">
        <is>
          <t>Zena Esports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178</v>
      </c>
      <c r="M275" s="27" t="n">
        <v>2.78</v>
      </c>
      <c r="N275" s="28" t="n">
        <v>0.359712</v>
      </c>
      <c r="O275" s="28" t="n">
        <v>0.511624</v>
      </c>
      <c r="P275" s="28" t="n"/>
      <c r="Q275" s="28" t="n">
        <v>0.151912</v>
      </c>
      <c r="R275" s="26" t="n">
        <v>96</v>
      </c>
      <c r="S275" s="29" t="n">
        <v>1.75</v>
      </c>
      <c r="T275" s="24" t="inlineStr">
        <is>
          <t>lol-tiered-elo-v6</t>
        </is>
      </c>
      <c r="U275" s="24" t="inlineStr">
        <is>
          <t>settled</t>
        </is>
      </c>
      <c r="V275" s="24" t="inlineStr">
        <is>
          <t>loss</t>
        </is>
      </c>
      <c r="W275" s="26" t="n">
        <v>1</v>
      </c>
      <c r="X275" s="26" t="n">
        <v>0</v>
      </c>
      <c r="Y275" s="25" t="n"/>
      <c r="Z275" s="26" t="n">
        <v>178</v>
      </c>
      <c r="AA275" s="28" t="n">
        <v>0.36</v>
      </c>
      <c r="AB275" s="28" t="n">
        <v>0.000288</v>
      </c>
      <c r="AC275" s="30" t="n">
        <v>-1.75</v>
      </c>
      <c r="AD275" s="24" t="inlineStr">
        <is>
          <t>2026-09-10T22:02:04.469611Z</t>
        </is>
      </c>
      <c r="AE275" s="31" t="inlineStr">
        <is>
          <t>Neutral Elo baseline; executable ask 0.3600 (market_slug=aec-lol-zena-lgc-2026-09-10).</t>
        </is>
      </c>
      <c r="AF275" s="31" t="inlineStr">
        <is>
          <t>Config-promoted esports baseline; gates enforced at log time.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PAPER_CALL_MODEL_UNVALIDATED</t>
        </is>
      </c>
      <c r="AP275" s="24" t="inlineStr">
        <is>
          <t>Los Goccioles</t>
        </is>
      </c>
      <c r="AQ275" s="24" t="inlineStr">
        <is>
          <t>Los Goccioles</t>
        </is>
      </c>
      <c r="AR275" s="24" t="inlineStr">
        <is>
          <t>Los Goccioles</t>
        </is>
      </c>
      <c r="AS275" s="24" t="inlineStr">
        <is>
          <t>Zena Esports</t>
        </is>
      </c>
      <c r="AT275" s="24" t="inlineStr">
        <is>
          <t>Zena Esports</t>
        </is>
      </c>
      <c r="AU275" s="24" t="inlineStr">
        <is>
          <t>Zena Esports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ac0dffeaffcd4fdc27530bd41f3f015b53b088e802c32ced1523803b49097dbc</t>
        </is>
      </c>
      <c r="BB275" s="24" t="inlineStr">
        <is>
          <t>neutral_elo</t>
        </is>
      </c>
      <c r="BC275" s="24" t="inlineStr">
        <is>
          <t>lol-tiered-elo-v6</t>
        </is>
      </c>
      <c r="BD275" s="24" t="inlineStr">
        <is>
          <t>ac0dffeaffcd4fdc27530bd41f3f015b53b088e802c32ced1523803b49097dbc</t>
        </is>
      </c>
      <c r="BE275" s="24" t="inlineStr">
        <is>
          <t>1</t>
        </is>
      </c>
      <c r="BF275" s="24" t="inlineStr">
        <is>
          <t>1</t>
        </is>
      </c>
      <c r="BG275" s="24" t="inlineStr">
        <is>
          <t>lol-tiered-elo-v6</t>
        </is>
      </c>
      <c r="BH275" s="24" t="inlineStr">
        <is>
          <t>2026-09-10T10:04:52.903208Z</t>
        </is>
      </c>
      <c r="BI275" s="24" t="inlineStr">
        <is>
          <t>["same_event","same_team_same_day","same_league_same_day"]</t>
        </is>
      </c>
      <c r="BJ275" s="25" t="n"/>
      <c r="BK275" s="26" t="n">
        <v>178</v>
      </c>
      <c r="BL275" s="27" t="n">
        <v>2.78</v>
      </c>
      <c r="BM275" s="28" t="n">
        <v>0.359712</v>
      </c>
      <c r="BN275" s="28" t="n"/>
      <c r="BO275" s="28" t="n"/>
      <c r="BP275" s="25" t="n"/>
      <c r="BQ275" s="27" t="n">
        <v>2.78</v>
      </c>
      <c r="BR275" s="28" t="n">
        <v>0.36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0.359712</t>
        </is>
      </c>
      <c r="DK275" s="24" t="n"/>
      <c r="DL275" s="24" t="n"/>
      <c r="DM275" s="24" t="n"/>
      <c r="DN275" s="24" t="n"/>
      <c r="DO275" s="24" t="n"/>
      <c r="DP275" s="24" t="n"/>
      <c r="DQ275" s="24" t="inlineStr">
        <is>
          <t>{"artifact_hash": "ac0dffeaffcd4fdc27530bd41f3f015b53b088e802c32ced1523803b49097dbc", "away_team": "Los Goccioles", "event_id": "108686", "event_start_utc": "2026-09-10T16:00:00Z", "features": {"away_elo": 1500.0, "away_history_count": 0, "home_elo": 1504.062212, "home_history_count": 54}, "historical_source_observation_times_verified": false, "home_team": "Zena Esports", "inference_inputs": {"book_state": {"games_played": {"bo3:3:19201": 54}, "inactivity_half_life_days": null, "inactivity_max_pull": null, "k": 40.0, "last_match_utc": {"bo3:3:19201": "2026-09-09T16:00:00Z"}, "minimum_reliable_games": null, "platt_intercept": 0.09147419392370856, "platt_slope": 0.7894897660335292, "ratings": {"bo3:3:19201": 1504.062212},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["bo3:3:19201", "unknown:losgoccioles"]}, "market_type": "moneyline", "model_version": "lol-tiered-elo-v6", "observed_at_utc": "2026-09-10T10:04:52.263564+00:00", "probabilities": {"away": 0.488376, "home": 0.511624}, "replay_scope": "Exact serving book state, calibration, temperature, inactivity reference and thin-history adjustments; training provenance not certified.", "schema": "esports-elo-replay-v1", "snapshot_hash": "dd5e1ec1731c3137435bf50304742471402fac6557831d573e772b6369a8179e", "sport": "LOL"}</t>
        </is>
      </c>
    </row>
    <row r="276" ht="36" customHeight="1">
      <c r="A276" s="24" t="inlineStr">
        <is>
          <t>1657953184ef497d</t>
        </is>
      </c>
      <c r="B276" s="24" t="inlineStr">
        <is>
          <t>2026-09-11T04:34:26.997768Z</t>
        </is>
      </c>
      <c r="C276" s="24" t="inlineStr">
        <is>
          <t>2026-09-11T08:00:00Z</t>
        </is>
      </c>
      <c r="D276" s="24" t="inlineStr">
        <is>
          <t>107794</t>
        </is>
      </c>
      <c r="E276" s="24" t="inlineStr">
        <is>
          <t>LOL</t>
        </is>
      </c>
      <c r="F276" s="24" t="inlineStr">
        <is>
          <t>KT Rolster Challengers</t>
        </is>
      </c>
      <c r="G276" s="24" t="inlineStr">
        <is>
          <t>DN SOOPers Challengers</t>
        </is>
      </c>
      <c r="H276" s="24" t="inlineStr">
        <is>
          <t>moneyline</t>
        </is>
      </c>
      <c r="I276" s="24" t="inlineStr">
        <is>
          <t>away</t>
        </is>
      </c>
      <c r="J276" s="25" t="n"/>
      <c r="K276" s="24" t="inlineStr">
        <is>
          <t>polymarket_us</t>
        </is>
      </c>
      <c r="L276" s="26" t="n">
        <v>-223</v>
      </c>
      <c r="M276" s="27" t="n">
        <v>1.44843</v>
      </c>
      <c r="N276" s="28" t="n">
        <v>0.690402</v>
      </c>
      <c r="O276" s="28" t="n">
        <v>0.531083</v>
      </c>
      <c r="P276" s="28" t="n"/>
      <c r="Q276" s="28" t="n">
        <v>-0.159319</v>
      </c>
      <c r="R276" s="26" t="n">
        <v>0</v>
      </c>
      <c r="S276" s="29" t="n">
        <v>1</v>
      </c>
      <c r="T276" s="24" t="inlineStr">
        <is>
          <t>lol-tiered-elo-v6</t>
        </is>
      </c>
      <c r="U276" s="24" t="inlineStr">
        <is>
          <t>settled</t>
        </is>
      </c>
      <c r="V276" s="24" t="inlineStr">
        <is>
          <t>win</t>
        </is>
      </c>
      <c r="W276" s="26" t="n">
        <v>1</v>
      </c>
      <c r="X276" s="26" t="n">
        <v>0</v>
      </c>
      <c r="Y276" s="25" t="n"/>
      <c r="Z276" s="26" t="n">
        <v>-223</v>
      </c>
      <c r="AA276" s="28" t="n">
        <v>0.6899999999999999</v>
      </c>
      <c r="AB276" s="28" t="n">
        <v>-0.000402</v>
      </c>
      <c r="AC276" s="30" t="n">
        <v>0.4484</v>
      </c>
      <c r="AD276" s="24" t="inlineStr">
        <is>
          <t>2026-09-11T16:01:35.496189Z</t>
        </is>
      </c>
      <c r="AE276" s="31" t="inlineStr">
        <is>
          <t>Neutral Elo baseline; executable ask 0.6900 (market_slug=aec-lol-dnsc-ktc-2026-09-11).</t>
        </is>
      </c>
      <c r="AF276" s="31" t="inlineStr">
        <is>
          <t>Config-promoted esports baseline; gates enforced at log time.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KT Rolster Challengers</t>
        </is>
      </c>
      <c r="AQ276" s="24" t="inlineStr">
        <is>
          <t>KT Rolster Challengers</t>
        </is>
      </c>
      <c r="AR276" s="24" t="inlineStr">
        <is>
          <t>KT Rolster Challengers</t>
        </is>
      </c>
      <c r="AS276" s="24" t="inlineStr">
        <is>
          <t>DN SOOPers Challengers</t>
        </is>
      </c>
      <c r="AT276" s="24" t="inlineStr">
        <is>
          <t>DN SOOPers Challengers</t>
        </is>
      </c>
      <c r="AU276" s="24" t="inlineStr">
        <is>
          <t>DN SOOPers Challengers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18f5856f3209d8b791c7209d957c5ad9e5117cbac52794b811c08dcb5015b2e4</t>
        </is>
      </c>
      <c r="BB276" s="24" t="inlineStr">
        <is>
          <t>neutral_elo</t>
        </is>
      </c>
      <c r="BC276" s="24" t="inlineStr">
        <is>
          <t>lol-tiered-elo-v6</t>
        </is>
      </c>
      <c r="BD276" s="24" t="inlineStr">
        <is>
          <t>18f5856f3209d8b791c7209d957c5ad9e5117cbac52794b811c08dcb5015b2e4</t>
        </is>
      </c>
      <c r="BE276" s="24" t="inlineStr">
        <is>
          <t>1</t>
        </is>
      </c>
      <c r="BF276" s="24" t="inlineStr">
        <is>
          <t>1</t>
        </is>
      </c>
      <c r="BG276" s="24" t="inlineStr">
        <is>
          <t>lol-tiered-elo-v6</t>
        </is>
      </c>
      <c r="BH276" s="24" t="inlineStr">
        <is>
          <t>2026-09-11T04:34:25.338087Z</t>
        </is>
      </c>
      <c r="BI276" s="24" t="inlineStr">
        <is>
          <t>["same_event","same_team_same_day","same_league_same_day"]</t>
        </is>
      </c>
      <c r="BJ276" s="25" t="n"/>
      <c r="BK276" s="26" t="n">
        <v>-223</v>
      </c>
      <c r="BL276" s="27" t="n">
        <v>1.44843</v>
      </c>
      <c r="BM276" s="28" t="n">
        <v>0.690402</v>
      </c>
      <c r="BN276" s="28" t="n"/>
      <c r="BO276" s="28" t="n"/>
      <c r="BP276" s="25" t="n"/>
      <c r="BQ276" s="27" t="n">
        <v>1.44843</v>
      </c>
      <c r="BR276" s="28" t="n">
        <v>0.6899999999999999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0.690402</t>
        </is>
      </c>
      <c r="DK276" s="24" t="n"/>
      <c r="DL276" s="24" t="n"/>
      <c r="DM276" s="24" t="n"/>
      <c r="DN276" s="24" t="n"/>
      <c r="DO276" s="24" t="n"/>
      <c r="DP276" s="24" t="n"/>
      <c r="DQ276" s="24" t="inlineStr">
        <is>
          <t>{"artifact_hash": "18f5856f3209d8b791c7209d957c5ad9e5117cbac52794b811c08dcb5015b2e4", "away_team": "KT Rolster Challengers", "event_id": "107794", "event_start_utc": "2026-09-11T08:00:00Z", "features": {"away_elo": 1772.936461, "away_history_count": 147, "home_elo": 1717.9337, "home_history_count": 92}, "historical_source_observation_times_verified": false, "home_team": "DN SOOPers Challengers", "inference_inputs": {"book_state": {"games_played": {"bo3:3:17264": 147, "bo3:3:19136": 92}, "inactivity_half_life_days": null, "inactivity_max_pull": null, "k": 40.0, "last_match_utc": {"bo3:3:17264": "2026-09-08T05:00:00Z", "bo3:3:19136": "2026-09-09T08:00:00Z"}, "minimum_reliable_games": null, "platt_intercept": 0.08702859477627518, "platt_slope": 0.7915726343355358, "ratings": {"bo3:3:17264": 1772.936461, "bo3:3:19136": 1717.9337},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["bo3:3:19136", "bo3:3:17264"]}, "market_type": "moneyline", "model_version": "lol-tiered-elo-v6", "observed_at_utc": "2026-09-11T04:34:25.272989+00:00", "probabilities": {"away": 0.531083, "home": 0.468917}, "replay_scope": "Exact serving book state, calibration, temperature, inactivity reference and thin-history adjustments; training provenance not certified.", "schema": "esports-elo-replay-v1", "snapshot_hash": "f393f236aa3a1b5ec8ecb0d19ed6a50121c6f0a1b602534d4f7c869a3ce65790", "sport": "LOL"}</t>
        </is>
      </c>
    </row>
    <row r="277" ht="36" customHeight="1">
      <c r="A277" s="24" t="inlineStr">
        <is>
          <t>41fe4101fe414d08</t>
        </is>
      </c>
      <c r="B277" s="24" t="inlineStr">
        <is>
          <t>2026-09-11T04:34:26.997768Z</t>
        </is>
      </c>
      <c r="C277" s="24" t="inlineStr">
        <is>
          <t>2026-09-11T09:00:00Z</t>
        </is>
      </c>
      <c r="D277" s="24" t="inlineStr">
        <is>
          <t>107763</t>
        </is>
      </c>
      <c r="E277" s="24" t="inlineStr">
        <is>
          <t>LOL</t>
        </is>
      </c>
      <c r="F277" s="24" t="inlineStr">
        <is>
          <t>1TAP Dino</t>
        </is>
      </c>
      <c r="G277" s="24" t="inlineStr">
        <is>
          <t>CyberCore Esports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-194</v>
      </c>
      <c r="M277" s="27" t="n">
        <v>1.515464</v>
      </c>
      <c r="N277" s="28" t="n">
        <v>0.659864</v>
      </c>
      <c r="O277" s="28" t="n">
        <v>0.571708</v>
      </c>
      <c r="P277" s="28" t="n"/>
      <c r="Q277" s="28" t="n">
        <v>-0.088156</v>
      </c>
      <c r="R277" s="26" t="n">
        <v>0</v>
      </c>
      <c r="S277" s="29" t="n">
        <v>1</v>
      </c>
      <c r="T277" s="24" t="inlineStr">
        <is>
          <t>lol-tiered-elo-v6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1</v>
      </c>
      <c r="Y277" s="25" t="n"/>
      <c r="Z277" s="26" t="n">
        <v>-194</v>
      </c>
      <c r="AA277" s="28" t="n">
        <v>0.66</v>
      </c>
      <c r="AB277" s="28" t="n">
        <v>0.000136</v>
      </c>
      <c r="AC277" s="30" t="n">
        <v>-1</v>
      </c>
      <c r="AD277" s="24" t="inlineStr">
        <is>
          <t>2026-09-11T16:01:36.673720Z</t>
        </is>
      </c>
      <c r="AE277" s="31" t="inlineStr">
        <is>
          <t>Neutral Elo baseline; executable ask 0.6600 (market_slug=aec-lol-cbc-tda-2026-09-11).</t>
        </is>
      </c>
      <c r="AF277" s="31" t="inlineStr">
        <is>
          <t>Config-promoted esports baseline; gates enforced at log time.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1TAP Dino</t>
        </is>
      </c>
      <c r="AQ277" s="24" t="inlineStr">
        <is>
          <t>1TAP Dino</t>
        </is>
      </c>
      <c r="AR277" s="24" t="inlineStr">
        <is>
          <t>1TAP Dino</t>
        </is>
      </c>
      <c r="AS277" s="24" t="inlineStr">
        <is>
          <t>CyberCore Esports</t>
        </is>
      </c>
      <c r="AT277" s="24" t="inlineStr">
        <is>
          <t>CyberCore Esports</t>
        </is>
      </c>
      <c r="AU277" s="24" t="inlineStr">
        <is>
          <t>CyberCore Esports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18f5856f3209d8b791c7209d957c5ad9e5117cbac52794b811c08dcb5015b2e4</t>
        </is>
      </c>
      <c r="BB277" s="24" t="inlineStr">
        <is>
          <t>neutral_elo</t>
        </is>
      </c>
      <c r="BC277" s="24" t="inlineStr">
        <is>
          <t>lol-tiered-elo-v6</t>
        </is>
      </c>
      <c r="BD277" s="24" t="inlineStr">
        <is>
          <t>18f5856f3209d8b791c7209d957c5ad9e5117cbac52794b811c08dcb5015b2e4</t>
        </is>
      </c>
      <c r="BE277" s="24" t="inlineStr">
        <is>
          <t>1</t>
        </is>
      </c>
      <c r="BF277" s="24" t="inlineStr">
        <is>
          <t>1</t>
        </is>
      </c>
      <c r="BG277" s="24" t="inlineStr">
        <is>
          <t>lol-tiered-elo-v6</t>
        </is>
      </c>
      <c r="BH277" s="24" t="inlineStr">
        <is>
          <t>2026-09-11T04:34:25.499870Z</t>
        </is>
      </c>
      <c r="BI277" s="24" t="inlineStr">
        <is>
          <t>["same_event","same_team_same_day","same_league_same_day"]</t>
        </is>
      </c>
      <c r="BJ277" s="25" t="n"/>
      <c r="BK277" s="26" t="n">
        <v>-194</v>
      </c>
      <c r="BL277" s="27" t="n">
        <v>1.515464</v>
      </c>
      <c r="BM277" s="28" t="n">
        <v>0.659864</v>
      </c>
      <c r="BN277" s="28" t="n"/>
      <c r="BO277" s="28" t="n"/>
      <c r="BP277" s="25" t="n"/>
      <c r="BQ277" s="27" t="n">
        <v>1.515464</v>
      </c>
      <c r="BR277" s="28" t="n">
        <v>0.66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0.659864</t>
        </is>
      </c>
      <c r="DK277" s="24" t="n"/>
      <c r="DL277" s="24" t="n"/>
      <c r="DM277" s="24" t="n"/>
      <c r="DN277" s="24" t="n"/>
      <c r="DO277" s="24" t="n"/>
      <c r="DP277" s="24" t="n"/>
      <c r="DQ277" s="24" t="inlineStr">
        <is>
          <t>{"artifact_hash": "18f5856f3209d8b791c7209d957c5ad9e5117cbac52794b811c08dcb5015b2e4", "away_team": "1TAP Dino", "event_id": "107763", "event_start_utc": "2026-09-11T09:00:00Z", "features": {"away_elo": 1533.322018, "away_history_count": 39, "home_elo": 1364.382558, "home_history_count": 29}, "historical_source_observation_times_verified": false, "home_team": "CyberCore Esports", "inference_inputs": {"book_state": {"games_played": {"bo3:3:19964": 39, "bo3:3:20020": 29}, "inactivity_half_life_days": null, "inactivity_max_pull": null, "k": 40.0, "last_match_utc": {"bo3:3:19964": "2026-06-20T10:00:00Z", "bo3:3:20020": "2026-06-14T10:00:00Z"}, "minimum_reliable_games": null, "platt_intercept": 0.08702859477627518, "platt_slope": 0.7915726343355358, "ratings": {"bo3:3:19964": 1533.322018, "bo3:3:20020": 1364.382558},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["bo3:3:20020", "bo3:3:19964"]}, "market_type": "moneyline", "model_version": "lol-tiered-elo-v6", "observed_at_utc": "2026-09-11T04:34:25.272989+00:00", "probabilities": {"away": 0.571708, "home": 0.428292}, "replay_scope": "Exact serving book state, calibration, temperature, inactivity reference and thin-history adjustments; training provenance not certified.", "schema": "esports-elo-replay-v1", "snapshot_hash": "2bd0c7eee93847bd1c612c24530a63491158c4817fb3cfdf9f20e190e5593a5d", "sport": "LOL"}</t>
        </is>
      </c>
    </row>
    <row r="278" ht="36" customHeight="1">
      <c r="A278" s="24" t="inlineStr">
        <is>
          <t>65fca9458c2847c4</t>
        </is>
      </c>
      <c r="B278" s="24" t="inlineStr">
        <is>
          <t>2026-09-11T16:05:30.006458Z</t>
        </is>
      </c>
      <c r="C278" s="24" t="inlineStr">
        <is>
          <t>2026-09-11T21:00:00Z</t>
        </is>
      </c>
      <c r="D278" s="24" t="inlineStr">
        <is>
          <t>109359</t>
        </is>
      </c>
      <c r="E278" s="24" t="inlineStr">
        <is>
          <t>LOL</t>
        </is>
      </c>
      <c r="F278" s="24" t="inlineStr">
        <is>
          <t>Maryville University</t>
        </is>
      </c>
      <c r="G278" s="24" t="inlineStr">
        <is>
          <t>Cupid Esports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-133</v>
      </c>
      <c r="M278" s="27" t="n">
        <v>1.75188</v>
      </c>
      <c r="N278" s="28" t="n">
        <v>0.570815</v>
      </c>
      <c r="O278" s="28" t="n">
        <v>0.533006</v>
      </c>
      <c r="P278" s="28" t="n"/>
      <c r="Q278" s="28" t="n">
        <v>-0.037809</v>
      </c>
      <c r="R278" s="26" t="n">
        <v>1</v>
      </c>
      <c r="S278" s="29" t="n">
        <v>1</v>
      </c>
      <c r="T278" s="24" t="inlineStr">
        <is>
          <t>lol-tiered-elo-v6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-133</v>
      </c>
      <c r="AA278" s="28" t="n">
        <v>0.57</v>
      </c>
      <c r="AB278" s="28" t="n">
        <v>-0.000815</v>
      </c>
      <c r="AC278" s="30" t="n">
        <v>0.7519</v>
      </c>
      <c r="AD278" s="24" t="inlineStr">
        <is>
          <t>2026-09-12T04:32:20.057047Z</t>
        </is>
      </c>
      <c r="AE278" s="31" t="inlineStr">
        <is>
          <t>Neutral Elo baseline; executable ask 0.5700 (market_slug=aec-lol-cpd-mvu-2026-09-11).</t>
        </is>
      </c>
      <c r="AF278" s="31" t="inlineStr">
        <is>
          <t>Config-promoted esports baseline; gates enforced at log time.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Maryville University</t>
        </is>
      </c>
      <c r="AQ278" s="24" t="inlineStr">
        <is>
          <t>Maryville University</t>
        </is>
      </c>
      <c r="AR278" s="24" t="inlineStr">
        <is>
          <t>Maryville University</t>
        </is>
      </c>
      <c r="AS278" s="24" t="inlineStr">
        <is>
          <t>Cupid Esports</t>
        </is>
      </c>
      <c r="AT278" s="24" t="inlineStr">
        <is>
          <t>Cupid Esports</t>
        </is>
      </c>
      <c r="AU278" s="24" t="inlineStr">
        <is>
          <t>Cupid Esports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5a146d14970e64f64e3732aae1db782a42e86dd12564b7aaaf8612db79cabe9c</t>
        </is>
      </c>
      <c r="BB278" s="24" t="inlineStr">
        <is>
          <t>neutral_elo</t>
        </is>
      </c>
      <c r="BC278" s="24" t="inlineStr">
        <is>
          <t>lol-tiered-elo-v6</t>
        </is>
      </c>
      <c r="BD278" s="24" t="inlineStr">
        <is>
          <t>5a146d14970e64f64e3732aae1db782a42e86dd12564b7aaaf8612db79cabe9c</t>
        </is>
      </c>
      <c r="BE278" s="24" t="inlineStr">
        <is>
          <t>1</t>
        </is>
      </c>
      <c r="BF278" s="24" t="inlineStr">
        <is>
          <t>1</t>
        </is>
      </c>
      <c r="BG278" s="24" t="inlineStr">
        <is>
          <t>lol-tiered-elo-v6</t>
        </is>
      </c>
      <c r="BH278" s="24" t="inlineStr">
        <is>
          <t>2026-09-11T16:05:29.421892Z</t>
        </is>
      </c>
      <c r="BI278" s="24" t="inlineStr">
        <is>
          <t>["same_event","same_team_same_day","same_league_same_day"]</t>
        </is>
      </c>
      <c r="BJ278" s="25" t="n"/>
      <c r="BK278" s="26" t="n">
        <v>-133</v>
      </c>
      <c r="BL278" s="27" t="n">
        <v>1.75188</v>
      </c>
      <c r="BM278" s="28" t="n">
        <v>0.570815</v>
      </c>
      <c r="BN278" s="28" t="n"/>
      <c r="BO278" s="28" t="n"/>
      <c r="BP278" s="25" t="n"/>
      <c r="BQ278" s="27" t="n">
        <v>1.75188</v>
      </c>
      <c r="BR278" s="28" t="n">
        <v>0.57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0.570815</t>
        </is>
      </c>
      <c r="DK278" s="24" t="n"/>
      <c r="DL278" s="24" t="n"/>
      <c r="DM278" s="24" t="n"/>
      <c r="DN278" s="24" t="n"/>
      <c r="DO278" s="24" t="n"/>
      <c r="DP278" s="24" t="n"/>
      <c r="DQ278" s="24" t="inlineStr">
        <is>
          <t>{"artifact_hash": "5a146d14970e64f64e3732aae1db782a42e86dd12564b7aaaf8612db79cabe9c", "away_team": "Maryville University", "event_id": "109359", "event_start_utc": "2026-09-11T21:00:00Z", "features": {"away_elo": 1615.866086, "away_history_count": 36, "home_elo": 1643.363125, "home_history_count": 8}, "historical_source_observation_times_verified": false, "home_team": "Cupid Esports", "inference_inputs": {"book_state": {"games_played": {"bo3:3:17077": 36, "bo3:3:20536": 8}, "inactivity_half_life_days": null, "inactivity_max_pull": null, "k": 40.0, "last_match_utc": {"bo3:3:17077": "2026-09-10T21:00:00Z", "bo3:3:20536": "2026-09-04T21:00:00Z"}, "minimum_reliable_games": null, "platt_intercept": 0.08293258242815535, "platt_slope": 0.7939860598151524, "ratings": {"bo3:3:17077": 1615.866086, "bo3:3:20536": 1643.363125},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"2026-09-11T16:05:29.330996+00:00", "team_ids": ["bo3:3:20536", "bo3:3:17077"]}, "market_type": "moneyline", "model_version": "lol-tiered-elo-v6", "observed_at_utc": "2026-09-11T16:05:29.330996+00:00", "probabilities": {"away": 0.466994, "home": 0.533006}, "replay_scope": "Exact serving book state, calibration, temperature, inactivity reference and thin-history adjustments; training provenance not certified.", "schema": "esports-elo-replay-v1", "snapshot_hash": "d189c962c1490b811db6cef31363a4858686d5e496b104845c3772d84bd73e3b", "sport": "LOL"}</t>
        </is>
      </c>
    </row>
    <row r="279" ht="36" customHeight="1">
      <c r="A279" s="24" t="inlineStr">
        <is>
          <t>9bcf43bf4f4a4a18</t>
        </is>
      </c>
      <c r="B279" s="24" t="inlineStr">
        <is>
          <t>2026-09-12T04:38:19.161265Z</t>
        </is>
      </c>
      <c r="C279" s="24" t="inlineStr">
        <is>
          <t>2026-09-12T05:00:00Z</t>
        </is>
      </c>
      <c r="D279" s="24" t="inlineStr">
        <is>
          <t>107636</t>
        </is>
      </c>
      <c r="E279" s="24" t="inlineStr">
        <is>
          <t>LOL</t>
        </is>
      </c>
      <c r="F279" s="24" t="inlineStr">
        <is>
          <t>T1</t>
        </is>
      </c>
      <c r="G279" s="24" t="inlineStr">
        <is>
          <t>Hanwha Life Esports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-156</v>
      </c>
      <c r="M279" s="27" t="n">
        <v>1.641026</v>
      </c>
      <c r="N279" s="28" t="n">
        <v>0.609375</v>
      </c>
      <c r="O279" s="28" t="n">
        <v>0.5847869999999999</v>
      </c>
      <c r="P279" s="28" t="n"/>
      <c r="Q279" s="28" t="n">
        <v>-0.024588</v>
      </c>
      <c r="R279" s="26" t="n">
        <v>8</v>
      </c>
      <c r="S279" s="29" t="n">
        <v>1</v>
      </c>
      <c r="T279" s="24" t="inlineStr">
        <is>
          <t>lol-tiered-elo-v6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1</v>
      </c>
      <c r="Y279" s="25" t="n"/>
      <c r="Z279" s="26" t="n">
        <v>-156</v>
      </c>
      <c r="AA279" s="28" t="n">
        <v>0.61</v>
      </c>
      <c r="AB279" s="28" t="n">
        <v>0.000625</v>
      </c>
      <c r="AC279" s="30" t="n">
        <v>0.641</v>
      </c>
      <c r="AD279" s="24" t="inlineStr">
        <is>
          <t>2026-09-12T10:01:33.234274Z</t>
        </is>
      </c>
      <c r="AE279" s="31" t="inlineStr">
        <is>
          <t>Neutral Elo baseline; executable ask 0.6100 (market_slug=aec-lol-hle-t1-2026-09-12).</t>
        </is>
      </c>
      <c r="AF279" s="31" t="inlineStr">
        <is>
          <t>Config-promoted esports baseline; gates enforced at log time.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T1</t>
        </is>
      </c>
      <c r="AQ279" s="24" t="inlineStr">
        <is>
          <t>T1</t>
        </is>
      </c>
      <c r="AR279" s="24" t="inlineStr">
        <is>
          <t>T1</t>
        </is>
      </c>
      <c r="AS279" s="24" t="inlineStr">
        <is>
          <t>Hanwha Life Esports</t>
        </is>
      </c>
      <c r="AT279" s="24" t="inlineStr">
        <is>
          <t>Hanwha Life Esports</t>
        </is>
      </c>
      <c r="AU279" s="24" t="inlineStr">
        <is>
          <t>Hanwha Life Esports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59b90a79504cf4449e19f523b0f710fab325a05f922f88cfdec7eeb17385c0f2</t>
        </is>
      </c>
      <c r="BB279" s="24" t="inlineStr">
        <is>
          <t>neutral_elo</t>
        </is>
      </c>
      <c r="BC279" s="24" t="inlineStr">
        <is>
          <t>lol-tiered-elo-v6</t>
        </is>
      </c>
      <c r="BD279" s="24" t="inlineStr">
        <is>
          <t>59b90a79504cf4449e19f523b0f710fab325a05f922f88cfdec7eeb17385c0f2</t>
        </is>
      </c>
      <c r="BE279" s="24" t="inlineStr">
        <is>
          <t>1</t>
        </is>
      </c>
      <c r="BF279" s="24" t="inlineStr">
        <is>
          <t>1</t>
        </is>
      </c>
      <c r="BG279" s="24" t="inlineStr">
        <is>
          <t>lol-tiered-elo-v6</t>
        </is>
      </c>
      <c r="BH279" s="24" t="inlineStr">
        <is>
          <t>2026-09-12T04:38:16.919167Z</t>
        </is>
      </c>
      <c r="BI279" s="24" t="inlineStr">
        <is>
          <t>["same_event","same_team_same_day","same_league_same_day"]</t>
        </is>
      </c>
      <c r="BJ279" s="25" t="n"/>
      <c r="BK279" s="26" t="n">
        <v>-156</v>
      </c>
      <c r="BL279" s="27" t="n">
        <v>1.641026</v>
      </c>
      <c r="BM279" s="28" t="n">
        <v>0.609375</v>
      </c>
      <c r="BN279" s="28" t="n"/>
      <c r="BO279" s="28" t="n"/>
      <c r="BP279" s="25" t="n"/>
      <c r="BQ279" s="27" t="n">
        <v>1.641026</v>
      </c>
      <c r="BR279" s="28" t="n">
        <v>0.61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0.609375</t>
        </is>
      </c>
      <c r="DK279" s="24" t="n"/>
      <c r="DL279" s="24" t="n"/>
      <c r="DM279" s="24" t="n"/>
      <c r="DN279" s="24" t="n"/>
      <c r="DO279" s="24" t="n"/>
      <c r="DP279" s="24" t="n"/>
      <c r="DQ279" s="24" t="inlineStr">
        <is>
          <t>{"artifact_hash": "59b90a79504cf4449e19f523b0f710fab325a05f922f88cfdec7eeb17385c0f2", "away_team": "T1", "event_id": "107636", "event_start_utc": "2026-09-12T05:00:00Z", "features": {"away_elo": 1771.52577, "away_history_count": 204, "home_elo": 1849.580365, "home_history_count": 181}, "historical_source_observation_times_verified": false, "home_team": "Hanwha Life Esports", "inference_inputs": {"book_state": {"games_played": {"bo3:3:17529": 204, "bo3:3:17751": 181}, "inactivity_half_life_days": null, "inactivity_max_pull": null, "k": 40.0, "last_match_utc": {"bo3:3:17529": "2026-09-06T08:00:00Z", "bo3:3:17751": "2026-09-05T08:00:00Z"}, "minimum_reliable_games": null, "platt_intercept": 0.07932573758631777, "platt_slope": 0.7936977536650253, "ratings": {"bo3:3:17529": 1771.52577, "bo3:3:17751": 1849.580365},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["bo3:3:17751", "bo3:3:17529"]}, "market_type": "moneyline", "model_version": "lol-tiered-elo-v6", "observed_at_utc": "2026-09-12T04:38:16.555764+00:00", "probabilities": {"away": 0.415213, "home": 0.584787}, "replay_scope": "Exact serving book state, calibration, temperature, inactivity reference and thin-history adjustments; training provenance not certified.", "schema": "esports-elo-replay-v1", "snapshot_hash": "f590af277b4586e78e6c1d7a1104f90123f61bab1e021f6bf7983fbebf5929a7", "sport": "LOL"}</t>
        </is>
      </c>
    </row>
    <row r="280" ht="36" customHeight="1">
      <c r="A280" s="24" t="inlineStr">
        <is>
          <t>232f8d58bf944eaf</t>
        </is>
      </c>
      <c r="B280" s="24" t="inlineStr">
        <is>
          <t>2026-09-12T04:38:19.161265Z</t>
        </is>
      </c>
      <c r="C280" s="24" t="inlineStr">
        <is>
          <t>2026-09-12T09:00:00Z</t>
        </is>
      </c>
      <c r="D280" s="24" t="inlineStr">
        <is>
          <t>107736</t>
        </is>
      </c>
      <c r="E280" s="24" t="inlineStr">
        <is>
          <t>LOL</t>
        </is>
      </c>
      <c r="F280" s="24" t="inlineStr">
        <is>
          <t>9Gaming</t>
        </is>
      </c>
      <c r="G280" s="24" t="inlineStr">
        <is>
          <t>MVK Academy</t>
        </is>
      </c>
      <c r="H280" s="24" t="inlineStr">
        <is>
          <t>moneyline</t>
        </is>
      </c>
      <c r="I280" s="24" t="inlineStr">
        <is>
          <t>home</t>
        </is>
      </c>
      <c r="J280" s="25" t="n"/>
      <c r="K280" s="24" t="inlineStr">
        <is>
          <t>polymarket_us</t>
        </is>
      </c>
      <c r="L280" s="26" t="n">
        <v>127</v>
      </c>
      <c r="M280" s="27" t="n">
        <v>2.27</v>
      </c>
      <c r="N280" s="28" t="n">
        <v>0.440529</v>
      </c>
      <c r="O280" s="28" t="n">
        <v>0.584692</v>
      </c>
      <c r="P280" s="28" t="n"/>
      <c r="Q280" s="28" t="n">
        <v>0.144163</v>
      </c>
      <c r="R280" s="26" t="n">
        <v>92</v>
      </c>
      <c r="S280" s="29" t="n">
        <v>1.75</v>
      </c>
      <c r="T280" s="24" t="inlineStr">
        <is>
          <t>lol-tiered-elo-v6</t>
        </is>
      </c>
      <c r="U280" s="24" t="inlineStr">
        <is>
          <t>settled</t>
        </is>
      </c>
      <c r="V280" s="24" t="inlineStr">
        <is>
          <t>win</t>
        </is>
      </c>
      <c r="W280" s="26" t="n">
        <v>0</v>
      </c>
      <c r="X280" s="26" t="n">
        <v>1</v>
      </c>
      <c r="Y280" s="25" t="n"/>
      <c r="Z280" s="26" t="n">
        <v>127</v>
      </c>
      <c r="AA280" s="28" t="n">
        <v>0.44</v>
      </c>
      <c r="AB280" s="28" t="n">
        <v>-0.000529</v>
      </c>
      <c r="AC280" s="30" t="n">
        <v>2.2225</v>
      </c>
      <c r="AD280" s="24" t="inlineStr">
        <is>
          <t>2026-09-12T16:01:38.904456Z</t>
        </is>
      </c>
      <c r="AE280" s="31" t="inlineStr">
        <is>
          <t>Neutral Elo baseline; executable ask 0.4400 (market_slug=aec-lol-mvka-9g-2026-09-12).</t>
        </is>
      </c>
      <c r="AF280" s="31" t="inlineStr">
        <is>
          <t>Config-promoted esports baseline; gates enforced at log time.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model_qualified</t>
        </is>
      </c>
      <c r="AL280" s="26" t="n">
        <v>4</v>
      </c>
      <c r="AM280" s="24" t="inlineStr">
        <is>
          <t>QUALIFIED_SHADOW_CALL</t>
        </is>
      </c>
      <c r="AN280" s="24" t="inlineStr">
        <is>
          <t>CALL</t>
        </is>
      </c>
      <c r="AO280" s="24" t="inlineStr">
        <is>
          <t>QUALIFIED</t>
        </is>
      </c>
      <c r="AP280" s="24" t="inlineStr">
        <is>
          <t>9Gaming</t>
        </is>
      </c>
      <c r="AQ280" s="24" t="inlineStr">
        <is>
          <t>9Gaming</t>
        </is>
      </c>
      <c r="AR280" s="24" t="inlineStr">
        <is>
          <t>9Gaming</t>
        </is>
      </c>
      <c r="AS280" s="24" t="inlineStr">
        <is>
          <t>MVK Academy</t>
        </is>
      </c>
      <c r="AT280" s="24" t="inlineStr">
        <is>
          <t>MVK Academy</t>
        </is>
      </c>
      <c r="AU280" s="24" t="inlineStr">
        <is>
          <t>MVK Academy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59b90a79504cf4449e19f523b0f710fab325a05f922f88cfdec7eeb17385c0f2</t>
        </is>
      </c>
      <c r="BB280" s="24" t="inlineStr">
        <is>
          <t>neutral_elo</t>
        </is>
      </c>
      <c r="BC280" s="24" t="inlineStr">
        <is>
          <t>lol-tiered-elo-v6</t>
        </is>
      </c>
      <c r="BD280" s="24" t="inlineStr">
        <is>
          <t>59b90a79504cf4449e19f523b0f710fab325a05f922f88cfdec7eeb17385c0f2</t>
        </is>
      </c>
      <c r="BE280" s="24" t="inlineStr">
        <is>
          <t>1</t>
        </is>
      </c>
      <c r="BF280" s="24" t="inlineStr">
        <is>
          <t>1</t>
        </is>
      </c>
      <c r="BG280" s="24" t="inlineStr">
        <is>
          <t>lol-tiered-elo-v6</t>
        </is>
      </c>
      <c r="BH280" s="24" t="inlineStr">
        <is>
          <t>2026-09-12T04:38:16.994403Z</t>
        </is>
      </c>
      <c r="BI280" s="24" t="inlineStr">
        <is>
          <t>["same_event","same_team_same_day","same_league_same_day"]</t>
        </is>
      </c>
      <c r="BJ280" s="25" t="n"/>
      <c r="BK280" s="26" t="n">
        <v>127</v>
      </c>
      <c r="BL280" s="27" t="n">
        <v>2.27</v>
      </c>
      <c r="BM280" s="28" t="n">
        <v>0.440529</v>
      </c>
      <c r="BN280" s="28" t="n"/>
      <c r="BO280" s="28" t="n"/>
      <c r="BP280" s="25" t="n"/>
      <c r="BQ280" s="27" t="n">
        <v>2.27</v>
      </c>
      <c r="BR280" s="28" t="n">
        <v>0.44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0.440529</t>
        </is>
      </c>
      <c r="DK280" s="24" t="n"/>
      <c r="DL280" s="24" t="n"/>
      <c r="DM280" s="24" t="n"/>
      <c r="DN280" s="24" t="n"/>
      <c r="DO280" s="24" t="n"/>
      <c r="DP280" s="24" t="n"/>
      <c r="DQ280" s="24" t="inlineStr">
        <is>
          <t>{"artifact_hash": "59b90a79504cf4449e19f523b0f710fab325a05f922f88cfdec7eeb17385c0f2", "away_team": "9Gaming", "event_id": "107736", "event_start_utc": "2026-09-12T09:00:00Z", "features": {"away_elo": 1450.751515, "away_history_count": 13, "home_elo": 1542.756543, "home_history_count": 13}, "historical_source_observation_times_verified": false, "home_team": "MVK Academy", "inference_inputs": {"book_state": {"games_played": {"bo3:3:22225": 13, "bo3:3:22896": 13}, "inactivity_half_life_days": null, "inactivity_max_pull": null, "k": 40.0, "last_match_utc": {"bo3:3:22225": "2026-09-11T11:35:00Z", "bo3:3:22896": "2026-05-28T10:00:00Z"}, "minimum_reliable_games": null, "platt_intercept": 0.07932573758631777, "platt_slope": 0.7936977536650253, "ratings": {"bo3:3:22225": 1450.751515, "bo3:3:22896": 1542.756543},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["bo3:3:22896", "bo3:3:22225"]}, "market_type": "moneyline", "model_version": "lol-tiered-elo-v6", "observed_at_utc": "2026-09-12T04:38:16.555764+00:00", "probabilities": {"away": 0.415308, "home": 0.584692}, "replay_scope": "Exact serving book state, calibration, temperature, inactivity reference and thin-history adjustments; training provenance not certified.", "schema": "esports-elo-replay-v1", "snapshot_hash": "cd80a53ebfa311b16cf0d83391b5e948e7910b3fff6df42334ce920ba8a41660", "sport": "LOL"}</t>
        </is>
      </c>
    </row>
    <row r="281" ht="36" customHeight="1">
      <c r="A281" s="24" t="inlineStr">
        <is>
          <t>1db68a284aef4e53</t>
        </is>
      </c>
      <c r="B281" s="24" t="inlineStr">
        <is>
          <t>2026-09-12T04:38:19.161265Z</t>
        </is>
      </c>
      <c r="C281" s="24" t="inlineStr">
        <is>
          <t>2026-09-12T09:00:00Z</t>
        </is>
      </c>
      <c r="D281" s="24" t="inlineStr">
        <is>
          <t>107731</t>
        </is>
      </c>
      <c r="E281" s="24" t="inlineStr">
        <is>
          <t>LOL</t>
        </is>
      </c>
      <c r="F281" s="24" t="inlineStr">
        <is>
          <t>Invictus Gaming</t>
        </is>
      </c>
      <c r="G281" s="24" t="inlineStr">
        <is>
          <t>Anyone's Legend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104</v>
      </c>
      <c r="M281" s="27" t="n">
        <v>2.04</v>
      </c>
      <c r="N281" s="28" t="n">
        <v>0.490196</v>
      </c>
      <c r="O281" s="28" t="n">
        <v>0.549323</v>
      </c>
      <c r="P281" s="28" t="n"/>
      <c r="Q281" s="28" t="n">
        <v>0.059127</v>
      </c>
      <c r="R281" s="26" t="n">
        <v>50</v>
      </c>
      <c r="S281" s="29" t="n">
        <v>1</v>
      </c>
      <c r="T281" s="24" t="inlineStr">
        <is>
          <t>lol-tiered-elo-v6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104</v>
      </c>
      <c r="AA281" s="28" t="n">
        <v>0.49</v>
      </c>
      <c r="AB281" s="28" t="n">
        <v>-0.000196</v>
      </c>
      <c r="AC281" s="30" t="n">
        <v>1.04</v>
      </c>
      <c r="AD281" s="24" t="inlineStr">
        <is>
          <t>2026-09-12T16:01:39.705844Z</t>
        </is>
      </c>
      <c r="AE281" s="31" t="inlineStr">
        <is>
          <t>Neutral Elo baseline; executable ask 0.4900 (market_slug=aec-lol-al-ig-2026-09-12).</t>
        </is>
      </c>
      <c r="AF281" s="31" t="inlineStr">
        <is>
          <t>Config-promoted esports baseline; gates enforced at log time.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Invictus Gaming</t>
        </is>
      </c>
      <c r="AQ281" s="24" t="inlineStr">
        <is>
          <t>Invictus Gaming</t>
        </is>
      </c>
      <c r="AR281" s="24" t="inlineStr">
        <is>
          <t>Invictus Gaming</t>
        </is>
      </c>
      <c r="AS281" s="24" t="inlineStr">
        <is>
          <t>Anyone's Legend</t>
        </is>
      </c>
      <c r="AT281" s="24" t="inlineStr">
        <is>
          <t>Anyone's Legend</t>
        </is>
      </c>
      <c r="AU281" s="24" t="inlineStr">
        <is>
          <t>Anyone's Legend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59b90a79504cf4449e19f523b0f710fab325a05f922f88cfdec7eeb17385c0f2</t>
        </is>
      </c>
      <c r="BB281" s="24" t="inlineStr">
        <is>
          <t>neutral_elo</t>
        </is>
      </c>
      <c r="BC281" s="24" t="inlineStr">
        <is>
          <t>lol-tiered-elo-v6</t>
        </is>
      </c>
      <c r="BD281" s="24" t="inlineStr">
        <is>
          <t>59b90a79504cf4449e19f523b0f710fab325a05f922f88cfdec7eeb17385c0f2</t>
        </is>
      </c>
      <c r="BE281" s="24" t="inlineStr">
        <is>
          <t>1</t>
        </is>
      </c>
      <c r="BF281" s="24" t="inlineStr">
        <is>
          <t>1</t>
        </is>
      </c>
      <c r="BG281" s="24" t="inlineStr">
        <is>
          <t>lol-tiered-elo-v6</t>
        </is>
      </c>
      <c r="BH281" s="24" t="inlineStr">
        <is>
          <t>2026-09-12T04:38:17.237954Z</t>
        </is>
      </c>
      <c r="BI281" s="24" t="inlineStr">
        <is>
          <t>["same_event","same_team_same_day","same_league_same_day"]</t>
        </is>
      </c>
      <c r="BJ281" s="25" t="n"/>
      <c r="BK281" s="26" t="n">
        <v>104</v>
      </c>
      <c r="BL281" s="27" t="n">
        <v>2.04</v>
      </c>
      <c r="BM281" s="28" t="n">
        <v>0.490196</v>
      </c>
      <c r="BN281" s="28" t="n"/>
      <c r="BO281" s="28" t="n"/>
      <c r="BP281" s="25" t="n"/>
      <c r="BQ281" s="27" t="n">
        <v>2.04</v>
      </c>
      <c r="BR281" s="28" t="n">
        <v>0.49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0.490196</t>
        </is>
      </c>
      <c r="DK281" s="24" t="n"/>
      <c r="DL281" s="24" t="n"/>
      <c r="DM281" s="24" t="n"/>
      <c r="DN281" s="24" t="n"/>
      <c r="DO281" s="24" t="n"/>
      <c r="DP281" s="24" t="n"/>
      <c r="DQ281" s="24" t="inlineStr">
        <is>
          <t>{"artifact_hash": "59b90a79504cf4449e19f523b0f710fab325a05f922f88cfdec7eeb17385c0f2", "away_team": "Invictus Gaming", "event_id": "107731", "event_start_utc": "2026-09-12T09:00:00Z", "features": {"away_elo": 1695.10214, "away_history_count": 141, "home_elo": 1732.137222, "home_history_count": 164}, "historical_source_observation_times_verified": false, "home_team": "Anyone's Legend", "inference_inputs": {"book_state": {"games_played": {"bo3:3:17162": 164, "bo3:3:17955": 141}, "inactivity_half_life_days": null, "inactivity_max_pull": null, "k": 40.0, "last_match_utc": {"bo3:3:17162": "2026-09-07T09:00:00Z", "bo3:3:17955": "2026-09-08T09:00:00Z"}, "minimum_reliable_games": null, "platt_intercept": 0.07932573758631777, "platt_slope": 0.7936977536650253, "ratings": {"bo3:3:17162": 1732.137222, "bo3:3:17955": 1695.10214},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["bo3:3:17162", "bo3:3:17955"]}, "market_type": "moneyline", "model_version": "lol-tiered-elo-v6", "observed_at_utc": "2026-09-12T04:38:16.555764+00:00", "probabilities": {"away": 0.450677, "home": 0.549323}, "replay_scope": "Exact serving book state, calibration, temperature, inactivity reference and thin-history adjustments; training provenance not certified.", "schema": "esports-elo-replay-v1", "snapshot_hash": "d51bdb174cdfdcb6714cb3bc42049d1e2dd9148105a729fd5fa275d9f471b19d", "sport": "LOL"}</t>
        </is>
      </c>
    </row>
    <row r="282" ht="36" customHeight="1">
      <c r="A282" s="24" t="inlineStr">
        <is>
          <t>35d384c394724fba</t>
        </is>
      </c>
      <c r="B282" s="24" t="inlineStr">
        <is>
          <t>2026-09-12T10:07:54.112744Z</t>
        </is>
      </c>
      <c r="C282" s="24" t="inlineStr">
        <is>
          <t>2026-09-12T15:00:00Z</t>
        </is>
      </c>
      <c r="D282" s="24" t="inlineStr">
        <is>
          <t>107866</t>
        </is>
      </c>
      <c r="E282" s="24" t="inlineStr">
        <is>
          <t>LOL</t>
        </is>
      </c>
      <c r="F282" s="24" t="inlineStr">
        <is>
          <t>Movistar KOI</t>
        </is>
      </c>
      <c r="G282" s="24" t="inlineStr">
        <is>
          <t>Team Vitality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113</v>
      </c>
      <c r="M282" s="27" t="n">
        <v>2.13</v>
      </c>
      <c r="N282" s="28" t="n">
        <v>0.469484</v>
      </c>
      <c r="O282" s="28" t="n">
        <v>0.62087</v>
      </c>
      <c r="P282" s="28" t="n"/>
      <c r="Q282" s="28" t="n">
        <v>0.151386</v>
      </c>
      <c r="R282" s="26" t="n">
        <v>96</v>
      </c>
      <c r="S282" s="29" t="n">
        <v>1.75</v>
      </c>
      <c r="T282" s="24" t="inlineStr">
        <is>
          <t>lol-tiered-elo-v6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113</v>
      </c>
      <c r="AA282" s="28" t="n">
        <v>0.47</v>
      </c>
      <c r="AB282" s="28" t="n">
        <v>0.000516</v>
      </c>
      <c r="AC282" s="30" t="n">
        <v>-1.75</v>
      </c>
      <c r="AD282" s="24" t="inlineStr">
        <is>
          <t>2026-09-12T22:02:58.426121Z</t>
        </is>
      </c>
      <c r="AE282" s="31" t="inlineStr">
        <is>
          <t>Neutral Elo baseline; executable ask 0.4700 (market_slug=aec-lol-vit-mkoi-2026-09-12).</t>
        </is>
      </c>
      <c r="AF282" s="31" t="inlineStr">
        <is>
          <t>Config-promoted esports baseline; gates enforced at log time.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4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Movistar KOI</t>
        </is>
      </c>
      <c r="AQ282" s="24" t="inlineStr">
        <is>
          <t>Movistar KOI</t>
        </is>
      </c>
      <c r="AR282" s="24" t="inlineStr">
        <is>
          <t>Movistar KOI</t>
        </is>
      </c>
      <c r="AS282" s="24" t="inlineStr">
        <is>
          <t>Team Vitality</t>
        </is>
      </c>
      <c r="AT282" s="24" t="inlineStr">
        <is>
          <t>Team Vitality</t>
        </is>
      </c>
      <c r="AU282" s="24" t="inlineStr">
        <is>
          <t>Team Vitality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bc41c53e5df7beb4b802105a21bcc80226b4509dc6395a2603dc68099c942658</t>
        </is>
      </c>
      <c r="BB282" s="24" t="inlineStr">
        <is>
          <t>neutral_elo</t>
        </is>
      </c>
      <c r="BC282" s="24" t="inlineStr">
        <is>
          <t>lol-tiered-elo-v6</t>
        </is>
      </c>
      <c r="BD282" s="24" t="inlineStr">
        <is>
          <t>bc41c53e5df7beb4b802105a21bcc80226b4509dc6395a2603dc68099c942658</t>
        </is>
      </c>
      <c r="BE282" s="24" t="inlineStr">
        <is>
          <t>1</t>
        </is>
      </c>
      <c r="BF282" s="24" t="inlineStr">
        <is>
          <t>1</t>
        </is>
      </c>
      <c r="BG282" s="24" t="inlineStr">
        <is>
          <t>lol-tiered-elo-v6</t>
        </is>
      </c>
      <c r="BH282" s="24" t="inlineStr">
        <is>
          <t>2026-09-12T10:07:52.402050Z</t>
        </is>
      </c>
      <c r="BI282" s="24" t="inlineStr">
        <is>
          <t>["same_event","same_team_same_day","same_league_same_day"]</t>
        </is>
      </c>
      <c r="BJ282" s="25" t="n"/>
      <c r="BK282" s="26" t="n">
        <v>113</v>
      </c>
      <c r="BL282" s="27" t="n">
        <v>2.13</v>
      </c>
      <c r="BM282" s="28" t="n">
        <v>0.469484</v>
      </c>
      <c r="BN282" s="28" t="n"/>
      <c r="BO282" s="28" t="n"/>
      <c r="BP282" s="25" t="n"/>
      <c r="BQ282" s="27" t="n">
        <v>2.13</v>
      </c>
      <c r="BR282" s="28" t="n">
        <v>0.47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0.469484</t>
        </is>
      </c>
      <c r="DK282" s="24" t="n"/>
      <c r="DL282" s="24" t="n"/>
      <c r="DM282" s="24" t="n"/>
      <c r="DN282" s="24" t="n"/>
      <c r="DO282" s="24" t="n"/>
      <c r="DP282" s="24" t="n"/>
      <c r="DQ282" s="24" t="inlineStr">
        <is>
          <t>{"artifact_hash": "bc41c53e5df7beb4b802105a21bcc80226b4509dc6395a2603dc68099c942658", "away_team": "Movistar KOI", "event_id": "107866", "event_start_utc": "2026-09-12T15:00:00Z", "features": {"away_elo": 1608.993655, "away_history_count": 145, "home_elo": 1720.818791, "home_history_count": 105}, "historical_source_observation_times_verified": false, "home_team": "Team Vitality", "inference_inputs": {"book_state": {"games_played": {"bo3:3:17163": 145, "bo3:3:18129": 105}, "inactivity_half_life_days": null, "inactivity_max_pull": null, "k": 40.0, "last_match_utc": {"bo3:3:17163": "2026-08-30T13:45:00Z", "bo3:3:18129": "2026-09-05T10:10:00Z"}, "minimum_reliable_games": null, "platt_intercept": 0.07944321160917801, "platt_slope": 0.7935008652031617, "ratings": {"bo3:3:17163": 1608.993655, "bo3:3:18129": 1720.818791},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"2026-09-12T10:07:51.838414+00:00", "team_ids": ["bo3:3:18129", "bo3:3:17163"]}, "market_type": "moneyline", "model_version": "lol-tiered-elo-v6", "observed_at_utc": "2026-09-12T10:07:51.838414+00:00", "probabilities": {"away": 0.37913, "home": 0.62087}, "replay_scope": "Exact serving book state, calibration, temperature, inactivity reference and thin-history adjustments; training provenance not certified.", "schema": "esports-elo-replay-v1", "snapshot_hash": "35b80bd8c2cec32a4b531e749bc287c5819963d2a68845aed4dffe6d48256ebe", "sport": "LOL"}</t>
        </is>
      </c>
    </row>
    <row r="283" ht="36" customHeight="1">
      <c r="A283" s="24" t="inlineStr">
        <is>
          <t>1fd5afe440b44430</t>
        </is>
      </c>
      <c r="B283" s="24" t="inlineStr">
        <is>
          <t>2026-09-15T04:40:52.352691Z</t>
        </is>
      </c>
      <c r="C283" s="24" t="inlineStr">
        <is>
          <t>2026-09-15T08:00:00Z</t>
        </is>
      </c>
      <c r="D283" s="24" t="inlineStr">
        <is>
          <t>112482</t>
        </is>
      </c>
      <c r="E283" s="24" t="inlineStr">
        <is>
          <t>LOL</t>
        </is>
      </c>
      <c r="F283" s="24" t="inlineStr">
        <is>
          <t>KT Rolster Challengers</t>
        </is>
      </c>
      <c r="G283" s="24" t="inlineStr">
        <is>
          <t>T1 Academy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-223</v>
      </c>
      <c r="M283" s="27" t="n">
        <v>1.44843</v>
      </c>
      <c r="N283" s="28" t="n">
        <v>0.690402</v>
      </c>
      <c r="O283" s="28" t="n">
        <v>0.566649</v>
      </c>
      <c r="P283" s="28" t="n"/>
      <c r="Q283" s="28" t="n">
        <v>-0.123753</v>
      </c>
      <c r="R283" s="26" t="n">
        <v>0</v>
      </c>
      <c r="S283" s="29" t="n">
        <v>1</v>
      </c>
      <c r="T283" s="24" t="inlineStr">
        <is>
          <t>lol-tiered-elo-v6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/>
      <c r="AA283" s="28" t="n"/>
      <c r="AB283" s="28" t="n"/>
      <c r="AC283" s="30" t="n">
        <v>0.4484</v>
      </c>
      <c r="AD283" s="24" t="inlineStr">
        <is>
          <t>2026-09-15T16:04:53.680846Z</t>
        </is>
      </c>
      <c r="AE283" s="31" t="inlineStr">
        <is>
          <t>Neutral Elo baseline; executable ask 0.6900 (market_slug=aec-lol-t1a-ktc-2026-09-15).</t>
        </is>
      </c>
      <c r="AF283" s="31" t="inlineStr">
        <is>
          <t>Config-promoted esports baseline; gates enforced at log time.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KT Rolster Challengers</t>
        </is>
      </c>
      <c r="AQ283" s="24" t="inlineStr">
        <is>
          <t>KT Rolster Challengers</t>
        </is>
      </c>
      <c r="AR283" s="24" t="inlineStr">
        <is>
          <t>KT Rolster Challengers</t>
        </is>
      </c>
      <c r="AS283" s="24" t="inlineStr">
        <is>
          <t>T1 Academy</t>
        </is>
      </c>
      <c r="AT283" s="24" t="inlineStr">
        <is>
          <t>T1 Academy</t>
        </is>
      </c>
      <c r="AU283" s="24" t="inlineStr">
        <is>
          <t>T1 Academy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614959740b0dc3633da1891fdae28d4468783ac2e0eb843dcf20b23e7e6d87aa</t>
        </is>
      </c>
      <c r="BB283" s="24" t="inlineStr">
        <is>
          <t>neutral_elo</t>
        </is>
      </c>
      <c r="BC283" s="24" t="inlineStr">
        <is>
          <t>lol-tiered-elo-v6</t>
        </is>
      </c>
      <c r="BD283" s="24" t="inlineStr">
        <is>
          <t>614959740b0dc3633da1891fdae28d4468783ac2e0eb843dcf20b23e7e6d87aa</t>
        </is>
      </c>
      <c r="BE283" s="24" t="inlineStr">
        <is>
          <t>1</t>
        </is>
      </c>
      <c r="BF283" s="24" t="inlineStr">
        <is>
          <t>1</t>
        </is>
      </c>
      <c r="BG283" s="24" t="inlineStr">
        <is>
          <t>lol-tiered-elo-v6</t>
        </is>
      </c>
      <c r="BH283" s="24" t="inlineStr">
        <is>
          <t>2026-09-15T04:40:19.357595Z</t>
        </is>
      </c>
      <c r="BI283" s="24" t="inlineStr">
        <is>
          <t>["same_event","same_team_same_day","same_league_same_day"]</t>
        </is>
      </c>
      <c r="BJ283" s="25" t="n"/>
      <c r="BK283" s="26" t="n">
        <v>-223</v>
      </c>
      <c r="BL283" s="27" t="n">
        <v>1.44843</v>
      </c>
      <c r="BM283" s="28" t="n">
        <v>0.690402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0.690402</t>
        </is>
      </c>
      <c r="DK283" s="24" t="n"/>
      <c r="DL283" s="24" t="n"/>
      <c r="DM283" s="24" t="n"/>
      <c r="DN283" s="24" t="n"/>
      <c r="DO283" s="24" t="n"/>
      <c r="DP283" s="24" t="n"/>
      <c r="DQ283" s="24" t="inlineStr">
        <is>
          <t>{"artifact_hash": "614959740b0dc3633da1891fdae28d4468783ac2e0eb843dcf20b23e7e6d87aa", "away_team": "KT Rolster Challengers", "event_id": "112482", "event_start_utc": "2026-09-15T08:00:00Z", "features": {"away_elo": 1828.202111, "away_history_count": 149, "home_elo": 1894.107897, "home_history_count": 149}, "historical_source_observation_times_verified": false, "home_team": "T1 Academy", "inference_inputs": {"book_state": {"games_played": {"bo3:3:17053": 149, "bo3:3:17264": 149}, "inactivity_half_life_days": null, "inactivity_max_pull": null, "k": 40.0, "last_match_utc": {"bo3:3:17053": "2026-09-10T08:00:00Z", "bo3:3:17264": "2026-09-14T08:00:00Z"}, "minimum_reliable_games": null, "platt_intercept": 0.07919633315465265, "platt_slope": 0.8012707012326591, "ratings": {"bo3:3:17053": 1894.107897, "bo3:3:17264": 1828.202111},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"2026-09-15T04:40:15.233115+00:00", "team_ids": ["bo3:3:17053", "bo3:3:17264"]}, "market_type": "moneyline", "model_version": "lol-tiered-elo-v6", "observed_at_utc": "2026-09-15T04:40:15.233115+00:00", "probabilities": {"away": 0.433351, "home": 0.566649}, "replay_scope": "Exact serving book state, calibration, temperature, inactivity reference and thin-history adjustments; training provenance not certified.", "schema": "esports-elo-replay-v1", "snapshot_hash": "73826af6fe7abaca5544008d9adf7bef62425fade677ed8b2841ddb4fe6f71d0", "sport": "LOL"}</t>
        </is>
      </c>
    </row>
    <row r="284" ht="36" customHeight="1">
      <c r="A284" s="24" t="inlineStr">
        <is>
          <t>024b52c428e844c3</t>
        </is>
      </c>
      <c r="B284" s="24" t="inlineStr">
        <is>
          <t>2026-09-17T04:47:02.630343Z</t>
        </is>
      </c>
      <c r="C284" s="24" t="inlineStr">
        <is>
          <t>2026-09-17T09:00:00Z</t>
        </is>
      </c>
      <c r="D284" s="24" t="inlineStr">
        <is>
          <t>112380</t>
        </is>
      </c>
      <c r="E284" s="24" t="inlineStr">
        <is>
          <t>LOL</t>
        </is>
      </c>
      <c r="F284" s="24" t="inlineStr">
        <is>
          <t>Invictus Gaming</t>
        </is>
      </c>
      <c r="G284" s="24" t="inlineStr">
        <is>
          <t>Top Esports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-133</v>
      </c>
      <c r="M284" s="27" t="n">
        <v>1.75188</v>
      </c>
      <c r="N284" s="28" t="n">
        <v>0.570815</v>
      </c>
      <c r="O284" s="28" t="n">
        <v>0.530729</v>
      </c>
      <c r="P284" s="28" t="n"/>
      <c r="Q284" s="28" t="n">
        <v>-0.040086</v>
      </c>
      <c r="R284" s="26" t="n">
        <v>0</v>
      </c>
      <c r="S284" s="29" t="n">
        <v>1</v>
      </c>
      <c r="T284" s="24" t="inlineStr">
        <is>
          <t>lol-tiered-elo-v6</t>
        </is>
      </c>
      <c r="U284" s="24" t="inlineStr">
        <is>
          <t>settled</t>
        </is>
      </c>
      <c r="V284" s="24" t="inlineStr">
        <is>
          <t>loss</t>
        </is>
      </c>
      <c r="W284" s="26" t="n">
        <v>0</v>
      </c>
      <c r="X284" s="26" t="n">
        <v>1</v>
      </c>
      <c r="Y284" s="25" t="n"/>
      <c r="Z284" s="26" t="n">
        <v>-133</v>
      </c>
      <c r="AA284" s="28" t="n">
        <v>0.57</v>
      </c>
      <c r="AB284" s="28" t="n">
        <v>-0.000815</v>
      </c>
      <c r="AC284" s="30" t="n">
        <v>-1</v>
      </c>
      <c r="AD284" s="24" t="inlineStr">
        <is>
          <t>2026-09-17T22:02:13.214648Z</t>
        </is>
      </c>
      <c r="AE284" s="31" t="inlineStr">
        <is>
          <t>Neutral Elo baseline; executable ask 0.5700 (market_slug=aec-lol-tes-ig-2026-09-17).</t>
        </is>
      </c>
      <c r="AF284" s="31" t="inlineStr">
        <is>
          <t>Config-promoted esports baseline; gates enforced at log time.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Invictus Gaming</t>
        </is>
      </c>
      <c r="AQ284" s="24" t="inlineStr">
        <is>
          <t>Invictus Gaming</t>
        </is>
      </c>
      <c r="AR284" s="24" t="inlineStr">
        <is>
          <t>Invictus Gaming</t>
        </is>
      </c>
      <c r="AS284" s="24" t="inlineStr">
        <is>
          <t>Top Esports</t>
        </is>
      </c>
      <c r="AT284" s="24" t="inlineStr">
        <is>
          <t>Top Esports</t>
        </is>
      </c>
      <c r="AU284" s="24" t="inlineStr">
        <is>
          <t>Top Esports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5f2fd5cbe75da2b4ea997e8aa2760fe42cbfa4e974ba1e3f06239da591be2889</t>
        </is>
      </c>
      <c r="BB284" s="24" t="inlineStr">
        <is>
          <t>neutral_elo</t>
        </is>
      </c>
      <c r="BC284" s="24" t="inlineStr">
        <is>
          <t>lol-tiered-elo-v6</t>
        </is>
      </c>
      <c r="BD284" s="24" t="inlineStr">
        <is>
          <t>5f2fd5cbe75da2b4ea997e8aa2760fe42cbfa4e974ba1e3f06239da591be2889</t>
        </is>
      </c>
      <c r="BE284" s="24" t="inlineStr">
        <is>
          <t>1</t>
        </is>
      </c>
      <c r="BF284" s="24" t="inlineStr">
        <is>
          <t>1</t>
        </is>
      </c>
      <c r="BG284" s="24" t="inlineStr">
        <is>
          <t>lol-tiered-elo-v6</t>
        </is>
      </c>
      <c r="BH284" s="24" t="inlineStr">
        <is>
          <t>2026-09-17T04:46:40.678580Z</t>
        </is>
      </c>
      <c r="BI284" s="24" t="inlineStr">
        <is>
          <t>["same_event","same_team_same_day","same_league_same_day"]</t>
        </is>
      </c>
      <c r="BJ284" s="25" t="n"/>
      <c r="BK284" s="26" t="n">
        <v>-133</v>
      </c>
      <c r="BL284" s="27" t="n">
        <v>1.75188</v>
      </c>
      <c r="BM284" s="28" t="n">
        <v>0.570815</v>
      </c>
      <c r="BN284" s="28" t="n"/>
      <c r="BO284" s="28" t="n"/>
      <c r="BP284" s="25" t="n"/>
      <c r="BQ284" s="27" t="n">
        <v>1.75188</v>
      </c>
      <c r="BR284" s="28" t="n">
        <v>0.57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0.570815</t>
        </is>
      </c>
      <c r="DK284" s="24" t="n"/>
      <c r="DL284" s="24" t="n"/>
      <c r="DM284" s="24" t="n"/>
      <c r="DN284" s="24" t="n"/>
      <c r="DO284" s="24" t="n"/>
      <c r="DP284" s="24" t="n"/>
      <c r="DQ284" s="24" t="inlineStr">
        <is>
          <t>{"artifact_hash": "5f2fd5cbe75da2b4ea997e8aa2760fe42cbfa4e974ba1e3f06239da591be2889", "away_team": "Invictus Gaming", "event_id": "112380", "event_start_utc": "2026-09-17T09:00:00Z", "features": {"away_elo": 1667.706266, "away_history_count": 142, "home_elo": 1623.745679, "home_history_count": 180}, "historical_source_observation_times_verified": false, "home_team": "Top Esports", "inference_inputs": {"book_state": {"games_played": {"bo3:3:17530": 180, "bo3:3:17955": 142}, "inactivity_half_life_days": null, "inactivity_max_pull": null, "k": 40.0, "last_match_utc": {"bo3:3:17530": "2026-09-05T06:00:00Z", "bo3:3:17955": "2026-09-12T09:00:00Z"}, "minimum_reliable_games": null, "platt_intercept": 0.08150696865506389, "platt_slope": 0.7999585625989682, "ratings": {"bo3:3:17530": 1623.745679, "bo3:3:17955": 1667.706266},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"2026-09-17T04:46:40.376463+00:00", "team_ids": ["bo3:3:17530", "bo3:3:17955"]}, "market_type": "moneyline", "model_version": "lol-tiered-elo-v6", "observed_at_utc": "2026-09-17T04:46:40.376463+00:00", "probabilities": {"away": 0.530729, "home": 0.469271}, "replay_scope": "Exact serving book state, calibration, temperature, inactivity reference and thin-history adjustments; training provenance not certified.", "schema": "esports-elo-replay-v1", "snapshot_hash": "1cee761272a255bb9ae4b03f342b2a9dcc496204a1c9dbb86c7a1822850e5575", "sport": "LOL"}</t>
        </is>
      </c>
    </row>
    <row r="285" ht="36" customHeight="1">
      <c r="A285" s="24" t="inlineStr">
        <is>
          <t>d468da13b3a54d87</t>
        </is>
      </c>
      <c r="B285" s="24" t="inlineStr">
        <is>
          <t>2026-09-18T08:16:25.237689Z</t>
        </is>
      </c>
      <c r="C285" s="24" t="inlineStr">
        <is>
          <t>2026-09-18T09:00:00Z</t>
        </is>
      </c>
      <c r="D285" s="24" t="inlineStr">
        <is>
          <t>113368</t>
        </is>
      </c>
      <c r="E285" s="24" t="inlineStr">
        <is>
          <t>LOL</t>
        </is>
      </c>
      <c r="F285" s="24" t="inlineStr">
        <is>
          <t>JD Gaming</t>
        </is>
      </c>
      <c r="G285" s="24" t="inlineStr">
        <is>
          <t>Team WE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-144</v>
      </c>
      <c r="M285" s="27" t="n">
        <v>1.694444</v>
      </c>
      <c r="N285" s="28" t="n">
        <v>0.590164</v>
      </c>
      <c r="O285" s="28" t="n">
        <v>0.561847</v>
      </c>
      <c r="P285" s="28" t="n"/>
      <c r="Q285" s="28" t="n">
        <v>-0.028317</v>
      </c>
      <c r="R285" s="26" t="n">
        <v>6</v>
      </c>
      <c r="S285" s="29" t="n">
        <v>1</v>
      </c>
      <c r="T285" s="24" t="inlineStr">
        <is>
          <t>lol-tiered-elo-v6</t>
        </is>
      </c>
      <c r="U285" s="24" t="inlineStr">
        <is>
          <t>settled</t>
        </is>
      </c>
      <c r="V285" s="24" t="inlineStr">
        <is>
          <t>win</t>
        </is>
      </c>
      <c r="W285" s="26" t="n">
        <v>1</v>
      </c>
      <c r="X285" s="26" t="n">
        <v>0</v>
      </c>
      <c r="Y285" s="25" t="n"/>
      <c r="Z285" s="26" t="n">
        <v>-156</v>
      </c>
      <c r="AA285" s="28" t="n">
        <v>0.61</v>
      </c>
      <c r="AB285" s="28" t="n">
        <v>0.019836</v>
      </c>
      <c r="AC285" s="30" t="n">
        <v>0.6944</v>
      </c>
      <c r="AD285" s="24" t="inlineStr">
        <is>
          <t>2026-09-18T16:28:28.596483Z</t>
        </is>
      </c>
      <c r="AE285" s="31" t="inlineStr">
        <is>
          <t>Neutral Elo baseline; executable ask 0.5900 (market_slug=aec-lol-we-jdg-2026-09-18).</t>
        </is>
      </c>
      <c r="AF285" s="31" t="inlineStr">
        <is>
          <t>Config-promoted esports baseline; gates enforced at log time.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JD Gaming</t>
        </is>
      </c>
      <c r="AQ285" s="24" t="inlineStr">
        <is>
          <t>JD Gaming</t>
        </is>
      </c>
      <c r="AR285" s="24" t="inlineStr">
        <is>
          <t>JD Gaming</t>
        </is>
      </c>
      <c r="AS285" s="24" t="inlineStr">
        <is>
          <t>Team WE</t>
        </is>
      </c>
      <c r="AT285" s="24" t="inlineStr">
        <is>
          <t>Team WE</t>
        </is>
      </c>
      <c r="AU285" s="24" t="inlineStr">
        <is>
          <t>Team WE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2e3a0988546bfdd2db305dbe94acd2be19d326a6dfe11508a5bc178efc5c721e</t>
        </is>
      </c>
      <c r="BB285" s="24" t="inlineStr">
        <is>
          <t>neutral_elo</t>
        </is>
      </c>
      <c r="BC285" s="24" t="inlineStr">
        <is>
          <t>lol-tiered-elo-v6</t>
        </is>
      </c>
      <c r="BD285" s="24" t="inlineStr">
        <is>
          <t>2e3a0988546bfdd2db305dbe94acd2be19d326a6dfe11508a5bc178efc5c721e</t>
        </is>
      </c>
      <c r="BE285" s="24" t="inlineStr">
        <is>
          <t>1</t>
        </is>
      </c>
      <c r="BF285" s="24" t="inlineStr">
        <is>
          <t>1</t>
        </is>
      </c>
      <c r="BG285" s="24" t="inlineStr">
        <is>
          <t>lol-tiered-elo-v6</t>
        </is>
      </c>
      <c r="BH285" s="24" t="inlineStr">
        <is>
          <t>2026-09-18T08:00:05.629451Z</t>
        </is>
      </c>
      <c r="BI285" s="24" t="inlineStr">
        <is>
          <t>["same_event","same_team_same_day","same_league_same_day"]</t>
        </is>
      </c>
      <c r="BJ285" s="25" t="n"/>
      <c r="BK285" s="26" t="n">
        <v>-144</v>
      </c>
      <c r="BL285" s="27" t="n">
        <v>1.694444</v>
      </c>
      <c r="BM285" s="28" t="n">
        <v>0.590164</v>
      </c>
      <c r="BN285" s="28" t="n"/>
      <c r="BO285" s="28" t="n"/>
      <c r="BP285" s="25" t="n"/>
      <c r="BQ285" s="27" t="n">
        <v>1.641026</v>
      </c>
      <c r="BR285" s="28" t="n">
        <v>0.61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0.590164</t>
        </is>
      </c>
      <c r="DK285" s="24" t="n"/>
      <c r="DL285" s="24" t="n"/>
      <c r="DM285" s="24" t="n"/>
      <c r="DN285" s="24" t="n"/>
      <c r="DO285" s="24" t="n"/>
      <c r="DP285" s="24" t="n"/>
      <c r="DQ285" s="24" t="inlineStr">
        <is>
          <t>{"artifact_hash": "2e3a0988546bfdd2db305dbe94acd2be19d326a6dfe11508a5bc178efc5c721e", "away_team": "JD Gaming", "event_id": "113368", "event_start_utc": "2026-09-18T09:00:00Z", "features": {"away_elo": 1662.99321, "away_history_count": 166, "home_elo": 1570.946886, "home_history_count": 144}, "historical_source_observation_times_verified": false, "home_team": "Team WE", "inference_inputs": {"book_state": {"games_played": {"bo3:3:17801": 144, "bo3:3:18021": 166}, "inactivity_half_life_days": null, "inactivity_max_pull": null, "k": 40.0, "last_match_utc": {"bo3:3:17801": "2026-09-06T06:00:00Z", "bo3:3:18021": "2026-09-05T11:00:00Z"}, "minimum_reliable_games": null, "platt_intercept": 0.08328411075689174, "platt_slope": 0.80115270246994, "ratings": {"bo3:3:17801": 1570.946886, "bo3:3:18021": 1662.99321},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"2026-09-18T08:00:05.415775+00:00", "team_ids": ["bo3:3:17801", "bo3:3:18021"]}, "market_type": "moneyline", "model_version": "lol-tiered-elo-v6", "observed_at_utc": "2026-09-18T08:00:05.415775+00:00", "probabilities": {"away": 0.561847, "home": 0.438153}, "replay_scope": "Exact serving book state, calibration, temperature, inactivity reference and thin-history adjustments; training provenance not certified.", "schema": "esports-elo-replay-v1", "snapshot_hash": "c65f7af421ca67bc3e4d8bebee1a4c6df17fdc77fc1fdfb7c497dce93d2fbed3", "sport": "LOL"}</t>
        </is>
      </c>
    </row>
    <row r="286" ht="36" customHeight="1">
      <c r="A286" s="24" t="inlineStr">
        <is>
          <t>a29545faeaeb4e82</t>
        </is>
      </c>
      <c r="B286" s="24" t="inlineStr">
        <is>
          <t>2026-09-20T05:04:18.138481Z</t>
        </is>
      </c>
      <c r="C286" s="24" t="inlineStr">
        <is>
          <t>2026-09-20T09:00:00Z</t>
        </is>
      </c>
      <c r="D286" s="24" t="inlineStr">
        <is>
          <t>116686</t>
        </is>
      </c>
      <c r="E286" s="24" t="inlineStr">
        <is>
          <t>LOL</t>
        </is>
      </c>
      <c r="F286" s="24" t="inlineStr">
        <is>
          <t>CTBC Flying Oyster Academy</t>
        </is>
      </c>
      <c r="G286" s="24" t="inlineStr">
        <is>
          <t>⁠Movistar KOI Fénix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-156</v>
      </c>
      <c r="M286" s="27" t="n">
        <v>1.641026</v>
      </c>
      <c r="N286" s="28" t="n">
        <v>0.609375</v>
      </c>
      <c r="O286" s="28" t="n">
        <v>0.850003</v>
      </c>
      <c r="P286" s="28" t="n"/>
      <c r="Q286" s="28" t="n">
        <v>0.240628</v>
      </c>
      <c r="R286" s="26" t="n">
        <v>100</v>
      </c>
      <c r="S286" s="29" t="n">
        <v>2</v>
      </c>
      <c r="T286" s="24" t="inlineStr">
        <is>
          <t>lol-tiered-elo-v6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1</v>
      </c>
      <c r="Y286" s="25" t="n"/>
      <c r="Z286" s="26" t="n">
        <v>-156</v>
      </c>
      <c r="AA286" s="28" t="n">
        <v>0.61</v>
      </c>
      <c r="AB286" s="28" t="n">
        <v>0.000625</v>
      </c>
      <c r="AC286" s="30" t="n">
        <v>1.2821</v>
      </c>
      <c r="AD286" s="24" t="inlineStr">
        <is>
          <t>2026-09-20T10:01:33.003104Z</t>
        </is>
      </c>
      <c r="AE286" s="31" t="inlineStr">
        <is>
          <t>Neutral Elo baseline; executable ask 0.6100 (market_slug=aec-lol-mkf-ctbca-2026-09-20).</t>
        </is>
      </c>
      <c r="AF286" s="31" t="inlineStr">
        <is>
          <t>Config-promoted esports baseline; gates enforced at log time.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4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CTBC Flying Oyster Academy</t>
        </is>
      </c>
      <c r="AQ286" s="24" t="inlineStr">
        <is>
          <t>CTBC Flying Oyster Academy</t>
        </is>
      </c>
      <c r="AR286" s="24" t="inlineStr">
        <is>
          <t>CTBC Flying Oyster Academy</t>
        </is>
      </c>
      <c r="AS286" s="24" t="inlineStr">
        <is>
          <t>⁠Movistar KOI Fénix</t>
        </is>
      </c>
      <c r="AT286" s="24" t="inlineStr">
        <is>
          <t>⁠Movistar KOI Fénix</t>
        </is>
      </c>
      <c r="AU286" s="24" t="inlineStr">
        <is>
          <t>⁠Movistar KOI Fénix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1b845a91da824ede090db79712887857178de6262e3a299201c094cb7a8b4b17</t>
        </is>
      </c>
      <c r="BB286" s="24" t="inlineStr">
        <is>
          <t>neutral_elo</t>
        </is>
      </c>
      <c r="BC286" s="24" t="inlineStr">
        <is>
          <t>lol-tiered-elo-v6</t>
        </is>
      </c>
      <c r="BD286" s="24" t="inlineStr">
        <is>
          <t>1b845a91da824ede090db79712887857178de6262e3a299201c094cb7a8b4b17</t>
        </is>
      </c>
      <c r="BE286" s="24" t="inlineStr">
        <is>
          <t>1</t>
        </is>
      </c>
      <c r="BF286" s="24" t="inlineStr">
        <is>
          <t>1</t>
        </is>
      </c>
      <c r="BG286" s="24" t="inlineStr">
        <is>
          <t>lol-tiered-elo-v6</t>
        </is>
      </c>
      <c r="BH286" s="24" t="inlineStr">
        <is>
          <t>2026-09-20T05:03:27.308787Z</t>
        </is>
      </c>
      <c r="BI286" s="24" t="inlineStr">
        <is>
          <t>["same_event","same_team_same_day","same_league_same_day"]</t>
        </is>
      </c>
      <c r="BJ286" s="25" t="n"/>
      <c r="BK286" s="26" t="n">
        <v>-156</v>
      </c>
      <c r="BL286" s="27" t="n">
        <v>1.641026</v>
      </c>
      <c r="BM286" s="28" t="n">
        <v>0.609375</v>
      </c>
      <c r="BN286" s="28" t="n"/>
      <c r="BO286" s="28" t="n"/>
      <c r="BP286" s="25" t="n"/>
      <c r="BQ286" s="27" t="n">
        <v>1.641026</v>
      </c>
      <c r="BR286" s="28" t="n">
        <v>0.61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0.609375</t>
        </is>
      </c>
      <c r="DK286" s="24" t="n"/>
      <c r="DL286" s="24" t="n"/>
      <c r="DM286" s="24" t="n"/>
      <c r="DN286" s="24" t="n"/>
      <c r="DO286" s="24" t="n"/>
      <c r="DP286" s="24" t="n"/>
      <c r="DQ286" s="24" t="inlineStr">
        <is>
          <t>{"artifact_hash": "1b845a91da824ede090db79712887857178de6262e3a299201c094cb7a8b4b17", "away_team": "CTBC Flying Oyster Academy", "event_id": "116686", "event_start_utc": "2026-09-20T09:00:00Z", "features": {"away_elo": 1474.655923, "away_history_count": 34, "home_elo": 1932.015235, "home_history_count": 56}, "historical_source_observation_times_verified": false, "home_team": "\u2060Movistar KOI F\u00e9nix", "inference_inputs": {"book_state": {"games_played": {"bo3:3:18204": 34, "bo3:3:20584": 56}, "inactivity_half_life_days": null, "inactivity_max_pull": null, "k": 40.0, "last_match_utc": {"bo3:3:18204": "2026-06-11T10:00:00Z", "bo3:3:20584": "2026-09-14T16:00:00Z"}, "minimum_reliable_games": null, "platt_intercept": 0.08391894432177585, "platt_slope": 0.8039431851540901, "ratings": {"bo3:3:18204": 1474.655923, "bo3:3:20584": 1932.015235},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"2026-09-20T05:03:14.547852+00:00", "team_ids": ["bo3:3:20584", "bo3:3:18204"]}, "market_type": "moneyline", "model_version": "lol-tiered-elo-v6", "observed_at_utc": "2026-09-20T05:03:14.547852+00:00", "probabilities": {"away": 0.149997, "home": 0.850003}, "replay_scope": "Exact serving book state, calibration, temperature, inactivity reference and thin-history adjustments; training provenance not certified.", "schema": "esports-elo-replay-v1", "snapshot_hash": "59b4c366efc4858a311cb0a85400c13814d4eec82eec62dc4c3d6116cdcff7cb", "sport": "LOL"}</t>
        </is>
      </c>
    </row>
    <row r="287" ht="36" customHeight="1">
      <c r="A287" s="24" t="inlineStr">
        <is>
          <t>4a92a604571948e8</t>
        </is>
      </c>
      <c r="B287" s="24" t="inlineStr">
        <is>
          <t>2026-09-20T10:31:31.574053Z</t>
        </is>
      </c>
      <c r="C287" s="24" t="inlineStr">
        <is>
          <t>2026-09-20T15:00:00Z</t>
        </is>
      </c>
      <c r="D287" s="24" t="inlineStr">
        <is>
          <t>118250</t>
        </is>
      </c>
      <c r="E287" s="24" t="inlineStr">
        <is>
          <t>LOL</t>
        </is>
      </c>
      <c r="F287" s="24" t="inlineStr">
        <is>
          <t>Movistar KOI</t>
        </is>
      </c>
      <c r="G287" s="24" t="inlineStr">
        <is>
          <t>G2 Esports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-223</v>
      </c>
      <c r="M287" s="27" t="n">
        <v>1.44843</v>
      </c>
      <c r="N287" s="28" t="n">
        <v>0.690402</v>
      </c>
      <c r="O287" s="28" t="n">
        <v>0.583274</v>
      </c>
      <c r="P287" s="28" t="n"/>
      <c r="Q287" s="28" t="n">
        <v>-0.107128</v>
      </c>
      <c r="R287" s="26" t="n">
        <v>0</v>
      </c>
      <c r="S287" s="29" t="n">
        <v>1</v>
      </c>
      <c r="T287" s="24" t="inlineStr">
        <is>
          <t>lol-tiered-elo-v6</t>
        </is>
      </c>
      <c r="U287" s="24" t="inlineStr">
        <is>
          <t>settled</t>
        </is>
      </c>
      <c r="V287" s="24" t="inlineStr">
        <is>
          <t>win</t>
        </is>
      </c>
      <c r="W287" s="26" t="n">
        <v>0</v>
      </c>
      <c r="X287" s="26" t="n">
        <v>1</v>
      </c>
      <c r="Y287" s="25" t="n"/>
      <c r="Z287" s="26" t="n"/>
      <c r="AA287" s="28" t="n"/>
      <c r="AB287" s="28" t="n"/>
      <c r="AC287" s="30" t="n">
        <v>0.4484</v>
      </c>
      <c r="AD287" s="24" t="inlineStr">
        <is>
          <t>2026-09-20T22:18:02.675870Z</t>
        </is>
      </c>
      <c r="AE287" s="31" t="inlineStr">
        <is>
          <t>Neutral Elo baseline; executable ask 0.6900 (market_slug=aec-lol-g2-mkoi-2026-09-20).</t>
        </is>
      </c>
      <c r="AF287" s="31" t="inlineStr">
        <is>
          <t>Config-promoted esports baseline; gates enforced at log time.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4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PAPER_CALL_LOW_EDGE</t>
        </is>
      </c>
      <c r="AP287" s="24" t="inlineStr">
        <is>
          <t>Movistar KOI</t>
        </is>
      </c>
      <c r="AQ287" s="24" t="inlineStr">
        <is>
          <t>Movistar KOI</t>
        </is>
      </c>
      <c r="AR287" s="24" t="inlineStr">
        <is>
          <t>Movistar KOI</t>
        </is>
      </c>
      <c r="AS287" s="24" t="inlineStr">
        <is>
          <t>G2 Esports</t>
        </is>
      </c>
      <c r="AT287" s="24" t="inlineStr">
        <is>
          <t>G2 Esports</t>
        </is>
      </c>
      <c r="AU287" s="24" t="inlineStr">
        <is>
          <t>G2 Esports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f46d3e6762f9f90d8eb0b80940c565a9e61dcc124ee01174399460a0e52a71e0</t>
        </is>
      </c>
      <c r="BB287" s="24" t="inlineStr">
        <is>
          <t>neutral_elo</t>
        </is>
      </c>
      <c r="BC287" s="24" t="inlineStr">
        <is>
          <t>lol-tiered-elo-v6</t>
        </is>
      </c>
      <c r="BD287" s="24" t="inlineStr">
        <is>
          <t>f46d3e6762f9f90d8eb0b80940c565a9e61dcc124ee01174399460a0e52a71e0</t>
        </is>
      </c>
      <c r="BE287" s="24" t="inlineStr">
        <is>
          <t>1</t>
        </is>
      </c>
      <c r="BF287" s="24" t="inlineStr">
        <is>
          <t>1</t>
        </is>
      </c>
      <c r="BG287" s="24" t="inlineStr">
        <is>
          <t>lol-tiered-elo-v6</t>
        </is>
      </c>
      <c r="BH287" s="24" t="inlineStr">
        <is>
          <t>2026-09-20T10:31:00.247269Z</t>
        </is>
      </c>
      <c r="BI287" s="24" t="inlineStr">
        <is>
          <t>["same_event","same_team_same_day","same_league_same_day"]</t>
        </is>
      </c>
      <c r="BJ287" s="25" t="n"/>
      <c r="BK287" s="26" t="n">
        <v>-223</v>
      </c>
      <c r="BL287" s="27" t="n">
        <v>1.44843</v>
      </c>
      <c r="BM287" s="28" t="n">
        <v>0.690402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0.690402</t>
        </is>
      </c>
      <c r="DK287" s="24" t="n"/>
      <c r="DL287" s="24" t="n"/>
      <c r="DM287" s="24" t="n"/>
      <c r="DN287" s="24" t="n"/>
      <c r="DO287" s="24" t="n"/>
      <c r="DP287" s="24" t="n"/>
      <c r="DQ287" s="24" t="inlineStr">
        <is>
          <t>{"artifact_hash": "f46d3e6762f9f90d8eb0b80940c565a9e61dcc124ee01174399460a0e52a71e0", "away_team": "Movistar KOI", "event_id": "118250", "event_start_utc": "2026-09-20T15:00:00Z", "features": {"away_elo": 1726.705384, "away_history_count": 148, "home_elo": 1830.127225, "home_history_count": 161}, "historical_source_observation_times_verified": false, "home_team": "G2 Esports", "inference_inputs": {"book_state": {"games_played": {"bo3:3:17163": 148, "bo3:3:18141": 161}, "inactivity_half_life_days": null, "inactivity_max_pull": null, "k": 40.0, "last_match_utc": {"bo3:3:17163": "2026-09-19T15:00:00Z", "bo3:3:18141": "2026-09-06T15:00:00Z"}, "minimum_reliable_games": null, "platt_intercept": 0.0863166240995409, "platt_slope": 0.8030664316369708, "ratings": {"bo3:3:17163": 1726.705384, "bo3:3:18141": 1830.127225},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["bo3:3:18141", "bo3:3:17163"]}, "market_type": "moneyline", "model_version": "lol-tiered-elo-v6", "observed_at_utc": "2026-09-20T10:30:37.988660+00:00", "probabilities": {"away": 0.416726, "home": 0.583274}, "replay_scope": "Exact serving book state, calibration, temperature, inactivity reference and thin-history adjustments; training provenance not certified.", "schema": "esports-elo-replay-v1", "snapshot_hash": "64f490c70eac078ee01180c8b7dc7af724bd2495742df31cf45929f23ea943d7", "sport": "LOL"}</t>
        </is>
      </c>
    </row>
    <row r="288" ht="36" customHeight="1">
      <c r="A288" s="24" t="inlineStr">
        <is>
          <t>fee4064cb8df4226</t>
        </is>
      </c>
      <c r="B288" s="24" t="inlineStr">
        <is>
          <t>2026-09-20T10:31:31.574053Z</t>
        </is>
      </c>
      <c r="C288" s="24" t="inlineStr">
        <is>
          <t>2026-09-20T16:00:00Z</t>
        </is>
      </c>
      <c r="D288" s="24" t="inlineStr">
        <is>
          <t>118357</t>
        </is>
      </c>
      <c r="E288" s="24" t="inlineStr">
        <is>
          <t>LOL</t>
        </is>
      </c>
      <c r="F288" s="24" t="inlineStr">
        <is>
          <t>paiN Gaming</t>
        </is>
      </c>
      <c r="G288" s="24" t="inlineStr">
        <is>
          <t>RED Canids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-117</v>
      </c>
      <c r="M288" s="27" t="n">
        <v>1.854701</v>
      </c>
      <c r="N288" s="28" t="n">
        <v>0.539171</v>
      </c>
      <c r="O288" s="28" t="n">
        <v>0.620486</v>
      </c>
      <c r="P288" s="28" t="n"/>
      <c r="Q288" s="28" t="n">
        <v>0.081315</v>
      </c>
      <c r="R288" s="26" t="n">
        <v>61</v>
      </c>
      <c r="S288" s="29" t="n">
        <v>1.25</v>
      </c>
      <c r="T288" s="24" t="inlineStr">
        <is>
          <t>lol-tiered-elo-v6</t>
        </is>
      </c>
      <c r="U288" s="24" t="inlineStr">
        <is>
          <t>settled</t>
        </is>
      </c>
      <c r="V288" s="24" t="inlineStr">
        <is>
          <t>win</t>
        </is>
      </c>
      <c r="W288" s="26" t="n">
        <v>0</v>
      </c>
      <c r="X288" s="26" t="n">
        <v>1</v>
      </c>
      <c r="Y288" s="25" t="n"/>
      <c r="Z288" s="26" t="n"/>
      <c r="AA288" s="28" t="n"/>
      <c r="AB288" s="28" t="n"/>
      <c r="AC288" s="30" t="n">
        <v>1.0684</v>
      </c>
      <c r="AD288" s="24" t="inlineStr">
        <is>
          <t>2026-09-20T22:18:03.607678Z</t>
        </is>
      </c>
      <c r="AE288" s="31" t="inlineStr">
        <is>
          <t>Neutral Elo baseline; executable ask 0.5400 (market_slug=aec-lol-red-png-2026-09-20).</t>
        </is>
      </c>
      <c r="AF288" s="31" t="inlineStr">
        <is>
          <t>Config-promoted esports baseline; gates enforced at log time.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4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paiN Gaming</t>
        </is>
      </c>
      <c r="AQ288" s="24" t="inlineStr">
        <is>
          <t>paiN Gaming</t>
        </is>
      </c>
      <c r="AR288" s="24" t="inlineStr">
        <is>
          <t>paiN Gaming</t>
        </is>
      </c>
      <c r="AS288" s="24" t="inlineStr">
        <is>
          <t>RED Canids</t>
        </is>
      </c>
      <c r="AT288" s="24" t="inlineStr">
        <is>
          <t>RED Canids</t>
        </is>
      </c>
      <c r="AU288" s="24" t="inlineStr">
        <is>
          <t>RED Canids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f46d3e6762f9f90d8eb0b80940c565a9e61dcc124ee01174399460a0e52a71e0</t>
        </is>
      </c>
      <c r="BB288" s="24" t="inlineStr">
        <is>
          <t>neutral_elo</t>
        </is>
      </c>
      <c r="BC288" s="24" t="inlineStr">
        <is>
          <t>lol-tiered-elo-v6</t>
        </is>
      </c>
      <c r="BD288" s="24" t="inlineStr">
        <is>
          <t>f46d3e6762f9f90d8eb0b80940c565a9e61dcc124ee01174399460a0e52a71e0</t>
        </is>
      </c>
      <c r="BE288" s="24" t="inlineStr">
        <is>
          <t>1</t>
        </is>
      </c>
      <c r="BF288" s="24" t="inlineStr">
        <is>
          <t>1</t>
        </is>
      </c>
      <c r="BG288" s="24" t="inlineStr">
        <is>
          <t>lol-tiered-elo-v6</t>
        </is>
      </c>
      <c r="BH288" s="24" t="inlineStr">
        <is>
          <t>2026-09-20T10:31:00.329862Z</t>
        </is>
      </c>
      <c r="BI288" s="24" t="inlineStr">
        <is>
          <t>["same_event","same_team_same_day","same_league_same_day"]</t>
        </is>
      </c>
      <c r="BJ288" s="25" t="n"/>
      <c r="BK288" s="26" t="n">
        <v>-117</v>
      </c>
      <c r="BL288" s="27" t="n">
        <v>1.854701</v>
      </c>
      <c r="BM288" s="28" t="n">
        <v>0.539171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0.539171</t>
        </is>
      </c>
      <c r="DK288" s="24" t="n"/>
      <c r="DL288" s="24" t="n"/>
      <c r="DM288" s="24" t="n"/>
      <c r="DN288" s="24" t="n"/>
      <c r="DO288" s="24" t="n"/>
      <c r="DP288" s="24" t="n"/>
      <c r="DQ288" s="24" t="inlineStr">
        <is>
          <t>{"artifact_hash": "f46d3e6762f9f90d8eb0b80940c565a9e61dcc124ee01174399460a0e52a71e0", "away_team": "paiN Gaming", "event_id": "118357", "event_start_utc": "2026-09-20T16:00:00Z", "features": {"away_elo": 1415.714576, "away_history_count": 104, "home_elo": 1527.734903, "home_history_count": 105}, "historical_source_observation_times_verified": false, "home_team": "RED Canids", "inference_inputs": {"book_state": {"games_played": {"bo3:3:18103": 105, "bo3:3:18137": 104}, "inactivity_half_life_days": null, "inactivity_max_pull": null, "k": 40.0, "last_match_utc": {"bo3:3:18103": "2026-09-19T16:00:00Z", "bo3:3:18137": "2026-09-13T16:00:00Z"}, "minimum_reliable_games": null, "platt_intercept": 0.0863166240995409, "platt_slope": 0.8030664316369708, "ratings": {"bo3:3:18103": 1527.734903, "bo3:3:18137": 1415.714576},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["bo3:3:18103", "bo3:3:18137"]}, "market_type": "moneyline", "model_version": "lol-tiered-elo-v6", "observed_at_utc": "2026-09-20T10:30:37.988660+00:00", "probabilities": {"away": 0.379514, "home": 0.620486}, "replay_scope": "Exact serving book state, calibration, temperature, inactivity reference and thin-history adjustments; training provenance not certified.", "schema": "esports-elo-replay-v1", "snapshot_hash": "f6360673fca9f977b91c17410860256ab5626837b399e06557547f4f18e1d5dc", "sport": "LOL"}</t>
        </is>
      </c>
    </row>
    <row r="289" ht="36" customHeight="1">
      <c r="A289" s="24" t="inlineStr">
        <is>
          <t>375dce91ce204d8a</t>
        </is>
      </c>
      <c r="B289" s="24" t="inlineStr">
        <is>
          <t>2026-09-21T04:40:46.289130Z</t>
        </is>
      </c>
      <c r="C289" s="24" t="inlineStr">
        <is>
          <t>2026-09-21T07:00:00Z</t>
        </is>
      </c>
      <c r="D289" s="24" t="inlineStr">
        <is>
          <t>116692</t>
        </is>
      </c>
      <c r="E289" s="24" t="inlineStr">
        <is>
          <t>LOL</t>
        </is>
      </c>
      <c r="F289" s="24" t="inlineStr">
        <is>
          <t>Cupid Esports</t>
        </is>
      </c>
      <c r="G289" s="24" t="inlineStr">
        <is>
          <t>FENNEL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203</v>
      </c>
      <c r="M289" s="27" t="n">
        <v>3.03</v>
      </c>
      <c r="N289" s="28" t="n">
        <v>0.330033</v>
      </c>
      <c r="O289" s="28" t="n">
        <v>0.557226</v>
      </c>
      <c r="P289" s="28" t="n"/>
      <c r="Q289" s="28" t="n">
        <v>0.227193</v>
      </c>
      <c r="R289" s="26" t="n">
        <v>100</v>
      </c>
      <c r="S289" s="29" t="n">
        <v>2</v>
      </c>
      <c r="T289" s="24" t="inlineStr">
        <is>
          <t>lol-tiered-elo-v6</t>
        </is>
      </c>
      <c r="U289" s="24" t="inlineStr">
        <is>
          <t>settled</t>
        </is>
      </c>
      <c r="V289" s="24" t="inlineStr">
        <is>
          <t>loss</t>
        </is>
      </c>
      <c r="W289" s="26" t="n">
        <v>1</v>
      </c>
      <c r="X289" s="26" t="n">
        <v>0</v>
      </c>
      <c r="Y289" s="25" t="n"/>
      <c r="Z289" s="26" t="n"/>
      <c r="AA289" s="28" t="n"/>
      <c r="AB289" s="28" t="n"/>
      <c r="AC289" s="30" t="n">
        <v>-2</v>
      </c>
      <c r="AD289" s="24" t="inlineStr">
        <is>
          <t>2026-09-21T10:01:02.548291Z</t>
        </is>
      </c>
      <c r="AE289" s="31" t="inlineStr">
        <is>
          <t>Neutral Elo baseline; executable ask 0.3300 (market_slug=aec-lol-fnl-cpd-2026-09-21).</t>
        </is>
      </c>
      <c r="AF289" s="31" t="inlineStr">
        <is>
          <t>Config-promoted esports baseline; gates enforced at log time.</t>
        </is>
      </c>
      <c r="AG289" s="24" t="inlineStr">
        <is>
          <t>review_required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4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Cupid Esports</t>
        </is>
      </c>
      <c r="AQ289" s="24" t="inlineStr">
        <is>
          <t>Cupid Esports</t>
        </is>
      </c>
      <c r="AR289" s="24" t="inlineStr">
        <is>
          <t>Cupid Esports</t>
        </is>
      </c>
      <c r="AS289" s="24" t="inlineStr">
        <is>
          <t>FENNEL</t>
        </is>
      </c>
      <c r="AT289" s="24" t="inlineStr">
        <is>
          <t>FENNEL</t>
        </is>
      </c>
      <c r="AU289" s="24" t="inlineStr">
        <is>
          <t>FENNEL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33117600cf680413857d7c7377d7fcdbb9401327ac002c5be450878709155be2</t>
        </is>
      </c>
      <c r="BB289" s="24" t="inlineStr">
        <is>
          <t>neutral_elo</t>
        </is>
      </c>
      <c r="BC289" s="24" t="inlineStr">
        <is>
          <t>lol-tiered-elo-v6</t>
        </is>
      </c>
      <c r="BD289" s="24" t="inlineStr">
        <is>
          <t>33117600cf680413857d7c7377d7fcdbb9401327ac002c5be450878709155be2</t>
        </is>
      </c>
      <c r="BE289" s="24" t="inlineStr">
        <is>
          <t>1</t>
        </is>
      </c>
      <c r="BF289" s="24" t="inlineStr">
        <is>
          <t>1</t>
        </is>
      </c>
      <c r="BG289" s="24" t="inlineStr">
        <is>
          <t>lol-tiered-elo-v6</t>
        </is>
      </c>
      <c r="BH289" s="24" t="inlineStr">
        <is>
          <t>2026-09-21T04:39:29.233516Z</t>
        </is>
      </c>
      <c r="BI289" s="24" t="inlineStr">
        <is>
          <t>["same_event","same_team_same_day","same_league_same_day"]</t>
        </is>
      </c>
      <c r="BJ289" s="25" t="n"/>
      <c r="BK289" s="26" t="n">
        <v>203</v>
      </c>
      <c r="BL289" s="27" t="n">
        <v>3.03</v>
      </c>
      <c r="BM289" s="28" t="n">
        <v>0.330033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0.330033</t>
        </is>
      </c>
      <c r="DK289" s="24" t="n"/>
      <c r="DL289" s="24" t="n"/>
      <c r="DM289" s="24" t="n"/>
      <c r="DN289" s="24" t="n"/>
      <c r="DO289" s="24" t="n"/>
      <c r="DP289" s="24" t="n"/>
      <c r="DQ289" s="24" t="inlineStr">
        <is>
          <t>{"artifact_hash": "33117600cf680413857d7c7377d7fcdbb9401327ac002c5be450878709155be2", "away_team": "Cupid Esports", "event_id": "116692", "event_start_utc": "2026-09-21T07:00:00Z", "features": {"away_elo": 1666.604579, "away_history_count": 9, "home_elo": 1724.254074, "home_history_count": 24}, "historical_source_observation_times_verified": false, "home_team": "FENNEL", "inference_inputs": {"book_state": {"games_played": {"bo3:3:16841": 24, "bo3:3:20536": 9}, "inactivity_half_life_days": null, "inactivity_max_pull": null, "k": 40.0, "last_match_utc": {"bo3:3:16841": "2026-09-06T05:35:00Z", "bo3:3:20536": "2026-09-11T21:00:00Z"}, "minimum_reliable_games": null, "platt_intercept": 0.08546595320316829, "platt_slope": 0.8029782266604641, "ratings": {"bo3:3:16841": 1724.254074, "bo3:3:20536": 1666.604579},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"2026-09-21T04:39:29.092507+00:00", "team_ids": ["bo3:3:16841", "bo3:3:20536"]}, "market_type": "moneyline", "model_version": "lol-tiered-elo-v6", "observed_at_utc": "2026-09-21T04:39:29.092507+00:00", "probabilities": {"away": 0.442774, "home": 0.557226}, "replay_scope": "Exact serving book state, calibration, temperature, inactivity reference and thin-history adjustments; training provenance not certified.", "schema": "esports-elo-replay-v1", "snapshot_hash": "a65fe4251a496a1195559d68297d969df62cdf4d73557631a89f8b003ca13ba9", "sport": "LOL"}</t>
        </is>
      </c>
    </row>
    <row r="290" ht="36" customHeight="1">
      <c r="A290" s="24" t="inlineStr">
        <is>
          <t>bd7e671c30474c4a</t>
        </is>
      </c>
      <c r="B290" s="24" t="inlineStr">
        <is>
          <t>2026-09-21T10:09:30.808492Z</t>
        </is>
      </c>
      <c r="C290" s="24" t="inlineStr">
        <is>
          <t>2026-09-21T11:00:00Z</t>
        </is>
      </c>
      <c r="D290" s="24" t="inlineStr">
        <is>
          <t>116730</t>
        </is>
      </c>
      <c r="E290" s="24" t="inlineStr">
        <is>
          <t>LOL</t>
        </is>
      </c>
      <c r="F290" s="24" t="inlineStr">
        <is>
          <t>Vivo Keyd Stars Academy</t>
        </is>
      </c>
      <c r="G290" s="24" t="inlineStr">
        <is>
          <t>FENNEL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108</v>
      </c>
      <c r="M290" s="27" t="n">
        <v>2.08</v>
      </c>
      <c r="N290" s="28" t="n">
        <v>0.480769</v>
      </c>
      <c r="O290" s="28" t="n">
        <v>0.6054040000000001</v>
      </c>
      <c r="P290" s="28" t="n"/>
      <c r="Q290" s="28" t="n">
        <v>0.124635</v>
      </c>
      <c r="R290" s="26" t="n">
        <v>82</v>
      </c>
      <c r="S290" s="29" t="n">
        <v>1.5</v>
      </c>
      <c r="T290" s="24" t="inlineStr">
        <is>
          <t>lol-tiered-elo-v6</t>
        </is>
      </c>
      <c r="U290" s="24" t="inlineStr">
        <is>
          <t>settled</t>
        </is>
      </c>
      <c r="V290" s="24" t="inlineStr">
        <is>
          <t>loss</t>
        </is>
      </c>
      <c r="W290" s="26" t="n">
        <v>1</v>
      </c>
      <c r="X290" s="26" t="n">
        <v>0</v>
      </c>
      <c r="Y290" s="25" t="n"/>
      <c r="Z290" s="26" t="n">
        <v>108</v>
      </c>
      <c r="AA290" s="28" t="n">
        <v>0.48</v>
      </c>
      <c r="AB290" s="28" t="n">
        <v>-0.000769</v>
      </c>
      <c r="AC290" s="30" t="n">
        <v>-1.5</v>
      </c>
      <c r="AD290" s="24" t="inlineStr">
        <is>
          <t>2026-09-21T16:09:45.699385Z</t>
        </is>
      </c>
      <c r="AE290" s="31" t="inlineStr">
        <is>
          <t>Neutral Elo baseline; executable ask 0.4800 (market_slug=aec-lol-fnl-vksa-2026-09-21).</t>
        </is>
      </c>
      <c r="AF290" s="31" t="inlineStr">
        <is>
          <t>Config-promoted esports baseline; gates enforced at log time.</t>
        </is>
      </c>
      <c r="AG290" s="24" t="inlineStr">
        <is>
          <t>review_required</t>
        </is>
      </c>
      <c r="AH290" s="24" t="n"/>
      <c r="AI290" s="31" t="n"/>
      <c r="AJ290" s="31" t="n"/>
      <c r="AK290" s="24" t="inlineStr">
        <is>
          <t>model_qualified</t>
        </is>
      </c>
      <c r="AL290" s="26" t="n">
        <v>4</v>
      </c>
      <c r="AM290" s="24" t="inlineStr">
        <is>
          <t>QUALIFIED_SHADOW_CALL</t>
        </is>
      </c>
      <c r="AN290" s="24" t="inlineStr">
        <is>
          <t>CALL</t>
        </is>
      </c>
      <c r="AO290" s="24" t="inlineStr">
        <is>
          <t>QUALIFIED</t>
        </is>
      </c>
      <c r="AP290" s="24" t="inlineStr">
        <is>
          <t>Vivo Keyd Stars Academy</t>
        </is>
      </c>
      <c r="AQ290" s="24" t="inlineStr">
        <is>
          <t>Vivo Keyd Stars Academy</t>
        </is>
      </c>
      <c r="AR290" s="24" t="inlineStr">
        <is>
          <t>Vivo Keyd Stars Academy</t>
        </is>
      </c>
      <c r="AS290" s="24" t="inlineStr">
        <is>
          <t>FENNEL</t>
        </is>
      </c>
      <c r="AT290" s="24" t="inlineStr">
        <is>
          <t>FENNEL</t>
        </is>
      </c>
      <c r="AU290" s="24" t="inlineStr">
        <is>
          <t>FENNEL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8961da3257daaa1a0120e81b3290c3c573d875f56753dc5141867e2ff833a82f</t>
        </is>
      </c>
      <c r="BB290" s="24" t="inlineStr">
        <is>
          <t>neutral_elo</t>
        </is>
      </c>
      <c r="BC290" s="24" t="inlineStr">
        <is>
          <t>lol-tiered-elo-v6</t>
        </is>
      </c>
      <c r="BD290" s="24" t="inlineStr">
        <is>
          <t>8961da3257daaa1a0120e81b3290c3c573d875f56753dc5141867e2ff833a82f</t>
        </is>
      </c>
      <c r="BE290" s="24" t="inlineStr">
        <is>
          <t>1</t>
        </is>
      </c>
      <c r="BF290" s="24" t="inlineStr">
        <is>
          <t>1</t>
        </is>
      </c>
      <c r="BG290" s="24" t="inlineStr">
        <is>
          <t>lol-tiered-elo-v6</t>
        </is>
      </c>
      <c r="BH290" s="24" t="inlineStr">
        <is>
          <t>2026-09-21T10:08:30.121145Z</t>
        </is>
      </c>
      <c r="BI290" s="24" t="inlineStr">
        <is>
          <t>["same_event","same_team_same_day","same_league_same_day"]</t>
        </is>
      </c>
      <c r="BJ290" s="25" t="n"/>
      <c r="BK290" s="26" t="n">
        <v>108</v>
      </c>
      <c r="BL290" s="27" t="n">
        <v>2.08</v>
      </c>
      <c r="BM290" s="28" t="n">
        <v>0.480769</v>
      </c>
      <c r="BN290" s="28" t="n"/>
      <c r="BO290" s="28" t="n"/>
      <c r="BP290" s="25" t="n"/>
      <c r="BQ290" s="27" t="n">
        <v>2.08</v>
      </c>
      <c r="BR290" s="28" t="n">
        <v>0.48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0.480769</t>
        </is>
      </c>
      <c r="DK290" s="24" t="n"/>
      <c r="DL290" s="24" t="n"/>
      <c r="DM290" s="24" t="n"/>
      <c r="DN290" s="24" t="n"/>
      <c r="DO290" s="24" t="n"/>
      <c r="DP290" s="24" t="n"/>
      <c r="DQ290" s="24" t="inlineStr">
        <is>
          <t>{"artifact_hash": "8961da3257daaa1a0120e81b3290c3c573d875f56753dc5141867e2ff833a82f", "away_team": "Vivo Keyd Stars Academy", "event_id": "116730", "event_start_utc": "2026-09-21T11:00:00Z", "features": {"away_elo": 1601.340918, "away_history_count": 96, "home_elo": 1692.37596, "home_history_count": 25}, "historical_source_observation_times_verified": false, "home_team": "FENNEL", "inference_inputs": {"book_state": {"games_played": {"bo3:3:16841": 25, "bo3:3:19772": 96}, "inactivity_half_life_days": null, "inactivity_max_pull": null, "k": 40.0, "last_match_utc": {"bo3:3:16841": "2026-09-21T07:00:00Z", "bo3:3:19772": "2026-09-21T06:00:00Z"}, "minimum_reliable_games": null, "platt_intercept": 0.08406575341158205, "platt_slope": 0.8040249788700257, "ratings": {"bo3:3:16841": 1692.37596, "bo3:3:19772": 1601.340918},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["bo3:3:16841", "bo3:3:19772"]}, "market_type": "moneyline", "model_version": "lol-tiered-elo-v6", "observed_at_utc": "2026-09-21T10:08:30.022655+00:00", "probabilities": {"away": 0.394596, "home": 0.605404}, "replay_scope": "Exact serving book state, calibration, temperature, inactivity reference and thin-history adjustments; training provenance not certified.", "schema": "esports-elo-replay-v1", "snapshot_hash": "a1aa538a2823f4cf6cb84316815b1651eaafddea2a4a21829a2a094ea059f4d3", "sport": "LOL"}</t>
        </is>
      </c>
    </row>
    <row r="291" ht="36" customHeight="1">
      <c r="A291" s="24" t="inlineStr">
        <is>
          <t>0e3d10e4a7d14e90</t>
        </is>
      </c>
      <c r="B291" s="24" t="inlineStr">
        <is>
          <t>2026-09-21T10:09:30.808492Z</t>
        </is>
      </c>
      <c r="C291" s="24" t="inlineStr">
        <is>
          <t>2026-09-21T12:00:00Z</t>
        </is>
      </c>
      <c r="D291" s="24" t="inlineStr">
        <is>
          <t>116699</t>
        </is>
      </c>
      <c r="E291" s="24" t="inlineStr">
        <is>
          <t>LOL</t>
        </is>
      </c>
      <c r="F291" s="24" t="inlineStr">
        <is>
          <t>Saigon Warriors</t>
        </is>
      </c>
      <c r="G291" s="24" t="inlineStr">
        <is>
          <t>ZSK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138</v>
      </c>
      <c r="M291" s="27" t="n">
        <v>2.38</v>
      </c>
      <c r="N291" s="28" t="n">
        <v>0.420168</v>
      </c>
      <c r="O291" s="28" t="n">
        <v>0.565057</v>
      </c>
      <c r="P291" s="28" t="n"/>
      <c r="Q291" s="28" t="n">
        <v>0.144889</v>
      </c>
      <c r="R291" s="26" t="n">
        <v>92</v>
      </c>
      <c r="S291" s="29" t="n">
        <v>1.75</v>
      </c>
      <c r="T291" s="24" t="inlineStr">
        <is>
          <t>lol-tiered-elo-v6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0</v>
      </c>
      <c r="Y291" s="25" t="n"/>
      <c r="Z291" s="26" t="n">
        <v>138</v>
      </c>
      <c r="AA291" s="28" t="n">
        <v>0.42</v>
      </c>
      <c r="AB291" s="28" t="n">
        <v>-0.000168</v>
      </c>
      <c r="AC291" s="30" t="n">
        <v>2.415</v>
      </c>
      <c r="AD291" s="24" t="inlineStr">
        <is>
          <t>2026-09-21T16:09:48.065723Z</t>
        </is>
      </c>
      <c r="AE291" s="31" t="inlineStr">
        <is>
          <t>Neutral Elo baseline; executable ask 0.4200 (market_slug=aec-lol-zsk-sgw-2026-09-21).</t>
        </is>
      </c>
      <c r="AF291" s="31" t="inlineStr">
        <is>
          <t>Config-promoted esports baseline; gates enforced at log time.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Saigon Warriors</t>
        </is>
      </c>
      <c r="AQ291" s="24" t="inlineStr">
        <is>
          <t>Saigon Warriors</t>
        </is>
      </c>
      <c r="AR291" s="24" t="inlineStr">
        <is>
          <t>Saigon Warriors</t>
        </is>
      </c>
      <c r="AS291" s="24" t="inlineStr">
        <is>
          <t>ZSK</t>
        </is>
      </c>
      <c r="AT291" s="24" t="inlineStr">
        <is>
          <t>ZSK</t>
        </is>
      </c>
      <c r="AU291" s="24" t="inlineStr">
        <is>
          <t>ZSK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8961da3257daaa1a0120e81b3290c3c573d875f56753dc5141867e2ff833a82f</t>
        </is>
      </c>
      <c r="BB291" s="24" t="inlineStr">
        <is>
          <t>neutral_elo</t>
        </is>
      </c>
      <c r="BC291" s="24" t="inlineStr">
        <is>
          <t>lol-tiered-elo-v6</t>
        </is>
      </c>
      <c r="BD291" s="24" t="inlineStr">
        <is>
          <t>8961da3257daaa1a0120e81b3290c3c573d875f56753dc5141867e2ff833a82f</t>
        </is>
      </c>
      <c r="BE291" s="24" t="inlineStr">
        <is>
          <t>1</t>
        </is>
      </c>
      <c r="BF291" s="24" t="inlineStr">
        <is>
          <t>1</t>
        </is>
      </c>
      <c r="BG291" s="24" t="inlineStr">
        <is>
          <t>lol-tiered-elo-v6</t>
        </is>
      </c>
      <c r="BH291" s="24" t="inlineStr">
        <is>
          <t>2026-09-21T10:08:30.191485Z</t>
        </is>
      </c>
      <c r="BI291" s="24" t="inlineStr">
        <is>
          <t>["same_event","same_team_same_day","same_league_same_day"]</t>
        </is>
      </c>
      <c r="BJ291" s="25" t="n"/>
      <c r="BK291" s="26" t="n">
        <v>138</v>
      </c>
      <c r="BL291" s="27" t="n">
        <v>2.38</v>
      </c>
      <c r="BM291" s="28" t="n">
        <v>0.420168</v>
      </c>
      <c r="BN291" s="28" t="n"/>
      <c r="BO291" s="28" t="n"/>
      <c r="BP291" s="25" t="n"/>
      <c r="BQ291" s="27" t="n">
        <v>2.38</v>
      </c>
      <c r="BR291" s="28" t="n">
        <v>0.42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0.420168</t>
        </is>
      </c>
      <c r="DK291" s="24" t="n"/>
      <c r="DL291" s="24" t="n"/>
      <c r="DM291" s="24" t="n"/>
      <c r="DN291" s="24" t="n"/>
      <c r="DO291" s="24" t="n"/>
      <c r="DP291" s="24" t="n"/>
      <c r="DQ291" s="24" t="inlineStr">
        <is>
          <t>{"artifact_hash": "8961da3257daaa1a0120e81b3290c3c573d875f56753dc5141867e2ff833a82f", "away_team": "Saigon Warriors", "event_id": "116699", "event_start_utc": "2026-09-21T12:00:00Z", "features": {"away_elo": 1633.176555, "away_history_count": 26, "home_elo": 1491.943596, "home_history_count": 1}, "historical_source_observation_times_verified": false, "home_team": "ZSK", "inference_inputs": {"book_state": {"games_played": {"bo3:3:22895": 26, "bo3:3:25335": 1}, "inactivity_half_life_days": null, "inactivity_max_pull": null, "k": 40.0, "last_match_utc": {"bo3:3:22895": "2026-09-21T08:00:00Z", "bo3:3:25335": "2026-09-21T09:00:00Z"}, "minimum_reliable_games": null, "platt_intercept": 0.08406575341158205, "platt_slope": 0.8040249788700257, "ratings": {"bo3:3:22895": 1633.176555, "bo3:3:25335": 1491.943596},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["bo3:3:25335", "bo3:3:22895"]}, "market_type": "moneyline", "model_version": "lol-tiered-elo-v6", "observed_at_utc": "2026-09-21T10:08:30.022655+00:00", "probabilities": {"away": 0.565057, "home": 0.434943}, "replay_scope": "Exact serving book state, calibration, temperature, inactivity reference and thin-history adjustments; training provenance not certified.", "schema": "esports-elo-replay-v1", "snapshot_hash": "989bd27900202328059191c2dea4f67a7cfd8c03b9f27b4f433dcd6be6c6d8b9", "sport": "LOL"}</t>
        </is>
      </c>
    </row>
    <row r="292" ht="36" customHeight="1">
      <c r="A292" s="24" t="inlineStr">
        <is>
          <t>6e4ed19e971e4bd6</t>
        </is>
      </c>
      <c r="B292" s="24" t="inlineStr">
        <is>
          <t>2026-09-23T16:17:20.615768Z</t>
        </is>
      </c>
      <c r="C292" s="24" t="inlineStr">
        <is>
          <t>2026-09-23T17:00:00Z</t>
        </is>
      </c>
      <c r="D292" s="24" t="inlineStr">
        <is>
          <t>122366</t>
        </is>
      </c>
      <c r="E292" s="24" t="inlineStr">
        <is>
          <t>LOL</t>
        </is>
      </c>
      <c r="F292" s="24" t="inlineStr">
        <is>
          <t>The Otter Side</t>
        </is>
      </c>
      <c r="G292" s="24" t="inlineStr">
        <is>
          <t>CITA Kaizen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170</v>
      </c>
      <c r="M292" s="27" t="n">
        <v>2.7</v>
      </c>
      <c r="N292" s="28" t="n">
        <v>0.37037</v>
      </c>
      <c r="O292" s="28" t="n">
        <v>0.562905</v>
      </c>
      <c r="P292" s="28" t="n"/>
      <c r="Q292" s="28" t="n">
        <v>0.192535</v>
      </c>
      <c r="R292" s="26" t="n">
        <v>100</v>
      </c>
      <c r="S292" s="29" t="n">
        <v>2</v>
      </c>
      <c r="T292" s="24" t="inlineStr">
        <is>
          <t>lol-tiered-elo-v6</t>
        </is>
      </c>
      <c r="U292" s="24" t="inlineStr">
        <is>
          <t>settled</t>
        </is>
      </c>
      <c r="V292" s="24" t="inlineStr">
        <is>
          <t>loss</t>
        </is>
      </c>
      <c r="W292" s="26" t="n">
        <v>1</v>
      </c>
      <c r="X292" s="26" t="n">
        <v>0</v>
      </c>
      <c r="Y292" s="25" t="n"/>
      <c r="Z292" s="26" t="n">
        <v>-163</v>
      </c>
      <c r="AA292" s="28" t="n">
        <v>0.62</v>
      </c>
      <c r="AB292" s="28" t="n">
        <v>0.24963</v>
      </c>
      <c r="AC292" s="30" t="n">
        <v>-2</v>
      </c>
      <c r="AD292" s="24" t="inlineStr">
        <is>
          <t>2026-09-23T22:26:40.479616Z</t>
        </is>
      </c>
      <c r="AE292" s="31" t="inlineStr">
        <is>
          <t>Neutral Elo baseline; executable ask 0.3700 (market_slug=aec-lol-ckz-tos-2026-09-23).</t>
        </is>
      </c>
      <c r="AF292" s="31" t="inlineStr">
        <is>
          <t>Config-promoted esports baseline; gates enforced at log time.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model_qualified</t>
        </is>
      </c>
      <c r="AL292" s="26" t="n">
        <v>4</v>
      </c>
      <c r="AM292" s="24" t="inlineStr">
        <is>
          <t>QUALIFIED_SHADOW_CALL</t>
        </is>
      </c>
      <c r="AN292" s="24" t="inlineStr">
        <is>
          <t>CALL</t>
        </is>
      </c>
      <c r="AO292" s="24" t="inlineStr">
        <is>
          <t>QUALIFIED</t>
        </is>
      </c>
      <c r="AP292" s="24" t="inlineStr">
        <is>
          <t>The Otter Side</t>
        </is>
      </c>
      <c r="AQ292" s="24" t="inlineStr">
        <is>
          <t>The Otter Side</t>
        </is>
      </c>
      <c r="AR292" s="24" t="inlineStr">
        <is>
          <t>The Otter Side</t>
        </is>
      </c>
      <c r="AS292" s="24" t="inlineStr">
        <is>
          <t>CITA Kaizen</t>
        </is>
      </c>
      <c r="AT292" s="24" t="inlineStr">
        <is>
          <t>CITA Kaizen</t>
        </is>
      </c>
      <c r="AU292" s="24" t="inlineStr">
        <is>
          <t>CITA Kaizen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465ce4ed869974960e64484eed8f34f6f37dfa02313d8e487ef5ee7a8f8a4ad0</t>
        </is>
      </c>
      <c r="BB292" s="24" t="inlineStr">
        <is>
          <t>neutral_elo</t>
        </is>
      </c>
      <c r="BC292" s="24" t="inlineStr">
        <is>
          <t>lol-tiered-elo-v6</t>
        </is>
      </c>
      <c r="BD292" s="24" t="inlineStr">
        <is>
          <t>465ce4ed869974960e64484eed8f34f6f37dfa02313d8e487ef5ee7a8f8a4ad0</t>
        </is>
      </c>
      <c r="BE292" s="24" t="inlineStr">
        <is>
          <t>1</t>
        </is>
      </c>
      <c r="BF292" s="24" t="inlineStr">
        <is>
          <t>1</t>
        </is>
      </c>
      <c r="BG292" s="24" t="inlineStr">
        <is>
          <t>lol-tiered-elo-v6</t>
        </is>
      </c>
      <c r="BH292" s="24" t="inlineStr">
        <is>
          <t>2026-09-23T16:16:45.839135Z</t>
        </is>
      </c>
      <c r="BI292" s="24" t="inlineStr">
        <is>
          <t>["same_event","same_team_same_day","same_league_same_day"]</t>
        </is>
      </c>
      <c r="BJ292" s="25" t="n"/>
      <c r="BK292" s="26" t="n">
        <v>170</v>
      </c>
      <c r="BL292" s="27" t="n">
        <v>2.7</v>
      </c>
      <c r="BM292" s="28" t="n">
        <v>0.37037</v>
      </c>
      <c r="BN292" s="28" t="n"/>
      <c r="BO292" s="28" t="n"/>
      <c r="BP292" s="25" t="n"/>
      <c r="BQ292" s="27" t="n">
        <v>1.613497</v>
      </c>
      <c r="BR292" s="28" t="n">
        <v>0.62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0.37037</t>
        </is>
      </c>
      <c r="DK292" s="24" t="n"/>
      <c r="DL292" s="24" t="n"/>
      <c r="DM292" s="24" t="n"/>
      <c r="DN292" s="24" t="n"/>
      <c r="DO292" s="24" t="n"/>
      <c r="DP292" s="24" t="n"/>
      <c r="DQ292" s="24" t="inlineStr">
        <is>
          <t>{"artifact_hash": "465ce4ed869974960e64484eed8f34f6f37dfa02313d8e487ef5ee7a8f8a4ad0", "away_team": "The Otter Side", "event_id": "122366", "event_start_utc": "2026-09-23T17:00:00Z", "features": {"away_elo": 1642.269093, "away_history_count": 39, "home_elo": 1688.652813, "home_history_count": 39}, "historical_source_observation_times_verified": false, "home_team": "CITA Kaizen", "inference_inputs": {"book_state": {"games_played": {"bo3:3:19209": 39, "bo3:3:21115": 39}, "inactivity_half_life_days": null, "inactivity_max_pull": null, "k": 40.0, "last_match_utc": {"bo3:3:19209": "2026-09-22T15:00:00Z", "bo3:3:21115": "2026-09-22T16:55:00Z"}, "minimum_reliable_games": null, "platt_intercept": 0.0854736317814022, "platt_slope": 0.80739690302065, "ratings": {"bo3:3:19209": 1688.652813, "bo3:3:21115": 1642.269093},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["bo3:3:19209", "bo3:3:21115"]}, "market_type": "moneyline", "model_version": "lol-tiered-elo-v6", "observed_at_utc": "2026-09-23T16:16:33.533072+00:00", "probabilities": {"away": 0.437095, "home": 0.562905}, "replay_scope": "Exact serving book state, calibration, temperature, inactivity reference and thin-history adjustments; training provenance not certified.", "schema": "esports-elo-replay-v1", "snapshot_hash": "33970331c318048c590ec9712c5eaf53f030fe943f7fe850aabeee078ff8bebd", "sport": "LOL"}</t>
        </is>
      </c>
    </row>
    <row r="293" ht="36" customHeight="1">
      <c r="A293" s="24" t="inlineStr">
        <is>
          <t>837bd991f41c426c</t>
        </is>
      </c>
      <c r="B293" s="24" t="inlineStr">
        <is>
          <t>2026-09-23T16:17:20.615768Z</t>
        </is>
      </c>
      <c r="C293" s="24" t="inlineStr">
        <is>
          <t>2026-09-23T17:00:00Z</t>
        </is>
      </c>
      <c r="D293" s="24" t="inlineStr">
        <is>
          <t>122365</t>
        </is>
      </c>
      <c r="E293" s="24" t="inlineStr">
        <is>
          <t>LOL</t>
        </is>
      </c>
      <c r="F293" s="24" t="inlineStr">
        <is>
          <t>Verdant</t>
        </is>
      </c>
      <c r="G293" s="24" t="inlineStr">
        <is>
          <t>SU Esports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156</v>
      </c>
      <c r="M293" s="27" t="n">
        <v>2.56</v>
      </c>
      <c r="N293" s="28" t="n">
        <v>0.390625</v>
      </c>
      <c r="O293" s="28" t="n">
        <v>0.6114889999999999</v>
      </c>
      <c r="P293" s="28" t="n"/>
      <c r="Q293" s="28" t="n">
        <v>0.220864</v>
      </c>
      <c r="R293" s="26" t="n">
        <v>100</v>
      </c>
      <c r="S293" s="29" t="n">
        <v>2</v>
      </c>
      <c r="T293" s="24" t="inlineStr">
        <is>
          <t>lol-tiered-elo-v6</t>
        </is>
      </c>
      <c r="U293" s="24" t="inlineStr">
        <is>
          <t>settled</t>
        </is>
      </c>
      <c r="V293" s="24" t="inlineStr">
        <is>
          <t>loss</t>
        </is>
      </c>
      <c r="W293" s="26" t="n">
        <v>0</v>
      </c>
      <c r="X293" s="26" t="n">
        <v>1</v>
      </c>
      <c r="Y293" s="25" t="n"/>
      <c r="Z293" s="26" t="n"/>
      <c r="AA293" s="28" t="n"/>
      <c r="AB293" s="28" t="n"/>
      <c r="AC293" s="30" t="n">
        <v>-2</v>
      </c>
      <c r="AD293" s="24" t="inlineStr">
        <is>
          <t>2026-09-23T22:26:42.836380Z</t>
        </is>
      </c>
      <c r="AE293" s="31" t="inlineStr">
        <is>
          <t>Neutral Elo baseline; executable ask 0.3900 (market_slug=aec-lol-su-vdn-2026-09-23).</t>
        </is>
      </c>
      <c r="AF293" s="31" t="inlineStr">
        <is>
          <t>Config-promoted esports baseline; gates enforced at log time.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4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Verdant</t>
        </is>
      </c>
      <c r="AQ293" s="24" t="inlineStr">
        <is>
          <t>Verdant</t>
        </is>
      </c>
      <c r="AR293" s="24" t="inlineStr">
        <is>
          <t>Verdant</t>
        </is>
      </c>
      <c r="AS293" s="24" t="inlineStr">
        <is>
          <t>SU Esports</t>
        </is>
      </c>
      <c r="AT293" s="24" t="inlineStr">
        <is>
          <t>SU Esports</t>
        </is>
      </c>
      <c r="AU293" s="24" t="inlineStr">
        <is>
          <t>SU Esports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465ce4ed869974960e64484eed8f34f6f37dfa02313d8e487ef5ee7a8f8a4ad0</t>
        </is>
      </c>
      <c r="BB293" s="24" t="inlineStr">
        <is>
          <t>neutral_elo</t>
        </is>
      </c>
      <c r="BC293" s="24" t="inlineStr">
        <is>
          <t>lol-tiered-elo-v6</t>
        </is>
      </c>
      <c r="BD293" s="24" t="inlineStr">
        <is>
          <t>465ce4ed869974960e64484eed8f34f6f37dfa02313d8e487ef5ee7a8f8a4ad0</t>
        </is>
      </c>
      <c r="BE293" s="24" t="inlineStr">
        <is>
          <t>1</t>
        </is>
      </c>
      <c r="BF293" s="24" t="inlineStr">
        <is>
          <t>1</t>
        </is>
      </c>
      <c r="BG293" s="24" t="inlineStr">
        <is>
          <t>lol-tiered-elo-v6</t>
        </is>
      </c>
      <c r="BH293" s="24" t="inlineStr">
        <is>
          <t>2026-09-23T16:16:46.852937Z</t>
        </is>
      </c>
      <c r="BI293" s="24" t="inlineStr">
        <is>
          <t>["same_event","same_team_same_day","same_league_same_day"]</t>
        </is>
      </c>
      <c r="BJ293" s="25" t="n"/>
      <c r="BK293" s="26" t="n">
        <v>156</v>
      </c>
      <c r="BL293" s="27" t="n">
        <v>2.56</v>
      </c>
      <c r="BM293" s="28" t="n">
        <v>0.390625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0.390625</t>
        </is>
      </c>
      <c r="DK293" s="24" t="n"/>
      <c r="DL293" s="24" t="n"/>
      <c r="DM293" s="24" t="n"/>
      <c r="DN293" s="24" t="n"/>
      <c r="DO293" s="24" t="n"/>
      <c r="DP293" s="24" t="n"/>
      <c r="DQ293" s="24" t="inlineStr">
        <is>
          <t>{"artifact_hash": "465ce4ed869974960e64484eed8f34f6f37dfa02313d8e487ef5ee7a8f8a4ad0", "away_team": "Verdant", "event_id": "122365", "event_start_utc": "2026-09-23T17:00:00Z", "features": {"away_elo": 1682.392486, "away_history_count": 104, "home_elo": 1547.665743, "home_history_count": 39}, "historical_source_observation_times_verified": false, "home_team": "SU Esports", "inference_inputs": {"book_state": {"games_played": {"bo3:3:17112": 104, "bo3:3:21061": 39}, "inactivity_half_life_days": null, "inactivity_max_pull": null, "k": 40.0, "last_match_utc": {"bo3:3:17112": "2026-09-22T16:45:00Z", "bo3:3:21061": "2026-09-22T15:00:00Z"}, "minimum_reliable_games": null, "platt_intercept": 0.0854736317814022, "platt_slope": 0.80739690302065, "ratings": {"bo3:3:17112": 1682.392486, "bo3:3:21061": 1547.665743},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["bo3:3:21061", "bo3:3:17112"]}, "market_type": "moneyline", "model_version": "lol-tiered-elo-v6", "observed_at_utc": "2026-09-23T16:16:33.533072+00:00", "probabilities": {"away": 0.611489, "home": 0.388511}, "replay_scope": "Exact serving book state, calibration, temperature, inactivity reference and thin-history adjustments; training provenance not certified.", "schema": "esports-elo-replay-v1", "snapshot_hash": "b49cfc446c60ee517e5bc84412d1ea7f1a40eefa2a3dbd0633eff52c71bed6cf", "sport": "LOL"}</t>
        </is>
      </c>
    </row>
    <row r="294" ht="36" customHeight="1">
      <c r="A294" s="24" t="inlineStr">
        <is>
          <t>b69dd24429974222</t>
        </is>
      </c>
      <c r="B294" s="24" t="inlineStr">
        <is>
          <t>2026-09-24T04:44:48.813401Z</t>
        </is>
      </c>
      <c r="C294" s="24" t="inlineStr">
        <is>
          <t>2026-09-24T09:00:00Z</t>
        </is>
      </c>
      <c r="D294" s="24" t="inlineStr">
        <is>
          <t>120070</t>
        </is>
      </c>
      <c r="E294" s="24" t="inlineStr">
        <is>
          <t>LOL</t>
        </is>
      </c>
      <c r="F294" s="24" t="inlineStr">
        <is>
          <t>KT Rolster Challengers</t>
        </is>
      </c>
      <c r="G294" s="24" t="inlineStr">
        <is>
          <t>⁠Movistar KOI Fénix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138</v>
      </c>
      <c r="M294" s="27" t="n">
        <v>2.38</v>
      </c>
      <c r="N294" s="28" t="n">
        <v>0.420168</v>
      </c>
      <c r="O294" s="28" t="n">
        <v>0.658269</v>
      </c>
      <c r="P294" s="28" t="n"/>
      <c r="Q294" s="28" t="n">
        <v>0.238101</v>
      </c>
      <c r="R294" s="26" t="n">
        <v>100</v>
      </c>
      <c r="S294" s="29" t="n">
        <v>2</v>
      </c>
      <c r="T294" s="24" t="inlineStr">
        <is>
          <t>lol-tiered-elo-v6</t>
        </is>
      </c>
      <c r="U294" s="24" t="inlineStr">
        <is>
          <t>settled</t>
        </is>
      </c>
      <c r="V294" s="24" t="inlineStr">
        <is>
          <t>loss</t>
        </is>
      </c>
      <c r="W294" s="26" t="n">
        <v>1</v>
      </c>
      <c r="X294" s="26" t="n">
        <v>0</v>
      </c>
      <c r="Y294" s="25" t="n"/>
      <c r="Z294" s="26" t="n"/>
      <c r="AA294" s="28" t="n"/>
      <c r="AB294" s="28" t="n"/>
      <c r="AC294" s="30" t="n">
        <v>-2</v>
      </c>
      <c r="AD294" s="24" t="inlineStr">
        <is>
          <t>2026-09-24T10:01:45.024053Z</t>
        </is>
      </c>
      <c r="AE294" s="31" t="inlineStr">
        <is>
          <t>Neutral Elo baseline; executable ask 0.4200 (market_slug=aec-lol-mkf-ktc-2026-09-24).</t>
        </is>
      </c>
      <c r="AF294" s="31" t="inlineStr">
        <is>
          <t>Config-promoted esports baseline; gates enforced at log time.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4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KT Rolster Challengers</t>
        </is>
      </c>
      <c r="AQ294" s="24" t="inlineStr">
        <is>
          <t>KT Rolster Challengers</t>
        </is>
      </c>
      <c r="AR294" s="24" t="inlineStr">
        <is>
          <t>KT Rolster Challengers</t>
        </is>
      </c>
      <c r="AS294" s="24" t="inlineStr">
        <is>
          <t>⁠Movistar KOI Fénix</t>
        </is>
      </c>
      <c r="AT294" s="24" t="inlineStr">
        <is>
          <t>⁠Movistar KOI Fénix</t>
        </is>
      </c>
      <c r="AU294" s="24" t="inlineStr">
        <is>
          <t>⁠Movistar KOI Fénix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7c68077f8e5016ac4041c7fc9bcd4f7851f38e082dcea183b050d1886f626a6a</t>
        </is>
      </c>
      <c r="BB294" s="24" t="inlineStr">
        <is>
          <t>neutral_elo</t>
        </is>
      </c>
      <c r="BC294" s="24" t="inlineStr">
        <is>
          <t>lol-tiered-elo-v6</t>
        </is>
      </c>
      <c r="BD294" s="24" t="inlineStr">
        <is>
          <t>7c68077f8e5016ac4041c7fc9bcd4f7851f38e082dcea183b050d1886f626a6a</t>
        </is>
      </c>
      <c r="BE294" s="24" t="inlineStr">
        <is>
          <t>1</t>
        </is>
      </c>
      <c r="BF294" s="24" t="inlineStr">
        <is>
          <t>1</t>
        </is>
      </c>
      <c r="BG294" s="24" t="inlineStr">
        <is>
          <t>lol-tiered-elo-v6</t>
        </is>
      </c>
      <c r="BH294" s="24" t="inlineStr">
        <is>
          <t>2026-09-24T04:44:02.444704Z</t>
        </is>
      </c>
      <c r="BI294" s="24" t="inlineStr">
        <is>
          <t>["same_event","same_team_same_day","same_league_same_day"]</t>
        </is>
      </c>
      <c r="BJ294" s="25" t="n"/>
      <c r="BK294" s="26" t="n">
        <v>138</v>
      </c>
      <c r="BL294" s="27" t="n">
        <v>2.38</v>
      </c>
      <c r="BM294" s="28" t="n">
        <v>0.420168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0.420168</t>
        </is>
      </c>
      <c r="DK294" s="24" t="n"/>
      <c r="DL294" s="24" t="n"/>
      <c r="DM294" s="24" t="n"/>
      <c r="DN294" s="24" t="n"/>
      <c r="DO294" s="24" t="n"/>
      <c r="DP294" s="24" t="n"/>
      <c r="DQ294" s="24" t="inlineStr">
        <is>
          <t>{"artifact_hash": "7c68077f8e5016ac4041c7fc9bcd4f7851f38e082dcea183b050d1886f626a6a", "away_team": "KT Rolster Challengers", "event_id": "120070", "event_start_utc": "2026-09-24T09:00:00Z", "features": {"away_elo": 1810.299309, "away_history_count": 154, "home_elo": 1959.36824, "home_history_count": 60}, "historical_source_observation_times_verified": false, "home_team": "\u2060Movistar KOI F\u00e9nix", "inference_inputs": {"book_state": {"games_played": {"bo3:3:17264": 154, "bo3:3:20584": 60}, "inactivity_half_life_days": null, "inactivity_max_pull": null, "k": 40.0, "last_match_utc": {"bo3:3:17264": "2026-09-22T09:45:00Z", "bo3:3:20584": "2026-09-22T10:45:00Z"}, "minimum_reliable_games": null, "platt_intercept": 0.09047549122372084, "platt_slope": 0.8083410358536511, "ratings": {"bo3:3:17264": 1810.299309, "bo3:3:20584": 1959.36824},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"2026-09-24T04:43:46.468117+00:00", "team_ids": ["bo3:3:20584", "bo3:3:17264"]}, "market_type": "moneyline", "model_version": "lol-tiered-elo-v6", "observed_at_utc": "2026-09-24T04:43:46.468117+00:00", "probabilities": {"away": 0.341731, "home": 0.658269}, "replay_scope": "Exact serving book state, calibration, temperature, inactivity reference and thin-history adjustments; training provenance not certified.", "schema": "esports-elo-replay-v1", "snapshot_hash": "8bcc4c3aedd6b97297c1d67423aad55cf3bb5faa0012150ec2520ad7346c326b", "sport": "LOL"}</t>
        </is>
      </c>
    </row>
    <row r="295" ht="36" customHeight="1">
      <c r="A295" s="24" t="inlineStr">
        <is>
          <t>c5ef73508f354f18</t>
        </is>
      </c>
      <c r="B295" s="24" t="inlineStr">
        <is>
          <t>2026-09-24T10:13:06.296851Z</t>
        </is>
      </c>
      <c r="C295" s="24" t="inlineStr">
        <is>
          <t>2026-09-24T15:00:00Z</t>
        </is>
      </c>
      <c r="D295" s="24" t="inlineStr">
        <is>
          <t>124158</t>
        </is>
      </c>
      <c r="E295" s="24" t="inlineStr">
        <is>
          <t>LOL</t>
        </is>
      </c>
      <c r="F295" s="24" t="inlineStr">
        <is>
          <t>Kawaii Kiwis</t>
        </is>
      </c>
      <c r="G295" s="24" t="inlineStr">
        <is>
          <t>Guinea Pink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156</v>
      </c>
      <c r="M295" s="27" t="n">
        <v>2.56</v>
      </c>
      <c r="N295" s="28" t="n">
        <v>0.390625</v>
      </c>
      <c r="O295" s="28" t="n">
        <v>0.510101</v>
      </c>
      <c r="P295" s="28" t="n"/>
      <c r="Q295" s="28" t="n">
        <v>0.119476</v>
      </c>
      <c r="R295" s="26" t="n">
        <v>80</v>
      </c>
      <c r="S295" s="29" t="n">
        <v>1.5</v>
      </c>
      <c r="T295" s="24" t="inlineStr">
        <is>
          <t>lol-tiered-elo-v6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/>
      <c r="AA295" s="28" t="n"/>
      <c r="AB295" s="28" t="n"/>
      <c r="AC295" s="30" t="n">
        <v>-1.5</v>
      </c>
      <c r="AD295" s="24" t="inlineStr">
        <is>
          <t>2026-09-24T22:02:12.563873Z</t>
        </is>
      </c>
      <c r="AE295" s="31" t="inlineStr">
        <is>
          <t>Neutral Elo baseline; executable ask 0.3900 (market_slug=aec-lol-gp-kwk-2026-09-24).</t>
        </is>
      </c>
      <c r="AF295" s="31" t="inlineStr">
        <is>
          <t>Config-promoted esports baseline; gates enforced at log time.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Kawaii Kiwis</t>
        </is>
      </c>
      <c r="AQ295" s="24" t="inlineStr">
        <is>
          <t>Kawaii Kiwis</t>
        </is>
      </c>
      <c r="AR295" s="24" t="inlineStr">
        <is>
          <t>Kawaii Kiwis</t>
        </is>
      </c>
      <c r="AS295" s="24" t="inlineStr">
        <is>
          <t>Guinea Pink</t>
        </is>
      </c>
      <c r="AT295" s="24" t="inlineStr">
        <is>
          <t>Guinea Pink</t>
        </is>
      </c>
      <c r="AU295" s="24" t="inlineStr">
        <is>
          <t>Guinea Pink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8193ad7bec2317f09ab9c52b7a429a664f4bdfe47cd18ca751bc7d5296d751be</t>
        </is>
      </c>
      <c r="BB295" s="24" t="inlineStr">
        <is>
          <t>neutral_elo</t>
        </is>
      </c>
      <c r="BC295" s="24" t="inlineStr">
        <is>
          <t>lol-tiered-elo-v6</t>
        </is>
      </c>
      <c r="BD295" s="24" t="inlineStr">
        <is>
          <t>8193ad7bec2317f09ab9c52b7a429a664f4bdfe47cd18ca751bc7d5296d751be</t>
        </is>
      </c>
      <c r="BE295" s="24" t="inlineStr">
        <is>
          <t>1</t>
        </is>
      </c>
      <c r="BF295" s="24" t="inlineStr">
        <is>
          <t>1</t>
        </is>
      </c>
      <c r="BG295" s="24" t="inlineStr">
        <is>
          <t>lol-tiered-elo-v6</t>
        </is>
      </c>
      <c r="BH295" s="24" t="inlineStr">
        <is>
          <t>2026-09-24T10:12:44.095115Z</t>
        </is>
      </c>
      <c r="BI295" s="24" t="inlineStr">
        <is>
          <t>["same_event","same_team_same_day","same_league_same_day"]</t>
        </is>
      </c>
      <c r="BJ295" s="25" t="n"/>
      <c r="BK295" s="26" t="n">
        <v>156</v>
      </c>
      <c r="BL295" s="27" t="n">
        <v>2.56</v>
      </c>
      <c r="BM295" s="28" t="n">
        <v>0.390625</v>
      </c>
      <c r="BN295" s="28" t="n"/>
      <c r="BO295" s="28" t="n"/>
      <c r="BP295" s="25" t="n"/>
      <c r="BQ295" s="27" t="n"/>
      <c r="BR295" s="28" t="n"/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0.390625</t>
        </is>
      </c>
      <c r="DK295" s="24" t="n"/>
      <c r="DL295" s="24" t="n"/>
      <c r="DM295" s="24" t="n"/>
      <c r="DN295" s="24" t="n"/>
      <c r="DO295" s="24" t="n"/>
      <c r="DP295" s="24" t="n"/>
      <c r="DQ295" s="24" t="inlineStr">
        <is>
          <t>{"artifact_hash": "8193ad7bec2317f09ab9c52b7a429a664f4bdfe47cd18ca751bc7d5296d751be", "away_team": "Kawaii Kiwis", "event_id": "124158", "event_start_utc": "2026-09-24T15:00:00Z", "features": {"away_elo": 1502.986883, "away_history_count": 3, "home_elo": 1501.374175, "home_history_count": 2}, "historical_source_observation_times_verified": false, "home_team": "Guinea Pink", "inference_inputs": {"book_state": {"games_played": {"bo3:3:16970": 3, "bo3:3:18563": 2}, "inactivity_half_life_days": null, "inactivity_max_pull": null, "k": 40.0, "last_match_utc": {"bo3:3:16970": "2026-09-23T15:00:00Z", "bo3:3:18563": "2024-10-24T17:45:00Z"}, "minimum_reliable_games": null, "platt_intercept": 0.09067691712818289, "platt_slope": 0.8048135509263525, "ratings": {"bo3:3:16970": 1502.986883, "bo3:3:18563": 1501.374175},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"2026-09-24T10:12:26.739430+00:00", "team_ids": ["bo3:3:18563", "bo3:3:16970"]}, "market_type": "moneyline", "model_version": "lol-tiered-elo-v6", "observed_at_utc": "2026-09-24T10:12:26.739430+00:00", "probabilities": {"away": 0.489899, "home": 0.510101}, "replay_scope": "Exact serving book state, calibration, temperature, inactivity reference and thin-history adjustments; training provenance not certified.", "schema": "esports-elo-replay-v1", "snapshot_hash": "987db7c95b876366002025e4376079a066712b63a559abe55c07b019bbc2d025", "sport": "LOL"}</t>
        </is>
      </c>
    </row>
    <row r="296" ht="36" customHeight="1">
      <c r="A296" s="24" t="inlineStr">
        <is>
          <t>7fc9f9ba077e4371</t>
        </is>
      </c>
      <c r="B296" s="24" t="inlineStr">
        <is>
          <t>2026-09-25T04:45:05.833268Z</t>
        </is>
      </c>
      <c r="C296" s="24" t="inlineStr">
        <is>
          <t>2026-09-25T09:00:00Z</t>
        </is>
      </c>
      <c r="D296" s="24" t="inlineStr">
        <is>
          <t>121729</t>
        </is>
      </c>
      <c r="E296" s="24" t="inlineStr">
        <is>
          <t>LOL</t>
        </is>
      </c>
      <c r="F296" s="24" t="inlineStr">
        <is>
          <t>Galions</t>
        </is>
      </c>
      <c r="G296" s="24" t="inlineStr">
        <is>
          <t>Solary</t>
        </is>
      </c>
      <c r="H296" s="24" t="inlineStr">
        <is>
          <t>moneyline</t>
        </is>
      </c>
      <c r="I296" s="24" t="inlineStr">
        <is>
          <t>away</t>
        </is>
      </c>
      <c r="J296" s="25" t="n"/>
      <c r="K296" s="24" t="inlineStr">
        <is>
          <t>polymarket_us</t>
        </is>
      </c>
      <c r="L296" s="26" t="n">
        <v>-117</v>
      </c>
      <c r="M296" s="27" t="n">
        <v>1.854701</v>
      </c>
      <c r="N296" s="28" t="n">
        <v>0.539171</v>
      </c>
      <c r="O296" s="28" t="n">
        <v>0.505466</v>
      </c>
      <c r="P296" s="28" t="n"/>
      <c r="Q296" s="28" t="n">
        <v>-0.033705</v>
      </c>
      <c r="R296" s="26" t="n">
        <v>3</v>
      </c>
      <c r="S296" s="29" t="n">
        <v>1</v>
      </c>
      <c r="T296" s="24" t="inlineStr">
        <is>
          <t>lol-tiered-elo-v6</t>
        </is>
      </c>
      <c r="U296" s="24" t="inlineStr">
        <is>
          <t>settled</t>
        </is>
      </c>
      <c r="V296" s="24" t="inlineStr">
        <is>
          <t>loss</t>
        </is>
      </c>
      <c r="W296" s="26" t="n">
        <v>0</v>
      </c>
      <c r="X296" s="26" t="n">
        <v>1</v>
      </c>
      <c r="Y296" s="25" t="n"/>
      <c r="Z296" s="26" t="n">
        <v>-178</v>
      </c>
      <c r="AA296" s="28" t="n">
        <v>0.64</v>
      </c>
      <c r="AB296" s="28" t="n">
        <v>0.100829</v>
      </c>
      <c r="AC296" s="30" t="n">
        <v>-1</v>
      </c>
      <c r="AD296" s="24" t="inlineStr">
        <is>
          <t>2026-09-25T10:01:23.315373Z</t>
        </is>
      </c>
      <c r="AE296" s="31" t="inlineStr">
        <is>
          <t>Neutral Elo baseline; executable ask 0.5400 (market_slug=aec-lol-sly-gal-2026-09-25).</t>
        </is>
      </c>
      <c r="AF296" s="31" t="inlineStr">
        <is>
          <t>Config-promoted esports baseline; gates enforced at log time.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PAPER_CALL_LOW_EDGE</t>
        </is>
      </c>
      <c r="AP296" s="24" t="inlineStr">
        <is>
          <t>Galions</t>
        </is>
      </c>
      <c r="AQ296" s="24" t="inlineStr">
        <is>
          <t>Galions</t>
        </is>
      </c>
      <c r="AR296" s="24" t="inlineStr">
        <is>
          <t>Galions</t>
        </is>
      </c>
      <c r="AS296" s="24" t="inlineStr">
        <is>
          <t>Solary</t>
        </is>
      </c>
      <c r="AT296" s="24" t="inlineStr">
        <is>
          <t>Solary</t>
        </is>
      </c>
      <c r="AU296" s="24" t="inlineStr">
        <is>
          <t>Solary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3061e2d40901ad1435ccb09a54b216b1898a9be1ec38a0f6201e2371b92f1297</t>
        </is>
      </c>
      <c r="BB296" s="24" t="inlineStr">
        <is>
          <t>neutral_elo</t>
        </is>
      </c>
      <c r="BC296" s="24" t="inlineStr">
        <is>
          <t>lol-tiered-elo-v6</t>
        </is>
      </c>
      <c r="BD296" s="24" t="inlineStr">
        <is>
          <t>3061e2d40901ad1435ccb09a54b216b1898a9be1ec38a0f6201e2371b92f1297</t>
        </is>
      </c>
      <c r="BE296" s="24" t="inlineStr">
        <is>
          <t>1</t>
        </is>
      </c>
      <c r="BF296" s="24" t="inlineStr">
        <is>
          <t>1</t>
        </is>
      </c>
      <c r="BG296" s="24" t="inlineStr">
        <is>
          <t>lol-tiered-elo-v6</t>
        </is>
      </c>
      <c r="BH296" s="24" t="inlineStr">
        <is>
          <t>2026-09-25T04:43:45.607884Z</t>
        </is>
      </c>
      <c r="BI296" s="24" t="inlineStr">
        <is>
          <t>["same_event","same_team_same_day","same_league_same_day"]</t>
        </is>
      </c>
      <c r="BJ296" s="25" t="n"/>
      <c r="BK296" s="26" t="n">
        <v>-117</v>
      </c>
      <c r="BL296" s="27" t="n">
        <v>1.854701</v>
      </c>
      <c r="BM296" s="28" t="n">
        <v>0.539171</v>
      </c>
      <c r="BN296" s="28" t="n"/>
      <c r="BO296" s="28" t="n"/>
      <c r="BP296" s="25" t="n"/>
      <c r="BQ296" s="27" t="n">
        <v>1.561798</v>
      </c>
      <c r="BR296" s="28" t="n">
        <v>0.64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False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0.539171</t>
        </is>
      </c>
      <c r="DK296" s="24" t="n"/>
      <c r="DL296" s="24" t="n"/>
      <c r="DM296" s="24" t="n"/>
      <c r="DN296" s="24" t="n"/>
      <c r="DO296" s="24" t="n"/>
      <c r="DP296" s="24" t="n"/>
      <c r="DQ296" s="24" t="inlineStr">
        <is>
          <t>{"artifact_hash": "3061e2d40901ad1435ccb09a54b216b1898a9be1ec38a0f6201e2371b92f1297", "away_team": "Galions", "event_id": "121729", "event_start_utc": "2026-09-25T09:00:00Z", "features": {"away_elo": 1890.889177, "away_history_count": 106, "home_elo": 1865.792908, "home_history_count": 127}, "historical_source_observation_times_verified": false, "home_team": "Solary", "inference_inputs": {"book_state": {"games_played": {"bo3:3:17873": 127, "bo3:3:18886": 106}, "inactivity_half_life_days": null, "inactivity_max_pull": null, "k": 40.0, "last_match_utc": {"bo3:3:17873": "2026-09-23T10:45:00Z", "bo3:3:18886": "2026-09-23T09:45:00Z"}, "minimum_reliable_games": null, "platt_intercept": 0.08791418716723377, "platt_slope": 0.8046580862183896, "ratings": {"bo3:3:17873": 1865.792908, "bo3:3:18886": 1890.889177},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"2026-09-25T04:43:30.829001+00:00", "team_ids": ["bo3:3:17873", "bo3:3:18886"]}, "market_type": "moneyline", "model_version": "lol-tiered-elo-v6", "observed_at_utc": "2026-09-25T04:43:30.829001+00:00", "probabilities": {"away": 0.505466, "home": 0.494534}, "replay_scope": "Exact serving book state, calibration, temperature, inactivity reference and thin-history adjustments; training provenance not certified.", "schema": "esports-elo-replay-v1", "snapshot_hash": "14b238f963b711b716c4816d5537b0843ed0350f0e9154fad7ceb65bb915b6a1", "sport": "LOL"}</t>
        </is>
      </c>
    </row>
    <row r="297" ht="36" customHeight="1">
      <c r="A297" s="24" t="inlineStr">
        <is>
          <t>b569cef5f443421e</t>
        </is>
      </c>
      <c r="B297" s="24" t="inlineStr">
        <is>
          <t>2026-09-26T16:02:43.018712Z</t>
        </is>
      </c>
      <c r="C297" s="24" t="inlineStr">
        <is>
          <t>2026-09-26T19:00:00Z</t>
        </is>
      </c>
      <c r="D297" s="24" t="inlineStr">
        <is>
          <t>124779</t>
        </is>
      </c>
      <c r="E297" s="24" t="inlineStr">
        <is>
          <t>LOL</t>
        </is>
      </c>
      <c r="F297" s="24" t="inlineStr">
        <is>
          <t xml:space="preserve">PCIFIC </t>
        </is>
      </c>
      <c r="G297" s="24" t="inlineStr">
        <is>
          <t>Unicorns Of Love Sexy Edition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-213</v>
      </c>
      <c r="M297" s="27" t="n">
        <v>1.469484</v>
      </c>
      <c r="N297" s="28" t="n">
        <v>0.680511</v>
      </c>
      <c r="O297" s="28" t="n">
        <v>0.685547</v>
      </c>
      <c r="P297" s="28" t="n"/>
      <c r="Q297" s="28" t="n">
        <v>0.005036</v>
      </c>
      <c r="R297" s="26" t="n">
        <v>23</v>
      </c>
      <c r="S297" s="29" t="n">
        <v>1</v>
      </c>
      <c r="T297" s="24" t="inlineStr">
        <is>
          <t>lol-tiered-elo-v6</t>
        </is>
      </c>
      <c r="U297" s="24" t="inlineStr">
        <is>
          <t>settled</t>
        </is>
      </c>
      <c r="V297" s="24" t="inlineStr">
        <is>
          <t>win</t>
        </is>
      </c>
      <c r="W297" s="26" t="n">
        <v>0</v>
      </c>
      <c r="X297" s="26" t="n">
        <v>1</v>
      </c>
      <c r="Y297" s="25" t="n"/>
      <c r="Z297" s="26" t="n">
        <v>-317</v>
      </c>
      <c r="AA297" s="28" t="n">
        <v>0.76</v>
      </c>
      <c r="AB297" s="28" t="n">
        <v>0.079489</v>
      </c>
      <c r="AC297" s="30" t="n">
        <v>0.4695</v>
      </c>
      <c r="AD297" s="24" t="inlineStr">
        <is>
          <t>2026-09-26T22:02:52.341628Z</t>
        </is>
      </c>
      <c r="AE297" s="31" t="inlineStr">
        <is>
          <t>Neutral Elo baseline; executable ask 0.6800 (market_slug=aec-lol-use-pcific-2026-09-26).</t>
        </is>
      </c>
      <c r="AF297" s="31" t="inlineStr">
        <is>
          <t>Config-promoted esports baseline; gates enforced at log time.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 xml:space="preserve">PCIFIC </t>
        </is>
      </c>
      <c r="AQ297" s="24" t="inlineStr">
        <is>
          <t xml:space="preserve">PCIFIC </t>
        </is>
      </c>
      <c r="AR297" s="24" t="inlineStr">
        <is>
          <t xml:space="preserve">PCIFIC </t>
        </is>
      </c>
      <c r="AS297" s="24" t="inlineStr">
        <is>
          <t>Unicorns Of Love Sexy Edition</t>
        </is>
      </c>
      <c r="AT297" s="24" t="inlineStr">
        <is>
          <t>Unicorns Of Love Sexy Edition</t>
        </is>
      </c>
      <c r="AU297" s="24" t="inlineStr">
        <is>
          <t>Unicorns Of Love Sexy Edition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7a7e39758b1c5d2988b326696403f648ba363c3df0b14222ae6af0cdb0c0cc3e</t>
        </is>
      </c>
      <c r="BB297" s="24" t="inlineStr">
        <is>
          <t>neutral_elo</t>
        </is>
      </c>
      <c r="BC297" s="24" t="inlineStr">
        <is>
          <t>lol-tiered-elo-v6</t>
        </is>
      </c>
      <c r="BD297" s="24" t="inlineStr">
        <is>
          <t>7a7e39758b1c5d2988b326696403f648ba363c3df0b14222ae6af0cdb0c0cc3e</t>
        </is>
      </c>
      <c r="BE297" s="24" t="inlineStr">
        <is>
          <t>1</t>
        </is>
      </c>
      <c r="BF297" s="24" t="inlineStr">
        <is>
          <t>1</t>
        </is>
      </c>
      <c r="BG297" s="24" t="inlineStr">
        <is>
          <t>lol-tiered-elo-v6</t>
        </is>
      </c>
      <c r="BH297" s="24" t="inlineStr">
        <is>
          <t>2026-09-26T16:02:17.517081Z</t>
        </is>
      </c>
      <c r="BI297" s="24" t="inlineStr">
        <is>
          <t>["same_event","same_team_same_day","same_league_same_day"]</t>
        </is>
      </c>
      <c r="BJ297" s="25" t="n"/>
      <c r="BK297" s="26" t="n">
        <v>-213</v>
      </c>
      <c r="BL297" s="27" t="n">
        <v>1.469484</v>
      </c>
      <c r="BM297" s="28" t="n">
        <v>0.680511</v>
      </c>
      <c r="BN297" s="28" t="n"/>
      <c r="BO297" s="28" t="n"/>
      <c r="BP297" s="25" t="n"/>
      <c r="BQ297" s="27" t="n">
        <v>1.315457</v>
      </c>
      <c r="BR297" s="28" t="n">
        <v>0.76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0.680511</t>
        </is>
      </c>
      <c r="DK297" s="24" t="n"/>
      <c r="DL297" s="24" t="n"/>
      <c r="DM297" s="24" t="n"/>
      <c r="DN297" s="24" t="n"/>
      <c r="DO297" s="24" t="n"/>
      <c r="DP297" s="24" t="n"/>
      <c r="DQ297" s="24" t="inlineStr">
        <is>
          <t>{"artifact_hash": "7a7e39758b1c5d2988b326696403f648ba363c3df0b14222ae6af0cdb0c0cc3e", "away_team": "PCIFIC ", "event_id": "124779", "event_start_utc": "2026-09-26T19:00:00Z", "features": {"away_elo": 1573.265351, "away_history_count": 25, "home_elo": 1749.874164, "home_history_count": 140}, "historical_source_observation_times_verified": false, "home_team": "Unicorns Of Love Sexy Edition", "inference_inputs": {"book_state": {"games_played": {"bo3:3:17414": 140, "bo3:3:22396": 25}, "inactivity_half_life_days": null, "inactivity_max_pull": null, "k": 40.0, "last_match_utc": {"bo3:3:17414": "2026-09-22T15:00:00Z", "bo3:3:22396": "2026-09-11T14:40:00Z"}, "minimum_reliable_games": null, "platt_intercept": 0.09057047724004201, "platt_slope": 0.8152531730477908, "ratings": {"bo3:3:17414": 1749.874164, "bo3:3:22396": 1573.265351},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"2026-09-26T15:51:12.355043+00:00", "team_ids": ["bo3:3:17414", "bo3:3:22396"]}, "market_type": "moneyline", "model_version": "lol-tiered-elo-v6", "observed_at_utc": "2026-09-26T15:51:12.355043+00:00", "probabilities": {"away": 0.314453, "home": 0.685547}, "replay_scope": "Exact serving book state, calibration, temperature, inactivity reference and thin-history adjustments; training provenance not certified.", "schema": "esports-elo-replay-v1", "snapshot_hash": "f47e6167dc1d2318d7703fa2c45801e0fd84c0fee362f0ef0fde09206ffa5205", "sport": "LOL"}</t>
        </is>
      </c>
    </row>
    <row r="298" ht="36" customHeight="1">
      <c r="A298" s="24" t="inlineStr">
        <is>
          <t>9e9a32f1233e4212</t>
        </is>
      </c>
      <c r="B298" s="24" t="inlineStr">
        <is>
          <t>2026-09-27T16:27:24.440878Z</t>
        </is>
      </c>
      <c r="C298" s="24" t="inlineStr">
        <is>
          <t>2026-09-27T17:00:00Z</t>
        </is>
      </c>
      <c r="D298" s="24" t="inlineStr">
        <is>
          <t>129125</t>
        </is>
      </c>
      <c r="E298" s="24" t="inlineStr">
        <is>
          <t>LOL</t>
        </is>
      </c>
      <c r="F298" s="24" t="inlineStr">
        <is>
          <t>Skillcamp Esport</t>
        </is>
      </c>
      <c r="G298" s="24" t="inlineStr">
        <is>
          <t>Kaufland Hangry Knights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-138</v>
      </c>
      <c r="M298" s="27" t="n">
        <v>1.724638</v>
      </c>
      <c r="N298" s="28" t="n">
        <v>0.579832</v>
      </c>
      <c r="O298" s="28" t="n">
        <v>0.5714</v>
      </c>
      <c r="P298" s="28" t="n"/>
      <c r="Q298" s="28" t="n">
        <v>-0.008432</v>
      </c>
      <c r="R298" s="26" t="n">
        <v>16</v>
      </c>
      <c r="S298" s="29" t="n">
        <v>1</v>
      </c>
      <c r="T298" s="24" t="inlineStr">
        <is>
          <t>lol-tiered-elo-v6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/>
      <c r="AA298" s="28" t="n"/>
      <c r="AB298" s="28" t="n"/>
      <c r="AC298" s="30" t="n">
        <v>0.7246</v>
      </c>
      <c r="AD298" s="24" t="inlineStr">
        <is>
          <t>2026-09-27T22:02:44.550752Z</t>
        </is>
      </c>
      <c r="AE298" s="31" t="inlineStr">
        <is>
          <t>Neutral Elo baseline; executable ask 0.5800 (market_slug=aec-lol-khk-sc-2026-09-27).</t>
        </is>
      </c>
      <c r="AF298" s="31" t="inlineStr">
        <is>
          <t>Config-promoted esports baseline; gates enforced at log time.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Skillcamp Esport</t>
        </is>
      </c>
      <c r="AQ298" s="24" t="inlineStr">
        <is>
          <t>Skillcamp Esport</t>
        </is>
      </c>
      <c r="AR298" s="24" t="inlineStr">
        <is>
          <t>Skillcamp Esport</t>
        </is>
      </c>
      <c r="AS298" s="24" t="inlineStr">
        <is>
          <t>Kaufland Hangry Knights</t>
        </is>
      </c>
      <c r="AT298" s="24" t="inlineStr">
        <is>
          <t>Kaufland Hangry Knights</t>
        </is>
      </c>
      <c r="AU298" s="24" t="inlineStr">
        <is>
          <t>Kaufland Hangry Knights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eff8232917eb230eb703b198344c889ea5f2d72143d42172b4bc91bc010e3a5c</t>
        </is>
      </c>
      <c r="BB298" s="24" t="inlineStr">
        <is>
          <t>neutral_elo</t>
        </is>
      </c>
      <c r="BC298" s="24" t="inlineStr">
        <is>
          <t>lol-tiered-elo-v6</t>
        </is>
      </c>
      <c r="BD298" s="24" t="inlineStr">
        <is>
          <t>eff8232917eb230eb703b198344c889ea5f2d72143d42172b4bc91bc010e3a5c</t>
        </is>
      </c>
      <c r="BE298" s="24" t="inlineStr">
        <is>
          <t>1</t>
        </is>
      </c>
      <c r="BF298" s="24" t="inlineStr">
        <is>
          <t>1</t>
        </is>
      </c>
      <c r="BG298" s="24" t="inlineStr">
        <is>
          <t>lol-tiered-elo-v6</t>
        </is>
      </c>
      <c r="BH298" s="24" t="inlineStr">
        <is>
          <t>2026-09-27T16:26:39.864256Z</t>
        </is>
      </c>
      <c r="BI298" s="24" t="inlineStr">
        <is>
          <t>["same_event","same_team_same_day","same_league_same_day"]</t>
        </is>
      </c>
      <c r="BJ298" s="25" t="n"/>
      <c r="BK298" s="26" t="n">
        <v>-138</v>
      </c>
      <c r="BL298" s="27" t="n">
        <v>1.724638</v>
      </c>
      <c r="BM298" s="28" t="n">
        <v>0.579832</v>
      </c>
      <c r="BN298" s="28" t="n"/>
      <c r="BO298" s="28" t="n"/>
      <c r="BP298" s="25" t="n"/>
      <c r="BQ298" s="27" t="n"/>
      <c r="BR298" s="28" t="n"/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False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0.579832</t>
        </is>
      </c>
      <c r="DK298" s="24" t="n"/>
      <c r="DL298" s="24" t="n"/>
      <c r="DM298" s="24" t="n"/>
      <c r="DN298" s="24" t="n"/>
      <c r="DO298" s="24" t="n"/>
      <c r="DP298" s="24" t="n"/>
      <c r="DQ298" s="24" t="inlineStr">
        <is>
          <t>{"artifact_hash": "eff8232917eb230eb703b198344c889ea5f2d72143d42172b4bc91bc010e3a5c", "away_team": "Skillcamp Esport", "event_id": "129125", "event_start_utc": "2026-09-27T17:00:00Z", "features": {"away_elo": 1687.438763, "away_history_count": 83, "home_elo": 1597.198968, "home_history_count": 70}, "historical_source_observation_times_verified": false, "home_team": "Kaufland Hangry Knights", "inference_inputs": {"book_state": {"games_played": {"bo3:3:16963": 70, "bo3:3:18323": 83}, "inactivity_half_life_days": null, "inactivity_max_pull": null, "k": 40.0, "last_match_utc": {"bo3:3:16963": "2026-09-26T17:00:00Z", "bo3:3:18323": "2026-09-26T16:00:00Z"}, "minimum_reliable_games": null, "platt_intercept": 0.08737232578295187, "platt_slope": 0.8295090541502813, "ratings": {"bo3:3:16963": 1597.198968, "bo3:3:18323": 1687.438763},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["bo3:3:16963", "bo3:3:18323"]}, "market_type": "moneyline", "model_version": "lol-tiered-elo-v6", "observed_at_utc": "2026-09-27T16:26:32.017580+00:00", "probabilities": {"away": 0.5714, "home": 0.4286}, "replay_scope": "Exact serving book state, calibration, temperature, inactivity reference and thin-history adjustments; training provenance not certified.", "schema": "esports-elo-replay-v1", "snapshot_hash": "20d91960b28b5fe822e055deda3e3d4c23be427ce96cdb9bbd0fd511668dd5e0", "sport": "LOL"}</t>
        </is>
      </c>
    </row>
    <row r="299" ht="36" customHeight="1">
      <c r="A299" s="24" t="inlineStr">
        <is>
          <t>bad3381713444cc4</t>
        </is>
      </c>
      <c r="B299" s="24" t="inlineStr">
        <is>
          <t>2026-09-27T16:27:24.440878Z</t>
        </is>
      </c>
      <c r="C299" s="24" t="inlineStr">
        <is>
          <t>2026-09-27T19:00:00Z</t>
        </is>
      </c>
      <c r="D299" s="24" t="inlineStr">
        <is>
          <t>129132</t>
        </is>
      </c>
      <c r="E299" s="24" t="inlineStr">
        <is>
          <t>LOL</t>
        </is>
      </c>
      <c r="F299" s="24" t="inlineStr">
        <is>
          <t>Gamespace Mediterranean College Esports</t>
        </is>
      </c>
      <c r="G299" s="24" t="inlineStr">
        <is>
          <t>MAGAZA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170</v>
      </c>
      <c r="M299" s="27" t="n">
        <v>2.7</v>
      </c>
      <c r="N299" s="28" t="n">
        <v>0.37037</v>
      </c>
      <c r="O299" s="28" t="n">
        <v>0.577897</v>
      </c>
      <c r="P299" s="28" t="n"/>
      <c r="Q299" s="28" t="n">
        <v>0.207527</v>
      </c>
      <c r="R299" s="26" t="n">
        <v>100</v>
      </c>
      <c r="S299" s="29" t="n">
        <v>2</v>
      </c>
      <c r="T299" s="24" t="inlineStr">
        <is>
          <t>lol-tiered-elo-v6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>
        <v>170</v>
      </c>
      <c r="AA299" s="28" t="n">
        <v>0.37</v>
      </c>
      <c r="AB299" s="28" t="n">
        <v>-0.00037</v>
      </c>
      <c r="AC299" s="30" t="n">
        <v>3.4</v>
      </c>
      <c r="AD299" s="24" t="inlineStr">
        <is>
          <t>2026-09-27T22:02:45.526933Z</t>
        </is>
      </c>
      <c r="AE299" s="31" t="inlineStr">
        <is>
          <t>Neutral Elo baseline; executable ask 0.3700 (market_slug=aec-lol-mgz-gsmc-2026-09-27).</t>
        </is>
      </c>
      <c r="AF299" s="31" t="inlineStr">
        <is>
          <t>Config-promoted esports baseline; gates enforced at log time.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model_qualified</t>
        </is>
      </c>
      <c r="AL299" s="26" t="n">
        <v>4</v>
      </c>
      <c r="AM299" s="24" t="inlineStr">
        <is>
          <t>QUALIFIED_SHADOW_CALL</t>
        </is>
      </c>
      <c r="AN299" s="24" t="inlineStr">
        <is>
          <t>CALL</t>
        </is>
      </c>
      <c r="AO299" s="24" t="inlineStr">
        <is>
          <t>QUALIFIED</t>
        </is>
      </c>
      <c r="AP299" s="24" t="inlineStr">
        <is>
          <t>Gamespace Mediterranean College Esports</t>
        </is>
      </c>
      <c r="AQ299" s="24" t="inlineStr">
        <is>
          <t>Gamespace Mediterranean College Esports</t>
        </is>
      </c>
      <c r="AR299" s="24" t="inlineStr">
        <is>
          <t>Gamespace Mediterranean College Esports</t>
        </is>
      </c>
      <c r="AS299" s="24" t="inlineStr">
        <is>
          <t>MAGAZA</t>
        </is>
      </c>
      <c r="AT299" s="24" t="inlineStr">
        <is>
          <t>MAGAZA</t>
        </is>
      </c>
      <c r="AU299" s="24" t="inlineStr">
        <is>
          <t>MAGAZA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eff8232917eb230eb703b198344c889ea5f2d72143d42172b4bc91bc010e3a5c</t>
        </is>
      </c>
      <c r="BB299" s="24" t="inlineStr">
        <is>
          <t>neutral_elo</t>
        </is>
      </c>
      <c r="BC299" s="24" t="inlineStr">
        <is>
          <t>lol-tiered-elo-v6</t>
        </is>
      </c>
      <c r="BD299" s="24" t="inlineStr">
        <is>
          <t>eff8232917eb230eb703b198344c889ea5f2d72143d42172b4bc91bc010e3a5c</t>
        </is>
      </c>
      <c r="BE299" s="24" t="inlineStr">
        <is>
          <t>1</t>
        </is>
      </c>
      <c r="BF299" s="24" t="inlineStr">
        <is>
          <t>1</t>
        </is>
      </c>
      <c r="BG299" s="24" t="inlineStr">
        <is>
          <t>lol-tiered-elo-v6</t>
        </is>
      </c>
      <c r="BH299" s="24" t="inlineStr">
        <is>
          <t>2026-09-27T16:27:03.350760Z</t>
        </is>
      </c>
      <c r="BI299" s="24" t="inlineStr">
        <is>
          <t>["same_event","same_team_same_day","same_league_same_day"]</t>
        </is>
      </c>
      <c r="BJ299" s="25" t="n"/>
      <c r="BK299" s="26" t="n">
        <v>170</v>
      </c>
      <c r="BL299" s="27" t="n">
        <v>2.7</v>
      </c>
      <c r="BM299" s="28" t="n">
        <v>0.37037</v>
      </c>
      <c r="BN299" s="28" t="n"/>
      <c r="BO299" s="28" t="n"/>
      <c r="BP299" s="25" t="n"/>
      <c r="BQ299" s="27" t="n">
        <v>2.7</v>
      </c>
      <c r="BR299" s="28" t="n">
        <v>0.37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0.37037</t>
        </is>
      </c>
      <c r="DK299" s="24" t="n"/>
      <c r="DL299" s="24" t="n"/>
      <c r="DM299" s="24" t="n"/>
      <c r="DN299" s="24" t="n"/>
      <c r="DO299" s="24" t="n"/>
      <c r="DP299" s="24" t="n"/>
      <c r="DQ299" s="24" t="inlineStr">
        <is>
          <t>{"artifact_hash": "eff8232917eb230eb703b198344c889ea5f2d72143d42172b4bc91bc010e3a5c", "away_team": "Gamespace Mediterranean College Esports", "event_id": "129132", "event_start_utc": "2026-09-27T19:00:00Z", "features": {"away_elo": 1538.763582, "away_history_count": 112, "home_elo": 1598.669028, "home_history_count": 30}, "historical_source_observation_times_verified": false, "home_team": "MAGAZA", "inference_inputs": {"book_state": {"games_played": {"bo3:3:16845": 30, "bo3:3:17225": 112}, "inactivity_half_life_days": null, "inactivity_max_pull": null, "k": 40.0, "last_match_utc": {"bo3:3:16845": "2026-09-26T17:00:00Z", "bo3:3:17225": "2026-09-26T19:25:00Z"}, "minimum_reliable_games": null, "platt_intercept": 0.08737232578295187, "platt_slope": 0.8295090541502813, "ratings": {"bo3:3:16845": 1598.669028, "bo3:3:17225": 1538.763582},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["bo3:3:16845", "bo3:3:17225"]}, "market_type": "moneyline", "model_version": "lol-tiered-elo-v6", "observed_at_utc": "2026-09-27T16:26:32.017580+00:00", "probabilities": {"away": 0.422103, "home": 0.577897}, "replay_scope": "Exact serving book state, calibration, temperature, inactivity reference and thin-history adjustments; training provenance not certified.", "schema": "esports-elo-replay-v1", "snapshot_hash": "478da114330fbad991a476c41ab65f2ff0eca4fc219e8e5c7c32341ea153ce8e", "sport": "LOL"}</t>
        </is>
      </c>
    </row>
    <row r="300" ht="36" customHeight="1">
      <c r="A300" s="24" t="inlineStr">
        <is>
          <t>683cd5f218fa4d95</t>
        </is>
      </c>
      <c r="B300" s="24" t="inlineStr">
        <is>
          <t>2026-09-27T16:27:24.440878Z</t>
        </is>
      </c>
      <c r="C300" s="24" t="inlineStr">
        <is>
          <t>2026-09-27T20:00:00Z</t>
        </is>
      </c>
      <c r="D300" s="24" t="inlineStr">
        <is>
          <t>125621</t>
        </is>
      </c>
      <c r="E300" s="24" t="inlineStr">
        <is>
          <t>LOL</t>
        </is>
      </c>
      <c r="F300" s="24" t="inlineStr">
        <is>
          <t>Team Liquid</t>
        </is>
      </c>
      <c r="G300" s="24" t="inlineStr">
        <is>
          <t>Cloud9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-186</v>
      </c>
      <c r="M300" s="27" t="n">
        <v>1.537634</v>
      </c>
      <c r="N300" s="28" t="n">
        <v>0.65035</v>
      </c>
      <c r="O300" s="28" t="n">
        <v>0.513109</v>
      </c>
      <c r="P300" s="28" t="n"/>
      <c r="Q300" s="28" t="n">
        <v>-0.137241</v>
      </c>
      <c r="R300" s="26" t="n">
        <v>0</v>
      </c>
      <c r="S300" s="29" t="n">
        <v>1</v>
      </c>
      <c r="T300" s="24" t="inlineStr">
        <is>
          <t>lol-tiered-elo-v6</t>
        </is>
      </c>
      <c r="U300" s="24" t="inlineStr">
        <is>
          <t>settled</t>
        </is>
      </c>
      <c r="V300" s="24" t="inlineStr">
        <is>
          <t>win</t>
        </is>
      </c>
      <c r="W300" s="26" t="n">
        <v>1</v>
      </c>
      <c r="X300" s="26" t="n">
        <v>0</v>
      </c>
      <c r="Y300" s="25" t="n"/>
      <c r="Z300" s="26" t="n"/>
      <c r="AA300" s="28" t="n"/>
      <c r="AB300" s="28" t="n"/>
      <c r="AC300" s="30" t="n">
        <v>0.5376</v>
      </c>
      <c r="AD300" s="24" t="inlineStr">
        <is>
          <t>2026-09-28T04:31:55.890697Z</t>
        </is>
      </c>
      <c r="AE300" s="31" t="inlineStr">
        <is>
          <t>Neutral Elo baseline; executable ask 0.6500 (market_slug=aec-lol-c9-tl-2026-09-27).</t>
        </is>
      </c>
      <c r="AF300" s="31" t="inlineStr">
        <is>
          <t>Config-promoted esports baseline; gates enforced at log time.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Team Liquid</t>
        </is>
      </c>
      <c r="AQ300" s="24" t="inlineStr">
        <is>
          <t>Team Liquid</t>
        </is>
      </c>
      <c r="AR300" s="24" t="inlineStr">
        <is>
          <t>Team Liquid</t>
        </is>
      </c>
      <c r="AS300" s="24" t="inlineStr">
        <is>
          <t>Cloud9</t>
        </is>
      </c>
      <c r="AT300" s="24" t="inlineStr">
        <is>
          <t>Cloud9</t>
        </is>
      </c>
      <c r="AU300" s="24" t="inlineStr">
        <is>
          <t>Cloud9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eff8232917eb230eb703b198344c889ea5f2d72143d42172b4bc91bc010e3a5c</t>
        </is>
      </c>
      <c r="BB300" s="24" t="inlineStr">
        <is>
          <t>neutral_elo</t>
        </is>
      </c>
      <c r="BC300" s="24" t="inlineStr">
        <is>
          <t>lol-tiered-elo-v6</t>
        </is>
      </c>
      <c r="BD300" s="24" t="inlineStr">
        <is>
          <t>eff8232917eb230eb703b198344c889ea5f2d72143d42172b4bc91bc010e3a5c</t>
        </is>
      </c>
      <c r="BE300" s="24" t="inlineStr">
        <is>
          <t>1</t>
        </is>
      </c>
      <c r="BF300" s="24" t="inlineStr">
        <is>
          <t>1</t>
        </is>
      </c>
      <c r="BG300" s="24" t="inlineStr">
        <is>
          <t>lol-tiered-elo-v6</t>
        </is>
      </c>
      <c r="BH300" s="24" t="inlineStr">
        <is>
          <t>2026-09-27T16:27:03.518857Z</t>
        </is>
      </c>
      <c r="BI300" s="24" t="inlineStr">
        <is>
          <t>["same_event","same_team_same_day","same_league_same_day"]</t>
        </is>
      </c>
      <c r="BJ300" s="25" t="n"/>
      <c r="BK300" s="26" t="n">
        <v>-186</v>
      </c>
      <c r="BL300" s="27" t="n">
        <v>1.537634</v>
      </c>
      <c r="BM300" s="28" t="n">
        <v>0.65035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0.65035</t>
        </is>
      </c>
      <c r="DK300" s="24" t="n"/>
      <c r="DL300" s="24" t="n"/>
      <c r="DM300" s="24" t="n"/>
      <c r="DN300" s="24" t="n"/>
      <c r="DO300" s="24" t="n"/>
      <c r="DP300" s="24" t="n"/>
      <c r="DQ300" s="24" t="inlineStr">
        <is>
          <t>{"artifact_hash": "eff8232917eb230eb703b198344c889ea5f2d72143d42172b4bc91bc010e3a5c", "away_team": "Team Liquid", "event_id": "125621", "event_start_utc": "2026-09-27T20:00:00Z", "features": {"away_elo": 1755.732661, "away_history_count": 107, "home_elo": 1724.446464, "home_history_count": 95}, "historical_source_observation_times_verified": false, "home_team": "Cloud9", "inference_inputs": {"book_state": {"games_played": {"bo3:3:17900": 95, "bo3:3:17972": 107}, "inactivity_half_life_days": null, "inactivity_max_pull": null, "k": 40.0, "last_match_utc": {"bo3:3:17900": "2026-09-19T20:00:00Z", "bo3:3:17972": "2026-09-20T20:00:00Z"}, "minimum_reliable_games": null, "platt_intercept": 0.08737232578295187, "platt_slope": 0.8295090541502813, "ratings": {"bo3:3:17900": 1724.446464, "bo3:3:17972": 1755.732661},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["bo3:3:17900", "bo3:3:17972"]}, "market_type": "moneyline", "model_version": "lol-tiered-elo-v6", "observed_at_utc": "2026-09-27T16:26:32.017580+00:00", "probabilities": {"away": 0.513109, "home": 0.486891}, "replay_scope": "Exact serving book state, calibration, temperature, inactivity reference and thin-history adjustments; training provenance not certified.", "schema": "esports-elo-replay-v1", "snapshot_hash": "93186cb6ed304a2ee1c12da6d1bdaf3428262fce56249e5138ba3cf1f33e8204", "sport": "LOL"}</t>
        </is>
      </c>
    </row>
    <row r="301" ht="36" customHeight="1">
      <c r="A301" s="24" t="inlineStr">
        <is>
          <t>02c40067375844b1</t>
        </is>
      </c>
      <c r="B301" s="24" t="inlineStr">
        <is>
          <t>2026-09-28T10:10:50.918145Z</t>
        </is>
      </c>
      <c r="C301" s="24" t="inlineStr">
        <is>
          <t>2026-09-28T16:00:00Z</t>
        </is>
      </c>
      <c r="D301" s="24" t="inlineStr">
        <is>
          <t>130707</t>
        </is>
      </c>
      <c r="E301" s="24" t="inlineStr">
        <is>
          <t>LOL</t>
        </is>
      </c>
      <c r="F301" s="24" t="inlineStr">
        <is>
          <t>Skillcamp Esport</t>
        </is>
      </c>
      <c r="G301" s="24" t="inlineStr">
        <is>
          <t>Anubis Gaming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212</v>
      </c>
      <c r="M301" s="27" t="n">
        <v>3.12</v>
      </c>
      <c r="N301" s="28" t="n">
        <v>0.320513</v>
      </c>
      <c r="O301" s="28" t="n">
        <v>0.595007</v>
      </c>
      <c r="P301" s="28" t="n"/>
      <c r="Q301" s="28" t="n">
        <v>0.274494</v>
      </c>
      <c r="R301" s="26" t="n">
        <v>100</v>
      </c>
      <c r="S301" s="29" t="n">
        <v>2</v>
      </c>
      <c r="T301" s="24" t="inlineStr">
        <is>
          <t>lol-tiered-elo-v6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212</v>
      </c>
      <c r="AA301" s="28" t="n">
        <v>0.32</v>
      </c>
      <c r="AB301" s="28" t="n">
        <v>-0.000513</v>
      </c>
      <c r="AC301" s="30" t="n">
        <v>4.24</v>
      </c>
      <c r="AD301" s="24" t="inlineStr">
        <is>
          <t>2026-09-28T22:01:34.632631Z</t>
        </is>
      </c>
      <c r="AE301" s="31" t="inlineStr">
        <is>
          <t>Neutral Elo baseline; executable ask 0.3200 (market_slug=aec-lol-anb-sc-2026-09-28).</t>
        </is>
      </c>
      <c r="AF301" s="31" t="inlineStr">
        <is>
          <t>Config-promoted esports baseline; gates enforced at log time.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model_qualified</t>
        </is>
      </c>
      <c r="AL301" s="26" t="n">
        <v>4</v>
      </c>
      <c r="AM301" s="24" t="inlineStr">
        <is>
          <t>QUALIFIED_SHADOW_CALL</t>
        </is>
      </c>
      <c r="AN301" s="24" t="inlineStr">
        <is>
          <t>CALL</t>
        </is>
      </c>
      <c r="AO301" s="24" t="inlineStr">
        <is>
          <t>QUALIFIED</t>
        </is>
      </c>
      <c r="AP301" s="24" t="inlineStr">
        <is>
          <t>Skillcamp Esport</t>
        </is>
      </c>
      <c r="AQ301" s="24" t="inlineStr">
        <is>
          <t>Skillcamp Esport</t>
        </is>
      </c>
      <c r="AR301" s="24" t="inlineStr">
        <is>
          <t>Skillcamp Esport</t>
        </is>
      </c>
      <c r="AS301" s="24" t="inlineStr">
        <is>
          <t>Anubis Gaming</t>
        </is>
      </c>
      <c r="AT301" s="24" t="inlineStr">
        <is>
          <t>Anubis Gaming</t>
        </is>
      </c>
      <c r="AU301" s="24" t="inlineStr">
        <is>
          <t>Anubis Gaming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9367545d6f77aaffc00686fc2dac36c8e60da44437f07b6a0ce13ab266322ad4</t>
        </is>
      </c>
      <c r="BB301" s="24" t="inlineStr">
        <is>
          <t>neutral_elo</t>
        </is>
      </c>
      <c r="BC301" s="24" t="inlineStr">
        <is>
          <t>lol-tiered-elo-v6</t>
        </is>
      </c>
      <c r="BD301" s="24" t="inlineStr">
        <is>
          <t>9367545d6f77aaffc00686fc2dac36c8e60da44437f07b6a0ce13ab266322ad4</t>
        </is>
      </c>
      <c r="BE301" s="24" t="inlineStr">
        <is>
          <t>1</t>
        </is>
      </c>
      <c r="BF301" s="24" t="inlineStr">
        <is>
          <t>1</t>
        </is>
      </c>
      <c r="BG301" s="24" t="inlineStr">
        <is>
          <t>lol-tiered-elo-v6</t>
        </is>
      </c>
      <c r="BH301" s="24" t="inlineStr">
        <is>
          <t>2026-09-28T10:09:44.889355Z</t>
        </is>
      </c>
      <c r="BI301" s="24" t="inlineStr">
        <is>
          <t>["same_event","same_team_same_day","same_league_same_day"]</t>
        </is>
      </c>
      <c r="BJ301" s="25" t="n"/>
      <c r="BK301" s="26" t="n">
        <v>212</v>
      </c>
      <c r="BL301" s="27" t="n">
        <v>3.12</v>
      </c>
      <c r="BM301" s="28" t="n">
        <v>0.320513</v>
      </c>
      <c r="BN301" s="28" t="n"/>
      <c r="BO301" s="28" t="n"/>
      <c r="BP301" s="25" t="n"/>
      <c r="BQ301" s="27" t="n">
        <v>3.12</v>
      </c>
      <c r="BR301" s="28" t="n">
        <v>0.32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0.320513</t>
        </is>
      </c>
      <c r="DK301" s="24" t="n"/>
      <c r="DL301" s="24" t="n"/>
      <c r="DM301" s="24" t="n"/>
      <c r="DN301" s="24" t="n"/>
      <c r="DO301" s="24" t="n"/>
      <c r="DP301" s="24" t="n"/>
      <c r="DQ301" s="24" t="inlineStr">
        <is>
          <t>{"artifact_hash": "9367545d6f77aaffc00686fc2dac36c8e60da44437f07b6a0ce13ab266322ad4", "away_team": "Skillcamp Esport", "event_id": "130707", "event_start_utc": "2026-09-28T16:00:00Z", "features": {"away_elo": 1707.602501, "away_history_count": 84, "home_elo": 1784.416817, "home_history_count": 97}, "historical_source_observation_times_verified": false, "home_team": "Anubis Gaming", "inference_inputs": {"book_state": {"games_played": {"bo3:3:17042": 97, "bo3:3:18323": 84}, "inactivity_half_life_days": null, "inactivity_max_pull": null, "k": 40.0, "last_match_utc": {"bo3:3:17042": "2026-09-27T19:15:00Z", "bo3:3:18323": "2026-09-27T17:00:00Z"}, "minimum_reliable_games": null, "platt_intercept": 0.08597404444742837, "platt_slope": 0.835019672317326, "ratings": {"bo3:3:17042": 1784.416817, "bo3:3:18323": 1707.602501},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"2026-09-28T10:09:44.781278+00:00", "team_ids": ["bo3:3:17042", "bo3:3:18323"]}, "market_type": "moneyline", "model_version": "lol-tiered-elo-v6", "observed_at_utc": "2026-09-28T10:09:44.781278+00:00", "probabilities": {"away": 0.404993, "home": 0.595007}, "replay_scope": "Exact serving book state, calibration, temperature, inactivity reference and thin-history adjustments; training provenance not certified.", "schema": "esports-elo-replay-v1", "snapshot_hash": "71a4a6167c92100c45a9c6237bfd17a6671624e388d065d6333ff33c18e9c37f", "sport": "LOL"}</t>
        </is>
      </c>
    </row>
    <row r="302" ht="36" customHeight="1">
      <c r="A302" s="24" t="inlineStr">
        <is>
          <t>b9defd1e61744184</t>
        </is>
      </c>
      <c r="B302" s="24" t="inlineStr">
        <is>
          <t>2026-09-28T16:13:24.617863Z</t>
        </is>
      </c>
      <c r="C302" s="24" t="inlineStr">
        <is>
          <t>2026-09-28T17:00:00Z</t>
        </is>
      </c>
      <c r="D302" s="24" t="inlineStr">
        <is>
          <t>130710</t>
        </is>
      </c>
      <c r="E302" s="24" t="inlineStr">
        <is>
          <t>LOL</t>
        </is>
      </c>
      <c r="F302" s="24" t="inlineStr">
        <is>
          <t>SU Esports</t>
        </is>
      </c>
      <c r="G302" s="24" t="inlineStr">
        <is>
          <t>BOMBA Team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113</v>
      </c>
      <c r="M302" s="27" t="n">
        <v>2.13</v>
      </c>
      <c r="N302" s="28" t="n">
        <v>0.469484</v>
      </c>
      <c r="O302" s="28" t="n">
        <v>0.584378</v>
      </c>
      <c r="P302" s="28" t="n"/>
      <c r="Q302" s="28" t="n">
        <v>0.114894</v>
      </c>
      <c r="R302" s="26" t="n">
        <v>77</v>
      </c>
      <c r="S302" s="29" t="n">
        <v>1.5</v>
      </c>
      <c r="T302" s="24" t="inlineStr">
        <is>
          <t>lol-tiered-elo-v6</t>
        </is>
      </c>
      <c r="U302" s="24" t="inlineStr">
        <is>
          <t>settled</t>
        </is>
      </c>
      <c r="V302" s="24" t="inlineStr">
        <is>
          <t>win</t>
        </is>
      </c>
      <c r="W302" s="26" t="n">
        <v>0</v>
      </c>
      <c r="X302" s="26" t="n">
        <v>1</v>
      </c>
      <c r="Y302" s="25" t="n"/>
      <c r="Z302" s="26" t="n">
        <v>113</v>
      </c>
      <c r="AA302" s="28" t="n">
        <v>0.47</v>
      </c>
      <c r="AB302" s="28" t="n">
        <v>0.000516</v>
      </c>
      <c r="AC302" s="30" t="n">
        <v>1.695</v>
      </c>
      <c r="AD302" s="24" t="inlineStr">
        <is>
          <t>2026-09-28T22:01:35.629323Z</t>
        </is>
      </c>
      <c r="AE302" s="31" t="inlineStr">
        <is>
          <t>Neutral Elo baseline; executable ask 0.4700 (market_slug=aec-lol-boom-su-2026-09-28).</t>
        </is>
      </c>
      <c r="AF302" s="31" t="inlineStr">
        <is>
          <t>Config-promoted esports baseline; gates enforced at log time.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4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SU Esports</t>
        </is>
      </c>
      <c r="AQ302" s="24" t="inlineStr">
        <is>
          <t>SU Esports</t>
        </is>
      </c>
      <c r="AR302" s="24" t="inlineStr">
        <is>
          <t>SU Esports</t>
        </is>
      </c>
      <c r="AS302" s="24" t="inlineStr">
        <is>
          <t>BOMBA Team</t>
        </is>
      </c>
      <c r="AT302" s="24" t="inlineStr">
        <is>
          <t>BOMBA Team</t>
        </is>
      </c>
      <c r="AU302" s="24" t="inlineStr">
        <is>
          <t>BOMBA Team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8e759300cdf1c8e0ac8ed46c2449accefd2b70e547bc2b19858d0673427b9c5d</t>
        </is>
      </c>
      <c r="BB302" s="24" t="inlineStr">
        <is>
          <t>neutral_elo</t>
        </is>
      </c>
      <c r="BC302" s="24" t="inlineStr">
        <is>
          <t>lol-tiered-elo-v6</t>
        </is>
      </c>
      <c r="BD302" s="24" t="inlineStr">
        <is>
          <t>8e759300cdf1c8e0ac8ed46c2449accefd2b70e547bc2b19858d0673427b9c5d</t>
        </is>
      </c>
      <c r="BE302" s="24" t="inlineStr">
        <is>
          <t>1</t>
        </is>
      </c>
      <c r="BF302" s="24" t="inlineStr">
        <is>
          <t>1</t>
        </is>
      </c>
      <c r="BG302" s="24" t="inlineStr">
        <is>
          <t>lol-tiered-elo-v6</t>
        </is>
      </c>
      <c r="BH302" s="24" t="inlineStr">
        <is>
          <t>2026-09-28T16:12:12.192792Z</t>
        </is>
      </c>
      <c r="BI302" s="24" t="inlineStr">
        <is>
          <t>["same_event","same_team_same_day","same_league_same_day"]</t>
        </is>
      </c>
      <c r="BJ302" s="25" t="n"/>
      <c r="BK302" s="26" t="n">
        <v>113</v>
      </c>
      <c r="BL302" s="27" t="n">
        <v>2.13</v>
      </c>
      <c r="BM302" s="28" t="n">
        <v>0.469484</v>
      </c>
      <c r="BN302" s="28" t="n"/>
      <c r="BO302" s="28" t="n"/>
      <c r="BP302" s="25" t="n"/>
      <c r="BQ302" s="27" t="n">
        <v>2.13</v>
      </c>
      <c r="BR302" s="28" t="n">
        <v>0.47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0.469484</t>
        </is>
      </c>
      <c r="DK302" s="24" t="n"/>
      <c r="DL302" s="24" t="n"/>
      <c r="DM302" s="24" t="n"/>
      <c r="DN302" s="24" t="n"/>
      <c r="DO302" s="24" t="n"/>
      <c r="DP302" s="24" t="n"/>
      <c r="DQ302" s="24" t="inlineStr">
        <is>
          <t>{"artifact_hash": "8e759300cdf1c8e0ac8ed46c2449accefd2b70e547bc2b19858d0673427b9c5d", "away_team": "SU Esports", "event_id": "130710", "event_start_utc": "2026-09-28T17:00:00Z", "features": {"away_elo": 1585.589792, "away_history_count": 42, "home_elo": 1652.005484, "home_history_count": 120}, "historical_source_observation_times_verified": false, "home_team": "BOMBA Team", "inference_inputs": {"book_state": {"games_played": {"bo3:3:18311": 120, "bo3:3:21061": 42}, "inactivity_half_life_days": null, "inactivity_max_pull": null, "k": 40.0, "last_match_utc": {"bo3:3:18311": "2026-09-27T16:00:00Z", "bo3:3:21061": "2026-09-27T17:00:00Z"}, "minimum_reliable_games": null, "platt_intercept": 0.08597404444742837, "platt_slope": 0.835019672317326, "ratings": {"bo3:3:18311": 1652.005484, "bo3:3:21061": 1585.589792},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["bo3:3:18311", "bo3:3:21061"]}, "market_type": "moneyline", "model_version": "lol-tiered-elo-v6", "observed_at_utc": "2026-09-28T16:12:12.113014+00:00", "probabilities": {"away": 0.415622, "home": 0.584378}, "replay_scope": "Exact serving book state, calibration, temperature, inactivity reference and thin-history adjustments; training provenance not certified.", "schema": "esports-elo-replay-v1", "snapshot_hash": "01dc19273b86455de902ac33f231676c11bcb2ad09008aaa53c88a82c043ead3", "sport": "LOL"}</t>
        </is>
      </c>
    </row>
    <row r="303" ht="36" customHeight="1">
      <c r="A303" s="24" t="inlineStr">
        <is>
          <t>0d65f9f2dcee49c1</t>
        </is>
      </c>
      <c r="B303" s="24" t="inlineStr">
        <is>
          <t>2026-09-28T16:13:24.617863Z</t>
        </is>
      </c>
      <c r="C303" s="24" t="inlineStr">
        <is>
          <t>2026-09-28T19:00:00Z</t>
        </is>
      </c>
      <c r="D303" s="24" t="inlineStr">
        <is>
          <t>130720</t>
        </is>
      </c>
      <c r="E303" s="24" t="inlineStr">
        <is>
          <t>LOL</t>
        </is>
      </c>
      <c r="F303" s="24" t="inlineStr">
        <is>
          <t>Barça eSports</t>
        </is>
      </c>
      <c r="G303" s="24" t="inlineStr">
        <is>
          <t>Forsaken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223</v>
      </c>
      <c r="M303" s="27" t="n">
        <v>3.23</v>
      </c>
      <c r="N303" s="28" t="n">
        <v>0.309598</v>
      </c>
      <c r="O303" s="28" t="n">
        <v>0.53074</v>
      </c>
      <c r="P303" s="28" t="n"/>
      <c r="Q303" s="28" t="n">
        <v>0.221142</v>
      </c>
      <c r="R303" s="26" t="n">
        <v>100</v>
      </c>
      <c r="S303" s="29" t="n">
        <v>2</v>
      </c>
      <c r="T303" s="24" t="inlineStr">
        <is>
          <t>lol-tiered-elo-v6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/>
      <c r="AA303" s="28" t="n"/>
      <c r="AB303" s="28" t="n"/>
      <c r="AC303" s="30" t="n">
        <v>-2</v>
      </c>
      <c r="AD303" s="24" t="inlineStr">
        <is>
          <t>2026-09-28T22:01:36.419478Z</t>
        </is>
      </c>
      <c r="AE303" s="31" t="inlineStr">
        <is>
          <t>Neutral Elo baseline; executable ask 0.3100 (market_slug=aec-lol-fsk-bar-2026-09-28).</t>
        </is>
      </c>
      <c r="AF303" s="31" t="inlineStr">
        <is>
          <t>Config-promoted esports baseline; gates enforced at log time.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model_qualified</t>
        </is>
      </c>
      <c r="AL303" s="26" t="n">
        <v>4</v>
      </c>
      <c r="AM303" s="24" t="inlineStr">
        <is>
          <t>QUALIFIED_SHADOW_CALL</t>
        </is>
      </c>
      <c r="AN303" s="24" t="inlineStr">
        <is>
          <t>CALL</t>
        </is>
      </c>
      <c r="AO303" s="24" t="inlineStr">
        <is>
          <t>QUALIFIED</t>
        </is>
      </c>
      <c r="AP303" s="24" t="inlineStr">
        <is>
          <t>Barça eSports</t>
        </is>
      </c>
      <c r="AQ303" s="24" t="inlineStr">
        <is>
          <t>Barça eSports</t>
        </is>
      </c>
      <c r="AR303" s="24" t="inlineStr">
        <is>
          <t>Barça eSports</t>
        </is>
      </c>
      <c r="AS303" s="24" t="inlineStr">
        <is>
          <t>Forsaken</t>
        </is>
      </c>
      <c r="AT303" s="24" t="inlineStr">
        <is>
          <t>Forsaken</t>
        </is>
      </c>
      <c r="AU303" s="24" t="inlineStr">
        <is>
          <t>Forsaken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8e759300cdf1c8e0ac8ed46c2449accefd2b70e547bc2b19858d0673427b9c5d</t>
        </is>
      </c>
      <c r="BB303" s="24" t="inlineStr">
        <is>
          <t>neutral_elo</t>
        </is>
      </c>
      <c r="BC303" s="24" t="inlineStr">
        <is>
          <t>lol-tiered-elo-v6</t>
        </is>
      </c>
      <c r="BD303" s="24" t="inlineStr">
        <is>
          <t>8e759300cdf1c8e0ac8ed46c2449accefd2b70e547bc2b19858d0673427b9c5d</t>
        </is>
      </c>
      <c r="BE303" s="24" t="inlineStr">
        <is>
          <t>1</t>
        </is>
      </c>
      <c r="BF303" s="24" t="inlineStr">
        <is>
          <t>1</t>
        </is>
      </c>
      <c r="BG303" s="24" t="inlineStr">
        <is>
          <t>lol-tiered-elo-v6</t>
        </is>
      </c>
      <c r="BH303" s="24" t="inlineStr">
        <is>
          <t>2026-09-28T16:12:46.339402Z</t>
        </is>
      </c>
      <c r="BI303" s="24" t="inlineStr">
        <is>
          <t>["same_event","same_team_same_day","same_league_same_day"]</t>
        </is>
      </c>
      <c r="BJ303" s="25" t="n"/>
      <c r="BK303" s="26" t="n">
        <v>223</v>
      </c>
      <c r="BL303" s="27" t="n">
        <v>3.23</v>
      </c>
      <c r="BM303" s="28" t="n">
        <v>0.309598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0.309598</t>
        </is>
      </c>
      <c r="DK303" s="24" t="n"/>
      <c r="DL303" s="24" t="n"/>
      <c r="DM303" s="24" t="n"/>
      <c r="DN303" s="24" t="n"/>
      <c r="DO303" s="24" t="n"/>
      <c r="DP303" s="24" t="n"/>
      <c r="DQ303" s="24" t="inlineStr">
        <is>
          <t>{"artifact_hash": "8e759300cdf1c8e0ac8ed46c2449accefd2b70e547bc2b19858d0673427b9c5d", "away_team": "Bar\u00e7a eSports", "event_id": "130720", "event_start_utc": "2026-09-28T19:00:00Z", "features": {"away_elo": 1625.818147, "away_history_count": 141, "home_elo": 1638.213132, "home_history_count": 102}, "historical_source_observation_times_verified": false, "home_team": "Forsaken", "inference_inputs": {"book_state": {"games_played": {"bo3:3:17136": 102, "bo3:3:17144": 141}, "inactivity_half_life_days": null, "inactivity_max_pull": null, "k": 40.0, "last_match_utc": {"bo3:3:17136": "2026-09-27T18:00:00Z", "bo3:3:17144": "2026-09-27T17:00:00Z"}, "minimum_reliable_games": null, "platt_intercept": 0.08597404444742837, "platt_slope": 0.835019672317326, "ratings": {"bo3:3:17136": 1638.213132, "bo3:3:17144": 1625.818147},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["bo3:3:17136", "bo3:3:17144"]}, "market_type": "moneyline", "model_version": "lol-tiered-elo-v6", "observed_at_utc": "2026-09-28T16:12:12.113014+00:00", "probabilities": {"away": 0.46926, "home": 0.53074}, "replay_scope": "Exact serving book state, calibration, temperature, inactivity reference and thin-history adjustments; training provenance not certified.", "schema": "esports-elo-replay-v1", "snapshot_hash": "a9ba4d62f4a64fcee4bdf29d97890d6bfdff84fb30015179dc98adbf8fe1bbf8", "sport": "LOL"}</t>
        </is>
      </c>
    </row>
    <row r="304" ht="36" customHeight="1">
      <c r="A304" s="24" t="inlineStr">
        <is>
          <t>f0979dd00cf74e5e</t>
        </is>
      </c>
      <c r="B304" s="24" t="inlineStr">
        <is>
          <t>2026-09-28T22:07:40.987333Z</t>
        </is>
      </c>
      <c r="C304" s="24" t="inlineStr">
        <is>
          <t>2026-09-29T00:00:00Z</t>
        </is>
      </c>
      <c r="D304" s="24" t="inlineStr">
        <is>
          <t>127487</t>
        </is>
      </c>
      <c r="E304" s="24" t="inlineStr">
        <is>
          <t>LOL</t>
        </is>
      </c>
      <c r="F304" s="24" t="inlineStr">
        <is>
          <t>Malaysia</t>
        </is>
      </c>
      <c r="G304" s="24" t="inlineStr">
        <is>
          <t>United Arab Emirates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-203</v>
      </c>
      <c r="M304" s="27" t="n">
        <v>1.492611</v>
      </c>
      <c r="N304" s="28" t="n">
        <v>0.669967</v>
      </c>
      <c r="O304" s="28" t="n">
        <v>0.508928</v>
      </c>
      <c r="P304" s="28" t="n"/>
      <c r="Q304" s="28" t="n">
        <v>-0.161039</v>
      </c>
      <c r="R304" s="26" t="n">
        <v>0</v>
      </c>
      <c r="S304" s="29" t="n">
        <v>1</v>
      </c>
      <c r="T304" s="24" t="inlineStr">
        <is>
          <t>lol-tiered-elo-v6</t>
        </is>
      </c>
      <c r="U304" s="24" t="inlineStr">
        <is>
          <t>settled</t>
        </is>
      </c>
      <c r="V304" s="24" t="inlineStr">
        <is>
          <t>win</t>
        </is>
      </c>
      <c r="W304" s="26" t="n">
        <v>0</v>
      </c>
      <c r="X304" s="26" t="n">
        <v>1</v>
      </c>
      <c r="Y304" s="25" t="n"/>
      <c r="Z304" s="26" t="n">
        <v>-233</v>
      </c>
      <c r="AA304" s="28" t="n">
        <v>0.7</v>
      </c>
      <c r="AB304" s="28" t="n">
        <v>0.030033</v>
      </c>
      <c r="AC304" s="30" t="n">
        <v>0.4926</v>
      </c>
      <c r="AD304" s="24" t="inlineStr">
        <is>
          <t>2026-09-29T04:31:04.250681Z</t>
        </is>
      </c>
      <c r="AE304" s="31" t="inlineStr">
        <is>
          <t>Neutral Elo baseline; executable ask 0.6700 (market_slug=aec-lol-uae-mal-2026-09-29).</t>
        </is>
      </c>
      <c r="AF304" s="31" t="inlineStr">
        <is>
          <t>Config-promoted esports baseline; gates enforced at log time.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PAPER_CALL_MODEL_UNVALIDATED</t>
        </is>
      </c>
      <c r="AP304" s="24" t="inlineStr">
        <is>
          <t>Malaysia</t>
        </is>
      </c>
      <c r="AQ304" s="24" t="inlineStr">
        <is>
          <t>Malaysia</t>
        </is>
      </c>
      <c r="AR304" s="24" t="inlineStr">
        <is>
          <t>Malaysia</t>
        </is>
      </c>
      <c r="AS304" s="24" t="inlineStr">
        <is>
          <t>United Arab Emirates</t>
        </is>
      </c>
      <c r="AT304" s="24" t="inlineStr">
        <is>
          <t>United Arab Emirates</t>
        </is>
      </c>
      <c r="AU304" s="24" t="inlineStr">
        <is>
          <t>United Arab Emirates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7dc4f3ead2dfd3988865848e8161acdd5475158fb05204043c6deac76e9e03a1</t>
        </is>
      </c>
      <c r="BB304" s="24" t="inlineStr">
        <is>
          <t>neutral_elo</t>
        </is>
      </c>
      <c r="BC304" s="24" t="inlineStr">
        <is>
          <t>lol-tiered-elo-v6</t>
        </is>
      </c>
      <c r="BD304" s="24" t="inlineStr">
        <is>
          <t>7dc4f3ead2dfd3988865848e8161acdd5475158fb05204043c6deac76e9e03a1</t>
        </is>
      </c>
      <c r="BE304" s="24" t="inlineStr">
        <is>
          <t>1</t>
        </is>
      </c>
      <c r="BF304" s="24" t="inlineStr">
        <is>
          <t>1</t>
        </is>
      </c>
      <c r="BG304" s="24" t="inlineStr">
        <is>
          <t>lol-tiered-elo-v6</t>
        </is>
      </c>
      <c r="BH304" s="24" t="inlineStr">
        <is>
          <t>2026-09-28T22:06:55.191006Z</t>
        </is>
      </c>
      <c r="BI304" s="24" t="inlineStr">
        <is>
          <t>["same_event","same_team_same_day","same_league_same_day"]</t>
        </is>
      </c>
      <c r="BJ304" s="25" t="n"/>
      <c r="BK304" s="26" t="n">
        <v>-203</v>
      </c>
      <c r="BL304" s="27" t="n">
        <v>1.492611</v>
      </c>
      <c r="BM304" s="28" t="n">
        <v>0.669967</v>
      </c>
      <c r="BN304" s="28" t="n"/>
      <c r="BO304" s="28" t="n"/>
      <c r="BP304" s="25" t="n"/>
      <c r="BQ304" s="27" t="n">
        <v>1.429185</v>
      </c>
      <c r="BR304" s="28" t="n">
        <v>0.7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0.669967</t>
        </is>
      </c>
      <c r="DK304" s="24" t="n"/>
      <c r="DL304" s="24" t="n"/>
      <c r="DM304" s="24" t="n"/>
      <c r="DN304" s="24" t="n"/>
      <c r="DO304" s="24" t="n"/>
      <c r="DP304" s="24" t="n"/>
      <c r="DQ304" s="24" t="inlineStr">
        <is>
          <t>{"artifact_hash": "7dc4f3ead2dfd3988865848e8161acdd5475158fb05204043c6deac76e9e03a1", "away_team": "Malaysia", "event_id": "127487", "event_start_utc": "2026-09-29T00:00:00Z", "features": {"away_elo": 1500.0, "away_history_count": 0, "home_elo": 1500.0, "home_history_count": 0}, "historical_source_observation_times_verified": false, "home_team": "United Arab Emirates",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["unknown:unitedarabemirates", "unknown:malaysia"]},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"b049aee148ac6ca61f26c7ab9471d7ac79a848ad96b7ab51d89b96e2077b4179", "sport": "LOL"}</t>
        </is>
      </c>
    </row>
    <row r="305" ht="36" customHeight="1">
      <c r="A305" s="24" t="inlineStr">
        <is>
          <t>658df0b0bd9642cd</t>
        </is>
      </c>
      <c r="B305" s="24" t="inlineStr">
        <is>
          <t>2026-09-28T22:07:40.987333Z</t>
        </is>
      </c>
      <c r="C305" s="24" t="inlineStr">
        <is>
          <t>2026-09-29T02:30:00Z</t>
        </is>
      </c>
      <c r="D305" s="24" t="inlineStr">
        <is>
          <t>127755</t>
        </is>
      </c>
      <c r="E305" s="24" t="inlineStr">
        <is>
          <t>LOL</t>
        </is>
      </c>
      <c r="F305" s="24" t="inlineStr">
        <is>
          <t>United Arab Emirates</t>
        </is>
      </c>
      <c r="G305" s="24" t="inlineStr">
        <is>
          <t>Saudi Arabia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-223</v>
      </c>
      <c r="M305" s="27" t="n">
        <v>1.44843</v>
      </c>
      <c r="N305" s="28" t="n">
        <v>0.690402</v>
      </c>
      <c r="O305" s="28" t="n">
        <v>0.508928</v>
      </c>
      <c r="P305" s="28" t="n"/>
      <c r="Q305" s="28" t="n">
        <v>-0.181474</v>
      </c>
      <c r="R305" s="26" t="n">
        <v>0</v>
      </c>
      <c r="S305" s="29" t="n">
        <v>1</v>
      </c>
      <c r="T305" s="24" t="inlineStr">
        <is>
          <t>lol-tiered-elo-v6</t>
        </is>
      </c>
      <c r="U305" s="24" t="inlineStr">
        <is>
          <t>settled</t>
        </is>
      </c>
      <c r="V305" s="24" t="inlineStr">
        <is>
          <t>win</t>
        </is>
      </c>
      <c r="W305" s="26" t="n">
        <v>0</v>
      </c>
      <c r="X305" s="26" t="n">
        <v>1</v>
      </c>
      <c r="Y305" s="25" t="n"/>
      <c r="Z305" s="26" t="n"/>
      <c r="AA305" s="28" t="n"/>
      <c r="AB305" s="28" t="n"/>
      <c r="AC305" s="30" t="n">
        <v>0.4484</v>
      </c>
      <c r="AD305" s="24" t="inlineStr">
        <is>
          <t>2026-09-29T04:31:05.179031Z</t>
        </is>
      </c>
      <c r="AE305" s="31" t="inlineStr">
        <is>
          <t>Neutral Elo baseline; executable ask 0.6900 (market_slug=aec-lol-ksa-uae-2026-09-29).</t>
        </is>
      </c>
      <c r="AF305" s="31" t="inlineStr">
        <is>
          <t>Config-promoted esports baseline; gates enforced at log time.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PAPER_CALL_MODEL_UNVALIDATED</t>
        </is>
      </c>
      <c r="AP305" s="24" t="inlineStr">
        <is>
          <t>United Arab Emirates</t>
        </is>
      </c>
      <c r="AQ305" s="24" t="inlineStr">
        <is>
          <t>United Arab Emirates</t>
        </is>
      </c>
      <c r="AR305" s="24" t="inlineStr">
        <is>
          <t>United Arab Emirates</t>
        </is>
      </c>
      <c r="AS305" s="24" t="inlineStr">
        <is>
          <t>Saudi Arabia</t>
        </is>
      </c>
      <c r="AT305" s="24" t="inlineStr">
        <is>
          <t>Saudi Arabia</t>
        </is>
      </c>
      <c r="AU305" s="24" t="inlineStr">
        <is>
          <t>Saudi Arabia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7dc4f3ead2dfd3988865848e8161acdd5475158fb05204043c6deac76e9e03a1</t>
        </is>
      </c>
      <c r="BB305" s="24" t="inlineStr">
        <is>
          <t>neutral_elo</t>
        </is>
      </c>
      <c r="BC305" s="24" t="inlineStr">
        <is>
          <t>lol-tiered-elo-v6</t>
        </is>
      </c>
      <c r="BD305" s="24" t="inlineStr">
        <is>
          <t>7dc4f3ead2dfd3988865848e8161acdd5475158fb05204043c6deac76e9e03a1</t>
        </is>
      </c>
      <c r="BE305" s="24" t="inlineStr">
        <is>
          <t>1</t>
        </is>
      </c>
      <c r="BF305" s="24" t="inlineStr">
        <is>
          <t>1</t>
        </is>
      </c>
      <c r="BG305" s="24" t="inlineStr">
        <is>
          <t>lol-tiered-elo-v6</t>
        </is>
      </c>
      <c r="BH305" s="24" t="inlineStr">
        <is>
          <t>2026-09-28T22:07:06.670140Z</t>
        </is>
      </c>
      <c r="BI305" s="24" t="inlineStr">
        <is>
          <t>["same_event","same_team_same_day","same_league_same_day"]</t>
        </is>
      </c>
      <c r="BJ305" s="25" t="n"/>
      <c r="BK305" s="26" t="n">
        <v>-223</v>
      </c>
      <c r="BL305" s="27" t="n">
        <v>1.44843</v>
      </c>
      <c r="BM305" s="28" t="n">
        <v>0.690402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0.690402</t>
        </is>
      </c>
      <c r="DK305" s="24" t="n"/>
      <c r="DL305" s="24" t="n"/>
      <c r="DM305" s="24" t="n"/>
      <c r="DN305" s="24" t="n"/>
      <c r="DO305" s="24" t="n"/>
      <c r="DP305" s="24" t="n"/>
      <c r="DQ305" s="24" t="inlineStr">
        <is>
          <t>{"artifact_hash": "7dc4f3ead2dfd3988865848e8161acdd5475158fb05204043c6deac76e9e03a1", "away_team": "United Arab Emirates", "event_id": "127755", "event_start_utc": "2026-09-29T02:30:00Z", "features": {"away_elo": 1500.0, "away_history_count": 0, "home_elo": 1500.0, "home_history_count": 0}, "historical_source_observation_times_verified": false, "home_team": "Saudi Arabia",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["unknown:saudiarabia", "unknown:unitedarabemirates"]},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"1b07b848699320337ffdd65ff8006f2ab780c00154db772ca0ef9baa39fba2b9", "sport": "LOL"}</t>
        </is>
      </c>
    </row>
    <row r="306" ht="36" customHeight="1">
      <c r="A306" s="24" t="inlineStr">
        <is>
          <t>db96047e5d4a4e73</t>
        </is>
      </c>
      <c r="B306" s="24" t="inlineStr">
        <is>
          <t>2026-09-29T10:10:35.872287Z</t>
        </is>
      </c>
      <c r="C306" s="24" t="inlineStr">
        <is>
          <t>2026-09-29T16:00:00Z</t>
        </is>
      </c>
      <c r="D306" s="24" t="inlineStr">
        <is>
          <t>132269</t>
        </is>
      </c>
      <c r="E306" s="24" t="inlineStr">
        <is>
          <t>LOL</t>
        </is>
      </c>
      <c r="F306" s="24" t="inlineStr">
        <is>
          <t>NightBirds</t>
        </is>
      </c>
      <c r="G306" s="24" t="inlineStr">
        <is>
          <t xml:space="preserve">PCIFIC 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-133</v>
      </c>
      <c r="M306" s="27" t="n">
        <v>1.75188</v>
      </c>
      <c r="N306" s="28" t="n">
        <v>0.570815</v>
      </c>
      <c r="O306" s="28" t="n">
        <v>0.676889</v>
      </c>
      <c r="P306" s="28" t="n"/>
      <c r="Q306" s="28" t="n">
        <v>0.106074</v>
      </c>
      <c r="R306" s="26" t="n">
        <v>73</v>
      </c>
      <c r="S306" s="29" t="n">
        <v>1.25</v>
      </c>
      <c r="T306" s="24" t="inlineStr">
        <is>
          <t>lol-tiered-elo-v6</t>
        </is>
      </c>
      <c r="U306" s="24" t="inlineStr">
        <is>
          <t>settled</t>
        </is>
      </c>
      <c r="V306" s="24" t="inlineStr">
        <is>
          <t>win</t>
        </is>
      </c>
      <c r="W306" s="26" t="n">
        <v>1</v>
      </c>
      <c r="X306" s="26" t="n">
        <v>0</v>
      </c>
      <c r="Y306" s="25" t="n"/>
      <c r="Z306" s="26" t="n"/>
      <c r="AA306" s="28" t="n"/>
      <c r="AB306" s="28" t="n"/>
      <c r="AC306" s="30" t="n">
        <v>0.9399</v>
      </c>
      <c r="AD306" s="24" t="inlineStr">
        <is>
          <t>2026-09-29T22:02:01.866757Z</t>
        </is>
      </c>
      <c r="AE306" s="31" t="inlineStr">
        <is>
          <t>Neutral Elo baseline; executable ask 0.5700 (market_slug=aec-lol-pcific-nbs-2026-09-29).</t>
        </is>
      </c>
      <c r="AF306" s="31" t="inlineStr">
        <is>
          <t>Config-promoted esports baseline; gates enforced at log time.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model_qualified</t>
        </is>
      </c>
      <c r="AL306" s="26" t="n">
        <v>4</v>
      </c>
      <c r="AM306" s="24" t="inlineStr">
        <is>
          <t>QUALIFIED_SHADOW_CALL</t>
        </is>
      </c>
      <c r="AN306" s="24" t="inlineStr">
        <is>
          <t>CALL</t>
        </is>
      </c>
      <c r="AO306" s="24" t="inlineStr">
        <is>
          <t>QUALIFIED</t>
        </is>
      </c>
      <c r="AP306" s="24" t="inlineStr">
        <is>
          <t>NightBirds</t>
        </is>
      </c>
      <c r="AQ306" s="24" t="inlineStr">
        <is>
          <t>NightBirds</t>
        </is>
      </c>
      <c r="AR306" s="24" t="inlineStr">
        <is>
          <t>NightBirds</t>
        </is>
      </c>
      <c r="AS306" s="24" t="inlineStr">
        <is>
          <t xml:space="preserve">PCIFIC </t>
        </is>
      </c>
      <c r="AT306" s="24" t="inlineStr">
        <is>
          <t xml:space="preserve">PCIFIC </t>
        </is>
      </c>
      <c r="AU306" s="24" t="inlineStr">
        <is>
          <t xml:space="preserve">PCIFIC 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a73d85dae9cc0fb78f07323292b2d9d2ab5c0e9482385ac3d47c947d84a95663</t>
        </is>
      </c>
      <c r="BB306" s="24" t="inlineStr">
        <is>
          <t>neutral_elo</t>
        </is>
      </c>
      <c r="BC306" s="24" t="inlineStr">
        <is>
          <t>lol-tiered-elo-v6</t>
        </is>
      </c>
      <c r="BD306" s="24" t="inlineStr">
        <is>
          <t>a73d85dae9cc0fb78f07323292b2d9d2ab5c0e9482385ac3d47c947d84a95663</t>
        </is>
      </c>
      <c r="BE306" s="24" t="inlineStr">
        <is>
          <t>1</t>
        </is>
      </c>
      <c r="BF306" s="24" t="inlineStr">
        <is>
          <t>1</t>
        </is>
      </c>
      <c r="BG306" s="24" t="inlineStr">
        <is>
          <t>lol-tiered-elo-v6</t>
        </is>
      </c>
      <c r="BH306" s="24" t="inlineStr">
        <is>
          <t>2026-09-29T10:09:47.485504Z</t>
        </is>
      </c>
      <c r="BI306" s="24" t="inlineStr">
        <is>
          <t>["same_event","same_team_same_day","same_league_same_day"]</t>
        </is>
      </c>
      <c r="BJ306" s="25" t="n"/>
      <c r="BK306" s="26" t="n">
        <v>-133</v>
      </c>
      <c r="BL306" s="27" t="n">
        <v>1.75188</v>
      </c>
      <c r="BM306" s="28" t="n">
        <v>0.570815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0.570815</t>
        </is>
      </c>
      <c r="DK306" s="24" t="n"/>
      <c r="DL306" s="24" t="n"/>
      <c r="DM306" s="24" t="n"/>
      <c r="DN306" s="24" t="n"/>
      <c r="DO306" s="24" t="n"/>
      <c r="DP306" s="24" t="n"/>
      <c r="DQ306" s="24" t="inlineStr">
        <is>
          <t>{"artifact_hash": "a73d85dae9cc0fb78f07323292b2d9d2ab5c0e9482385ac3d47c947d84a95663", "away_team": "NightBirds", "event_id": "132269", "event_start_utc": "2026-09-29T16:00:00Z", "features": {"away_elo": 1826.325896, "away_history_count": 71, "home_elo": 1628.724222, "home_history_count": 28}, "historical_source_observation_times_verified": false, "home_team": "PCIFIC ", "inference_inputs": {"book_state": {"games_played": {"bo3:3:18991": 71, "bo3:3:22396": 28}, "inactivity_half_life_days": null, "inactivity_max_pull": null, "k": 40.0, "last_match_utc": {"bo3:3:18991": "2026-09-28T18:00:00Z", "bo3:3:22396": "2026-09-28T16:00:00Z"}, "minimum_reliable_games": null, "platt_intercept": 0.07779713839971569, "platt_slope": 0.840328299935522, "ratings": {"bo3:3:18991": 1826.325896, "bo3:3:22396": 1628.724222},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["bo3:3:22396", "bo3:3:18991"]}, "market_type": "moneyline", "model_version": "lol-tiered-elo-v6", "observed_at_utc": "2026-09-29T10:09:22.995002+00:00", "probabilities": {"away": 0.676889, "home": 0.323111}, "replay_scope": "Exact serving book state, calibration, temperature, inactivity reference and thin-history adjustments; training provenance not certified.", "schema": "esports-elo-replay-v1", "snapshot_hash": "ab92667d1fbff2304ca46e1af9b42b3f2ac3447c91f0bf0b2e64e892de277c97", "sport": "LOL"}</t>
        </is>
      </c>
    </row>
    <row r="307" ht="36" customHeight="1">
      <c r="A307" s="24" t="inlineStr">
        <is>
          <t>5bd3dbb40927443f</t>
        </is>
      </c>
      <c r="B307" s="24" t="inlineStr">
        <is>
          <t>2026-09-29T10:10:35.872287Z</t>
        </is>
      </c>
      <c r="C307" s="24" t="inlineStr">
        <is>
          <t>2026-09-29T16:00:00Z</t>
        </is>
      </c>
      <c r="D307" s="24" t="inlineStr">
        <is>
          <t>132265</t>
        </is>
      </c>
      <c r="E307" s="24" t="inlineStr">
        <is>
          <t>LOL</t>
        </is>
      </c>
      <c r="F307" s="24" t="inlineStr">
        <is>
          <t>Gamespace Mediterranean College Esports</t>
        </is>
      </c>
      <c r="G307" s="24" t="inlineStr">
        <is>
          <t>Frites Esports Club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-156</v>
      </c>
      <c r="M307" s="27" t="n">
        <v>1.641026</v>
      </c>
      <c r="N307" s="28" t="n">
        <v>0.609375</v>
      </c>
      <c r="O307" s="28" t="n">
        <v>0.736484</v>
      </c>
      <c r="P307" s="28" t="n"/>
      <c r="Q307" s="28" t="n">
        <v>0.127109</v>
      </c>
      <c r="R307" s="26" t="n">
        <v>84</v>
      </c>
      <c r="S307" s="29" t="n">
        <v>1.5</v>
      </c>
      <c r="T307" s="24" t="inlineStr">
        <is>
          <t>lol-tiered-elo-v6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/>
      <c r="AA307" s="28" t="n"/>
      <c r="AB307" s="28" t="n"/>
      <c r="AC307" s="30" t="n">
        <v>0.9615</v>
      </c>
      <c r="AD307" s="24" t="inlineStr">
        <is>
          <t>2026-09-29T22:02:02.759999Z</t>
        </is>
      </c>
      <c r="AE307" s="31" t="inlineStr">
        <is>
          <t>Neutral Elo baseline; executable ask 0.6100 (market_slug=aec-lol-fec-gsmc-2026-09-29).</t>
        </is>
      </c>
      <c r="AF307" s="31" t="inlineStr">
        <is>
          <t>Config-promoted esports baseline; gates enforced at log time.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4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Gamespace Mediterranean College Esports</t>
        </is>
      </c>
      <c r="AQ307" s="24" t="inlineStr">
        <is>
          <t>Gamespace Mediterranean College Esports</t>
        </is>
      </c>
      <c r="AR307" s="24" t="inlineStr">
        <is>
          <t>Gamespace Mediterranean College Esports</t>
        </is>
      </c>
      <c r="AS307" s="24" t="inlineStr">
        <is>
          <t>Frites Esports Club</t>
        </is>
      </c>
      <c r="AT307" s="24" t="inlineStr">
        <is>
          <t>Frites Esports Club</t>
        </is>
      </c>
      <c r="AU307" s="24" t="inlineStr">
        <is>
          <t>Frites Esports Club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a73d85dae9cc0fb78f07323292b2d9d2ab5c0e9482385ac3d47c947d84a95663</t>
        </is>
      </c>
      <c r="BB307" s="24" t="inlineStr">
        <is>
          <t>neutral_elo</t>
        </is>
      </c>
      <c r="BC307" s="24" t="inlineStr">
        <is>
          <t>lol-tiered-elo-v6</t>
        </is>
      </c>
      <c r="BD307" s="24" t="inlineStr">
        <is>
          <t>a73d85dae9cc0fb78f07323292b2d9d2ab5c0e9482385ac3d47c947d84a95663</t>
        </is>
      </c>
      <c r="BE307" s="24" t="inlineStr">
        <is>
          <t>1</t>
        </is>
      </c>
      <c r="BF307" s="24" t="inlineStr">
        <is>
          <t>1</t>
        </is>
      </c>
      <c r="BG307" s="24" t="inlineStr">
        <is>
          <t>lol-tiered-elo-v6</t>
        </is>
      </c>
      <c r="BH307" s="24" t="inlineStr">
        <is>
          <t>2026-09-29T10:09:47.547187Z</t>
        </is>
      </c>
      <c r="BI307" s="24" t="inlineStr">
        <is>
          <t>["same_event","same_team_same_day","same_league_same_day"]</t>
        </is>
      </c>
      <c r="BJ307" s="25" t="n"/>
      <c r="BK307" s="26" t="n">
        <v>-156</v>
      </c>
      <c r="BL307" s="27" t="n">
        <v>1.641026</v>
      </c>
      <c r="BM307" s="28" t="n">
        <v>0.609375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0.609375</t>
        </is>
      </c>
      <c r="DK307" s="24" t="n"/>
      <c r="DL307" s="24" t="n"/>
      <c r="DM307" s="24" t="n"/>
      <c r="DN307" s="24" t="n"/>
      <c r="DO307" s="24" t="n"/>
      <c r="DP307" s="24" t="n"/>
      <c r="DQ307" s="24" t="inlineStr">
        <is>
          <t>{"artifact_hash": "a73d85dae9cc0fb78f07323292b2d9d2ab5c0e9482385ac3d47c947d84a95663", "away_team": "Gamespace Mediterranean College Esports", "event_id": "132265", "event_start_utc": "2026-09-29T16:00:00Z", "features": {"away_elo": 1547.049697, "away_history_count": 114, "home_elo": 1783.374777, "home_history_count": 42}, "historical_source_observation_times_verified": false, "home_team": "Frites Esports Club", "inference_inputs": {"book_state": {"games_played": {"bo3:3:17225": 114, "bo3:3:22314": 42}, "inactivity_half_life_days": null, "inactivity_max_pull": null, "k": 40.0, "last_match_utc": {"bo3:3:17225": "2026-09-28T19:00:00Z", "bo3:3:22314": "2026-09-28T16:00:00Z"}, "minimum_reliable_games": null, "platt_intercept": 0.07779713839971569, "platt_slope": 0.840328299935522, "ratings": {"bo3:3:17225": 1547.049697, "bo3:3:22314": 1783.374777},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["bo3:3:22314", "bo3:3:17225"]}, "market_type": "moneyline", "model_version": "lol-tiered-elo-v6", "observed_at_utc": "2026-09-29T10:09:22.995002+00:00", "probabilities": {"away": 0.263516, "home": 0.736484}, "replay_scope": "Exact serving book state, calibration, temperature, inactivity reference and thin-history adjustments; training provenance not certified.", "schema": "esports-elo-replay-v1", "snapshot_hash": "157d7fee25d54ec74571e56f234ca3df5cb499a71eeb762b2fa17a98f0a76f62", "sport": "LOL"}</t>
        </is>
      </c>
    </row>
    <row r="308" ht="36" customHeight="1">
      <c r="A308" s="24" t="inlineStr">
        <is>
          <t>b5544d0504824f22</t>
        </is>
      </c>
      <c r="B308" s="24" t="inlineStr">
        <is>
          <t>2026-09-30T04:40:53.915024Z</t>
        </is>
      </c>
      <c r="C308" s="24" t="inlineStr">
        <is>
          <t>2026-09-30T09:00:00Z</t>
        </is>
      </c>
      <c r="D308" s="24" t="inlineStr">
        <is>
          <t>131472</t>
        </is>
      </c>
      <c r="E308" s="24" t="inlineStr">
        <is>
          <t>LOL</t>
        </is>
      </c>
      <c r="F308" s="24" t="inlineStr">
        <is>
          <t>Galions</t>
        </is>
      </c>
      <c r="G308" s="24" t="inlineStr">
        <is>
          <t>T1 Academy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-156</v>
      </c>
      <c r="M308" s="27" t="n">
        <v>1.641026</v>
      </c>
      <c r="N308" s="28" t="n">
        <v>0.609375</v>
      </c>
      <c r="O308" s="28" t="n">
        <v>0.570825</v>
      </c>
      <c r="P308" s="28" t="n"/>
      <c r="Q308" s="28" t="n">
        <v>-0.03855</v>
      </c>
      <c r="R308" s="26" t="n">
        <v>1</v>
      </c>
      <c r="S308" s="29" t="n">
        <v>1</v>
      </c>
      <c r="T308" s="24" t="inlineStr">
        <is>
          <t>lol-tiered-elo-v6</t>
        </is>
      </c>
      <c r="U308" s="24" t="inlineStr">
        <is>
          <t>settled</t>
        </is>
      </c>
      <c r="V308" s="24" t="inlineStr">
        <is>
          <t>win</t>
        </is>
      </c>
      <c r="W308" s="26" t="n">
        <v>0</v>
      </c>
      <c r="X308" s="26" t="n">
        <v>1</v>
      </c>
      <c r="Y308" s="25" t="n"/>
      <c r="Z308" s="26" t="n"/>
      <c r="AA308" s="28" t="n"/>
      <c r="AB308" s="28" t="n"/>
      <c r="AC308" s="30" t="n">
        <v>0.641</v>
      </c>
      <c r="AD308" s="24" t="inlineStr">
        <is>
          <t>2026-09-30T16:18:40.798208Z</t>
        </is>
      </c>
      <c r="AE308" s="31" t="inlineStr">
        <is>
          <t>Neutral Elo baseline; executable ask 0.6100 (market_slug=aec-lol-t1a-gal-2026-09-30).</t>
        </is>
      </c>
      <c r="AF308" s="31" t="inlineStr">
        <is>
          <t>Config-promoted esports baseline; gates enforced at log time.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Galions</t>
        </is>
      </c>
      <c r="AQ308" s="24" t="inlineStr">
        <is>
          <t>Galions</t>
        </is>
      </c>
      <c r="AR308" s="24" t="inlineStr">
        <is>
          <t>Galions</t>
        </is>
      </c>
      <c r="AS308" s="24" t="inlineStr">
        <is>
          <t>T1 Academy</t>
        </is>
      </c>
      <c r="AT308" s="24" t="inlineStr">
        <is>
          <t>T1 Academy</t>
        </is>
      </c>
      <c r="AU308" s="24" t="inlineStr">
        <is>
          <t>T1 Academy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c6395ef0caa8308030300cb60b620e40882d9a0c2f44dd84acd3d2110900b3f1</t>
        </is>
      </c>
      <c r="BB308" s="24" t="inlineStr">
        <is>
          <t>neutral_elo</t>
        </is>
      </c>
      <c r="BC308" s="24" t="inlineStr">
        <is>
          <t>lol-tiered-elo-v6</t>
        </is>
      </c>
      <c r="BD308" s="24" t="inlineStr">
        <is>
          <t>c6395ef0caa8308030300cb60b620e40882d9a0c2f44dd84acd3d2110900b3f1</t>
        </is>
      </c>
      <c r="BE308" s="24" t="inlineStr">
        <is>
          <t>1</t>
        </is>
      </c>
      <c r="BF308" s="24" t="inlineStr">
        <is>
          <t>1</t>
        </is>
      </c>
      <c r="BG308" s="24" t="inlineStr">
        <is>
          <t>lol-tiered-elo-v6</t>
        </is>
      </c>
      <c r="BH308" s="24" t="inlineStr">
        <is>
          <t>2026-09-30T04:40:06.063706Z</t>
        </is>
      </c>
      <c r="BI308" s="24" t="inlineStr">
        <is>
          <t>["same_event","same_team_same_day","same_league_same_day"]</t>
        </is>
      </c>
      <c r="BJ308" s="25" t="n"/>
      <c r="BK308" s="26" t="n">
        <v>-156</v>
      </c>
      <c r="BL308" s="27" t="n">
        <v>1.641026</v>
      </c>
      <c r="BM308" s="28" t="n">
        <v>0.609375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False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0.609375</t>
        </is>
      </c>
      <c r="DK308" s="24" t="n"/>
      <c r="DL308" s="24" t="n"/>
      <c r="DM308" s="24" t="n"/>
      <c r="DN308" s="24" t="n"/>
      <c r="DO308" s="24" t="n"/>
      <c r="DP308" s="24" t="n"/>
      <c r="DQ308" s="24" t="inlineStr">
        <is>
          <t>{"artifact_hash": "c6395ef0caa8308030300cb60b620e40882d9a0c2f44dd84acd3d2110900b3f1", "away_team": "Galions", "event_id": "131472", "event_start_utc": "2026-09-30T09:00:00Z", "features": {"away_elo": 1892.396286, "away_history_count": 109, "home_elo": 1946.895946, "home_history_count": 157}, "historical_source_observation_times_verified": false, "home_team": "T1 Academy", "inference_inputs": {"book_state": {"games_played": {"bo3:3:17053": 157, "bo3:3:18886": 109}, "inactivity_half_life_days": null, "inactivity_max_pull": null, "k": 40.0, "last_match_utc": {"bo3:3:17053": "2026-09-28T06:00:00Z", "bo3:3:18886": "2026-09-28T09:30:00Z"}, "minimum_reliable_games": null, "platt_intercept": 0.07892693546437222, "platt_slope": 0.8441059210598637, "ratings": {"bo3:3:17053": 1946.895946, "bo3:3:18886": 1892.396286},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"2026-09-30T04:39:54.505734+00:00", "team_ids": ["bo3:3:17053", "bo3:3:18886"]}, "market_type": "moneyline", "model_version": "lol-tiered-elo-v6", "observed_at_utc": "2026-09-30T04:39:54.505734+00:00", "probabilities": {"away": 0.429175, "home": 0.570825}, "replay_scope": "Exact serving book state, calibration, temperature, inactivity reference and thin-history adjustments; training provenance not certified.", "schema": "esports-elo-replay-v1", "snapshot_hash": "4129a3d3191e25dd588b0a1182de9ed496212b75312546e4effcefa89d7c0806", "sport": "LOL"}</t>
        </is>
      </c>
    </row>
    <row r="309" ht="36" customHeight="1">
      <c r="A309" s="24" t="inlineStr">
        <is>
          <t>7561d844d9684907</t>
        </is>
      </c>
      <c r="B309" s="24" t="inlineStr">
        <is>
          <t>2026-09-30T10:10:36.661420Z</t>
        </is>
      </c>
      <c r="C309" s="24" t="inlineStr">
        <is>
          <t>2026-09-30T15:00:00Z</t>
        </is>
      </c>
      <c r="D309" s="24" t="inlineStr">
        <is>
          <t>133903</t>
        </is>
      </c>
      <c r="E309" s="24" t="inlineStr">
        <is>
          <t>LOL</t>
        </is>
      </c>
      <c r="F309" s="24" t="inlineStr">
        <is>
          <t>Unicorns Of Love Sexy Edition</t>
        </is>
      </c>
      <c r="G309" s="24" t="inlineStr">
        <is>
          <t>Kaufland Hangry Knights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100</v>
      </c>
      <c r="M309" s="27" t="n">
        <v>2</v>
      </c>
      <c r="N309" s="28" t="n">
        <v>0.5</v>
      </c>
      <c r="O309" s="28" t="n">
        <v>0.606851</v>
      </c>
      <c r="P309" s="28" t="n"/>
      <c r="Q309" s="28" t="n">
        <v>0.106851</v>
      </c>
      <c r="R309" s="26" t="n">
        <v>73</v>
      </c>
      <c r="S309" s="29" t="n">
        <v>1.5</v>
      </c>
      <c r="T309" s="24" t="inlineStr">
        <is>
          <t>lol-tiered-elo-v6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100</v>
      </c>
      <c r="AA309" s="28" t="n">
        <v>0.5</v>
      </c>
      <c r="AB309" s="28" t="n">
        <v>0</v>
      </c>
      <c r="AC309" s="30" t="n">
        <v>-1.5</v>
      </c>
      <c r="AD309" s="24" t="inlineStr">
        <is>
          <t>2026-09-30T16:18:42.509752Z</t>
        </is>
      </c>
      <c r="AE309" s="31" t="inlineStr">
        <is>
          <t>Neutral Elo baseline; executable ask 0.5000 (market_slug=aec-lol-khk-use-2026-09-30).</t>
        </is>
      </c>
      <c r="AF309" s="31" t="inlineStr">
        <is>
          <t>Config-promoted esports baseline; gates enforced at log time.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4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Unicorns Of Love Sexy Edition</t>
        </is>
      </c>
      <c r="AQ309" s="24" t="inlineStr">
        <is>
          <t>Unicorns Of Love Sexy Edition</t>
        </is>
      </c>
      <c r="AR309" s="24" t="inlineStr">
        <is>
          <t>Unicorns Of Love Sexy Edition</t>
        </is>
      </c>
      <c r="AS309" s="24" t="inlineStr">
        <is>
          <t>Kaufland Hangry Knights</t>
        </is>
      </c>
      <c r="AT309" s="24" t="inlineStr">
        <is>
          <t>Kaufland Hangry Knights</t>
        </is>
      </c>
      <c r="AU309" s="24" t="inlineStr">
        <is>
          <t>Kaufland Hangry Knights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098147281a622325702a2a2df8d2d9925f4abeaaca914b1311dd3f4e7fcc2827</t>
        </is>
      </c>
      <c r="BB309" s="24" t="inlineStr">
        <is>
          <t>neutral_elo</t>
        </is>
      </c>
      <c r="BC309" s="24" t="inlineStr">
        <is>
          <t>lol-tiered-elo-v6</t>
        </is>
      </c>
      <c r="BD309" s="24" t="inlineStr">
        <is>
          <t>098147281a622325702a2a2df8d2d9925f4abeaaca914b1311dd3f4e7fcc2827</t>
        </is>
      </c>
      <c r="BE309" s="24" t="inlineStr">
        <is>
          <t>1</t>
        </is>
      </c>
      <c r="BF309" s="24" t="inlineStr">
        <is>
          <t>1</t>
        </is>
      </c>
      <c r="BG309" s="24" t="inlineStr">
        <is>
          <t>lol-tiered-elo-v6</t>
        </is>
      </c>
      <c r="BH309" s="24" t="inlineStr">
        <is>
          <t>2026-09-30T10:10:03.329600Z</t>
        </is>
      </c>
      <c r="BI309" s="24" t="inlineStr">
        <is>
          <t>["same_event","same_team_same_day","same_league_same_day"]</t>
        </is>
      </c>
      <c r="BJ309" s="25" t="n"/>
      <c r="BK309" s="26" t="n">
        <v>100</v>
      </c>
      <c r="BL309" s="27" t="n">
        <v>2</v>
      </c>
      <c r="BM309" s="28" t="n">
        <v>0.5</v>
      </c>
      <c r="BN309" s="28" t="n"/>
      <c r="BO309" s="28" t="n"/>
      <c r="BP309" s="25" t="n"/>
      <c r="BQ309" s="27" t="n">
        <v>2</v>
      </c>
      <c r="BR309" s="28" t="n">
        <v>0.5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0.5</t>
        </is>
      </c>
      <c r="DK309" s="24" t="n"/>
      <c r="DL309" s="24" t="n"/>
      <c r="DM309" s="24" t="n"/>
      <c r="DN309" s="24" t="n"/>
      <c r="DO309" s="24" t="n"/>
      <c r="DP309" s="24" t="n"/>
      <c r="DQ309" s="24" t="inlineStr">
        <is>
          <t>{"artifact_hash": "098147281a622325702a2a2df8d2d9925f4abeaaca914b1311dd3f4e7fcc2827", "away_team": "Unicorns Of Love Sexy Edition", "event_id": "133903", "event_start_utc": "2026-09-30T15:00:00Z", "features": {"away_elo": 1810.51213, "away_history_count": 144, "home_elo": 1680.344276, "home_history_count": 73}, "historical_source_observation_times_verified": false, "home_team": "Kaufland Hangry Knights", "inference_inputs": {"book_state": {"games_played": {"bo3:3:16963": 73, "bo3:3:17414": 144}, "inactivity_half_life_days": null, "inactivity_max_pull": null, "k": 48.0, "last_match_utc": {"bo3:3:16963": "2026-09-29T17:00:00Z", "bo3:3:17414": "2026-09-29T16:00:00Z"}, "minimum_reliable_games": null, "platt_intercept": 0.07587920628701397, "platt_slope": 0.7907869807183922, "ratings": {"bo3:3:16963": 1680.344276, "bo3:3:17414": 1810.51213},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"2026-09-30T10:09:42.546082+00:00", "team_ids": ["bo3:3:16963", "bo3:3:17414"]}, "market_type": "moneyline", "model_version": "lol-tiered-elo-v6", "observed_at_utc": "2026-09-30T10:09:42.546082+00:00", "probabilities": {"away": 0.606851, "home": 0.393149}, "replay_scope": "Exact serving book state, calibration, temperature, inactivity reference and thin-history adjustments; training provenance not certified.", "schema": "esports-elo-replay-v1", "snapshot_hash": "457a8dabc081c5b790a40b7b4158c1bab0e2a760628c654088122c9a262fef88", "sport": "LOL"}</t>
        </is>
      </c>
    </row>
    <row r="310" ht="36" customHeight="1">
      <c r="A310" s="24" t="inlineStr">
        <is>
          <t>5214268bf5bd475e</t>
        </is>
      </c>
      <c r="B310" s="24" t="inlineStr">
        <is>
          <t>2026-09-30T17:59:15.100815Z</t>
        </is>
      </c>
      <c r="C310" s="24" t="inlineStr">
        <is>
          <t>2026-09-30T18:00:00Z</t>
        </is>
      </c>
      <c r="D310" s="24" t="inlineStr">
        <is>
          <t>133910</t>
        </is>
      </c>
      <c r="E310" s="24" t="inlineStr">
        <is>
          <t>LOL</t>
        </is>
      </c>
      <c r="F310" s="24" t="inlineStr">
        <is>
          <t>NightBirds</t>
        </is>
      </c>
      <c r="G310" s="24" t="inlineStr">
        <is>
          <t>Team Heretics Academy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113</v>
      </c>
      <c r="M310" s="27" t="n">
        <v>2.13</v>
      </c>
      <c r="N310" s="28" t="n">
        <v>0.469484</v>
      </c>
      <c r="O310" s="28" t="n">
        <v>0.502834</v>
      </c>
      <c r="P310" s="28" t="n"/>
      <c r="Q310" s="28" t="n">
        <v>0.03335</v>
      </c>
      <c r="R310" s="26" t="n">
        <v>37</v>
      </c>
      <c r="S310" s="29" t="n">
        <v>1</v>
      </c>
      <c r="T310" s="24" t="inlineStr">
        <is>
          <t>lol-tiered-elo-v6</t>
        </is>
      </c>
      <c r="U310" s="24" t="inlineStr">
        <is>
          <t>settled</t>
        </is>
      </c>
      <c r="V310" s="24" t="inlineStr">
        <is>
          <t>win</t>
        </is>
      </c>
      <c r="W310" s="26" t="n">
        <v>0</v>
      </c>
      <c r="X310" s="26" t="n">
        <v>1</v>
      </c>
      <c r="Y310" s="25" t="n"/>
      <c r="Z310" s="26" t="n"/>
      <c r="AA310" s="28" t="n"/>
      <c r="AB310" s="28" t="n"/>
      <c r="AC310" s="30" t="n">
        <v>1.13</v>
      </c>
      <c r="AD310" s="24" t="inlineStr">
        <is>
          <t>2026-09-30T22:00:56.737318Z</t>
        </is>
      </c>
      <c r="AE310" s="31" t="inlineStr">
        <is>
          <t>Neutral Elo baseline; executable ask 0.4700 (market_slug=aec-lol-hrts-nbs-2026-09-30).</t>
        </is>
      </c>
      <c r="AF310" s="31" t="inlineStr">
        <is>
          <t>Config-promoted esports baseline; gates enforced at log time.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NightBirds</t>
        </is>
      </c>
      <c r="AQ310" s="24" t="inlineStr">
        <is>
          <t>NightBirds</t>
        </is>
      </c>
      <c r="AR310" s="24" t="inlineStr">
        <is>
          <t>NightBirds</t>
        </is>
      </c>
      <c r="AS310" s="24" t="inlineStr">
        <is>
          <t>Team Heretics Academy</t>
        </is>
      </c>
      <c r="AT310" s="24" t="inlineStr">
        <is>
          <t>Team Heretics Academy</t>
        </is>
      </c>
      <c r="AU310" s="24" t="inlineStr">
        <is>
          <t>Team Heretics Academy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9e6b9ffb01f2056842a13dc1761bc3dd6d2fc4af878fbedf6672e7387078b0e5</t>
        </is>
      </c>
      <c r="BB310" s="24" t="inlineStr">
        <is>
          <t>neutral_elo</t>
        </is>
      </c>
      <c r="BC310" s="24" t="inlineStr">
        <is>
          <t>lol-tiered-elo-v6</t>
        </is>
      </c>
      <c r="BD310" s="24" t="inlineStr">
        <is>
          <t>9e6b9ffb01f2056842a13dc1761bc3dd6d2fc4af878fbedf6672e7387078b0e5</t>
        </is>
      </c>
      <c r="BE310" s="24" t="inlineStr">
        <is>
          <t>1</t>
        </is>
      </c>
      <c r="BF310" s="24" t="inlineStr">
        <is>
          <t>1</t>
        </is>
      </c>
      <c r="BG310" s="24" t="inlineStr">
        <is>
          <t>lol-tiered-elo-v6</t>
        </is>
      </c>
      <c r="BH310" s="24" t="inlineStr">
        <is>
          <t>2026-09-30T17:59:00.816285Z</t>
        </is>
      </c>
      <c r="BI310" s="24" t="inlineStr">
        <is>
          <t>["same_event","same_team_same_day","same_league_same_day"]</t>
        </is>
      </c>
      <c r="BJ310" s="25" t="n"/>
      <c r="BK310" s="26" t="n">
        <v>113</v>
      </c>
      <c r="BL310" s="27" t="n">
        <v>2.13</v>
      </c>
      <c r="BM310" s="28" t="n">
        <v>0.469484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0.469484</t>
        </is>
      </c>
      <c r="DK310" s="24" t="n"/>
      <c r="DL310" s="24" t="n"/>
      <c r="DM310" s="24" t="n"/>
      <c r="DN310" s="24" t="n"/>
      <c r="DO310" s="24" t="n"/>
      <c r="DP310" s="24" t="n"/>
      <c r="DQ310" s="24" t="inlineStr">
        <is>
          <t>{"artifact_hash": "9e6b9ffb01f2056842a13dc1761bc3dd6d2fc4af878fbedf6672e7387078b0e5", "away_team": "NightBirds", "event_id": "133910", "event_start_utc": "2026-09-30T18:00:00Z", "features": {"away_elo": 1872.579703, "away_history_count": 72, "home_elo": 1859.551013, "home_history_count": 156}, "historical_source_observation_times_verified": false, "home_team": "Team Heretics Academy", "inference_inputs": {"book_state": {"games_played": {"bo3:3:16945": 156, "bo3:3:18991": 72}, "inactivity_half_life_days": null, "inactivity_max_pull": null, "k": 48.0, "last_match_utc": {"bo3:3:16945": "2026-09-29T18:15:00Z", "bo3:3:18991": "2026-09-29T16:15:00Z"}, "minimum_reliable_games": null, "platt_intercept": 0.07080859036733783, "platt_slope": 0.7900811380077168, "ratings": {"bo3:3:16945": 1859.551013, "bo3:3:18991": 1872.579703},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"2026-09-30T17:59:00.437071+00:00", "team_ids": ["bo3:3:16945", "bo3:3:18991"]}, "market_type": "moneyline", "model_version": "lol-tiered-elo-v6", "observed_at_utc": "2026-09-30T17:59:00.437071+00:00", "probabilities": {"away": 0.497166, "home": 0.502834}, "replay_scope": "Exact serving book state, calibration, temperature, inactivity reference and thin-history adjustments; training provenance not certified.", "schema": "esports-elo-replay-v1", "snapshot_hash": "96ac5b7e19473301306ea9a9944935029e6216a0aa13814cf9a04f44ed1ce9c5", "sport": "LOL"}</t>
        </is>
      </c>
    </row>
    <row r="311" ht="36" customHeight="1">
      <c r="A311" s="24" t="inlineStr">
        <is>
          <t>0c2de764b5ad47cb</t>
        </is>
      </c>
      <c r="B311" s="24" t="inlineStr">
        <is>
          <t>2026-09-30T22:06:04.961019Z</t>
        </is>
      </c>
      <c r="C311" s="24" t="inlineStr">
        <is>
          <t>2026-10-01T00:00:00Z</t>
        </is>
      </c>
      <c r="D311" s="24" t="inlineStr">
        <is>
          <t>134504</t>
        </is>
      </c>
      <c r="E311" s="24" t="inlineStr">
        <is>
          <t>LOL</t>
        </is>
      </c>
      <c r="F311" s="24" t="inlineStr">
        <is>
          <t>Chinese Taipei</t>
        </is>
      </c>
      <c r="G311" s="24" t="inlineStr">
        <is>
          <t>Vietnam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-117</v>
      </c>
      <c r="M311" s="27" t="n">
        <v>1.854701</v>
      </c>
      <c r="N311" s="28" t="n">
        <v>0.539171</v>
      </c>
      <c r="O311" s="28" t="n">
        <v>0.561712</v>
      </c>
      <c r="P311" s="28" t="n"/>
      <c r="Q311" s="28" t="n">
        <v>0.022541</v>
      </c>
      <c r="R311" s="26" t="n">
        <v>31</v>
      </c>
      <c r="S311" s="29" t="n">
        <v>1</v>
      </c>
      <c r="T311" s="24" t="inlineStr">
        <is>
          <t>lol-tiered-elo-v6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/>
      <c r="AA311" s="28" t="n"/>
      <c r="AB311" s="28" t="n"/>
      <c r="AC311" s="30" t="n">
        <v>-1</v>
      </c>
      <c r="AD311" s="24" t="inlineStr">
        <is>
          <t>2026-10-01T04:31:30.302392Z</t>
        </is>
      </c>
      <c r="AE311" s="31" t="inlineStr">
        <is>
          <t>Neutral Elo baseline; executable ask 0.5400 (market_slug=aec-lol-vie-tpe-2026-10-01).</t>
        </is>
      </c>
      <c r="AF311" s="31" t="inlineStr">
        <is>
          <t>Config-promoted esports baseline; gates enforced at log time.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Chinese Taipei</t>
        </is>
      </c>
      <c r="AQ311" s="24" t="inlineStr">
        <is>
          <t>Chinese Taipei</t>
        </is>
      </c>
      <c r="AR311" s="24" t="inlineStr">
        <is>
          <t>Chinese Taipei</t>
        </is>
      </c>
      <c r="AS311" s="24" t="inlineStr">
        <is>
          <t>Vietnam</t>
        </is>
      </c>
      <c r="AT311" s="24" t="inlineStr">
        <is>
          <t>Vietnam</t>
        </is>
      </c>
      <c r="AU311" s="24" t="inlineStr">
        <is>
          <t>Vietnam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4ae997e0dcf9557feb2563b8fd3c6b42642c393e178c45f334e7f891f0d6134e</t>
        </is>
      </c>
      <c r="BB311" s="24" t="inlineStr">
        <is>
          <t>neutral_elo</t>
        </is>
      </c>
      <c r="BC311" s="24" t="inlineStr">
        <is>
          <t>lol-tiered-elo-v6</t>
        </is>
      </c>
      <c r="BD311" s="24" t="inlineStr">
        <is>
          <t>4ae997e0dcf9557feb2563b8fd3c6b42642c393e178c45f334e7f891f0d6134e</t>
        </is>
      </c>
      <c r="BE311" s="24" t="inlineStr">
        <is>
          <t>1</t>
        </is>
      </c>
      <c r="BF311" s="24" t="inlineStr">
        <is>
          <t>1</t>
        </is>
      </c>
      <c r="BG311" s="24" t="inlineStr">
        <is>
          <t>lol-tiered-elo-v6</t>
        </is>
      </c>
      <c r="BH311" s="24" t="inlineStr">
        <is>
          <t>2026-09-30T22:05:28.338129Z</t>
        </is>
      </c>
      <c r="BI311" s="24" t="inlineStr">
        <is>
          <t>["same_event","same_team_same_day","same_league_same_day"]</t>
        </is>
      </c>
      <c r="BJ311" s="25" t="n"/>
      <c r="BK311" s="26" t="n">
        <v>-117</v>
      </c>
      <c r="BL311" s="27" t="n">
        <v>1.854701</v>
      </c>
      <c r="BM311" s="28" t="n">
        <v>0.539171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0.539171</t>
        </is>
      </c>
      <c r="DK311" s="24" t="n"/>
      <c r="DL311" s="24" t="n"/>
      <c r="DM311" s="24" t="n"/>
      <c r="DN311" s="24" t="n"/>
      <c r="DO311" s="24" t="n"/>
      <c r="DP311" s="24" t="n"/>
      <c r="DQ311" s="24" t="inlineStr">
        <is>
          <t>{"artifact_hash": "4ae997e0dcf9557feb2563b8fd3c6b42642c393e178c45f334e7f891f0d6134e", "away_team": "Chinese Taipei", "event_id": "134504", "event_start_utc": "2026-10-01T00:00:00Z", "features": {"away_elo": 1530.826233, "away_history_count": 12, "home_elo": 1581.592022, "home_history_count": 16}, "historical_source_observation_times_verified": false, "home_team": "Vietnam", "inference_inputs": {"book_state": {"games_played": {"bo3:3:16798": 12, "bo3:3:17066": 16}, "inactivity_half_life_days": null, "inactivity_max_pull": null, "k": 48.0, "last_match_utc": {"bo3:3:16798": "2026-09-30T05:00:00Z", "bo3:3:17066": "2026-09-29T05:00:00Z"}, "minimum_reliable_games": null, "platt_intercept": 0.0691503827781253, "platt_slope": 0.7817450073579496, "ratings": {"bo3:3:16798": 1530.826233, "bo3:3:17066": 1581.592022},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"2026-09-30T22:05:28.259487+00:00", "team_ids": ["bo3:3:17066", "bo3:3:16798"]}, "market_type": "moneyline", "model_version": "lol-tiered-elo-v6", "observed_at_utc": "2026-09-30T22:05:28.259487+00:00", "probabilities": {"away": 0.438288, "home": 0.561712}, "replay_scope": "Exact serving book state, calibration, temperature, inactivity reference and thin-history adjustments; training provenance not certified.", "schema": "esports-elo-replay-v1", "snapshot_hash": "0adec1baf9f7d35f59401711dd0bd12a71c7841487d4b154c66c665c4b3ee53a", "sport": "LOL"}</t>
        </is>
      </c>
    </row>
    <row r="312" ht="36" customHeight="1">
      <c r="A312" s="24" t="inlineStr">
        <is>
          <t>68dfb85f38f041bf</t>
        </is>
      </c>
      <c r="B312" s="24" t="inlineStr">
        <is>
          <t>2026-10-02T04:41:17.356830Z</t>
        </is>
      </c>
      <c r="C312" s="24" t="inlineStr">
        <is>
          <t>2026-10-02T09:00:00Z</t>
        </is>
      </c>
      <c r="D312" s="24" t="inlineStr">
        <is>
          <t>134698</t>
        </is>
      </c>
      <c r="E312" s="24" t="inlineStr">
        <is>
          <t>LOL</t>
        </is>
      </c>
      <c r="F312" s="24" t="inlineStr">
        <is>
          <t>T1 Academy</t>
        </is>
      </c>
      <c r="G312" s="24" t="inlineStr">
        <is>
          <t>Solary</t>
        </is>
      </c>
      <c r="H312" s="24" t="inlineStr">
        <is>
          <t>moneyline</t>
        </is>
      </c>
      <c r="I312" s="24" t="inlineStr">
        <is>
          <t>away</t>
        </is>
      </c>
      <c r="J312" s="25" t="n"/>
      <c r="K312" s="24" t="inlineStr">
        <is>
          <t>polymarket_us</t>
        </is>
      </c>
      <c r="L312" s="26" t="n">
        <v>-178</v>
      </c>
      <c r="M312" s="27" t="n">
        <v>1.561798</v>
      </c>
      <c r="N312" s="28" t="n">
        <v>0.640288</v>
      </c>
      <c r="O312" s="28" t="n">
        <v>0.5264720000000001</v>
      </c>
      <c r="P312" s="28" t="n"/>
      <c r="Q312" s="28" t="n">
        <v>-0.113816</v>
      </c>
      <c r="R312" s="26" t="n">
        <v>0</v>
      </c>
      <c r="S312" s="29" t="n">
        <v>1</v>
      </c>
      <c r="T312" s="24" t="inlineStr">
        <is>
          <t>lol-tiered-elo-v6</t>
        </is>
      </c>
      <c r="U312" s="24" t="inlineStr">
        <is>
          <t>settled</t>
        </is>
      </c>
      <c r="V312" s="24" t="inlineStr">
        <is>
          <t>win</t>
        </is>
      </c>
      <c r="W312" s="26" t="n">
        <v>1</v>
      </c>
      <c r="X312" s="26" t="n">
        <v>0</v>
      </c>
      <c r="Y312" s="25" t="n"/>
      <c r="Z312" s="26" t="n">
        <v>-178</v>
      </c>
      <c r="AA312" s="28" t="n">
        <v>0.64</v>
      </c>
      <c r="AB312" s="28" t="n">
        <v>-0.000288</v>
      </c>
      <c r="AC312" s="30" t="n">
        <v>0.5618</v>
      </c>
      <c r="AD312" s="24" t="inlineStr">
        <is>
          <t>2026-10-02T16:01:42.432850Z</t>
        </is>
      </c>
      <c r="AE312" s="31" t="inlineStr">
        <is>
          <t>Neutral Elo baseline; executable ask 0.6400 (market_slug=aec-lol-sly-t1a-2026-10-02).</t>
        </is>
      </c>
      <c r="AF312" s="31" t="inlineStr">
        <is>
          <t>Config-promoted esports baseline; gates enforced at log time.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T1 Academy</t>
        </is>
      </c>
      <c r="AQ312" s="24" t="inlineStr">
        <is>
          <t>T1 Academy</t>
        </is>
      </c>
      <c r="AR312" s="24" t="inlineStr">
        <is>
          <t>T1 Academy</t>
        </is>
      </c>
      <c r="AS312" s="24" t="inlineStr">
        <is>
          <t>Solary</t>
        </is>
      </c>
      <c r="AT312" s="24" t="inlineStr">
        <is>
          <t>Solary</t>
        </is>
      </c>
      <c r="AU312" s="24" t="inlineStr">
        <is>
          <t>Solary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e5c7115dd6d9422a78e604a54fe2af6e3fc8a40dfe8a58b0f763b2421e7c5f28</t>
        </is>
      </c>
      <c r="BB312" s="24" t="inlineStr">
        <is>
          <t>neutral_elo</t>
        </is>
      </c>
      <c r="BC312" s="24" t="inlineStr">
        <is>
          <t>lol-tiered-elo-v6</t>
        </is>
      </c>
      <c r="BD312" s="24" t="inlineStr">
        <is>
          <t>e5c7115dd6d9422a78e604a54fe2af6e3fc8a40dfe8a58b0f763b2421e7c5f28</t>
        </is>
      </c>
      <c r="BE312" s="24" t="inlineStr">
        <is>
          <t>1</t>
        </is>
      </c>
      <c r="BF312" s="24" t="inlineStr">
        <is>
          <t>1</t>
        </is>
      </c>
      <c r="BG312" s="24" t="inlineStr">
        <is>
          <t>lol-tiered-elo-v6</t>
        </is>
      </c>
      <c r="BH312" s="24" t="inlineStr">
        <is>
          <t>2026-10-02T04:40:29.188931Z</t>
        </is>
      </c>
      <c r="BI312" s="24" t="inlineStr">
        <is>
          <t>["same_event","same_team_same_day","same_league_same_day"]</t>
        </is>
      </c>
      <c r="BJ312" s="25" t="n"/>
      <c r="BK312" s="26" t="n">
        <v>-178</v>
      </c>
      <c r="BL312" s="27" t="n">
        <v>1.561798</v>
      </c>
      <c r="BM312" s="28" t="n">
        <v>0.640288</v>
      </c>
      <c r="BN312" s="28" t="n"/>
      <c r="BO312" s="28" t="n"/>
      <c r="BP312" s="25" t="n"/>
      <c r="BQ312" s="27" t="n">
        <v>1.561798</v>
      </c>
      <c r="BR312" s="28" t="n">
        <v>0.64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0.640288</t>
        </is>
      </c>
      <c r="DK312" s="24" t="n"/>
      <c r="DL312" s="24" t="n"/>
      <c r="DM312" s="24" t="n"/>
      <c r="DN312" s="24" t="n"/>
      <c r="DO312" s="24" t="n"/>
      <c r="DP312" s="24" t="n"/>
      <c r="DQ312" s="24" t="inlineStr">
        <is>
          <t>{"artifact_hash": "e5c7115dd6d9422a78e604a54fe2af6e3fc8a40dfe8a58b0f763b2421e7c5f28", "away_team": "T1 Academy", "event_id": "134698", "event_start_utc": "2026-10-02T09:00:00Z", "features": {"away_elo": 2020.339408, "away_history_count": 158, "home_elo": 1977.993984, "home_history_count": 130}, "historical_source_observation_times_verified": false, "home_team": "Solary", "inference_inputs": {"book_state": {"games_played": {"bo3:3:17053": 158, "bo3:3:17873": 130}, "inactivity_half_life_days": null, "inactivity_max_pull": null, "k": 48.0, "last_match_utc": {"bo3:3:17053": "2026-09-30T10:00:00Z", "bo3:3:17873": "2026-09-30T06:00:00Z"}, "minimum_reliable_games": null, "platt_intercept": 0.06662409327245579, "platt_slope": 0.7858463854521537, "ratings": {"bo3:3:17053": 2020.339408, "bo3:3:17873": 1977.993984},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"2026-10-02T04:40:29.121209+00:00", "team_ids": ["bo3:3:17873", "bo3:3:17053"]}, "market_type": "moneyline", "model_version": "lol-tiered-elo-v6", "observed_at_utc": "2026-10-02T04:40:29.121209+00:00", "probabilities": {"away": 0.526472, "home": 0.473528}, "replay_scope": "Exact serving book state, calibration, temperature, inactivity reference and thin-history adjustments; training provenance not certified.", "schema": "esports-elo-replay-v1", "snapshot_hash": "a83cce7a5fe3c1cf2951b50a4f0fee0e22f7451a6b74aabc9d629717cfb22afd", "sport": "LOL"}</t>
        </is>
      </c>
    </row>
    <row r="313" ht="36" customHeight="1">
      <c r="A313" s="24" t="inlineStr">
        <is>
          <t>9780b1d7a2484903</t>
        </is>
      </c>
      <c r="B313" s="24" t="inlineStr">
        <is>
          <t>2026-10-02T10:10:21.039140Z</t>
        </is>
      </c>
      <c r="C313" s="24" t="inlineStr">
        <is>
          <t>2026-10-02T15:00:00Z</t>
        </is>
      </c>
      <c r="D313" s="24" t="inlineStr">
        <is>
          <t>137359</t>
        </is>
      </c>
      <c r="E313" s="24" t="inlineStr">
        <is>
          <t>LOL</t>
        </is>
      </c>
      <c r="F313" s="24" t="inlineStr">
        <is>
          <t>UCAM Esports Club</t>
        </is>
      </c>
      <c r="G313" s="24" t="inlineStr">
        <is>
          <t>NightBirds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polymarket_us</t>
        </is>
      </c>
      <c r="L313" s="26" t="n">
        <v>138</v>
      </c>
      <c r="M313" s="27" t="n">
        <v>2.38</v>
      </c>
      <c r="N313" s="28" t="n">
        <v>0.420168</v>
      </c>
      <c r="O313" s="28" t="n">
        <v>0.570955</v>
      </c>
      <c r="P313" s="28" t="n"/>
      <c r="Q313" s="28" t="n">
        <v>0.150787</v>
      </c>
      <c r="R313" s="26" t="n">
        <v>95</v>
      </c>
      <c r="S313" s="29" t="n">
        <v>1.75</v>
      </c>
      <c r="T313" s="24" t="inlineStr">
        <is>
          <t>lol-tiered-elo-v6</t>
        </is>
      </c>
      <c r="U313" s="24" t="inlineStr">
        <is>
          <t>settled</t>
        </is>
      </c>
      <c r="V313" s="24" t="inlineStr">
        <is>
          <t>loss</t>
        </is>
      </c>
      <c r="W313" s="26" t="n">
        <v>1</v>
      </c>
      <c r="X313" s="26" t="n">
        <v>0</v>
      </c>
      <c r="Y313" s="25" t="n"/>
      <c r="Z313" s="26" t="n"/>
      <c r="AA313" s="28" t="n"/>
      <c r="AB313" s="28" t="n"/>
      <c r="AC313" s="30" t="n">
        <v>-1.75</v>
      </c>
      <c r="AD313" s="24" t="inlineStr">
        <is>
          <t>2026-10-02T22:01:25.517365Z</t>
        </is>
      </c>
      <c r="AE313" s="31" t="inlineStr">
        <is>
          <t>Neutral Elo baseline; executable ask 0.4200 (market_slug=aec-lol-nbs-ucam-2026-10-02).</t>
        </is>
      </c>
      <c r="AF313" s="31" t="inlineStr">
        <is>
          <t>Config-promoted esports baseline; gates enforced at log time.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4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UCAM Esports Club</t>
        </is>
      </c>
      <c r="AQ313" s="24" t="inlineStr">
        <is>
          <t>UCAM Esports Club</t>
        </is>
      </c>
      <c r="AR313" s="24" t="inlineStr">
        <is>
          <t>UCAM Esports Club</t>
        </is>
      </c>
      <c r="AS313" s="24" t="inlineStr">
        <is>
          <t>NightBirds</t>
        </is>
      </c>
      <c r="AT313" s="24" t="inlineStr">
        <is>
          <t>NightBirds</t>
        </is>
      </c>
      <c r="AU313" s="24" t="inlineStr">
        <is>
          <t>NightBirds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9c6bc14286af4930dd28fa534e95ad3234ad81355541cf3c07f9cb0c6b8e49ed</t>
        </is>
      </c>
      <c r="BB313" s="24" t="inlineStr">
        <is>
          <t>neutral_elo</t>
        </is>
      </c>
      <c r="BC313" s="24" t="inlineStr">
        <is>
          <t>lol-tiered-elo-v6</t>
        </is>
      </c>
      <c r="BD313" s="24" t="inlineStr">
        <is>
          <t>9c6bc14286af4930dd28fa534e95ad3234ad81355541cf3c07f9cb0c6b8e49ed</t>
        </is>
      </c>
      <c r="BE313" s="24" t="inlineStr">
        <is>
          <t>1</t>
        </is>
      </c>
      <c r="BF313" s="24" t="inlineStr">
        <is>
          <t>1</t>
        </is>
      </c>
      <c r="BG313" s="24" t="inlineStr">
        <is>
          <t>lol-tiered-elo-v6</t>
        </is>
      </c>
      <c r="BH313" s="24" t="inlineStr">
        <is>
          <t>2026-10-02T10:09:45.042803Z</t>
        </is>
      </c>
      <c r="BI313" s="24" t="inlineStr">
        <is>
          <t>["same_event","same_team_same_day","same_league_same_day"]</t>
        </is>
      </c>
      <c r="BJ313" s="25" t="n"/>
      <c r="BK313" s="26" t="n">
        <v>138</v>
      </c>
      <c r="BL313" s="27" t="n">
        <v>2.38</v>
      </c>
      <c r="BM313" s="28" t="n">
        <v>0.420168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0.420168</t>
        </is>
      </c>
      <c r="DK313" s="24" t="n"/>
      <c r="DL313" s="24" t="n"/>
      <c r="DM313" s="24" t="n"/>
      <c r="DN313" s="24" t="n"/>
      <c r="DO313" s="24" t="n"/>
      <c r="DP313" s="24" t="n"/>
      <c r="DQ313" s="24" t="inlineStr">
        <is>
          <t>{"artifact_hash": "9c6bc14286af4930dd28fa534e95ad3234ad81355541cf3c07f9cb0c6b8e49ed", "away_team": "UCAM Esports Club", "event_id": "137359", "event_start_utc": "2026-10-02T15:00:00Z", "features": {"away_elo": 1742.865359, "away_history_count": 104, "home_elo": 1803.643744, "home_history_count": 74}, "historical_source_observation_times_verified": false, "home_team": "NightBirds", "inference_inputs": {"book_state": {"games_played": {"bo3:3:17427": 104, "bo3:3:18991": 74}, "inactivity_half_life_days": null, "inactivity_max_pull": null, "k": 48.0, "last_match_utc": {"bo3:3:17427": "2026-10-01T17:50:00Z", "bo3:3:18991": "2026-10-01T16:45:00Z"}, "minimum_reliable_games": null, "platt_intercept": 0.06457522745076319, "platt_slope": 0.7857110132195196, "ratings": {"bo3:3:17427": 1742.865359, "bo3:3:18991": 1803.643744},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"2026-10-02T10:09:44.961393+00:00", "team_ids": ["bo3:3:18991", "bo3:3:17427"]}, "market_type": "moneyline", "model_version": "lol-tiered-elo-v6", "observed_at_utc": "2026-10-02T10:09:44.961393+00:00", "probabilities": {"away": 0.429045, "home": 0.570955}, "replay_scope": "Exact serving book state, calibration, temperature, inactivity reference and thin-history adjustments; training provenance not certified.", "schema": "esports-elo-replay-v1", "snapshot_hash": "1a819664d481b36730edca64a54f6e5c207beee52fb8cee4668ec29491e8992f", "sport": "LOL"}</t>
        </is>
      </c>
    </row>
    <row r="314" ht="36" customHeight="1">
      <c r="A314" s="24" t="inlineStr">
        <is>
          <t>1a440a02629945ab</t>
        </is>
      </c>
      <c r="B314" s="24" t="inlineStr">
        <is>
          <t>2026-10-02T16:09:40.084721Z</t>
        </is>
      </c>
      <c r="C314" s="24" t="inlineStr">
        <is>
          <t>2026-10-02T18:00:00Z</t>
        </is>
      </c>
      <c r="D314" s="24" t="inlineStr">
        <is>
          <t>137362</t>
        </is>
      </c>
      <c r="E314" s="24" t="inlineStr">
        <is>
          <t>LOL</t>
        </is>
      </c>
      <c r="F314" s="24" t="inlineStr">
        <is>
          <t>Barça eSports</t>
        </is>
      </c>
      <c r="G314" s="24" t="inlineStr">
        <is>
          <t>BOMBA Team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-133</v>
      </c>
      <c r="M314" s="27" t="n">
        <v>1.75188</v>
      </c>
      <c r="N314" s="28" t="n">
        <v>0.570815</v>
      </c>
      <c r="O314" s="28" t="n">
        <v>0.503563</v>
      </c>
      <c r="P314" s="28" t="n"/>
      <c r="Q314" s="28" t="n">
        <v>-0.06725200000000001</v>
      </c>
      <c r="R314" s="26" t="n">
        <v>0</v>
      </c>
      <c r="S314" s="29" t="n">
        <v>1</v>
      </c>
      <c r="T314" s="24" t="inlineStr">
        <is>
          <t>lol-tiered-elo-v6</t>
        </is>
      </c>
      <c r="U314" s="24" t="inlineStr">
        <is>
          <t>settled</t>
        </is>
      </c>
      <c r="V314" s="24" t="inlineStr">
        <is>
          <t>loss</t>
        </is>
      </c>
      <c r="W314" s="26" t="n">
        <v>1</v>
      </c>
      <c r="X314" s="26" t="n">
        <v>0</v>
      </c>
      <c r="Y314" s="25" t="n"/>
      <c r="Z314" s="26" t="n"/>
      <c r="AA314" s="28" t="n"/>
      <c r="AB314" s="28" t="n"/>
      <c r="AC314" s="30" t="n">
        <v>-1</v>
      </c>
      <c r="AD314" s="24" t="inlineStr">
        <is>
          <t>2026-10-02T22:01:26.472725Z</t>
        </is>
      </c>
      <c r="AE314" s="31" t="inlineStr">
        <is>
          <t>Neutral Elo baseline; executable ask 0.5700 (market_slug=aec-lol-boom-bar-2026-10-02).</t>
        </is>
      </c>
      <c r="AF314" s="31" t="inlineStr">
        <is>
          <t>Config-promoted esports baseline; gates enforced at log time.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Barça eSports</t>
        </is>
      </c>
      <c r="AQ314" s="24" t="inlineStr">
        <is>
          <t>Barça eSports</t>
        </is>
      </c>
      <c r="AR314" s="24" t="inlineStr">
        <is>
          <t>Barça eSports</t>
        </is>
      </c>
      <c r="AS314" s="24" t="inlineStr">
        <is>
          <t>BOMBA Team</t>
        </is>
      </c>
      <c r="AT314" s="24" t="inlineStr">
        <is>
          <t>BOMBA Team</t>
        </is>
      </c>
      <c r="AU314" s="24" t="inlineStr">
        <is>
          <t>BOMBA Team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058080653a303b2a44ae99dbc324c5cfaa1ca37281b17cf8bbccf18872b9dca2</t>
        </is>
      </c>
      <c r="BB314" s="24" t="inlineStr">
        <is>
          <t>neutral_elo</t>
        </is>
      </c>
      <c r="BC314" s="24" t="inlineStr">
        <is>
          <t>lol-tiered-elo-v6</t>
        </is>
      </c>
      <c r="BD314" s="24" t="inlineStr">
        <is>
          <t>058080653a303b2a44ae99dbc324c5cfaa1ca37281b17cf8bbccf18872b9dca2</t>
        </is>
      </c>
      <c r="BE314" s="24" t="inlineStr">
        <is>
          <t>1</t>
        </is>
      </c>
      <c r="BF314" s="24" t="inlineStr">
        <is>
          <t>1</t>
        </is>
      </c>
      <c r="BG314" s="24" t="inlineStr">
        <is>
          <t>lol-tiered-elo-v6</t>
        </is>
      </c>
      <c r="BH314" s="24" t="inlineStr">
        <is>
          <t>2026-10-02T16:09:16.182243Z</t>
        </is>
      </c>
      <c r="BI314" s="24" t="inlineStr">
        <is>
          <t>["same_event","same_team_same_day","same_league_same_day"]</t>
        </is>
      </c>
      <c r="BJ314" s="25" t="n"/>
      <c r="BK314" s="26" t="n">
        <v>-133</v>
      </c>
      <c r="BL314" s="27" t="n">
        <v>1.75188</v>
      </c>
      <c r="BM314" s="28" t="n">
        <v>0.570815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0.570815</t>
        </is>
      </c>
      <c r="DK314" s="24" t="n"/>
      <c r="DL314" s="24" t="n"/>
      <c r="DM314" s="24" t="n"/>
      <c r="DN314" s="24" t="n"/>
      <c r="DO314" s="24" t="n"/>
      <c r="DP314" s="24" t="n"/>
      <c r="DQ314" s="24" t="inlineStr">
        <is>
          <t>{"artifact_hash": "058080653a303b2a44ae99dbc324c5cfaa1ca37281b17cf8bbccf18872b9dca2", "away_team": "Bar\u00e7a eSports", "event_id": "137362", "event_start_utc": "2026-10-02T18:00:00Z", "features": {"away_elo": 1700.734716, "away_history_count": 145, "home_elo": 1690.057221, "home_history_count": 124}, "historical_source_observation_times_verified": false, "home_team": "BOMBA Team", "inference_inputs": {"book_state": {"games_played": {"bo3:3:17144": 145, "bo3:3:18311": 124}, "inactivity_half_life_days": null, "inactivity_max_pull": null, "k": 48.0, "last_match_utc": {"bo3:3:17144": "2026-10-01T17:00:00Z", "bo3:3:18311": "2026-10-01T15:00:00Z"}, "minimum_reliable_games": null, "platt_intercept": 0.06534305356309358, "platt_slope": 0.7858277208386065, "ratings": {"bo3:3:17144": 1700.734716, "bo3:3:18311": 1690.057221},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"2026-10-02T16:09:16.052670+00:00", "team_ids": ["bo3:3:18311", "bo3:3:17144"]}, "market_type": "moneyline", "model_version": "lol-tiered-elo-v6", "observed_at_utc": "2026-10-02T16:09:16.052670+00:00", "probabilities": {"away": 0.496437, "home": 0.503563}, "replay_scope": "Exact serving book state, calibration, temperature, inactivity reference and thin-history adjustments; training provenance not certified.", "schema": "esports-elo-replay-v1", "snapshot_hash": "002e12a240d650c1d1cb568b6d687b2f1e49665300cba5b72e6483aa4212af87", "sport": "LOL"}</t>
        </is>
      </c>
    </row>
    <row r="315" ht="36" customHeight="1">
      <c r="A315" s="24" t="inlineStr">
        <is>
          <t>0778de71b33d41b2</t>
        </is>
      </c>
      <c r="B315" s="24" t="inlineStr">
        <is>
          <t>2026-10-03T16:53:04.381999Z</t>
        </is>
      </c>
      <c r="C315" s="24" t="inlineStr">
        <is>
          <t>2026-10-03T20:00:00Z</t>
        </is>
      </c>
      <c r="D315" s="24" t="inlineStr">
        <is>
          <t>135657</t>
        </is>
      </c>
      <c r="E315" s="24" t="inlineStr">
        <is>
          <t>LOL</t>
        </is>
      </c>
      <c r="F315" s="24" t="inlineStr">
        <is>
          <t>LYON</t>
        </is>
      </c>
      <c r="G315" s="24" t="inlineStr">
        <is>
          <t>Cloud9</t>
        </is>
      </c>
      <c r="H315" s="24" t="inlineStr">
        <is>
          <t>moneyline</t>
        </is>
      </c>
      <c r="I315" s="24" t="inlineStr">
        <is>
          <t>away</t>
        </is>
      </c>
      <c r="J315" s="25" t="n"/>
      <c r="K315" s="24" t="inlineStr">
        <is>
          <t>polymarket_us</t>
        </is>
      </c>
      <c r="L315" s="26" t="n">
        <v>-223</v>
      </c>
      <c r="M315" s="27" t="n">
        <v>1.44843</v>
      </c>
      <c r="N315" s="28" t="n">
        <v>0.690402</v>
      </c>
      <c r="O315" s="28" t="n">
        <v>0.534531</v>
      </c>
      <c r="P315" s="28" t="n"/>
      <c r="Q315" s="28" t="n">
        <v>-0.155871</v>
      </c>
      <c r="R315" s="26" t="n">
        <v>0</v>
      </c>
      <c r="S315" s="29" t="n">
        <v>1</v>
      </c>
      <c r="T315" s="24" t="inlineStr">
        <is>
          <t>lol-tiered-elo-v6</t>
        </is>
      </c>
      <c r="U315" s="24" t="inlineStr">
        <is>
          <t>settled</t>
        </is>
      </c>
      <c r="V315" s="24" t="inlineStr">
        <is>
          <t>win</t>
        </is>
      </c>
      <c r="W315" s="26" t="n">
        <v>1</v>
      </c>
      <c r="X315" s="26" t="n">
        <v>0</v>
      </c>
      <c r="Y315" s="25" t="n"/>
      <c r="Z315" s="26" t="n"/>
      <c r="AA315" s="28" t="n"/>
      <c r="AB315" s="28" t="n"/>
      <c r="AC315" s="30" t="n">
        <v>0.4484</v>
      </c>
      <c r="AD315" s="24" t="inlineStr">
        <is>
          <t>2026-10-04T21:03:43.815441Z</t>
        </is>
      </c>
      <c r="AE315" s="31" t="inlineStr">
        <is>
          <t>Neutral Elo baseline; executable ask 0.6900 (market_slug=aec-lol-c9-ly-2026-10-03).</t>
        </is>
      </c>
      <c r="AF315" s="31" t="inlineStr">
        <is>
          <t>Config-promoted esports baseline; gates enforced at log time.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LYON</t>
        </is>
      </c>
      <c r="AQ315" s="24" t="inlineStr">
        <is>
          <t>LYON</t>
        </is>
      </c>
      <c r="AR315" s="24" t="inlineStr">
        <is>
          <t>LYON</t>
        </is>
      </c>
      <c r="AS315" s="24" t="inlineStr">
        <is>
          <t>Cloud9</t>
        </is>
      </c>
      <c r="AT315" s="24" t="inlineStr">
        <is>
          <t>Cloud9</t>
        </is>
      </c>
      <c r="AU315" s="24" t="inlineStr">
        <is>
          <t>Cloud9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7dd84946e8171bfb91879166ef376f6954d268d14622bb77392ddbee9f1cd18c</t>
        </is>
      </c>
      <c r="BB315" s="24" t="inlineStr">
        <is>
          <t>neutral_elo</t>
        </is>
      </c>
      <c r="BC315" s="24" t="inlineStr">
        <is>
          <t>lol-tiered-elo-v6</t>
        </is>
      </c>
      <c r="BD315" s="24" t="inlineStr">
        <is>
          <t>7dd84946e8171bfb91879166ef376f6954d268d14622bb77392ddbee9f1cd18c</t>
        </is>
      </c>
      <c r="BE315" s="24" t="inlineStr">
        <is>
          <t>1</t>
        </is>
      </c>
      <c r="BF315" s="24" t="inlineStr">
        <is>
          <t>1</t>
        </is>
      </c>
      <c r="BG315" s="24" t="inlineStr">
        <is>
          <t>lol-tiered-elo-v6</t>
        </is>
      </c>
      <c r="BH315" s="24" t="inlineStr">
        <is>
          <t>2026-10-03T16:52:49.789788Z</t>
        </is>
      </c>
      <c r="BI315" s="24" t="inlineStr">
        <is>
          <t>["same_event","same_team_same_day","same_league_same_day"]</t>
        </is>
      </c>
      <c r="BJ315" s="25" t="n"/>
      <c r="BK315" s="26" t="n">
        <v>-223</v>
      </c>
      <c r="BL315" s="27" t="n">
        <v>1.44843</v>
      </c>
      <c r="BM315" s="28" t="n">
        <v>0.690402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False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0.690402</t>
        </is>
      </c>
      <c r="DK315" s="24" t="n"/>
      <c r="DL315" s="24" t="n"/>
      <c r="DM315" s="24" t="n"/>
      <c r="DN315" s="24" t="n"/>
      <c r="DO315" s="24" t="n"/>
      <c r="DP315" s="24" t="n"/>
      <c r="DQ315" s="24" t="inlineStr">
        <is>
          <t>{"artifact_hash": "7dd84946e8171bfb91879166ef376f6954d268d14622bb77392ddbee9f1cd18c", "away_team": "LYON", "event_id": "135657", "event_start_utc": "2026-10-03T20:00:00Z", "features": {"away_elo": 1769.778361, "away_history_count": 83, "home_elo": 1714.964859, "home_history_count": 96}, "historical_source_observation_times_verified": false, "home_team": "Cloud9", "inference_inputs": {"book_state": {"games_played": {"bo3:3:17900": 96, "bo3:3:17950": 83}, "inactivity_half_life_days": null, "inactivity_max_pull": null, "k": 48.0, "last_match_utc": {"bo3:3:17900": "2026-09-27T20:00:00Z", "bo3:3:17950": "2026-09-26T20:00:00Z"}, "minimum_reliable_games": null, "platt_intercept": 0.06303534196602165, "platt_slope": 0.790763821787615, "ratings": {"bo3:3:17900": 1714.964859, "bo3:3:17950": 1769.778361},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"2026-10-03T16:52:49.699446+00:00", "team_ids": ["bo3:3:17900", "bo3:3:17950"]}, "market_type": "moneyline", "model_version": "lol-tiered-elo-v6", "observed_at_utc": "2026-10-03T16:52:49.699446+00:00", "probabilities": {"away": 0.534531, "home": 0.465469}, "replay_scope": "Exact serving book state, calibration, temperature, inactivity reference and thin-history adjustments; training provenance not certified.", "schema": "esports-elo-replay-v1", "snapshot_hash": "629fd0a283340c2e8fff8d26aa55c1f8f73e695e64cd464accbecaf1be970b93", "sport": "LOL"}</t>
        </is>
      </c>
    </row>
    <row r="316" ht="36" customHeight="1">
      <c r="A316" s="24" t="inlineStr">
        <is>
          <t>f55aabf8b68f46f2</t>
        </is>
      </c>
      <c r="B316" s="24" t="inlineStr">
        <is>
          <t>2026-10-03T22:33:42.309505Z</t>
        </is>
      </c>
      <c r="C316" s="24" t="inlineStr">
        <is>
          <t>2026-10-04T07:00:00Z</t>
        </is>
      </c>
      <c r="D316" s="24" t="inlineStr">
        <is>
          <t>139902</t>
        </is>
      </c>
      <c r="E316" s="24" t="inlineStr">
        <is>
          <t>LOL</t>
        </is>
      </c>
      <c r="F316" s="24" t="inlineStr">
        <is>
          <t>BNK FEARX</t>
        </is>
      </c>
      <c r="G316" s="24" t="inlineStr">
        <is>
          <t>LGD Gaming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127</v>
      </c>
      <c r="M316" s="27" t="n">
        <v>2.27</v>
      </c>
      <c r="N316" s="28" t="n">
        <v>0.440529</v>
      </c>
      <c r="O316" s="28" t="n">
        <v>0.545669</v>
      </c>
      <c r="P316" s="28" t="n"/>
      <c r="Q316" s="28" t="n">
        <v>0.10514</v>
      </c>
      <c r="R316" s="26" t="n">
        <v>73</v>
      </c>
      <c r="S316" s="29" t="n">
        <v>1.25</v>
      </c>
      <c r="T316" s="24" t="inlineStr">
        <is>
          <t>lol-tiered-elo-v6</t>
        </is>
      </c>
      <c r="U316" s="24" t="inlineStr">
        <is>
          <t>settled</t>
        </is>
      </c>
      <c r="V316" s="24" t="inlineStr">
        <is>
          <t>loss</t>
        </is>
      </c>
      <c r="W316" s="26" t="n">
        <v>1</v>
      </c>
      <c r="X316" s="26" t="n">
        <v>0</v>
      </c>
      <c r="Y316" s="25" t="n"/>
      <c r="Z316" s="26" t="n"/>
      <c r="AA316" s="28" t="n"/>
      <c r="AB316" s="28" t="n"/>
      <c r="AC316" s="30" t="n">
        <v>-1.25</v>
      </c>
      <c r="AD316" s="24" t="inlineStr">
        <is>
          <t>2026-10-04T21:03:48.089189Z</t>
        </is>
      </c>
      <c r="AE316" s="31" t="inlineStr">
        <is>
          <t>Neutral Elo baseline; executable ask 0.4400 (market_slug=aec-lol-lgd-bfx-2026-10-04).</t>
        </is>
      </c>
      <c r="AF316" s="31" t="inlineStr">
        <is>
          <t>Config-promoted esports baseline; gates enforced at log time.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4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BNK FEARX</t>
        </is>
      </c>
      <c r="AQ316" s="24" t="inlineStr">
        <is>
          <t>BNK FEARX</t>
        </is>
      </c>
      <c r="AR316" s="24" t="inlineStr">
        <is>
          <t>BNK FEARX</t>
        </is>
      </c>
      <c r="AS316" s="24" t="inlineStr">
        <is>
          <t>LGD Gaming</t>
        </is>
      </c>
      <c r="AT316" s="24" t="inlineStr">
        <is>
          <t>LGD Gaming</t>
        </is>
      </c>
      <c r="AU316" s="24" t="inlineStr">
        <is>
          <t>LGD Gaming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55223e6a1465dbff2f9b3d3d31599ba7a43c04f3010a53f4e13de30086a4cc22</t>
        </is>
      </c>
      <c r="BB316" s="24" t="inlineStr">
        <is>
          <t>neutral_elo</t>
        </is>
      </c>
      <c r="BC316" s="24" t="inlineStr">
        <is>
          <t>lol-tiered-elo-v6</t>
        </is>
      </c>
      <c r="BD316" s="24" t="inlineStr">
        <is>
          <t>55223e6a1465dbff2f9b3d3d31599ba7a43c04f3010a53f4e13de30086a4cc22</t>
        </is>
      </c>
      <c r="BE316" s="24" t="inlineStr">
        <is>
          <t>1</t>
        </is>
      </c>
      <c r="BF316" s="24" t="inlineStr">
        <is>
          <t>1</t>
        </is>
      </c>
      <c r="BG316" s="24" t="inlineStr">
        <is>
          <t>lol-tiered-elo-v6</t>
        </is>
      </c>
      <c r="BH316" s="24" t="inlineStr">
        <is>
          <t>2026-10-03T22:33:25.331331Z</t>
        </is>
      </c>
      <c r="BI316" s="24" t="inlineStr">
        <is>
          <t>["same_event","same_team_same_day","same_league_same_day"]</t>
        </is>
      </c>
      <c r="BJ316" s="25" t="n"/>
      <c r="BK316" s="26" t="n">
        <v>127</v>
      </c>
      <c r="BL316" s="27" t="n">
        <v>2.27</v>
      </c>
      <c r="BM316" s="28" t="n">
        <v>0.440529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0.440529</t>
        </is>
      </c>
      <c r="DK316" s="24" t="n"/>
      <c r="DL316" s="24" t="n"/>
      <c r="DM316" s="24" t="n"/>
      <c r="DN316" s="24" t="n"/>
      <c r="DO316" s="24" t="n"/>
      <c r="DP316" s="24" t="n"/>
      <c r="DQ316" s="24" t="inlineStr">
        <is>
          <t>{"artifact_hash": "55223e6a1465dbff2f9b3d3d31599ba7a43c04f3010a53f4e13de30086a4cc22", "away_team": "BNK FEARX", "event_id": "139902", "event_start_utc": "2026-10-04T07:00:00Z", "features": {"away_elo": 1626.939072, "away_history_count": 145, "home_elo": 1660.535401, "home_history_count": 112}, "historical_source_observation_times_verified": false, "home_team": "LGD Gaming", "inference_inputs": {"book_state": {"games_played": {"bo3:3:17957": 112, "bo3:3:18335": 145}, "inactivity_half_life_days": null, "inactivity_max_pull": null, "k": 48.0, "last_match_utc": {"bo3:3:17957": "2026-10-03T09:00:00Z", "bo3:3:18335": "2026-10-03T11:00:00Z"}, "minimum_reliable_games": null, "platt_intercept": 0.06439558043610222, "platt_slope": 0.7911235460098343, "ratings": {"bo3:3:17957": 1660.535401, "bo3:3:18335": 1626.939072},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"2026-10-03T22:33:25.156596+00:00", "team_ids": ["bo3:3:17957", "bo3:3:18335"]}, "market_type": "moneyline", "model_version": "lol-tiered-elo-v6", "observed_at_utc": "2026-10-03T22:33:25.156596+00:00", "probabilities": {"away": 0.454331, "home": 0.545669}, "replay_scope": "Exact serving book state, calibration, temperature, inactivity reference and thin-history adjustments; training provenance not certified.", "schema": "esports-elo-replay-v1", "snapshot_hash": "69b57985febfd61e543607dadbc7c562f83ebd0ed397a8346232a557c2d559c6", "sport": "LOL"}</t>
        </is>
      </c>
    </row>
    <row r="317" ht="36" customHeight="1">
      <c r="A317" s="24" t="inlineStr">
        <is>
          <t>e5bca0d091a6454b</t>
        </is>
      </c>
      <c r="B317" s="24" t="inlineStr">
        <is>
          <t>2026-10-04T20:31:25.868273Z</t>
        </is>
      </c>
      <c r="C317" s="24" t="inlineStr">
        <is>
          <t>2026-10-05T09:00:00Z</t>
        </is>
      </c>
      <c r="D317" s="24" t="inlineStr">
        <is>
          <t>139903</t>
        </is>
      </c>
      <c r="E317" s="24" t="inlineStr">
        <is>
          <t>LOL</t>
        </is>
      </c>
      <c r="F317" s="24" t="inlineStr">
        <is>
          <t>FlyQuest</t>
        </is>
      </c>
      <c r="G317" s="24" t="inlineStr">
        <is>
          <t>Natus Vincere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-138</v>
      </c>
      <c r="M317" s="27" t="n">
        <v>1.724638</v>
      </c>
      <c r="N317" s="28" t="n">
        <v>0.579832</v>
      </c>
      <c r="O317" s="28" t="n">
        <v>0.6115390000000001</v>
      </c>
      <c r="P317" s="28" t="n"/>
      <c r="Q317" s="28" t="n">
        <v>0.031707</v>
      </c>
      <c r="R317" s="26" t="n">
        <v>36</v>
      </c>
      <c r="S317" s="29" t="n">
        <v>1</v>
      </c>
      <c r="T317" s="24" t="inlineStr">
        <is>
          <t>lol-tiered-elo-v6</t>
        </is>
      </c>
      <c r="U317" s="24" t="inlineStr">
        <is>
          <t>settled</t>
        </is>
      </c>
      <c r="V317" s="24" t="inlineStr">
        <is>
          <t>win</t>
        </is>
      </c>
      <c r="W317" s="26" t="n">
        <v>0</v>
      </c>
      <c r="X317" s="26" t="n">
        <v>1</v>
      </c>
      <c r="Y317" s="25" t="n"/>
      <c r="Z317" s="26" t="n"/>
      <c r="AA317" s="28" t="n"/>
      <c r="AB317" s="28" t="n"/>
      <c r="AC317" s="30" t="n">
        <v>0.7246</v>
      </c>
      <c r="AD317" s="24" t="inlineStr">
        <is>
          <t>2026-10-05T16:03:05.876632Z</t>
        </is>
      </c>
      <c r="AE317" s="31" t="inlineStr">
        <is>
          <t>Neutral Elo baseline; executable ask 0.5800 (market_slug=aec-lol-navi-fly-2026-10-05).</t>
        </is>
      </c>
      <c r="AF317" s="31" t="inlineStr">
        <is>
          <t>Config-promoted esports baseline; gates enforced at log time.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FlyQuest</t>
        </is>
      </c>
      <c r="AQ317" s="24" t="inlineStr">
        <is>
          <t>FlyQuest</t>
        </is>
      </c>
      <c r="AR317" s="24" t="inlineStr">
        <is>
          <t>FlyQuest</t>
        </is>
      </c>
      <c r="AS317" s="24" t="inlineStr">
        <is>
          <t>Natus Vincere</t>
        </is>
      </c>
      <c r="AT317" s="24" t="inlineStr">
        <is>
          <t>Natus Vincere</t>
        </is>
      </c>
      <c r="AU317" s="24" t="inlineStr">
        <is>
          <t>Natus Vincere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9e41eaa587f37812fc56301fa123f17823292f759ce95923c3e14917718a6162</t>
        </is>
      </c>
      <c r="BB317" s="24" t="inlineStr">
        <is>
          <t>neutral_elo</t>
        </is>
      </c>
      <c r="BC317" s="24" t="inlineStr">
        <is>
          <t>lol-tiered-elo-v6</t>
        </is>
      </c>
      <c r="BD317" s="24" t="inlineStr">
        <is>
          <t>9e41eaa587f37812fc56301fa123f17823292f759ce95923c3e14917718a6162</t>
        </is>
      </c>
      <c r="BE317" s="24" t="inlineStr">
        <is>
          <t>1</t>
        </is>
      </c>
      <c r="BF317" s="24" t="inlineStr">
        <is>
          <t>1</t>
        </is>
      </c>
      <c r="BG317" s="24" t="inlineStr">
        <is>
          <t>lol-tiered-elo-v6</t>
        </is>
      </c>
      <c r="BH317" s="24" t="inlineStr">
        <is>
          <t>2026-10-04T20:31:13.751153Z</t>
        </is>
      </c>
      <c r="BI317" s="24" t="inlineStr">
        <is>
          <t>["same_event","same_team_same_day","same_league_same_day"]</t>
        </is>
      </c>
      <c r="BJ317" s="25" t="n"/>
      <c r="BK317" s="26" t="n">
        <v>-138</v>
      </c>
      <c r="BL317" s="27" t="n">
        <v>1.724638</v>
      </c>
      <c r="BM317" s="28" t="n">
        <v>0.579832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n"/>
      <c r="DK317" s="24" t="n"/>
      <c r="DL317" s="24" t="n"/>
      <c r="DM317" s="24" t="n"/>
      <c r="DN317" s="24" t="n"/>
      <c r="DO317" s="24" t="n"/>
      <c r="DP317" s="24" t="n"/>
      <c r="DQ317" s="24" t="inlineStr">
        <is>
          <t>{"artifact_hash": "9e41eaa587f37812fc56301fa123f17823292f759ce95923c3e14917718a6162", "away_team": "FlyQuest", "event_id": "139903", "event_start_utc": "2026-10-05T09:00:00Z", "features": {"away_elo": 1522.811304, "away_history_count": 113, "home_elo": 1628.411306, "home_history_count": 45}, "historical_source_observation_times_verified": false, "home_team": "Natus Vincere", "inference_inputs": {"book_state": {"games_played": {"bo3:3:17800": 45, "bo3:3:18027": 113}, "inactivity_half_life_days": null, "inactivity_max_pull": null, "k": 48.0, "last_match_utc": {"bo3:3:17800": "2026-10-03T08:00:00Z", "bo3:3:18027": "2026-10-03T09:00:00Z"}, "minimum_reliable_games": null, "platt_intercept": 0.06009009532746132, "platt_slope": 0.7931082080386445, "ratings": {"bo3:3:17800": 1628.411306, "bo3:3:18027": 1522.811304},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"2026-10-04T20:31:13.491573+00:00", "team_ids": ["bo3:3:17800", "bo3:3:18027"]}, "market_type": "moneyline", "model_version": "lol-tiered-elo-v6", "observed_at_utc": "2026-10-04T20:31:13.491573+00:00", "probabilities": {"away": 0.388461, "home": 0.611539}, "replay_scope": "Exact serving book state, calibration, temperature, inactivity reference and thin-history adjustments; training provenance not certified.", "schema": "esports-elo-replay-v1", "snapshot_hash": "f71fdf2f82dd763b26b51ca7b12e6402911a1806be428c7f778e89c9cecf089e", "sport": "LOL"}</t>
        </is>
      </c>
    </row>
    <row r="318" ht="36" customHeight="1">
      <c r="A318" s="24" t="inlineStr">
        <is>
          <t>fab445940ccb4d31</t>
        </is>
      </c>
      <c r="B318" s="24" t="inlineStr">
        <is>
          <t>2026-10-05T22:26:05.671132Z</t>
        </is>
      </c>
      <c r="C318" s="24" t="inlineStr">
        <is>
          <t>2026-10-06T09:00:00Z</t>
        </is>
      </c>
      <c r="D318" s="24" t="inlineStr">
        <is>
          <t>143496</t>
        </is>
      </c>
      <c r="E318" s="24" t="inlineStr">
        <is>
          <t>LOL</t>
        </is>
      </c>
      <c r="F318" s="24" t="inlineStr">
        <is>
          <t>LGD Gaming</t>
        </is>
      </c>
      <c r="G318" s="24" t="inlineStr">
        <is>
          <t>JD Gaming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-117</v>
      </c>
      <c r="M318" s="27" t="n">
        <v>1.854701</v>
      </c>
      <c r="N318" s="28" t="n">
        <v>0.539171</v>
      </c>
      <c r="O318" s="28" t="n">
        <v>0.524296</v>
      </c>
      <c r="P318" s="28" t="n"/>
      <c r="Q318" s="28" t="n">
        <v>-0.014875</v>
      </c>
      <c r="R318" s="26" t="n">
        <v>13</v>
      </c>
      <c r="S318" s="29" t="n">
        <v>1</v>
      </c>
      <c r="T318" s="24" t="inlineStr">
        <is>
          <t>lol-tiered-elo-v6</t>
        </is>
      </c>
      <c r="U318" s="24" t="inlineStr">
        <is>
          <t>open</t>
        </is>
      </c>
      <c r="V318" s="24" t="n"/>
      <c r="W318" s="26" t="n"/>
      <c r="X318" s="26" t="n"/>
      <c r="Y318" s="25" t="n"/>
      <c r="Z318" s="26" t="n"/>
      <c r="AA318" s="28" t="n"/>
      <c r="AB318" s="28" t="n"/>
      <c r="AC318" s="30" t="n"/>
      <c r="AD318" s="24" t="n"/>
      <c r="AE318" s="31" t="inlineStr">
        <is>
          <t>Neutral Elo baseline; executable ask 0.5400 (market_slug=aec-lol-jdg-lgd-2026-10-06).</t>
        </is>
      </c>
      <c r="AF318" s="31" t="inlineStr">
        <is>
          <t>Config-promoted esports baseline; gates enforced at log time.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LGD Gaming</t>
        </is>
      </c>
      <c r="AQ318" s="24" t="inlineStr">
        <is>
          <t>LGD Gaming</t>
        </is>
      </c>
      <c r="AR318" s="24" t="inlineStr">
        <is>
          <t>LGD Gaming</t>
        </is>
      </c>
      <c r="AS318" s="24" t="inlineStr">
        <is>
          <t>JD Gaming</t>
        </is>
      </c>
      <c r="AT318" s="24" t="inlineStr">
        <is>
          <t>JD Gaming</t>
        </is>
      </c>
      <c r="AU318" s="24" t="inlineStr">
        <is>
          <t>JD Gaming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f29d573bdc346de062cac628ea4489b84d7f7a51570c13c18b88e9a5fe12bbb3</t>
        </is>
      </c>
      <c r="BB318" s="24" t="inlineStr">
        <is>
          <t>neutral_elo</t>
        </is>
      </c>
      <c r="BC318" s="24" t="inlineStr">
        <is>
          <t>lol-tiered-elo-v6</t>
        </is>
      </c>
      <c r="BD318" s="24" t="inlineStr">
        <is>
          <t>f29d573bdc346de062cac628ea4489b84d7f7a51570c13c18b88e9a5fe12bbb3</t>
        </is>
      </c>
      <c r="BE318" s="24" t="inlineStr">
        <is>
          <t>1</t>
        </is>
      </c>
      <c r="BF318" s="24" t="inlineStr">
        <is>
          <t>1</t>
        </is>
      </c>
      <c r="BG318" s="24" t="inlineStr">
        <is>
          <t>lol-tiered-elo-v6</t>
        </is>
      </c>
      <c r="BH318" s="24" t="inlineStr">
        <is>
          <t>2026-10-05T22:25:23.965782Z</t>
        </is>
      </c>
      <c r="BI318" s="24" t="inlineStr">
        <is>
          <t>["same_event","same_team_same_day","same_league_same_day"]</t>
        </is>
      </c>
      <c r="BJ318" s="25" t="n"/>
      <c r="BK318" s="26" t="n">
        <v>-117</v>
      </c>
      <c r="BL318" s="27" t="n">
        <v>1.854701</v>
      </c>
      <c r="BM318" s="28" t="n">
        <v>0.539171</v>
      </c>
      <c r="BN318" s="28" t="n"/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n"/>
      <c r="DK318" s="24" t="n"/>
      <c r="DL318" s="24" t="n"/>
      <c r="DM318" s="24" t="n"/>
      <c r="DN318" s="24" t="n"/>
      <c r="DO318" s="24" t="n"/>
      <c r="DP318" s="24" t="n"/>
      <c r="DQ318" s="24" t="inlineStr">
        <is>
          <t>{"artifact_hash": "f29d573bdc346de062cac628ea4489b84d7f7a51570c13c18b88e9a5fe12bbb3", "away_team": "LGD Gaming", "event_id": "143496", "event_start_utc": "2026-10-06T09:00:00Z", "features": {"away_elo": 1620.88877, "away_history_count": 113, "home_elo": 1630.852803, "home_history_count": 170}, "historical_source_observation_times_verified": false, "home_team": "JD Gaming", "inference_inputs": {"book_state": {"games_played": {"bo3:3:17957": 113, "bo3:3:18021": 170}, "inactivity_half_life_days": null, "inactivity_max_pull": null, "k": 48.0, "last_match_utc": {"bo3:3:17957": "2026-10-04T07:00:00Z", "bo3:3:18021": "2026-10-05T10:40:00Z"}, "minimum_reliable_games": null, "platt_intercept": 0.063826753004786, "platt_slope": 0.7911054317322386, "ratings": {"bo3:3:17957": 1620.88877, "bo3:3:18021": 1630.852803},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"2026-10-05T22:25:23.792169+00:00", "team_ids": ["bo3:3:18021", "bo3:3:17957"]}, "market_type": "moneyline", "model_version": "lol-tiered-elo-v6", "observed_at_utc": "2026-10-05T22:25:23.792169+00:00", "probabilities": {"away": 0.475704, "home": 0.524296}, "replay_scope": "Exact serving book state, calibration, temperature, inactivity reference and thin-history adjustments; training provenance not certified.", "schema": "esports-elo-replay-v1", "snapshot_hash": "bcc5ae2e1f351dbf133d318dc2d7413e060c20ce6341e0f662a581450fcb6fe3", "sport": "LOL"}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2026-10-05T22:26:33Z</dcterms:created>
  <dcterms:modified xmlns:dcterms="http://purl.org/dc/terms/" xmlns:xsi="http://www.w3.org/2001/XMLSchema-instance" xsi:type="dcterms:W3CDTF">2026-10-05T22:26:33Z</dcterms:modified>
</cp:coreProperties>
</file>